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45936</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45936</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45936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45936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45936</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45834.67231481482</v>
      </c>
      <c r="C11" s="1" t="n">
        <v>45936</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45936</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45936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45936</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45936</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45936</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44562-2023</t>
        </is>
      </c>
      <c r="B21" s="1" t="n">
        <v>45189</v>
      </c>
      <c r="C21" s="1" t="n">
        <v>45936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45936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45936</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45936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45936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45936</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40934-2025</t>
        </is>
      </c>
      <c r="B27" s="1" t="n">
        <v>45897</v>
      </c>
      <c r="C27" s="1" t="n">
        <v>45936</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43822-2023</t>
        </is>
      </c>
      <c r="B28" s="1" t="n">
        <v>45182</v>
      </c>
      <c r="C28" s="1" t="n">
        <v>45936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45936</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7650-2021</t>
        </is>
      </c>
      <c r="B30" s="1" t="n">
        <v>44242</v>
      </c>
      <c r="C30" s="1" t="n">
        <v>45936</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45936</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45936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45936</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45936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8514-2022</t>
        </is>
      </c>
      <c r="B35" s="1" t="n">
        <v>44613.43620370371</v>
      </c>
      <c r="C35" s="1" t="n">
        <v>45936</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45936</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45936</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9573-2023</t>
        </is>
      </c>
      <c r="B40" s="1" t="n">
        <v>44982</v>
      </c>
      <c r="C40" s="1" t="n">
        <v>45936</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45936</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45936</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45936</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45936</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37948-2024</t>
        </is>
      </c>
      <c r="B45" s="1" t="n">
        <v>45544</v>
      </c>
      <c r="C45" s="1" t="n">
        <v>45936</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45936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45936</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15086-2025</t>
        </is>
      </c>
      <c r="B48" s="1" t="n">
        <v>45743</v>
      </c>
      <c r="C48" s="1" t="n">
        <v>45936</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54297-2022</t>
        </is>
      </c>
      <c r="B49" s="1" t="n">
        <v>44882</v>
      </c>
      <c r="C49" s="1" t="n">
        <v>45936</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45936</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45936</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173-2021</t>
        </is>
      </c>
      <c r="B52" s="1" t="n">
        <v>44200</v>
      </c>
      <c r="C52" s="1" t="n">
        <v>45936</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25899-2024</t>
        </is>
      </c>
      <c r="B53" s="1" t="n">
        <v>45467</v>
      </c>
      <c r="C53" s="1" t="n">
        <v>45936</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45936</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45936</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45936</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45468-2025</t>
        </is>
      </c>
      <c r="B57" s="1" t="n">
        <v>45922</v>
      </c>
      <c r="C57" s="1" t="n">
        <v>45936</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42595-2025</t>
        </is>
      </c>
      <c r="B58" s="1" t="n">
        <v>45905</v>
      </c>
      <c r="C58" s="1" t="n">
        <v>45936</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67528-2021</t>
        </is>
      </c>
      <c r="B59" s="1" t="n">
        <v>44524</v>
      </c>
      <c r="C59" s="1" t="n">
        <v>45936</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5680-2024</t>
        </is>
      </c>
      <c r="B60" s="1" t="n">
        <v>45334</v>
      </c>
      <c r="C60" s="1" t="n">
        <v>45936</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18306-2024</t>
        </is>
      </c>
      <c r="B61" s="1" t="n">
        <v>45422</v>
      </c>
      <c r="C61" s="1" t="n">
        <v>45936</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42590-2023</t>
        </is>
      </c>
      <c r="B62" s="1" t="n">
        <v>45181</v>
      </c>
      <c r="C62" s="1" t="n">
        <v>45936</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59789-2024</t>
        </is>
      </c>
      <c r="B63" s="1" t="n">
        <v>45639</v>
      </c>
      <c r="C63" s="1" t="n">
        <v>45936</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16545-2021</t>
        </is>
      </c>
      <c r="B64" s="1" t="n">
        <v>44293</v>
      </c>
      <c r="C64" s="1" t="n">
        <v>45936</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3099-2024</t>
        </is>
      </c>
      <c r="B65" s="1" t="n">
        <v>45316</v>
      </c>
      <c r="C65" s="1" t="n">
        <v>45936</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45936</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57190-2024</t>
        </is>
      </c>
      <c r="B67" s="1" t="n">
        <v>45629</v>
      </c>
      <c r="C67" s="1" t="n">
        <v>45936</v>
      </c>
      <c r="D67" t="inlineStr">
        <is>
          <t>VÄRMLANDS LÄN</t>
        </is>
      </c>
      <c r="E67" t="inlineStr">
        <is>
          <t>TORSBY</t>
        </is>
      </c>
      <c r="G67" t="n">
        <v>0.8</v>
      </c>
      <c r="H67" t="n">
        <v>0</v>
      </c>
      <c r="I67" t="n">
        <v>0</v>
      </c>
      <c r="J67" t="n">
        <v>3</v>
      </c>
      <c r="K67" t="n">
        <v>0</v>
      </c>
      <c r="L67" t="n">
        <v>0</v>
      </c>
      <c r="M67" t="n">
        <v>0</v>
      </c>
      <c r="N67" t="n">
        <v>0</v>
      </c>
      <c r="O67" t="n">
        <v>3</v>
      </c>
      <c r="P67" t="n">
        <v>0</v>
      </c>
      <c r="Q67" t="n">
        <v>3</v>
      </c>
      <c r="R67" s="2" t="inlineStr">
        <is>
          <t>Garnlav
Skogstrappmossa
Violettgrå tagellav</t>
        </is>
      </c>
      <c r="S67">
        <f>HYPERLINK("https://klasma.github.io/Logging_1737/artfynd/A 57190-2024 artfynd.xlsx", "A 57190-2024")</f>
        <v/>
      </c>
      <c r="T67">
        <f>HYPERLINK("https://klasma.github.io/Logging_1737/kartor/A 57190-2024 karta.png", "A 57190-2024")</f>
        <v/>
      </c>
      <c r="V67">
        <f>HYPERLINK("https://klasma.github.io/Logging_1737/klagomål/A 57190-2024 FSC-klagomål.docx", "A 57190-2024")</f>
        <v/>
      </c>
      <c r="W67">
        <f>HYPERLINK("https://klasma.github.io/Logging_1737/klagomålsmail/A 57190-2024 FSC-klagomål mail.docx", "A 57190-2024")</f>
        <v/>
      </c>
      <c r="X67">
        <f>HYPERLINK("https://klasma.github.io/Logging_1737/tillsyn/A 57190-2024 tillsynsbegäran.docx", "A 57190-2024")</f>
        <v/>
      </c>
      <c r="Y67">
        <f>HYPERLINK("https://klasma.github.io/Logging_1737/tillsynsmail/A 57190-2024 tillsynsbegäran mail.docx", "A 57190-2024")</f>
        <v/>
      </c>
    </row>
    <row r="68" ht="15" customHeight="1">
      <c r="A68" t="inlineStr">
        <is>
          <t>A 19030-2025</t>
        </is>
      </c>
      <c r="B68" s="1" t="n">
        <v>45764.65658564815</v>
      </c>
      <c r="C68" s="1" t="n">
        <v>45936</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45936</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17740-2025</t>
        </is>
      </c>
      <c r="B70" s="1" t="n">
        <v>45758</v>
      </c>
      <c r="C70" s="1" t="n">
        <v>45936</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31835-2024</t>
        </is>
      </c>
      <c r="B71" s="1" t="n">
        <v>45509</v>
      </c>
      <c r="C71" s="1" t="n">
        <v>45936</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53198-2020</t>
        </is>
      </c>
      <c r="B72" s="1" t="n">
        <v>44122</v>
      </c>
      <c r="C72" s="1" t="n">
        <v>45936</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45936</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17747-2025</t>
        </is>
      </c>
      <c r="B75" s="1" t="n">
        <v>45758</v>
      </c>
      <c r="C75" s="1" t="n">
        <v>45936</v>
      </c>
      <c r="D75" t="inlineStr">
        <is>
          <t>VÄRMLANDS LÄN</t>
        </is>
      </c>
      <c r="E75" t="inlineStr">
        <is>
          <t>TORSBY</t>
        </is>
      </c>
      <c r="G75" t="n">
        <v>14.1</v>
      </c>
      <c r="H75" t="n">
        <v>0</v>
      </c>
      <c r="I75" t="n">
        <v>0</v>
      </c>
      <c r="J75" t="n">
        <v>2</v>
      </c>
      <c r="K75" t="n">
        <v>0</v>
      </c>
      <c r="L75" t="n">
        <v>0</v>
      </c>
      <c r="M75" t="n">
        <v>0</v>
      </c>
      <c r="N75" t="n">
        <v>0</v>
      </c>
      <c r="O75" t="n">
        <v>2</v>
      </c>
      <c r="P75" t="n">
        <v>0</v>
      </c>
      <c r="Q75" t="n">
        <v>2</v>
      </c>
      <c r="R75" s="2" t="inlineStr">
        <is>
          <t>Garnlav
Vedtrappmossa</t>
        </is>
      </c>
      <c r="S75">
        <f>HYPERLINK("https://klasma.github.io/Logging_1737/artfynd/A 17747-2025 artfynd.xlsx", "A 17747-2025")</f>
        <v/>
      </c>
      <c r="T75">
        <f>HYPERLINK("https://klasma.github.io/Logging_1737/kartor/A 17747-2025 karta.png", "A 17747-2025")</f>
        <v/>
      </c>
      <c r="V75">
        <f>HYPERLINK("https://klasma.github.io/Logging_1737/klagomål/A 17747-2025 FSC-klagomål.docx", "A 17747-2025")</f>
        <v/>
      </c>
      <c r="W75">
        <f>HYPERLINK("https://klasma.github.io/Logging_1737/klagomålsmail/A 17747-2025 FSC-klagomål mail.docx", "A 17747-2025")</f>
        <v/>
      </c>
      <c r="X75">
        <f>HYPERLINK("https://klasma.github.io/Logging_1737/tillsyn/A 17747-2025 tillsynsbegäran.docx", "A 17747-2025")</f>
        <v/>
      </c>
      <c r="Y75">
        <f>HYPERLINK("https://klasma.github.io/Logging_1737/tillsynsmail/A 17747-2025 tillsynsbegäran mail.docx", "A 17747-2025")</f>
        <v/>
      </c>
    </row>
    <row r="76" ht="15" customHeight="1">
      <c r="A76" t="inlineStr">
        <is>
          <t>A 37388-2025</t>
        </is>
      </c>
      <c r="B76" s="1" t="n">
        <v>45877</v>
      </c>
      <c r="C76" s="1" t="n">
        <v>45936</v>
      </c>
      <c r="D76" t="inlineStr">
        <is>
          <t>VÄRMLANDS LÄN</t>
        </is>
      </c>
      <c r="E76" t="inlineStr">
        <is>
          <t>TORSBY</t>
        </is>
      </c>
      <c r="G76" t="n">
        <v>14.1</v>
      </c>
      <c r="H76" t="n">
        <v>0</v>
      </c>
      <c r="I76" t="n">
        <v>0</v>
      </c>
      <c r="J76" t="n">
        <v>2</v>
      </c>
      <c r="K76" t="n">
        <v>0</v>
      </c>
      <c r="L76" t="n">
        <v>0</v>
      </c>
      <c r="M76" t="n">
        <v>0</v>
      </c>
      <c r="N76" t="n">
        <v>0</v>
      </c>
      <c r="O76" t="n">
        <v>2</v>
      </c>
      <c r="P76" t="n">
        <v>0</v>
      </c>
      <c r="Q76" t="n">
        <v>2</v>
      </c>
      <c r="R76" s="2" t="inlineStr">
        <is>
          <t>Doftskinn
Violettgrå tagellav</t>
        </is>
      </c>
      <c r="S76">
        <f>HYPERLINK("https://klasma.github.io/Logging_1737/artfynd/A 37388-2025 artfynd.xlsx", "A 37388-2025")</f>
        <v/>
      </c>
      <c r="T76">
        <f>HYPERLINK("https://klasma.github.io/Logging_1737/kartor/A 37388-2025 karta.png", "A 37388-2025")</f>
        <v/>
      </c>
      <c r="V76">
        <f>HYPERLINK("https://klasma.github.io/Logging_1737/klagomål/A 37388-2025 FSC-klagomål.docx", "A 37388-2025")</f>
        <v/>
      </c>
      <c r="W76">
        <f>HYPERLINK("https://klasma.github.io/Logging_1737/klagomålsmail/A 37388-2025 FSC-klagomål mail.docx", "A 37388-2025")</f>
        <v/>
      </c>
      <c r="X76">
        <f>HYPERLINK("https://klasma.github.io/Logging_1737/tillsyn/A 37388-2025 tillsynsbegäran.docx", "A 37388-2025")</f>
        <v/>
      </c>
      <c r="Y76">
        <f>HYPERLINK("https://klasma.github.io/Logging_1737/tillsynsmail/A 37388-2025 tillsynsbegäran mail.docx", "A 37388-2025")</f>
        <v/>
      </c>
    </row>
    <row r="77" ht="15" customHeight="1">
      <c r="A77" t="inlineStr">
        <is>
          <t>A 16442-2023</t>
        </is>
      </c>
      <c r="B77" s="1" t="n">
        <v>45026</v>
      </c>
      <c r="C77" s="1" t="n">
        <v>45936</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42488-2025</t>
        </is>
      </c>
      <c r="B78" s="1" t="n">
        <v>45905</v>
      </c>
      <c r="C78" s="1" t="n">
        <v>45936</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33906-2025</t>
        </is>
      </c>
      <c r="B79" s="1" t="n">
        <v>45842.59878472222</v>
      </c>
      <c r="C79" s="1" t="n">
        <v>45936</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23091-2024</t>
        </is>
      </c>
      <c r="B80" s="1" t="n">
        <v>45450</v>
      </c>
      <c r="C80" s="1" t="n">
        <v>45936</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12372-2022</t>
        </is>
      </c>
      <c r="B81" s="1" t="n">
        <v>44637</v>
      </c>
      <c r="C81" s="1" t="n">
        <v>45936</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16011-2025</t>
        </is>
      </c>
      <c r="B82" s="1" t="n">
        <v>45749</v>
      </c>
      <c r="C82" s="1" t="n">
        <v>45936</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46580-2025</t>
        </is>
      </c>
      <c r="B83" s="1" t="n">
        <v>45926</v>
      </c>
      <c r="C83" s="1" t="n">
        <v>45936</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62955-2023</t>
        </is>
      </c>
      <c r="B84" s="1" t="n">
        <v>45271</v>
      </c>
      <c r="C84" s="1" t="n">
        <v>45936</v>
      </c>
      <c r="D84" t="inlineStr">
        <is>
          <t>VÄRMLANDS LÄN</t>
        </is>
      </c>
      <c r="E84" t="inlineStr">
        <is>
          <t>TORSBY</t>
        </is>
      </c>
      <c r="F84" t="inlineStr">
        <is>
          <t>Övriga statliga verk och myndigheter</t>
        </is>
      </c>
      <c r="G84" t="n">
        <v>4.2</v>
      </c>
      <c r="H84" t="n">
        <v>0</v>
      </c>
      <c r="I84" t="n">
        <v>0</v>
      </c>
      <c r="J84" t="n">
        <v>2</v>
      </c>
      <c r="K84" t="n">
        <v>0</v>
      </c>
      <c r="L84" t="n">
        <v>0</v>
      </c>
      <c r="M84" t="n">
        <v>0</v>
      </c>
      <c r="N84" t="n">
        <v>0</v>
      </c>
      <c r="O84" t="n">
        <v>2</v>
      </c>
      <c r="P84" t="n">
        <v>0</v>
      </c>
      <c r="Q84" t="n">
        <v>2</v>
      </c>
      <c r="R84" s="2" t="inlineStr">
        <is>
          <t>Garnlav
Vedtrappmossa</t>
        </is>
      </c>
      <c r="S84">
        <f>HYPERLINK("https://klasma.github.io/Logging_1737/artfynd/A 62955-2023 artfynd.xlsx", "A 62955-2023")</f>
        <v/>
      </c>
      <c r="T84">
        <f>HYPERLINK("https://klasma.github.io/Logging_1737/kartor/A 62955-2023 karta.png", "A 62955-2023")</f>
        <v/>
      </c>
      <c r="V84">
        <f>HYPERLINK("https://klasma.github.io/Logging_1737/klagomål/A 62955-2023 FSC-klagomål.docx", "A 62955-2023")</f>
        <v/>
      </c>
      <c r="W84">
        <f>HYPERLINK("https://klasma.github.io/Logging_1737/klagomålsmail/A 62955-2023 FSC-klagomål mail.docx", "A 62955-2023")</f>
        <v/>
      </c>
      <c r="X84">
        <f>HYPERLINK("https://klasma.github.io/Logging_1737/tillsyn/A 62955-2023 tillsynsbegäran.docx", "A 62955-2023")</f>
        <v/>
      </c>
      <c r="Y84">
        <f>HYPERLINK("https://klasma.github.io/Logging_1737/tillsynsmail/A 62955-2023 tillsynsbegäran mail.docx", "A 62955-2023")</f>
        <v/>
      </c>
    </row>
    <row r="85" ht="15" customHeight="1">
      <c r="A85" t="inlineStr">
        <is>
          <t>A 61950-2024</t>
        </is>
      </c>
      <c r="B85" s="1" t="n">
        <v>45653</v>
      </c>
      <c r="C85" s="1" t="n">
        <v>45936</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45936</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45936</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4718-2023</t>
        </is>
      </c>
      <c r="B88" s="1" t="n">
        <v>44957</v>
      </c>
      <c r="C88" s="1" t="n">
        <v>45936</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45936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45936</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25212-2025</t>
        </is>
      </c>
      <c r="B91" s="1" t="n">
        <v>45800</v>
      </c>
      <c r="C91" s="1" t="n">
        <v>45936</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12375-2022</t>
        </is>
      </c>
      <c r="B92" s="1" t="n">
        <v>44637</v>
      </c>
      <c r="C92" s="1" t="n">
        <v>45936</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45936</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34930-2022</t>
        </is>
      </c>
      <c r="B94" s="1" t="n">
        <v>44796</v>
      </c>
      <c r="C94" s="1" t="n">
        <v>45936</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45936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45936</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45936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45936</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45936</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15548-2023</t>
        </is>
      </c>
      <c r="B102" s="1" t="n">
        <v>45020</v>
      </c>
      <c r="C102" s="1" t="n">
        <v>45936</v>
      </c>
      <c r="D102" t="inlineStr">
        <is>
          <t>VÄRMLANDS LÄN</t>
        </is>
      </c>
      <c r="E102" t="inlineStr">
        <is>
          <t>TORSBY</t>
        </is>
      </c>
      <c r="G102" t="n">
        <v>0.6</v>
      </c>
      <c r="H102" t="n">
        <v>1</v>
      </c>
      <c r="I102" t="n">
        <v>0</v>
      </c>
      <c r="J102" t="n">
        <v>1</v>
      </c>
      <c r="K102" t="n">
        <v>0</v>
      </c>
      <c r="L102" t="n">
        <v>0</v>
      </c>
      <c r="M102" t="n">
        <v>0</v>
      </c>
      <c r="N102" t="n">
        <v>0</v>
      </c>
      <c r="O102" t="n">
        <v>1</v>
      </c>
      <c r="P102" t="n">
        <v>0</v>
      </c>
      <c r="Q102" t="n">
        <v>1</v>
      </c>
      <c r="R102" s="2" t="inlineStr">
        <is>
          <t>Spillkråka</t>
        </is>
      </c>
      <c r="S102">
        <f>HYPERLINK("https://klasma.github.io/Logging_1737/artfynd/A 15548-2023 artfynd.xlsx", "A 15548-2023")</f>
        <v/>
      </c>
      <c r="T102">
        <f>HYPERLINK("https://klasma.github.io/Logging_1737/kartor/A 15548-2023 karta.png", "A 15548-2023")</f>
        <v/>
      </c>
      <c r="V102">
        <f>HYPERLINK("https://klasma.github.io/Logging_1737/klagomål/A 15548-2023 FSC-klagomål.docx", "A 15548-2023")</f>
        <v/>
      </c>
      <c r="W102">
        <f>HYPERLINK("https://klasma.github.io/Logging_1737/klagomålsmail/A 15548-2023 FSC-klagomål mail.docx", "A 15548-2023")</f>
        <v/>
      </c>
      <c r="X102">
        <f>HYPERLINK("https://klasma.github.io/Logging_1737/tillsyn/A 15548-2023 tillsynsbegäran.docx", "A 15548-2023")</f>
        <v/>
      </c>
      <c r="Y102">
        <f>HYPERLINK("https://klasma.github.io/Logging_1737/tillsynsmail/A 15548-2023 tillsynsbegäran mail.docx", "A 15548-2023")</f>
        <v/>
      </c>
      <c r="Z102">
        <f>HYPERLINK("https://klasma.github.io/Logging_1737/fåglar/A 15548-2023 prioriterade fågelarter.docx", "A 15548-2023")</f>
        <v/>
      </c>
    </row>
    <row r="103" ht="15" customHeight="1">
      <c r="A103" t="inlineStr">
        <is>
          <t>A 37292-2024</t>
        </is>
      </c>
      <c r="B103" s="1" t="n">
        <v>45540</v>
      </c>
      <c r="C103" s="1" t="n">
        <v>45936</v>
      </c>
      <c r="D103" t="inlineStr">
        <is>
          <t>VÄRMLANDS LÄN</t>
        </is>
      </c>
      <c r="E103" t="inlineStr">
        <is>
          <t>TORSBY</t>
        </is>
      </c>
      <c r="G103" t="n">
        <v>5.4</v>
      </c>
      <c r="H103" t="n">
        <v>0</v>
      </c>
      <c r="I103" t="n">
        <v>0</v>
      </c>
      <c r="J103" t="n">
        <v>1</v>
      </c>
      <c r="K103" t="n">
        <v>0</v>
      </c>
      <c r="L103" t="n">
        <v>0</v>
      </c>
      <c r="M103" t="n">
        <v>0</v>
      </c>
      <c r="N103" t="n">
        <v>0</v>
      </c>
      <c r="O103" t="n">
        <v>1</v>
      </c>
      <c r="P103" t="n">
        <v>0</v>
      </c>
      <c r="Q103" t="n">
        <v>1</v>
      </c>
      <c r="R103" s="2" t="inlineStr">
        <is>
          <t>Garnlav</t>
        </is>
      </c>
      <c r="S103">
        <f>HYPERLINK("https://klasma.github.io/Logging_1737/artfynd/A 37292-2024 artfynd.xlsx", "A 37292-2024")</f>
        <v/>
      </c>
      <c r="T103">
        <f>HYPERLINK("https://klasma.github.io/Logging_1737/kartor/A 37292-2024 karta.png", "A 37292-2024")</f>
        <v/>
      </c>
      <c r="V103">
        <f>HYPERLINK("https://klasma.github.io/Logging_1737/klagomål/A 37292-2024 FSC-klagomål.docx", "A 37292-2024")</f>
        <v/>
      </c>
      <c r="W103">
        <f>HYPERLINK("https://klasma.github.io/Logging_1737/klagomålsmail/A 37292-2024 FSC-klagomål mail.docx", "A 37292-2024")</f>
        <v/>
      </c>
      <c r="X103">
        <f>HYPERLINK("https://klasma.github.io/Logging_1737/tillsyn/A 37292-2024 tillsynsbegäran.docx", "A 37292-2024")</f>
        <v/>
      </c>
      <c r="Y103">
        <f>HYPERLINK("https://klasma.github.io/Logging_1737/tillsynsmail/A 37292-2024 tillsynsbegäran mail.docx", "A 37292-2024")</f>
        <v/>
      </c>
    </row>
    <row r="104" ht="15" customHeight="1">
      <c r="A104" t="inlineStr">
        <is>
          <t>A 37327-2025</t>
        </is>
      </c>
      <c r="B104" s="1" t="n">
        <v>45876.64902777778</v>
      </c>
      <c r="C104" s="1" t="n">
        <v>45936</v>
      </c>
      <c r="D104" t="inlineStr">
        <is>
          <t>VÄRMLANDS LÄN</t>
        </is>
      </c>
      <c r="E104" t="inlineStr">
        <is>
          <t>TORSBY</t>
        </is>
      </c>
      <c r="G104" t="n">
        <v>2</v>
      </c>
      <c r="H104" t="n">
        <v>0</v>
      </c>
      <c r="I104" t="n">
        <v>0</v>
      </c>
      <c r="J104" t="n">
        <v>1</v>
      </c>
      <c r="K104" t="n">
        <v>0</v>
      </c>
      <c r="L104" t="n">
        <v>0</v>
      </c>
      <c r="M104" t="n">
        <v>0</v>
      </c>
      <c r="N104" t="n">
        <v>0</v>
      </c>
      <c r="O104" t="n">
        <v>1</v>
      </c>
      <c r="P104" t="n">
        <v>0</v>
      </c>
      <c r="Q104" t="n">
        <v>1</v>
      </c>
      <c r="R104" s="2" t="inlineStr">
        <is>
          <t>Garnlav</t>
        </is>
      </c>
      <c r="S104">
        <f>HYPERLINK("https://klasma.github.io/Logging_1737/artfynd/A 37327-2025 artfynd.xlsx", "A 37327-2025")</f>
        <v/>
      </c>
      <c r="T104">
        <f>HYPERLINK("https://klasma.github.io/Logging_1737/kartor/A 37327-2025 karta.png", "A 37327-2025")</f>
        <v/>
      </c>
      <c r="V104">
        <f>HYPERLINK("https://klasma.github.io/Logging_1737/klagomål/A 37327-2025 FSC-klagomål.docx", "A 37327-2025")</f>
        <v/>
      </c>
      <c r="W104">
        <f>HYPERLINK("https://klasma.github.io/Logging_1737/klagomålsmail/A 37327-2025 FSC-klagomål mail.docx", "A 37327-2025")</f>
        <v/>
      </c>
      <c r="X104">
        <f>HYPERLINK("https://klasma.github.io/Logging_1737/tillsyn/A 37327-2025 tillsynsbegäran.docx", "A 37327-2025")</f>
        <v/>
      </c>
      <c r="Y104">
        <f>HYPERLINK("https://klasma.github.io/Logging_1737/tillsynsmail/A 37327-2025 tillsynsbegäran mail.docx", "A 37327-2025")</f>
        <v/>
      </c>
    </row>
    <row r="105" ht="15" customHeight="1">
      <c r="A105" t="inlineStr">
        <is>
          <t>A 14212-2025</t>
        </is>
      </c>
      <c r="B105" s="1" t="n">
        <v>45740</v>
      </c>
      <c r="C105" s="1" t="n">
        <v>45936</v>
      </c>
      <c r="D105" t="inlineStr">
        <is>
          <t>VÄRMLANDS LÄN</t>
        </is>
      </c>
      <c r="E105" t="inlineStr">
        <is>
          <t>TORSBY</t>
        </is>
      </c>
      <c r="F105" t="inlineStr">
        <is>
          <t>Övriga statliga verk och myndigheter</t>
        </is>
      </c>
      <c r="G105" t="n">
        <v>2</v>
      </c>
      <c r="H105" t="n">
        <v>0</v>
      </c>
      <c r="I105" t="n">
        <v>0</v>
      </c>
      <c r="J105" t="n">
        <v>0</v>
      </c>
      <c r="K105" t="n">
        <v>1</v>
      </c>
      <c r="L105" t="n">
        <v>0</v>
      </c>
      <c r="M105" t="n">
        <v>0</v>
      </c>
      <c r="N105" t="n">
        <v>0</v>
      </c>
      <c r="O105" t="n">
        <v>1</v>
      </c>
      <c r="P105" t="n">
        <v>1</v>
      </c>
      <c r="Q105" t="n">
        <v>1</v>
      </c>
      <c r="R105" s="2" t="inlineStr">
        <is>
          <t>Raggbock</t>
        </is>
      </c>
      <c r="S105">
        <f>HYPERLINK("https://klasma.github.io/Logging_1737/artfynd/A 14212-2025 artfynd.xlsx", "A 14212-2025")</f>
        <v/>
      </c>
      <c r="T105">
        <f>HYPERLINK("https://klasma.github.io/Logging_1737/kartor/A 14212-2025 karta.png", "A 14212-2025")</f>
        <v/>
      </c>
      <c r="V105">
        <f>HYPERLINK("https://klasma.github.io/Logging_1737/klagomål/A 14212-2025 FSC-klagomål.docx", "A 14212-2025")</f>
        <v/>
      </c>
      <c r="W105">
        <f>HYPERLINK("https://klasma.github.io/Logging_1737/klagomålsmail/A 14212-2025 FSC-klagomål mail.docx", "A 14212-2025")</f>
        <v/>
      </c>
      <c r="X105">
        <f>HYPERLINK("https://klasma.github.io/Logging_1737/tillsyn/A 14212-2025 tillsynsbegäran.docx", "A 14212-2025")</f>
        <v/>
      </c>
      <c r="Y105">
        <f>HYPERLINK("https://klasma.github.io/Logging_1737/tillsynsmail/A 14212-2025 tillsynsbegäran mail.docx", "A 14212-2025")</f>
        <v/>
      </c>
    </row>
    <row r="106" ht="15" customHeight="1">
      <c r="A106" t="inlineStr">
        <is>
          <t>A 47689-2024</t>
        </is>
      </c>
      <c r="B106" s="1" t="n">
        <v>45588</v>
      </c>
      <c r="C106" s="1" t="n">
        <v>45936</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37699-2025</t>
        </is>
      </c>
      <c r="B107" s="1" t="n">
        <v>45880</v>
      </c>
      <c r="C107" s="1" t="n">
        <v>45936</v>
      </c>
      <c r="D107" t="inlineStr">
        <is>
          <t>VÄRMLANDS LÄN</t>
        </is>
      </c>
      <c r="E107" t="inlineStr">
        <is>
          <t>TORSBY</t>
        </is>
      </c>
      <c r="G107" t="n">
        <v>1.8</v>
      </c>
      <c r="H107" t="n">
        <v>1</v>
      </c>
      <c r="I107" t="n">
        <v>0</v>
      </c>
      <c r="J107" t="n">
        <v>0</v>
      </c>
      <c r="K107" t="n">
        <v>1</v>
      </c>
      <c r="L107" t="n">
        <v>0</v>
      </c>
      <c r="M107" t="n">
        <v>0</v>
      </c>
      <c r="N107" t="n">
        <v>0</v>
      </c>
      <c r="O107" t="n">
        <v>1</v>
      </c>
      <c r="P107" t="n">
        <v>1</v>
      </c>
      <c r="Q107" t="n">
        <v>1</v>
      </c>
      <c r="R107" s="2" t="inlineStr">
        <is>
          <t>Bombmurkla</t>
        </is>
      </c>
      <c r="S107">
        <f>HYPERLINK("https://klasma.github.io/Logging_1737/artfynd/A 37699-2025 artfynd.xlsx", "A 37699-2025")</f>
        <v/>
      </c>
      <c r="T107">
        <f>HYPERLINK("https://klasma.github.io/Logging_1737/kartor/A 37699-2025 karta.png", "A 37699-2025")</f>
        <v/>
      </c>
      <c r="V107">
        <f>HYPERLINK("https://klasma.github.io/Logging_1737/klagomål/A 37699-2025 FSC-klagomål.docx", "A 37699-2025")</f>
        <v/>
      </c>
      <c r="W107">
        <f>HYPERLINK("https://klasma.github.io/Logging_1737/klagomålsmail/A 37699-2025 FSC-klagomål mail.docx", "A 37699-2025")</f>
        <v/>
      </c>
      <c r="X107">
        <f>HYPERLINK("https://klasma.github.io/Logging_1737/tillsyn/A 37699-2025 tillsynsbegäran.docx", "A 37699-2025")</f>
        <v/>
      </c>
      <c r="Y107">
        <f>HYPERLINK("https://klasma.github.io/Logging_1737/tillsynsmail/A 37699-2025 tillsynsbegäran mail.docx", "A 37699-2025")</f>
        <v/>
      </c>
    </row>
    <row r="108" ht="15" customHeight="1">
      <c r="A108" t="inlineStr">
        <is>
          <t>A 37548-2025</t>
        </is>
      </c>
      <c r="B108" s="1" t="n">
        <v>45879</v>
      </c>
      <c r="C108" s="1" t="n">
        <v>45936</v>
      </c>
      <c r="D108" t="inlineStr">
        <is>
          <t>VÄRMLANDS LÄN</t>
        </is>
      </c>
      <c r="E108" t="inlineStr">
        <is>
          <t>TORSBY</t>
        </is>
      </c>
      <c r="G108" t="n">
        <v>9.5</v>
      </c>
      <c r="H108" t="n">
        <v>1</v>
      </c>
      <c r="I108" t="n">
        <v>0</v>
      </c>
      <c r="J108" t="n">
        <v>1</v>
      </c>
      <c r="K108" t="n">
        <v>0</v>
      </c>
      <c r="L108" t="n">
        <v>0</v>
      </c>
      <c r="M108" t="n">
        <v>0</v>
      </c>
      <c r="N108" t="n">
        <v>0</v>
      </c>
      <c r="O108" t="n">
        <v>1</v>
      </c>
      <c r="P108" t="n">
        <v>0</v>
      </c>
      <c r="Q108" t="n">
        <v>1</v>
      </c>
      <c r="R108" s="2" t="inlineStr">
        <is>
          <t>Talltita</t>
        </is>
      </c>
      <c r="S108">
        <f>HYPERLINK("https://klasma.github.io/Logging_1737/artfynd/A 37548-2025 artfynd.xlsx", "A 37548-2025")</f>
        <v/>
      </c>
      <c r="T108">
        <f>HYPERLINK("https://klasma.github.io/Logging_1737/kartor/A 37548-2025 karta.png", "A 37548-2025")</f>
        <v/>
      </c>
      <c r="V108">
        <f>HYPERLINK("https://klasma.github.io/Logging_1737/klagomål/A 37548-2025 FSC-klagomål.docx", "A 37548-2025")</f>
        <v/>
      </c>
      <c r="W108">
        <f>HYPERLINK("https://klasma.github.io/Logging_1737/klagomålsmail/A 37548-2025 FSC-klagomål mail.docx", "A 37548-2025")</f>
        <v/>
      </c>
      <c r="X108">
        <f>HYPERLINK("https://klasma.github.io/Logging_1737/tillsyn/A 37548-2025 tillsynsbegäran.docx", "A 37548-2025")</f>
        <v/>
      </c>
      <c r="Y108">
        <f>HYPERLINK("https://klasma.github.io/Logging_1737/tillsynsmail/A 37548-2025 tillsynsbegäran mail.docx", "A 37548-2025")</f>
        <v/>
      </c>
      <c r="Z108">
        <f>HYPERLINK("https://klasma.github.io/Logging_1737/fåglar/A 37548-2025 prioriterade fågelarter.docx", "A 37548-2025")</f>
        <v/>
      </c>
    </row>
    <row r="109" ht="15" customHeight="1">
      <c r="A109" t="inlineStr">
        <is>
          <t>A 58014-2024</t>
        </is>
      </c>
      <c r="B109" s="1" t="n">
        <v>45631</v>
      </c>
      <c r="C109" s="1" t="n">
        <v>45936</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44018-2025</t>
        </is>
      </c>
      <c r="B110" s="1" t="n">
        <v>45915</v>
      </c>
      <c r="C110" s="1" t="n">
        <v>45936</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Gammelgransskål</t>
        </is>
      </c>
      <c r="S110">
        <f>HYPERLINK("https://klasma.github.io/Logging_1737/artfynd/A 44018-2025 artfynd.xlsx", "A 44018-2025")</f>
        <v/>
      </c>
      <c r="T110">
        <f>HYPERLINK("https://klasma.github.io/Logging_1737/kartor/A 44018-2025 karta.png", "A 44018-2025")</f>
        <v/>
      </c>
      <c r="V110">
        <f>HYPERLINK("https://klasma.github.io/Logging_1737/klagomål/A 44018-2025 FSC-klagomål.docx", "A 44018-2025")</f>
        <v/>
      </c>
      <c r="W110">
        <f>HYPERLINK("https://klasma.github.io/Logging_1737/klagomålsmail/A 44018-2025 FSC-klagomål mail.docx", "A 44018-2025")</f>
        <v/>
      </c>
      <c r="X110">
        <f>HYPERLINK("https://klasma.github.io/Logging_1737/tillsyn/A 44018-2025 tillsynsbegäran.docx", "A 44018-2025")</f>
        <v/>
      </c>
      <c r="Y110">
        <f>HYPERLINK("https://klasma.github.io/Logging_1737/tillsynsmail/A 44018-2025 tillsynsbegäran mail.docx", "A 44018-2025")</f>
        <v/>
      </c>
    </row>
    <row r="111" ht="15" customHeight="1">
      <c r="A111" t="inlineStr">
        <is>
          <t>A 38015-2025</t>
        </is>
      </c>
      <c r="B111" s="1" t="n">
        <v>45882</v>
      </c>
      <c r="C111" s="1" t="n">
        <v>45936</v>
      </c>
      <c r="D111" t="inlineStr">
        <is>
          <t>VÄRMLANDS LÄN</t>
        </is>
      </c>
      <c r="E111" t="inlineStr">
        <is>
          <t>TORSBY</t>
        </is>
      </c>
      <c r="F111" t="inlineStr">
        <is>
          <t>Bergvik skog väst AB</t>
        </is>
      </c>
      <c r="G111" t="n">
        <v>5</v>
      </c>
      <c r="H111" t="n">
        <v>0</v>
      </c>
      <c r="I111" t="n">
        <v>0</v>
      </c>
      <c r="J111" t="n">
        <v>1</v>
      </c>
      <c r="K111" t="n">
        <v>0</v>
      </c>
      <c r="L111" t="n">
        <v>0</v>
      </c>
      <c r="M111" t="n">
        <v>0</v>
      </c>
      <c r="N111" t="n">
        <v>0</v>
      </c>
      <c r="O111" t="n">
        <v>1</v>
      </c>
      <c r="P111" t="n">
        <v>0</v>
      </c>
      <c r="Q111" t="n">
        <v>1</v>
      </c>
      <c r="R111" s="2" t="inlineStr">
        <is>
          <t>Mörk kolflarnlav</t>
        </is>
      </c>
      <c r="S111">
        <f>HYPERLINK("https://klasma.github.io/Logging_1737/artfynd/A 38015-2025 artfynd.xlsx", "A 38015-2025")</f>
        <v/>
      </c>
      <c r="T111">
        <f>HYPERLINK("https://klasma.github.io/Logging_1737/kartor/A 38015-2025 karta.png", "A 38015-2025")</f>
        <v/>
      </c>
      <c r="V111">
        <f>HYPERLINK("https://klasma.github.io/Logging_1737/klagomål/A 38015-2025 FSC-klagomål.docx", "A 38015-2025")</f>
        <v/>
      </c>
      <c r="W111">
        <f>HYPERLINK("https://klasma.github.io/Logging_1737/klagomålsmail/A 38015-2025 FSC-klagomål mail.docx", "A 38015-2025")</f>
        <v/>
      </c>
      <c r="X111">
        <f>HYPERLINK("https://klasma.github.io/Logging_1737/tillsyn/A 38015-2025 tillsynsbegäran.docx", "A 38015-2025")</f>
        <v/>
      </c>
      <c r="Y111">
        <f>HYPERLINK("https://klasma.github.io/Logging_1737/tillsynsmail/A 38015-2025 tillsynsbegäran mail.docx", "A 38015-2025")</f>
        <v/>
      </c>
    </row>
    <row r="112" ht="15" customHeight="1">
      <c r="A112" t="inlineStr">
        <is>
          <t>A 54982-2021</t>
        </is>
      </c>
      <c r="B112" s="1" t="n">
        <v>44469</v>
      </c>
      <c r="C112" s="1" t="n">
        <v>45936</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45936</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5726-2025</t>
        </is>
      </c>
      <c r="B114" s="1" t="n">
        <v>45694</v>
      </c>
      <c r="C114" s="1" t="n">
        <v>45936</v>
      </c>
      <c r="D114" t="inlineStr">
        <is>
          <t>VÄRMLANDS LÄN</t>
        </is>
      </c>
      <c r="E114" t="inlineStr">
        <is>
          <t>TORSBY</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5726-2025 artfynd.xlsx", "A 5726-2025")</f>
        <v/>
      </c>
      <c r="T114">
        <f>HYPERLINK("https://klasma.github.io/Logging_1737/kartor/A 5726-2025 karta.png", "A 5726-2025")</f>
        <v/>
      </c>
      <c r="V114">
        <f>HYPERLINK("https://klasma.github.io/Logging_1737/klagomål/A 5726-2025 FSC-klagomål.docx", "A 5726-2025")</f>
        <v/>
      </c>
      <c r="W114">
        <f>HYPERLINK("https://klasma.github.io/Logging_1737/klagomålsmail/A 5726-2025 FSC-klagomål mail.docx", "A 5726-2025")</f>
        <v/>
      </c>
      <c r="X114">
        <f>HYPERLINK("https://klasma.github.io/Logging_1737/tillsyn/A 5726-2025 tillsynsbegäran.docx", "A 5726-2025")</f>
        <v/>
      </c>
      <c r="Y114">
        <f>HYPERLINK("https://klasma.github.io/Logging_1737/tillsynsmail/A 5726-2025 tillsynsbegäran mail.docx", "A 5726-2025")</f>
        <v/>
      </c>
    </row>
    <row r="115" ht="15" customHeight="1">
      <c r="A115" t="inlineStr">
        <is>
          <t>A 40033-2024</t>
        </is>
      </c>
      <c r="B115" s="1" t="n">
        <v>45553</v>
      </c>
      <c r="C115" s="1" t="n">
        <v>45936</v>
      </c>
      <c r="D115" t="inlineStr">
        <is>
          <t>VÄRMLANDS LÄN</t>
        </is>
      </c>
      <c r="E115" t="inlineStr">
        <is>
          <t>TORSBY</t>
        </is>
      </c>
      <c r="G115" t="n">
        <v>6.2</v>
      </c>
      <c r="H115" t="n">
        <v>0</v>
      </c>
      <c r="I115" t="n">
        <v>0</v>
      </c>
      <c r="J115" t="n">
        <v>1</v>
      </c>
      <c r="K115" t="n">
        <v>0</v>
      </c>
      <c r="L115" t="n">
        <v>0</v>
      </c>
      <c r="M115" t="n">
        <v>0</v>
      </c>
      <c r="N115" t="n">
        <v>0</v>
      </c>
      <c r="O115" t="n">
        <v>1</v>
      </c>
      <c r="P115" t="n">
        <v>0</v>
      </c>
      <c r="Q115" t="n">
        <v>1</v>
      </c>
      <c r="R115" s="2" t="inlineStr">
        <is>
          <t>Violettgrå tagellav</t>
        </is>
      </c>
      <c r="S115">
        <f>HYPERLINK("https://klasma.github.io/Logging_1737/artfynd/A 40033-2024 artfynd.xlsx", "A 40033-2024")</f>
        <v/>
      </c>
      <c r="T115">
        <f>HYPERLINK("https://klasma.github.io/Logging_1737/kartor/A 40033-2024 karta.png", "A 40033-2024")</f>
        <v/>
      </c>
      <c r="V115">
        <f>HYPERLINK("https://klasma.github.io/Logging_1737/klagomål/A 40033-2024 FSC-klagomål.docx", "A 40033-2024")</f>
        <v/>
      </c>
      <c r="W115">
        <f>HYPERLINK("https://klasma.github.io/Logging_1737/klagomålsmail/A 40033-2024 FSC-klagomål mail.docx", "A 40033-2024")</f>
        <v/>
      </c>
      <c r="X115">
        <f>HYPERLINK("https://klasma.github.io/Logging_1737/tillsyn/A 40033-2024 tillsynsbegäran.docx", "A 40033-2024")</f>
        <v/>
      </c>
      <c r="Y115">
        <f>HYPERLINK("https://klasma.github.io/Logging_1737/tillsynsmail/A 40033-2024 tillsynsbegäran mail.docx", "A 40033-2024")</f>
        <v/>
      </c>
    </row>
    <row r="116" ht="15" customHeight="1">
      <c r="A116" t="inlineStr">
        <is>
          <t>A 39681-2023</t>
        </is>
      </c>
      <c r="B116" s="1" t="n">
        <v>45167</v>
      </c>
      <c r="C116" s="1" t="n">
        <v>45936</v>
      </c>
      <c r="D116" t="inlineStr">
        <is>
          <t>VÄRMLANDS LÄN</t>
        </is>
      </c>
      <c r="E116" t="inlineStr">
        <is>
          <t>TORSBY</t>
        </is>
      </c>
      <c r="G116" t="n">
        <v>5.2</v>
      </c>
      <c r="H116" t="n">
        <v>0</v>
      </c>
      <c r="I116" t="n">
        <v>0</v>
      </c>
      <c r="J116" t="n">
        <v>1</v>
      </c>
      <c r="K116" t="n">
        <v>0</v>
      </c>
      <c r="L116" t="n">
        <v>0</v>
      </c>
      <c r="M116" t="n">
        <v>0</v>
      </c>
      <c r="N116" t="n">
        <v>0</v>
      </c>
      <c r="O116" t="n">
        <v>1</v>
      </c>
      <c r="P116" t="n">
        <v>0</v>
      </c>
      <c r="Q116" t="n">
        <v>1</v>
      </c>
      <c r="R116" s="2" t="inlineStr">
        <is>
          <t>Garnlav</t>
        </is>
      </c>
      <c r="S116">
        <f>HYPERLINK("https://klasma.github.io/Logging_1737/artfynd/A 39681-2023 artfynd.xlsx", "A 39681-2023")</f>
        <v/>
      </c>
      <c r="T116">
        <f>HYPERLINK("https://klasma.github.io/Logging_1737/kartor/A 39681-2023 karta.png", "A 39681-2023")</f>
        <v/>
      </c>
      <c r="V116">
        <f>HYPERLINK("https://klasma.github.io/Logging_1737/klagomål/A 39681-2023 FSC-klagomål.docx", "A 39681-2023")</f>
        <v/>
      </c>
      <c r="W116">
        <f>HYPERLINK("https://klasma.github.io/Logging_1737/klagomålsmail/A 39681-2023 FSC-klagomål mail.docx", "A 39681-2023")</f>
        <v/>
      </c>
      <c r="X116">
        <f>HYPERLINK("https://klasma.github.io/Logging_1737/tillsyn/A 39681-2023 tillsynsbegäran.docx", "A 39681-2023")</f>
        <v/>
      </c>
      <c r="Y116">
        <f>HYPERLINK("https://klasma.github.io/Logging_1737/tillsynsmail/A 39681-2023 tillsynsbegäran mail.docx", "A 39681-2023")</f>
        <v/>
      </c>
    </row>
    <row r="117" ht="15" customHeight="1">
      <c r="A117" t="inlineStr">
        <is>
          <t>A 42500-2022</t>
        </is>
      </c>
      <c r="B117" s="1" t="n">
        <v>44831</v>
      </c>
      <c r="C117" s="1" t="n">
        <v>45936</v>
      </c>
      <c r="D117" t="inlineStr">
        <is>
          <t>VÄRMLANDS LÄN</t>
        </is>
      </c>
      <c r="E117" t="inlineStr">
        <is>
          <t>TORSBY</t>
        </is>
      </c>
      <c r="F117" t="inlineStr">
        <is>
          <t>Kommuner</t>
        </is>
      </c>
      <c r="G117" t="n">
        <v>2.3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42500-2022 artfynd.xlsx", "A 42500-2022")</f>
        <v/>
      </c>
      <c r="T117">
        <f>HYPERLINK("https://klasma.github.io/Logging_1737/kartor/A 42500-2022 karta.png", "A 42500-2022")</f>
        <v/>
      </c>
      <c r="U117">
        <f>HYPERLINK("https://klasma.github.io/Logging_1737/knärot/A 42500-2022 karta knärot.png", "A 42500-2022")</f>
        <v/>
      </c>
      <c r="V117">
        <f>HYPERLINK("https://klasma.github.io/Logging_1737/klagomål/A 42500-2022 FSC-klagomål.docx", "A 42500-2022")</f>
        <v/>
      </c>
      <c r="W117">
        <f>HYPERLINK("https://klasma.github.io/Logging_1737/klagomålsmail/A 42500-2022 FSC-klagomål mail.docx", "A 42500-2022")</f>
        <v/>
      </c>
      <c r="X117">
        <f>HYPERLINK("https://klasma.github.io/Logging_1737/tillsyn/A 42500-2022 tillsynsbegäran.docx", "A 42500-2022")</f>
        <v/>
      </c>
      <c r="Y117">
        <f>HYPERLINK("https://klasma.github.io/Logging_1737/tillsynsmail/A 42500-2022 tillsynsbegäran mail.docx", "A 42500-2022")</f>
        <v/>
      </c>
    </row>
    <row r="118" ht="15" customHeight="1">
      <c r="A118" t="inlineStr">
        <is>
          <t>A 58470-2021</t>
        </is>
      </c>
      <c r="B118" s="1" t="n">
        <v>44488</v>
      </c>
      <c r="C118" s="1" t="n">
        <v>45936</v>
      </c>
      <c r="D118" t="inlineStr">
        <is>
          <t>VÄRMLANDS LÄN</t>
        </is>
      </c>
      <c r="E118" t="inlineStr">
        <is>
          <t>TORSBY</t>
        </is>
      </c>
      <c r="G118" t="n">
        <v>8.699999999999999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58470-2021 artfynd.xlsx", "A 58470-2021")</f>
        <v/>
      </c>
      <c r="T118">
        <f>HYPERLINK("https://klasma.github.io/Logging_1737/kartor/A 58470-2021 karta.png", "A 58470-2021")</f>
        <v/>
      </c>
      <c r="V118">
        <f>HYPERLINK("https://klasma.github.io/Logging_1737/klagomål/A 58470-2021 FSC-klagomål.docx", "A 58470-2021")</f>
        <v/>
      </c>
      <c r="W118">
        <f>HYPERLINK("https://klasma.github.io/Logging_1737/klagomålsmail/A 58470-2021 FSC-klagomål mail.docx", "A 58470-2021")</f>
        <v/>
      </c>
      <c r="X118">
        <f>HYPERLINK("https://klasma.github.io/Logging_1737/tillsyn/A 58470-2021 tillsynsbegäran.docx", "A 58470-2021")</f>
        <v/>
      </c>
      <c r="Y118">
        <f>HYPERLINK("https://klasma.github.io/Logging_1737/tillsynsmail/A 58470-2021 tillsynsbegäran mail.docx", "A 58470-2021")</f>
        <v/>
      </c>
    </row>
    <row r="119" ht="15" customHeight="1">
      <c r="A119" t="inlineStr">
        <is>
          <t>A 41477-2024</t>
        </is>
      </c>
      <c r="B119" s="1" t="n">
        <v>45560</v>
      </c>
      <c r="C119" s="1" t="n">
        <v>45936</v>
      </c>
      <c r="D119" t="inlineStr">
        <is>
          <t>VÄRMLANDS LÄN</t>
        </is>
      </c>
      <c r="E119" t="inlineStr">
        <is>
          <t>TORSBY</t>
        </is>
      </c>
      <c r="G119" t="n">
        <v>6.7</v>
      </c>
      <c r="H119" t="n">
        <v>0</v>
      </c>
      <c r="I119" t="n">
        <v>0</v>
      </c>
      <c r="J119" t="n">
        <v>1</v>
      </c>
      <c r="K119" t="n">
        <v>0</v>
      </c>
      <c r="L119" t="n">
        <v>0</v>
      </c>
      <c r="M119" t="n">
        <v>0</v>
      </c>
      <c r="N119" t="n">
        <v>0</v>
      </c>
      <c r="O119" t="n">
        <v>1</v>
      </c>
      <c r="P119" t="n">
        <v>0</v>
      </c>
      <c r="Q119" t="n">
        <v>1</v>
      </c>
      <c r="R119" s="2" t="inlineStr">
        <is>
          <t>Garnlav</t>
        </is>
      </c>
      <c r="S119">
        <f>HYPERLINK("https://klasma.github.io/Logging_1737/artfynd/A 41477-2024 artfynd.xlsx", "A 41477-2024")</f>
        <v/>
      </c>
      <c r="T119">
        <f>HYPERLINK("https://klasma.github.io/Logging_1737/kartor/A 41477-2024 karta.png", "A 41477-2024")</f>
        <v/>
      </c>
      <c r="V119">
        <f>HYPERLINK("https://klasma.github.io/Logging_1737/klagomål/A 41477-2024 FSC-klagomål.docx", "A 41477-2024")</f>
        <v/>
      </c>
      <c r="W119">
        <f>HYPERLINK("https://klasma.github.io/Logging_1737/klagomålsmail/A 41477-2024 FSC-klagomål mail.docx", "A 41477-2024")</f>
        <v/>
      </c>
      <c r="X119">
        <f>HYPERLINK("https://klasma.github.io/Logging_1737/tillsyn/A 41477-2024 tillsynsbegäran.docx", "A 41477-2024")</f>
        <v/>
      </c>
      <c r="Y119">
        <f>HYPERLINK("https://klasma.github.io/Logging_1737/tillsynsmail/A 41477-2024 tillsynsbegäran mail.docx", "A 41477-2024")</f>
        <v/>
      </c>
    </row>
    <row r="120" ht="15" customHeight="1">
      <c r="A120" t="inlineStr">
        <is>
          <t>A 49724-2023</t>
        </is>
      </c>
      <c r="B120" s="1" t="n">
        <v>45208</v>
      </c>
      <c r="C120" s="1" t="n">
        <v>45936</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16164-2025</t>
        </is>
      </c>
      <c r="B121" s="1" t="n">
        <v>45750</v>
      </c>
      <c r="C121" s="1" t="n">
        <v>45936</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49110-2021</t>
        </is>
      </c>
      <c r="B122" s="1" t="n">
        <v>44453</v>
      </c>
      <c r="C122" s="1" t="n">
        <v>45936</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13359-2023</t>
        </is>
      </c>
      <c r="B123" s="1" t="n">
        <v>45005.46405092593</v>
      </c>
      <c r="C123" s="1" t="n">
        <v>45936</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45936</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46099-2023</t>
        </is>
      </c>
      <c r="B125" s="1" t="n">
        <v>45196</v>
      </c>
      <c r="C125" s="1" t="n">
        <v>45936</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54029-2024</t>
        </is>
      </c>
      <c r="B126" s="1" t="n">
        <v>45616</v>
      </c>
      <c r="C126" s="1" t="n">
        <v>45936</v>
      </c>
      <c r="D126" t="inlineStr">
        <is>
          <t>VÄRMLANDS LÄN</t>
        </is>
      </c>
      <c r="E126" t="inlineStr">
        <is>
          <t>TORSBY</t>
        </is>
      </c>
      <c r="G126" t="n">
        <v>10.2</v>
      </c>
      <c r="H126" t="n">
        <v>0</v>
      </c>
      <c r="I126" t="n">
        <v>1</v>
      </c>
      <c r="J126" t="n">
        <v>0</v>
      </c>
      <c r="K126" t="n">
        <v>0</v>
      </c>
      <c r="L126" t="n">
        <v>0</v>
      </c>
      <c r="M126" t="n">
        <v>0</v>
      </c>
      <c r="N126" t="n">
        <v>0</v>
      </c>
      <c r="O126" t="n">
        <v>0</v>
      </c>
      <c r="P126" t="n">
        <v>0</v>
      </c>
      <c r="Q126" t="n">
        <v>1</v>
      </c>
      <c r="R126" s="2" t="inlineStr">
        <is>
          <t>Vedticka</t>
        </is>
      </c>
      <c r="S126">
        <f>HYPERLINK("https://klasma.github.io/Logging_1737/artfynd/A 54029-2024 artfynd.xlsx", "A 54029-2024")</f>
        <v/>
      </c>
      <c r="T126">
        <f>HYPERLINK("https://klasma.github.io/Logging_1737/kartor/A 54029-2024 karta.png", "A 54029-2024")</f>
        <v/>
      </c>
      <c r="V126">
        <f>HYPERLINK("https://klasma.github.io/Logging_1737/klagomål/A 54029-2024 FSC-klagomål.docx", "A 54029-2024")</f>
        <v/>
      </c>
      <c r="W126">
        <f>HYPERLINK("https://klasma.github.io/Logging_1737/klagomålsmail/A 54029-2024 FSC-klagomål mail.docx", "A 54029-2024")</f>
        <v/>
      </c>
      <c r="X126">
        <f>HYPERLINK("https://klasma.github.io/Logging_1737/tillsyn/A 54029-2024 tillsynsbegäran.docx", "A 54029-2024")</f>
        <v/>
      </c>
      <c r="Y126">
        <f>HYPERLINK("https://klasma.github.io/Logging_1737/tillsynsmail/A 54029-2024 tillsynsbegäran mail.docx", "A 54029-2024")</f>
        <v/>
      </c>
    </row>
    <row r="127" ht="15" customHeight="1">
      <c r="A127" t="inlineStr">
        <is>
          <t>A 1811-2024</t>
        </is>
      </c>
      <c r="B127" s="1" t="n">
        <v>45307</v>
      </c>
      <c r="C127" s="1" t="n">
        <v>45936</v>
      </c>
      <c r="D127" t="inlineStr">
        <is>
          <t>VÄRMLANDS LÄN</t>
        </is>
      </c>
      <c r="E127" t="inlineStr">
        <is>
          <t>TORSBY</t>
        </is>
      </c>
      <c r="G127" t="n">
        <v>12.1</v>
      </c>
      <c r="H127" t="n">
        <v>1</v>
      </c>
      <c r="I127" t="n">
        <v>0</v>
      </c>
      <c r="J127" t="n">
        <v>0</v>
      </c>
      <c r="K127" t="n">
        <v>0</v>
      </c>
      <c r="L127" t="n">
        <v>0</v>
      </c>
      <c r="M127" t="n">
        <v>0</v>
      </c>
      <c r="N127" t="n">
        <v>0</v>
      </c>
      <c r="O127" t="n">
        <v>0</v>
      </c>
      <c r="P127" t="n">
        <v>0</v>
      </c>
      <c r="Q127" t="n">
        <v>1</v>
      </c>
      <c r="R127" s="2" t="inlineStr">
        <is>
          <t>Revlummer</t>
        </is>
      </c>
      <c r="S127">
        <f>HYPERLINK("https://klasma.github.io/Logging_1737/artfynd/A 1811-2024 artfynd.xlsx", "A 1811-2024")</f>
        <v/>
      </c>
      <c r="T127">
        <f>HYPERLINK("https://klasma.github.io/Logging_1737/kartor/A 1811-2024 karta.png", "A 1811-2024")</f>
        <v/>
      </c>
      <c r="V127">
        <f>HYPERLINK("https://klasma.github.io/Logging_1737/klagomål/A 1811-2024 FSC-klagomål.docx", "A 1811-2024")</f>
        <v/>
      </c>
      <c r="W127">
        <f>HYPERLINK("https://klasma.github.io/Logging_1737/klagomålsmail/A 1811-2024 FSC-klagomål mail.docx", "A 1811-2024")</f>
        <v/>
      </c>
      <c r="X127">
        <f>HYPERLINK("https://klasma.github.io/Logging_1737/tillsyn/A 1811-2024 tillsynsbegäran.docx", "A 1811-2024")</f>
        <v/>
      </c>
      <c r="Y127">
        <f>HYPERLINK("https://klasma.github.io/Logging_1737/tillsynsmail/A 1811-2024 tillsynsbegäran mail.docx", "A 1811-2024")</f>
        <v/>
      </c>
    </row>
    <row r="128" ht="15" customHeight="1">
      <c r="A128" t="inlineStr">
        <is>
          <t>A 16572-2022</t>
        </is>
      </c>
      <c r="B128" s="1" t="n">
        <v>44672</v>
      </c>
      <c r="C128" s="1" t="n">
        <v>45936</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50318-2024</t>
        </is>
      </c>
      <c r="B129" s="1" t="n">
        <v>45600</v>
      </c>
      <c r="C129" s="1" t="n">
        <v>45936</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56133-2024</t>
        </is>
      </c>
      <c r="B130" s="1" t="n">
        <v>45624</v>
      </c>
      <c r="C130" s="1" t="n">
        <v>45936</v>
      </c>
      <c r="D130" t="inlineStr">
        <is>
          <t>VÄRMLANDS LÄN</t>
        </is>
      </c>
      <c r="E130" t="inlineStr">
        <is>
          <t>TORSBY</t>
        </is>
      </c>
      <c r="G130" t="n">
        <v>2.4</v>
      </c>
      <c r="H130" t="n">
        <v>0</v>
      </c>
      <c r="I130" t="n">
        <v>1</v>
      </c>
      <c r="J130" t="n">
        <v>0</v>
      </c>
      <c r="K130" t="n">
        <v>0</v>
      </c>
      <c r="L130" t="n">
        <v>0</v>
      </c>
      <c r="M130" t="n">
        <v>0</v>
      </c>
      <c r="N130" t="n">
        <v>0</v>
      </c>
      <c r="O130" t="n">
        <v>0</v>
      </c>
      <c r="P130" t="n">
        <v>0</v>
      </c>
      <c r="Q130" t="n">
        <v>1</v>
      </c>
      <c r="R130" s="2" t="inlineStr">
        <is>
          <t>Vedticka</t>
        </is>
      </c>
      <c r="S130">
        <f>HYPERLINK("https://klasma.github.io/Logging_1737/artfynd/A 56133-2024 artfynd.xlsx", "A 56133-2024")</f>
        <v/>
      </c>
      <c r="T130">
        <f>HYPERLINK("https://klasma.github.io/Logging_1737/kartor/A 56133-2024 karta.png", "A 56133-2024")</f>
        <v/>
      </c>
      <c r="V130">
        <f>HYPERLINK("https://klasma.github.io/Logging_1737/klagomål/A 56133-2024 FSC-klagomål.docx", "A 56133-2024")</f>
        <v/>
      </c>
      <c r="W130">
        <f>HYPERLINK("https://klasma.github.io/Logging_1737/klagomålsmail/A 56133-2024 FSC-klagomål mail.docx", "A 56133-2024")</f>
        <v/>
      </c>
      <c r="X130">
        <f>HYPERLINK("https://klasma.github.io/Logging_1737/tillsyn/A 56133-2024 tillsynsbegäran.docx", "A 56133-2024")</f>
        <v/>
      </c>
      <c r="Y130">
        <f>HYPERLINK("https://klasma.github.io/Logging_1737/tillsynsmail/A 56133-2024 tillsynsbegäran mail.docx", "A 56133-2024")</f>
        <v/>
      </c>
    </row>
    <row r="131" ht="15" customHeight="1">
      <c r="A131" t="inlineStr">
        <is>
          <t>A 25217-2025</t>
        </is>
      </c>
      <c r="B131" s="1" t="n">
        <v>45800.4756712963</v>
      </c>
      <c r="C131" s="1" t="n">
        <v>45936</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54009-2024</t>
        </is>
      </c>
      <c r="B132" s="1" t="n">
        <v>45616</v>
      </c>
      <c r="C132" s="1" t="n">
        <v>45936</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25802-2025</t>
        </is>
      </c>
      <c r="B133" s="1" t="n">
        <v>45804.40766203704</v>
      </c>
      <c r="C133" s="1" t="n">
        <v>45936</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Tallticka</t>
        </is>
      </c>
      <c r="S133">
        <f>HYPERLINK("https://klasma.github.io/Logging_1737/artfynd/A 25802-2025 artfynd.xlsx", "A 25802-2025")</f>
        <v/>
      </c>
      <c r="T133">
        <f>HYPERLINK("https://klasma.github.io/Logging_1737/kartor/A 25802-2025 karta.png", "A 25802-2025")</f>
        <v/>
      </c>
      <c r="V133">
        <f>HYPERLINK("https://klasma.github.io/Logging_1737/klagomål/A 25802-2025 FSC-klagomål.docx", "A 25802-2025")</f>
        <v/>
      </c>
      <c r="W133">
        <f>HYPERLINK("https://klasma.github.io/Logging_1737/klagomålsmail/A 25802-2025 FSC-klagomål mail.docx", "A 25802-2025")</f>
        <v/>
      </c>
      <c r="X133">
        <f>HYPERLINK("https://klasma.github.io/Logging_1737/tillsyn/A 25802-2025 tillsynsbegäran.docx", "A 25802-2025")</f>
        <v/>
      </c>
      <c r="Y133">
        <f>HYPERLINK("https://klasma.github.io/Logging_1737/tillsynsmail/A 25802-2025 tillsynsbegäran mail.docx", "A 25802-2025")</f>
        <v/>
      </c>
    </row>
    <row r="134" ht="15" customHeight="1">
      <c r="A134" t="inlineStr">
        <is>
          <t>A 27108-2025</t>
        </is>
      </c>
      <c r="B134" s="1" t="n">
        <v>45811.72777777778</v>
      </c>
      <c r="C134" s="1" t="n">
        <v>45936</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40934-2024</t>
        </is>
      </c>
      <c r="B135" s="1" t="n">
        <v>45558</v>
      </c>
      <c r="C135" s="1" t="n">
        <v>45936</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51288-2022</t>
        </is>
      </c>
      <c r="B136" s="1" t="n">
        <v>44868</v>
      </c>
      <c r="C136" s="1" t="n">
        <v>45936</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27301-2025</t>
        </is>
      </c>
      <c r="B137" s="1" t="n">
        <v>45812.57186342592</v>
      </c>
      <c r="C137" s="1" t="n">
        <v>45936</v>
      </c>
      <c r="D137" t="inlineStr">
        <is>
          <t>VÄRMLANDS LÄN</t>
        </is>
      </c>
      <c r="E137" t="inlineStr">
        <is>
          <t>TORSBY</t>
        </is>
      </c>
      <c r="G137" t="n">
        <v>2.7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27301-2025 artfynd.xlsx", "A 27301-2025")</f>
        <v/>
      </c>
      <c r="T137">
        <f>HYPERLINK("https://klasma.github.io/Logging_1737/kartor/A 27301-2025 karta.png", "A 27301-2025")</f>
        <v/>
      </c>
      <c r="V137">
        <f>HYPERLINK("https://klasma.github.io/Logging_1737/klagomål/A 27301-2025 FSC-klagomål.docx", "A 27301-2025")</f>
        <v/>
      </c>
      <c r="W137">
        <f>HYPERLINK("https://klasma.github.io/Logging_1737/klagomålsmail/A 27301-2025 FSC-klagomål mail.docx", "A 27301-2025")</f>
        <v/>
      </c>
      <c r="X137">
        <f>HYPERLINK("https://klasma.github.io/Logging_1737/tillsyn/A 27301-2025 tillsynsbegäran.docx", "A 27301-2025")</f>
        <v/>
      </c>
      <c r="Y137">
        <f>HYPERLINK("https://klasma.github.io/Logging_1737/tillsynsmail/A 27301-2025 tillsynsbegäran mail.docx", "A 27301-2025")</f>
        <v/>
      </c>
    </row>
    <row r="138" ht="15" customHeight="1">
      <c r="A138" t="inlineStr">
        <is>
          <t>A 24042-2021</t>
        </is>
      </c>
      <c r="B138" s="1" t="n">
        <v>44336</v>
      </c>
      <c r="C138" s="1" t="n">
        <v>45936</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29756-2025</t>
        </is>
      </c>
      <c r="B139" s="1" t="n">
        <v>45825.61525462963</v>
      </c>
      <c r="C139" s="1" t="n">
        <v>45936</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8747-2021</t>
        </is>
      </c>
      <c r="B140" s="1" t="n">
        <v>44246</v>
      </c>
      <c r="C140" s="1" t="n">
        <v>45936</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32328-2025</t>
        </is>
      </c>
      <c r="B141" s="1" t="n">
        <v>45836.46289351852</v>
      </c>
      <c r="C141" s="1" t="n">
        <v>45936</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50236-2022</t>
        </is>
      </c>
      <c r="B142" s="1" t="n">
        <v>44865</v>
      </c>
      <c r="C142" s="1" t="n">
        <v>45936</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25276-2025</t>
        </is>
      </c>
      <c r="B143" s="1" t="n">
        <v>45800</v>
      </c>
      <c r="C143" s="1" t="n">
        <v>45936</v>
      </c>
      <c r="D143" t="inlineStr">
        <is>
          <t>VÄRMLANDS LÄN</t>
        </is>
      </c>
      <c r="E143" t="inlineStr">
        <is>
          <t>TORSBY</t>
        </is>
      </c>
      <c r="G143" t="n">
        <v>27.6</v>
      </c>
      <c r="H143" t="n">
        <v>0</v>
      </c>
      <c r="I143" t="n">
        <v>0</v>
      </c>
      <c r="J143" t="n">
        <v>1</v>
      </c>
      <c r="K143" t="n">
        <v>0</v>
      </c>
      <c r="L143" t="n">
        <v>0</v>
      </c>
      <c r="M143" t="n">
        <v>0</v>
      </c>
      <c r="N143" t="n">
        <v>0</v>
      </c>
      <c r="O143" t="n">
        <v>1</v>
      </c>
      <c r="P143" t="n">
        <v>0</v>
      </c>
      <c r="Q143" t="n">
        <v>1</v>
      </c>
      <c r="R143" s="2" t="inlineStr">
        <is>
          <t>Lunglav</t>
        </is>
      </c>
      <c r="S143">
        <f>HYPERLINK("https://klasma.github.io/Logging_1737/artfynd/A 25276-2025 artfynd.xlsx", "A 25276-2025")</f>
        <v/>
      </c>
      <c r="T143">
        <f>HYPERLINK("https://klasma.github.io/Logging_1737/kartor/A 25276-2025 karta.png", "A 25276-2025")</f>
        <v/>
      </c>
      <c r="V143">
        <f>HYPERLINK("https://klasma.github.io/Logging_1737/klagomål/A 25276-2025 FSC-klagomål.docx", "A 25276-2025")</f>
        <v/>
      </c>
      <c r="W143">
        <f>HYPERLINK("https://klasma.github.io/Logging_1737/klagomålsmail/A 25276-2025 FSC-klagomål mail.docx", "A 25276-2025")</f>
        <v/>
      </c>
      <c r="X143">
        <f>HYPERLINK("https://klasma.github.io/Logging_1737/tillsyn/A 25276-2025 tillsynsbegäran.docx", "A 25276-2025")</f>
        <v/>
      </c>
      <c r="Y143">
        <f>HYPERLINK("https://klasma.github.io/Logging_1737/tillsynsmail/A 25276-2025 tillsynsbegäran mail.docx", "A 25276-2025")</f>
        <v/>
      </c>
    </row>
    <row r="144" ht="15" customHeight="1">
      <c r="A144" t="inlineStr">
        <is>
          <t>A 1526-2021</t>
        </is>
      </c>
      <c r="B144" s="1" t="n">
        <v>44209</v>
      </c>
      <c r="C144" s="1" t="n">
        <v>45936</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45936</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45936</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45936</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45936</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45936</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45936</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45936</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45936</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45936</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45936</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45936</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45936</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45936</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45936</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45936</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45936</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45936</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45936</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45936</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45936</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45936</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45936</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45936</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45936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45936</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45936</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45936</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45936</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45936</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45936</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45936</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45936</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45936</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45936</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45936</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45936</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45936</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45936</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45936</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45936</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45936</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45936</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45936</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45936</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45936</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45936</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45936</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45936</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45936</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45936</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45936</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45936</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45936</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45936</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45936</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45936</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45936</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45936</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45936</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45936</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45936</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45936</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45936</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45936</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45936</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45936</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45936</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45936</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45936</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45936</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45936</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45936</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45936</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45936</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45936</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45936</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45936</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50092-2020</t>
        </is>
      </c>
      <c r="B224" s="1" t="n">
        <v>44109</v>
      </c>
      <c r="C224" s="1" t="n">
        <v>45936</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51385-2020</t>
        </is>
      </c>
      <c r="B225" s="1" t="n">
        <v>44113</v>
      </c>
      <c r="C225" s="1" t="n">
        <v>45936</v>
      </c>
      <c r="D225" t="inlineStr">
        <is>
          <t>VÄRMLANDS LÄN</t>
        </is>
      </c>
      <c r="E225" t="inlineStr">
        <is>
          <t>TORSBY</t>
        </is>
      </c>
      <c r="G225" t="n">
        <v>6.8</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45936</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45666-2022</t>
        </is>
      </c>
      <c r="B227" s="1" t="n">
        <v>44845</v>
      </c>
      <c r="C227" s="1" t="n">
        <v>45936</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45936</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50988-2021</t>
        </is>
      </c>
      <c r="B229" s="1" t="n">
        <v>44460</v>
      </c>
      <c r="C229" s="1" t="n">
        <v>45936</v>
      </c>
      <c r="D229" t="inlineStr">
        <is>
          <t>VÄRMLANDS LÄN</t>
        </is>
      </c>
      <c r="E229" t="inlineStr">
        <is>
          <t>TORSBY</t>
        </is>
      </c>
      <c r="G229" t="n">
        <v>14.3</v>
      </c>
      <c r="H229" t="n">
        <v>0</v>
      </c>
      <c r="I229" t="n">
        <v>0</v>
      </c>
      <c r="J229" t="n">
        <v>0</v>
      </c>
      <c r="K229" t="n">
        <v>0</v>
      </c>
      <c r="L229" t="n">
        <v>0</v>
      </c>
      <c r="M229" t="n">
        <v>0</v>
      </c>
      <c r="N229" t="n">
        <v>0</v>
      </c>
      <c r="O229" t="n">
        <v>0</v>
      </c>
      <c r="P229" t="n">
        <v>0</v>
      </c>
      <c r="Q229" t="n">
        <v>0</v>
      </c>
      <c r="R229" s="2" t="inlineStr"/>
    </row>
    <row r="230" ht="15" customHeight="1">
      <c r="A230" t="inlineStr">
        <is>
          <t>A 51383-2020</t>
        </is>
      </c>
      <c r="B230" s="1" t="n">
        <v>44113</v>
      </c>
      <c r="C230" s="1" t="n">
        <v>45936</v>
      </c>
      <c r="D230" t="inlineStr">
        <is>
          <t>VÄRMLANDS LÄN</t>
        </is>
      </c>
      <c r="E230" t="inlineStr">
        <is>
          <t>TORSBY</t>
        </is>
      </c>
      <c r="G230" t="n">
        <v>3.8</v>
      </c>
      <c r="H230" t="n">
        <v>0</v>
      </c>
      <c r="I230" t="n">
        <v>0</v>
      </c>
      <c r="J230" t="n">
        <v>0</v>
      </c>
      <c r="K230" t="n">
        <v>0</v>
      </c>
      <c r="L230" t="n">
        <v>0</v>
      </c>
      <c r="M230" t="n">
        <v>0</v>
      </c>
      <c r="N230" t="n">
        <v>0</v>
      </c>
      <c r="O230" t="n">
        <v>0</v>
      </c>
      <c r="P230" t="n">
        <v>0</v>
      </c>
      <c r="Q230" t="n">
        <v>0</v>
      </c>
      <c r="R230" s="2" t="inlineStr"/>
    </row>
    <row r="231" ht="15" customHeight="1">
      <c r="A231" t="inlineStr">
        <is>
          <t>A 3369-2022</t>
        </is>
      </c>
      <c r="B231" s="1" t="n">
        <v>44585</v>
      </c>
      <c r="C231" s="1" t="n">
        <v>45936</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45936</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53906-2022</t>
        </is>
      </c>
      <c r="B233" s="1" t="n">
        <v>44880</v>
      </c>
      <c r="C233" s="1" t="n">
        <v>45936</v>
      </c>
      <c r="D233" t="inlineStr">
        <is>
          <t>VÄRMLANDS LÄN</t>
        </is>
      </c>
      <c r="E233" t="inlineStr">
        <is>
          <t>TORSBY</t>
        </is>
      </c>
      <c r="F233" t="inlineStr">
        <is>
          <t>Bergvik skog väst AB</t>
        </is>
      </c>
      <c r="G233" t="n">
        <v>5</v>
      </c>
      <c r="H233" t="n">
        <v>0</v>
      </c>
      <c r="I233" t="n">
        <v>0</v>
      </c>
      <c r="J233" t="n">
        <v>0</v>
      </c>
      <c r="K233" t="n">
        <v>0</v>
      </c>
      <c r="L233" t="n">
        <v>0</v>
      </c>
      <c r="M233" t="n">
        <v>0</v>
      </c>
      <c r="N233" t="n">
        <v>0</v>
      </c>
      <c r="O233" t="n">
        <v>0</v>
      </c>
      <c r="P233" t="n">
        <v>0</v>
      </c>
      <c r="Q233" t="n">
        <v>0</v>
      </c>
      <c r="R233" s="2" t="inlineStr"/>
    </row>
    <row r="234" ht="15" customHeight="1">
      <c r="A234" t="inlineStr">
        <is>
          <t>A 66080-2021</t>
        </is>
      </c>
      <c r="B234" s="1" t="n">
        <v>44517.66700231482</v>
      </c>
      <c r="C234" s="1" t="n">
        <v>45936</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28955-2022</t>
        </is>
      </c>
      <c r="B235" s="1" t="n">
        <v>44749.61657407408</v>
      </c>
      <c r="C235" s="1" t="n">
        <v>45936</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69275-2021</t>
        </is>
      </c>
      <c r="B236" s="1" t="n">
        <v>44526</v>
      </c>
      <c r="C236" s="1" t="n">
        <v>45936</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27932-2021</t>
        </is>
      </c>
      <c r="B237" s="1" t="n">
        <v>44354</v>
      </c>
      <c r="C237" s="1" t="n">
        <v>45936</v>
      </c>
      <c r="D237" t="inlineStr">
        <is>
          <t>VÄRMLANDS LÄN</t>
        </is>
      </c>
      <c r="E237" t="inlineStr">
        <is>
          <t>TORSBY</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4711-2021</t>
        </is>
      </c>
      <c r="B238" s="1" t="n">
        <v>44225</v>
      </c>
      <c r="C238" s="1" t="n">
        <v>45936</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68220-2020</t>
        </is>
      </c>
      <c r="B239" s="1" t="n">
        <v>44183</v>
      </c>
      <c r="C239" s="1" t="n">
        <v>45936</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65678-2020</t>
        </is>
      </c>
      <c r="B240" s="1" t="n">
        <v>44172</v>
      </c>
      <c r="C240" s="1" t="n">
        <v>45936</v>
      </c>
      <c r="D240" t="inlineStr">
        <is>
          <t>VÄRMLANDS LÄN</t>
        </is>
      </c>
      <c r="E240" t="inlineStr">
        <is>
          <t>TORSBY</t>
        </is>
      </c>
      <c r="G240" t="n">
        <v>3.5</v>
      </c>
      <c r="H240" t="n">
        <v>0</v>
      </c>
      <c r="I240" t="n">
        <v>0</v>
      </c>
      <c r="J240" t="n">
        <v>0</v>
      </c>
      <c r="K240" t="n">
        <v>0</v>
      </c>
      <c r="L240" t="n">
        <v>0</v>
      </c>
      <c r="M240" t="n">
        <v>0</v>
      </c>
      <c r="N240" t="n">
        <v>0</v>
      </c>
      <c r="O240" t="n">
        <v>0</v>
      </c>
      <c r="P240" t="n">
        <v>0</v>
      </c>
      <c r="Q240" t="n">
        <v>0</v>
      </c>
      <c r="R240" s="2" t="inlineStr"/>
    </row>
    <row r="241" ht="15" customHeight="1">
      <c r="A241" t="inlineStr">
        <is>
          <t>A 31511-2021</t>
        </is>
      </c>
      <c r="B241" s="1" t="n">
        <v>44369.45956018518</v>
      </c>
      <c r="C241" s="1" t="n">
        <v>45936</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58599-2020</t>
        </is>
      </c>
      <c r="B242" s="1" t="n">
        <v>44145.65825231482</v>
      </c>
      <c r="C242" s="1" t="n">
        <v>45936</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45936</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45936</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28940-2021</t>
        </is>
      </c>
      <c r="B245" s="1" t="n">
        <v>44358</v>
      </c>
      <c r="C245" s="1" t="n">
        <v>45936</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41678-2021</t>
        </is>
      </c>
      <c r="B246" s="1" t="n">
        <v>44425</v>
      </c>
      <c r="C246" s="1" t="n">
        <v>45936</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10118-2021</t>
        </is>
      </c>
      <c r="B247" s="1" t="n">
        <v>44256</v>
      </c>
      <c r="C247" s="1" t="n">
        <v>45936</v>
      </c>
      <c r="D247" t="inlineStr">
        <is>
          <t>VÄRMLANDS LÄN</t>
        </is>
      </c>
      <c r="E247" t="inlineStr">
        <is>
          <t>TORSBY</t>
        </is>
      </c>
      <c r="G247" t="n">
        <v>12.5</v>
      </c>
      <c r="H247" t="n">
        <v>0</v>
      </c>
      <c r="I247" t="n">
        <v>0</v>
      </c>
      <c r="J247" t="n">
        <v>0</v>
      </c>
      <c r="K247" t="n">
        <v>0</v>
      </c>
      <c r="L247" t="n">
        <v>0</v>
      </c>
      <c r="M247" t="n">
        <v>0</v>
      </c>
      <c r="N247" t="n">
        <v>0</v>
      </c>
      <c r="O247" t="n">
        <v>0</v>
      </c>
      <c r="P247" t="n">
        <v>0</v>
      </c>
      <c r="Q247" t="n">
        <v>0</v>
      </c>
      <c r="R247" s="2" t="inlineStr"/>
    </row>
    <row r="248" ht="15" customHeight="1">
      <c r="A248" t="inlineStr">
        <is>
          <t>A 13857-2021</t>
        </is>
      </c>
      <c r="B248" s="1" t="n">
        <v>44277</v>
      </c>
      <c r="C248" s="1" t="n">
        <v>45936</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54811-2022</t>
        </is>
      </c>
      <c r="B249" s="1" t="n">
        <v>44883.7496875</v>
      </c>
      <c r="C249" s="1" t="n">
        <v>45936</v>
      </c>
      <c r="D249" t="inlineStr">
        <is>
          <t>VÄRMLANDS LÄN</t>
        </is>
      </c>
      <c r="E249" t="inlineStr">
        <is>
          <t>TORSBY</t>
        </is>
      </c>
      <c r="G249" t="n">
        <v>2.5</v>
      </c>
      <c r="H249" t="n">
        <v>0</v>
      </c>
      <c r="I249" t="n">
        <v>0</v>
      </c>
      <c r="J249" t="n">
        <v>0</v>
      </c>
      <c r="K249" t="n">
        <v>0</v>
      </c>
      <c r="L249" t="n">
        <v>0</v>
      </c>
      <c r="M249" t="n">
        <v>0</v>
      </c>
      <c r="N249" t="n">
        <v>0</v>
      </c>
      <c r="O249" t="n">
        <v>0</v>
      </c>
      <c r="P249" t="n">
        <v>0</v>
      </c>
      <c r="Q249" t="n">
        <v>0</v>
      </c>
      <c r="R249" s="2" t="inlineStr"/>
    </row>
    <row r="250" ht="15" customHeight="1">
      <c r="A250" t="inlineStr">
        <is>
          <t>A 18174-2021</t>
        </is>
      </c>
      <c r="B250" s="1" t="n">
        <v>44302.63314814815</v>
      </c>
      <c r="C250" s="1" t="n">
        <v>45936</v>
      </c>
      <c r="D250" t="inlineStr">
        <is>
          <t>VÄRMLANDS LÄN</t>
        </is>
      </c>
      <c r="E250" t="inlineStr">
        <is>
          <t>TORSBY</t>
        </is>
      </c>
      <c r="G250" t="n">
        <v>4.5</v>
      </c>
      <c r="H250" t="n">
        <v>0</v>
      </c>
      <c r="I250" t="n">
        <v>0</v>
      </c>
      <c r="J250" t="n">
        <v>0</v>
      </c>
      <c r="K250" t="n">
        <v>0</v>
      </c>
      <c r="L250" t="n">
        <v>0</v>
      </c>
      <c r="M250" t="n">
        <v>0</v>
      </c>
      <c r="N250" t="n">
        <v>0</v>
      </c>
      <c r="O250" t="n">
        <v>0</v>
      </c>
      <c r="P250" t="n">
        <v>0</v>
      </c>
      <c r="Q250" t="n">
        <v>0</v>
      </c>
      <c r="R250" s="2" t="inlineStr"/>
    </row>
    <row r="251" ht="15" customHeight="1">
      <c r="A251" t="inlineStr">
        <is>
          <t>A 44923-2021</t>
        </is>
      </c>
      <c r="B251" s="1" t="n">
        <v>44438.6662037037</v>
      </c>
      <c r="C251" s="1" t="n">
        <v>45936</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10778-2021</t>
        </is>
      </c>
      <c r="B252" s="1" t="n">
        <v>44259</v>
      </c>
      <c r="C252" s="1" t="n">
        <v>45936</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68238-2020</t>
        </is>
      </c>
      <c r="B253" s="1" t="n">
        <v>44183</v>
      </c>
      <c r="C253" s="1" t="n">
        <v>45936</v>
      </c>
      <c r="D253" t="inlineStr">
        <is>
          <t>VÄRMLANDS LÄN</t>
        </is>
      </c>
      <c r="E253" t="inlineStr">
        <is>
          <t>TORSBY</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5105-2021</t>
        </is>
      </c>
      <c r="B254" s="1" t="n">
        <v>44228</v>
      </c>
      <c r="C254" s="1" t="n">
        <v>45936</v>
      </c>
      <c r="D254" t="inlineStr">
        <is>
          <t>VÄRMLANDS LÄN</t>
        </is>
      </c>
      <c r="E254" t="inlineStr">
        <is>
          <t>TORSBY</t>
        </is>
      </c>
      <c r="G254" t="n">
        <v>5.6</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45936</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45936</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45936</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33959-2022</t>
        </is>
      </c>
      <c r="B258" s="1" t="n">
        <v>44790.6815625</v>
      </c>
      <c r="C258" s="1" t="n">
        <v>45936</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11922-2022</t>
        </is>
      </c>
      <c r="B259" s="1" t="n">
        <v>44635</v>
      </c>
      <c r="C259" s="1" t="n">
        <v>45936</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51510-2021</t>
        </is>
      </c>
      <c r="B260" s="1" t="n">
        <v>44460</v>
      </c>
      <c r="C260" s="1" t="n">
        <v>45936</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45936</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65827-2020</t>
        </is>
      </c>
      <c r="B262" s="1" t="n">
        <v>44173</v>
      </c>
      <c r="C262" s="1" t="n">
        <v>45936</v>
      </c>
      <c r="D262" t="inlineStr">
        <is>
          <t>VÄRMLANDS LÄN</t>
        </is>
      </c>
      <c r="E262" t="inlineStr">
        <is>
          <t>TORSBY</t>
        </is>
      </c>
      <c r="G262" t="n">
        <v>6.7</v>
      </c>
      <c r="H262" t="n">
        <v>0</v>
      </c>
      <c r="I262" t="n">
        <v>0</v>
      </c>
      <c r="J262" t="n">
        <v>0</v>
      </c>
      <c r="K262" t="n">
        <v>0</v>
      </c>
      <c r="L262" t="n">
        <v>0</v>
      </c>
      <c r="M262" t="n">
        <v>0</v>
      </c>
      <c r="N262" t="n">
        <v>0</v>
      </c>
      <c r="O262" t="n">
        <v>0</v>
      </c>
      <c r="P262" t="n">
        <v>0</v>
      </c>
      <c r="Q262" t="n">
        <v>0</v>
      </c>
      <c r="R262" s="2" t="inlineStr"/>
    </row>
    <row r="263" ht="15" customHeight="1">
      <c r="A263" t="inlineStr">
        <is>
          <t>A 31494-2021</t>
        </is>
      </c>
      <c r="B263" s="1" t="n">
        <v>44369</v>
      </c>
      <c r="C263" s="1" t="n">
        <v>45936</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17249-2021</t>
        </is>
      </c>
      <c r="B264" s="1" t="n">
        <v>44298</v>
      </c>
      <c r="C264" s="1" t="n">
        <v>45936</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28172-2022</t>
        </is>
      </c>
      <c r="B265" s="1" t="n">
        <v>44746</v>
      </c>
      <c r="C265" s="1" t="n">
        <v>45936</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45936</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45936</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44018-2021</t>
        </is>
      </c>
      <c r="B268" s="1" t="n">
        <v>44434</v>
      </c>
      <c r="C268" s="1" t="n">
        <v>45936</v>
      </c>
      <c r="D268" t="inlineStr">
        <is>
          <t>VÄRMLANDS LÄN</t>
        </is>
      </c>
      <c r="E268" t="inlineStr">
        <is>
          <t>TORSBY</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34626-2021</t>
        </is>
      </c>
      <c r="B269" s="1" t="n">
        <v>44382</v>
      </c>
      <c r="C269" s="1" t="n">
        <v>45936</v>
      </c>
      <c r="D269" t="inlineStr">
        <is>
          <t>VÄRMLANDS LÄN</t>
        </is>
      </c>
      <c r="E269" t="inlineStr">
        <is>
          <t>TORSBY</t>
        </is>
      </c>
      <c r="G269" t="n">
        <v>2.1</v>
      </c>
      <c r="H269" t="n">
        <v>0</v>
      </c>
      <c r="I269" t="n">
        <v>0</v>
      </c>
      <c r="J269" t="n">
        <v>0</v>
      </c>
      <c r="K269" t="n">
        <v>0</v>
      </c>
      <c r="L269" t="n">
        <v>0</v>
      </c>
      <c r="M269" t="n">
        <v>0</v>
      </c>
      <c r="N269" t="n">
        <v>0</v>
      </c>
      <c r="O269" t="n">
        <v>0</v>
      </c>
      <c r="P269" t="n">
        <v>0</v>
      </c>
      <c r="Q269" t="n">
        <v>0</v>
      </c>
      <c r="R269" s="2" t="inlineStr"/>
    </row>
    <row r="270" ht="15" customHeight="1">
      <c r="A270" t="inlineStr">
        <is>
          <t>A 34885-2021</t>
        </is>
      </c>
      <c r="B270" s="1" t="n">
        <v>44383</v>
      </c>
      <c r="C270" s="1" t="n">
        <v>45936</v>
      </c>
      <c r="D270" t="inlineStr">
        <is>
          <t>VÄRMLANDS LÄN</t>
        </is>
      </c>
      <c r="E270" t="inlineStr">
        <is>
          <t>TORSBY</t>
        </is>
      </c>
      <c r="G270" t="n">
        <v>8.9</v>
      </c>
      <c r="H270" t="n">
        <v>0</v>
      </c>
      <c r="I270" t="n">
        <v>0</v>
      </c>
      <c r="J270" t="n">
        <v>0</v>
      </c>
      <c r="K270" t="n">
        <v>0</v>
      </c>
      <c r="L270" t="n">
        <v>0</v>
      </c>
      <c r="M270" t="n">
        <v>0</v>
      </c>
      <c r="N270" t="n">
        <v>0</v>
      </c>
      <c r="O270" t="n">
        <v>0</v>
      </c>
      <c r="P270" t="n">
        <v>0</v>
      </c>
      <c r="Q270" t="n">
        <v>0</v>
      </c>
      <c r="R270" s="2" t="inlineStr"/>
    </row>
    <row r="271" ht="15" customHeight="1">
      <c r="A271" t="inlineStr">
        <is>
          <t>A 65959-2021</t>
        </is>
      </c>
      <c r="B271" s="1" t="n">
        <v>44517</v>
      </c>
      <c r="C271" s="1" t="n">
        <v>45936</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45936</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69265-2021</t>
        </is>
      </c>
      <c r="B273" s="1" t="n">
        <v>44526</v>
      </c>
      <c r="C273" s="1" t="n">
        <v>45936</v>
      </c>
      <c r="D273" t="inlineStr">
        <is>
          <t>VÄRMLANDS LÄN</t>
        </is>
      </c>
      <c r="E273" t="inlineStr">
        <is>
          <t>TORSBY</t>
        </is>
      </c>
      <c r="G273" t="n">
        <v>11.1</v>
      </c>
      <c r="H273" t="n">
        <v>0</v>
      </c>
      <c r="I273" t="n">
        <v>0</v>
      </c>
      <c r="J273" t="n">
        <v>0</v>
      </c>
      <c r="K273" t="n">
        <v>0</v>
      </c>
      <c r="L273" t="n">
        <v>0</v>
      </c>
      <c r="M273" t="n">
        <v>0</v>
      </c>
      <c r="N273" t="n">
        <v>0</v>
      </c>
      <c r="O273" t="n">
        <v>0</v>
      </c>
      <c r="P273" t="n">
        <v>0</v>
      </c>
      <c r="Q273" t="n">
        <v>0</v>
      </c>
      <c r="R273" s="2" t="inlineStr"/>
    </row>
    <row r="274" ht="15" customHeight="1">
      <c r="A274" t="inlineStr">
        <is>
          <t>A 62576-2021</t>
        </is>
      </c>
      <c r="B274" s="1" t="n">
        <v>44502</v>
      </c>
      <c r="C274" s="1" t="n">
        <v>45936</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19877-2021</t>
        </is>
      </c>
      <c r="B275" s="1" t="n">
        <v>44313</v>
      </c>
      <c r="C275" s="1" t="n">
        <v>45936</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32821-2021</t>
        </is>
      </c>
      <c r="B276" s="1" t="n">
        <v>44375</v>
      </c>
      <c r="C276" s="1" t="n">
        <v>45936</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45936</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45936</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20199-2021</t>
        </is>
      </c>
      <c r="B279" s="1" t="n">
        <v>44312</v>
      </c>
      <c r="C279" s="1" t="n">
        <v>45936</v>
      </c>
      <c r="D279" t="inlineStr">
        <is>
          <t>VÄRMLANDS LÄN</t>
        </is>
      </c>
      <c r="E279" t="inlineStr">
        <is>
          <t>TORSBY</t>
        </is>
      </c>
      <c r="G279" t="n">
        <v>11.4</v>
      </c>
      <c r="H279" t="n">
        <v>0</v>
      </c>
      <c r="I279" t="n">
        <v>0</v>
      </c>
      <c r="J279" t="n">
        <v>0</v>
      </c>
      <c r="K279" t="n">
        <v>0</v>
      </c>
      <c r="L279" t="n">
        <v>0</v>
      </c>
      <c r="M279" t="n">
        <v>0</v>
      </c>
      <c r="N279" t="n">
        <v>0</v>
      </c>
      <c r="O279" t="n">
        <v>0</v>
      </c>
      <c r="P279" t="n">
        <v>0</v>
      </c>
      <c r="Q279" t="n">
        <v>0</v>
      </c>
      <c r="R279" s="2" t="inlineStr"/>
    </row>
    <row r="280" ht="15" customHeight="1">
      <c r="A280" t="inlineStr">
        <is>
          <t>A 14942-2021</t>
        </is>
      </c>
      <c r="B280" s="1" t="n">
        <v>44281</v>
      </c>
      <c r="C280" s="1" t="n">
        <v>45936</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45936</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45936</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25247-2021</t>
        </is>
      </c>
      <c r="B283" s="1" t="n">
        <v>44342</v>
      </c>
      <c r="C283" s="1" t="n">
        <v>45936</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23524-2021</t>
        </is>
      </c>
      <c r="B284" s="1" t="n">
        <v>44301</v>
      </c>
      <c r="C284" s="1" t="n">
        <v>45936</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52543-2022</t>
        </is>
      </c>
      <c r="B285" s="1" t="n">
        <v>44874</v>
      </c>
      <c r="C285" s="1" t="n">
        <v>45936</v>
      </c>
      <c r="D285" t="inlineStr">
        <is>
          <t>VÄRMLANDS LÄN</t>
        </is>
      </c>
      <c r="E285" t="inlineStr">
        <is>
          <t>TORSBY</t>
        </is>
      </c>
      <c r="G285" t="n">
        <v>10.1</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45936</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61009-2020</t>
        </is>
      </c>
      <c r="B287" s="1" t="n">
        <v>44154</v>
      </c>
      <c r="C287" s="1" t="n">
        <v>45936</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65998-2021</t>
        </is>
      </c>
      <c r="B288" s="1" t="n">
        <v>44517</v>
      </c>
      <c r="C288" s="1" t="n">
        <v>45936</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20819-2022</t>
        </is>
      </c>
      <c r="B289" s="1" t="n">
        <v>44699</v>
      </c>
      <c r="C289" s="1" t="n">
        <v>45936</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17765-2022</t>
        </is>
      </c>
      <c r="B290" s="1" t="n">
        <v>44681.41195601852</v>
      </c>
      <c r="C290" s="1" t="n">
        <v>45936</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65398-2020</t>
        </is>
      </c>
      <c r="B291" s="1" t="n">
        <v>44169</v>
      </c>
      <c r="C291" s="1" t="n">
        <v>45936</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44454.33175925926</v>
      </c>
      <c r="C292" s="1" t="n">
        <v>45936</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28562-2021</t>
        </is>
      </c>
      <c r="B293" s="1" t="n">
        <v>44356.69538194445</v>
      </c>
      <c r="C293" s="1" t="n">
        <v>45936</v>
      </c>
      <c r="D293" t="inlineStr">
        <is>
          <t>VÄRMLANDS LÄN</t>
        </is>
      </c>
      <c r="E293" t="inlineStr">
        <is>
          <t>TORSBY</t>
        </is>
      </c>
      <c r="G293" t="n">
        <v>4.4</v>
      </c>
      <c r="H293" t="n">
        <v>0</v>
      </c>
      <c r="I293" t="n">
        <v>0</v>
      </c>
      <c r="J293" t="n">
        <v>0</v>
      </c>
      <c r="K293" t="n">
        <v>0</v>
      </c>
      <c r="L293" t="n">
        <v>0</v>
      </c>
      <c r="M293" t="n">
        <v>0</v>
      </c>
      <c r="N293" t="n">
        <v>0</v>
      </c>
      <c r="O293" t="n">
        <v>0</v>
      </c>
      <c r="P293" t="n">
        <v>0</v>
      </c>
      <c r="Q293" t="n">
        <v>0</v>
      </c>
      <c r="R293" s="2" t="inlineStr"/>
    </row>
    <row r="294" ht="15" customHeight="1">
      <c r="A294" t="inlineStr">
        <is>
          <t>A 33149-2021</t>
        </is>
      </c>
      <c r="B294" s="1" t="n">
        <v>44376.67658564815</v>
      </c>
      <c r="C294" s="1" t="n">
        <v>45936</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45936</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45936</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56062-2021</t>
        </is>
      </c>
      <c r="B297" s="1" t="n">
        <v>44477.51216435185</v>
      </c>
      <c r="C297" s="1" t="n">
        <v>45936</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20045-2022</t>
        </is>
      </c>
      <c r="B298" s="1" t="n">
        <v>44697</v>
      </c>
      <c r="C298" s="1" t="n">
        <v>45936</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21031-2021</t>
        </is>
      </c>
      <c r="B299" s="1" t="n">
        <v>44319</v>
      </c>
      <c r="C299" s="1" t="n">
        <v>45936</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14320-2022</t>
        </is>
      </c>
      <c r="B300" s="1" t="n">
        <v>44652</v>
      </c>
      <c r="C300" s="1" t="n">
        <v>45936</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45936</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8739-2022</t>
        </is>
      </c>
      <c r="B302" s="1" t="n">
        <v>44615</v>
      </c>
      <c r="C302" s="1" t="n">
        <v>45936</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18628-2022</t>
        </is>
      </c>
      <c r="B303" s="1" t="n">
        <v>44687</v>
      </c>
      <c r="C303" s="1" t="n">
        <v>45936</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46934-2021</t>
        </is>
      </c>
      <c r="B304" s="1" t="n">
        <v>44446.49893518518</v>
      </c>
      <c r="C304" s="1" t="n">
        <v>45936</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54072-2020</t>
        </is>
      </c>
      <c r="B305" s="1" t="n">
        <v>44125</v>
      </c>
      <c r="C305" s="1" t="n">
        <v>45936</v>
      </c>
      <c r="D305" t="inlineStr">
        <is>
          <t>VÄRMLANDS LÄN</t>
        </is>
      </c>
      <c r="E305" t="inlineStr">
        <is>
          <t>TORSBY</t>
        </is>
      </c>
      <c r="G305" t="n">
        <v>5</v>
      </c>
      <c r="H305" t="n">
        <v>0</v>
      </c>
      <c r="I305" t="n">
        <v>0</v>
      </c>
      <c r="J305" t="n">
        <v>0</v>
      </c>
      <c r="K305" t="n">
        <v>0</v>
      </c>
      <c r="L305" t="n">
        <v>0</v>
      </c>
      <c r="M305" t="n">
        <v>0</v>
      </c>
      <c r="N305" t="n">
        <v>0</v>
      </c>
      <c r="O305" t="n">
        <v>0</v>
      </c>
      <c r="P305" t="n">
        <v>0</v>
      </c>
      <c r="Q305" t="n">
        <v>0</v>
      </c>
      <c r="R305" s="2" t="inlineStr"/>
    </row>
    <row r="306" ht="15" customHeight="1">
      <c r="A306" t="inlineStr">
        <is>
          <t>A 3382-2022</t>
        </is>
      </c>
      <c r="B306" s="1" t="n">
        <v>44585</v>
      </c>
      <c r="C306" s="1" t="n">
        <v>45936</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71255-2021</t>
        </is>
      </c>
      <c r="B307" s="1" t="n">
        <v>44538</v>
      </c>
      <c r="C307" s="1" t="n">
        <v>45936</v>
      </c>
      <c r="D307" t="inlineStr">
        <is>
          <t>VÄRMLANDS LÄN</t>
        </is>
      </c>
      <c r="E307" t="inlineStr">
        <is>
          <t>TORSBY</t>
        </is>
      </c>
      <c r="G307" t="n">
        <v>3.1</v>
      </c>
      <c r="H307" t="n">
        <v>0</v>
      </c>
      <c r="I307" t="n">
        <v>0</v>
      </c>
      <c r="J307" t="n">
        <v>0</v>
      </c>
      <c r="K307" t="n">
        <v>0</v>
      </c>
      <c r="L307" t="n">
        <v>0</v>
      </c>
      <c r="M307" t="n">
        <v>0</v>
      </c>
      <c r="N307" t="n">
        <v>0</v>
      </c>
      <c r="O307" t="n">
        <v>0</v>
      </c>
      <c r="P307" t="n">
        <v>0</v>
      </c>
      <c r="Q307" t="n">
        <v>0</v>
      </c>
      <c r="R307" s="2" t="inlineStr"/>
    </row>
    <row r="308" ht="15" customHeight="1">
      <c r="A308" t="inlineStr">
        <is>
          <t>A 38179-2022</t>
        </is>
      </c>
      <c r="B308" s="1" t="n">
        <v>44812</v>
      </c>
      <c r="C308" s="1" t="n">
        <v>45936</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45936</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30162-2021</t>
        </is>
      </c>
      <c r="B310" s="1" t="n">
        <v>44363</v>
      </c>
      <c r="C310" s="1" t="n">
        <v>45936</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52386-2022</t>
        </is>
      </c>
      <c r="B311" s="1" t="n">
        <v>44874.3750462963</v>
      </c>
      <c r="C311" s="1" t="n">
        <v>45936</v>
      </c>
      <c r="D311" t="inlineStr">
        <is>
          <t>VÄRMLANDS LÄN</t>
        </is>
      </c>
      <c r="E311" t="inlineStr">
        <is>
          <t>TORSBY</t>
        </is>
      </c>
      <c r="G311" t="n">
        <v>6.7</v>
      </c>
      <c r="H311" t="n">
        <v>0</v>
      </c>
      <c r="I311" t="n">
        <v>0</v>
      </c>
      <c r="J311" t="n">
        <v>0</v>
      </c>
      <c r="K311" t="n">
        <v>0</v>
      </c>
      <c r="L311" t="n">
        <v>0</v>
      </c>
      <c r="M311" t="n">
        <v>0</v>
      </c>
      <c r="N311" t="n">
        <v>0</v>
      </c>
      <c r="O311" t="n">
        <v>0</v>
      </c>
      <c r="P311" t="n">
        <v>0</v>
      </c>
      <c r="Q311" t="n">
        <v>0</v>
      </c>
      <c r="R311" s="2" t="inlineStr"/>
    </row>
    <row r="312" ht="15" customHeight="1">
      <c r="A312" t="inlineStr">
        <is>
          <t>A 47466-2022</t>
        </is>
      </c>
      <c r="B312" s="1" t="n">
        <v>44852</v>
      </c>
      <c r="C312" s="1" t="n">
        <v>45936</v>
      </c>
      <c r="D312" t="inlineStr">
        <is>
          <t>VÄRMLANDS LÄN</t>
        </is>
      </c>
      <c r="E312" t="inlineStr">
        <is>
          <t>TORSBY</t>
        </is>
      </c>
      <c r="G312" t="n">
        <v>3</v>
      </c>
      <c r="H312" t="n">
        <v>0</v>
      </c>
      <c r="I312" t="n">
        <v>0</v>
      </c>
      <c r="J312" t="n">
        <v>0</v>
      </c>
      <c r="K312" t="n">
        <v>0</v>
      </c>
      <c r="L312" t="n">
        <v>0</v>
      </c>
      <c r="M312" t="n">
        <v>0</v>
      </c>
      <c r="N312" t="n">
        <v>0</v>
      </c>
      <c r="O312" t="n">
        <v>0</v>
      </c>
      <c r="P312" t="n">
        <v>0</v>
      </c>
      <c r="Q312" t="n">
        <v>0</v>
      </c>
      <c r="R312" s="2" t="inlineStr"/>
    </row>
    <row r="313" ht="15" customHeight="1">
      <c r="A313" t="inlineStr">
        <is>
          <t>A 16375-2021</t>
        </is>
      </c>
      <c r="B313" s="1" t="n">
        <v>44292</v>
      </c>
      <c r="C313" s="1" t="n">
        <v>45936</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22113-2021</t>
        </is>
      </c>
      <c r="B314" s="1" t="n">
        <v>44323</v>
      </c>
      <c r="C314" s="1" t="n">
        <v>45936</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61594-2020</t>
        </is>
      </c>
      <c r="B315" s="1" t="n">
        <v>44154</v>
      </c>
      <c r="C315" s="1" t="n">
        <v>45936</v>
      </c>
      <c r="D315" t="inlineStr">
        <is>
          <t>VÄRMLANDS LÄN</t>
        </is>
      </c>
      <c r="E315" t="inlineStr">
        <is>
          <t>TORSBY</t>
        </is>
      </c>
      <c r="G315" t="n">
        <v>6</v>
      </c>
      <c r="H315" t="n">
        <v>0</v>
      </c>
      <c r="I315" t="n">
        <v>0</v>
      </c>
      <c r="J315" t="n">
        <v>0</v>
      </c>
      <c r="K315" t="n">
        <v>0</v>
      </c>
      <c r="L315" t="n">
        <v>0</v>
      </c>
      <c r="M315" t="n">
        <v>0</v>
      </c>
      <c r="N315" t="n">
        <v>0</v>
      </c>
      <c r="O315" t="n">
        <v>0</v>
      </c>
      <c r="P315" t="n">
        <v>0</v>
      </c>
      <c r="Q315" t="n">
        <v>0</v>
      </c>
      <c r="R315" s="2" t="inlineStr"/>
    </row>
    <row r="316" ht="15" customHeight="1">
      <c r="A316" t="inlineStr">
        <is>
          <t>A 1516-2021</t>
        </is>
      </c>
      <c r="B316" s="1" t="n">
        <v>44209</v>
      </c>
      <c r="C316" s="1" t="n">
        <v>45936</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32003-2022</t>
        </is>
      </c>
      <c r="B317" s="1" t="n">
        <v>44778</v>
      </c>
      <c r="C317" s="1" t="n">
        <v>45936</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23194-2021</t>
        </is>
      </c>
      <c r="B318" s="1" t="n">
        <v>44328</v>
      </c>
      <c r="C318" s="1" t="n">
        <v>45936</v>
      </c>
      <c r="D318" t="inlineStr">
        <is>
          <t>VÄRMLANDS LÄN</t>
        </is>
      </c>
      <c r="E318" t="inlineStr">
        <is>
          <t>TORSBY</t>
        </is>
      </c>
      <c r="G318" t="n">
        <v>4.3</v>
      </c>
      <c r="H318" t="n">
        <v>0</v>
      </c>
      <c r="I318" t="n">
        <v>0</v>
      </c>
      <c r="J318" t="n">
        <v>0</v>
      </c>
      <c r="K318" t="n">
        <v>0</v>
      </c>
      <c r="L318" t="n">
        <v>0</v>
      </c>
      <c r="M318" t="n">
        <v>0</v>
      </c>
      <c r="N318" t="n">
        <v>0</v>
      </c>
      <c r="O318" t="n">
        <v>0</v>
      </c>
      <c r="P318" t="n">
        <v>0</v>
      </c>
      <c r="Q318" t="n">
        <v>0</v>
      </c>
      <c r="R318" s="2" t="inlineStr"/>
    </row>
    <row r="319" ht="15" customHeight="1">
      <c r="A319" t="inlineStr">
        <is>
          <t>A 70253-2021</t>
        </is>
      </c>
      <c r="B319" s="1" t="n">
        <v>44536</v>
      </c>
      <c r="C319" s="1" t="n">
        <v>45936</v>
      </c>
      <c r="D319" t="inlineStr">
        <is>
          <t>VÄRMLANDS LÄN</t>
        </is>
      </c>
      <c r="E319" t="inlineStr">
        <is>
          <t>TORSBY</t>
        </is>
      </c>
      <c r="G319" t="n">
        <v>4.3</v>
      </c>
      <c r="H319" t="n">
        <v>0</v>
      </c>
      <c r="I319" t="n">
        <v>0</v>
      </c>
      <c r="J319" t="n">
        <v>0</v>
      </c>
      <c r="K319" t="n">
        <v>0</v>
      </c>
      <c r="L319" t="n">
        <v>0</v>
      </c>
      <c r="M319" t="n">
        <v>0</v>
      </c>
      <c r="N319" t="n">
        <v>0</v>
      </c>
      <c r="O319" t="n">
        <v>0</v>
      </c>
      <c r="P319" t="n">
        <v>0</v>
      </c>
      <c r="Q319" t="n">
        <v>0</v>
      </c>
      <c r="R319" s="2" t="inlineStr"/>
    </row>
    <row r="320" ht="15" customHeight="1">
      <c r="A320" t="inlineStr">
        <is>
          <t>A 36527-2022</t>
        </is>
      </c>
      <c r="B320" s="1" t="n">
        <v>44804</v>
      </c>
      <c r="C320" s="1" t="n">
        <v>45936</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36572-2022</t>
        </is>
      </c>
      <c r="B321" s="1" t="n">
        <v>44804.60271990741</v>
      </c>
      <c r="C321" s="1" t="n">
        <v>45936</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45936</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46795-2021</t>
        </is>
      </c>
      <c r="B323" s="1" t="n">
        <v>44446</v>
      </c>
      <c r="C323" s="1" t="n">
        <v>45936</v>
      </c>
      <c r="D323" t="inlineStr">
        <is>
          <t>VÄRMLANDS LÄN</t>
        </is>
      </c>
      <c r="E323" t="inlineStr">
        <is>
          <t>TORSBY</t>
        </is>
      </c>
      <c r="G323" t="n">
        <v>6</v>
      </c>
      <c r="H323" t="n">
        <v>0</v>
      </c>
      <c r="I323" t="n">
        <v>0</v>
      </c>
      <c r="J323" t="n">
        <v>0</v>
      </c>
      <c r="K323" t="n">
        <v>0</v>
      </c>
      <c r="L323" t="n">
        <v>0</v>
      </c>
      <c r="M323" t="n">
        <v>0</v>
      </c>
      <c r="N323" t="n">
        <v>0</v>
      </c>
      <c r="O323" t="n">
        <v>0</v>
      </c>
      <c r="P323" t="n">
        <v>0</v>
      </c>
      <c r="Q323" t="n">
        <v>0</v>
      </c>
      <c r="R323" s="2" t="inlineStr"/>
    </row>
    <row r="324" ht="15" customHeight="1">
      <c r="A324" t="inlineStr">
        <is>
          <t>A 23735-2022</t>
        </is>
      </c>
      <c r="B324" s="1" t="n">
        <v>44722.35103009259</v>
      </c>
      <c r="C324" s="1" t="n">
        <v>45936</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55217-2020</t>
        </is>
      </c>
      <c r="B325" s="1" t="n">
        <v>44130</v>
      </c>
      <c r="C325" s="1" t="n">
        <v>45936</v>
      </c>
      <c r="D325" t="inlineStr">
        <is>
          <t>VÄRMLANDS LÄN</t>
        </is>
      </c>
      <c r="E325" t="inlineStr">
        <is>
          <t>TORSBY</t>
        </is>
      </c>
      <c r="G325" t="n">
        <v>4.2</v>
      </c>
      <c r="H325" t="n">
        <v>0</v>
      </c>
      <c r="I325" t="n">
        <v>0</v>
      </c>
      <c r="J325" t="n">
        <v>0</v>
      </c>
      <c r="K325" t="n">
        <v>0</v>
      </c>
      <c r="L325" t="n">
        <v>0</v>
      </c>
      <c r="M325" t="n">
        <v>0</v>
      </c>
      <c r="N325" t="n">
        <v>0</v>
      </c>
      <c r="O325" t="n">
        <v>0</v>
      </c>
      <c r="P325" t="n">
        <v>0</v>
      </c>
      <c r="Q325" t="n">
        <v>0</v>
      </c>
      <c r="R325" s="2" t="inlineStr"/>
    </row>
    <row r="326" ht="15" customHeight="1">
      <c r="A326" t="inlineStr">
        <is>
          <t>A 22671-2021</t>
        </is>
      </c>
      <c r="B326" s="1" t="n">
        <v>44327</v>
      </c>
      <c r="C326" s="1" t="n">
        <v>45936</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45936</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52141-2020</t>
        </is>
      </c>
      <c r="B328" s="1" t="n">
        <v>44117</v>
      </c>
      <c r="C328" s="1" t="n">
        <v>45936</v>
      </c>
      <c r="D328" t="inlineStr">
        <is>
          <t>VÄRMLANDS LÄN</t>
        </is>
      </c>
      <c r="E328" t="inlineStr">
        <is>
          <t>TORSBY</t>
        </is>
      </c>
      <c r="G328" t="n">
        <v>4.1</v>
      </c>
      <c r="H328" t="n">
        <v>0</v>
      </c>
      <c r="I328" t="n">
        <v>0</v>
      </c>
      <c r="J328" t="n">
        <v>0</v>
      </c>
      <c r="K328" t="n">
        <v>0</v>
      </c>
      <c r="L328" t="n">
        <v>0</v>
      </c>
      <c r="M328" t="n">
        <v>0</v>
      </c>
      <c r="N328" t="n">
        <v>0</v>
      </c>
      <c r="O328" t="n">
        <v>0</v>
      </c>
      <c r="P328" t="n">
        <v>0</v>
      </c>
      <c r="Q328" t="n">
        <v>0</v>
      </c>
      <c r="R328" s="2" t="inlineStr"/>
    </row>
    <row r="329" ht="15" customHeight="1">
      <c r="A329" t="inlineStr">
        <is>
          <t>A 33181-2022</t>
        </is>
      </c>
      <c r="B329" s="1" t="n">
        <v>44785</v>
      </c>
      <c r="C329" s="1" t="n">
        <v>45936</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45936</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45936</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36587-2022</t>
        </is>
      </c>
      <c r="B332" s="1" t="n">
        <v>44804.62511574074</v>
      </c>
      <c r="C332" s="1" t="n">
        <v>45936</v>
      </c>
      <c r="D332" t="inlineStr">
        <is>
          <t>VÄRMLANDS LÄN</t>
        </is>
      </c>
      <c r="E332" t="inlineStr">
        <is>
          <t>TORSBY</t>
        </is>
      </c>
      <c r="G332" t="n">
        <v>4.4</v>
      </c>
      <c r="H332" t="n">
        <v>0</v>
      </c>
      <c r="I332" t="n">
        <v>0</v>
      </c>
      <c r="J332" t="n">
        <v>0</v>
      </c>
      <c r="K332" t="n">
        <v>0</v>
      </c>
      <c r="L332" t="n">
        <v>0</v>
      </c>
      <c r="M332" t="n">
        <v>0</v>
      </c>
      <c r="N332" t="n">
        <v>0</v>
      </c>
      <c r="O332" t="n">
        <v>0</v>
      </c>
      <c r="P332" t="n">
        <v>0</v>
      </c>
      <c r="Q332" t="n">
        <v>0</v>
      </c>
      <c r="R332" s="2" t="inlineStr"/>
    </row>
    <row r="333" ht="15" customHeight="1">
      <c r="A333" t="inlineStr">
        <is>
          <t>A 67084-2020</t>
        </is>
      </c>
      <c r="B333" s="1" t="n">
        <v>44179</v>
      </c>
      <c r="C333" s="1" t="n">
        <v>45936</v>
      </c>
      <c r="D333" t="inlineStr">
        <is>
          <t>VÄRMLANDS LÄN</t>
        </is>
      </c>
      <c r="E333" t="inlineStr">
        <is>
          <t>TORSBY</t>
        </is>
      </c>
      <c r="G333" t="n">
        <v>1.9</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45936</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39186-2022</t>
        </is>
      </c>
      <c r="B335" s="1" t="n">
        <v>44817.51549768518</v>
      </c>
      <c r="C335" s="1" t="n">
        <v>45936</v>
      </c>
      <c r="D335" t="inlineStr">
        <is>
          <t>VÄRMLANDS LÄN</t>
        </is>
      </c>
      <c r="E335" t="inlineStr">
        <is>
          <t>TORSBY</t>
        </is>
      </c>
      <c r="F335" t="inlineStr">
        <is>
          <t>Bergvik skog väst AB</t>
        </is>
      </c>
      <c r="G335" t="n">
        <v>20.3</v>
      </c>
      <c r="H335" t="n">
        <v>0</v>
      </c>
      <c r="I335" t="n">
        <v>0</v>
      </c>
      <c r="J335" t="n">
        <v>0</v>
      </c>
      <c r="K335" t="n">
        <v>0</v>
      </c>
      <c r="L335" t="n">
        <v>0</v>
      </c>
      <c r="M335" t="n">
        <v>0</v>
      </c>
      <c r="N335" t="n">
        <v>0</v>
      </c>
      <c r="O335" t="n">
        <v>0</v>
      </c>
      <c r="P335" t="n">
        <v>0</v>
      </c>
      <c r="Q335" t="n">
        <v>0</v>
      </c>
      <c r="R335" s="2" t="inlineStr"/>
    </row>
    <row r="336" ht="15" customHeight="1">
      <c r="A336" t="inlineStr">
        <is>
          <t>A 67734-2020</t>
        </is>
      </c>
      <c r="B336" s="1" t="n">
        <v>44182</v>
      </c>
      <c r="C336" s="1" t="n">
        <v>45936</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7898-2021</t>
        </is>
      </c>
      <c r="B337" s="1" t="n">
        <v>44243</v>
      </c>
      <c r="C337" s="1" t="n">
        <v>45936</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45936</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45936</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38699-2022</t>
        </is>
      </c>
      <c r="B340" s="1" t="n">
        <v>44814.53259259259</v>
      </c>
      <c r="C340" s="1" t="n">
        <v>45936</v>
      </c>
      <c r="D340" t="inlineStr">
        <is>
          <t>VÄRMLANDS LÄN</t>
        </is>
      </c>
      <c r="E340" t="inlineStr">
        <is>
          <t>TORSBY</t>
        </is>
      </c>
      <c r="F340" t="inlineStr">
        <is>
          <t>Bergvik skog väst AB</t>
        </is>
      </c>
      <c r="G340" t="n">
        <v>22.6</v>
      </c>
      <c r="H340" t="n">
        <v>0</v>
      </c>
      <c r="I340" t="n">
        <v>0</v>
      </c>
      <c r="J340" t="n">
        <v>0</v>
      </c>
      <c r="K340" t="n">
        <v>0</v>
      </c>
      <c r="L340" t="n">
        <v>0</v>
      </c>
      <c r="M340" t="n">
        <v>0</v>
      </c>
      <c r="N340" t="n">
        <v>0</v>
      </c>
      <c r="O340" t="n">
        <v>0</v>
      </c>
      <c r="P340" t="n">
        <v>0</v>
      </c>
      <c r="Q340" t="n">
        <v>0</v>
      </c>
      <c r="R340" s="2" t="inlineStr"/>
    </row>
    <row r="341" ht="15" customHeight="1">
      <c r="A341" t="inlineStr">
        <is>
          <t>A 53044-2022</t>
        </is>
      </c>
      <c r="B341" s="1" t="n">
        <v>44876</v>
      </c>
      <c r="C341" s="1" t="n">
        <v>45936</v>
      </c>
      <c r="D341" t="inlineStr">
        <is>
          <t>VÄRMLANDS LÄN</t>
        </is>
      </c>
      <c r="E341" t="inlineStr">
        <is>
          <t>TORSBY</t>
        </is>
      </c>
      <c r="G341" t="n">
        <v>0.2</v>
      </c>
      <c r="H341" t="n">
        <v>0</v>
      </c>
      <c r="I341" t="n">
        <v>0</v>
      </c>
      <c r="J341" t="n">
        <v>0</v>
      </c>
      <c r="K341" t="n">
        <v>0</v>
      </c>
      <c r="L341" t="n">
        <v>0</v>
      </c>
      <c r="M341" t="n">
        <v>0</v>
      </c>
      <c r="N341" t="n">
        <v>0</v>
      </c>
      <c r="O341" t="n">
        <v>0</v>
      </c>
      <c r="P341" t="n">
        <v>0</v>
      </c>
      <c r="Q341" t="n">
        <v>0</v>
      </c>
      <c r="R341" s="2" t="inlineStr"/>
    </row>
    <row r="342" ht="15" customHeight="1">
      <c r="A342" t="inlineStr">
        <is>
          <t>A 53076-2022</t>
        </is>
      </c>
      <c r="B342" s="1" t="n">
        <v>44876.38284722222</v>
      </c>
      <c r="C342" s="1" t="n">
        <v>45936</v>
      </c>
      <c r="D342" t="inlineStr">
        <is>
          <t>VÄRMLANDS LÄN</t>
        </is>
      </c>
      <c r="E342" t="inlineStr">
        <is>
          <t>TORSBY</t>
        </is>
      </c>
      <c r="G342" t="n">
        <v>0.4</v>
      </c>
      <c r="H342" t="n">
        <v>0</v>
      </c>
      <c r="I342" t="n">
        <v>0</v>
      </c>
      <c r="J342" t="n">
        <v>0</v>
      </c>
      <c r="K342" t="n">
        <v>0</v>
      </c>
      <c r="L342" t="n">
        <v>0</v>
      </c>
      <c r="M342" t="n">
        <v>0</v>
      </c>
      <c r="N342" t="n">
        <v>0</v>
      </c>
      <c r="O342" t="n">
        <v>0</v>
      </c>
      <c r="P342" t="n">
        <v>0</v>
      </c>
      <c r="Q342" t="n">
        <v>0</v>
      </c>
      <c r="R342" s="2" t="inlineStr"/>
    </row>
    <row r="343" ht="15" customHeight="1">
      <c r="A343" t="inlineStr">
        <is>
          <t>A 29457-2021</t>
        </is>
      </c>
      <c r="B343" s="1" t="n">
        <v>44361</v>
      </c>
      <c r="C343" s="1" t="n">
        <v>45936</v>
      </c>
      <c r="D343" t="inlineStr">
        <is>
          <t>VÄRMLANDS LÄN</t>
        </is>
      </c>
      <c r="E343" t="inlineStr">
        <is>
          <t>TORSBY</t>
        </is>
      </c>
      <c r="G343" t="n">
        <v>7.6</v>
      </c>
      <c r="H343" t="n">
        <v>0</v>
      </c>
      <c r="I343" t="n">
        <v>0</v>
      </c>
      <c r="J343" t="n">
        <v>0</v>
      </c>
      <c r="K343" t="n">
        <v>0</v>
      </c>
      <c r="L343" t="n">
        <v>0</v>
      </c>
      <c r="M343" t="n">
        <v>0</v>
      </c>
      <c r="N343" t="n">
        <v>0</v>
      </c>
      <c r="O343" t="n">
        <v>0</v>
      </c>
      <c r="P343" t="n">
        <v>0</v>
      </c>
      <c r="Q343" t="n">
        <v>0</v>
      </c>
      <c r="R343" s="2" t="inlineStr"/>
    </row>
    <row r="344" ht="15" customHeight="1">
      <c r="A344" t="inlineStr">
        <is>
          <t>A 67147-2021</t>
        </is>
      </c>
      <c r="B344" s="1" t="n">
        <v>44523</v>
      </c>
      <c r="C344" s="1" t="n">
        <v>45936</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41808-2021</t>
        </is>
      </c>
      <c r="B345" s="1" t="n">
        <v>44425</v>
      </c>
      <c r="C345" s="1" t="n">
        <v>45936</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45936</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9775-2021</t>
        </is>
      </c>
      <c r="B347" s="1" t="n">
        <v>44252</v>
      </c>
      <c r="C347" s="1" t="n">
        <v>45936</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62039-2021</t>
        </is>
      </c>
      <c r="B348" s="1" t="n">
        <v>44502</v>
      </c>
      <c r="C348" s="1" t="n">
        <v>45936</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45936</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13698-2022</t>
        </is>
      </c>
      <c r="B350" s="1" t="n">
        <v>44648</v>
      </c>
      <c r="C350" s="1" t="n">
        <v>45936</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45445-2021</t>
        </is>
      </c>
      <c r="B351" s="1" t="n">
        <v>44440</v>
      </c>
      <c r="C351" s="1" t="n">
        <v>45936</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45936</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45936</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45936</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43052-2021</t>
        </is>
      </c>
      <c r="B355" s="1" t="n">
        <v>44431</v>
      </c>
      <c r="C355" s="1" t="n">
        <v>45936</v>
      </c>
      <c r="D355" t="inlineStr">
        <is>
          <t>VÄRMLANDS LÄN</t>
        </is>
      </c>
      <c r="E355" t="inlineStr">
        <is>
          <t>TORSBY</t>
        </is>
      </c>
      <c r="G355" t="n">
        <v>25.1</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45936</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45936</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48159-2021</t>
        </is>
      </c>
      <c r="B358" s="1" t="n">
        <v>44449.51302083334</v>
      </c>
      <c r="C358" s="1" t="n">
        <v>45936</v>
      </c>
      <c r="D358" t="inlineStr">
        <is>
          <t>VÄRMLANDS LÄN</t>
        </is>
      </c>
      <c r="E358" t="inlineStr">
        <is>
          <t>TORSBY</t>
        </is>
      </c>
      <c r="F358" t="inlineStr">
        <is>
          <t>Bergvik skog väst AB</t>
        </is>
      </c>
      <c r="G358" t="n">
        <v>3</v>
      </c>
      <c r="H358" t="n">
        <v>0</v>
      </c>
      <c r="I358" t="n">
        <v>0</v>
      </c>
      <c r="J358" t="n">
        <v>0</v>
      </c>
      <c r="K358" t="n">
        <v>0</v>
      </c>
      <c r="L358" t="n">
        <v>0</v>
      </c>
      <c r="M358" t="n">
        <v>0</v>
      </c>
      <c r="N358" t="n">
        <v>0</v>
      </c>
      <c r="O358" t="n">
        <v>0</v>
      </c>
      <c r="P358" t="n">
        <v>0</v>
      </c>
      <c r="Q358" t="n">
        <v>0</v>
      </c>
      <c r="R358" s="2" t="inlineStr"/>
    </row>
    <row r="359" ht="15" customHeight="1">
      <c r="A359" t="inlineStr">
        <is>
          <t>A 57287-2021</t>
        </is>
      </c>
      <c r="B359" s="1" t="n">
        <v>44482</v>
      </c>
      <c r="C359" s="1" t="n">
        <v>45936</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44508.37935185185</v>
      </c>
      <c r="C360" s="1" t="n">
        <v>45936</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44869.59972222222</v>
      </c>
      <c r="C361" s="1" t="n">
        <v>45936</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14145-2022</t>
        </is>
      </c>
      <c r="B362" s="1" t="n">
        <v>44651</v>
      </c>
      <c r="C362" s="1" t="n">
        <v>45936</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64434-2020</t>
        </is>
      </c>
      <c r="B363" s="1" t="n">
        <v>44168</v>
      </c>
      <c r="C363" s="1" t="n">
        <v>45936</v>
      </c>
      <c r="D363" t="inlineStr">
        <is>
          <t>VÄRMLANDS LÄN</t>
        </is>
      </c>
      <c r="E363" t="inlineStr">
        <is>
          <t>TORSBY</t>
        </is>
      </c>
      <c r="G363" t="n">
        <v>7.7</v>
      </c>
      <c r="H363" t="n">
        <v>0</v>
      </c>
      <c r="I363" t="n">
        <v>0</v>
      </c>
      <c r="J363" t="n">
        <v>0</v>
      </c>
      <c r="K363" t="n">
        <v>0</v>
      </c>
      <c r="L363" t="n">
        <v>0</v>
      </c>
      <c r="M363" t="n">
        <v>0</v>
      </c>
      <c r="N363" t="n">
        <v>0</v>
      </c>
      <c r="O363" t="n">
        <v>0</v>
      </c>
      <c r="P363" t="n">
        <v>0</v>
      </c>
      <c r="Q363" t="n">
        <v>0</v>
      </c>
      <c r="R363" s="2" t="inlineStr"/>
    </row>
    <row r="364" ht="15" customHeight="1">
      <c r="A364" t="inlineStr">
        <is>
          <t>A 49983-2022</t>
        </is>
      </c>
      <c r="B364" s="1" t="n">
        <v>44865</v>
      </c>
      <c r="C364" s="1" t="n">
        <v>45936</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66103-2021</t>
        </is>
      </c>
      <c r="B365" s="1" t="n">
        <v>44517</v>
      </c>
      <c r="C365" s="1" t="n">
        <v>45936</v>
      </c>
      <c r="D365" t="inlineStr">
        <is>
          <t>VÄRMLANDS LÄN</t>
        </is>
      </c>
      <c r="E365" t="inlineStr">
        <is>
          <t>TORSBY</t>
        </is>
      </c>
      <c r="G365" t="n">
        <v>1.6</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45936</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45936</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65369-2020</t>
        </is>
      </c>
      <c r="B368" s="1" t="n">
        <v>44169</v>
      </c>
      <c r="C368" s="1" t="n">
        <v>45936</v>
      </c>
      <c r="D368" t="inlineStr">
        <is>
          <t>VÄRMLANDS LÄN</t>
        </is>
      </c>
      <c r="E368" t="inlineStr">
        <is>
          <t>TORSBY</t>
        </is>
      </c>
      <c r="G368" t="n">
        <v>32.5</v>
      </c>
      <c r="H368" t="n">
        <v>0</v>
      </c>
      <c r="I368" t="n">
        <v>0</v>
      </c>
      <c r="J368" t="n">
        <v>0</v>
      </c>
      <c r="K368" t="n">
        <v>0</v>
      </c>
      <c r="L368" t="n">
        <v>0</v>
      </c>
      <c r="M368" t="n">
        <v>0</v>
      </c>
      <c r="N368" t="n">
        <v>0</v>
      </c>
      <c r="O368" t="n">
        <v>0</v>
      </c>
      <c r="P368" t="n">
        <v>0</v>
      </c>
      <c r="Q368" t="n">
        <v>0</v>
      </c>
      <c r="R368" s="2" t="inlineStr"/>
    </row>
    <row r="369" ht="15" customHeight="1">
      <c r="A369" t="inlineStr">
        <is>
          <t>A 52799-2020</t>
        </is>
      </c>
      <c r="B369" s="1" t="n">
        <v>44119.5903125</v>
      </c>
      <c r="C369" s="1" t="n">
        <v>45936</v>
      </c>
      <c r="D369" t="inlineStr">
        <is>
          <t>VÄRMLANDS LÄN</t>
        </is>
      </c>
      <c r="E369" t="inlineStr">
        <is>
          <t>TORSBY</t>
        </is>
      </c>
      <c r="G369" t="n">
        <v>6.2</v>
      </c>
      <c r="H369" t="n">
        <v>0</v>
      </c>
      <c r="I369" t="n">
        <v>0</v>
      </c>
      <c r="J369" t="n">
        <v>0</v>
      </c>
      <c r="K369" t="n">
        <v>0</v>
      </c>
      <c r="L369" t="n">
        <v>0</v>
      </c>
      <c r="M369" t="n">
        <v>0</v>
      </c>
      <c r="N369" t="n">
        <v>0</v>
      </c>
      <c r="O369" t="n">
        <v>0</v>
      </c>
      <c r="P369" t="n">
        <v>0</v>
      </c>
      <c r="Q369" t="n">
        <v>0</v>
      </c>
      <c r="R369" s="2" t="inlineStr"/>
    </row>
    <row r="370" ht="15" customHeight="1">
      <c r="A370" t="inlineStr">
        <is>
          <t>A 8910-2021</t>
        </is>
      </c>
      <c r="B370" s="1" t="n">
        <v>44246</v>
      </c>
      <c r="C370" s="1" t="n">
        <v>45936</v>
      </c>
      <c r="D370" t="inlineStr">
        <is>
          <t>VÄRMLANDS LÄN</t>
        </is>
      </c>
      <c r="E370" t="inlineStr">
        <is>
          <t>TORSBY</t>
        </is>
      </c>
      <c r="G370" t="n">
        <v>3.7</v>
      </c>
      <c r="H370" t="n">
        <v>0</v>
      </c>
      <c r="I370" t="n">
        <v>0</v>
      </c>
      <c r="J370" t="n">
        <v>0</v>
      </c>
      <c r="K370" t="n">
        <v>0</v>
      </c>
      <c r="L370" t="n">
        <v>0</v>
      </c>
      <c r="M370" t="n">
        <v>0</v>
      </c>
      <c r="N370" t="n">
        <v>0</v>
      </c>
      <c r="O370" t="n">
        <v>0</v>
      </c>
      <c r="P370" t="n">
        <v>0</v>
      </c>
      <c r="Q370" t="n">
        <v>0</v>
      </c>
      <c r="R370" s="2" t="inlineStr"/>
    </row>
    <row r="371" ht="15" customHeight="1">
      <c r="A371" t="inlineStr">
        <is>
          <t>A 73165-2021</t>
        </is>
      </c>
      <c r="B371" s="1" t="n">
        <v>44550</v>
      </c>
      <c r="C371" s="1" t="n">
        <v>45936</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52900-2021</t>
        </is>
      </c>
      <c r="B372" s="1" t="n">
        <v>44467</v>
      </c>
      <c r="C372" s="1" t="n">
        <v>45936</v>
      </c>
      <c r="D372" t="inlineStr">
        <is>
          <t>VÄRMLANDS LÄN</t>
        </is>
      </c>
      <c r="E372" t="inlineStr">
        <is>
          <t>TORSBY</t>
        </is>
      </c>
      <c r="G372" t="n">
        <v>3.8</v>
      </c>
      <c r="H372" t="n">
        <v>0</v>
      </c>
      <c r="I372" t="n">
        <v>0</v>
      </c>
      <c r="J372" t="n">
        <v>0</v>
      </c>
      <c r="K372" t="n">
        <v>0</v>
      </c>
      <c r="L372" t="n">
        <v>0</v>
      </c>
      <c r="M372" t="n">
        <v>0</v>
      </c>
      <c r="N372" t="n">
        <v>0</v>
      </c>
      <c r="O372" t="n">
        <v>0</v>
      </c>
      <c r="P372" t="n">
        <v>0</v>
      </c>
      <c r="Q372" t="n">
        <v>0</v>
      </c>
      <c r="R372" s="2" t="inlineStr"/>
    </row>
    <row r="373" ht="15" customHeight="1">
      <c r="A373" t="inlineStr">
        <is>
          <t>A 44517-2022</t>
        </is>
      </c>
      <c r="B373" s="1" t="n">
        <v>44840.43184027778</v>
      </c>
      <c r="C373" s="1" t="n">
        <v>45936</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29509-2022</t>
        </is>
      </c>
      <c r="B374" s="1" t="n">
        <v>44753</v>
      </c>
      <c r="C374" s="1" t="n">
        <v>45936</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20907-2022</t>
        </is>
      </c>
      <c r="B375" s="1" t="n">
        <v>44701.60076388889</v>
      </c>
      <c r="C375" s="1" t="n">
        <v>45936</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15873-2025</t>
        </is>
      </c>
      <c r="B376" s="1" t="n">
        <v>45749.3759375</v>
      </c>
      <c r="C376" s="1" t="n">
        <v>45936</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24827-2025</t>
        </is>
      </c>
      <c r="B377" s="1" t="n">
        <v>45799.45724537037</v>
      </c>
      <c r="C377" s="1" t="n">
        <v>45936</v>
      </c>
      <c r="D377" t="inlineStr">
        <is>
          <t>VÄRMLANDS LÄN</t>
        </is>
      </c>
      <c r="E377" t="inlineStr">
        <is>
          <t>TORSBY</t>
        </is>
      </c>
      <c r="G377" t="n">
        <v>27.5</v>
      </c>
      <c r="H377" t="n">
        <v>0</v>
      </c>
      <c r="I377" t="n">
        <v>0</v>
      </c>
      <c r="J377" t="n">
        <v>0</v>
      </c>
      <c r="K377" t="n">
        <v>0</v>
      </c>
      <c r="L377" t="n">
        <v>0</v>
      </c>
      <c r="M377" t="n">
        <v>0</v>
      </c>
      <c r="N377" t="n">
        <v>0</v>
      </c>
      <c r="O377" t="n">
        <v>0</v>
      </c>
      <c r="P377" t="n">
        <v>0</v>
      </c>
      <c r="Q377" t="n">
        <v>0</v>
      </c>
      <c r="R377" s="2" t="inlineStr"/>
    </row>
    <row r="378" ht="15" customHeight="1">
      <c r="A378" t="inlineStr">
        <is>
          <t>A 5050-2021</t>
        </is>
      </c>
      <c r="B378" s="1" t="n">
        <v>44228.5018287037</v>
      </c>
      <c r="C378" s="1" t="n">
        <v>45936</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23996-2024</t>
        </is>
      </c>
      <c r="B379" s="1" t="n">
        <v>45456</v>
      </c>
      <c r="C379" s="1" t="n">
        <v>45936</v>
      </c>
      <c r="D379" t="inlineStr">
        <is>
          <t>VÄRMLANDS LÄN</t>
        </is>
      </c>
      <c r="E379" t="inlineStr">
        <is>
          <t>TORSBY</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16329-2025</t>
        </is>
      </c>
      <c r="B380" s="1" t="n">
        <v>45751</v>
      </c>
      <c r="C380" s="1" t="n">
        <v>45936</v>
      </c>
      <c r="D380" t="inlineStr">
        <is>
          <t>VÄRMLANDS LÄN</t>
        </is>
      </c>
      <c r="E380" t="inlineStr">
        <is>
          <t>TORSBY</t>
        </is>
      </c>
      <c r="F380" t="inlineStr">
        <is>
          <t>Bergvik skog väst AB</t>
        </is>
      </c>
      <c r="G380" t="n">
        <v>4.8</v>
      </c>
      <c r="H380" t="n">
        <v>0</v>
      </c>
      <c r="I380" t="n">
        <v>0</v>
      </c>
      <c r="J380" t="n">
        <v>0</v>
      </c>
      <c r="K380" t="n">
        <v>0</v>
      </c>
      <c r="L380" t="n">
        <v>0</v>
      </c>
      <c r="M380" t="n">
        <v>0</v>
      </c>
      <c r="N380" t="n">
        <v>0</v>
      </c>
      <c r="O380" t="n">
        <v>0</v>
      </c>
      <c r="P380" t="n">
        <v>0</v>
      </c>
      <c r="Q380" t="n">
        <v>0</v>
      </c>
      <c r="R380" s="2" t="inlineStr"/>
    </row>
    <row r="381" ht="15" customHeight="1">
      <c r="A381" t="inlineStr">
        <is>
          <t>A 35629-2023</t>
        </is>
      </c>
      <c r="B381" s="1" t="n">
        <v>45147.55939814815</v>
      </c>
      <c r="C381" s="1" t="n">
        <v>45936</v>
      </c>
      <c r="D381" t="inlineStr">
        <is>
          <t>VÄRMLANDS LÄN</t>
        </is>
      </c>
      <c r="E381" t="inlineStr">
        <is>
          <t>TORSBY</t>
        </is>
      </c>
      <c r="G381" t="n">
        <v>10.3</v>
      </c>
      <c r="H381" t="n">
        <v>0</v>
      </c>
      <c r="I381" t="n">
        <v>0</v>
      </c>
      <c r="J381" t="n">
        <v>0</v>
      </c>
      <c r="K381" t="n">
        <v>0</v>
      </c>
      <c r="L381" t="n">
        <v>0</v>
      </c>
      <c r="M381" t="n">
        <v>0</v>
      </c>
      <c r="N381" t="n">
        <v>0</v>
      </c>
      <c r="O381" t="n">
        <v>0</v>
      </c>
      <c r="P381" t="n">
        <v>0</v>
      </c>
      <c r="Q381" t="n">
        <v>0</v>
      </c>
      <c r="R381" s="2" t="inlineStr"/>
    </row>
    <row r="382" ht="15" customHeight="1">
      <c r="A382" t="inlineStr">
        <is>
          <t>A 51838-2020</t>
        </is>
      </c>
      <c r="B382" s="1" t="n">
        <v>44116</v>
      </c>
      <c r="C382" s="1" t="n">
        <v>45936</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28284-2024</t>
        </is>
      </c>
      <c r="B383" s="1" t="n">
        <v>45477</v>
      </c>
      <c r="C383" s="1" t="n">
        <v>45936</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30384-2021</t>
        </is>
      </c>
      <c r="B384" s="1" t="n">
        <v>44364.4903587963</v>
      </c>
      <c r="C384" s="1" t="n">
        <v>45936</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54916-2020</t>
        </is>
      </c>
      <c r="B385" s="1" t="n">
        <v>44127</v>
      </c>
      <c r="C385" s="1" t="n">
        <v>45936</v>
      </c>
      <c r="D385" t="inlineStr">
        <is>
          <t>VÄRMLANDS LÄN</t>
        </is>
      </c>
      <c r="E385" t="inlineStr">
        <is>
          <t>TORSBY</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2981-2025</t>
        </is>
      </c>
      <c r="B386" s="1" t="n">
        <v>45678.48844907407</v>
      </c>
      <c r="C386" s="1" t="n">
        <v>45936</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58951-2022</t>
        </is>
      </c>
      <c r="B387" s="1" t="n">
        <v>44903.65313657407</v>
      </c>
      <c r="C387" s="1" t="n">
        <v>45936</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522-2023</t>
        </is>
      </c>
      <c r="B388" s="1" t="n">
        <v>44930</v>
      </c>
      <c r="C388" s="1" t="n">
        <v>45936</v>
      </c>
      <c r="D388" t="inlineStr">
        <is>
          <t>VÄRMLANDS LÄN</t>
        </is>
      </c>
      <c r="E388" t="inlineStr">
        <is>
          <t>TORSBY</t>
        </is>
      </c>
      <c r="G388" t="n">
        <v>2.8</v>
      </c>
      <c r="H388" t="n">
        <v>0</v>
      </c>
      <c r="I388" t="n">
        <v>0</v>
      </c>
      <c r="J388" t="n">
        <v>0</v>
      </c>
      <c r="K388" t="n">
        <v>0</v>
      </c>
      <c r="L388" t="n">
        <v>0</v>
      </c>
      <c r="M388" t="n">
        <v>0</v>
      </c>
      <c r="N388" t="n">
        <v>0</v>
      </c>
      <c r="O388" t="n">
        <v>0</v>
      </c>
      <c r="P388" t="n">
        <v>0</v>
      </c>
      <c r="Q388" t="n">
        <v>0</v>
      </c>
      <c r="R388" s="2" t="inlineStr"/>
    </row>
    <row r="389" ht="15" customHeight="1">
      <c r="A389" t="inlineStr">
        <is>
          <t>A 15465-2024</t>
        </is>
      </c>
      <c r="B389" s="1" t="n">
        <v>45401.47399305556</v>
      </c>
      <c r="C389" s="1" t="n">
        <v>45936</v>
      </c>
      <c r="D389" t="inlineStr">
        <is>
          <t>VÄRMLANDS LÄN</t>
        </is>
      </c>
      <c r="E389" t="inlineStr">
        <is>
          <t>TORSBY</t>
        </is>
      </c>
      <c r="F389" t="inlineStr">
        <is>
          <t>Bergvik skog väst AB</t>
        </is>
      </c>
      <c r="G389" t="n">
        <v>24.6</v>
      </c>
      <c r="H389" t="n">
        <v>0</v>
      </c>
      <c r="I389" t="n">
        <v>0</v>
      </c>
      <c r="J389" t="n">
        <v>0</v>
      </c>
      <c r="K389" t="n">
        <v>0</v>
      </c>
      <c r="L389" t="n">
        <v>0</v>
      </c>
      <c r="M389" t="n">
        <v>0</v>
      </c>
      <c r="N389" t="n">
        <v>0</v>
      </c>
      <c r="O389" t="n">
        <v>0</v>
      </c>
      <c r="P389" t="n">
        <v>0</v>
      </c>
      <c r="Q389" t="n">
        <v>0</v>
      </c>
      <c r="R389" s="2" t="inlineStr"/>
    </row>
    <row r="390" ht="15" customHeight="1">
      <c r="A390" t="inlineStr">
        <is>
          <t>A 51380-2020</t>
        </is>
      </c>
      <c r="B390" s="1" t="n">
        <v>44113</v>
      </c>
      <c r="C390" s="1" t="n">
        <v>45936</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51382-2020</t>
        </is>
      </c>
      <c r="B391" s="1" t="n">
        <v>44113</v>
      </c>
      <c r="C391" s="1" t="n">
        <v>45936</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45936</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19375-2021</t>
        </is>
      </c>
      <c r="B393" s="1" t="n">
        <v>44309.6765625</v>
      </c>
      <c r="C393" s="1" t="n">
        <v>45936</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7921-2022</t>
        </is>
      </c>
      <c r="B394" s="1" t="n">
        <v>44608</v>
      </c>
      <c r="C394" s="1" t="n">
        <v>45936</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39780-2022</t>
        </is>
      </c>
      <c r="B395" s="1" t="n">
        <v>44819.46672453704</v>
      </c>
      <c r="C395" s="1" t="n">
        <v>45936</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60167-2020</t>
        </is>
      </c>
      <c r="B396" s="1" t="n">
        <v>44152</v>
      </c>
      <c r="C396" s="1" t="n">
        <v>45936</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58869-2022</t>
        </is>
      </c>
      <c r="B397" s="1" t="n">
        <v>44903</v>
      </c>
      <c r="C397" s="1" t="n">
        <v>45936</v>
      </c>
      <c r="D397" t="inlineStr">
        <is>
          <t>VÄRMLANDS LÄN</t>
        </is>
      </c>
      <c r="E397" t="inlineStr">
        <is>
          <t>TORSBY</t>
        </is>
      </c>
      <c r="G397" t="n">
        <v>0.4</v>
      </c>
      <c r="H397" t="n">
        <v>0</v>
      </c>
      <c r="I397" t="n">
        <v>0</v>
      </c>
      <c r="J397" t="n">
        <v>0</v>
      </c>
      <c r="K397" t="n">
        <v>0</v>
      </c>
      <c r="L397" t="n">
        <v>0</v>
      </c>
      <c r="M397" t="n">
        <v>0</v>
      </c>
      <c r="N397" t="n">
        <v>0</v>
      </c>
      <c r="O397" t="n">
        <v>0</v>
      </c>
      <c r="P397" t="n">
        <v>0</v>
      </c>
      <c r="Q397" t="n">
        <v>0</v>
      </c>
      <c r="R397" s="2" t="inlineStr"/>
    </row>
    <row r="398" ht="15" customHeight="1">
      <c r="A398" t="inlineStr">
        <is>
          <t>A 58078-2020</t>
        </is>
      </c>
      <c r="B398" s="1" t="n">
        <v>44144</v>
      </c>
      <c r="C398" s="1" t="n">
        <v>45936</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61998-2020</t>
        </is>
      </c>
      <c r="B399" s="1" t="n">
        <v>44158</v>
      </c>
      <c r="C399" s="1" t="n">
        <v>45936</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23423-2024</t>
        </is>
      </c>
      <c r="B400" s="1" t="n">
        <v>45453.60787037037</v>
      </c>
      <c r="C400" s="1" t="n">
        <v>45936</v>
      </c>
      <c r="D400" t="inlineStr">
        <is>
          <t>VÄRMLANDS LÄN</t>
        </is>
      </c>
      <c r="E400" t="inlineStr">
        <is>
          <t>TORSBY</t>
        </is>
      </c>
      <c r="G400" t="n">
        <v>3.1</v>
      </c>
      <c r="H400" t="n">
        <v>0</v>
      </c>
      <c r="I400" t="n">
        <v>0</v>
      </c>
      <c r="J400" t="n">
        <v>0</v>
      </c>
      <c r="K400" t="n">
        <v>0</v>
      </c>
      <c r="L400" t="n">
        <v>0</v>
      </c>
      <c r="M400" t="n">
        <v>0</v>
      </c>
      <c r="N400" t="n">
        <v>0</v>
      </c>
      <c r="O400" t="n">
        <v>0</v>
      </c>
      <c r="P400" t="n">
        <v>0</v>
      </c>
      <c r="Q400" t="n">
        <v>0</v>
      </c>
      <c r="R400" s="2" t="inlineStr"/>
    </row>
    <row r="401" ht="15" customHeight="1">
      <c r="A401" t="inlineStr">
        <is>
          <t>A 41995-2022</t>
        </is>
      </c>
      <c r="B401" s="1" t="n">
        <v>44830</v>
      </c>
      <c r="C401" s="1" t="n">
        <v>45936</v>
      </c>
      <c r="D401" t="inlineStr">
        <is>
          <t>VÄRMLANDS LÄN</t>
        </is>
      </c>
      <c r="E401" t="inlineStr">
        <is>
          <t>TORSBY</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22662-2022</t>
        </is>
      </c>
      <c r="B402" s="1" t="n">
        <v>44714</v>
      </c>
      <c r="C402" s="1" t="n">
        <v>45936</v>
      </c>
      <c r="D402" t="inlineStr">
        <is>
          <t>VÄRMLANDS LÄN</t>
        </is>
      </c>
      <c r="E402" t="inlineStr">
        <is>
          <t>TORSBY</t>
        </is>
      </c>
      <c r="G402" t="n">
        <v>4.8</v>
      </c>
      <c r="H402" t="n">
        <v>0</v>
      </c>
      <c r="I402" t="n">
        <v>0</v>
      </c>
      <c r="J402" t="n">
        <v>0</v>
      </c>
      <c r="K402" t="n">
        <v>0</v>
      </c>
      <c r="L402" t="n">
        <v>0</v>
      </c>
      <c r="M402" t="n">
        <v>0</v>
      </c>
      <c r="N402" t="n">
        <v>0</v>
      </c>
      <c r="O402" t="n">
        <v>0</v>
      </c>
      <c r="P402" t="n">
        <v>0</v>
      </c>
      <c r="Q402" t="n">
        <v>0</v>
      </c>
      <c r="R402" s="2" t="inlineStr"/>
    </row>
    <row r="403" ht="15" customHeight="1">
      <c r="A403" t="inlineStr">
        <is>
          <t>A 24960-2022</t>
        </is>
      </c>
      <c r="B403" s="1" t="n">
        <v>44728</v>
      </c>
      <c r="C403" s="1" t="n">
        <v>45936</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4479-2021</t>
        </is>
      </c>
      <c r="B404" s="1" t="n">
        <v>44224</v>
      </c>
      <c r="C404" s="1" t="n">
        <v>45936</v>
      </c>
      <c r="D404" t="inlineStr">
        <is>
          <t>VÄRMLANDS LÄN</t>
        </is>
      </c>
      <c r="E404" t="inlineStr">
        <is>
          <t>TORSBY</t>
        </is>
      </c>
      <c r="G404" t="n">
        <v>2.1</v>
      </c>
      <c r="H404" t="n">
        <v>0</v>
      </c>
      <c r="I404" t="n">
        <v>0</v>
      </c>
      <c r="J404" t="n">
        <v>0</v>
      </c>
      <c r="K404" t="n">
        <v>0</v>
      </c>
      <c r="L404" t="n">
        <v>0</v>
      </c>
      <c r="M404" t="n">
        <v>0</v>
      </c>
      <c r="N404" t="n">
        <v>0</v>
      </c>
      <c r="O404" t="n">
        <v>0</v>
      </c>
      <c r="P404" t="n">
        <v>0</v>
      </c>
      <c r="Q404" t="n">
        <v>0</v>
      </c>
      <c r="R404" s="2" t="inlineStr"/>
    </row>
    <row r="405" ht="15" customHeight="1">
      <c r="A405" t="inlineStr">
        <is>
          <t>A 45303-2022</t>
        </is>
      </c>
      <c r="B405" s="1" t="n">
        <v>44844</v>
      </c>
      <c r="C405" s="1" t="n">
        <v>45936</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35221-2021</t>
        </is>
      </c>
      <c r="B406" s="1" t="n">
        <v>44384</v>
      </c>
      <c r="C406" s="1" t="n">
        <v>45936</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6863-2023</t>
        </is>
      </c>
      <c r="B407" s="1" t="n">
        <v>44964</v>
      </c>
      <c r="C407" s="1" t="n">
        <v>45936</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34581-2022</t>
        </is>
      </c>
      <c r="B408" s="1" t="n">
        <v>44792</v>
      </c>
      <c r="C408" s="1" t="n">
        <v>45936</v>
      </c>
      <c r="D408" t="inlineStr">
        <is>
          <t>VÄRMLANDS LÄN</t>
        </is>
      </c>
      <c r="E408" t="inlineStr">
        <is>
          <t>TORSBY</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32438-2022</t>
        </is>
      </c>
      <c r="B409" s="1" t="n">
        <v>44782</v>
      </c>
      <c r="C409" s="1" t="n">
        <v>45936</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34378-2022</t>
        </is>
      </c>
      <c r="B410" s="1" t="n">
        <v>44792.48787037037</v>
      </c>
      <c r="C410" s="1" t="n">
        <v>45936</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2130-2024</t>
        </is>
      </c>
      <c r="B411" s="1" t="n">
        <v>45309.51518518518</v>
      </c>
      <c r="C411" s="1" t="n">
        <v>45936</v>
      </c>
      <c r="D411" t="inlineStr">
        <is>
          <t>VÄRMLANDS LÄN</t>
        </is>
      </c>
      <c r="E411" t="inlineStr">
        <is>
          <t>TORSBY</t>
        </is>
      </c>
      <c r="G411" t="n">
        <v>4</v>
      </c>
      <c r="H411" t="n">
        <v>0</v>
      </c>
      <c r="I411" t="n">
        <v>0</v>
      </c>
      <c r="J411" t="n">
        <v>0</v>
      </c>
      <c r="K411" t="n">
        <v>0</v>
      </c>
      <c r="L411" t="n">
        <v>0</v>
      </c>
      <c r="M411" t="n">
        <v>0</v>
      </c>
      <c r="N411" t="n">
        <v>0</v>
      </c>
      <c r="O411" t="n">
        <v>0</v>
      </c>
      <c r="P411" t="n">
        <v>0</v>
      </c>
      <c r="Q411" t="n">
        <v>0</v>
      </c>
      <c r="R411" s="2" t="inlineStr"/>
    </row>
    <row r="412" ht="15" customHeight="1">
      <c r="A412" t="inlineStr">
        <is>
          <t>A 37754-2022</t>
        </is>
      </c>
      <c r="B412" s="1" t="n">
        <v>44810</v>
      </c>
      <c r="C412" s="1" t="n">
        <v>45936</v>
      </c>
      <c r="D412" t="inlineStr">
        <is>
          <t>VÄRMLANDS LÄN</t>
        </is>
      </c>
      <c r="E412" t="inlineStr">
        <is>
          <t>TORSBY</t>
        </is>
      </c>
      <c r="F412" t="inlineStr">
        <is>
          <t>Kyrkan</t>
        </is>
      </c>
      <c r="G412" t="n">
        <v>0.9</v>
      </c>
      <c r="H412" t="n">
        <v>0</v>
      </c>
      <c r="I412" t="n">
        <v>0</v>
      </c>
      <c r="J412" t="n">
        <v>0</v>
      </c>
      <c r="K412" t="n">
        <v>0</v>
      </c>
      <c r="L412" t="n">
        <v>0</v>
      </c>
      <c r="M412" t="n">
        <v>0</v>
      </c>
      <c r="N412" t="n">
        <v>0</v>
      </c>
      <c r="O412" t="n">
        <v>0</v>
      </c>
      <c r="P412" t="n">
        <v>0</v>
      </c>
      <c r="Q412" t="n">
        <v>0</v>
      </c>
      <c r="R412" s="2" t="inlineStr"/>
    </row>
    <row r="413" ht="15" customHeight="1">
      <c r="A413" t="inlineStr">
        <is>
          <t>A 69281-2021</t>
        </is>
      </c>
      <c r="B413" s="1" t="n">
        <v>44526</v>
      </c>
      <c r="C413" s="1" t="n">
        <v>45936</v>
      </c>
      <c r="D413" t="inlineStr">
        <is>
          <t>VÄRMLANDS LÄN</t>
        </is>
      </c>
      <c r="E413" t="inlineStr">
        <is>
          <t>TORSBY</t>
        </is>
      </c>
      <c r="G413" t="n">
        <v>7.5</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45936</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45936</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30011-2024</t>
        </is>
      </c>
      <c r="B416" s="1" t="n">
        <v>45488</v>
      </c>
      <c r="C416" s="1" t="n">
        <v>45936</v>
      </c>
      <c r="D416" t="inlineStr">
        <is>
          <t>VÄRMLANDS LÄN</t>
        </is>
      </c>
      <c r="E416" t="inlineStr">
        <is>
          <t>TORSBY</t>
        </is>
      </c>
      <c r="F416" t="inlineStr">
        <is>
          <t>Kommuner</t>
        </is>
      </c>
      <c r="G416" t="n">
        <v>4.7</v>
      </c>
      <c r="H416" t="n">
        <v>0</v>
      </c>
      <c r="I416" t="n">
        <v>0</v>
      </c>
      <c r="J416" t="n">
        <v>0</v>
      </c>
      <c r="K416" t="n">
        <v>0</v>
      </c>
      <c r="L416" t="n">
        <v>0</v>
      </c>
      <c r="M416" t="n">
        <v>0</v>
      </c>
      <c r="N416" t="n">
        <v>0</v>
      </c>
      <c r="O416" t="n">
        <v>0</v>
      </c>
      <c r="P416" t="n">
        <v>0</v>
      </c>
      <c r="Q416" t="n">
        <v>0</v>
      </c>
      <c r="R416" s="2" t="inlineStr"/>
    </row>
    <row r="417" ht="15" customHeight="1">
      <c r="A417" t="inlineStr">
        <is>
          <t>A 29720-2022</t>
        </is>
      </c>
      <c r="B417" s="1" t="n">
        <v>44755</v>
      </c>
      <c r="C417" s="1" t="n">
        <v>45936</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42646-2021</t>
        </is>
      </c>
      <c r="B418" s="1" t="n">
        <v>44428.45663194444</v>
      </c>
      <c r="C418" s="1" t="n">
        <v>45936</v>
      </c>
      <c r="D418" t="inlineStr">
        <is>
          <t>VÄRMLANDS LÄN</t>
        </is>
      </c>
      <c r="E418" t="inlineStr">
        <is>
          <t>TORSBY</t>
        </is>
      </c>
      <c r="F418" t="inlineStr">
        <is>
          <t>Bergvik skog väst AB</t>
        </is>
      </c>
      <c r="G418" t="n">
        <v>21.4</v>
      </c>
      <c r="H418" t="n">
        <v>0</v>
      </c>
      <c r="I418" t="n">
        <v>0</v>
      </c>
      <c r="J418" t="n">
        <v>0</v>
      </c>
      <c r="K418" t="n">
        <v>0</v>
      </c>
      <c r="L418" t="n">
        <v>0</v>
      </c>
      <c r="M418" t="n">
        <v>0</v>
      </c>
      <c r="N418" t="n">
        <v>0</v>
      </c>
      <c r="O418" t="n">
        <v>0</v>
      </c>
      <c r="P418" t="n">
        <v>0</v>
      </c>
      <c r="Q418" t="n">
        <v>0</v>
      </c>
      <c r="R418" s="2" t="inlineStr"/>
    </row>
    <row r="419" ht="15" customHeight="1">
      <c r="A419" t="inlineStr">
        <is>
          <t>A 34655-2022</t>
        </is>
      </c>
      <c r="B419" s="1" t="n">
        <v>44795</v>
      </c>
      <c r="C419" s="1" t="n">
        <v>45936</v>
      </c>
      <c r="D419" t="inlineStr">
        <is>
          <t>VÄRMLANDS LÄN</t>
        </is>
      </c>
      <c r="E419" t="inlineStr">
        <is>
          <t>TORSBY</t>
        </is>
      </c>
      <c r="G419" t="n">
        <v>12.8</v>
      </c>
      <c r="H419" t="n">
        <v>0</v>
      </c>
      <c r="I419" t="n">
        <v>0</v>
      </c>
      <c r="J419" t="n">
        <v>0</v>
      </c>
      <c r="K419" t="n">
        <v>0</v>
      </c>
      <c r="L419" t="n">
        <v>0</v>
      </c>
      <c r="M419" t="n">
        <v>0</v>
      </c>
      <c r="N419" t="n">
        <v>0</v>
      </c>
      <c r="O419" t="n">
        <v>0</v>
      </c>
      <c r="P419" t="n">
        <v>0</v>
      </c>
      <c r="Q419" t="n">
        <v>0</v>
      </c>
      <c r="R419" s="2" t="inlineStr"/>
    </row>
    <row r="420" ht="15" customHeight="1">
      <c r="A420" t="inlineStr">
        <is>
          <t>A 24696-2023</t>
        </is>
      </c>
      <c r="B420" s="1" t="n">
        <v>45084</v>
      </c>
      <c r="C420" s="1" t="n">
        <v>45936</v>
      </c>
      <c r="D420" t="inlineStr">
        <is>
          <t>VÄRMLANDS LÄN</t>
        </is>
      </c>
      <c r="E420" t="inlineStr">
        <is>
          <t>TORSBY</t>
        </is>
      </c>
      <c r="G420" t="n">
        <v>0.7</v>
      </c>
      <c r="H420" t="n">
        <v>0</v>
      </c>
      <c r="I420" t="n">
        <v>0</v>
      </c>
      <c r="J420" t="n">
        <v>0</v>
      </c>
      <c r="K420" t="n">
        <v>0</v>
      </c>
      <c r="L420" t="n">
        <v>0</v>
      </c>
      <c r="M420" t="n">
        <v>0</v>
      </c>
      <c r="N420" t="n">
        <v>0</v>
      </c>
      <c r="O420" t="n">
        <v>0</v>
      </c>
      <c r="P420" t="n">
        <v>0</v>
      </c>
      <c r="Q420" t="n">
        <v>0</v>
      </c>
      <c r="R420" s="2" t="inlineStr"/>
    </row>
    <row r="421" ht="15" customHeight="1">
      <c r="A421" t="inlineStr">
        <is>
          <t>A 200-2025</t>
        </is>
      </c>
      <c r="B421" s="1" t="n">
        <v>45659.93418981481</v>
      </c>
      <c r="C421" s="1" t="n">
        <v>45936</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27686-2022</t>
        </is>
      </c>
      <c r="B422" s="1" t="n">
        <v>44743.43273148148</v>
      </c>
      <c r="C422" s="1" t="n">
        <v>45936</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70775-2021</t>
        </is>
      </c>
      <c r="B423" s="1" t="n">
        <v>44537</v>
      </c>
      <c r="C423" s="1" t="n">
        <v>45936</v>
      </c>
      <c r="D423" t="inlineStr">
        <is>
          <t>VÄRMLANDS LÄN</t>
        </is>
      </c>
      <c r="E423" t="inlineStr">
        <is>
          <t>TORSBY</t>
        </is>
      </c>
      <c r="G423" t="n">
        <v>0.3</v>
      </c>
      <c r="H423" t="n">
        <v>0</v>
      </c>
      <c r="I423" t="n">
        <v>0</v>
      </c>
      <c r="J423" t="n">
        <v>0</v>
      </c>
      <c r="K423" t="n">
        <v>0</v>
      </c>
      <c r="L423" t="n">
        <v>0</v>
      </c>
      <c r="M423" t="n">
        <v>0</v>
      </c>
      <c r="N423" t="n">
        <v>0</v>
      </c>
      <c r="O423" t="n">
        <v>0</v>
      </c>
      <c r="P423" t="n">
        <v>0</v>
      </c>
      <c r="Q423" t="n">
        <v>0</v>
      </c>
      <c r="R423" s="2" t="inlineStr"/>
    </row>
    <row r="424" ht="15" customHeight="1">
      <c r="A424" t="inlineStr">
        <is>
          <t>A 35909-2021</t>
        </is>
      </c>
      <c r="B424" s="1" t="n">
        <v>44387</v>
      </c>
      <c r="C424" s="1" t="n">
        <v>45936</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45936</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45936</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55808-2024</t>
        </is>
      </c>
      <c r="B427" s="1" t="n">
        <v>45622</v>
      </c>
      <c r="C427" s="1" t="n">
        <v>45936</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57119-2020</t>
        </is>
      </c>
      <c r="B428" s="1" t="n">
        <v>44139</v>
      </c>
      <c r="C428" s="1" t="n">
        <v>45936</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47141-2022</t>
        </is>
      </c>
      <c r="B429" s="1" t="n">
        <v>44852.56548611111</v>
      </c>
      <c r="C429" s="1" t="n">
        <v>45936</v>
      </c>
      <c r="D429" t="inlineStr">
        <is>
          <t>VÄRMLANDS LÄN</t>
        </is>
      </c>
      <c r="E429" t="inlineStr">
        <is>
          <t>TORSBY</t>
        </is>
      </c>
      <c r="G429" t="n">
        <v>2.6</v>
      </c>
      <c r="H429" t="n">
        <v>0</v>
      </c>
      <c r="I429" t="n">
        <v>0</v>
      </c>
      <c r="J429" t="n">
        <v>0</v>
      </c>
      <c r="K429" t="n">
        <v>0</v>
      </c>
      <c r="L429" t="n">
        <v>0</v>
      </c>
      <c r="M429" t="n">
        <v>0</v>
      </c>
      <c r="N429" t="n">
        <v>0</v>
      </c>
      <c r="O429" t="n">
        <v>0</v>
      </c>
      <c r="P429" t="n">
        <v>0</v>
      </c>
      <c r="Q429" t="n">
        <v>0</v>
      </c>
      <c r="R429" s="2" t="inlineStr"/>
    </row>
    <row r="430" ht="15" customHeight="1">
      <c r="A430" t="inlineStr">
        <is>
          <t>A 35606-2022</t>
        </is>
      </c>
      <c r="B430" s="1" t="n">
        <v>44799</v>
      </c>
      <c r="C430" s="1" t="n">
        <v>45936</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16789-2024</t>
        </is>
      </c>
      <c r="B431" s="1" t="n">
        <v>45411</v>
      </c>
      <c r="C431" s="1" t="n">
        <v>45936</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42834-2024</t>
        </is>
      </c>
      <c r="B432" s="1" t="n">
        <v>45566</v>
      </c>
      <c r="C432" s="1" t="n">
        <v>45936</v>
      </c>
      <c r="D432" t="inlineStr">
        <is>
          <t>VÄRMLANDS LÄN</t>
        </is>
      </c>
      <c r="E432" t="inlineStr">
        <is>
          <t>TORSBY</t>
        </is>
      </c>
      <c r="G432" t="n">
        <v>5.8</v>
      </c>
      <c r="H432" t="n">
        <v>0</v>
      </c>
      <c r="I432" t="n">
        <v>0</v>
      </c>
      <c r="J432" t="n">
        <v>0</v>
      </c>
      <c r="K432" t="n">
        <v>0</v>
      </c>
      <c r="L432" t="n">
        <v>0</v>
      </c>
      <c r="M432" t="n">
        <v>0</v>
      </c>
      <c r="N432" t="n">
        <v>0</v>
      </c>
      <c r="O432" t="n">
        <v>0</v>
      </c>
      <c r="P432" t="n">
        <v>0</v>
      </c>
      <c r="Q432" t="n">
        <v>0</v>
      </c>
      <c r="R432" s="2" t="inlineStr"/>
    </row>
    <row r="433" ht="15" customHeight="1">
      <c r="A433" t="inlineStr">
        <is>
          <t>A 40221-2022</t>
        </is>
      </c>
      <c r="B433" s="1" t="n">
        <v>44820.6512037037</v>
      </c>
      <c r="C433" s="1" t="n">
        <v>45936</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54924-2020</t>
        </is>
      </c>
      <c r="B434" s="1" t="n">
        <v>44127</v>
      </c>
      <c r="C434" s="1" t="n">
        <v>45936</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18684-2025</t>
        </is>
      </c>
      <c r="B435" s="1" t="n">
        <v>45763.61064814815</v>
      </c>
      <c r="C435" s="1" t="n">
        <v>45936</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73521-2021</t>
        </is>
      </c>
      <c r="B436" s="1" t="n">
        <v>44551</v>
      </c>
      <c r="C436" s="1" t="n">
        <v>45936</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45134-2024</t>
        </is>
      </c>
      <c r="B437" s="1" t="n">
        <v>45575</v>
      </c>
      <c r="C437" s="1" t="n">
        <v>45936</v>
      </c>
      <c r="D437" t="inlineStr">
        <is>
          <t>VÄRMLANDS LÄN</t>
        </is>
      </c>
      <c r="E437" t="inlineStr">
        <is>
          <t>TORSBY</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27588-2024</t>
        </is>
      </c>
      <c r="B438" s="1" t="n">
        <v>45474</v>
      </c>
      <c r="C438" s="1" t="n">
        <v>45936</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46343-2024</t>
        </is>
      </c>
      <c r="B439" s="1" t="n">
        <v>45582</v>
      </c>
      <c r="C439" s="1" t="n">
        <v>45936</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3678-2024</t>
        </is>
      </c>
      <c r="B440" s="1" t="n">
        <v>45321.37844907407</v>
      </c>
      <c r="C440" s="1" t="n">
        <v>45936</v>
      </c>
      <c r="D440" t="inlineStr">
        <is>
          <t>VÄRMLANDS LÄN</t>
        </is>
      </c>
      <c r="E440" t="inlineStr">
        <is>
          <t>TORSBY</t>
        </is>
      </c>
      <c r="G440" t="n">
        <v>24.6</v>
      </c>
      <c r="H440" t="n">
        <v>0</v>
      </c>
      <c r="I440" t="n">
        <v>0</v>
      </c>
      <c r="J440" t="n">
        <v>0</v>
      </c>
      <c r="K440" t="n">
        <v>0</v>
      </c>
      <c r="L440" t="n">
        <v>0</v>
      </c>
      <c r="M440" t="n">
        <v>0</v>
      </c>
      <c r="N440" t="n">
        <v>0</v>
      </c>
      <c r="O440" t="n">
        <v>0</v>
      </c>
      <c r="P440" t="n">
        <v>0</v>
      </c>
      <c r="Q440" t="n">
        <v>0</v>
      </c>
      <c r="R440" s="2" t="inlineStr"/>
    </row>
    <row r="441" ht="15" customHeight="1">
      <c r="A441" t="inlineStr">
        <is>
          <t>A 51386-2023</t>
        </is>
      </c>
      <c r="B441" s="1" t="n">
        <v>45219.65394675926</v>
      </c>
      <c r="C441" s="1" t="n">
        <v>45936</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54885-2022</t>
        </is>
      </c>
      <c r="B442" s="1" t="n">
        <v>44886</v>
      </c>
      <c r="C442" s="1" t="n">
        <v>45936</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39648-2023</t>
        </is>
      </c>
      <c r="B443" s="1" t="n">
        <v>45167.5528587963</v>
      </c>
      <c r="C443" s="1" t="n">
        <v>45936</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29375-2024</t>
        </is>
      </c>
      <c r="B444" s="1" t="n">
        <v>45483.58712962963</v>
      </c>
      <c r="C444" s="1" t="n">
        <v>45936</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38298-2021</t>
        </is>
      </c>
      <c r="B445" s="1" t="n">
        <v>44406</v>
      </c>
      <c r="C445" s="1" t="n">
        <v>45936</v>
      </c>
      <c r="D445" t="inlineStr">
        <is>
          <t>VÄRMLANDS LÄN</t>
        </is>
      </c>
      <c r="E445" t="inlineStr">
        <is>
          <t>TORSBY</t>
        </is>
      </c>
      <c r="G445" t="n">
        <v>3.3</v>
      </c>
      <c r="H445" t="n">
        <v>0</v>
      </c>
      <c r="I445" t="n">
        <v>0</v>
      </c>
      <c r="J445" t="n">
        <v>0</v>
      </c>
      <c r="K445" t="n">
        <v>0</v>
      </c>
      <c r="L445" t="n">
        <v>0</v>
      </c>
      <c r="M445" t="n">
        <v>0</v>
      </c>
      <c r="N445" t="n">
        <v>0</v>
      </c>
      <c r="O445" t="n">
        <v>0</v>
      </c>
      <c r="P445" t="n">
        <v>0</v>
      </c>
      <c r="Q445" t="n">
        <v>0</v>
      </c>
      <c r="R445" s="2" t="inlineStr"/>
    </row>
    <row r="446" ht="15" customHeight="1">
      <c r="A446" t="inlineStr">
        <is>
          <t>A 34694-2021</t>
        </is>
      </c>
      <c r="B446" s="1" t="n">
        <v>44382.61398148148</v>
      </c>
      <c r="C446" s="1" t="n">
        <v>45936</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15450-2023</t>
        </is>
      </c>
      <c r="B447" s="1" t="n">
        <v>45020</v>
      </c>
      <c r="C447" s="1" t="n">
        <v>45936</v>
      </c>
      <c r="D447" t="inlineStr">
        <is>
          <t>VÄRMLANDS LÄN</t>
        </is>
      </c>
      <c r="E447" t="inlineStr">
        <is>
          <t>TORSBY</t>
        </is>
      </c>
      <c r="G447" t="n">
        <v>3.8</v>
      </c>
      <c r="H447" t="n">
        <v>0</v>
      </c>
      <c r="I447" t="n">
        <v>0</v>
      </c>
      <c r="J447" t="n">
        <v>0</v>
      </c>
      <c r="K447" t="n">
        <v>0</v>
      </c>
      <c r="L447" t="n">
        <v>0</v>
      </c>
      <c r="M447" t="n">
        <v>0</v>
      </c>
      <c r="N447" t="n">
        <v>0</v>
      </c>
      <c r="O447" t="n">
        <v>0</v>
      </c>
      <c r="P447" t="n">
        <v>0</v>
      </c>
      <c r="Q447" t="n">
        <v>0</v>
      </c>
      <c r="R447" s="2" t="inlineStr"/>
    </row>
    <row r="448" ht="15" customHeight="1">
      <c r="A448" t="inlineStr">
        <is>
          <t>A 47083-2021</t>
        </is>
      </c>
      <c r="B448" s="1" t="n">
        <v>44446.66114583334</v>
      </c>
      <c r="C448" s="1" t="n">
        <v>45936</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47098-2021</t>
        </is>
      </c>
      <c r="B449" s="1" t="n">
        <v>44446.67429398148</v>
      </c>
      <c r="C449" s="1" t="n">
        <v>45936</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24717-2024</t>
        </is>
      </c>
      <c r="B450" s="1" t="n">
        <v>45460</v>
      </c>
      <c r="C450" s="1" t="n">
        <v>45936</v>
      </c>
      <c r="D450" t="inlineStr">
        <is>
          <t>VÄRMLANDS LÄN</t>
        </is>
      </c>
      <c r="E450" t="inlineStr">
        <is>
          <t>TORSBY</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10329-2025</t>
        </is>
      </c>
      <c r="B451" s="1" t="n">
        <v>45720</v>
      </c>
      <c r="C451" s="1" t="n">
        <v>45936</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10343-2025</t>
        </is>
      </c>
      <c r="B452" s="1" t="n">
        <v>45720</v>
      </c>
      <c r="C452" s="1" t="n">
        <v>45936</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33182-2021</t>
        </is>
      </c>
      <c r="B453" s="1" t="n">
        <v>44376</v>
      </c>
      <c r="C453" s="1" t="n">
        <v>45936</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6317-2025</t>
        </is>
      </c>
      <c r="B454" s="1" t="n">
        <v>45698.74826388889</v>
      </c>
      <c r="C454" s="1" t="n">
        <v>45936</v>
      </c>
      <c r="D454" t="inlineStr">
        <is>
          <t>VÄRMLANDS LÄN</t>
        </is>
      </c>
      <c r="E454" t="inlineStr">
        <is>
          <t>TORSBY</t>
        </is>
      </c>
      <c r="G454" t="n">
        <v>5.8</v>
      </c>
      <c r="H454" t="n">
        <v>0</v>
      </c>
      <c r="I454" t="n">
        <v>0</v>
      </c>
      <c r="J454" t="n">
        <v>0</v>
      </c>
      <c r="K454" t="n">
        <v>0</v>
      </c>
      <c r="L454" t="n">
        <v>0</v>
      </c>
      <c r="M454" t="n">
        <v>0</v>
      </c>
      <c r="N454" t="n">
        <v>0</v>
      </c>
      <c r="O454" t="n">
        <v>0</v>
      </c>
      <c r="P454" t="n">
        <v>0</v>
      </c>
      <c r="Q454" t="n">
        <v>0</v>
      </c>
      <c r="R454" s="2" t="inlineStr"/>
    </row>
    <row r="455" ht="15" customHeight="1">
      <c r="A455" t="inlineStr">
        <is>
          <t>A 52901-2022</t>
        </is>
      </c>
      <c r="B455" s="1" t="n">
        <v>44872</v>
      </c>
      <c r="C455" s="1" t="n">
        <v>45936</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47077-2023</t>
        </is>
      </c>
      <c r="B456" s="1" t="n">
        <v>45201</v>
      </c>
      <c r="C456" s="1" t="n">
        <v>45936</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24170-2023</t>
        </is>
      </c>
      <c r="B457" s="1" t="n">
        <v>45079</v>
      </c>
      <c r="C457" s="1" t="n">
        <v>45936</v>
      </c>
      <c r="D457" t="inlineStr">
        <is>
          <t>VÄRMLANDS LÄN</t>
        </is>
      </c>
      <c r="E457" t="inlineStr">
        <is>
          <t>TORSBY</t>
        </is>
      </c>
      <c r="F457" t="inlineStr">
        <is>
          <t>Bergvik skog väst AB</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73324-2021</t>
        </is>
      </c>
      <c r="B458" s="1" t="n">
        <v>44550</v>
      </c>
      <c r="C458" s="1" t="n">
        <v>45936</v>
      </c>
      <c r="D458" t="inlineStr">
        <is>
          <t>VÄRMLANDS LÄN</t>
        </is>
      </c>
      <c r="E458" t="inlineStr">
        <is>
          <t>TORSBY</t>
        </is>
      </c>
      <c r="G458" t="n">
        <v>9.9</v>
      </c>
      <c r="H458" t="n">
        <v>0</v>
      </c>
      <c r="I458" t="n">
        <v>0</v>
      </c>
      <c r="J458" t="n">
        <v>0</v>
      </c>
      <c r="K458" t="n">
        <v>0</v>
      </c>
      <c r="L458" t="n">
        <v>0</v>
      </c>
      <c r="M458" t="n">
        <v>0</v>
      </c>
      <c r="N458" t="n">
        <v>0</v>
      </c>
      <c r="O458" t="n">
        <v>0</v>
      </c>
      <c r="P458" t="n">
        <v>0</v>
      </c>
      <c r="Q458" t="n">
        <v>0</v>
      </c>
      <c r="R458" s="2" t="inlineStr"/>
    </row>
    <row r="459" ht="15" customHeight="1">
      <c r="A459" t="inlineStr">
        <is>
          <t>A 29495-2021</t>
        </is>
      </c>
      <c r="B459" s="1" t="n">
        <v>44361</v>
      </c>
      <c r="C459" s="1" t="n">
        <v>45936</v>
      </c>
      <c r="D459" t="inlineStr">
        <is>
          <t>VÄRMLANDS LÄN</t>
        </is>
      </c>
      <c r="E459" t="inlineStr">
        <is>
          <t>TORSBY</t>
        </is>
      </c>
      <c r="F459" t="inlineStr">
        <is>
          <t>Övriga Aktiebolag</t>
        </is>
      </c>
      <c r="G459" t="n">
        <v>38.2</v>
      </c>
      <c r="H459" t="n">
        <v>0</v>
      </c>
      <c r="I459" t="n">
        <v>0</v>
      </c>
      <c r="J459" t="n">
        <v>0</v>
      </c>
      <c r="K459" t="n">
        <v>0</v>
      </c>
      <c r="L459" t="n">
        <v>0</v>
      </c>
      <c r="M459" t="n">
        <v>0</v>
      </c>
      <c r="N459" t="n">
        <v>0</v>
      </c>
      <c r="O459" t="n">
        <v>0</v>
      </c>
      <c r="P459" t="n">
        <v>0</v>
      </c>
      <c r="Q459" t="n">
        <v>0</v>
      </c>
      <c r="R459" s="2" t="inlineStr"/>
    </row>
    <row r="460" ht="15" customHeight="1">
      <c r="A460" t="inlineStr">
        <is>
          <t>A 20745-2023</t>
        </is>
      </c>
      <c r="B460" s="1" t="n">
        <v>45058</v>
      </c>
      <c r="C460" s="1" t="n">
        <v>45936</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49717-2023</t>
        </is>
      </c>
      <c r="B461" s="1" t="n">
        <v>45208</v>
      </c>
      <c r="C461" s="1" t="n">
        <v>45936</v>
      </c>
      <c r="D461" t="inlineStr">
        <is>
          <t>VÄRMLANDS LÄN</t>
        </is>
      </c>
      <c r="E461" t="inlineStr">
        <is>
          <t>TORSBY</t>
        </is>
      </c>
      <c r="G461" t="n">
        <v>5.9</v>
      </c>
      <c r="H461" t="n">
        <v>0</v>
      </c>
      <c r="I461" t="n">
        <v>0</v>
      </c>
      <c r="J461" t="n">
        <v>0</v>
      </c>
      <c r="K461" t="n">
        <v>0</v>
      </c>
      <c r="L461" t="n">
        <v>0</v>
      </c>
      <c r="M461" t="n">
        <v>0</v>
      </c>
      <c r="N461" t="n">
        <v>0</v>
      </c>
      <c r="O461" t="n">
        <v>0</v>
      </c>
      <c r="P461" t="n">
        <v>0</v>
      </c>
      <c r="Q461" t="n">
        <v>0</v>
      </c>
      <c r="R461" s="2" t="inlineStr"/>
    </row>
    <row r="462" ht="15" customHeight="1">
      <c r="A462" t="inlineStr">
        <is>
          <t>A 70926-2021</t>
        </is>
      </c>
      <c r="B462" s="1" t="n">
        <v>44538</v>
      </c>
      <c r="C462" s="1" t="n">
        <v>45936</v>
      </c>
      <c r="D462" t="inlineStr">
        <is>
          <t>VÄRMLANDS LÄN</t>
        </is>
      </c>
      <c r="E462" t="inlineStr">
        <is>
          <t>TORSBY</t>
        </is>
      </c>
      <c r="G462" t="n">
        <v>6.5</v>
      </c>
      <c r="H462" t="n">
        <v>0</v>
      </c>
      <c r="I462" t="n">
        <v>0</v>
      </c>
      <c r="J462" t="n">
        <v>0</v>
      </c>
      <c r="K462" t="n">
        <v>0</v>
      </c>
      <c r="L462" t="n">
        <v>0</v>
      </c>
      <c r="M462" t="n">
        <v>0</v>
      </c>
      <c r="N462" t="n">
        <v>0</v>
      </c>
      <c r="O462" t="n">
        <v>0</v>
      </c>
      <c r="P462" t="n">
        <v>0</v>
      </c>
      <c r="Q462" t="n">
        <v>0</v>
      </c>
      <c r="R462" s="2" t="inlineStr"/>
    </row>
    <row r="463" ht="15" customHeight="1">
      <c r="A463" t="inlineStr">
        <is>
          <t>A 72200-2021</t>
        </is>
      </c>
      <c r="B463" s="1" t="n">
        <v>44544.67358796296</v>
      </c>
      <c r="C463" s="1" t="n">
        <v>45936</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59080-2024</t>
        </is>
      </c>
      <c r="B464" s="1" t="n">
        <v>45637</v>
      </c>
      <c r="C464" s="1" t="n">
        <v>45936</v>
      </c>
      <c r="D464" t="inlineStr">
        <is>
          <t>VÄRMLANDS LÄN</t>
        </is>
      </c>
      <c r="E464" t="inlineStr">
        <is>
          <t>TORSBY</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17754-2025</t>
        </is>
      </c>
      <c r="B465" s="1" t="n">
        <v>45758</v>
      </c>
      <c r="C465" s="1" t="n">
        <v>45936</v>
      </c>
      <c r="D465" t="inlineStr">
        <is>
          <t>VÄRMLANDS LÄN</t>
        </is>
      </c>
      <c r="E465" t="inlineStr">
        <is>
          <t>TORSBY</t>
        </is>
      </c>
      <c r="F465" t="inlineStr">
        <is>
          <t>Bergvik skog väst AB</t>
        </is>
      </c>
      <c r="G465" t="n">
        <v>3.5</v>
      </c>
      <c r="H465" t="n">
        <v>0</v>
      </c>
      <c r="I465" t="n">
        <v>0</v>
      </c>
      <c r="J465" t="n">
        <v>0</v>
      </c>
      <c r="K465" t="n">
        <v>0</v>
      </c>
      <c r="L465" t="n">
        <v>0</v>
      </c>
      <c r="M465" t="n">
        <v>0</v>
      </c>
      <c r="N465" t="n">
        <v>0</v>
      </c>
      <c r="O465" t="n">
        <v>0</v>
      </c>
      <c r="P465" t="n">
        <v>0</v>
      </c>
      <c r="Q465" t="n">
        <v>0</v>
      </c>
      <c r="R465" s="2" t="inlineStr"/>
    </row>
    <row r="466" ht="15" customHeight="1">
      <c r="A466" t="inlineStr">
        <is>
          <t>A 52592-2024</t>
        </is>
      </c>
      <c r="B466" s="1" t="n">
        <v>45609</v>
      </c>
      <c r="C466" s="1" t="n">
        <v>45936</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29142-2022</t>
        </is>
      </c>
      <c r="B467" s="1" t="n">
        <v>44750</v>
      </c>
      <c r="C467" s="1" t="n">
        <v>45936</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43128-2021</t>
        </is>
      </c>
      <c r="B468" s="1" t="n">
        <v>44431.65930555556</v>
      </c>
      <c r="C468" s="1" t="n">
        <v>45936</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43169-2021</t>
        </is>
      </c>
      <c r="B469" s="1" t="n">
        <v>44431</v>
      </c>
      <c r="C469" s="1" t="n">
        <v>45936</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18877-2022</t>
        </is>
      </c>
      <c r="B470" s="1" t="n">
        <v>44690.52556712963</v>
      </c>
      <c r="C470" s="1" t="n">
        <v>45936</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40470-2023</t>
        </is>
      </c>
      <c r="B471" s="1" t="n">
        <v>45170</v>
      </c>
      <c r="C471" s="1" t="n">
        <v>45936</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24261-2024</t>
        </is>
      </c>
      <c r="B472" s="1" t="n">
        <v>45457</v>
      </c>
      <c r="C472" s="1" t="n">
        <v>45936</v>
      </c>
      <c r="D472" t="inlineStr">
        <is>
          <t>VÄRMLANDS LÄN</t>
        </is>
      </c>
      <c r="E472" t="inlineStr">
        <is>
          <t>TORSBY</t>
        </is>
      </c>
      <c r="G472" t="n">
        <v>3.5</v>
      </c>
      <c r="H472" t="n">
        <v>0</v>
      </c>
      <c r="I472" t="n">
        <v>0</v>
      </c>
      <c r="J472" t="n">
        <v>0</v>
      </c>
      <c r="K472" t="n">
        <v>0</v>
      </c>
      <c r="L472" t="n">
        <v>0</v>
      </c>
      <c r="M472" t="n">
        <v>0</v>
      </c>
      <c r="N472" t="n">
        <v>0</v>
      </c>
      <c r="O472" t="n">
        <v>0</v>
      </c>
      <c r="P472" t="n">
        <v>0</v>
      </c>
      <c r="Q472" t="n">
        <v>0</v>
      </c>
      <c r="R472" s="2" t="inlineStr"/>
    </row>
    <row r="473" ht="15" customHeight="1">
      <c r="A473" t="inlineStr">
        <is>
          <t>A 10583-2023</t>
        </is>
      </c>
      <c r="B473" s="1" t="n">
        <v>44988.36435185185</v>
      </c>
      <c r="C473" s="1" t="n">
        <v>45936</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39260-2021</t>
        </is>
      </c>
      <c r="B474" s="1" t="n">
        <v>44413</v>
      </c>
      <c r="C474" s="1" t="n">
        <v>45936</v>
      </c>
      <c r="D474" t="inlineStr">
        <is>
          <t>VÄRMLANDS LÄN</t>
        </is>
      </c>
      <c r="E474" t="inlineStr">
        <is>
          <t>TORSBY</t>
        </is>
      </c>
      <c r="G474" t="n">
        <v>4.7</v>
      </c>
      <c r="H474" t="n">
        <v>0</v>
      </c>
      <c r="I474" t="n">
        <v>0</v>
      </c>
      <c r="J474" t="n">
        <v>0</v>
      </c>
      <c r="K474" t="n">
        <v>0</v>
      </c>
      <c r="L474" t="n">
        <v>0</v>
      </c>
      <c r="M474" t="n">
        <v>0</v>
      </c>
      <c r="N474" t="n">
        <v>0</v>
      </c>
      <c r="O474" t="n">
        <v>0</v>
      </c>
      <c r="P474" t="n">
        <v>0</v>
      </c>
      <c r="Q474" t="n">
        <v>0</v>
      </c>
      <c r="R474" s="2" t="inlineStr"/>
    </row>
    <row r="475" ht="15" customHeight="1">
      <c r="A475" t="inlineStr">
        <is>
          <t>A 33338-2024</t>
        </is>
      </c>
      <c r="B475" s="1" t="n">
        <v>45519</v>
      </c>
      <c r="C475" s="1" t="n">
        <v>45936</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5830-2023</t>
        </is>
      </c>
      <c r="B476" s="1" t="n">
        <v>44963</v>
      </c>
      <c r="C476" s="1" t="n">
        <v>45936</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60428-2021</t>
        </is>
      </c>
      <c r="B477" s="1" t="n">
        <v>44496.42145833333</v>
      </c>
      <c r="C477" s="1" t="n">
        <v>45936</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39567-2024</t>
        </is>
      </c>
      <c r="B478" s="1" t="n">
        <v>45552.3584375</v>
      </c>
      <c r="C478" s="1" t="n">
        <v>45936</v>
      </c>
      <c r="D478" t="inlineStr">
        <is>
          <t>VÄRMLANDS LÄN</t>
        </is>
      </c>
      <c r="E478" t="inlineStr">
        <is>
          <t>TORSBY</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1092-2025</t>
        </is>
      </c>
      <c r="B479" s="1" t="n">
        <v>45666.6333912037</v>
      </c>
      <c r="C479" s="1" t="n">
        <v>45936</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22463-2021</t>
        </is>
      </c>
      <c r="B480" s="1" t="n">
        <v>44326.67366898148</v>
      </c>
      <c r="C480" s="1" t="n">
        <v>45936</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22158-2022</t>
        </is>
      </c>
      <c r="B481" s="1" t="n">
        <v>44708</v>
      </c>
      <c r="C481" s="1" t="n">
        <v>45936</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73442-2021</t>
        </is>
      </c>
      <c r="B482" s="1" t="n">
        <v>44551.55063657407</v>
      </c>
      <c r="C482" s="1" t="n">
        <v>45936</v>
      </c>
      <c r="D482" t="inlineStr">
        <is>
          <t>VÄRMLANDS LÄN</t>
        </is>
      </c>
      <c r="E482" t="inlineStr">
        <is>
          <t>TORSBY</t>
        </is>
      </c>
      <c r="F482" t="inlineStr">
        <is>
          <t>Bergvik skog väst AB</t>
        </is>
      </c>
      <c r="G482" t="n">
        <v>4.1</v>
      </c>
      <c r="H482" t="n">
        <v>0</v>
      </c>
      <c r="I482" t="n">
        <v>0</v>
      </c>
      <c r="J482" t="n">
        <v>0</v>
      </c>
      <c r="K482" t="n">
        <v>0</v>
      </c>
      <c r="L482" t="n">
        <v>0</v>
      </c>
      <c r="M482" t="n">
        <v>0</v>
      </c>
      <c r="N482" t="n">
        <v>0</v>
      </c>
      <c r="O482" t="n">
        <v>0</v>
      </c>
      <c r="P482" t="n">
        <v>0</v>
      </c>
      <c r="Q482" t="n">
        <v>0</v>
      </c>
      <c r="R482" s="2" t="inlineStr"/>
    </row>
    <row r="483" ht="15" customHeight="1">
      <c r="A483" t="inlineStr">
        <is>
          <t>A 13285-2025</t>
        </is>
      </c>
      <c r="B483" s="1" t="n">
        <v>45735</v>
      </c>
      <c r="C483" s="1" t="n">
        <v>45936</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23011-2022</t>
        </is>
      </c>
      <c r="B484" s="1" t="n">
        <v>44719.35471064815</v>
      </c>
      <c r="C484" s="1" t="n">
        <v>45936</v>
      </c>
      <c r="D484" t="inlineStr">
        <is>
          <t>VÄRMLANDS LÄN</t>
        </is>
      </c>
      <c r="E484" t="inlineStr">
        <is>
          <t>TORSBY</t>
        </is>
      </c>
      <c r="F484" t="inlineStr">
        <is>
          <t>Bergvik skog väst AB</t>
        </is>
      </c>
      <c r="G484" t="n">
        <v>5.2</v>
      </c>
      <c r="H484" t="n">
        <v>0</v>
      </c>
      <c r="I484" t="n">
        <v>0</v>
      </c>
      <c r="J484" t="n">
        <v>0</v>
      </c>
      <c r="K484" t="n">
        <v>0</v>
      </c>
      <c r="L484" t="n">
        <v>0</v>
      </c>
      <c r="M484" t="n">
        <v>0</v>
      </c>
      <c r="N484" t="n">
        <v>0</v>
      </c>
      <c r="O484" t="n">
        <v>0</v>
      </c>
      <c r="P484" t="n">
        <v>0</v>
      </c>
      <c r="Q484" t="n">
        <v>0</v>
      </c>
      <c r="R484" s="2" t="inlineStr"/>
    </row>
    <row r="485" ht="15" customHeight="1">
      <c r="A485" t="inlineStr">
        <is>
          <t>A 20175-2022</t>
        </is>
      </c>
      <c r="B485" s="1" t="n">
        <v>44698</v>
      </c>
      <c r="C485" s="1" t="n">
        <v>45936</v>
      </c>
      <c r="D485" t="inlineStr">
        <is>
          <t>VÄRMLANDS LÄN</t>
        </is>
      </c>
      <c r="E485" t="inlineStr">
        <is>
          <t>TORSBY</t>
        </is>
      </c>
      <c r="G485" t="n">
        <v>2.8</v>
      </c>
      <c r="H485" t="n">
        <v>0</v>
      </c>
      <c r="I485" t="n">
        <v>0</v>
      </c>
      <c r="J485" t="n">
        <v>0</v>
      </c>
      <c r="K485" t="n">
        <v>0</v>
      </c>
      <c r="L485" t="n">
        <v>0</v>
      </c>
      <c r="M485" t="n">
        <v>0</v>
      </c>
      <c r="N485" t="n">
        <v>0</v>
      </c>
      <c r="O485" t="n">
        <v>0</v>
      </c>
      <c r="P485" t="n">
        <v>0</v>
      </c>
      <c r="Q485" t="n">
        <v>0</v>
      </c>
      <c r="R485" s="2" t="inlineStr"/>
    </row>
    <row r="486" ht="15" customHeight="1">
      <c r="A486" t="inlineStr">
        <is>
          <t>A 63032-2023</t>
        </is>
      </c>
      <c r="B486" s="1" t="n">
        <v>45272.72728009259</v>
      </c>
      <c r="C486" s="1" t="n">
        <v>45936</v>
      </c>
      <c r="D486" t="inlineStr">
        <is>
          <t>VÄRMLANDS LÄN</t>
        </is>
      </c>
      <c r="E486" t="inlineStr">
        <is>
          <t>TORSBY</t>
        </is>
      </c>
      <c r="G486" t="n">
        <v>2.8</v>
      </c>
      <c r="H486" t="n">
        <v>0</v>
      </c>
      <c r="I486" t="n">
        <v>0</v>
      </c>
      <c r="J486" t="n">
        <v>0</v>
      </c>
      <c r="K486" t="n">
        <v>0</v>
      </c>
      <c r="L486" t="n">
        <v>0</v>
      </c>
      <c r="M486" t="n">
        <v>0</v>
      </c>
      <c r="N486" t="n">
        <v>0</v>
      </c>
      <c r="O486" t="n">
        <v>0</v>
      </c>
      <c r="P486" t="n">
        <v>0</v>
      </c>
      <c r="Q486" t="n">
        <v>0</v>
      </c>
      <c r="R486" s="2" t="inlineStr"/>
    </row>
    <row r="487" ht="15" customHeight="1">
      <c r="A487" t="inlineStr">
        <is>
          <t>A 1275-2024</t>
        </is>
      </c>
      <c r="B487" s="1" t="n">
        <v>45302</v>
      </c>
      <c r="C487" s="1" t="n">
        <v>45936</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34500-2024</t>
        </is>
      </c>
      <c r="B488" s="1" t="n">
        <v>45525</v>
      </c>
      <c r="C488" s="1" t="n">
        <v>45936</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23823-2022</t>
        </is>
      </c>
      <c r="B489" s="1" t="n">
        <v>44722</v>
      </c>
      <c r="C489" s="1" t="n">
        <v>45936</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33656-2023</t>
        </is>
      </c>
      <c r="B490" s="1" t="n">
        <v>45132.57922453704</v>
      </c>
      <c r="C490" s="1" t="n">
        <v>45936</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56634-2024</t>
        </is>
      </c>
      <c r="B491" s="1" t="n">
        <v>45625.68491898148</v>
      </c>
      <c r="C491" s="1" t="n">
        <v>45936</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6646-2024</t>
        </is>
      </c>
      <c r="B492" s="1" t="n">
        <v>45341.66643518519</v>
      </c>
      <c r="C492" s="1" t="n">
        <v>45936</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6648-2024</t>
        </is>
      </c>
      <c r="B493" s="1" t="n">
        <v>45341</v>
      </c>
      <c r="C493" s="1" t="n">
        <v>45936</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21988-2023</t>
        </is>
      </c>
      <c r="B494" s="1" t="n">
        <v>45068</v>
      </c>
      <c r="C494" s="1" t="n">
        <v>45936</v>
      </c>
      <c r="D494" t="inlineStr">
        <is>
          <t>VÄRMLANDS LÄN</t>
        </is>
      </c>
      <c r="E494" t="inlineStr">
        <is>
          <t>TORSBY</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11050-2022</t>
        </is>
      </c>
      <c r="B495" s="1" t="n">
        <v>44628.60393518519</v>
      </c>
      <c r="C495" s="1" t="n">
        <v>45936</v>
      </c>
      <c r="D495" t="inlineStr">
        <is>
          <t>VÄRMLANDS LÄN</t>
        </is>
      </c>
      <c r="E495" t="inlineStr">
        <is>
          <t>TORSBY</t>
        </is>
      </c>
      <c r="G495" t="n">
        <v>4.9</v>
      </c>
      <c r="H495" t="n">
        <v>0</v>
      </c>
      <c r="I495" t="n">
        <v>0</v>
      </c>
      <c r="J495" t="n">
        <v>0</v>
      </c>
      <c r="K495" t="n">
        <v>0</v>
      </c>
      <c r="L495" t="n">
        <v>0</v>
      </c>
      <c r="M495" t="n">
        <v>0</v>
      </c>
      <c r="N495" t="n">
        <v>0</v>
      </c>
      <c r="O495" t="n">
        <v>0</v>
      </c>
      <c r="P495" t="n">
        <v>0</v>
      </c>
      <c r="Q495" t="n">
        <v>0</v>
      </c>
      <c r="R495" s="2" t="inlineStr"/>
    </row>
    <row r="496" ht="15" customHeight="1">
      <c r="A496" t="inlineStr">
        <is>
          <t>A 44156-2025</t>
        </is>
      </c>
      <c r="B496" s="1" t="n">
        <v>45915.59539351852</v>
      </c>
      <c r="C496" s="1" t="n">
        <v>45936</v>
      </c>
      <c r="D496" t="inlineStr">
        <is>
          <t>VÄRMLANDS LÄN</t>
        </is>
      </c>
      <c r="E496" t="inlineStr">
        <is>
          <t>TORSBY</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64432-2023</t>
        </is>
      </c>
      <c r="B497" s="1" t="n">
        <v>45280.67184027778</v>
      </c>
      <c r="C497" s="1" t="n">
        <v>45936</v>
      </c>
      <c r="D497" t="inlineStr">
        <is>
          <t>VÄRMLANDS LÄN</t>
        </is>
      </c>
      <c r="E497" t="inlineStr">
        <is>
          <t>TORSBY</t>
        </is>
      </c>
      <c r="G497" t="n">
        <v>3</v>
      </c>
      <c r="H497" t="n">
        <v>0</v>
      </c>
      <c r="I497" t="n">
        <v>0</v>
      </c>
      <c r="J497" t="n">
        <v>0</v>
      </c>
      <c r="K497" t="n">
        <v>0</v>
      </c>
      <c r="L497" t="n">
        <v>0</v>
      </c>
      <c r="M497" t="n">
        <v>0</v>
      </c>
      <c r="N497" t="n">
        <v>0</v>
      </c>
      <c r="O497" t="n">
        <v>0</v>
      </c>
      <c r="P497" t="n">
        <v>0</v>
      </c>
      <c r="Q497" t="n">
        <v>0</v>
      </c>
      <c r="R497" s="2" t="inlineStr"/>
    </row>
    <row r="498" ht="15" customHeight="1">
      <c r="A498" t="inlineStr">
        <is>
          <t>A 1512-2025</t>
        </is>
      </c>
      <c r="B498" s="1" t="n">
        <v>45670.45255787037</v>
      </c>
      <c r="C498" s="1" t="n">
        <v>45936</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43536-2023</t>
        </is>
      </c>
      <c r="B499" s="1" t="n">
        <v>45181</v>
      </c>
      <c r="C499" s="1" t="n">
        <v>45936</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47465-2024</t>
        </is>
      </c>
      <c r="B500" s="1" t="n">
        <v>45587</v>
      </c>
      <c r="C500" s="1" t="n">
        <v>45936</v>
      </c>
      <c r="D500" t="inlineStr">
        <is>
          <t>VÄRMLANDS LÄN</t>
        </is>
      </c>
      <c r="E500" t="inlineStr">
        <is>
          <t>TORSBY</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41841-2023</t>
        </is>
      </c>
      <c r="B501" s="1" t="n">
        <v>45176.60436342593</v>
      </c>
      <c r="C501" s="1" t="n">
        <v>45936</v>
      </c>
      <c r="D501" t="inlineStr">
        <is>
          <t>VÄRMLANDS LÄN</t>
        </is>
      </c>
      <c r="E501" t="inlineStr">
        <is>
          <t>TORSBY</t>
        </is>
      </c>
      <c r="G501" t="n">
        <v>6.3</v>
      </c>
      <c r="H501" t="n">
        <v>0</v>
      </c>
      <c r="I501" t="n">
        <v>0</v>
      </c>
      <c r="J501" t="n">
        <v>0</v>
      </c>
      <c r="K501" t="n">
        <v>0</v>
      </c>
      <c r="L501" t="n">
        <v>0</v>
      </c>
      <c r="M501" t="n">
        <v>0</v>
      </c>
      <c r="N501" t="n">
        <v>0</v>
      </c>
      <c r="O501" t="n">
        <v>0</v>
      </c>
      <c r="P501" t="n">
        <v>0</v>
      </c>
      <c r="Q501" t="n">
        <v>0</v>
      </c>
      <c r="R501" s="2" t="inlineStr"/>
    </row>
    <row r="502" ht="15" customHeight="1">
      <c r="A502" t="inlineStr">
        <is>
          <t>A 6713-2023</t>
        </is>
      </c>
      <c r="B502" s="1" t="n">
        <v>44960</v>
      </c>
      <c r="C502" s="1" t="n">
        <v>45936</v>
      </c>
      <c r="D502" t="inlineStr">
        <is>
          <t>VÄRMLANDS LÄN</t>
        </is>
      </c>
      <c r="E502" t="inlineStr">
        <is>
          <t>TORSBY</t>
        </is>
      </c>
      <c r="G502" t="n">
        <v>4.2</v>
      </c>
      <c r="H502" t="n">
        <v>0</v>
      </c>
      <c r="I502" t="n">
        <v>0</v>
      </c>
      <c r="J502" t="n">
        <v>0</v>
      </c>
      <c r="K502" t="n">
        <v>0</v>
      </c>
      <c r="L502" t="n">
        <v>0</v>
      </c>
      <c r="M502" t="n">
        <v>0</v>
      </c>
      <c r="N502" t="n">
        <v>0</v>
      </c>
      <c r="O502" t="n">
        <v>0</v>
      </c>
      <c r="P502" t="n">
        <v>0</v>
      </c>
      <c r="Q502" t="n">
        <v>0</v>
      </c>
      <c r="R502" s="2" t="inlineStr"/>
    </row>
    <row r="503" ht="15" customHeight="1">
      <c r="A503" t="inlineStr">
        <is>
          <t>A 56240-2024</t>
        </is>
      </c>
      <c r="B503" s="1" t="n">
        <v>45624.63012731481</v>
      </c>
      <c r="C503" s="1" t="n">
        <v>45936</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17048-2025</t>
        </is>
      </c>
      <c r="B504" s="1" t="n">
        <v>45754</v>
      </c>
      <c r="C504" s="1" t="n">
        <v>45936</v>
      </c>
      <c r="D504" t="inlineStr">
        <is>
          <t>VÄRMLANDS LÄN</t>
        </is>
      </c>
      <c r="E504" t="inlineStr">
        <is>
          <t>TORSBY</t>
        </is>
      </c>
      <c r="G504" t="n">
        <v>3.4</v>
      </c>
      <c r="H504" t="n">
        <v>0</v>
      </c>
      <c r="I504" t="n">
        <v>0</v>
      </c>
      <c r="J504" t="n">
        <v>0</v>
      </c>
      <c r="K504" t="n">
        <v>0</v>
      </c>
      <c r="L504" t="n">
        <v>0</v>
      </c>
      <c r="M504" t="n">
        <v>0</v>
      </c>
      <c r="N504" t="n">
        <v>0</v>
      </c>
      <c r="O504" t="n">
        <v>0</v>
      </c>
      <c r="P504" t="n">
        <v>0</v>
      </c>
      <c r="Q504" t="n">
        <v>0</v>
      </c>
      <c r="R504" s="2" t="inlineStr"/>
    </row>
    <row r="505" ht="15" customHeight="1">
      <c r="A505" t="inlineStr">
        <is>
          <t>A 17053-2025</t>
        </is>
      </c>
      <c r="B505" s="1" t="n">
        <v>45754</v>
      </c>
      <c r="C505" s="1" t="n">
        <v>45936</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44055-2025</t>
        </is>
      </c>
      <c r="B506" s="1" t="n">
        <v>45915.52358796296</v>
      </c>
      <c r="C506" s="1" t="n">
        <v>45936</v>
      </c>
      <c r="D506" t="inlineStr">
        <is>
          <t>VÄRMLANDS LÄN</t>
        </is>
      </c>
      <c r="E506" t="inlineStr">
        <is>
          <t>TORSBY</t>
        </is>
      </c>
      <c r="F506" t="inlineStr">
        <is>
          <t>Kyrkan</t>
        </is>
      </c>
      <c r="G506" t="n">
        <v>5.4</v>
      </c>
      <c r="H506" t="n">
        <v>0</v>
      </c>
      <c r="I506" t="n">
        <v>0</v>
      </c>
      <c r="J506" t="n">
        <v>0</v>
      </c>
      <c r="K506" t="n">
        <v>0</v>
      </c>
      <c r="L506" t="n">
        <v>0</v>
      </c>
      <c r="M506" t="n">
        <v>0</v>
      </c>
      <c r="N506" t="n">
        <v>0</v>
      </c>
      <c r="O506" t="n">
        <v>0</v>
      </c>
      <c r="P506" t="n">
        <v>0</v>
      </c>
      <c r="Q506" t="n">
        <v>0</v>
      </c>
      <c r="R506" s="2" t="inlineStr"/>
    </row>
    <row r="507" ht="15" customHeight="1">
      <c r="A507" t="inlineStr">
        <is>
          <t>A 6708-2023</t>
        </is>
      </c>
      <c r="B507" s="1" t="n">
        <v>44960</v>
      </c>
      <c r="C507" s="1" t="n">
        <v>45936</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6711-2023</t>
        </is>
      </c>
      <c r="B508" s="1" t="n">
        <v>44960</v>
      </c>
      <c r="C508" s="1" t="n">
        <v>45936</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6715-2023</t>
        </is>
      </c>
      <c r="B509" s="1" t="n">
        <v>44960</v>
      </c>
      <c r="C509" s="1" t="n">
        <v>45936</v>
      </c>
      <c r="D509" t="inlineStr">
        <is>
          <t>VÄRMLANDS LÄN</t>
        </is>
      </c>
      <c r="E509" t="inlineStr">
        <is>
          <t>TORSBY</t>
        </is>
      </c>
      <c r="G509" t="n">
        <v>4.8</v>
      </c>
      <c r="H509" t="n">
        <v>0</v>
      </c>
      <c r="I509" t="n">
        <v>0</v>
      </c>
      <c r="J509" t="n">
        <v>0</v>
      </c>
      <c r="K509" t="n">
        <v>0</v>
      </c>
      <c r="L509" t="n">
        <v>0</v>
      </c>
      <c r="M509" t="n">
        <v>0</v>
      </c>
      <c r="N509" t="n">
        <v>0</v>
      </c>
      <c r="O509" t="n">
        <v>0</v>
      </c>
      <c r="P509" t="n">
        <v>0</v>
      </c>
      <c r="Q509" t="n">
        <v>0</v>
      </c>
      <c r="R509" s="2" t="inlineStr"/>
    </row>
    <row r="510" ht="15" customHeight="1">
      <c r="A510" t="inlineStr">
        <is>
          <t>A 1700-2024</t>
        </is>
      </c>
      <c r="B510" s="1" t="n">
        <v>45307.37347222222</v>
      </c>
      <c r="C510" s="1" t="n">
        <v>45936</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30074-2024</t>
        </is>
      </c>
      <c r="B511" s="1" t="n">
        <v>45489</v>
      </c>
      <c r="C511" s="1" t="n">
        <v>45936</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56815-2023</t>
        </is>
      </c>
      <c r="B512" s="1" t="n">
        <v>45244</v>
      </c>
      <c r="C512" s="1" t="n">
        <v>45936</v>
      </c>
      <c r="D512" t="inlineStr">
        <is>
          <t>VÄRMLANDS LÄN</t>
        </is>
      </c>
      <c r="E512" t="inlineStr">
        <is>
          <t>TORSBY</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69241-2020</t>
        </is>
      </c>
      <c r="B513" s="1" t="n">
        <v>44192.85814814815</v>
      </c>
      <c r="C513" s="1" t="n">
        <v>45936</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65713-2021</t>
        </is>
      </c>
      <c r="B514" s="1" t="n">
        <v>44516</v>
      </c>
      <c r="C514" s="1" t="n">
        <v>45936</v>
      </c>
      <c r="D514" t="inlineStr">
        <is>
          <t>VÄRMLANDS LÄN</t>
        </is>
      </c>
      <c r="E514" t="inlineStr">
        <is>
          <t>TORSBY</t>
        </is>
      </c>
      <c r="G514" t="n">
        <v>7</v>
      </c>
      <c r="H514" t="n">
        <v>0</v>
      </c>
      <c r="I514" t="n">
        <v>0</v>
      </c>
      <c r="J514" t="n">
        <v>0</v>
      </c>
      <c r="K514" t="n">
        <v>0</v>
      </c>
      <c r="L514" t="n">
        <v>0</v>
      </c>
      <c r="M514" t="n">
        <v>0</v>
      </c>
      <c r="N514" t="n">
        <v>0</v>
      </c>
      <c r="O514" t="n">
        <v>0</v>
      </c>
      <c r="P514" t="n">
        <v>0</v>
      </c>
      <c r="Q514" t="n">
        <v>0</v>
      </c>
      <c r="R514" s="2" t="inlineStr"/>
    </row>
    <row r="515" ht="15" customHeight="1">
      <c r="A515" t="inlineStr">
        <is>
          <t>A 63409-2023</t>
        </is>
      </c>
      <c r="B515" s="1" t="n">
        <v>45274.51719907407</v>
      </c>
      <c r="C515" s="1" t="n">
        <v>45936</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12051-2024</t>
        </is>
      </c>
      <c r="B516" s="1" t="n">
        <v>45377</v>
      </c>
      <c r="C516" s="1" t="n">
        <v>45936</v>
      </c>
      <c r="D516" t="inlineStr">
        <is>
          <t>VÄRMLANDS LÄN</t>
        </is>
      </c>
      <c r="E516" t="inlineStr">
        <is>
          <t>TORSBY</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73553-2021</t>
        </is>
      </c>
      <c r="B517" s="1" t="n">
        <v>44551</v>
      </c>
      <c r="C517" s="1" t="n">
        <v>45936</v>
      </c>
      <c r="D517" t="inlineStr">
        <is>
          <t>VÄRMLANDS LÄN</t>
        </is>
      </c>
      <c r="E517" t="inlineStr">
        <is>
          <t>TORSBY</t>
        </is>
      </c>
      <c r="G517" t="n">
        <v>5.1</v>
      </c>
      <c r="H517" t="n">
        <v>0</v>
      </c>
      <c r="I517" t="n">
        <v>0</v>
      </c>
      <c r="J517" t="n">
        <v>0</v>
      </c>
      <c r="K517" t="n">
        <v>0</v>
      </c>
      <c r="L517" t="n">
        <v>0</v>
      </c>
      <c r="M517" t="n">
        <v>0</v>
      </c>
      <c r="N517" t="n">
        <v>0</v>
      </c>
      <c r="O517" t="n">
        <v>0</v>
      </c>
      <c r="P517" t="n">
        <v>0</v>
      </c>
      <c r="Q517" t="n">
        <v>0</v>
      </c>
      <c r="R517" s="2" t="inlineStr"/>
    </row>
    <row r="518" ht="15" customHeight="1">
      <c r="A518" t="inlineStr">
        <is>
          <t>A 18099-2022</t>
        </is>
      </c>
      <c r="B518" s="1" t="n">
        <v>44684</v>
      </c>
      <c r="C518" s="1" t="n">
        <v>45936</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54306-2024</t>
        </is>
      </c>
      <c r="B519" s="1" t="n">
        <v>45617</v>
      </c>
      <c r="C519" s="1" t="n">
        <v>45936</v>
      </c>
      <c r="D519" t="inlineStr">
        <is>
          <t>VÄRMLANDS LÄN</t>
        </is>
      </c>
      <c r="E519" t="inlineStr">
        <is>
          <t>TORSBY</t>
        </is>
      </c>
      <c r="F519" t="inlineStr">
        <is>
          <t>Bergvik skog väst AB</t>
        </is>
      </c>
      <c r="G519" t="n">
        <v>5.7</v>
      </c>
      <c r="H519" t="n">
        <v>0</v>
      </c>
      <c r="I519" t="n">
        <v>0</v>
      </c>
      <c r="J519" t="n">
        <v>0</v>
      </c>
      <c r="K519" t="n">
        <v>0</v>
      </c>
      <c r="L519" t="n">
        <v>0</v>
      </c>
      <c r="M519" t="n">
        <v>0</v>
      </c>
      <c r="N519" t="n">
        <v>0</v>
      </c>
      <c r="O519" t="n">
        <v>0</v>
      </c>
      <c r="P519" t="n">
        <v>0</v>
      </c>
      <c r="Q519" t="n">
        <v>0</v>
      </c>
      <c r="R519" s="2" t="inlineStr"/>
    </row>
    <row r="520" ht="15" customHeight="1">
      <c r="A520" t="inlineStr">
        <is>
          <t>A 9729-2025</t>
        </is>
      </c>
      <c r="B520" s="1" t="n">
        <v>45715</v>
      </c>
      <c r="C520" s="1" t="n">
        <v>45936</v>
      </c>
      <c r="D520" t="inlineStr">
        <is>
          <t>VÄRMLANDS LÄN</t>
        </is>
      </c>
      <c r="E520" t="inlineStr">
        <is>
          <t>TORSBY</t>
        </is>
      </c>
      <c r="G520" t="n">
        <v>3.4</v>
      </c>
      <c r="H520" t="n">
        <v>0</v>
      </c>
      <c r="I520" t="n">
        <v>0</v>
      </c>
      <c r="J520" t="n">
        <v>0</v>
      </c>
      <c r="K520" t="n">
        <v>0</v>
      </c>
      <c r="L520" t="n">
        <v>0</v>
      </c>
      <c r="M520" t="n">
        <v>0</v>
      </c>
      <c r="N520" t="n">
        <v>0</v>
      </c>
      <c r="O520" t="n">
        <v>0</v>
      </c>
      <c r="P520" t="n">
        <v>0</v>
      </c>
      <c r="Q520" t="n">
        <v>0</v>
      </c>
      <c r="R520" s="2" t="inlineStr"/>
    </row>
    <row r="521" ht="15" customHeight="1">
      <c r="A521" t="inlineStr">
        <is>
          <t>A 36879-2024</t>
        </is>
      </c>
      <c r="B521" s="1" t="n">
        <v>45538</v>
      </c>
      <c r="C521" s="1" t="n">
        <v>45936</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45399-2023</t>
        </is>
      </c>
      <c r="B522" s="1" t="n">
        <v>45194</v>
      </c>
      <c r="C522" s="1" t="n">
        <v>45936</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54265-2024</t>
        </is>
      </c>
      <c r="B523" s="1" t="n">
        <v>45616</v>
      </c>
      <c r="C523" s="1" t="n">
        <v>45936</v>
      </c>
      <c r="D523" t="inlineStr">
        <is>
          <t>VÄRMLANDS LÄN</t>
        </is>
      </c>
      <c r="E523" t="inlineStr">
        <is>
          <t>TORSBY</t>
        </is>
      </c>
      <c r="F523" t="inlineStr">
        <is>
          <t>Kommuner</t>
        </is>
      </c>
      <c r="G523" t="n">
        <v>0.4</v>
      </c>
      <c r="H523" t="n">
        <v>0</v>
      </c>
      <c r="I523" t="n">
        <v>0</v>
      </c>
      <c r="J523" t="n">
        <v>0</v>
      </c>
      <c r="K523" t="n">
        <v>0</v>
      </c>
      <c r="L523" t="n">
        <v>0</v>
      </c>
      <c r="M523" t="n">
        <v>0</v>
      </c>
      <c r="N523" t="n">
        <v>0</v>
      </c>
      <c r="O523" t="n">
        <v>0</v>
      </c>
      <c r="P523" t="n">
        <v>0</v>
      </c>
      <c r="Q523" t="n">
        <v>0</v>
      </c>
      <c r="R523" s="2" t="inlineStr"/>
    </row>
    <row r="524" ht="15" customHeight="1">
      <c r="A524" t="inlineStr">
        <is>
          <t>A 43669-2025</t>
        </is>
      </c>
      <c r="B524" s="1" t="n">
        <v>45912.36299768519</v>
      </c>
      <c r="C524" s="1" t="n">
        <v>45936</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1104-2025</t>
        </is>
      </c>
      <c r="B525" s="1" t="n">
        <v>45666</v>
      </c>
      <c r="C525" s="1" t="n">
        <v>45936</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1161-2025</t>
        </is>
      </c>
      <c r="B526" s="1" t="n">
        <v>45666</v>
      </c>
      <c r="C526" s="1" t="n">
        <v>45936</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492-2025</t>
        </is>
      </c>
      <c r="B527" s="1" t="n">
        <v>45664.46337962963</v>
      </c>
      <c r="C527" s="1" t="n">
        <v>45936</v>
      </c>
      <c r="D527" t="inlineStr">
        <is>
          <t>VÄRMLANDS LÄN</t>
        </is>
      </c>
      <c r="E527" t="inlineStr">
        <is>
          <t>TORSBY</t>
        </is>
      </c>
      <c r="G527" t="n">
        <v>6.9</v>
      </c>
      <c r="H527" t="n">
        <v>0</v>
      </c>
      <c r="I527" t="n">
        <v>0</v>
      </c>
      <c r="J527" t="n">
        <v>0</v>
      </c>
      <c r="K527" t="n">
        <v>0</v>
      </c>
      <c r="L527" t="n">
        <v>0</v>
      </c>
      <c r="M527" t="n">
        <v>0</v>
      </c>
      <c r="N527" t="n">
        <v>0</v>
      </c>
      <c r="O527" t="n">
        <v>0</v>
      </c>
      <c r="P527" t="n">
        <v>0</v>
      </c>
      <c r="Q527" t="n">
        <v>0</v>
      </c>
      <c r="R527" s="2" t="inlineStr"/>
    </row>
    <row r="528" ht="15" customHeight="1">
      <c r="A528" t="inlineStr">
        <is>
          <t>A 14301-2025</t>
        </is>
      </c>
      <c r="B528" s="1" t="n">
        <v>45740</v>
      </c>
      <c r="C528" s="1" t="n">
        <v>45936</v>
      </c>
      <c r="D528" t="inlineStr">
        <is>
          <t>VÄRMLANDS LÄN</t>
        </is>
      </c>
      <c r="E528" t="inlineStr">
        <is>
          <t>TORSBY</t>
        </is>
      </c>
      <c r="G528" t="n">
        <v>7.9</v>
      </c>
      <c r="H528" t="n">
        <v>0</v>
      </c>
      <c r="I528" t="n">
        <v>0</v>
      </c>
      <c r="J528" t="n">
        <v>0</v>
      </c>
      <c r="K528" t="n">
        <v>0</v>
      </c>
      <c r="L528" t="n">
        <v>0</v>
      </c>
      <c r="M528" t="n">
        <v>0</v>
      </c>
      <c r="N528" t="n">
        <v>0</v>
      </c>
      <c r="O528" t="n">
        <v>0</v>
      </c>
      <c r="P528" t="n">
        <v>0</v>
      </c>
      <c r="Q528" t="n">
        <v>0</v>
      </c>
      <c r="R528" s="2" t="inlineStr"/>
    </row>
    <row r="529" ht="15" customHeight="1">
      <c r="A529" t="inlineStr">
        <is>
          <t>A 11395-2025</t>
        </is>
      </c>
      <c r="B529" s="1" t="n">
        <v>45726.5728125</v>
      </c>
      <c r="C529" s="1" t="n">
        <v>45936</v>
      </c>
      <c r="D529" t="inlineStr">
        <is>
          <t>VÄRMLANDS LÄN</t>
        </is>
      </c>
      <c r="E529" t="inlineStr">
        <is>
          <t>TORSBY</t>
        </is>
      </c>
      <c r="G529" t="n">
        <v>25.3</v>
      </c>
      <c r="H529" t="n">
        <v>0</v>
      </c>
      <c r="I529" t="n">
        <v>0</v>
      </c>
      <c r="J529" t="n">
        <v>0</v>
      </c>
      <c r="K529" t="n">
        <v>0</v>
      </c>
      <c r="L529" t="n">
        <v>0</v>
      </c>
      <c r="M529" t="n">
        <v>0</v>
      </c>
      <c r="N529" t="n">
        <v>0</v>
      </c>
      <c r="O529" t="n">
        <v>0</v>
      </c>
      <c r="P529" t="n">
        <v>0</v>
      </c>
      <c r="Q529" t="n">
        <v>0</v>
      </c>
      <c r="R529" s="2" t="inlineStr"/>
    </row>
    <row r="530" ht="15" customHeight="1">
      <c r="A530" t="inlineStr">
        <is>
          <t>A 13723-2023</t>
        </is>
      </c>
      <c r="B530" s="1" t="n">
        <v>45007</v>
      </c>
      <c r="C530" s="1" t="n">
        <v>45936</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24657-2024</t>
        </is>
      </c>
      <c r="B531" s="1" t="n">
        <v>45460</v>
      </c>
      <c r="C531" s="1" t="n">
        <v>45936</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19575-2025</t>
        </is>
      </c>
      <c r="B532" s="1" t="n">
        <v>45770.55957175926</v>
      </c>
      <c r="C532" s="1" t="n">
        <v>45936</v>
      </c>
      <c r="D532" t="inlineStr">
        <is>
          <t>VÄRMLANDS LÄN</t>
        </is>
      </c>
      <c r="E532" t="inlineStr">
        <is>
          <t>TORSBY</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13207-2022</t>
        </is>
      </c>
      <c r="B533" s="1" t="n">
        <v>44644.56116898148</v>
      </c>
      <c r="C533" s="1" t="n">
        <v>45936</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52532-2023</t>
        </is>
      </c>
      <c r="B534" s="1" t="n">
        <v>45225.54318287037</v>
      </c>
      <c r="C534" s="1" t="n">
        <v>45936</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4908-2024</t>
        </is>
      </c>
      <c r="B535" s="1" t="n">
        <v>45329</v>
      </c>
      <c r="C535" s="1" t="n">
        <v>45936</v>
      </c>
      <c r="D535" t="inlineStr">
        <is>
          <t>VÄRMLANDS LÄN</t>
        </is>
      </c>
      <c r="E535" t="inlineStr">
        <is>
          <t>TORSBY</t>
        </is>
      </c>
      <c r="G535" t="n">
        <v>4</v>
      </c>
      <c r="H535" t="n">
        <v>0</v>
      </c>
      <c r="I535" t="n">
        <v>0</v>
      </c>
      <c r="J535" t="n">
        <v>0</v>
      </c>
      <c r="K535" t="n">
        <v>0</v>
      </c>
      <c r="L535" t="n">
        <v>0</v>
      </c>
      <c r="M535" t="n">
        <v>0</v>
      </c>
      <c r="N535" t="n">
        <v>0</v>
      </c>
      <c r="O535" t="n">
        <v>0</v>
      </c>
      <c r="P535" t="n">
        <v>0</v>
      </c>
      <c r="Q535" t="n">
        <v>0</v>
      </c>
      <c r="R535" s="2" t="inlineStr"/>
    </row>
    <row r="536" ht="15" customHeight="1">
      <c r="A536" t="inlineStr">
        <is>
          <t>A 1100-2025</t>
        </is>
      </c>
      <c r="B536" s="1" t="n">
        <v>45666.64099537037</v>
      </c>
      <c r="C536" s="1" t="n">
        <v>45936</v>
      </c>
      <c r="D536" t="inlineStr">
        <is>
          <t>VÄRMLANDS LÄN</t>
        </is>
      </c>
      <c r="E536" t="inlineStr">
        <is>
          <t>TORSBY</t>
        </is>
      </c>
      <c r="G536" t="n">
        <v>8.4</v>
      </c>
      <c r="H536" t="n">
        <v>0</v>
      </c>
      <c r="I536" t="n">
        <v>0</v>
      </c>
      <c r="J536" t="n">
        <v>0</v>
      </c>
      <c r="K536" t="n">
        <v>0</v>
      </c>
      <c r="L536" t="n">
        <v>0</v>
      </c>
      <c r="M536" t="n">
        <v>0</v>
      </c>
      <c r="N536" t="n">
        <v>0</v>
      </c>
      <c r="O536" t="n">
        <v>0</v>
      </c>
      <c r="P536" t="n">
        <v>0</v>
      </c>
      <c r="Q536" t="n">
        <v>0</v>
      </c>
      <c r="R536" s="2" t="inlineStr"/>
    </row>
    <row r="537" ht="15" customHeight="1">
      <c r="A537" t="inlineStr">
        <is>
          <t>A 54618-2024</t>
        </is>
      </c>
      <c r="B537" s="1" t="n">
        <v>45617</v>
      </c>
      <c r="C537" s="1" t="n">
        <v>45936</v>
      </c>
      <c r="D537" t="inlineStr">
        <is>
          <t>VÄRMLANDS LÄN</t>
        </is>
      </c>
      <c r="E537" t="inlineStr">
        <is>
          <t>TORSBY</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36498-2025</t>
        </is>
      </c>
      <c r="B538" s="1" t="n">
        <v>45869</v>
      </c>
      <c r="C538" s="1" t="n">
        <v>45936</v>
      </c>
      <c r="D538" t="inlineStr">
        <is>
          <t>VÄRMLANDS LÄN</t>
        </is>
      </c>
      <c r="E538" t="inlineStr">
        <is>
          <t>TORSBY</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36500-2025</t>
        </is>
      </c>
      <c r="B539" s="1" t="n">
        <v>45869</v>
      </c>
      <c r="C539" s="1" t="n">
        <v>45936</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13006-2025</t>
        </is>
      </c>
      <c r="B540" s="1" t="n">
        <v>45734.51652777778</v>
      </c>
      <c r="C540" s="1" t="n">
        <v>45936</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59425-2021</t>
        </is>
      </c>
      <c r="B541" s="1" t="n">
        <v>44491.43469907407</v>
      </c>
      <c r="C541" s="1" t="n">
        <v>45936</v>
      </c>
      <c r="D541" t="inlineStr">
        <is>
          <t>VÄRMLANDS LÄN</t>
        </is>
      </c>
      <c r="E541" t="inlineStr">
        <is>
          <t>TORSBY</t>
        </is>
      </c>
      <c r="F541" t="inlineStr">
        <is>
          <t>Bergvik skog väst AB</t>
        </is>
      </c>
      <c r="G541" t="n">
        <v>14.9</v>
      </c>
      <c r="H541" t="n">
        <v>0</v>
      </c>
      <c r="I541" t="n">
        <v>0</v>
      </c>
      <c r="J541" t="n">
        <v>0</v>
      </c>
      <c r="K541" t="n">
        <v>0</v>
      </c>
      <c r="L541" t="n">
        <v>0</v>
      </c>
      <c r="M541" t="n">
        <v>0</v>
      </c>
      <c r="N541" t="n">
        <v>0</v>
      </c>
      <c r="O541" t="n">
        <v>0</v>
      </c>
      <c r="P541" t="n">
        <v>0</v>
      </c>
      <c r="Q541" t="n">
        <v>0</v>
      </c>
      <c r="R541" s="2" t="inlineStr"/>
    </row>
    <row r="542" ht="15" customHeight="1">
      <c r="A542" t="inlineStr">
        <is>
          <t>A 69878-2021</t>
        </is>
      </c>
      <c r="B542" s="1" t="n">
        <v>44532.82293981482</v>
      </c>
      <c r="C542" s="1" t="n">
        <v>45936</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49982-2023</t>
        </is>
      </c>
      <c r="B543" s="1" t="n">
        <v>45215.4216087963</v>
      </c>
      <c r="C543" s="1" t="n">
        <v>45936</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21518-2024</t>
        </is>
      </c>
      <c r="B544" s="1" t="n">
        <v>45441</v>
      </c>
      <c r="C544" s="1" t="n">
        <v>45936</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16425-2022</t>
        </is>
      </c>
      <c r="B545" s="1" t="n">
        <v>44671</v>
      </c>
      <c r="C545" s="1" t="n">
        <v>45936</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48874-2024</t>
        </is>
      </c>
      <c r="B546" s="1" t="n">
        <v>45594</v>
      </c>
      <c r="C546" s="1" t="n">
        <v>45936</v>
      </c>
      <c r="D546" t="inlineStr">
        <is>
          <t>VÄRMLANDS LÄN</t>
        </is>
      </c>
      <c r="E546" t="inlineStr">
        <is>
          <t>TORSBY</t>
        </is>
      </c>
      <c r="F546" t="inlineStr">
        <is>
          <t>Bergvik skog väst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44233-2025</t>
        </is>
      </c>
      <c r="B547" s="1" t="n">
        <v>45915.65515046296</v>
      </c>
      <c r="C547" s="1" t="n">
        <v>45936</v>
      </c>
      <c r="D547" t="inlineStr">
        <is>
          <t>VÄRMLANDS LÄN</t>
        </is>
      </c>
      <c r="E547" t="inlineStr">
        <is>
          <t>TORSBY</t>
        </is>
      </c>
      <c r="G547" t="n">
        <v>1.7</v>
      </c>
      <c r="H547" t="n">
        <v>0</v>
      </c>
      <c r="I547" t="n">
        <v>0</v>
      </c>
      <c r="J547" t="n">
        <v>0</v>
      </c>
      <c r="K547" t="n">
        <v>0</v>
      </c>
      <c r="L547" t="n">
        <v>0</v>
      </c>
      <c r="M547" t="n">
        <v>0</v>
      </c>
      <c r="N547" t="n">
        <v>0</v>
      </c>
      <c r="O547" t="n">
        <v>0</v>
      </c>
      <c r="P547" t="n">
        <v>0</v>
      </c>
      <c r="Q547" t="n">
        <v>0</v>
      </c>
      <c r="R547" s="2" t="inlineStr"/>
    </row>
    <row r="548" ht="15" customHeight="1">
      <c r="A548" t="inlineStr">
        <is>
          <t>A 10027-2023</t>
        </is>
      </c>
      <c r="B548" s="1" t="n">
        <v>44979</v>
      </c>
      <c r="C548" s="1" t="n">
        <v>45936</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26343-2023</t>
        </is>
      </c>
      <c r="B549" s="1" t="n">
        <v>45091</v>
      </c>
      <c r="C549" s="1" t="n">
        <v>45936</v>
      </c>
      <c r="D549" t="inlineStr">
        <is>
          <t>VÄRMLANDS LÄN</t>
        </is>
      </c>
      <c r="E549" t="inlineStr">
        <is>
          <t>TORSBY</t>
        </is>
      </c>
      <c r="G549" t="n">
        <v>0.8</v>
      </c>
      <c r="H549" t="n">
        <v>0</v>
      </c>
      <c r="I549" t="n">
        <v>0</v>
      </c>
      <c r="J549" t="n">
        <v>0</v>
      </c>
      <c r="K549" t="n">
        <v>0</v>
      </c>
      <c r="L549" t="n">
        <v>0</v>
      </c>
      <c r="M549" t="n">
        <v>0</v>
      </c>
      <c r="N549" t="n">
        <v>0</v>
      </c>
      <c r="O549" t="n">
        <v>0</v>
      </c>
      <c r="P549" t="n">
        <v>0</v>
      </c>
      <c r="Q549" t="n">
        <v>0</v>
      </c>
      <c r="R549" s="2" t="inlineStr"/>
    </row>
    <row r="550" ht="15" customHeight="1">
      <c r="A550" t="inlineStr">
        <is>
          <t>A 21790-2023</t>
        </is>
      </c>
      <c r="B550" s="1" t="n">
        <v>45067</v>
      </c>
      <c r="C550" s="1" t="n">
        <v>45936</v>
      </c>
      <c r="D550" t="inlineStr">
        <is>
          <t>VÄRMLANDS LÄN</t>
        </is>
      </c>
      <c r="E550" t="inlineStr">
        <is>
          <t>TORSBY</t>
        </is>
      </c>
      <c r="F550" t="inlineStr">
        <is>
          <t>Övriga statliga verk och myndigheter</t>
        </is>
      </c>
      <c r="G550" t="n">
        <v>1.1</v>
      </c>
      <c r="H550" t="n">
        <v>0</v>
      </c>
      <c r="I550" t="n">
        <v>0</v>
      </c>
      <c r="J550" t="n">
        <v>0</v>
      </c>
      <c r="K550" t="n">
        <v>0</v>
      </c>
      <c r="L550" t="n">
        <v>0</v>
      </c>
      <c r="M550" t="n">
        <v>0</v>
      </c>
      <c r="N550" t="n">
        <v>0</v>
      </c>
      <c r="O550" t="n">
        <v>0</v>
      </c>
      <c r="P550" t="n">
        <v>0</v>
      </c>
      <c r="Q550" t="n">
        <v>0</v>
      </c>
      <c r="R550" s="2" t="inlineStr"/>
    </row>
    <row r="551" ht="15" customHeight="1">
      <c r="A551" t="inlineStr">
        <is>
          <t>A 24148-2024</t>
        </is>
      </c>
      <c r="B551" s="1" t="n">
        <v>45456</v>
      </c>
      <c r="C551" s="1" t="n">
        <v>45936</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34427-2023</t>
        </is>
      </c>
      <c r="B552" s="1" t="n">
        <v>45139.61741898148</v>
      </c>
      <c r="C552" s="1" t="n">
        <v>45936</v>
      </c>
      <c r="D552" t="inlineStr">
        <is>
          <t>VÄRMLANDS LÄN</t>
        </is>
      </c>
      <c r="E552" t="inlineStr">
        <is>
          <t>TORSBY</t>
        </is>
      </c>
      <c r="G552" t="n">
        <v>3.9</v>
      </c>
      <c r="H552" t="n">
        <v>0</v>
      </c>
      <c r="I552" t="n">
        <v>0</v>
      </c>
      <c r="J552" t="n">
        <v>0</v>
      </c>
      <c r="K552" t="n">
        <v>0</v>
      </c>
      <c r="L552" t="n">
        <v>0</v>
      </c>
      <c r="M552" t="n">
        <v>0</v>
      </c>
      <c r="N552" t="n">
        <v>0</v>
      </c>
      <c r="O552" t="n">
        <v>0</v>
      </c>
      <c r="P552" t="n">
        <v>0</v>
      </c>
      <c r="Q552" t="n">
        <v>0</v>
      </c>
      <c r="R552" s="2" t="inlineStr"/>
    </row>
    <row r="553" ht="15" customHeight="1">
      <c r="A553" t="inlineStr">
        <is>
          <t>A 12933-2023</t>
        </is>
      </c>
      <c r="B553" s="1" t="n">
        <v>45001</v>
      </c>
      <c r="C553" s="1" t="n">
        <v>45936</v>
      </c>
      <c r="D553" t="inlineStr">
        <is>
          <t>VÄRMLANDS LÄN</t>
        </is>
      </c>
      <c r="E553" t="inlineStr">
        <is>
          <t>TORSBY</t>
        </is>
      </c>
      <c r="G553" t="n">
        <v>7.1</v>
      </c>
      <c r="H553" t="n">
        <v>0</v>
      </c>
      <c r="I553" t="n">
        <v>0</v>
      </c>
      <c r="J553" t="n">
        <v>0</v>
      </c>
      <c r="K553" t="n">
        <v>0</v>
      </c>
      <c r="L553" t="n">
        <v>0</v>
      </c>
      <c r="M553" t="n">
        <v>0</v>
      </c>
      <c r="N553" t="n">
        <v>0</v>
      </c>
      <c r="O553" t="n">
        <v>0</v>
      </c>
      <c r="P553" t="n">
        <v>0</v>
      </c>
      <c r="Q553" t="n">
        <v>0</v>
      </c>
      <c r="R553" s="2" t="inlineStr"/>
    </row>
    <row r="554" ht="15" customHeight="1">
      <c r="A554" t="inlineStr">
        <is>
          <t>A 44879-2022</t>
        </is>
      </c>
      <c r="B554" s="1" t="n">
        <v>44839</v>
      </c>
      <c r="C554" s="1" t="n">
        <v>45936</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46917-2024</t>
        </is>
      </c>
      <c r="B555" s="1" t="n">
        <v>45583</v>
      </c>
      <c r="C555" s="1" t="n">
        <v>45936</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23264-2022</t>
        </is>
      </c>
      <c r="B556" s="1" t="n">
        <v>44720.40818287037</v>
      </c>
      <c r="C556" s="1" t="n">
        <v>45936</v>
      </c>
      <c r="D556" t="inlineStr">
        <is>
          <t>VÄRMLANDS LÄN</t>
        </is>
      </c>
      <c r="E556" t="inlineStr">
        <is>
          <t>TORSBY</t>
        </is>
      </c>
      <c r="G556" t="n">
        <v>3</v>
      </c>
      <c r="H556" t="n">
        <v>0</v>
      </c>
      <c r="I556" t="n">
        <v>0</v>
      </c>
      <c r="J556" t="n">
        <v>0</v>
      </c>
      <c r="K556" t="n">
        <v>0</v>
      </c>
      <c r="L556" t="n">
        <v>0</v>
      </c>
      <c r="M556" t="n">
        <v>0</v>
      </c>
      <c r="N556" t="n">
        <v>0</v>
      </c>
      <c r="O556" t="n">
        <v>0</v>
      </c>
      <c r="P556" t="n">
        <v>0</v>
      </c>
      <c r="Q556" t="n">
        <v>0</v>
      </c>
      <c r="R556" s="2" t="inlineStr"/>
    </row>
    <row r="557" ht="15" customHeight="1">
      <c r="A557" t="inlineStr">
        <is>
          <t>A 9574-2023</t>
        </is>
      </c>
      <c r="B557" s="1" t="n">
        <v>44982.55168981481</v>
      </c>
      <c r="C557" s="1" t="n">
        <v>45936</v>
      </c>
      <c r="D557" t="inlineStr">
        <is>
          <t>VÄRMLANDS LÄN</t>
        </is>
      </c>
      <c r="E557" t="inlineStr">
        <is>
          <t>TORSBY</t>
        </is>
      </c>
      <c r="F557" t="inlineStr">
        <is>
          <t>Övriga statliga verk och myndigheter</t>
        </is>
      </c>
      <c r="G557" t="n">
        <v>6.2</v>
      </c>
      <c r="H557" t="n">
        <v>0</v>
      </c>
      <c r="I557" t="n">
        <v>0</v>
      </c>
      <c r="J557" t="n">
        <v>0</v>
      </c>
      <c r="K557" t="n">
        <v>0</v>
      </c>
      <c r="L557" t="n">
        <v>0</v>
      </c>
      <c r="M557" t="n">
        <v>0</v>
      </c>
      <c r="N557" t="n">
        <v>0</v>
      </c>
      <c r="O557" t="n">
        <v>0</v>
      </c>
      <c r="P557" t="n">
        <v>0</v>
      </c>
      <c r="Q557" t="n">
        <v>0</v>
      </c>
      <c r="R557" s="2" t="inlineStr"/>
    </row>
    <row r="558" ht="15" customHeight="1">
      <c r="A558" t="inlineStr">
        <is>
          <t>A 6656-2021</t>
        </is>
      </c>
      <c r="B558" s="1" t="n">
        <v>44236</v>
      </c>
      <c r="C558" s="1" t="n">
        <v>45936</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29936-2024</t>
        </is>
      </c>
      <c r="B559" s="1" t="n">
        <v>45488</v>
      </c>
      <c r="C559" s="1" t="n">
        <v>45936</v>
      </c>
      <c r="D559" t="inlineStr">
        <is>
          <t>VÄRMLANDS LÄN</t>
        </is>
      </c>
      <c r="E559" t="inlineStr">
        <is>
          <t>TORSBY</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45936</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5351-2024</t>
        </is>
      </c>
      <c r="B561" s="1" t="n">
        <v>45331.45199074074</v>
      </c>
      <c r="C561" s="1" t="n">
        <v>45936</v>
      </c>
      <c r="D561" t="inlineStr">
        <is>
          <t>VÄRMLANDS LÄN</t>
        </is>
      </c>
      <c r="E561" t="inlineStr">
        <is>
          <t>TORSBY</t>
        </is>
      </c>
      <c r="G561" t="n">
        <v>8.9</v>
      </c>
      <c r="H561" t="n">
        <v>0</v>
      </c>
      <c r="I561" t="n">
        <v>0</v>
      </c>
      <c r="J561" t="n">
        <v>0</v>
      </c>
      <c r="K561" t="n">
        <v>0</v>
      </c>
      <c r="L561" t="n">
        <v>0</v>
      </c>
      <c r="M561" t="n">
        <v>0</v>
      </c>
      <c r="N561" t="n">
        <v>0</v>
      </c>
      <c r="O561" t="n">
        <v>0</v>
      </c>
      <c r="P561" t="n">
        <v>0</v>
      </c>
      <c r="Q561" t="n">
        <v>0</v>
      </c>
      <c r="R561" s="2" t="inlineStr"/>
    </row>
    <row r="562" ht="15" customHeight="1">
      <c r="A562" t="inlineStr">
        <is>
          <t>A 19159-2025</t>
        </is>
      </c>
      <c r="B562" s="1" t="n">
        <v>45769</v>
      </c>
      <c r="C562" s="1" t="n">
        <v>45936</v>
      </c>
      <c r="D562" t="inlineStr">
        <is>
          <t>VÄRMLANDS LÄN</t>
        </is>
      </c>
      <c r="E562" t="inlineStr">
        <is>
          <t>TORSBY</t>
        </is>
      </c>
      <c r="F562" t="inlineStr">
        <is>
          <t>Bergvik skog väst AB</t>
        </is>
      </c>
      <c r="G562" t="n">
        <v>10.2</v>
      </c>
      <c r="H562" t="n">
        <v>0</v>
      </c>
      <c r="I562" t="n">
        <v>0</v>
      </c>
      <c r="J562" t="n">
        <v>0</v>
      </c>
      <c r="K562" t="n">
        <v>0</v>
      </c>
      <c r="L562" t="n">
        <v>0</v>
      </c>
      <c r="M562" t="n">
        <v>0</v>
      </c>
      <c r="N562" t="n">
        <v>0</v>
      </c>
      <c r="O562" t="n">
        <v>0</v>
      </c>
      <c r="P562" t="n">
        <v>0</v>
      </c>
      <c r="Q562" t="n">
        <v>0</v>
      </c>
      <c r="R562" s="2" t="inlineStr"/>
    </row>
    <row r="563" ht="15" customHeight="1">
      <c r="A563" t="inlineStr">
        <is>
          <t>A 66133-2021</t>
        </is>
      </c>
      <c r="B563" s="1" t="n">
        <v>44517</v>
      </c>
      <c r="C563" s="1" t="n">
        <v>45936</v>
      </c>
      <c r="D563" t="inlineStr">
        <is>
          <t>VÄRMLANDS LÄN</t>
        </is>
      </c>
      <c r="E563" t="inlineStr">
        <is>
          <t>TORSBY</t>
        </is>
      </c>
      <c r="G563" t="n">
        <v>0.9</v>
      </c>
      <c r="H563" t="n">
        <v>0</v>
      </c>
      <c r="I563" t="n">
        <v>0</v>
      </c>
      <c r="J563" t="n">
        <v>0</v>
      </c>
      <c r="K563" t="n">
        <v>0</v>
      </c>
      <c r="L563" t="n">
        <v>0</v>
      </c>
      <c r="M563" t="n">
        <v>0</v>
      </c>
      <c r="N563" t="n">
        <v>0</v>
      </c>
      <c r="O563" t="n">
        <v>0</v>
      </c>
      <c r="P563" t="n">
        <v>0</v>
      </c>
      <c r="Q563" t="n">
        <v>0</v>
      </c>
      <c r="R563" s="2" t="inlineStr"/>
    </row>
    <row r="564" ht="15" customHeight="1">
      <c r="A564" t="inlineStr">
        <is>
          <t>A 46221-2023</t>
        </is>
      </c>
      <c r="B564" s="1" t="n">
        <v>45196.66636574074</v>
      </c>
      <c r="C564" s="1" t="n">
        <v>45936</v>
      </c>
      <c r="D564" t="inlineStr">
        <is>
          <t>VÄRMLANDS LÄN</t>
        </is>
      </c>
      <c r="E564" t="inlineStr">
        <is>
          <t>TORSBY</t>
        </is>
      </c>
      <c r="G564" t="n">
        <v>6.5</v>
      </c>
      <c r="H564" t="n">
        <v>0</v>
      </c>
      <c r="I564" t="n">
        <v>0</v>
      </c>
      <c r="J564" t="n">
        <v>0</v>
      </c>
      <c r="K564" t="n">
        <v>0</v>
      </c>
      <c r="L564" t="n">
        <v>0</v>
      </c>
      <c r="M564" t="n">
        <v>0</v>
      </c>
      <c r="N564" t="n">
        <v>0</v>
      </c>
      <c r="O564" t="n">
        <v>0</v>
      </c>
      <c r="P564" t="n">
        <v>0</v>
      </c>
      <c r="Q564" t="n">
        <v>0</v>
      </c>
      <c r="R564" s="2" t="inlineStr"/>
    </row>
    <row r="565" ht="15" customHeight="1">
      <c r="A565" t="inlineStr">
        <is>
          <t>A 64664-2023</t>
        </is>
      </c>
      <c r="B565" s="1" t="n">
        <v>45281.60710648148</v>
      </c>
      <c r="C565" s="1" t="n">
        <v>45936</v>
      </c>
      <c r="D565" t="inlineStr">
        <is>
          <t>VÄRMLANDS LÄN</t>
        </is>
      </c>
      <c r="E565" t="inlineStr">
        <is>
          <t>TORSBY</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32845-2024</t>
        </is>
      </c>
      <c r="B566" s="1" t="n">
        <v>45516.62422453704</v>
      </c>
      <c r="C566" s="1" t="n">
        <v>45936</v>
      </c>
      <c r="D566" t="inlineStr">
        <is>
          <t>VÄRMLANDS LÄN</t>
        </is>
      </c>
      <c r="E566" t="inlineStr">
        <is>
          <t>TORSBY</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35777-2024</t>
        </is>
      </c>
      <c r="B567" s="1" t="n">
        <v>45532</v>
      </c>
      <c r="C567" s="1" t="n">
        <v>45936</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37752-2022</t>
        </is>
      </c>
      <c r="B568" s="1" t="n">
        <v>44810</v>
      </c>
      <c r="C568" s="1" t="n">
        <v>45936</v>
      </c>
      <c r="D568" t="inlineStr">
        <is>
          <t>VÄRMLANDS LÄN</t>
        </is>
      </c>
      <c r="E568" t="inlineStr">
        <is>
          <t>TORSBY</t>
        </is>
      </c>
      <c r="F568" t="inlineStr">
        <is>
          <t>Kyrkan</t>
        </is>
      </c>
      <c r="G568" t="n">
        <v>4.5</v>
      </c>
      <c r="H568" t="n">
        <v>0</v>
      </c>
      <c r="I568" t="n">
        <v>0</v>
      </c>
      <c r="J568" t="n">
        <v>0</v>
      </c>
      <c r="K568" t="n">
        <v>0</v>
      </c>
      <c r="L568" t="n">
        <v>0</v>
      </c>
      <c r="M568" t="n">
        <v>0</v>
      </c>
      <c r="N568" t="n">
        <v>0</v>
      </c>
      <c r="O568" t="n">
        <v>0</v>
      </c>
      <c r="P568" t="n">
        <v>0</v>
      </c>
      <c r="Q568" t="n">
        <v>0</v>
      </c>
      <c r="R568" s="2" t="inlineStr"/>
    </row>
    <row r="569" ht="15" customHeight="1">
      <c r="A569" t="inlineStr">
        <is>
          <t>A 51199-2023</t>
        </is>
      </c>
      <c r="B569" s="1" t="n">
        <v>45219.42247685185</v>
      </c>
      <c r="C569" s="1" t="n">
        <v>45936</v>
      </c>
      <c r="D569" t="inlineStr">
        <is>
          <t>VÄRMLANDS LÄN</t>
        </is>
      </c>
      <c r="E569" t="inlineStr">
        <is>
          <t>TORSBY</t>
        </is>
      </c>
      <c r="G569" t="n">
        <v>4.8</v>
      </c>
      <c r="H569" t="n">
        <v>0</v>
      </c>
      <c r="I569" t="n">
        <v>0</v>
      </c>
      <c r="J569" t="n">
        <v>0</v>
      </c>
      <c r="K569" t="n">
        <v>0</v>
      </c>
      <c r="L569" t="n">
        <v>0</v>
      </c>
      <c r="M569" t="n">
        <v>0</v>
      </c>
      <c r="N569" t="n">
        <v>0</v>
      </c>
      <c r="O569" t="n">
        <v>0</v>
      </c>
      <c r="P569" t="n">
        <v>0</v>
      </c>
      <c r="Q569" t="n">
        <v>0</v>
      </c>
      <c r="R569" s="2" t="inlineStr"/>
    </row>
    <row r="570" ht="15" customHeight="1">
      <c r="A570" t="inlineStr">
        <is>
          <t>A 17841-2025</t>
        </is>
      </c>
      <c r="B570" s="1" t="n">
        <v>45758</v>
      </c>
      <c r="C570" s="1" t="n">
        <v>45936</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41156-2023</t>
        </is>
      </c>
      <c r="B571" s="1" t="n">
        <v>45174</v>
      </c>
      <c r="C571" s="1" t="n">
        <v>45936</v>
      </c>
      <c r="D571" t="inlineStr">
        <is>
          <t>VÄRMLANDS LÄN</t>
        </is>
      </c>
      <c r="E571" t="inlineStr">
        <is>
          <t>TORSBY</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64672-2023</t>
        </is>
      </c>
      <c r="B572" s="1" t="n">
        <v>45281.61913194445</v>
      </c>
      <c r="C572" s="1" t="n">
        <v>45936</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18339-2024</t>
        </is>
      </c>
      <c r="B573" s="1" t="n">
        <v>45422.58119212963</v>
      </c>
      <c r="C573" s="1" t="n">
        <v>45936</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16003-2025</t>
        </is>
      </c>
      <c r="B574" s="1" t="n">
        <v>45749</v>
      </c>
      <c r="C574" s="1" t="n">
        <v>45936</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57469-2024</t>
        </is>
      </c>
      <c r="B575" s="1" t="n">
        <v>45630</v>
      </c>
      <c r="C575" s="1" t="n">
        <v>45936</v>
      </c>
      <c r="D575" t="inlineStr">
        <is>
          <t>VÄRMLANDS LÄN</t>
        </is>
      </c>
      <c r="E575" t="inlineStr">
        <is>
          <t>TORSBY</t>
        </is>
      </c>
      <c r="F575" t="inlineStr">
        <is>
          <t>Bergvik skog väst AB</t>
        </is>
      </c>
      <c r="G575" t="n">
        <v>12.8</v>
      </c>
      <c r="H575" t="n">
        <v>0</v>
      </c>
      <c r="I575" t="n">
        <v>0</v>
      </c>
      <c r="J575" t="n">
        <v>0</v>
      </c>
      <c r="K575" t="n">
        <v>0</v>
      </c>
      <c r="L575" t="n">
        <v>0</v>
      </c>
      <c r="M575" t="n">
        <v>0</v>
      </c>
      <c r="N575" t="n">
        <v>0</v>
      </c>
      <c r="O575" t="n">
        <v>0</v>
      </c>
      <c r="P575" t="n">
        <v>0</v>
      </c>
      <c r="Q575" t="n">
        <v>0</v>
      </c>
      <c r="R575" s="2" t="inlineStr"/>
    </row>
    <row r="576" ht="15" customHeight="1">
      <c r="A576" t="inlineStr">
        <is>
          <t>A 4231-2024</t>
        </is>
      </c>
      <c r="B576" s="1" t="n">
        <v>45324.42771990741</v>
      </c>
      <c r="C576" s="1" t="n">
        <v>45936</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37238-2024</t>
        </is>
      </c>
      <c r="B577" s="1" t="n">
        <v>45540</v>
      </c>
      <c r="C577" s="1" t="n">
        <v>45936</v>
      </c>
      <c r="D577" t="inlineStr">
        <is>
          <t>VÄRMLANDS LÄN</t>
        </is>
      </c>
      <c r="E577" t="inlineStr">
        <is>
          <t>TORSBY</t>
        </is>
      </c>
      <c r="F577" t="inlineStr">
        <is>
          <t>Bergvik skog väst AB</t>
        </is>
      </c>
      <c r="G577" t="n">
        <v>11.9</v>
      </c>
      <c r="H577" t="n">
        <v>0</v>
      </c>
      <c r="I577" t="n">
        <v>0</v>
      </c>
      <c r="J577" t="n">
        <v>0</v>
      </c>
      <c r="K577" t="n">
        <v>0</v>
      </c>
      <c r="L577" t="n">
        <v>0</v>
      </c>
      <c r="M577" t="n">
        <v>0</v>
      </c>
      <c r="N577" t="n">
        <v>0</v>
      </c>
      <c r="O577" t="n">
        <v>0</v>
      </c>
      <c r="P577" t="n">
        <v>0</v>
      </c>
      <c r="Q577" t="n">
        <v>0</v>
      </c>
      <c r="R577" s="2" t="inlineStr"/>
    </row>
    <row r="578" ht="15" customHeight="1">
      <c r="A578" t="inlineStr">
        <is>
          <t>A 44590-2025</t>
        </is>
      </c>
      <c r="B578" s="1" t="n">
        <v>45917.42607638889</v>
      </c>
      <c r="C578" s="1" t="n">
        <v>45936</v>
      </c>
      <c r="D578" t="inlineStr">
        <is>
          <t>VÄRMLANDS LÄN</t>
        </is>
      </c>
      <c r="E578" t="inlineStr">
        <is>
          <t>TORSBY</t>
        </is>
      </c>
      <c r="F578" t="inlineStr">
        <is>
          <t>Bergvik skog väst AB</t>
        </is>
      </c>
      <c r="G578" t="n">
        <v>10.3</v>
      </c>
      <c r="H578" t="n">
        <v>0</v>
      </c>
      <c r="I578" t="n">
        <v>0</v>
      </c>
      <c r="J578" t="n">
        <v>0</v>
      </c>
      <c r="K578" t="n">
        <v>0</v>
      </c>
      <c r="L578" t="n">
        <v>0</v>
      </c>
      <c r="M578" t="n">
        <v>0</v>
      </c>
      <c r="N578" t="n">
        <v>0</v>
      </c>
      <c r="O578" t="n">
        <v>0</v>
      </c>
      <c r="P578" t="n">
        <v>0</v>
      </c>
      <c r="Q578" t="n">
        <v>0</v>
      </c>
      <c r="R578" s="2" t="inlineStr"/>
    </row>
    <row r="579" ht="15" customHeight="1">
      <c r="A579" t="inlineStr">
        <is>
          <t>A 44715-2025</t>
        </is>
      </c>
      <c r="B579" s="1" t="n">
        <v>45917.62854166667</v>
      </c>
      <c r="C579" s="1" t="n">
        <v>45936</v>
      </c>
      <c r="D579" t="inlineStr">
        <is>
          <t>VÄRMLANDS LÄN</t>
        </is>
      </c>
      <c r="E579" t="inlineStr">
        <is>
          <t>TORSBY</t>
        </is>
      </c>
      <c r="G579" t="n">
        <v>0.6</v>
      </c>
      <c r="H579" t="n">
        <v>0</v>
      </c>
      <c r="I579" t="n">
        <v>0</v>
      </c>
      <c r="J579" t="n">
        <v>0</v>
      </c>
      <c r="K579" t="n">
        <v>0</v>
      </c>
      <c r="L579" t="n">
        <v>0</v>
      </c>
      <c r="M579" t="n">
        <v>0</v>
      </c>
      <c r="N579" t="n">
        <v>0</v>
      </c>
      <c r="O579" t="n">
        <v>0</v>
      </c>
      <c r="P579" t="n">
        <v>0</v>
      </c>
      <c r="Q579" t="n">
        <v>0</v>
      </c>
      <c r="R579" s="2" t="inlineStr"/>
    </row>
    <row r="580" ht="15" customHeight="1">
      <c r="A580" t="inlineStr">
        <is>
          <t>A 36920-2025</t>
        </is>
      </c>
      <c r="B580" s="1" t="n">
        <v>45874</v>
      </c>
      <c r="C580" s="1" t="n">
        <v>45936</v>
      </c>
      <c r="D580" t="inlineStr">
        <is>
          <t>VÄRMLANDS LÄN</t>
        </is>
      </c>
      <c r="E580" t="inlineStr">
        <is>
          <t>TORSBY</t>
        </is>
      </c>
      <c r="F580" t="inlineStr">
        <is>
          <t>Bergvik skog väst AB</t>
        </is>
      </c>
      <c r="G580" t="n">
        <v>15.9</v>
      </c>
      <c r="H580" t="n">
        <v>0</v>
      </c>
      <c r="I580" t="n">
        <v>0</v>
      </c>
      <c r="J580" t="n">
        <v>0</v>
      </c>
      <c r="K580" t="n">
        <v>0</v>
      </c>
      <c r="L580" t="n">
        <v>0</v>
      </c>
      <c r="M580" t="n">
        <v>0</v>
      </c>
      <c r="N580" t="n">
        <v>0</v>
      </c>
      <c r="O580" t="n">
        <v>0</v>
      </c>
      <c r="P580" t="n">
        <v>0</v>
      </c>
      <c r="Q580" t="n">
        <v>0</v>
      </c>
      <c r="R580" s="2" t="inlineStr"/>
    </row>
    <row r="581" ht="15" customHeight="1">
      <c r="A581" t="inlineStr">
        <is>
          <t>A 44374-2025</t>
        </is>
      </c>
      <c r="B581" s="1" t="n">
        <v>45916.47035879629</v>
      </c>
      <c r="C581" s="1" t="n">
        <v>45936</v>
      </c>
      <c r="D581" t="inlineStr">
        <is>
          <t>VÄRMLANDS LÄN</t>
        </is>
      </c>
      <c r="E581" t="inlineStr">
        <is>
          <t>TORSBY</t>
        </is>
      </c>
      <c r="F581" t="inlineStr">
        <is>
          <t>Bergvik skog väst AB</t>
        </is>
      </c>
      <c r="G581" t="n">
        <v>10.5</v>
      </c>
      <c r="H581" t="n">
        <v>0</v>
      </c>
      <c r="I581" t="n">
        <v>0</v>
      </c>
      <c r="J581" t="n">
        <v>0</v>
      </c>
      <c r="K581" t="n">
        <v>0</v>
      </c>
      <c r="L581" t="n">
        <v>0</v>
      </c>
      <c r="M581" t="n">
        <v>0</v>
      </c>
      <c r="N581" t="n">
        <v>0</v>
      </c>
      <c r="O581" t="n">
        <v>0</v>
      </c>
      <c r="P581" t="n">
        <v>0</v>
      </c>
      <c r="Q581" t="n">
        <v>0</v>
      </c>
      <c r="R581" s="2" t="inlineStr"/>
    </row>
    <row r="582" ht="15" customHeight="1">
      <c r="A582" t="inlineStr">
        <is>
          <t>A 44288-2025</t>
        </is>
      </c>
      <c r="B582" s="1" t="n">
        <v>45916.3500462963</v>
      </c>
      <c r="C582" s="1" t="n">
        <v>45936</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44290-2025</t>
        </is>
      </c>
      <c r="B583" s="1" t="n">
        <v>45916.35228009259</v>
      </c>
      <c r="C583" s="1" t="n">
        <v>45936</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36856-2025</t>
        </is>
      </c>
      <c r="B584" s="1" t="n">
        <v>45874.40421296296</v>
      </c>
      <c r="C584" s="1" t="n">
        <v>45936</v>
      </c>
      <c r="D584" t="inlineStr">
        <is>
          <t>VÄRMLANDS LÄN</t>
        </is>
      </c>
      <c r="E584" t="inlineStr">
        <is>
          <t>TORSBY</t>
        </is>
      </c>
      <c r="G584" t="n">
        <v>4.4</v>
      </c>
      <c r="H584" t="n">
        <v>0</v>
      </c>
      <c r="I584" t="n">
        <v>0</v>
      </c>
      <c r="J584" t="n">
        <v>0</v>
      </c>
      <c r="K584" t="n">
        <v>0</v>
      </c>
      <c r="L584" t="n">
        <v>0</v>
      </c>
      <c r="M584" t="n">
        <v>0</v>
      </c>
      <c r="N584" t="n">
        <v>0</v>
      </c>
      <c r="O584" t="n">
        <v>0</v>
      </c>
      <c r="P584" t="n">
        <v>0</v>
      </c>
      <c r="Q584" t="n">
        <v>0</v>
      </c>
      <c r="R584" s="2" t="inlineStr"/>
    </row>
    <row r="585" ht="15" customHeight="1">
      <c r="A585" t="inlineStr">
        <is>
          <t>A 24182-2024</t>
        </is>
      </c>
      <c r="B585" s="1" t="n">
        <v>45456</v>
      </c>
      <c r="C585" s="1" t="n">
        <v>45936</v>
      </c>
      <c r="D585" t="inlineStr">
        <is>
          <t>VÄRMLANDS LÄN</t>
        </is>
      </c>
      <c r="E585" t="inlineStr">
        <is>
          <t>TORSBY</t>
        </is>
      </c>
      <c r="F585" t="inlineStr">
        <is>
          <t>Bergvik skog väst AB</t>
        </is>
      </c>
      <c r="G585" t="n">
        <v>28.9</v>
      </c>
      <c r="H585" t="n">
        <v>0</v>
      </c>
      <c r="I585" t="n">
        <v>0</v>
      </c>
      <c r="J585" t="n">
        <v>0</v>
      </c>
      <c r="K585" t="n">
        <v>0</v>
      </c>
      <c r="L585" t="n">
        <v>0</v>
      </c>
      <c r="M585" t="n">
        <v>0</v>
      </c>
      <c r="N585" t="n">
        <v>0</v>
      </c>
      <c r="O585" t="n">
        <v>0</v>
      </c>
      <c r="P585" t="n">
        <v>0</v>
      </c>
      <c r="Q585" t="n">
        <v>0</v>
      </c>
      <c r="R585" s="2" t="inlineStr"/>
    </row>
    <row r="586" ht="15" customHeight="1">
      <c r="A586" t="inlineStr">
        <is>
          <t>A 55031-2023</t>
        </is>
      </c>
      <c r="B586" s="1" t="n">
        <v>45237.34733796296</v>
      </c>
      <c r="C586" s="1" t="n">
        <v>45936</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42931-2025</t>
        </is>
      </c>
      <c r="B587" s="1" t="n">
        <v>45909</v>
      </c>
      <c r="C587" s="1" t="n">
        <v>45936</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42932-2025</t>
        </is>
      </c>
      <c r="B588" s="1" t="n">
        <v>45909</v>
      </c>
      <c r="C588" s="1" t="n">
        <v>45936</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37260-2025</t>
        </is>
      </c>
      <c r="B589" s="1" t="n">
        <v>45876</v>
      </c>
      <c r="C589" s="1" t="n">
        <v>45936</v>
      </c>
      <c r="D589" t="inlineStr">
        <is>
          <t>VÄRMLANDS LÄN</t>
        </is>
      </c>
      <c r="E589" t="inlineStr">
        <is>
          <t>TORSBY</t>
        </is>
      </c>
      <c r="F589" t="inlineStr">
        <is>
          <t>Bergvik skog väst AB</t>
        </is>
      </c>
      <c r="G589" t="n">
        <v>4.3</v>
      </c>
      <c r="H589" t="n">
        <v>0</v>
      </c>
      <c r="I589" t="n">
        <v>0</v>
      </c>
      <c r="J589" t="n">
        <v>0</v>
      </c>
      <c r="K589" t="n">
        <v>0</v>
      </c>
      <c r="L589" t="n">
        <v>0</v>
      </c>
      <c r="M589" t="n">
        <v>0</v>
      </c>
      <c r="N589" t="n">
        <v>0</v>
      </c>
      <c r="O589" t="n">
        <v>0</v>
      </c>
      <c r="P589" t="n">
        <v>0</v>
      </c>
      <c r="Q589" t="n">
        <v>0</v>
      </c>
      <c r="R589" s="2" t="inlineStr"/>
    </row>
    <row r="590" ht="15" customHeight="1">
      <c r="A590" t="inlineStr">
        <is>
          <t>A 36419-2024</t>
        </is>
      </c>
      <c r="B590" s="1" t="n">
        <v>45536.58380787037</v>
      </c>
      <c r="C590" s="1" t="n">
        <v>45936</v>
      </c>
      <c r="D590" t="inlineStr">
        <is>
          <t>VÄRMLANDS LÄN</t>
        </is>
      </c>
      <c r="E590" t="inlineStr">
        <is>
          <t>TORSBY</t>
        </is>
      </c>
      <c r="G590" t="n">
        <v>8.9</v>
      </c>
      <c r="H590" t="n">
        <v>0</v>
      </c>
      <c r="I590" t="n">
        <v>0</v>
      </c>
      <c r="J590" t="n">
        <v>0</v>
      </c>
      <c r="K590" t="n">
        <v>0</v>
      </c>
      <c r="L590" t="n">
        <v>0</v>
      </c>
      <c r="M590" t="n">
        <v>0</v>
      </c>
      <c r="N590" t="n">
        <v>0</v>
      </c>
      <c r="O590" t="n">
        <v>0</v>
      </c>
      <c r="P590" t="n">
        <v>0</v>
      </c>
      <c r="Q590" t="n">
        <v>0</v>
      </c>
      <c r="R590" s="2" t="inlineStr"/>
    </row>
    <row r="591" ht="15" customHeight="1">
      <c r="A591" t="inlineStr">
        <is>
          <t>A 12440-2025</t>
        </is>
      </c>
      <c r="B591" s="1" t="n">
        <v>45730</v>
      </c>
      <c r="C591" s="1" t="n">
        <v>45936</v>
      </c>
      <c r="D591" t="inlineStr">
        <is>
          <t>VÄRMLANDS LÄN</t>
        </is>
      </c>
      <c r="E591" t="inlineStr">
        <is>
          <t>TORSBY</t>
        </is>
      </c>
      <c r="G591" t="n">
        <v>4.7</v>
      </c>
      <c r="H591" t="n">
        <v>0</v>
      </c>
      <c r="I591" t="n">
        <v>0</v>
      </c>
      <c r="J591" t="n">
        <v>0</v>
      </c>
      <c r="K591" t="n">
        <v>0</v>
      </c>
      <c r="L591" t="n">
        <v>0</v>
      </c>
      <c r="M591" t="n">
        <v>0</v>
      </c>
      <c r="N591" t="n">
        <v>0</v>
      </c>
      <c r="O591" t="n">
        <v>0</v>
      </c>
      <c r="P591" t="n">
        <v>0</v>
      </c>
      <c r="Q591" t="n">
        <v>0</v>
      </c>
      <c r="R591" s="2" t="inlineStr"/>
    </row>
    <row r="592" ht="15" customHeight="1">
      <c r="A592" t="inlineStr">
        <is>
          <t>A 18576-2025</t>
        </is>
      </c>
      <c r="B592" s="1" t="n">
        <v>45763</v>
      </c>
      <c r="C592" s="1" t="n">
        <v>45936</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18584-2025</t>
        </is>
      </c>
      <c r="B593" s="1" t="n">
        <v>45763.46973379629</v>
      </c>
      <c r="C593" s="1" t="n">
        <v>45936</v>
      </c>
      <c r="D593" t="inlineStr">
        <is>
          <t>VÄRMLANDS LÄN</t>
        </is>
      </c>
      <c r="E593" t="inlineStr">
        <is>
          <t>TORSBY</t>
        </is>
      </c>
      <c r="F593" t="inlineStr">
        <is>
          <t>Kyrkan</t>
        </is>
      </c>
      <c r="G593" t="n">
        <v>4.5</v>
      </c>
      <c r="H593" t="n">
        <v>0</v>
      </c>
      <c r="I593" t="n">
        <v>0</v>
      </c>
      <c r="J593" t="n">
        <v>0</v>
      </c>
      <c r="K593" t="n">
        <v>0</v>
      </c>
      <c r="L593" t="n">
        <v>0</v>
      </c>
      <c r="M593" t="n">
        <v>0</v>
      </c>
      <c r="N593" t="n">
        <v>0</v>
      </c>
      <c r="O593" t="n">
        <v>0</v>
      </c>
      <c r="P593" t="n">
        <v>0</v>
      </c>
      <c r="Q593" t="n">
        <v>0</v>
      </c>
      <c r="R593" s="2" t="inlineStr"/>
    </row>
    <row r="594" ht="15" customHeight="1">
      <c r="A594" t="inlineStr">
        <is>
          <t>A 44808-2025</t>
        </is>
      </c>
      <c r="B594" s="1" t="n">
        <v>45918</v>
      </c>
      <c r="C594" s="1" t="n">
        <v>45936</v>
      </c>
      <c r="D594" t="inlineStr">
        <is>
          <t>VÄRMLANDS LÄN</t>
        </is>
      </c>
      <c r="E594" t="inlineStr">
        <is>
          <t>TORSBY</t>
        </is>
      </c>
      <c r="G594" t="n">
        <v>7.2</v>
      </c>
      <c r="H594" t="n">
        <v>0</v>
      </c>
      <c r="I594" t="n">
        <v>0</v>
      </c>
      <c r="J594" t="n">
        <v>0</v>
      </c>
      <c r="K594" t="n">
        <v>0</v>
      </c>
      <c r="L594" t="n">
        <v>0</v>
      </c>
      <c r="M594" t="n">
        <v>0</v>
      </c>
      <c r="N594" t="n">
        <v>0</v>
      </c>
      <c r="O594" t="n">
        <v>0</v>
      </c>
      <c r="P594" t="n">
        <v>0</v>
      </c>
      <c r="Q594" t="n">
        <v>0</v>
      </c>
      <c r="R594" s="2" t="inlineStr"/>
    </row>
    <row r="595" ht="15" customHeight="1">
      <c r="A595" t="inlineStr">
        <is>
          <t>A 58728-2021</t>
        </is>
      </c>
      <c r="B595" s="1" t="n">
        <v>44489</v>
      </c>
      <c r="C595" s="1" t="n">
        <v>45936</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45043-2025</t>
        </is>
      </c>
      <c r="B596" s="1" t="n">
        <v>45918.92902777778</v>
      </c>
      <c r="C596" s="1" t="n">
        <v>45936</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9871-2024</t>
        </is>
      </c>
      <c r="B597" s="1" t="n">
        <v>45363</v>
      </c>
      <c r="C597" s="1" t="n">
        <v>45936</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20898-2023</t>
        </is>
      </c>
      <c r="B598" s="1" t="n">
        <v>45059</v>
      </c>
      <c r="C598" s="1" t="n">
        <v>45936</v>
      </c>
      <c r="D598" t="inlineStr">
        <is>
          <t>VÄRMLANDS LÄN</t>
        </is>
      </c>
      <c r="E598" t="inlineStr">
        <is>
          <t>TORSBY</t>
        </is>
      </c>
      <c r="G598" t="n">
        <v>3.1</v>
      </c>
      <c r="H598" t="n">
        <v>0</v>
      </c>
      <c r="I598" t="n">
        <v>0</v>
      </c>
      <c r="J598" t="n">
        <v>0</v>
      </c>
      <c r="K598" t="n">
        <v>0</v>
      </c>
      <c r="L598" t="n">
        <v>0</v>
      </c>
      <c r="M598" t="n">
        <v>0</v>
      </c>
      <c r="N598" t="n">
        <v>0</v>
      </c>
      <c r="O598" t="n">
        <v>0</v>
      </c>
      <c r="P598" t="n">
        <v>0</v>
      </c>
      <c r="Q598" t="n">
        <v>0</v>
      </c>
      <c r="R598" s="2" t="inlineStr"/>
    </row>
    <row r="599" ht="15" customHeight="1">
      <c r="A599" t="inlineStr">
        <is>
          <t>A 60314-2023</t>
        </is>
      </c>
      <c r="B599" s="1" t="n">
        <v>45258.87101851852</v>
      </c>
      <c r="C599" s="1" t="n">
        <v>45936</v>
      </c>
      <c r="D599" t="inlineStr">
        <is>
          <t>VÄRMLANDS LÄN</t>
        </is>
      </c>
      <c r="E599" t="inlineStr">
        <is>
          <t>TORSBY</t>
        </is>
      </c>
      <c r="G599" t="n">
        <v>0.1</v>
      </c>
      <c r="H599" t="n">
        <v>0</v>
      </c>
      <c r="I599" t="n">
        <v>0</v>
      </c>
      <c r="J599" t="n">
        <v>0</v>
      </c>
      <c r="K599" t="n">
        <v>0</v>
      </c>
      <c r="L599" t="n">
        <v>0</v>
      </c>
      <c r="M599" t="n">
        <v>0</v>
      </c>
      <c r="N599" t="n">
        <v>0</v>
      </c>
      <c r="O599" t="n">
        <v>0</v>
      </c>
      <c r="P599" t="n">
        <v>0</v>
      </c>
      <c r="Q599" t="n">
        <v>0</v>
      </c>
      <c r="R599" s="2" t="inlineStr"/>
    </row>
    <row r="600" ht="15" customHeight="1">
      <c r="A600" t="inlineStr">
        <is>
          <t>A 41270-2023</t>
        </is>
      </c>
      <c r="B600" s="1" t="n">
        <v>45174.54952546296</v>
      </c>
      <c r="C600" s="1" t="n">
        <v>45936</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32932-2024</t>
        </is>
      </c>
      <c r="B601" s="1" t="n">
        <v>45517.31537037037</v>
      </c>
      <c r="C601" s="1" t="n">
        <v>45936</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50852-2023</t>
        </is>
      </c>
      <c r="B602" s="1" t="n">
        <v>45218.29837962963</v>
      </c>
      <c r="C602" s="1" t="n">
        <v>45936</v>
      </c>
      <c r="D602" t="inlineStr">
        <is>
          <t>VÄRMLANDS LÄN</t>
        </is>
      </c>
      <c r="E602" t="inlineStr">
        <is>
          <t>TORSBY</t>
        </is>
      </c>
      <c r="G602" t="n">
        <v>3.8</v>
      </c>
      <c r="H602" t="n">
        <v>0</v>
      </c>
      <c r="I602" t="n">
        <v>0</v>
      </c>
      <c r="J602" t="n">
        <v>0</v>
      </c>
      <c r="K602" t="n">
        <v>0</v>
      </c>
      <c r="L602" t="n">
        <v>0</v>
      </c>
      <c r="M602" t="n">
        <v>0</v>
      </c>
      <c r="N602" t="n">
        <v>0</v>
      </c>
      <c r="O602" t="n">
        <v>0</v>
      </c>
      <c r="P602" t="n">
        <v>0</v>
      </c>
      <c r="Q602" t="n">
        <v>0</v>
      </c>
      <c r="R602" s="2" t="inlineStr"/>
    </row>
    <row r="603" ht="15" customHeight="1">
      <c r="A603" t="inlineStr">
        <is>
          <t>A 27677-2024</t>
        </is>
      </c>
      <c r="B603" s="1" t="n">
        <v>45475</v>
      </c>
      <c r="C603" s="1" t="n">
        <v>45936</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27678-2024</t>
        </is>
      </c>
      <c r="B604" s="1" t="n">
        <v>45475</v>
      </c>
      <c r="C604" s="1" t="n">
        <v>45936</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44522-2025</t>
        </is>
      </c>
      <c r="B605" s="1" t="n">
        <v>45916</v>
      </c>
      <c r="C605" s="1" t="n">
        <v>45936</v>
      </c>
      <c r="D605" t="inlineStr">
        <is>
          <t>VÄRMLANDS LÄN</t>
        </is>
      </c>
      <c r="E605" t="inlineStr">
        <is>
          <t>TORSBY</t>
        </is>
      </c>
      <c r="G605" t="n">
        <v>3.9</v>
      </c>
      <c r="H605" t="n">
        <v>0</v>
      </c>
      <c r="I605" t="n">
        <v>0</v>
      </c>
      <c r="J605" t="n">
        <v>0</v>
      </c>
      <c r="K605" t="n">
        <v>0</v>
      </c>
      <c r="L605" t="n">
        <v>0</v>
      </c>
      <c r="M605" t="n">
        <v>0</v>
      </c>
      <c r="N605" t="n">
        <v>0</v>
      </c>
      <c r="O605" t="n">
        <v>0</v>
      </c>
      <c r="P605" t="n">
        <v>0</v>
      </c>
      <c r="Q605" t="n">
        <v>0</v>
      </c>
      <c r="R605" s="2" t="inlineStr"/>
    </row>
    <row r="606" ht="15" customHeight="1">
      <c r="A606" t="inlineStr">
        <is>
          <t>A 26042-2024</t>
        </is>
      </c>
      <c r="B606" s="1" t="n">
        <v>45468.29846064815</v>
      </c>
      <c r="C606" s="1" t="n">
        <v>45936</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15464-2025</t>
        </is>
      </c>
      <c r="B607" s="1" t="n">
        <v>45747</v>
      </c>
      <c r="C607" s="1" t="n">
        <v>45936</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44821-2025</t>
        </is>
      </c>
      <c r="B608" s="1" t="n">
        <v>45918</v>
      </c>
      <c r="C608" s="1" t="n">
        <v>45936</v>
      </c>
      <c r="D608" t="inlineStr">
        <is>
          <t>VÄRMLANDS LÄN</t>
        </is>
      </c>
      <c r="E608" t="inlineStr">
        <is>
          <t>TORSBY</t>
        </is>
      </c>
      <c r="F608" t="inlineStr">
        <is>
          <t>Bergvik skog väst AB</t>
        </is>
      </c>
      <c r="G608" t="n">
        <v>10.9</v>
      </c>
      <c r="H608" t="n">
        <v>0</v>
      </c>
      <c r="I608" t="n">
        <v>0</v>
      </c>
      <c r="J608" t="n">
        <v>0</v>
      </c>
      <c r="K608" t="n">
        <v>0</v>
      </c>
      <c r="L608" t="n">
        <v>0</v>
      </c>
      <c r="M608" t="n">
        <v>0</v>
      </c>
      <c r="N608" t="n">
        <v>0</v>
      </c>
      <c r="O608" t="n">
        <v>0</v>
      </c>
      <c r="P608" t="n">
        <v>0</v>
      </c>
      <c r="Q608" t="n">
        <v>0</v>
      </c>
      <c r="R608" s="2" t="inlineStr"/>
    </row>
    <row r="609" ht="15" customHeight="1">
      <c r="A609" t="inlineStr">
        <is>
          <t>A 44901-2025</t>
        </is>
      </c>
      <c r="B609" s="1" t="n">
        <v>45918</v>
      </c>
      <c r="C609" s="1" t="n">
        <v>45936</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52580-2023</t>
        </is>
      </c>
      <c r="B610" s="1" t="n">
        <v>45225.59354166667</v>
      </c>
      <c r="C610" s="1" t="n">
        <v>45936</v>
      </c>
      <c r="D610" t="inlineStr">
        <is>
          <t>VÄRMLANDS LÄN</t>
        </is>
      </c>
      <c r="E610" t="inlineStr">
        <is>
          <t>TORSBY</t>
        </is>
      </c>
      <c r="G610" t="n">
        <v>3.3</v>
      </c>
      <c r="H610" t="n">
        <v>0</v>
      </c>
      <c r="I610" t="n">
        <v>0</v>
      </c>
      <c r="J610" t="n">
        <v>0</v>
      </c>
      <c r="K610" t="n">
        <v>0</v>
      </c>
      <c r="L610" t="n">
        <v>0</v>
      </c>
      <c r="M610" t="n">
        <v>0</v>
      </c>
      <c r="N610" t="n">
        <v>0</v>
      </c>
      <c r="O610" t="n">
        <v>0</v>
      </c>
      <c r="P610" t="n">
        <v>0</v>
      </c>
      <c r="Q610" t="n">
        <v>0</v>
      </c>
      <c r="R610" s="2" t="inlineStr"/>
    </row>
    <row r="611" ht="15" customHeight="1">
      <c r="A611" t="inlineStr">
        <is>
          <t>A 52591-2023</t>
        </is>
      </c>
      <c r="B611" s="1" t="n">
        <v>45225</v>
      </c>
      <c r="C611" s="1" t="n">
        <v>45936</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52982-2023</t>
        </is>
      </c>
      <c r="B612" s="1" t="n">
        <v>45226.61299768519</v>
      </c>
      <c r="C612" s="1" t="n">
        <v>45936</v>
      </c>
      <c r="D612" t="inlineStr">
        <is>
          <t>VÄRMLANDS LÄN</t>
        </is>
      </c>
      <c r="E612" t="inlineStr">
        <is>
          <t>TORSBY</t>
        </is>
      </c>
      <c r="G612" t="n">
        <v>35.5</v>
      </c>
      <c r="H612" t="n">
        <v>0</v>
      </c>
      <c r="I612" t="n">
        <v>0</v>
      </c>
      <c r="J612" t="n">
        <v>0</v>
      </c>
      <c r="K612" t="n">
        <v>0</v>
      </c>
      <c r="L612" t="n">
        <v>0</v>
      </c>
      <c r="M612" t="n">
        <v>0</v>
      </c>
      <c r="N612" t="n">
        <v>0</v>
      </c>
      <c r="O612" t="n">
        <v>0</v>
      </c>
      <c r="P612" t="n">
        <v>0</v>
      </c>
      <c r="Q612" t="n">
        <v>0</v>
      </c>
      <c r="R612" s="2" t="inlineStr"/>
    </row>
    <row r="613" ht="15" customHeight="1">
      <c r="A613" t="inlineStr">
        <is>
          <t>A 58976-2024</t>
        </is>
      </c>
      <c r="B613" s="1" t="n">
        <v>45636.6081712963</v>
      </c>
      <c r="C613" s="1" t="n">
        <v>45936</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59613-2024</t>
        </is>
      </c>
      <c r="B614" s="1" t="n">
        <v>45638</v>
      </c>
      <c r="C614" s="1" t="n">
        <v>45936</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29043-2023</t>
        </is>
      </c>
      <c r="B615" s="1" t="n">
        <v>45104</v>
      </c>
      <c r="C615" s="1" t="n">
        <v>45936</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60058-2023</t>
        </is>
      </c>
      <c r="B616" s="1" t="n">
        <v>45258.37978009259</v>
      </c>
      <c r="C616" s="1" t="n">
        <v>45936</v>
      </c>
      <c r="D616" t="inlineStr">
        <is>
          <t>VÄRMLANDS LÄN</t>
        </is>
      </c>
      <c r="E616" t="inlineStr">
        <is>
          <t>TORSBY</t>
        </is>
      </c>
      <c r="G616" t="n">
        <v>5</v>
      </c>
      <c r="H616" t="n">
        <v>0</v>
      </c>
      <c r="I616" t="n">
        <v>0</v>
      </c>
      <c r="J616" t="n">
        <v>0</v>
      </c>
      <c r="K616" t="n">
        <v>0</v>
      </c>
      <c r="L616" t="n">
        <v>0</v>
      </c>
      <c r="M616" t="n">
        <v>0</v>
      </c>
      <c r="N616" t="n">
        <v>0</v>
      </c>
      <c r="O616" t="n">
        <v>0</v>
      </c>
      <c r="P616" t="n">
        <v>0</v>
      </c>
      <c r="Q616" t="n">
        <v>0</v>
      </c>
      <c r="R616" s="2" t="inlineStr"/>
    </row>
    <row r="617" ht="15" customHeight="1">
      <c r="A617" t="inlineStr">
        <is>
          <t>A 54033-2021</t>
        </is>
      </c>
      <c r="B617" s="1" t="n">
        <v>44470.38454861111</v>
      </c>
      <c r="C617" s="1" t="n">
        <v>45936</v>
      </c>
      <c r="D617" t="inlineStr">
        <is>
          <t>VÄRMLANDS LÄN</t>
        </is>
      </c>
      <c r="E617" t="inlineStr">
        <is>
          <t>TORSBY</t>
        </is>
      </c>
      <c r="G617" t="n">
        <v>6</v>
      </c>
      <c r="H617" t="n">
        <v>0</v>
      </c>
      <c r="I617" t="n">
        <v>0</v>
      </c>
      <c r="J617" t="n">
        <v>0</v>
      </c>
      <c r="K617" t="n">
        <v>0</v>
      </c>
      <c r="L617" t="n">
        <v>0</v>
      </c>
      <c r="M617" t="n">
        <v>0</v>
      </c>
      <c r="N617" t="n">
        <v>0</v>
      </c>
      <c r="O617" t="n">
        <v>0</v>
      </c>
      <c r="P617" t="n">
        <v>0</v>
      </c>
      <c r="Q617" t="n">
        <v>0</v>
      </c>
      <c r="R617" s="2" t="inlineStr"/>
    </row>
    <row r="618" ht="15" customHeight="1">
      <c r="A618" t="inlineStr">
        <is>
          <t>A 58062-2021</t>
        </is>
      </c>
      <c r="B618" s="1" t="n">
        <v>44487</v>
      </c>
      <c r="C618" s="1" t="n">
        <v>45936</v>
      </c>
      <c r="D618" t="inlineStr">
        <is>
          <t>VÄRMLANDS LÄN</t>
        </is>
      </c>
      <c r="E618" t="inlineStr">
        <is>
          <t>TORSBY</t>
        </is>
      </c>
      <c r="G618" t="n">
        <v>6</v>
      </c>
      <c r="H618" t="n">
        <v>0</v>
      </c>
      <c r="I618" t="n">
        <v>0</v>
      </c>
      <c r="J618" t="n">
        <v>0</v>
      </c>
      <c r="K618" t="n">
        <v>0</v>
      </c>
      <c r="L618" t="n">
        <v>0</v>
      </c>
      <c r="M618" t="n">
        <v>0</v>
      </c>
      <c r="N618" t="n">
        <v>0</v>
      </c>
      <c r="O618" t="n">
        <v>0</v>
      </c>
      <c r="P618" t="n">
        <v>0</v>
      </c>
      <c r="Q618" t="n">
        <v>0</v>
      </c>
      <c r="R618" s="2" t="inlineStr"/>
    </row>
    <row r="619" ht="15" customHeight="1">
      <c r="A619" t="inlineStr">
        <is>
          <t>A 59941-2023</t>
        </is>
      </c>
      <c r="B619" s="1" t="n">
        <v>45257.67721064815</v>
      </c>
      <c r="C619" s="1" t="n">
        <v>45936</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49840-2024</t>
        </is>
      </c>
      <c r="B620" s="1" t="n">
        <v>45597</v>
      </c>
      <c r="C620" s="1" t="n">
        <v>45936</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13561-2023</t>
        </is>
      </c>
      <c r="B621" s="1" t="n">
        <v>45006.47429398148</v>
      </c>
      <c r="C621" s="1" t="n">
        <v>45936</v>
      </c>
      <c r="D621" t="inlineStr">
        <is>
          <t>VÄRMLANDS LÄN</t>
        </is>
      </c>
      <c r="E621" t="inlineStr">
        <is>
          <t>TORSBY</t>
        </is>
      </c>
      <c r="G621" t="n">
        <v>4.2</v>
      </c>
      <c r="H621" t="n">
        <v>0</v>
      </c>
      <c r="I621" t="n">
        <v>0</v>
      </c>
      <c r="J621" t="n">
        <v>0</v>
      </c>
      <c r="K621" t="n">
        <v>0</v>
      </c>
      <c r="L621" t="n">
        <v>0</v>
      </c>
      <c r="M621" t="n">
        <v>0</v>
      </c>
      <c r="N621" t="n">
        <v>0</v>
      </c>
      <c r="O621" t="n">
        <v>0</v>
      </c>
      <c r="P621" t="n">
        <v>0</v>
      </c>
      <c r="Q621" t="n">
        <v>0</v>
      </c>
      <c r="R621" s="2" t="inlineStr"/>
    </row>
    <row r="622" ht="15" customHeight="1">
      <c r="A622" t="inlineStr">
        <is>
          <t>A 18411-2023</t>
        </is>
      </c>
      <c r="B622" s="1" t="n">
        <v>45042</v>
      </c>
      <c r="C622" s="1" t="n">
        <v>45936</v>
      </c>
      <c r="D622" t="inlineStr">
        <is>
          <t>VÄRMLANDS LÄN</t>
        </is>
      </c>
      <c r="E622" t="inlineStr">
        <is>
          <t>TORSBY</t>
        </is>
      </c>
      <c r="G622" t="n">
        <v>5.9</v>
      </c>
      <c r="H622" t="n">
        <v>0</v>
      </c>
      <c r="I622" t="n">
        <v>0</v>
      </c>
      <c r="J622" t="n">
        <v>0</v>
      </c>
      <c r="K622" t="n">
        <v>0</v>
      </c>
      <c r="L622" t="n">
        <v>0</v>
      </c>
      <c r="M622" t="n">
        <v>0</v>
      </c>
      <c r="N622" t="n">
        <v>0</v>
      </c>
      <c r="O622" t="n">
        <v>0</v>
      </c>
      <c r="P622" t="n">
        <v>0</v>
      </c>
      <c r="Q622" t="n">
        <v>0</v>
      </c>
      <c r="R622" s="2" t="inlineStr"/>
    </row>
    <row r="623" ht="15" customHeight="1">
      <c r="A623" t="inlineStr">
        <is>
          <t>A 19675-2023</t>
        </is>
      </c>
      <c r="B623" s="1" t="n">
        <v>45051</v>
      </c>
      <c r="C623" s="1" t="n">
        <v>45936</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45936</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57216-2023</t>
        </is>
      </c>
      <c r="B625" s="1" t="n">
        <v>45245</v>
      </c>
      <c r="C625" s="1" t="n">
        <v>45936</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6653-2025</t>
        </is>
      </c>
      <c r="B626" s="1" t="n">
        <v>45700.42601851852</v>
      </c>
      <c r="C626" s="1" t="n">
        <v>45936</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61565-2024</t>
        </is>
      </c>
      <c r="B627" s="1" t="n">
        <v>45646</v>
      </c>
      <c r="C627" s="1" t="n">
        <v>45936</v>
      </c>
      <c r="D627" t="inlineStr">
        <is>
          <t>VÄRMLANDS LÄN</t>
        </is>
      </c>
      <c r="E627" t="inlineStr">
        <is>
          <t>TORSBY</t>
        </is>
      </c>
      <c r="F627" t="inlineStr">
        <is>
          <t>Bergvik skog väst AB</t>
        </is>
      </c>
      <c r="G627" t="n">
        <v>14.4</v>
      </c>
      <c r="H627" t="n">
        <v>0</v>
      </c>
      <c r="I627" t="n">
        <v>0</v>
      </c>
      <c r="J627" t="n">
        <v>0</v>
      </c>
      <c r="K627" t="n">
        <v>0</v>
      </c>
      <c r="L627" t="n">
        <v>0</v>
      </c>
      <c r="M627" t="n">
        <v>0</v>
      </c>
      <c r="N627" t="n">
        <v>0</v>
      </c>
      <c r="O627" t="n">
        <v>0</v>
      </c>
      <c r="P627" t="n">
        <v>0</v>
      </c>
      <c r="Q627" t="n">
        <v>0</v>
      </c>
      <c r="R627" s="2" t="inlineStr"/>
    </row>
    <row r="628" ht="15" customHeight="1">
      <c r="A628" t="inlineStr">
        <is>
          <t>A 12528-2025</t>
        </is>
      </c>
      <c r="B628" s="1" t="n">
        <v>45730</v>
      </c>
      <c r="C628" s="1" t="n">
        <v>45936</v>
      </c>
      <c r="D628" t="inlineStr">
        <is>
          <t>VÄRMLANDS LÄN</t>
        </is>
      </c>
      <c r="E628" t="inlineStr">
        <is>
          <t>TORSBY</t>
        </is>
      </c>
      <c r="G628" t="n">
        <v>5.2</v>
      </c>
      <c r="H628" t="n">
        <v>0</v>
      </c>
      <c r="I628" t="n">
        <v>0</v>
      </c>
      <c r="J628" t="n">
        <v>0</v>
      </c>
      <c r="K628" t="n">
        <v>0</v>
      </c>
      <c r="L628" t="n">
        <v>0</v>
      </c>
      <c r="M628" t="n">
        <v>0</v>
      </c>
      <c r="N628" t="n">
        <v>0</v>
      </c>
      <c r="O628" t="n">
        <v>0</v>
      </c>
      <c r="P628" t="n">
        <v>0</v>
      </c>
      <c r="Q628" t="n">
        <v>0</v>
      </c>
      <c r="R628" s="2" t="inlineStr"/>
    </row>
    <row r="629" ht="15" customHeight="1">
      <c r="A629" t="inlineStr">
        <is>
          <t>A 12554-2025</t>
        </is>
      </c>
      <c r="B629" s="1" t="n">
        <v>45731</v>
      </c>
      <c r="C629" s="1" t="n">
        <v>45936</v>
      </c>
      <c r="D629" t="inlineStr">
        <is>
          <t>VÄRMLANDS LÄN</t>
        </is>
      </c>
      <c r="E629" t="inlineStr">
        <is>
          <t>TORSBY</t>
        </is>
      </c>
      <c r="G629" t="n">
        <v>7.5</v>
      </c>
      <c r="H629" t="n">
        <v>0</v>
      </c>
      <c r="I629" t="n">
        <v>0</v>
      </c>
      <c r="J629" t="n">
        <v>0</v>
      </c>
      <c r="K629" t="n">
        <v>0</v>
      </c>
      <c r="L629" t="n">
        <v>0</v>
      </c>
      <c r="M629" t="n">
        <v>0</v>
      </c>
      <c r="N629" t="n">
        <v>0</v>
      </c>
      <c r="O629" t="n">
        <v>0</v>
      </c>
      <c r="P629" t="n">
        <v>0</v>
      </c>
      <c r="Q629" t="n">
        <v>0</v>
      </c>
      <c r="R629" s="2" t="inlineStr"/>
    </row>
    <row r="630" ht="15" customHeight="1">
      <c r="A630" t="inlineStr">
        <is>
          <t>A 37300-2025</t>
        </is>
      </c>
      <c r="B630" s="1" t="n">
        <v>45876</v>
      </c>
      <c r="C630" s="1" t="n">
        <v>45936</v>
      </c>
      <c r="D630" t="inlineStr">
        <is>
          <t>VÄRMLANDS LÄN</t>
        </is>
      </c>
      <c r="E630" t="inlineStr">
        <is>
          <t>TORSBY</t>
        </is>
      </c>
      <c r="F630" t="inlineStr">
        <is>
          <t>Bergvik skog väst AB</t>
        </is>
      </c>
      <c r="G630" t="n">
        <v>33.6</v>
      </c>
      <c r="H630" t="n">
        <v>0</v>
      </c>
      <c r="I630" t="n">
        <v>0</v>
      </c>
      <c r="J630" t="n">
        <v>0</v>
      </c>
      <c r="K630" t="n">
        <v>0</v>
      </c>
      <c r="L630" t="n">
        <v>0</v>
      </c>
      <c r="M630" t="n">
        <v>0</v>
      </c>
      <c r="N630" t="n">
        <v>0</v>
      </c>
      <c r="O630" t="n">
        <v>0</v>
      </c>
      <c r="P630" t="n">
        <v>0</v>
      </c>
      <c r="Q630" t="n">
        <v>0</v>
      </c>
      <c r="R630" s="2" t="inlineStr"/>
    </row>
    <row r="631" ht="15" customHeight="1">
      <c r="A631" t="inlineStr">
        <is>
          <t>A 44794-2025</t>
        </is>
      </c>
      <c r="B631" s="1" t="n">
        <v>45918.34465277778</v>
      </c>
      <c r="C631" s="1" t="n">
        <v>45936</v>
      </c>
      <c r="D631" t="inlineStr">
        <is>
          <t>VÄRMLANDS LÄN</t>
        </is>
      </c>
      <c r="E631" t="inlineStr">
        <is>
          <t>TORSBY</t>
        </is>
      </c>
      <c r="G631" t="n">
        <v>3.4</v>
      </c>
      <c r="H631" t="n">
        <v>0</v>
      </c>
      <c r="I631" t="n">
        <v>0</v>
      </c>
      <c r="J631" t="n">
        <v>0</v>
      </c>
      <c r="K631" t="n">
        <v>0</v>
      </c>
      <c r="L631" t="n">
        <v>0</v>
      </c>
      <c r="M631" t="n">
        <v>0</v>
      </c>
      <c r="N631" t="n">
        <v>0</v>
      </c>
      <c r="O631" t="n">
        <v>0</v>
      </c>
      <c r="P631" t="n">
        <v>0</v>
      </c>
      <c r="Q631" t="n">
        <v>0</v>
      </c>
      <c r="R631" s="2" t="inlineStr"/>
    </row>
    <row r="632" ht="15" customHeight="1">
      <c r="A632" t="inlineStr">
        <is>
          <t>A 36782-2024</t>
        </is>
      </c>
      <c r="B632" s="1" t="n">
        <v>45538</v>
      </c>
      <c r="C632" s="1" t="n">
        <v>45936</v>
      </c>
      <c r="D632" t="inlineStr">
        <is>
          <t>VÄRMLANDS LÄN</t>
        </is>
      </c>
      <c r="E632" t="inlineStr">
        <is>
          <t>TORSBY</t>
        </is>
      </c>
      <c r="G632" t="n">
        <v>4.6</v>
      </c>
      <c r="H632" t="n">
        <v>0</v>
      </c>
      <c r="I632" t="n">
        <v>0</v>
      </c>
      <c r="J632" t="n">
        <v>0</v>
      </c>
      <c r="K632" t="n">
        <v>0</v>
      </c>
      <c r="L632" t="n">
        <v>0</v>
      </c>
      <c r="M632" t="n">
        <v>0</v>
      </c>
      <c r="N632" t="n">
        <v>0</v>
      </c>
      <c r="O632" t="n">
        <v>0</v>
      </c>
      <c r="P632" t="n">
        <v>0</v>
      </c>
      <c r="Q632" t="n">
        <v>0</v>
      </c>
      <c r="R632" s="2" t="inlineStr"/>
    </row>
    <row r="633" ht="15" customHeight="1">
      <c r="A633" t="inlineStr">
        <is>
          <t>A 36790-2024</t>
        </is>
      </c>
      <c r="B633" s="1" t="n">
        <v>45538.43484953704</v>
      </c>
      <c r="C633" s="1" t="n">
        <v>45936</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50372-2024</t>
        </is>
      </c>
      <c r="B634" s="1" t="n">
        <v>45601.25935185186</v>
      </c>
      <c r="C634" s="1" t="n">
        <v>45936</v>
      </c>
      <c r="D634" t="inlineStr">
        <is>
          <t>VÄRMLANDS LÄN</t>
        </is>
      </c>
      <c r="E634" t="inlineStr">
        <is>
          <t>TORSBY</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49845-2024</t>
        </is>
      </c>
      <c r="B635" s="1" t="n">
        <v>45597</v>
      </c>
      <c r="C635" s="1" t="n">
        <v>45936</v>
      </c>
      <c r="D635" t="inlineStr">
        <is>
          <t>VÄRMLANDS LÄN</t>
        </is>
      </c>
      <c r="E635" t="inlineStr">
        <is>
          <t>TORSBY</t>
        </is>
      </c>
      <c r="G635" t="n">
        <v>0.4</v>
      </c>
      <c r="H635" t="n">
        <v>0</v>
      </c>
      <c r="I635" t="n">
        <v>0</v>
      </c>
      <c r="J635" t="n">
        <v>0</v>
      </c>
      <c r="K635" t="n">
        <v>0</v>
      </c>
      <c r="L635" t="n">
        <v>0</v>
      </c>
      <c r="M635" t="n">
        <v>0</v>
      </c>
      <c r="N635" t="n">
        <v>0</v>
      </c>
      <c r="O635" t="n">
        <v>0</v>
      </c>
      <c r="P635" t="n">
        <v>0</v>
      </c>
      <c r="Q635" t="n">
        <v>0</v>
      </c>
      <c r="R635" s="2" t="inlineStr"/>
    </row>
    <row r="636" ht="15" customHeight="1">
      <c r="A636" t="inlineStr">
        <is>
          <t>A 25264-2024</t>
        </is>
      </c>
      <c r="B636" s="1" t="n">
        <v>45462.61859953704</v>
      </c>
      <c r="C636" s="1" t="n">
        <v>45936</v>
      </c>
      <c r="D636" t="inlineStr">
        <is>
          <t>VÄRMLANDS LÄN</t>
        </is>
      </c>
      <c r="E636" t="inlineStr">
        <is>
          <t>TORSBY</t>
        </is>
      </c>
      <c r="G636" t="n">
        <v>10.7</v>
      </c>
      <c r="H636" t="n">
        <v>0</v>
      </c>
      <c r="I636" t="n">
        <v>0</v>
      </c>
      <c r="J636" t="n">
        <v>0</v>
      </c>
      <c r="K636" t="n">
        <v>0</v>
      </c>
      <c r="L636" t="n">
        <v>0</v>
      </c>
      <c r="M636" t="n">
        <v>0</v>
      </c>
      <c r="N636" t="n">
        <v>0</v>
      </c>
      <c r="O636" t="n">
        <v>0</v>
      </c>
      <c r="P636" t="n">
        <v>0</v>
      </c>
      <c r="Q636" t="n">
        <v>0</v>
      </c>
      <c r="R636" s="2" t="inlineStr"/>
    </row>
    <row r="637" ht="15" customHeight="1">
      <c r="A637" t="inlineStr">
        <is>
          <t>A 37273-2025</t>
        </is>
      </c>
      <c r="B637" s="1" t="n">
        <v>45876</v>
      </c>
      <c r="C637" s="1" t="n">
        <v>45936</v>
      </c>
      <c r="D637" t="inlineStr">
        <is>
          <t>VÄRMLANDS LÄN</t>
        </is>
      </c>
      <c r="E637" t="inlineStr">
        <is>
          <t>TORSBY</t>
        </is>
      </c>
      <c r="F637" t="inlineStr">
        <is>
          <t>Bergvik skog väst AB</t>
        </is>
      </c>
      <c r="G637" t="n">
        <v>10.4</v>
      </c>
      <c r="H637" t="n">
        <v>0</v>
      </c>
      <c r="I637" t="n">
        <v>0</v>
      </c>
      <c r="J637" t="n">
        <v>0</v>
      </c>
      <c r="K637" t="n">
        <v>0</v>
      </c>
      <c r="L637" t="n">
        <v>0</v>
      </c>
      <c r="M637" t="n">
        <v>0</v>
      </c>
      <c r="N637" t="n">
        <v>0</v>
      </c>
      <c r="O637" t="n">
        <v>0</v>
      </c>
      <c r="P637" t="n">
        <v>0</v>
      </c>
      <c r="Q637" t="n">
        <v>0</v>
      </c>
      <c r="R637" s="2" t="inlineStr"/>
    </row>
    <row r="638" ht="15" customHeight="1">
      <c r="A638" t="inlineStr">
        <is>
          <t>A 37334-2025</t>
        </is>
      </c>
      <c r="B638" s="1" t="n">
        <v>45876.66663194444</v>
      </c>
      <c r="C638" s="1" t="n">
        <v>45936</v>
      </c>
      <c r="D638" t="inlineStr">
        <is>
          <t>VÄRMLANDS LÄN</t>
        </is>
      </c>
      <c r="E638" t="inlineStr">
        <is>
          <t>TORSBY</t>
        </is>
      </c>
      <c r="G638" t="n">
        <v>1.7</v>
      </c>
      <c r="H638" t="n">
        <v>0</v>
      </c>
      <c r="I638" t="n">
        <v>0</v>
      </c>
      <c r="J638" t="n">
        <v>0</v>
      </c>
      <c r="K638" t="n">
        <v>0</v>
      </c>
      <c r="L638" t="n">
        <v>0</v>
      </c>
      <c r="M638" t="n">
        <v>0</v>
      </c>
      <c r="N638" t="n">
        <v>0</v>
      </c>
      <c r="O638" t="n">
        <v>0</v>
      </c>
      <c r="P638" t="n">
        <v>0</v>
      </c>
      <c r="Q638" t="n">
        <v>0</v>
      </c>
      <c r="R638" s="2" t="inlineStr"/>
    </row>
    <row r="639" ht="15" customHeight="1">
      <c r="A639" t="inlineStr">
        <is>
          <t>A 37339-2025</t>
        </is>
      </c>
      <c r="B639" s="1" t="n">
        <v>45876.68457175926</v>
      </c>
      <c r="C639" s="1" t="n">
        <v>45936</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44995-2025</t>
        </is>
      </c>
      <c r="B640" s="1" t="n">
        <v>45918</v>
      </c>
      <c r="C640" s="1" t="n">
        <v>45936</v>
      </c>
      <c r="D640" t="inlineStr">
        <is>
          <t>VÄRMLANDS LÄN</t>
        </is>
      </c>
      <c r="E640" t="inlineStr">
        <is>
          <t>TORSBY</t>
        </is>
      </c>
      <c r="F640" t="inlineStr">
        <is>
          <t>Bergvik skog väst AB</t>
        </is>
      </c>
      <c r="G640" t="n">
        <v>18.7</v>
      </c>
      <c r="H640" t="n">
        <v>0</v>
      </c>
      <c r="I640" t="n">
        <v>0</v>
      </c>
      <c r="J640" t="n">
        <v>0</v>
      </c>
      <c r="K640" t="n">
        <v>0</v>
      </c>
      <c r="L640" t="n">
        <v>0</v>
      </c>
      <c r="M640" t="n">
        <v>0</v>
      </c>
      <c r="N640" t="n">
        <v>0</v>
      </c>
      <c r="O640" t="n">
        <v>0</v>
      </c>
      <c r="P640" t="n">
        <v>0</v>
      </c>
      <c r="Q640" t="n">
        <v>0</v>
      </c>
      <c r="R640" s="2" t="inlineStr"/>
      <c r="U640">
        <f>HYPERLINK("https://klasma.github.io/Logging_1737/knärot/A 44995-2025 karta knärot.png", "A 44995-2025")</f>
        <v/>
      </c>
      <c r="V640">
        <f>HYPERLINK("https://klasma.github.io/Logging_1737/klagomål/A 44995-2025 FSC-klagomål.docx", "A 44995-2025")</f>
        <v/>
      </c>
      <c r="W640">
        <f>HYPERLINK("https://klasma.github.io/Logging_1737/klagomålsmail/A 44995-2025 FSC-klagomål mail.docx", "A 44995-2025")</f>
        <v/>
      </c>
      <c r="X640">
        <f>HYPERLINK("https://klasma.github.io/Logging_1737/tillsyn/A 44995-2025 tillsynsbegäran.docx", "A 44995-2025")</f>
        <v/>
      </c>
      <c r="Y640">
        <f>HYPERLINK("https://klasma.github.io/Logging_1737/tillsynsmail/A 44995-2025 tillsynsbegäran mail.docx", "A 44995-2025")</f>
        <v/>
      </c>
    </row>
    <row r="641" ht="15" customHeight="1">
      <c r="A641" t="inlineStr">
        <is>
          <t>A 45269-2025</t>
        </is>
      </c>
      <c r="B641" s="1" t="n">
        <v>45919.67443287037</v>
      </c>
      <c r="C641" s="1" t="n">
        <v>45936</v>
      </c>
      <c r="D641" t="inlineStr">
        <is>
          <t>VÄRMLANDS LÄN</t>
        </is>
      </c>
      <c r="E641" t="inlineStr">
        <is>
          <t>TORSBY</t>
        </is>
      </c>
      <c r="F641" t="inlineStr">
        <is>
          <t>Bergvik skog väst AB</t>
        </is>
      </c>
      <c r="G641" t="n">
        <v>3.4</v>
      </c>
      <c r="H641" t="n">
        <v>0</v>
      </c>
      <c r="I641" t="n">
        <v>0</v>
      </c>
      <c r="J641" t="n">
        <v>0</v>
      </c>
      <c r="K641" t="n">
        <v>0</v>
      </c>
      <c r="L641" t="n">
        <v>0</v>
      </c>
      <c r="M641" t="n">
        <v>0</v>
      </c>
      <c r="N641" t="n">
        <v>0</v>
      </c>
      <c r="O641" t="n">
        <v>0</v>
      </c>
      <c r="P641" t="n">
        <v>0</v>
      </c>
      <c r="Q641" t="n">
        <v>0</v>
      </c>
      <c r="R641" s="2" t="inlineStr"/>
    </row>
    <row r="642" ht="15" customHeight="1">
      <c r="A642" t="inlineStr">
        <is>
          <t>A 44273-2025</t>
        </is>
      </c>
      <c r="B642" s="1" t="n">
        <v>45916</v>
      </c>
      <c r="C642" s="1" t="n">
        <v>45936</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44817-2025</t>
        </is>
      </c>
      <c r="B643" s="1" t="n">
        <v>45918</v>
      </c>
      <c r="C643" s="1" t="n">
        <v>45936</v>
      </c>
      <c r="D643" t="inlineStr">
        <is>
          <t>VÄRMLANDS LÄN</t>
        </is>
      </c>
      <c r="E643" t="inlineStr">
        <is>
          <t>TORSBY</t>
        </is>
      </c>
      <c r="F643" t="inlineStr">
        <is>
          <t>Bergvik skog väst AB</t>
        </is>
      </c>
      <c r="G643" t="n">
        <v>6.2</v>
      </c>
      <c r="H643" t="n">
        <v>0</v>
      </c>
      <c r="I643" t="n">
        <v>0</v>
      </c>
      <c r="J643" t="n">
        <v>0</v>
      </c>
      <c r="K643" t="n">
        <v>0</v>
      </c>
      <c r="L643" t="n">
        <v>0</v>
      </c>
      <c r="M643" t="n">
        <v>0</v>
      </c>
      <c r="N643" t="n">
        <v>0</v>
      </c>
      <c r="O643" t="n">
        <v>0</v>
      </c>
      <c r="P643" t="n">
        <v>0</v>
      </c>
      <c r="Q643" t="n">
        <v>0</v>
      </c>
      <c r="R643" s="2" t="inlineStr"/>
    </row>
    <row r="644" ht="15" customHeight="1">
      <c r="A644" t="inlineStr">
        <is>
          <t>A 37381-2025</t>
        </is>
      </c>
      <c r="B644" s="1" t="n">
        <v>45877</v>
      </c>
      <c r="C644" s="1" t="n">
        <v>45936</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54029-2021</t>
        </is>
      </c>
      <c r="B645" s="1" t="n">
        <v>44470.37834490741</v>
      </c>
      <c r="C645" s="1" t="n">
        <v>45936</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54160-2022</t>
        </is>
      </c>
      <c r="B646" s="1" t="n">
        <v>44881</v>
      </c>
      <c r="C646" s="1" t="n">
        <v>45936</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41315-2022</t>
        </is>
      </c>
      <c r="B647" s="1" t="n">
        <v>44826</v>
      </c>
      <c r="C647" s="1" t="n">
        <v>45936</v>
      </c>
      <c r="D647" t="inlineStr">
        <is>
          <t>VÄRMLANDS LÄN</t>
        </is>
      </c>
      <c r="E647" t="inlineStr">
        <is>
          <t>TORSBY</t>
        </is>
      </c>
      <c r="G647" t="n">
        <v>5.5</v>
      </c>
      <c r="H647" t="n">
        <v>0</v>
      </c>
      <c r="I647" t="n">
        <v>0</v>
      </c>
      <c r="J647" t="n">
        <v>0</v>
      </c>
      <c r="K647" t="n">
        <v>0</v>
      </c>
      <c r="L647" t="n">
        <v>0</v>
      </c>
      <c r="M647" t="n">
        <v>0</v>
      </c>
      <c r="N647" t="n">
        <v>0</v>
      </c>
      <c r="O647" t="n">
        <v>0</v>
      </c>
      <c r="P647" t="n">
        <v>0</v>
      </c>
      <c r="Q647" t="n">
        <v>0</v>
      </c>
      <c r="R647" s="2" t="inlineStr"/>
    </row>
    <row r="648" ht="15" customHeight="1">
      <c r="A648" t="inlineStr">
        <is>
          <t>A 41322-2022</t>
        </is>
      </c>
      <c r="B648" s="1" t="n">
        <v>44826</v>
      </c>
      <c r="C648" s="1" t="n">
        <v>45936</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46152-2024</t>
        </is>
      </c>
      <c r="B649" s="1" t="n">
        <v>45581</v>
      </c>
      <c r="C649" s="1" t="n">
        <v>45936</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27363-2024</t>
        </is>
      </c>
      <c r="B650" s="1" t="n">
        <v>45473</v>
      </c>
      <c r="C650" s="1" t="n">
        <v>45936</v>
      </c>
      <c r="D650" t="inlineStr">
        <is>
          <t>VÄRMLANDS LÄN</t>
        </is>
      </c>
      <c r="E650" t="inlineStr">
        <is>
          <t>TORSBY</t>
        </is>
      </c>
      <c r="G650" t="n">
        <v>2.9</v>
      </c>
      <c r="H650" t="n">
        <v>0</v>
      </c>
      <c r="I650" t="n">
        <v>0</v>
      </c>
      <c r="J650" t="n">
        <v>0</v>
      </c>
      <c r="K650" t="n">
        <v>0</v>
      </c>
      <c r="L650" t="n">
        <v>0</v>
      </c>
      <c r="M650" t="n">
        <v>0</v>
      </c>
      <c r="N650" t="n">
        <v>0</v>
      </c>
      <c r="O650" t="n">
        <v>0</v>
      </c>
      <c r="P650" t="n">
        <v>0</v>
      </c>
      <c r="Q650" t="n">
        <v>0</v>
      </c>
      <c r="R650" s="2" t="inlineStr"/>
    </row>
    <row r="651" ht="15" customHeight="1">
      <c r="A651" t="inlineStr">
        <is>
          <t>A 34093-2024</t>
        </is>
      </c>
      <c r="B651" s="1" t="n">
        <v>45523</v>
      </c>
      <c r="C651" s="1" t="n">
        <v>45936</v>
      </c>
      <c r="D651" t="inlineStr">
        <is>
          <t>VÄRMLANDS LÄN</t>
        </is>
      </c>
      <c r="E651" t="inlineStr">
        <is>
          <t>TORSBY</t>
        </is>
      </c>
      <c r="F651" t="inlineStr">
        <is>
          <t>Bergvik skog väst AB</t>
        </is>
      </c>
      <c r="G651" t="n">
        <v>5.9</v>
      </c>
      <c r="H651" t="n">
        <v>0</v>
      </c>
      <c r="I651" t="n">
        <v>0</v>
      </c>
      <c r="J651" t="n">
        <v>0</v>
      </c>
      <c r="K651" t="n">
        <v>0</v>
      </c>
      <c r="L651" t="n">
        <v>0</v>
      </c>
      <c r="M651" t="n">
        <v>0</v>
      </c>
      <c r="N651" t="n">
        <v>0</v>
      </c>
      <c r="O651" t="n">
        <v>0</v>
      </c>
      <c r="P651" t="n">
        <v>0</v>
      </c>
      <c r="Q651" t="n">
        <v>0</v>
      </c>
      <c r="R651" s="2" t="inlineStr"/>
    </row>
    <row r="652" ht="15" customHeight="1">
      <c r="A652" t="inlineStr">
        <is>
          <t>A 50138-2023</t>
        </is>
      </c>
      <c r="B652" s="1" t="n">
        <v>45215.66738425926</v>
      </c>
      <c r="C652" s="1" t="n">
        <v>45936</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7927-2024</t>
        </is>
      </c>
      <c r="B653" s="1" t="n">
        <v>45350</v>
      </c>
      <c r="C653" s="1" t="n">
        <v>45936</v>
      </c>
      <c r="D653" t="inlineStr">
        <is>
          <t>VÄRMLANDS LÄN</t>
        </is>
      </c>
      <c r="E653" t="inlineStr">
        <is>
          <t>TORSBY</t>
        </is>
      </c>
      <c r="G653" t="n">
        <v>3.3</v>
      </c>
      <c r="H653" t="n">
        <v>0</v>
      </c>
      <c r="I653" t="n">
        <v>0</v>
      </c>
      <c r="J653" t="n">
        <v>0</v>
      </c>
      <c r="K653" t="n">
        <v>0</v>
      </c>
      <c r="L653" t="n">
        <v>0</v>
      </c>
      <c r="M653" t="n">
        <v>0</v>
      </c>
      <c r="N653" t="n">
        <v>0</v>
      </c>
      <c r="O653" t="n">
        <v>0</v>
      </c>
      <c r="P653" t="n">
        <v>0</v>
      </c>
      <c r="Q653" t="n">
        <v>0</v>
      </c>
      <c r="R653" s="2" t="inlineStr"/>
    </row>
    <row r="654" ht="15" customHeight="1">
      <c r="A654" t="inlineStr">
        <is>
          <t>A 37230-2025</t>
        </is>
      </c>
      <c r="B654" s="1" t="n">
        <v>45876</v>
      </c>
      <c r="C654" s="1" t="n">
        <v>45936</v>
      </c>
      <c r="D654" t="inlineStr">
        <is>
          <t>VÄRMLANDS LÄN</t>
        </is>
      </c>
      <c r="E654" t="inlineStr">
        <is>
          <t>TORSBY</t>
        </is>
      </c>
      <c r="F654" t="inlineStr">
        <is>
          <t>Bergvik skog väst AB</t>
        </is>
      </c>
      <c r="G654" t="n">
        <v>7.2</v>
      </c>
      <c r="H654" t="n">
        <v>0</v>
      </c>
      <c r="I654" t="n">
        <v>0</v>
      </c>
      <c r="J654" t="n">
        <v>0</v>
      </c>
      <c r="K654" t="n">
        <v>0</v>
      </c>
      <c r="L654" t="n">
        <v>0</v>
      </c>
      <c r="M654" t="n">
        <v>0</v>
      </c>
      <c r="N654" t="n">
        <v>0</v>
      </c>
      <c r="O654" t="n">
        <v>0</v>
      </c>
      <c r="P654" t="n">
        <v>0</v>
      </c>
      <c r="Q654" t="n">
        <v>0</v>
      </c>
      <c r="R654" s="2" t="inlineStr"/>
    </row>
    <row r="655" ht="15" customHeight="1">
      <c r="A655" t="inlineStr">
        <is>
          <t>A 31493-2021</t>
        </is>
      </c>
      <c r="B655" s="1" t="n">
        <v>44369</v>
      </c>
      <c r="C655" s="1" t="n">
        <v>45936</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40718-2022</t>
        </is>
      </c>
      <c r="B656" s="1" t="n">
        <v>44824.49635416667</v>
      </c>
      <c r="C656" s="1" t="n">
        <v>45936</v>
      </c>
      <c r="D656" t="inlineStr">
        <is>
          <t>VÄRMLANDS LÄN</t>
        </is>
      </c>
      <c r="E656" t="inlineStr">
        <is>
          <t>TORSBY</t>
        </is>
      </c>
      <c r="G656" t="n">
        <v>2.6</v>
      </c>
      <c r="H656" t="n">
        <v>0</v>
      </c>
      <c r="I656" t="n">
        <v>0</v>
      </c>
      <c r="J656" t="n">
        <v>0</v>
      </c>
      <c r="K656" t="n">
        <v>0</v>
      </c>
      <c r="L656" t="n">
        <v>0</v>
      </c>
      <c r="M656" t="n">
        <v>0</v>
      </c>
      <c r="N656" t="n">
        <v>0</v>
      </c>
      <c r="O656" t="n">
        <v>0</v>
      </c>
      <c r="P656" t="n">
        <v>0</v>
      </c>
      <c r="Q656" t="n">
        <v>0</v>
      </c>
      <c r="R656" s="2" t="inlineStr"/>
    </row>
    <row r="657" ht="15" customHeight="1">
      <c r="A657" t="inlineStr">
        <is>
          <t>A 45268-2025</t>
        </is>
      </c>
      <c r="B657" s="1" t="n">
        <v>45919.66782407407</v>
      </c>
      <c r="C657" s="1" t="n">
        <v>45936</v>
      </c>
      <c r="D657" t="inlineStr">
        <is>
          <t>VÄRMLANDS LÄN</t>
        </is>
      </c>
      <c r="E657" t="inlineStr">
        <is>
          <t>TORSBY</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1123-2023</t>
        </is>
      </c>
      <c r="B658" s="1" t="n">
        <v>44935</v>
      </c>
      <c r="C658" s="1" t="n">
        <v>45936</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9704-2025</t>
        </is>
      </c>
      <c r="B659" s="1" t="n">
        <v>45716.38378472222</v>
      </c>
      <c r="C659" s="1" t="n">
        <v>45936</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8197-2025</t>
        </is>
      </c>
      <c r="B660" s="1" t="n">
        <v>45708.4318287037</v>
      </c>
      <c r="C660" s="1" t="n">
        <v>45936</v>
      </c>
      <c r="D660" t="inlineStr">
        <is>
          <t>VÄRMLANDS LÄN</t>
        </is>
      </c>
      <c r="E660" t="inlineStr">
        <is>
          <t>TORSBY</t>
        </is>
      </c>
      <c r="G660" t="n">
        <v>9.6</v>
      </c>
      <c r="H660" t="n">
        <v>0</v>
      </c>
      <c r="I660" t="n">
        <v>0</v>
      </c>
      <c r="J660" t="n">
        <v>0</v>
      </c>
      <c r="K660" t="n">
        <v>0</v>
      </c>
      <c r="L660" t="n">
        <v>0</v>
      </c>
      <c r="M660" t="n">
        <v>0</v>
      </c>
      <c r="N660" t="n">
        <v>0</v>
      </c>
      <c r="O660" t="n">
        <v>0</v>
      </c>
      <c r="P660" t="n">
        <v>0</v>
      </c>
      <c r="Q660" t="n">
        <v>0</v>
      </c>
      <c r="R660" s="2" t="inlineStr"/>
    </row>
    <row r="661" ht="15" customHeight="1">
      <c r="A661" t="inlineStr">
        <is>
          <t>A 56571-2024</t>
        </is>
      </c>
      <c r="B661" s="1" t="n">
        <v>45625</v>
      </c>
      <c r="C661" s="1" t="n">
        <v>45936</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33232-2024</t>
        </is>
      </c>
      <c r="B662" s="1" t="n">
        <v>45518</v>
      </c>
      <c r="C662" s="1" t="n">
        <v>45936</v>
      </c>
      <c r="D662" t="inlineStr">
        <is>
          <t>VÄRMLANDS LÄN</t>
        </is>
      </c>
      <c r="E662" t="inlineStr">
        <is>
          <t>TORSBY</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12402-2025</t>
        </is>
      </c>
      <c r="B663" s="1" t="n">
        <v>45730.4228125</v>
      </c>
      <c r="C663" s="1" t="n">
        <v>45936</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22386-2025</t>
        </is>
      </c>
      <c r="B664" s="1" t="n">
        <v>45786.50703703704</v>
      </c>
      <c r="C664" s="1" t="n">
        <v>45936</v>
      </c>
      <c r="D664" t="inlineStr">
        <is>
          <t>VÄRMLANDS LÄN</t>
        </is>
      </c>
      <c r="E664" t="inlineStr">
        <is>
          <t>TORSBY</t>
        </is>
      </c>
      <c r="G664" t="n">
        <v>5.2</v>
      </c>
      <c r="H664" t="n">
        <v>0</v>
      </c>
      <c r="I664" t="n">
        <v>0</v>
      </c>
      <c r="J664" t="n">
        <v>0</v>
      </c>
      <c r="K664" t="n">
        <v>0</v>
      </c>
      <c r="L664" t="n">
        <v>0</v>
      </c>
      <c r="M664" t="n">
        <v>0</v>
      </c>
      <c r="N664" t="n">
        <v>0</v>
      </c>
      <c r="O664" t="n">
        <v>0</v>
      </c>
      <c r="P664" t="n">
        <v>0</v>
      </c>
      <c r="Q664" t="n">
        <v>0</v>
      </c>
      <c r="R664" s="2" t="inlineStr"/>
    </row>
    <row r="665" ht="15" customHeight="1">
      <c r="A665" t="inlineStr">
        <is>
          <t>A 30299-2025</t>
        </is>
      </c>
      <c r="B665" s="1" t="n">
        <v>45827</v>
      </c>
      <c r="C665" s="1" t="n">
        <v>45936</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45936</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41744-2025</t>
        </is>
      </c>
      <c r="B667" s="1" t="n">
        <v>45902</v>
      </c>
      <c r="C667" s="1" t="n">
        <v>45936</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45133-2025</t>
        </is>
      </c>
      <c r="B668" s="1" t="n">
        <v>45919.4447337963</v>
      </c>
      <c r="C668" s="1" t="n">
        <v>45936</v>
      </c>
      <c r="D668" t="inlineStr">
        <is>
          <t>VÄRMLANDS LÄN</t>
        </is>
      </c>
      <c r="E668" t="inlineStr">
        <is>
          <t>TORSBY</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52447-2022</t>
        </is>
      </c>
      <c r="B669" s="1" t="n">
        <v>44874</v>
      </c>
      <c r="C669" s="1" t="n">
        <v>45936</v>
      </c>
      <c r="D669" t="inlineStr">
        <is>
          <t>VÄRMLANDS LÄN</t>
        </is>
      </c>
      <c r="E669" t="inlineStr">
        <is>
          <t>TORSBY</t>
        </is>
      </c>
      <c r="G669" t="n">
        <v>1</v>
      </c>
      <c r="H669" t="n">
        <v>0</v>
      </c>
      <c r="I669" t="n">
        <v>0</v>
      </c>
      <c r="J669" t="n">
        <v>0</v>
      </c>
      <c r="K669" t="n">
        <v>0</v>
      </c>
      <c r="L669" t="n">
        <v>0</v>
      </c>
      <c r="M669" t="n">
        <v>0</v>
      </c>
      <c r="N669" t="n">
        <v>0</v>
      </c>
      <c r="O669" t="n">
        <v>0</v>
      </c>
      <c r="P669" t="n">
        <v>0</v>
      </c>
      <c r="Q669" t="n">
        <v>0</v>
      </c>
      <c r="R669" s="2" t="inlineStr"/>
    </row>
    <row r="670" ht="15" customHeight="1">
      <c r="A670" t="inlineStr">
        <is>
          <t>A 37348-2025</t>
        </is>
      </c>
      <c r="B670" s="1" t="n">
        <v>45876.71136574074</v>
      </c>
      <c r="C670" s="1" t="n">
        <v>45936</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48253-2024</t>
        </is>
      </c>
      <c r="B671" s="1" t="n">
        <v>45590</v>
      </c>
      <c r="C671" s="1" t="n">
        <v>45936</v>
      </c>
      <c r="D671" t="inlineStr">
        <is>
          <t>VÄRMLANDS LÄN</t>
        </is>
      </c>
      <c r="E671" t="inlineStr">
        <is>
          <t>TORSBY</t>
        </is>
      </c>
      <c r="F671" t="inlineStr">
        <is>
          <t>Bergvik skog väst AB</t>
        </is>
      </c>
      <c r="G671" t="n">
        <v>20.7</v>
      </c>
      <c r="H671" t="n">
        <v>0</v>
      </c>
      <c r="I671" t="n">
        <v>0</v>
      </c>
      <c r="J671" t="n">
        <v>0</v>
      </c>
      <c r="K671" t="n">
        <v>0</v>
      </c>
      <c r="L671" t="n">
        <v>0</v>
      </c>
      <c r="M671" t="n">
        <v>0</v>
      </c>
      <c r="N671" t="n">
        <v>0</v>
      </c>
      <c r="O671" t="n">
        <v>0</v>
      </c>
      <c r="P671" t="n">
        <v>0</v>
      </c>
      <c r="Q671" t="n">
        <v>0</v>
      </c>
      <c r="R671" s="2" t="inlineStr"/>
    </row>
    <row r="672" ht="15" customHeight="1">
      <c r="A672" t="inlineStr">
        <is>
          <t>A 44976-2025</t>
        </is>
      </c>
      <c r="B672" s="1" t="n">
        <v>45918</v>
      </c>
      <c r="C672" s="1" t="n">
        <v>45936</v>
      </c>
      <c r="D672" t="inlineStr">
        <is>
          <t>VÄRMLANDS LÄN</t>
        </is>
      </c>
      <c r="E672" t="inlineStr">
        <is>
          <t>TORSBY</t>
        </is>
      </c>
      <c r="F672" t="inlineStr">
        <is>
          <t>Bergvik skog väst AB</t>
        </is>
      </c>
      <c r="G672" t="n">
        <v>2.6</v>
      </c>
      <c r="H672" t="n">
        <v>0</v>
      </c>
      <c r="I672" t="n">
        <v>0</v>
      </c>
      <c r="J672" t="n">
        <v>0</v>
      </c>
      <c r="K672" t="n">
        <v>0</v>
      </c>
      <c r="L672" t="n">
        <v>0</v>
      </c>
      <c r="M672" t="n">
        <v>0</v>
      </c>
      <c r="N672" t="n">
        <v>0</v>
      </c>
      <c r="O672" t="n">
        <v>0</v>
      </c>
      <c r="P672" t="n">
        <v>0</v>
      </c>
      <c r="Q672" t="n">
        <v>0</v>
      </c>
      <c r="R672" s="2" t="inlineStr"/>
    </row>
    <row r="673" ht="15" customHeight="1">
      <c r="A673" t="inlineStr">
        <is>
          <t>A 43301-2024</t>
        </is>
      </c>
      <c r="B673" s="1" t="n">
        <v>45568</v>
      </c>
      <c r="C673" s="1" t="n">
        <v>45936</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17879-2024</t>
        </is>
      </c>
      <c r="B674" s="1" t="n">
        <v>45419</v>
      </c>
      <c r="C674" s="1" t="n">
        <v>45936</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36674-2023</t>
        </is>
      </c>
      <c r="B675" s="1" t="n">
        <v>45153.5908912037</v>
      </c>
      <c r="C675" s="1" t="n">
        <v>45936</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24630-2024</t>
        </is>
      </c>
      <c r="B676" s="1" t="n">
        <v>45460.51149305556</v>
      </c>
      <c r="C676" s="1" t="n">
        <v>45936</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28005-2024</t>
        </is>
      </c>
      <c r="B677" s="1" t="n">
        <v>45476</v>
      </c>
      <c r="C677" s="1" t="n">
        <v>45936</v>
      </c>
      <c r="D677" t="inlineStr">
        <is>
          <t>VÄRMLANDS LÄN</t>
        </is>
      </c>
      <c r="E677" t="inlineStr">
        <is>
          <t>TORSBY</t>
        </is>
      </c>
      <c r="G677" t="n">
        <v>4.5</v>
      </c>
      <c r="H677" t="n">
        <v>0</v>
      </c>
      <c r="I677" t="n">
        <v>0</v>
      </c>
      <c r="J677" t="n">
        <v>0</v>
      </c>
      <c r="K677" t="n">
        <v>0</v>
      </c>
      <c r="L677" t="n">
        <v>0</v>
      </c>
      <c r="M677" t="n">
        <v>0</v>
      </c>
      <c r="N677" t="n">
        <v>0</v>
      </c>
      <c r="O677" t="n">
        <v>0</v>
      </c>
      <c r="P677" t="n">
        <v>0</v>
      </c>
      <c r="Q677" t="n">
        <v>0</v>
      </c>
      <c r="R677" s="2" t="inlineStr"/>
    </row>
    <row r="678" ht="15" customHeight="1">
      <c r="A678" t="inlineStr">
        <is>
          <t>A 24004-2024</t>
        </is>
      </c>
      <c r="B678" s="1" t="n">
        <v>45456</v>
      </c>
      <c r="C678" s="1" t="n">
        <v>45936</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45108-2025</t>
        </is>
      </c>
      <c r="B679" s="1" t="n">
        <v>45919.41467592592</v>
      </c>
      <c r="C679" s="1" t="n">
        <v>45936</v>
      </c>
      <c r="D679" t="inlineStr">
        <is>
          <t>VÄRMLANDS LÄN</t>
        </is>
      </c>
      <c r="E679" t="inlineStr">
        <is>
          <t>TORSBY</t>
        </is>
      </c>
      <c r="F679" t="inlineStr">
        <is>
          <t>Bergvik skog väst AB</t>
        </is>
      </c>
      <c r="G679" t="n">
        <v>24.4</v>
      </c>
      <c r="H679" t="n">
        <v>0</v>
      </c>
      <c r="I679" t="n">
        <v>0</v>
      </c>
      <c r="J679" t="n">
        <v>0</v>
      </c>
      <c r="K679" t="n">
        <v>0</v>
      </c>
      <c r="L679" t="n">
        <v>0</v>
      </c>
      <c r="M679" t="n">
        <v>0</v>
      </c>
      <c r="N679" t="n">
        <v>0</v>
      </c>
      <c r="O679" t="n">
        <v>0</v>
      </c>
      <c r="P679" t="n">
        <v>0</v>
      </c>
      <c r="Q679" t="n">
        <v>0</v>
      </c>
      <c r="R679" s="2" t="inlineStr"/>
    </row>
    <row r="680" ht="15" customHeight="1">
      <c r="A680" t="inlineStr">
        <is>
          <t>A 45245-2025</t>
        </is>
      </c>
      <c r="B680" s="1" t="n">
        <v>45919.60621527778</v>
      </c>
      <c r="C680" s="1" t="n">
        <v>45936</v>
      </c>
      <c r="D680" t="inlineStr">
        <is>
          <t>VÄRMLANDS LÄN</t>
        </is>
      </c>
      <c r="E680" t="inlineStr">
        <is>
          <t>TORSBY</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38086-2023</t>
        </is>
      </c>
      <c r="B681" s="1" t="n">
        <v>45160</v>
      </c>
      <c r="C681" s="1" t="n">
        <v>45936</v>
      </c>
      <c r="D681" t="inlineStr">
        <is>
          <t>VÄRMLANDS LÄN</t>
        </is>
      </c>
      <c r="E681" t="inlineStr">
        <is>
          <t>TORSBY</t>
        </is>
      </c>
      <c r="G681" t="n">
        <v>6.2</v>
      </c>
      <c r="H681" t="n">
        <v>0</v>
      </c>
      <c r="I681" t="n">
        <v>0</v>
      </c>
      <c r="J681" t="n">
        <v>0</v>
      </c>
      <c r="K681" t="n">
        <v>0</v>
      </c>
      <c r="L681" t="n">
        <v>0</v>
      </c>
      <c r="M681" t="n">
        <v>0</v>
      </c>
      <c r="N681" t="n">
        <v>0</v>
      </c>
      <c r="O681" t="n">
        <v>0</v>
      </c>
      <c r="P681" t="n">
        <v>0</v>
      </c>
      <c r="Q681" t="n">
        <v>0</v>
      </c>
      <c r="R681" s="2" t="inlineStr"/>
    </row>
    <row r="682" ht="15" customHeight="1">
      <c r="A682" t="inlineStr">
        <is>
          <t>A 9723-2025</t>
        </is>
      </c>
      <c r="B682" s="1" t="n">
        <v>45715</v>
      </c>
      <c r="C682" s="1" t="n">
        <v>45936</v>
      </c>
      <c r="D682" t="inlineStr">
        <is>
          <t>VÄRMLANDS LÄN</t>
        </is>
      </c>
      <c r="E682" t="inlineStr">
        <is>
          <t>TORSBY</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364-2025</t>
        </is>
      </c>
      <c r="B683" s="1" t="n">
        <v>45661</v>
      </c>
      <c r="C683" s="1" t="n">
        <v>45936</v>
      </c>
      <c r="D683" t="inlineStr">
        <is>
          <t>VÄRMLANDS LÄN</t>
        </is>
      </c>
      <c r="E683" t="inlineStr">
        <is>
          <t>TORSBY</t>
        </is>
      </c>
      <c r="G683" t="n">
        <v>5.9</v>
      </c>
      <c r="H683" t="n">
        <v>0</v>
      </c>
      <c r="I683" t="n">
        <v>0</v>
      </c>
      <c r="J683" t="n">
        <v>0</v>
      </c>
      <c r="K683" t="n">
        <v>0</v>
      </c>
      <c r="L683" t="n">
        <v>0</v>
      </c>
      <c r="M683" t="n">
        <v>0</v>
      </c>
      <c r="N683" t="n">
        <v>0</v>
      </c>
      <c r="O683" t="n">
        <v>0</v>
      </c>
      <c r="P683" t="n">
        <v>0</v>
      </c>
      <c r="Q683" t="n">
        <v>0</v>
      </c>
      <c r="R683" s="2" t="inlineStr"/>
    </row>
    <row r="684" ht="15" customHeight="1">
      <c r="A684" t="inlineStr">
        <is>
          <t>A 16309-2023</t>
        </is>
      </c>
      <c r="B684" s="1" t="n">
        <v>45028.58873842593</v>
      </c>
      <c r="C684" s="1" t="n">
        <v>45936</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13848-2024</t>
        </is>
      </c>
      <c r="B685" s="1" t="n">
        <v>45390</v>
      </c>
      <c r="C685" s="1" t="n">
        <v>45936</v>
      </c>
      <c r="D685" t="inlineStr">
        <is>
          <t>VÄRMLANDS LÄN</t>
        </is>
      </c>
      <c r="E685" t="inlineStr">
        <is>
          <t>TORSBY</t>
        </is>
      </c>
      <c r="G685" t="n">
        <v>4.5</v>
      </c>
      <c r="H685" t="n">
        <v>0</v>
      </c>
      <c r="I685" t="n">
        <v>0</v>
      </c>
      <c r="J685" t="n">
        <v>0</v>
      </c>
      <c r="K685" t="n">
        <v>0</v>
      </c>
      <c r="L685" t="n">
        <v>0</v>
      </c>
      <c r="M685" t="n">
        <v>0</v>
      </c>
      <c r="N685" t="n">
        <v>0</v>
      </c>
      <c r="O685" t="n">
        <v>0</v>
      </c>
      <c r="P685" t="n">
        <v>0</v>
      </c>
      <c r="Q685" t="n">
        <v>0</v>
      </c>
      <c r="R685" s="2" t="inlineStr"/>
    </row>
    <row r="686" ht="15" customHeight="1">
      <c r="A686" t="inlineStr">
        <is>
          <t>A 46456-2024</t>
        </is>
      </c>
      <c r="B686" s="1" t="n">
        <v>45582</v>
      </c>
      <c r="C686" s="1" t="n">
        <v>45936</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45093-2025</t>
        </is>
      </c>
      <c r="B687" s="1" t="n">
        <v>45919.38398148148</v>
      </c>
      <c r="C687" s="1" t="n">
        <v>45936</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24580-2025</t>
        </is>
      </c>
      <c r="B688" s="1" t="n">
        <v>45798.49059027778</v>
      </c>
      <c r="C688" s="1" t="n">
        <v>45936</v>
      </c>
      <c r="D688" t="inlineStr">
        <is>
          <t>VÄRMLANDS LÄN</t>
        </is>
      </c>
      <c r="E688" t="inlineStr">
        <is>
          <t>TORSBY</t>
        </is>
      </c>
      <c r="G688" t="n">
        <v>12.2</v>
      </c>
      <c r="H688" t="n">
        <v>0</v>
      </c>
      <c r="I688" t="n">
        <v>0</v>
      </c>
      <c r="J688" t="n">
        <v>0</v>
      </c>
      <c r="K688" t="n">
        <v>0</v>
      </c>
      <c r="L688" t="n">
        <v>0</v>
      </c>
      <c r="M688" t="n">
        <v>0</v>
      </c>
      <c r="N688" t="n">
        <v>0</v>
      </c>
      <c r="O688" t="n">
        <v>0</v>
      </c>
      <c r="P688" t="n">
        <v>0</v>
      </c>
      <c r="Q688" t="n">
        <v>0</v>
      </c>
      <c r="R688" s="2" t="inlineStr"/>
    </row>
    <row r="689" ht="15" customHeight="1">
      <c r="A689" t="inlineStr">
        <is>
          <t>A 37623-2023</t>
        </is>
      </c>
      <c r="B689" s="1" t="n">
        <v>45159.45560185185</v>
      </c>
      <c r="C689" s="1" t="n">
        <v>45936</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2203-2025</t>
        </is>
      </c>
      <c r="B690" s="1" t="n">
        <v>45672</v>
      </c>
      <c r="C690" s="1" t="n">
        <v>45936</v>
      </c>
      <c r="D690" t="inlineStr">
        <is>
          <t>VÄRMLANDS LÄN</t>
        </is>
      </c>
      <c r="E690" t="inlineStr">
        <is>
          <t>TORSBY</t>
        </is>
      </c>
      <c r="G690" t="n">
        <v>11.3</v>
      </c>
      <c r="H690" t="n">
        <v>0</v>
      </c>
      <c r="I690" t="n">
        <v>0</v>
      </c>
      <c r="J690" t="n">
        <v>0</v>
      </c>
      <c r="K690" t="n">
        <v>0</v>
      </c>
      <c r="L690" t="n">
        <v>0</v>
      </c>
      <c r="M690" t="n">
        <v>0</v>
      </c>
      <c r="N690" t="n">
        <v>0</v>
      </c>
      <c r="O690" t="n">
        <v>0</v>
      </c>
      <c r="P690" t="n">
        <v>0</v>
      </c>
      <c r="Q690" t="n">
        <v>0</v>
      </c>
      <c r="R690" s="2" t="inlineStr"/>
    </row>
    <row r="691" ht="15" customHeight="1">
      <c r="A691" t="inlineStr">
        <is>
          <t>A 42347-2021</t>
        </is>
      </c>
      <c r="B691" s="1" t="n">
        <v>44427</v>
      </c>
      <c r="C691" s="1" t="n">
        <v>45936</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37236-2025</t>
        </is>
      </c>
      <c r="B692" s="1" t="n">
        <v>45876.36116898148</v>
      </c>
      <c r="C692" s="1" t="n">
        <v>45936</v>
      </c>
      <c r="D692" t="inlineStr">
        <is>
          <t>VÄRMLANDS LÄN</t>
        </is>
      </c>
      <c r="E692" t="inlineStr">
        <is>
          <t>TORSBY</t>
        </is>
      </c>
      <c r="F692" t="inlineStr">
        <is>
          <t>Bergvik skog väst AB</t>
        </is>
      </c>
      <c r="G692" t="n">
        <v>4.2</v>
      </c>
      <c r="H692" t="n">
        <v>0</v>
      </c>
      <c r="I692" t="n">
        <v>0</v>
      </c>
      <c r="J692" t="n">
        <v>0</v>
      </c>
      <c r="K692" t="n">
        <v>0</v>
      </c>
      <c r="L692" t="n">
        <v>0</v>
      </c>
      <c r="M692" t="n">
        <v>0</v>
      </c>
      <c r="N692" t="n">
        <v>0</v>
      </c>
      <c r="O692" t="n">
        <v>0</v>
      </c>
      <c r="P692" t="n">
        <v>0</v>
      </c>
      <c r="Q692" t="n">
        <v>0</v>
      </c>
      <c r="R692" s="2" t="inlineStr"/>
    </row>
    <row r="693" ht="15" customHeight="1">
      <c r="A693" t="inlineStr">
        <is>
          <t>A 15413-2023</t>
        </is>
      </c>
      <c r="B693" s="1" t="n">
        <v>45019</v>
      </c>
      <c r="C693" s="1" t="n">
        <v>45936</v>
      </c>
      <c r="D693" t="inlineStr">
        <is>
          <t>VÄRMLANDS LÄN</t>
        </is>
      </c>
      <c r="E693" t="inlineStr">
        <is>
          <t>TORSBY</t>
        </is>
      </c>
      <c r="G693" t="n">
        <v>17.1</v>
      </c>
      <c r="H693" t="n">
        <v>0</v>
      </c>
      <c r="I693" t="n">
        <v>0</v>
      </c>
      <c r="J693" t="n">
        <v>0</v>
      </c>
      <c r="K693" t="n">
        <v>0</v>
      </c>
      <c r="L693" t="n">
        <v>0</v>
      </c>
      <c r="M693" t="n">
        <v>0</v>
      </c>
      <c r="N693" t="n">
        <v>0</v>
      </c>
      <c r="O693" t="n">
        <v>0</v>
      </c>
      <c r="P693" t="n">
        <v>0</v>
      </c>
      <c r="Q693" t="n">
        <v>0</v>
      </c>
      <c r="R693" s="2" t="inlineStr"/>
    </row>
    <row r="694" ht="15" customHeight="1">
      <c r="A694" t="inlineStr">
        <is>
          <t>A 45152-2023</t>
        </is>
      </c>
      <c r="B694" s="1" t="n">
        <v>45191</v>
      </c>
      <c r="C694" s="1" t="n">
        <v>45936</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42701-2022</t>
        </is>
      </c>
      <c r="B695" s="1" t="n">
        <v>44832</v>
      </c>
      <c r="C695" s="1" t="n">
        <v>45936</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24150-2021</t>
        </is>
      </c>
      <c r="B696" s="1" t="n">
        <v>44336</v>
      </c>
      <c r="C696" s="1" t="n">
        <v>45936</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44326.67932870371</v>
      </c>
      <c r="C697" s="1" t="n">
        <v>45936</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23044-2024</t>
        </is>
      </c>
      <c r="B698" s="1" t="n">
        <v>45450</v>
      </c>
      <c r="C698" s="1" t="n">
        <v>45936</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18354-2021</t>
        </is>
      </c>
      <c r="B699" s="1" t="n">
        <v>44305.56186342592</v>
      </c>
      <c r="C699" s="1" t="n">
        <v>45936</v>
      </c>
      <c r="D699" t="inlineStr">
        <is>
          <t>VÄRMLANDS LÄN</t>
        </is>
      </c>
      <c r="E699" t="inlineStr">
        <is>
          <t>TORSBY</t>
        </is>
      </c>
      <c r="F699" t="inlineStr">
        <is>
          <t>Kommuner</t>
        </is>
      </c>
      <c r="G699" t="n">
        <v>2.4</v>
      </c>
      <c r="H699" t="n">
        <v>0</v>
      </c>
      <c r="I699" t="n">
        <v>0</v>
      </c>
      <c r="J699" t="n">
        <v>0</v>
      </c>
      <c r="K699" t="n">
        <v>0</v>
      </c>
      <c r="L699" t="n">
        <v>0</v>
      </c>
      <c r="M699" t="n">
        <v>0</v>
      </c>
      <c r="N699" t="n">
        <v>0</v>
      </c>
      <c r="O699" t="n">
        <v>0</v>
      </c>
      <c r="P699" t="n">
        <v>0</v>
      </c>
      <c r="Q699" t="n">
        <v>0</v>
      </c>
      <c r="R699" s="2" t="inlineStr"/>
    </row>
    <row r="700" ht="15" customHeight="1">
      <c r="A700" t="inlineStr">
        <is>
          <t>A 45490-2025</t>
        </is>
      </c>
      <c r="B700" s="1" t="n">
        <v>45921</v>
      </c>
      <c r="C700" s="1" t="n">
        <v>45936</v>
      </c>
      <c r="D700" t="inlineStr">
        <is>
          <t>VÄRMLANDS LÄN</t>
        </is>
      </c>
      <c r="E700" t="inlineStr">
        <is>
          <t>TORSBY</t>
        </is>
      </c>
      <c r="G700" t="n">
        <v>5.2</v>
      </c>
      <c r="H700" t="n">
        <v>0</v>
      </c>
      <c r="I700" t="n">
        <v>0</v>
      </c>
      <c r="J700" t="n">
        <v>0</v>
      </c>
      <c r="K700" t="n">
        <v>0</v>
      </c>
      <c r="L700" t="n">
        <v>0</v>
      </c>
      <c r="M700" t="n">
        <v>0</v>
      </c>
      <c r="N700" t="n">
        <v>0</v>
      </c>
      <c r="O700" t="n">
        <v>0</v>
      </c>
      <c r="P700" t="n">
        <v>0</v>
      </c>
      <c r="Q700" t="n">
        <v>0</v>
      </c>
      <c r="R700" s="2" t="inlineStr"/>
    </row>
    <row r="701" ht="15" customHeight="1">
      <c r="A701" t="inlineStr">
        <is>
          <t>A 47694-2022</t>
        </is>
      </c>
      <c r="B701" s="1" t="n">
        <v>44854</v>
      </c>
      <c r="C701" s="1" t="n">
        <v>45936</v>
      </c>
      <c r="D701" t="inlineStr">
        <is>
          <t>VÄRMLANDS LÄN</t>
        </is>
      </c>
      <c r="E701" t="inlineStr">
        <is>
          <t>TORSBY</t>
        </is>
      </c>
      <c r="G701" t="n">
        <v>7.9</v>
      </c>
      <c r="H701" t="n">
        <v>0</v>
      </c>
      <c r="I701" t="n">
        <v>0</v>
      </c>
      <c r="J701" t="n">
        <v>0</v>
      </c>
      <c r="K701" t="n">
        <v>0</v>
      </c>
      <c r="L701" t="n">
        <v>0</v>
      </c>
      <c r="M701" t="n">
        <v>0</v>
      </c>
      <c r="N701" t="n">
        <v>0</v>
      </c>
      <c r="O701" t="n">
        <v>0</v>
      </c>
      <c r="P701" t="n">
        <v>0</v>
      </c>
      <c r="Q701" t="n">
        <v>0</v>
      </c>
      <c r="R701" s="2" t="inlineStr"/>
    </row>
    <row r="702" ht="15" customHeight="1">
      <c r="A702" t="inlineStr">
        <is>
          <t>A 37583-2025</t>
        </is>
      </c>
      <c r="B702" s="1" t="n">
        <v>45880</v>
      </c>
      <c r="C702" s="1" t="n">
        <v>45936</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17184-2023</t>
        </is>
      </c>
      <c r="B703" s="1" t="n">
        <v>45034.69127314815</v>
      </c>
      <c r="C703" s="1" t="n">
        <v>45936</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1432-2025</t>
        </is>
      </c>
      <c r="B704" s="1" t="n">
        <v>45669</v>
      </c>
      <c r="C704" s="1" t="n">
        <v>45936</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1435-2025</t>
        </is>
      </c>
      <c r="B705" s="1" t="n">
        <v>45669</v>
      </c>
      <c r="C705" s="1" t="n">
        <v>45936</v>
      </c>
      <c r="D705" t="inlineStr">
        <is>
          <t>VÄRMLANDS LÄN</t>
        </is>
      </c>
      <c r="E705" t="inlineStr">
        <is>
          <t>TORSBY</t>
        </is>
      </c>
      <c r="G705" t="n">
        <v>5</v>
      </c>
      <c r="H705" t="n">
        <v>0</v>
      </c>
      <c r="I705" t="n">
        <v>0</v>
      </c>
      <c r="J705" t="n">
        <v>0</v>
      </c>
      <c r="K705" t="n">
        <v>0</v>
      </c>
      <c r="L705" t="n">
        <v>0</v>
      </c>
      <c r="M705" t="n">
        <v>0</v>
      </c>
      <c r="N705" t="n">
        <v>0</v>
      </c>
      <c r="O705" t="n">
        <v>0</v>
      </c>
      <c r="P705" t="n">
        <v>0</v>
      </c>
      <c r="Q705" t="n">
        <v>0</v>
      </c>
      <c r="R705" s="2" t="inlineStr"/>
    </row>
    <row r="706" ht="15" customHeight="1">
      <c r="A706" t="inlineStr">
        <is>
          <t>A 50486-2020</t>
        </is>
      </c>
      <c r="B706" s="1" t="n">
        <v>44110</v>
      </c>
      <c r="C706" s="1" t="n">
        <v>45936</v>
      </c>
      <c r="D706" t="inlineStr">
        <is>
          <t>VÄRMLANDS LÄN</t>
        </is>
      </c>
      <c r="E706" t="inlineStr">
        <is>
          <t>TORSBY</t>
        </is>
      </c>
      <c r="G706" t="n">
        <v>2.2</v>
      </c>
      <c r="H706" t="n">
        <v>0</v>
      </c>
      <c r="I706" t="n">
        <v>0</v>
      </c>
      <c r="J706" t="n">
        <v>0</v>
      </c>
      <c r="K706" t="n">
        <v>0</v>
      </c>
      <c r="L706" t="n">
        <v>0</v>
      </c>
      <c r="M706" t="n">
        <v>0</v>
      </c>
      <c r="N706" t="n">
        <v>0</v>
      </c>
      <c r="O706" t="n">
        <v>0</v>
      </c>
      <c r="P706" t="n">
        <v>0</v>
      </c>
      <c r="Q706" t="n">
        <v>0</v>
      </c>
      <c r="R706" s="2" t="inlineStr"/>
    </row>
    <row r="707" ht="15" customHeight="1">
      <c r="A707" t="inlineStr">
        <is>
          <t>A 44424-2024</t>
        </is>
      </c>
      <c r="B707" s="1" t="n">
        <v>45573</v>
      </c>
      <c r="C707" s="1" t="n">
        <v>45936</v>
      </c>
      <c r="D707" t="inlineStr">
        <is>
          <t>VÄRMLANDS LÄN</t>
        </is>
      </c>
      <c r="E707" t="inlineStr">
        <is>
          <t>TORSBY</t>
        </is>
      </c>
      <c r="G707" t="n">
        <v>8.5</v>
      </c>
      <c r="H707" t="n">
        <v>0</v>
      </c>
      <c r="I707" t="n">
        <v>0</v>
      </c>
      <c r="J707" t="n">
        <v>0</v>
      </c>
      <c r="K707" t="n">
        <v>0</v>
      </c>
      <c r="L707" t="n">
        <v>0</v>
      </c>
      <c r="M707" t="n">
        <v>0</v>
      </c>
      <c r="N707" t="n">
        <v>0</v>
      </c>
      <c r="O707" t="n">
        <v>0</v>
      </c>
      <c r="P707" t="n">
        <v>0</v>
      </c>
      <c r="Q707" t="n">
        <v>0</v>
      </c>
      <c r="R707" s="2" t="inlineStr"/>
    </row>
    <row r="708" ht="15" customHeight="1">
      <c r="A708" t="inlineStr">
        <is>
          <t>A 22687-2023</t>
        </is>
      </c>
      <c r="B708" s="1" t="n">
        <v>45071</v>
      </c>
      <c r="C708" s="1" t="n">
        <v>45936</v>
      </c>
      <c r="D708" t="inlineStr">
        <is>
          <t>VÄRMLANDS LÄN</t>
        </is>
      </c>
      <c r="E708" t="inlineStr">
        <is>
          <t>TORSBY</t>
        </is>
      </c>
      <c r="F708" t="inlineStr">
        <is>
          <t>Bergvik skog väst AB</t>
        </is>
      </c>
      <c r="G708" t="n">
        <v>5.8</v>
      </c>
      <c r="H708" t="n">
        <v>0</v>
      </c>
      <c r="I708" t="n">
        <v>0</v>
      </c>
      <c r="J708" t="n">
        <v>0</v>
      </c>
      <c r="K708" t="n">
        <v>0</v>
      </c>
      <c r="L708" t="n">
        <v>0</v>
      </c>
      <c r="M708" t="n">
        <v>0</v>
      </c>
      <c r="N708" t="n">
        <v>0</v>
      </c>
      <c r="O708" t="n">
        <v>0</v>
      </c>
      <c r="P708" t="n">
        <v>0</v>
      </c>
      <c r="Q708" t="n">
        <v>0</v>
      </c>
      <c r="R708" s="2" t="inlineStr"/>
    </row>
    <row r="709" ht="15" customHeight="1">
      <c r="A709" t="inlineStr">
        <is>
          <t>A 57172-2022</t>
        </is>
      </c>
      <c r="B709" s="1" t="n">
        <v>44895</v>
      </c>
      <c r="C709" s="1" t="n">
        <v>45936</v>
      </c>
      <c r="D709" t="inlineStr">
        <is>
          <t>VÄRMLANDS LÄN</t>
        </is>
      </c>
      <c r="E709" t="inlineStr">
        <is>
          <t>TORSBY</t>
        </is>
      </c>
      <c r="G709" t="n">
        <v>3.8</v>
      </c>
      <c r="H709" t="n">
        <v>0</v>
      </c>
      <c r="I709" t="n">
        <v>0</v>
      </c>
      <c r="J709" t="n">
        <v>0</v>
      </c>
      <c r="K709" t="n">
        <v>0</v>
      </c>
      <c r="L709" t="n">
        <v>0</v>
      </c>
      <c r="M709" t="n">
        <v>0</v>
      </c>
      <c r="N709" t="n">
        <v>0</v>
      </c>
      <c r="O709" t="n">
        <v>0</v>
      </c>
      <c r="P709" t="n">
        <v>0</v>
      </c>
      <c r="Q709" t="n">
        <v>0</v>
      </c>
      <c r="R709" s="2" t="inlineStr"/>
    </row>
    <row r="710" ht="15" customHeight="1">
      <c r="A710" t="inlineStr">
        <is>
          <t>A 375-2025</t>
        </is>
      </c>
      <c r="B710" s="1" t="n">
        <v>45661</v>
      </c>
      <c r="C710" s="1" t="n">
        <v>45936</v>
      </c>
      <c r="D710" t="inlineStr">
        <is>
          <t>VÄRMLANDS LÄN</t>
        </is>
      </c>
      <c r="E710" t="inlineStr">
        <is>
          <t>TORSBY</t>
        </is>
      </c>
      <c r="G710" t="n">
        <v>5.5</v>
      </c>
      <c r="H710" t="n">
        <v>0</v>
      </c>
      <c r="I710" t="n">
        <v>0</v>
      </c>
      <c r="J710" t="n">
        <v>0</v>
      </c>
      <c r="K710" t="n">
        <v>0</v>
      </c>
      <c r="L710" t="n">
        <v>0</v>
      </c>
      <c r="M710" t="n">
        <v>0</v>
      </c>
      <c r="N710" t="n">
        <v>0</v>
      </c>
      <c r="O710" t="n">
        <v>0</v>
      </c>
      <c r="P710" t="n">
        <v>0</v>
      </c>
      <c r="Q710" t="n">
        <v>0</v>
      </c>
      <c r="R710" s="2" t="inlineStr"/>
    </row>
    <row r="711" ht="15" customHeight="1">
      <c r="A711" t="inlineStr">
        <is>
          <t>A 45357-2025</t>
        </is>
      </c>
      <c r="B711" s="1" t="n">
        <v>45922.36716435185</v>
      </c>
      <c r="C711" s="1" t="n">
        <v>45936</v>
      </c>
      <c r="D711" t="inlineStr">
        <is>
          <t>VÄRMLANDS LÄN</t>
        </is>
      </c>
      <c r="E711" t="inlineStr">
        <is>
          <t>TORSBY</t>
        </is>
      </c>
      <c r="G711" t="n">
        <v>0.8</v>
      </c>
      <c r="H711" t="n">
        <v>0</v>
      </c>
      <c r="I711" t="n">
        <v>0</v>
      </c>
      <c r="J711" t="n">
        <v>0</v>
      </c>
      <c r="K711" t="n">
        <v>0</v>
      </c>
      <c r="L711" t="n">
        <v>0</v>
      </c>
      <c r="M711" t="n">
        <v>0</v>
      </c>
      <c r="N711" t="n">
        <v>0</v>
      </c>
      <c r="O711" t="n">
        <v>0</v>
      </c>
      <c r="P711" t="n">
        <v>0</v>
      </c>
      <c r="Q711" t="n">
        <v>0</v>
      </c>
      <c r="R711" s="2" t="inlineStr"/>
    </row>
    <row r="712" ht="15" customHeight="1">
      <c r="A712" t="inlineStr">
        <is>
          <t>A 45360-2025</t>
        </is>
      </c>
      <c r="B712" s="1" t="n">
        <v>45922.37266203704</v>
      </c>
      <c r="C712" s="1" t="n">
        <v>45936</v>
      </c>
      <c r="D712" t="inlineStr">
        <is>
          <t>VÄRMLANDS LÄN</t>
        </is>
      </c>
      <c r="E712" t="inlineStr">
        <is>
          <t>TORSBY</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3536-2024</t>
        </is>
      </c>
      <c r="B713" s="1" t="n">
        <v>45320</v>
      </c>
      <c r="C713" s="1" t="n">
        <v>45936</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45425-2025</t>
        </is>
      </c>
      <c r="B714" s="1" t="n">
        <v>45922.45195601852</v>
      </c>
      <c r="C714" s="1" t="n">
        <v>45936</v>
      </c>
      <c r="D714" t="inlineStr">
        <is>
          <t>VÄRMLANDS LÄN</t>
        </is>
      </c>
      <c r="E714" t="inlineStr">
        <is>
          <t>TORSBY</t>
        </is>
      </c>
      <c r="F714" t="inlineStr">
        <is>
          <t>Bergvik skog väst AB</t>
        </is>
      </c>
      <c r="G714" t="n">
        <v>6.3</v>
      </c>
      <c r="H714" t="n">
        <v>0</v>
      </c>
      <c r="I714" t="n">
        <v>0</v>
      </c>
      <c r="J714" t="n">
        <v>0</v>
      </c>
      <c r="K714" t="n">
        <v>0</v>
      </c>
      <c r="L714" t="n">
        <v>0</v>
      </c>
      <c r="M714" t="n">
        <v>0</v>
      </c>
      <c r="N714" t="n">
        <v>0</v>
      </c>
      <c r="O714" t="n">
        <v>0</v>
      </c>
      <c r="P714" t="n">
        <v>0</v>
      </c>
      <c r="Q714" t="n">
        <v>0</v>
      </c>
      <c r="R714" s="2" t="inlineStr"/>
    </row>
    <row r="715" ht="15" customHeight="1">
      <c r="A715" t="inlineStr">
        <is>
          <t>A 53652-2023</t>
        </is>
      </c>
      <c r="B715" s="1" t="n">
        <v>45224</v>
      </c>
      <c r="C715" s="1" t="n">
        <v>45936</v>
      </c>
      <c r="D715" t="inlineStr">
        <is>
          <t>VÄRMLANDS LÄN</t>
        </is>
      </c>
      <c r="E715" t="inlineStr">
        <is>
          <t>TORSBY</t>
        </is>
      </c>
      <c r="F715" t="inlineStr">
        <is>
          <t>Övriga statliga verk och myndigheter</t>
        </is>
      </c>
      <c r="G715" t="n">
        <v>0.8</v>
      </c>
      <c r="H715" t="n">
        <v>0</v>
      </c>
      <c r="I715" t="n">
        <v>0</v>
      </c>
      <c r="J715" t="n">
        <v>0</v>
      </c>
      <c r="K715" t="n">
        <v>0</v>
      </c>
      <c r="L715" t="n">
        <v>0</v>
      </c>
      <c r="M715" t="n">
        <v>0</v>
      </c>
      <c r="N715" t="n">
        <v>0</v>
      </c>
      <c r="O715" t="n">
        <v>0</v>
      </c>
      <c r="P715" t="n">
        <v>0</v>
      </c>
      <c r="Q715" t="n">
        <v>0</v>
      </c>
      <c r="R715" s="2" t="inlineStr"/>
    </row>
    <row r="716" ht="15" customHeight="1">
      <c r="A716" t="inlineStr">
        <is>
          <t>A 53945-2023</t>
        </is>
      </c>
      <c r="B716" s="1" t="n">
        <v>45231.6009837963</v>
      </c>
      <c r="C716" s="1" t="n">
        <v>45936</v>
      </c>
      <c r="D716" t="inlineStr">
        <is>
          <t>VÄRMLANDS LÄN</t>
        </is>
      </c>
      <c r="E716" t="inlineStr">
        <is>
          <t>TORSBY</t>
        </is>
      </c>
      <c r="G716" t="n">
        <v>1.4</v>
      </c>
      <c r="H716" t="n">
        <v>0</v>
      </c>
      <c r="I716" t="n">
        <v>0</v>
      </c>
      <c r="J716" t="n">
        <v>0</v>
      </c>
      <c r="K716" t="n">
        <v>0</v>
      </c>
      <c r="L716" t="n">
        <v>0</v>
      </c>
      <c r="M716" t="n">
        <v>0</v>
      </c>
      <c r="N716" t="n">
        <v>0</v>
      </c>
      <c r="O716" t="n">
        <v>0</v>
      </c>
      <c r="P716" t="n">
        <v>0</v>
      </c>
      <c r="Q716" t="n">
        <v>0</v>
      </c>
      <c r="R716" s="2" t="inlineStr"/>
    </row>
    <row r="717" ht="15" customHeight="1">
      <c r="A717" t="inlineStr">
        <is>
          <t>A 43599-2023</t>
        </is>
      </c>
      <c r="B717" s="1" t="n">
        <v>45184</v>
      </c>
      <c r="C717" s="1" t="n">
        <v>45936</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38076-2024</t>
        </is>
      </c>
      <c r="B718" s="1" t="n">
        <v>45544</v>
      </c>
      <c r="C718" s="1" t="n">
        <v>45936</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44325-2024</t>
        </is>
      </c>
      <c r="B719" s="1" t="n">
        <v>45573</v>
      </c>
      <c r="C719" s="1" t="n">
        <v>45936</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44378.61460648148</v>
      </c>
      <c r="C720" s="1" t="n">
        <v>45936</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9793-2024</t>
        </is>
      </c>
      <c r="B721" s="1" t="n">
        <v>45362.71013888889</v>
      </c>
      <c r="C721" s="1" t="n">
        <v>45936</v>
      </c>
      <c r="D721" t="inlineStr">
        <is>
          <t>VÄRMLANDS LÄN</t>
        </is>
      </c>
      <c r="E721" t="inlineStr">
        <is>
          <t>TORSBY</t>
        </is>
      </c>
      <c r="G721" t="n">
        <v>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45936</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37566-2025</t>
        </is>
      </c>
      <c r="B723" s="1" t="n">
        <v>45880</v>
      </c>
      <c r="C723" s="1" t="n">
        <v>45936</v>
      </c>
      <c r="D723" t="inlineStr">
        <is>
          <t>VÄRMLANDS LÄN</t>
        </is>
      </c>
      <c r="E723" t="inlineStr">
        <is>
          <t>TORSBY</t>
        </is>
      </c>
      <c r="G723" t="n">
        <v>3.6</v>
      </c>
      <c r="H723" t="n">
        <v>0</v>
      </c>
      <c r="I723" t="n">
        <v>0</v>
      </c>
      <c r="J723" t="n">
        <v>0</v>
      </c>
      <c r="K723" t="n">
        <v>0</v>
      </c>
      <c r="L723" t="n">
        <v>0</v>
      </c>
      <c r="M723" t="n">
        <v>0</v>
      </c>
      <c r="N723" t="n">
        <v>0</v>
      </c>
      <c r="O723" t="n">
        <v>0</v>
      </c>
      <c r="P723" t="n">
        <v>0</v>
      </c>
      <c r="Q723" t="n">
        <v>0</v>
      </c>
      <c r="R723" s="2" t="inlineStr"/>
    </row>
    <row r="724" ht="15" customHeight="1">
      <c r="A724" t="inlineStr">
        <is>
          <t>A 9056-2023</t>
        </is>
      </c>
      <c r="B724" s="1" t="n">
        <v>44979</v>
      </c>
      <c r="C724" s="1" t="n">
        <v>45936</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38257-2023</t>
        </is>
      </c>
      <c r="B725" s="1" t="n">
        <v>45161.58917824074</v>
      </c>
      <c r="C725" s="1" t="n">
        <v>45936</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65301-2021</t>
        </is>
      </c>
      <c r="B726" s="1" t="n">
        <v>44515</v>
      </c>
      <c r="C726" s="1" t="n">
        <v>45936</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37937-2025</t>
        </is>
      </c>
      <c r="B727" s="1" t="n">
        <v>45881</v>
      </c>
      <c r="C727" s="1" t="n">
        <v>45936</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37546-2025</t>
        </is>
      </c>
      <c r="B728" s="1" t="n">
        <v>45879</v>
      </c>
      <c r="C728" s="1" t="n">
        <v>45936</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11143-2024</t>
        </is>
      </c>
      <c r="B729" s="1" t="n">
        <v>45371</v>
      </c>
      <c r="C729" s="1" t="n">
        <v>45936</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33072-2023</t>
        </is>
      </c>
      <c r="B730" s="1" t="n">
        <v>45126</v>
      </c>
      <c r="C730" s="1" t="n">
        <v>45936</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45825-2025</t>
        </is>
      </c>
      <c r="B731" s="1" t="n">
        <v>45923.59983796296</v>
      </c>
      <c r="C731" s="1" t="n">
        <v>45936</v>
      </c>
      <c r="D731" t="inlineStr">
        <is>
          <t>VÄRMLANDS LÄN</t>
        </is>
      </c>
      <c r="E731" t="inlineStr">
        <is>
          <t>TORSBY</t>
        </is>
      </c>
      <c r="G731" t="n">
        <v>11.4</v>
      </c>
      <c r="H731" t="n">
        <v>0</v>
      </c>
      <c r="I731" t="n">
        <v>0</v>
      </c>
      <c r="J731" t="n">
        <v>0</v>
      </c>
      <c r="K731" t="n">
        <v>0</v>
      </c>
      <c r="L731" t="n">
        <v>0</v>
      </c>
      <c r="M731" t="n">
        <v>0</v>
      </c>
      <c r="N731" t="n">
        <v>0</v>
      </c>
      <c r="O731" t="n">
        <v>0</v>
      </c>
      <c r="P731" t="n">
        <v>0</v>
      </c>
      <c r="Q731" t="n">
        <v>0</v>
      </c>
      <c r="R731" s="2" t="inlineStr"/>
    </row>
    <row r="732" ht="15" customHeight="1">
      <c r="A732" t="inlineStr">
        <is>
          <t>A 52078-2023</t>
        </is>
      </c>
      <c r="B732" s="1" t="n">
        <v>45223</v>
      </c>
      <c r="C732" s="1" t="n">
        <v>45936</v>
      </c>
      <c r="D732" t="inlineStr">
        <is>
          <t>VÄRMLANDS LÄN</t>
        </is>
      </c>
      <c r="E732" t="inlineStr">
        <is>
          <t>TORSBY</t>
        </is>
      </c>
      <c r="G732" t="n">
        <v>7.1</v>
      </c>
      <c r="H732" t="n">
        <v>0</v>
      </c>
      <c r="I732" t="n">
        <v>0</v>
      </c>
      <c r="J732" t="n">
        <v>0</v>
      </c>
      <c r="K732" t="n">
        <v>0</v>
      </c>
      <c r="L732" t="n">
        <v>0</v>
      </c>
      <c r="M732" t="n">
        <v>0</v>
      </c>
      <c r="N732" t="n">
        <v>0</v>
      </c>
      <c r="O732" t="n">
        <v>0</v>
      </c>
      <c r="P732" t="n">
        <v>0</v>
      </c>
      <c r="Q732" t="n">
        <v>0</v>
      </c>
      <c r="R732" s="2" t="inlineStr"/>
    </row>
    <row r="733" ht="15" customHeight="1">
      <c r="A733" t="inlineStr">
        <is>
          <t>A 3670-2023</t>
        </is>
      </c>
      <c r="B733" s="1" t="n">
        <v>44950</v>
      </c>
      <c r="C733" s="1" t="n">
        <v>45936</v>
      </c>
      <c r="D733" t="inlineStr">
        <is>
          <t>VÄRMLANDS LÄN</t>
        </is>
      </c>
      <c r="E733" t="inlineStr">
        <is>
          <t>TORSBY</t>
        </is>
      </c>
      <c r="G733" t="n">
        <v>15.4</v>
      </c>
      <c r="H733" t="n">
        <v>0</v>
      </c>
      <c r="I733" t="n">
        <v>0</v>
      </c>
      <c r="J733" t="n">
        <v>0</v>
      </c>
      <c r="K733" t="n">
        <v>0</v>
      </c>
      <c r="L733" t="n">
        <v>0</v>
      </c>
      <c r="M733" t="n">
        <v>0</v>
      </c>
      <c r="N733" t="n">
        <v>0</v>
      </c>
      <c r="O733" t="n">
        <v>0</v>
      </c>
      <c r="P733" t="n">
        <v>0</v>
      </c>
      <c r="Q733" t="n">
        <v>0</v>
      </c>
      <c r="R733" s="2" t="inlineStr"/>
    </row>
    <row r="734" ht="15" customHeight="1">
      <c r="A734" t="inlineStr">
        <is>
          <t>A 37547-2025</t>
        </is>
      </c>
      <c r="B734" s="1" t="n">
        <v>45879</v>
      </c>
      <c r="C734" s="1" t="n">
        <v>45936</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19662-2025</t>
        </is>
      </c>
      <c r="B735" s="1" t="n">
        <v>45770</v>
      </c>
      <c r="C735" s="1" t="n">
        <v>45936</v>
      </c>
      <c r="D735" t="inlineStr">
        <is>
          <t>VÄRMLANDS LÄN</t>
        </is>
      </c>
      <c r="E735" t="inlineStr">
        <is>
          <t>TORSBY</t>
        </is>
      </c>
      <c r="F735" t="inlineStr">
        <is>
          <t>Bergvik skog väst AB</t>
        </is>
      </c>
      <c r="G735" t="n">
        <v>11.6</v>
      </c>
      <c r="H735" t="n">
        <v>0</v>
      </c>
      <c r="I735" t="n">
        <v>0</v>
      </c>
      <c r="J735" t="n">
        <v>0</v>
      </c>
      <c r="K735" t="n">
        <v>0</v>
      </c>
      <c r="L735" t="n">
        <v>0</v>
      </c>
      <c r="M735" t="n">
        <v>0</v>
      </c>
      <c r="N735" t="n">
        <v>0</v>
      </c>
      <c r="O735" t="n">
        <v>0</v>
      </c>
      <c r="P735" t="n">
        <v>0</v>
      </c>
      <c r="Q735" t="n">
        <v>0</v>
      </c>
      <c r="R735" s="2" t="inlineStr"/>
    </row>
    <row r="736" ht="15" customHeight="1">
      <c r="A736" t="inlineStr">
        <is>
          <t>A 23843-2024</t>
        </is>
      </c>
      <c r="B736" s="1" t="n">
        <v>45455</v>
      </c>
      <c r="C736" s="1" t="n">
        <v>45936</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26979-2023</t>
        </is>
      </c>
      <c r="B737" s="1" t="n">
        <v>45091</v>
      </c>
      <c r="C737" s="1" t="n">
        <v>45936</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19763-2025</t>
        </is>
      </c>
      <c r="B738" s="1" t="n">
        <v>45771.40707175926</v>
      </c>
      <c r="C738" s="1" t="n">
        <v>45936</v>
      </c>
      <c r="D738" t="inlineStr">
        <is>
          <t>VÄRMLANDS LÄN</t>
        </is>
      </c>
      <c r="E738" t="inlineStr">
        <is>
          <t>TORSBY</t>
        </is>
      </c>
      <c r="F738" t="inlineStr">
        <is>
          <t>Bergvik skog väst AB</t>
        </is>
      </c>
      <c r="G738" t="n">
        <v>1.9</v>
      </c>
      <c r="H738" t="n">
        <v>0</v>
      </c>
      <c r="I738" t="n">
        <v>0</v>
      </c>
      <c r="J738" t="n">
        <v>0</v>
      </c>
      <c r="K738" t="n">
        <v>0</v>
      </c>
      <c r="L738" t="n">
        <v>0</v>
      </c>
      <c r="M738" t="n">
        <v>0</v>
      </c>
      <c r="N738" t="n">
        <v>0</v>
      </c>
      <c r="O738" t="n">
        <v>0</v>
      </c>
      <c r="P738" t="n">
        <v>0</v>
      </c>
      <c r="Q738" t="n">
        <v>0</v>
      </c>
      <c r="R738" s="2" t="inlineStr"/>
    </row>
    <row r="739" ht="15" customHeight="1">
      <c r="A739" t="inlineStr">
        <is>
          <t>A 9226-2025</t>
        </is>
      </c>
      <c r="B739" s="1" t="n">
        <v>45714</v>
      </c>
      <c r="C739" s="1" t="n">
        <v>45936</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20298-2023</t>
        </is>
      </c>
      <c r="B740" s="1" t="n">
        <v>45056</v>
      </c>
      <c r="C740" s="1" t="n">
        <v>45936</v>
      </c>
      <c r="D740" t="inlineStr">
        <is>
          <t>VÄRMLANDS LÄN</t>
        </is>
      </c>
      <c r="E740" t="inlineStr">
        <is>
          <t>TORSBY</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47602-2021</t>
        </is>
      </c>
      <c r="B741" s="1" t="n">
        <v>44448</v>
      </c>
      <c r="C741" s="1" t="n">
        <v>45936</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22702-2023</t>
        </is>
      </c>
      <c r="B742" s="1" t="n">
        <v>45071</v>
      </c>
      <c r="C742" s="1" t="n">
        <v>45936</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37904-2025</t>
        </is>
      </c>
      <c r="B743" s="1" t="n">
        <v>45881</v>
      </c>
      <c r="C743" s="1" t="n">
        <v>45936</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60525-2023</t>
        </is>
      </c>
      <c r="B744" s="1" t="n">
        <v>45259</v>
      </c>
      <c r="C744" s="1" t="n">
        <v>45936</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55428-2022</t>
        </is>
      </c>
      <c r="B745" s="1" t="n">
        <v>44887.60894675926</v>
      </c>
      <c r="C745" s="1" t="n">
        <v>45936</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43037-2024</t>
        </is>
      </c>
      <c r="B746" s="1" t="n">
        <v>45567</v>
      </c>
      <c r="C746" s="1" t="n">
        <v>45936</v>
      </c>
      <c r="D746" t="inlineStr">
        <is>
          <t>VÄRMLANDS LÄN</t>
        </is>
      </c>
      <c r="E746" t="inlineStr">
        <is>
          <t>TORSBY</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23572-2023</t>
        </is>
      </c>
      <c r="B747" s="1" t="n">
        <v>45077</v>
      </c>
      <c r="C747" s="1" t="n">
        <v>45936</v>
      </c>
      <c r="D747" t="inlineStr">
        <is>
          <t>VÄRMLANDS LÄN</t>
        </is>
      </c>
      <c r="E747" t="inlineStr">
        <is>
          <t>TORSBY</t>
        </is>
      </c>
      <c r="G747" t="n">
        <v>4.4</v>
      </c>
      <c r="H747" t="n">
        <v>0</v>
      </c>
      <c r="I747" t="n">
        <v>0</v>
      </c>
      <c r="J747" t="n">
        <v>0</v>
      </c>
      <c r="K747" t="n">
        <v>0</v>
      </c>
      <c r="L747" t="n">
        <v>0</v>
      </c>
      <c r="M747" t="n">
        <v>0</v>
      </c>
      <c r="N747" t="n">
        <v>0</v>
      </c>
      <c r="O747" t="n">
        <v>0</v>
      </c>
      <c r="P747" t="n">
        <v>0</v>
      </c>
      <c r="Q747" t="n">
        <v>0</v>
      </c>
      <c r="R747" s="2" t="inlineStr"/>
    </row>
    <row r="748" ht="15" customHeight="1">
      <c r="A748" t="inlineStr">
        <is>
          <t>A 53499-2023</t>
        </is>
      </c>
      <c r="B748" s="1" t="n">
        <v>45223</v>
      </c>
      <c r="C748" s="1" t="n">
        <v>45936</v>
      </c>
      <c r="D748" t="inlineStr">
        <is>
          <t>VÄRMLANDS LÄN</t>
        </is>
      </c>
      <c r="E748" t="inlineStr">
        <is>
          <t>TORSBY</t>
        </is>
      </c>
      <c r="G748" t="n">
        <v>4.3</v>
      </c>
      <c r="H748" t="n">
        <v>0</v>
      </c>
      <c r="I748" t="n">
        <v>0</v>
      </c>
      <c r="J748" t="n">
        <v>0</v>
      </c>
      <c r="K748" t="n">
        <v>0</v>
      </c>
      <c r="L748" t="n">
        <v>0</v>
      </c>
      <c r="M748" t="n">
        <v>0</v>
      </c>
      <c r="N748" t="n">
        <v>0</v>
      </c>
      <c r="O748" t="n">
        <v>0</v>
      </c>
      <c r="P748" t="n">
        <v>0</v>
      </c>
      <c r="Q748" t="n">
        <v>0</v>
      </c>
      <c r="R748" s="2" t="inlineStr"/>
    </row>
    <row r="749" ht="15" customHeight="1">
      <c r="A749" t="inlineStr">
        <is>
          <t>A 44838-2024</t>
        </is>
      </c>
      <c r="B749" s="1" t="n">
        <v>45574.7069675926</v>
      </c>
      <c r="C749" s="1" t="n">
        <v>45936</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8188-2025</t>
        </is>
      </c>
      <c r="B750" s="1" t="n">
        <v>45708.40246527778</v>
      </c>
      <c r="C750" s="1" t="n">
        <v>45936</v>
      </c>
      <c r="D750" t="inlineStr">
        <is>
          <t>VÄRMLANDS LÄN</t>
        </is>
      </c>
      <c r="E750" t="inlineStr">
        <is>
          <t>TORSBY</t>
        </is>
      </c>
      <c r="G750" t="n">
        <v>9.6</v>
      </c>
      <c r="H750" t="n">
        <v>0</v>
      </c>
      <c r="I750" t="n">
        <v>0</v>
      </c>
      <c r="J750" t="n">
        <v>0</v>
      </c>
      <c r="K750" t="n">
        <v>0</v>
      </c>
      <c r="L750" t="n">
        <v>0</v>
      </c>
      <c r="M750" t="n">
        <v>0</v>
      </c>
      <c r="N750" t="n">
        <v>0</v>
      </c>
      <c r="O750" t="n">
        <v>0</v>
      </c>
      <c r="P750" t="n">
        <v>0</v>
      </c>
      <c r="Q750" t="n">
        <v>0</v>
      </c>
      <c r="R750" s="2" t="inlineStr"/>
    </row>
    <row r="751" ht="15" customHeight="1">
      <c r="A751" t="inlineStr">
        <is>
          <t>A 15768-2025</t>
        </is>
      </c>
      <c r="B751" s="1" t="n">
        <v>45748.58782407407</v>
      </c>
      <c r="C751" s="1" t="n">
        <v>45936</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45936</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50608-2023</t>
        </is>
      </c>
      <c r="B753" s="1" t="n">
        <v>45217</v>
      </c>
      <c r="C753" s="1" t="n">
        <v>45936</v>
      </c>
      <c r="D753" t="inlineStr">
        <is>
          <t>VÄRMLANDS LÄN</t>
        </is>
      </c>
      <c r="E753" t="inlineStr">
        <is>
          <t>TORSBY</t>
        </is>
      </c>
      <c r="G753" t="n">
        <v>2.9</v>
      </c>
      <c r="H753" t="n">
        <v>0</v>
      </c>
      <c r="I753" t="n">
        <v>0</v>
      </c>
      <c r="J753" t="n">
        <v>0</v>
      </c>
      <c r="K753" t="n">
        <v>0</v>
      </c>
      <c r="L753" t="n">
        <v>0</v>
      </c>
      <c r="M753" t="n">
        <v>0</v>
      </c>
      <c r="N753" t="n">
        <v>0</v>
      </c>
      <c r="O753" t="n">
        <v>0</v>
      </c>
      <c r="P753" t="n">
        <v>0</v>
      </c>
      <c r="Q753" t="n">
        <v>0</v>
      </c>
      <c r="R753" s="2" t="inlineStr"/>
    </row>
    <row r="754" ht="15" customHeight="1">
      <c r="A754" t="inlineStr">
        <is>
          <t>A 7221-2024</t>
        </is>
      </c>
      <c r="B754" s="1" t="n">
        <v>45344.63927083334</v>
      </c>
      <c r="C754" s="1" t="n">
        <v>45936</v>
      </c>
      <c r="D754" t="inlineStr">
        <is>
          <t>VÄRMLANDS LÄN</t>
        </is>
      </c>
      <c r="E754" t="inlineStr">
        <is>
          <t>TORSBY</t>
        </is>
      </c>
      <c r="G754" t="n">
        <v>8.1</v>
      </c>
      <c r="H754" t="n">
        <v>0</v>
      </c>
      <c r="I754" t="n">
        <v>0</v>
      </c>
      <c r="J754" t="n">
        <v>0</v>
      </c>
      <c r="K754" t="n">
        <v>0</v>
      </c>
      <c r="L754" t="n">
        <v>0</v>
      </c>
      <c r="M754" t="n">
        <v>0</v>
      </c>
      <c r="N754" t="n">
        <v>0</v>
      </c>
      <c r="O754" t="n">
        <v>0</v>
      </c>
      <c r="P754" t="n">
        <v>0</v>
      </c>
      <c r="Q754" t="n">
        <v>0</v>
      </c>
      <c r="R754" s="2" t="inlineStr"/>
    </row>
    <row r="755" ht="15" customHeight="1">
      <c r="A755" t="inlineStr">
        <is>
          <t>A 32319-2024</t>
        </is>
      </c>
      <c r="B755" s="1" t="n">
        <v>45512.4621875</v>
      </c>
      <c r="C755" s="1" t="n">
        <v>45936</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54528-2023</t>
        </is>
      </c>
      <c r="B756" s="1" t="n">
        <v>45233.59122685185</v>
      </c>
      <c r="C756" s="1" t="n">
        <v>45936</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52314-2024</t>
        </is>
      </c>
      <c r="B757" s="1" t="n">
        <v>45608.87075231481</v>
      </c>
      <c r="C757" s="1" t="n">
        <v>45936</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45936</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39767-2024</t>
        </is>
      </c>
      <c r="B759" s="1" t="n">
        <v>45552</v>
      </c>
      <c r="C759" s="1" t="n">
        <v>45936</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39772-2024</t>
        </is>
      </c>
      <c r="B760" s="1" t="n">
        <v>45552</v>
      </c>
      <c r="C760" s="1" t="n">
        <v>45936</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32588-2024</t>
        </is>
      </c>
      <c r="B761" s="1" t="n">
        <v>45513.59612268519</v>
      </c>
      <c r="C761" s="1" t="n">
        <v>45936</v>
      </c>
      <c r="D761" t="inlineStr">
        <is>
          <t>VÄRMLANDS LÄN</t>
        </is>
      </c>
      <c r="E761" t="inlineStr">
        <is>
          <t>TORSBY</t>
        </is>
      </c>
      <c r="F761" t="inlineStr">
        <is>
          <t>Bergvik skog väst AB</t>
        </is>
      </c>
      <c r="G761" t="n">
        <v>5.2</v>
      </c>
      <c r="H761" t="n">
        <v>0</v>
      </c>
      <c r="I761" t="n">
        <v>0</v>
      </c>
      <c r="J761" t="n">
        <v>0</v>
      </c>
      <c r="K761" t="n">
        <v>0</v>
      </c>
      <c r="L761" t="n">
        <v>0</v>
      </c>
      <c r="M761" t="n">
        <v>0</v>
      </c>
      <c r="N761" t="n">
        <v>0</v>
      </c>
      <c r="O761" t="n">
        <v>0</v>
      </c>
      <c r="P761" t="n">
        <v>0</v>
      </c>
      <c r="Q761" t="n">
        <v>0</v>
      </c>
      <c r="R761" s="2" t="inlineStr"/>
    </row>
    <row r="762" ht="15" customHeight="1">
      <c r="A762" t="inlineStr">
        <is>
          <t>A 33227-2024</t>
        </is>
      </c>
      <c r="B762" s="1" t="n">
        <v>45518.5708912037</v>
      </c>
      <c r="C762" s="1" t="n">
        <v>45936</v>
      </c>
      <c r="D762" t="inlineStr">
        <is>
          <t>VÄRMLANDS LÄN</t>
        </is>
      </c>
      <c r="E762" t="inlineStr">
        <is>
          <t>TORSBY</t>
        </is>
      </c>
      <c r="F762" t="inlineStr">
        <is>
          <t>Bergvik skog väst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46424-2023</t>
        </is>
      </c>
      <c r="B763" s="1" t="n">
        <v>45197.56141203704</v>
      </c>
      <c r="C763" s="1" t="n">
        <v>45936</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8025-2025</t>
        </is>
      </c>
      <c r="B764" s="1" t="n">
        <v>45707</v>
      </c>
      <c r="C764" s="1" t="n">
        <v>45936</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56716-2023</t>
        </is>
      </c>
      <c r="B765" s="1" t="n">
        <v>45238</v>
      </c>
      <c r="C765" s="1" t="n">
        <v>45936</v>
      </c>
      <c r="D765" t="inlineStr">
        <is>
          <t>VÄRMLANDS LÄN</t>
        </is>
      </c>
      <c r="E765" t="inlineStr">
        <is>
          <t>TORSBY</t>
        </is>
      </c>
      <c r="G765" t="n">
        <v>2.9</v>
      </c>
      <c r="H765" t="n">
        <v>0</v>
      </c>
      <c r="I765" t="n">
        <v>0</v>
      </c>
      <c r="J765" t="n">
        <v>0</v>
      </c>
      <c r="K765" t="n">
        <v>0</v>
      </c>
      <c r="L765" t="n">
        <v>0</v>
      </c>
      <c r="M765" t="n">
        <v>0</v>
      </c>
      <c r="N765" t="n">
        <v>0</v>
      </c>
      <c r="O765" t="n">
        <v>0</v>
      </c>
      <c r="P765" t="n">
        <v>0</v>
      </c>
      <c r="Q765" t="n">
        <v>0</v>
      </c>
      <c r="R765" s="2" t="inlineStr"/>
    </row>
    <row r="766" ht="15" customHeight="1">
      <c r="A766" t="inlineStr">
        <is>
          <t>A 54556-2023</t>
        </is>
      </c>
      <c r="B766" s="1" t="n">
        <v>45233.63445601852</v>
      </c>
      <c r="C766" s="1" t="n">
        <v>45936</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45936</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45936</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34667-2022</t>
        </is>
      </c>
      <c r="B769" s="1" t="n">
        <v>44795</v>
      </c>
      <c r="C769" s="1" t="n">
        <v>45936</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37908-2025</t>
        </is>
      </c>
      <c r="B770" s="1" t="n">
        <v>45881.5732175926</v>
      </c>
      <c r="C770" s="1" t="n">
        <v>45936</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37945-2025</t>
        </is>
      </c>
      <c r="B771" s="1" t="n">
        <v>45881</v>
      </c>
      <c r="C771" s="1" t="n">
        <v>45936</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6068-2021</t>
        </is>
      </c>
      <c r="B772" s="1" t="n">
        <v>44232</v>
      </c>
      <c r="C772" s="1" t="n">
        <v>45936</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57785-2024</t>
        </is>
      </c>
      <c r="B773" s="1" t="n">
        <v>45631</v>
      </c>
      <c r="C773" s="1" t="n">
        <v>45936</v>
      </c>
      <c r="D773" t="inlineStr">
        <is>
          <t>VÄRMLANDS LÄN</t>
        </is>
      </c>
      <c r="E773" t="inlineStr">
        <is>
          <t>TORSBY</t>
        </is>
      </c>
      <c r="F773" t="inlineStr">
        <is>
          <t>Bergvik skog väst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44286-2025</t>
        </is>
      </c>
      <c r="B774" s="1" t="n">
        <v>45916</v>
      </c>
      <c r="C774" s="1" t="n">
        <v>45936</v>
      </c>
      <c r="D774" t="inlineStr">
        <is>
          <t>VÄRMLANDS LÄN</t>
        </is>
      </c>
      <c r="E774" t="inlineStr">
        <is>
          <t>TORSBY</t>
        </is>
      </c>
      <c r="F774" t="inlineStr">
        <is>
          <t>Bergvik skog väst AB</t>
        </is>
      </c>
      <c r="G774" t="n">
        <v>13.8</v>
      </c>
      <c r="H774" t="n">
        <v>0</v>
      </c>
      <c r="I774" t="n">
        <v>0</v>
      </c>
      <c r="J774" t="n">
        <v>0</v>
      </c>
      <c r="K774" t="n">
        <v>0</v>
      </c>
      <c r="L774" t="n">
        <v>0</v>
      </c>
      <c r="M774" t="n">
        <v>0</v>
      </c>
      <c r="N774" t="n">
        <v>0</v>
      </c>
      <c r="O774" t="n">
        <v>0</v>
      </c>
      <c r="P774" t="n">
        <v>0</v>
      </c>
      <c r="Q774" t="n">
        <v>0</v>
      </c>
      <c r="R774" s="2" t="inlineStr"/>
    </row>
    <row r="775" ht="15" customHeight="1">
      <c r="A775" t="inlineStr">
        <is>
          <t>A 37575-2025</t>
        </is>
      </c>
      <c r="B775" s="1" t="n">
        <v>45880.38028935185</v>
      </c>
      <c r="C775" s="1" t="n">
        <v>45936</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45508-2025</t>
        </is>
      </c>
      <c r="B776" s="1" t="n">
        <v>45922</v>
      </c>
      <c r="C776" s="1" t="n">
        <v>45936</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54162-2023</t>
        </is>
      </c>
      <c r="B777" s="1" t="n">
        <v>45232.47539351852</v>
      </c>
      <c r="C777" s="1" t="n">
        <v>45936</v>
      </c>
      <c r="D777" t="inlineStr">
        <is>
          <t>VÄRMLANDS LÄN</t>
        </is>
      </c>
      <c r="E777" t="inlineStr">
        <is>
          <t>TORSBY</t>
        </is>
      </c>
      <c r="F777" t="inlineStr">
        <is>
          <t>Bergvik skog väst AB</t>
        </is>
      </c>
      <c r="G777" t="n">
        <v>8.4</v>
      </c>
      <c r="H777" t="n">
        <v>0</v>
      </c>
      <c r="I777" t="n">
        <v>0</v>
      </c>
      <c r="J777" t="n">
        <v>0</v>
      </c>
      <c r="K777" t="n">
        <v>0</v>
      </c>
      <c r="L777" t="n">
        <v>0</v>
      </c>
      <c r="M777" t="n">
        <v>0</v>
      </c>
      <c r="N777" t="n">
        <v>0</v>
      </c>
      <c r="O777" t="n">
        <v>0</v>
      </c>
      <c r="P777" t="n">
        <v>0</v>
      </c>
      <c r="Q777" t="n">
        <v>0</v>
      </c>
      <c r="R777" s="2" t="inlineStr"/>
    </row>
    <row r="778" ht="15" customHeight="1">
      <c r="A778" t="inlineStr">
        <is>
          <t>A 26686-2022</t>
        </is>
      </c>
      <c r="B778" s="1" t="n">
        <v>44739.67833333334</v>
      </c>
      <c r="C778" s="1" t="n">
        <v>45936</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54191-2023</t>
        </is>
      </c>
      <c r="B779" s="1" t="n">
        <v>45232</v>
      </c>
      <c r="C779" s="1" t="n">
        <v>45936</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22030-2023</t>
        </is>
      </c>
      <c r="B780" s="1" t="n">
        <v>45069</v>
      </c>
      <c r="C780" s="1" t="n">
        <v>45936</v>
      </c>
      <c r="D780" t="inlineStr">
        <is>
          <t>VÄRMLANDS LÄN</t>
        </is>
      </c>
      <c r="E780" t="inlineStr">
        <is>
          <t>TORSBY</t>
        </is>
      </c>
      <c r="F780" t="inlineStr">
        <is>
          <t>Bergvik skog väst AB</t>
        </is>
      </c>
      <c r="G780" t="n">
        <v>3.5</v>
      </c>
      <c r="H780" t="n">
        <v>0</v>
      </c>
      <c r="I780" t="n">
        <v>0</v>
      </c>
      <c r="J780" t="n">
        <v>0</v>
      </c>
      <c r="K780" t="n">
        <v>0</v>
      </c>
      <c r="L780" t="n">
        <v>0</v>
      </c>
      <c r="M780" t="n">
        <v>0</v>
      </c>
      <c r="N780" t="n">
        <v>0</v>
      </c>
      <c r="O780" t="n">
        <v>0</v>
      </c>
      <c r="P780" t="n">
        <v>0</v>
      </c>
      <c r="Q780" t="n">
        <v>0</v>
      </c>
      <c r="R780" s="2" t="inlineStr"/>
    </row>
    <row r="781" ht="15" customHeight="1">
      <c r="A781" t="inlineStr">
        <is>
          <t>A 63266-2023</t>
        </is>
      </c>
      <c r="B781" s="1" t="n">
        <v>45273.741875</v>
      </c>
      <c r="C781" s="1" t="n">
        <v>45936</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37760-2025</t>
        </is>
      </c>
      <c r="B782" s="1" t="n">
        <v>45880</v>
      </c>
      <c r="C782" s="1" t="n">
        <v>45936</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38914-2022</t>
        </is>
      </c>
      <c r="B783" s="1" t="n">
        <v>44816.61194444444</v>
      </c>
      <c r="C783" s="1" t="n">
        <v>45936</v>
      </c>
      <c r="D783" t="inlineStr">
        <is>
          <t>VÄRMLANDS LÄN</t>
        </is>
      </c>
      <c r="E783" t="inlineStr">
        <is>
          <t>TORSBY</t>
        </is>
      </c>
      <c r="G783" t="n">
        <v>4.8</v>
      </c>
      <c r="H783" t="n">
        <v>0</v>
      </c>
      <c r="I783" t="n">
        <v>0</v>
      </c>
      <c r="J783" t="n">
        <v>0</v>
      </c>
      <c r="K783" t="n">
        <v>0</v>
      </c>
      <c r="L783" t="n">
        <v>0</v>
      </c>
      <c r="M783" t="n">
        <v>0</v>
      </c>
      <c r="N783" t="n">
        <v>0</v>
      </c>
      <c r="O783" t="n">
        <v>0</v>
      </c>
      <c r="P783" t="n">
        <v>0</v>
      </c>
      <c r="Q783" t="n">
        <v>0</v>
      </c>
      <c r="R783" s="2" t="inlineStr"/>
    </row>
    <row r="784" ht="15" customHeight="1">
      <c r="A784" t="inlineStr">
        <is>
          <t>A 27144-2024</t>
        </is>
      </c>
      <c r="B784" s="1" t="n">
        <v>45471.55459490741</v>
      </c>
      <c r="C784" s="1" t="n">
        <v>45936</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60385-2024</t>
        </is>
      </c>
      <c r="B785" s="1" t="n">
        <v>45643</v>
      </c>
      <c r="C785" s="1" t="n">
        <v>45936</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38882-2022</t>
        </is>
      </c>
      <c r="B786" s="1" t="n">
        <v>44816.565625</v>
      </c>
      <c r="C786" s="1" t="n">
        <v>45936</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26799-2024</t>
        </is>
      </c>
      <c r="B787" s="1" t="n">
        <v>45470.5071875</v>
      </c>
      <c r="C787" s="1" t="n">
        <v>45936</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34256-2024</t>
        </is>
      </c>
      <c r="B788" s="1" t="n">
        <v>45524.59434027778</v>
      </c>
      <c r="C788" s="1" t="n">
        <v>45936</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45679-2025</t>
        </is>
      </c>
      <c r="B789" s="1" t="n">
        <v>45923.36864583333</v>
      </c>
      <c r="C789" s="1" t="n">
        <v>45936</v>
      </c>
      <c r="D789" t="inlineStr">
        <is>
          <t>VÄRMLANDS LÄN</t>
        </is>
      </c>
      <c r="E789" t="inlineStr">
        <is>
          <t>TORSBY</t>
        </is>
      </c>
      <c r="F789" t="inlineStr">
        <is>
          <t>Bergvik skog väst AB</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45380-2025</t>
        </is>
      </c>
      <c r="B790" s="1" t="n">
        <v>45922</v>
      </c>
      <c r="C790" s="1" t="n">
        <v>45936</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30531-2023</t>
        </is>
      </c>
      <c r="B791" s="1" t="n">
        <v>45111.68223379629</v>
      </c>
      <c r="C791" s="1" t="n">
        <v>45936</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10895-2024</t>
        </is>
      </c>
      <c r="B792" s="1" t="n">
        <v>45370.34901620371</v>
      </c>
      <c r="C792" s="1" t="n">
        <v>45936</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44170-2022</t>
        </is>
      </c>
      <c r="B793" s="1" t="n">
        <v>44838</v>
      </c>
      <c r="C793" s="1" t="n">
        <v>45936</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37927-2025</t>
        </is>
      </c>
      <c r="B794" s="1" t="n">
        <v>45881.58063657407</v>
      </c>
      <c r="C794" s="1" t="n">
        <v>45936</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40546-2024</t>
        </is>
      </c>
      <c r="B795" s="1" t="n">
        <v>45555</v>
      </c>
      <c r="C795" s="1" t="n">
        <v>45936</v>
      </c>
      <c r="D795" t="inlineStr">
        <is>
          <t>VÄRMLANDS LÄN</t>
        </is>
      </c>
      <c r="E795" t="inlineStr">
        <is>
          <t>TORSBY</t>
        </is>
      </c>
      <c r="F795" t="inlineStr">
        <is>
          <t>Bergvik skog väst AB</t>
        </is>
      </c>
      <c r="G795" t="n">
        <v>13.9</v>
      </c>
      <c r="H795" t="n">
        <v>0</v>
      </c>
      <c r="I795" t="n">
        <v>0</v>
      </c>
      <c r="J795" t="n">
        <v>0</v>
      </c>
      <c r="K795" t="n">
        <v>0</v>
      </c>
      <c r="L795" t="n">
        <v>0</v>
      </c>
      <c r="M795" t="n">
        <v>0</v>
      </c>
      <c r="N795" t="n">
        <v>0</v>
      </c>
      <c r="O795" t="n">
        <v>0</v>
      </c>
      <c r="P795" t="n">
        <v>0</v>
      </c>
      <c r="Q795" t="n">
        <v>0</v>
      </c>
      <c r="R795" s="2" t="inlineStr"/>
    </row>
    <row r="796" ht="15" customHeight="1">
      <c r="A796" t="inlineStr">
        <is>
          <t>A 37736-2025</t>
        </is>
      </c>
      <c r="B796" s="1" t="n">
        <v>45880</v>
      </c>
      <c r="C796" s="1" t="n">
        <v>45936</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7907-2025</t>
        </is>
      </c>
      <c r="B797" s="1" t="n">
        <v>45707</v>
      </c>
      <c r="C797" s="1" t="n">
        <v>45936</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15931-2025</t>
        </is>
      </c>
      <c r="B798" s="1" t="n">
        <v>45749.46791666667</v>
      </c>
      <c r="C798" s="1" t="n">
        <v>45936</v>
      </c>
      <c r="D798" t="inlineStr">
        <is>
          <t>VÄRMLANDS LÄN</t>
        </is>
      </c>
      <c r="E798" t="inlineStr">
        <is>
          <t>TORSBY</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44507-2025</t>
        </is>
      </c>
      <c r="B799" s="1" t="n">
        <v>45916</v>
      </c>
      <c r="C799" s="1" t="n">
        <v>45936</v>
      </c>
      <c r="D799" t="inlineStr">
        <is>
          <t>VÄRMLANDS LÄN</t>
        </is>
      </c>
      <c r="E799" t="inlineStr">
        <is>
          <t>TORSBY</t>
        </is>
      </c>
      <c r="F799" t="inlineStr">
        <is>
          <t>Bergvik skog väst AB</t>
        </is>
      </c>
      <c r="G799" t="n">
        <v>10.9</v>
      </c>
      <c r="H799" t="n">
        <v>0</v>
      </c>
      <c r="I799" t="n">
        <v>0</v>
      </c>
      <c r="J799" t="n">
        <v>0</v>
      </c>
      <c r="K799" t="n">
        <v>0</v>
      </c>
      <c r="L799" t="n">
        <v>0</v>
      </c>
      <c r="M799" t="n">
        <v>0</v>
      </c>
      <c r="N799" t="n">
        <v>0</v>
      </c>
      <c r="O799" t="n">
        <v>0</v>
      </c>
      <c r="P799" t="n">
        <v>0</v>
      </c>
      <c r="Q799" t="n">
        <v>0</v>
      </c>
      <c r="R799" s="2" t="inlineStr"/>
    </row>
    <row r="800" ht="15" customHeight="1">
      <c r="A800" t="inlineStr">
        <is>
          <t>A 6529-2025</t>
        </is>
      </c>
      <c r="B800" s="1" t="n">
        <v>45699</v>
      </c>
      <c r="C800" s="1" t="n">
        <v>45936</v>
      </c>
      <c r="D800" t="inlineStr">
        <is>
          <t>VÄRMLANDS LÄN</t>
        </is>
      </c>
      <c r="E800" t="inlineStr">
        <is>
          <t>TORSBY</t>
        </is>
      </c>
      <c r="F800" t="inlineStr">
        <is>
          <t>Kommuner</t>
        </is>
      </c>
      <c r="G800" t="n">
        <v>0.2</v>
      </c>
      <c r="H800" t="n">
        <v>0</v>
      </c>
      <c r="I800" t="n">
        <v>0</v>
      </c>
      <c r="J800" t="n">
        <v>0</v>
      </c>
      <c r="K800" t="n">
        <v>0</v>
      </c>
      <c r="L800" t="n">
        <v>0</v>
      </c>
      <c r="M800" t="n">
        <v>0</v>
      </c>
      <c r="N800" t="n">
        <v>0</v>
      </c>
      <c r="O800" t="n">
        <v>0</v>
      </c>
      <c r="P800" t="n">
        <v>0</v>
      </c>
      <c r="Q800" t="n">
        <v>0</v>
      </c>
      <c r="R800" s="2" t="inlineStr"/>
    </row>
    <row r="801" ht="15" customHeight="1">
      <c r="A801" t="inlineStr">
        <is>
          <t>A 39390-2023</t>
        </is>
      </c>
      <c r="B801" s="1" t="n">
        <v>45166.65104166666</v>
      </c>
      <c r="C801" s="1" t="n">
        <v>45936</v>
      </c>
      <c r="D801" t="inlineStr">
        <is>
          <t>VÄRMLANDS LÄN</t>
        </is>
      </c>
      <c r="E801" t="inlineStr">
        <is>
          <t>TORSBY</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33469-2024</t>
        </is>
      </c>
      <c r="B802" s="1" t="n">
        <v>45519.5996875</v>
      </c>
      <c r="C802" s="1" t="n">
        <v>45936</v>
      </c>
      <c r="D802" t="inlineStr">
        <is>
          <t>VÄRMLANDS LÄN</t>
        </is>
      </c>
      <c r="E802" t="inlineStr">
        <is>
          <t>TORSBY</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50943-2020</t>
        </is>
      </c>
      <c r="B803" s="1" t="n">
        <v>44111</v>
      </c>
      <c r="C803" s="1" t="n">
        <v>45936</v>
      </c>
      <c r="D803" t="inlineStr">
        <is>
          <t>VÄRMLANDS LÄN</t>
        </is>
      </c>
      <c r="E803" t="inlineStr">
        <is>
          <t>TORSBY</t>
        </is>
      </c>
      <c r="F803" t="inlineStr">
        <is>
          <t>Bergvik skog väst AB</t>
        </is>
      </c>
      <c r="G803" t="n">
        <v>18.4</v>
      </c>
      <c r="H803" t="n">
        <v>0</v>
      </c>
      <c r="I803" t="n">
        <v>0</v>
      </c>
      <c r="J803" t="n">
        <v>0</v>
      </c>
      <c r="K803" t="n">
        <v>0</v>
      </c>
      <c r="L803" t="n">
        <v>0</v>
      </c>
      <c r="M803" t="n">
        <v>0</v>
      </c>
      <c r="N803" t="n">
        <v>0</v>
      </c>
      <c r="O803" t="n">
        <v>0</v>
      </c>
      <c r="P803" t="n">
        <v>0</v>
      </c>
      <c r="Q803" t="n">
        <v>0</v>
      </c>
      <c r="R803" s="2" t="inlineStr"/>
    </row>
    <row r="804" ht="15" customHeight="1">
      <c r="A804" t="inlineStr">
        <is>
          <t>A 45615-2025</t>
        </is>
      </c>
      <c r="B804" s="1" t="n">
        <v>45921</v>
      </c>
      <c r="C804" s="1" t="n">
        <v>45936</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15126-2024</t>
        </is>
      </c>
      <c r="B805" s="1" t="n">
        <v>45399</v>
      </c>
      <c r="C805" s="1" t="n">
        <v>45936</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15127-2024</t>
        </is>
      </c>
      <c r="B806" s="1" t="n">
        <v>45399.76815972223</v>
      </c>
      <c r="C806" s="1" t="n">
        <v>45936</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45489-2025</t>
        </is>
      </c>
      <c r="B807" s="1" t="n">
        <v>45921</v>
      </c>
      <c r="C807" s="1" t="n">
        <v>45936</v>
      </c>
      <c r="D807" t="inlineStr">
        <is>
          <t>VÄRMLANDS LÄN</t>
        </is>
      </c>
      <c r="E807" t="inlineStr">
        <is>
          <t>TORSBY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24876-2023</t>
        </is>
      </c>
      <c r="B808" s="1" t="n">
        <v>45085.42391203704</v>
      </c>
      <c r="C808" s="1" t="n">
        <v>45936</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20872-2024</t>
        </is>
      </c>
      <c r="B809" s="1" t="n">
        <v>45439.44173611111</v>
      </c>
      <c r="C809" s="1" t="n">
        <v>45936</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8054-2022</t>
        </is>
      </c>
      <c r="B810" s="1" t="n">
        <v>44609</v>
      </c>
      <c r="C810" s="1" t="n">
        <v>45936</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48721-2024</t>
        </is>
      </c>
      <c r="B811" s="1" t="n">
        <v>45593.54752314815</v>
      </c>
      <c r="C811" s="1" t="n">
        <v>45936</v>
      </c>
      <c r="D811" t="inlineStr">
        <is>
          <t>VÄRMLANDS LÄN</t>
        </is>
      </c>
      <c r="E811" t="inlineStr">
        <is>
          <t>TORSBY</t>
        </is>
      </c>
      <c r="F811" t="inlineStr">
        <is>
          <t>Bergvik skog väst AB</t>
        </is>
      </c>
      <c r="G811" t="n">
        <v>4.6</v>
      </c>
      <c r="H811" t="n">
        <v>0</v>
      </c>
      <c r="I811" t="n">
        <v>0</v>
      </c>
      <c r="J811" t="n">
        <v>0</v>
      </c>
      <c r="K811" t="n">
        <v>0</v>
      </c>
      <c r="L811" t="n">
        <v>0</v>
      </c>
      <c r="M811" t="n">
        <v>0</v>
      </c>
      <c r="N811" t="n">
        <v>0</v>
      </c>
      <c r="O811" t="n">
        <v>0</v>
      </c>
      <c r="P811" t="n">
        <v>0</v>
      </c>
      <c r="Q811" t="n">
        <v>0</v>
      </c>
      <c r="R811" s="2" t="inlineStr"/>
    </row>
    <row r="812" ht="15" customHeight="1">
      <c r="A812" t="inlineStr">
        <is>
          <t>A 49073-2022</t>
        </is>
      </c>
      <c r="B812" s="1" t="n">
        <v>44860</v>
      </c>
      <c r="C812" s="1" t="n">
        <v>45936</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46915-2024</t>
        </is>
      </c>
      <c r="B813" s="1" t="n">
        <v>45583</v>
      </c>
      <c r="C813" s="1" t="n">
        <v>45936</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50147-2023</t>
        </is>
      </c>
      <c r="B814" s="1" t="n">
        <v>45215</v>
      </c>
      <c r="C814" s="1" t="n">
        <v>45936</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45967-2025</t>
        </is>
      </c>
      <c r="B815" s="1" t="n">
        <v>45924</v>
      </c>
      <c r="C815" s="1" t="n">
        <v>45936</v>
      </c>
      <c r="D815" t="inlineStr">
        <is>
          <t>VÄRMLANDS LÄN</t>
        </is>
      </c>
      <c r="E815" t="inlineStr">
        <is>
          <t>TORSBY</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51662-2024</t>
        </is>
      </c>
      <c r="B816" s="1" t="n">
        <v>45606.75559027777</v>
      </c>
      <c r="C816" s="1" t="n">
        <v>45936</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38056-2025</t>
        </is>
      </c>
      <c r="B817" s="1" t="n">
        <v>45882</v>
      </c>
      <c r="C817" s="1" t="n">
        <v>45936</v>
      </c>
      <c r="D817" t="inlineStr">
        <is>
          <t>VÄRMLANDS LÄN</t>
        </is>
      </c>
      <c r="E817" t="inlineStr">
        <is>
          <t>TORSBY</t>
        </is>
      </c>
      <c r="G817" t="n">
        <v>4.9</v>
      </c>
      <c r="H817" t="n">
        <v>0</v>
      </c>
      <c r="I817" t="n">
        <v>0</v>
      </c>
      <c r="J817" t="n">
        <v>0</v>
      </c>
      <c r="K817" t="n">
        <v>0</v>
      </c>
      <c r="L817" t="n">
        <v>0</v>
      </c>
      <c r="M817" t="n">
        <v>0</v>
      </c>
      <c r="N817" t="n">
        <v>0</v>
      </c>
      <c r="O817" t="n">
        <v>0</v>
      </c>
      <c r="P817" t="n">
        <v>0</v>
      </c>
      <c r="Q817" t="n">
        <v>0</v>
      </c>
      <c r="R817" s="2" t="inlineStr"/>
    </row>
    <row r="818" ht="15" customHeight="1">
      <c r="A818" t="inlineStr">
        <is>
          <t>A 3071-2022</t>
        </is>
      </c>
      <c r="B818" s="1" t="n">
        <v>44582.42109953704</v>
      </c>
      <c r="C818" s="1" t="n">
        <v>45936</v>
      </c>
      <c r="D818" t="inlineStr">
        <is>
          <t>VÄRMLANDS LÄN</t>
        </is>
      </c>
      <c r="E818" t="inlineStr">
        <is>
          <t>TORSBY</t>
        </is>
      </c>
      <c r="G818" t="n">
        <v>7.9</v>
      </c>
      <c r="H818" t="n">
        <v>0</v>
      </c>
      <c r="I818" t="n">
        <v>0</v>
      </c>
      <c r="J818" t="n">
        <v>0</v>
      </c>
      <c r="K818" t="n">
        <v>0</v>
      </c>
      <c r="L818" t="n">
        <v>0</v>
      </c>
      <c r="M818" t="n">
        <v>0</v>
      </c>
      <c r="N818" t="n">
        <v>0</v>
      </c>
      <c r="O818" t="n">
        <v>0</v>
      </c>
      <c r="P818" t="n">
        <v>0</v>
      </c>
      <c r="Q818" t="n">
        <v>0</v>
      </c>
      <c r="R818" s="2" t="inlineStr"/>
    </row>
    <row r="819" ht="15" customHeight="1">
      <c r="A819" t="inlineStr">
        <is>
          <t>A 46293-2025</t>
        </is>
      </c>
      <c r="B819" s="1" t="n">
        <v>45925.39297453704</v>
      </c>
      <c r="C819" s="1" t="n">
        <v>45936</v>
      </c>
      <c r="D819" t="inlineStr">
        <is>
          <t>VÄRMLANDS LÄN</t>
        </is>
      </c>
      <c r="E819" t="inlineStr">
        <is>
          <t>TORSBY</t>
        </is>
      </c>
      <c r="G819" t="n">
        <v>24.3</v>
      </c>
      <c r="H819" t="n">
        <v>0</v>
      </c>
      <c r="I819" t="n">
        <v>0</v>
      </c>
      <c r="J819" t="n">
        <v>0</v>
      </c>
      <c r="K819" t="n">
        <v>0</v>
      </c>
      <c r="L819" t="n">
        <v>0</v>
      </c>
      <c r="M819" t="n">
        <v>0</v>
      </c>
      <c r="N819" t="n">
        <v>0</v>
      </c>
      <c r="O819" t="n">
        <v>0</v>
      </c>
      <c r="P819" t="n">
        <v>0</v>
      </c>
      <c r="Q819" t="n">
        <v>0</v>
      </c>
      <c r="R819" s="2" t="inlineStr"/>
    </row>
    <row r="820" ht="15" customHeight="1">
      <c r="A820" t="inlineStr">
        <is>
          <t>A 15154-2025</t>
        </is>
      </c>
      <c r="B820" s="1" t="n">
        <v>45744.46157407408</v>
      </c>
      <c r="C820" s="1" t="n">
        <v>45936</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11447-2022</t>
        </is>
      </c>
      <c r="B821" s="1" t="n">
        <v>44630</v>
      </c>
      <c r="C821" s="1" t="n">
        <v>45936</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27458-2023</t>
        </is>
      </c>
      <c r="B822" s="1" t="n">
        <v>45097</v>
      </c>
      <c r="C822" s="1" t="n">
        <v>45936</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38315-2025</t>
        </is>
      </c>
      <c r="B823" s="1" t="n">
        <v>45883.47824074074</v>
      </c>
      <c r="C823" s="1" t="n">
        <v>45936</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11672-2025</t>
        </is>
      </c>
      <c r="B824" s="1" t="n">
        <v>45727</v>
      </c>
      <c r="C824" s="1" t="n">
        <v>45936</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45936</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44470-2024</t>
        </is>
      </c>
      <c r="B826" s="1" t="n">
        <v>45574</v>
      </c>
      <c r="C826" s="1" t="n">
        <v>45936</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44497-2023</t>
        </is>
      </c>
      <c r="B827" s="1" t="n">
        <v>45189.45701388889</v>
      </c>
      <c r="C827" s="1" t="n">
        <v>45936</v>
      </c>
      <c r="D827" t="inlineStr">
        <is>
          <t>VÄRMLANDS LÄN</t>
        </is>
      </c>
      <c r="E827" t="inlineStr">
        <is>
          <t>TORSBY</t>
        </is>
      </c>
      <c r="G827" t="n">
        <v>7.6</v>
      </c>
      <c r="H827" t="n">
        <v>0</v>
      </c>
      <c r="I827" t="n">
        <v>0</v>
      </c>
      <c r="J827" t="n">
        <v>0</v>
      </c>
      <c r="K827" t="n">
        <v>0</v>
      </c>
      <c r="L827" t="n">
        <v>0</v>
      </c>
      <c r="M827" t="n">
        <v>0</v>
      </c>
      <c r="N827" t="n">
        <v>0</v>
      </c>
      <c r="O827" t="n">
        <v>0</v>
      </c>
      <c r="P827" t="n">
        <v>0</v>
      </c>
      <c r="Q827" t="n">
        <v>0</v>
      </c>
      <c r="R827" s="2" t="inlineStr"/>
    </row>
    <row r="828" ht="15" customHeight="1">
      <c r="A828" t="inlineStr">
        <is>
          <t>A 45966-2025</t>
        </is>
      </c>
      <c r="B828" s="1" t="n">
        <v>45924</v>
      </c>
      <c r="C828" s="1" t="n">
        <v>45936</v>
      </c>
      <c r="D828" t="inlineStr">
        <is>
          <t>VÄRMLANDS LÄN</t>
        </is>
      </c>
      <c r="E828" t="inlineStr">
        <is>
          <t>TORSBY</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19307-2022</t>
        </is>
      </c>
      <c r="B829" s="1" t="n">
        <v>44692.55497685185</v>
      </c>
      <c r="C829" s="1" t="n">
        <v>45936</v>
      </c>
      <c r="D829" t="inlineStr">
        <is>
          <t>VÄRMLANDS LÄN</t>
        </is>
      </c>
      <c r="E829" t="inlineStr">
        <is>
          <t>TORSBY</t>
        </is>
      </c>
      <c r="G829" t="n">
        <v>3.2</v>
      </c>
      <c r="H829" t="n">
        <v>0</v>
      </c>
      <c r="I829" t="n">
        <v>0</v>
      </c>
      <c r="J829" t="n">
        <v>0</v>
      </c>
      <c r="K829" t="n">
        <v>0</v>
      </c>
      <c r="L829" t="n">
        <v>0</v>
      </c>
      <c r="M829" t="n">
        <v>0</v>
      </c>
      <c r="N829" t="n">
        <v>0</v>
      </c>
      <c r="O829" t="n">
        <v>0</v>
      </c>
      <c r="P829" t="n">
        <v>0</v>
      </c>
      <c r="Q829" t="n">
        <v>0</v>
      </c>
      <c r="R829" s="2" t="inlineStr"/>
    </row>
    <row r="830" ht="15" customHeight="1">
      <c r="A830" t="inlineStr">
        <is>
          <t>A 46326-2025</t>
        </is>
      </c>
      <c r="B830" s="1" t="n">
        <v>45925.45237268518</v>
      </c>
      <c r="C830" s="1" t="n">
        <v>45936</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21542-2024</t>
        </is>
      </c>
      <c r="B831" s="1" t="n">
        <v>45441</v>
      </c>
      <c r="C831" s="1" t="n">
        <v>45936</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54023-2024</t>
        </is>
      </c>
      <c r="B832" s="1" t="n">
        <v>45616</v>
      </c>
      <c r="C832" s="1" t="n">
        <v>45936</v>
      </c>
      <c r="D832" t="inlineStr">
        <is>
          <t>VÄRMLANDS LÄN</t>
        </is>
      </c>
      <c r="E832" t="inlineStr">
        <is>
          <t>TORSBY</t>
        </is>
      </c>
      <c r="F832" t="inlineStr">
        <is>
          <t>Kommuner</t>
        </is>
      </c>
      <c r="G832" t="n">
        <v>3</v>
      </c>
      <c r="H832" t="n">
        <v>0</v>
      </c>
      <c r="I832" t="n">
        <v>0</v>
      </c>
      <c r="J832" t="n">
        <v>0</v>
      </c>
      <c r="K832" t="n">
        <v>0</v>
      </c>
      <c r="L832" t="n">
        <v>0</v>
      </c>
      <c r="M832" t="n">
        <v>0</v>
      </c>
      <c r="N832" t="n">
        <v>0</v>
      </c>
      <c r="O832" t="n">
        <v>0</v>
      </c>
      <c r="P832" t="n">
        <v>0</v>
      </c>
      <c r="Q832" t="n">
        <v>0</v>
      </c>
      <c r="R832" s="2" t="inlineStr"/>
    </row>
    <row r="833" ht="15" customHeight="1">
      <c r="A833" t="inlineStr">
        <is>
          <t>A 54027-2024</t>
        </is>
      </c>
      <c r="B833" s="1" t="n">
        <v>45616</v>
      </c>
      <c r="C833" s="1" t="n">
        <v>45936</v>
      </c>
      <c r="D833" t="inlineStr">
        <is>
          <t>VÄRMLANDS LÄN</t>
        </is>
      </c>
      <c r="E833" t="inlineStr">
        <is>
          <t>TORSBY</t>
        </is>
      </c>
      <c r="F833" t="inlineStr">
        <is>
          <t>Bergvik skog väst AB</t>
        </is>
      </c>
      <c r="G833" t="n">
        <v>2.1</v>
      </c>
      <c r="H833" t="n">
        <v>0</v>
      </c>
      <c r="I833" t="n">
        <v>0</v>
      </c>
      <c r="J833" t="n">
        <v>0</v>
      </c>
      <c r="K833" t="n">
        <v>0</v>
      </c>
      <c r="L833" t="n">
        <v>0</v>
      </c>
      <c r="M833" t="n">
        <v>0</v>
      </c>
      <c r="N833" t="n">
        <v>0</v>
      </c>
      <c r="O833" t="n">
        <v>0</v>
      </c>
      <c r="P833" t="n">
        <v>0</v>
      </c>
      <c r="Q833" t="n">
        <v>0</v>
      </c>
      <c r="R833" s="2" t="inlineStr"/>
    </row>
    <row r="834" ht="15" customHeight="1">
      <c r="A834" t="inlineStr">
        <is>
          <t>A 9900-2024</t>
        </is>
      </c>
      <c r="B834" s="1" t="n">
        <v>45363</v>
      </c>
      <c r="C834" s="1" t="n">
        <v>45936</v>
      </c>
      <c r="D834" t="inlineStr">
        <is>
          <t>VÄRMLANDS LÄN</t>
        </is>
      </c>
      <c r="E834" t="inlineStr">
        <is>
          <t>TORSBY</t>
        </is>
      </c>
      <c r="G834" t="n">
        <v>13.6</v>
      </c>
      <c r="H834" t="n">
        <v>0</v>
      </c>
      <c r="I834" t="n">
        <v>0</v>
      </c>
      <c r="J834" t="n">
        <v>0</v>
      </c>
      <c r="K834" t="n">
        <v>0</v>
      </c>
      <c r="L834" t="n">
        <v>0</v>
      </c>
      <c r="M834" t="n">
        <v>0</v>
      </c>
      <c r="N834" t="n">
        <v>0</v>
      </c>
      <c r="O834" t="n">
        <v>0</v>
      </c>
      <c r="P834" t="n">
        <v>0</v>
      </c>
      <c r="Q834" t="n">
        <v>0</v>
      </c>
      <c r="R834" s="2" t="inlineStr"/>
    </row>
    <row r="835" ht="15" customHeight="1">
      <c r="A835" t="inlineStr">
        <is>
          <t>A 40987-2024</t>
        </is>
      </c>
      <c r="B835" s="1" t="n">
        <v>45558</v>
      </c>
      <c r="C835" s="1" t="n">
        <v>45936</v>
      </c>
      <c r="D835" t="inlineStr">
        <is>
          <t>VÄRMLANDS LÄN</t>
        </is>
      </c>
      <c r="E835" t="inlineStr">
        <is>
          <t>TORSBY</t>
        </is>
      </c>
      <c r="G835" t="n">
        <v>11.6</v>
      </c>
      <c r="H835" t="n">
        <v>0</v>
      </c>
      <c r="I835" t="n">
        <v>0</v>
      </c>
      <c r="J835" t="n">
        <v>0</v>
      </c>
      <c r="K835" t="n">
        <v>0</v>
      </c>
      <c r="L835" t="n">
        <v>0</v>
      </c>
      <c r="M835" t="n">
        <v>0</v>
      </c>
      <c r="N835" t="n">
        <v>0</v>
      </c>
      <c r="O835" t="n">
        <v>0</v>
      </c>
      <c r="P835" t="n">
        <v>0</v>
      </c>
      <c r="Q835" t="n">
        <v>0</v>
      </c>
      <c r="R835" s="2" t="inlineStr"/>
    </row>
    <row r="836" ht="15" customHeight="1">
      <c r="A836" t="inlineStr">
        <is>
          <t>A 58945-2024</t>
        </is>
      </c>
      <c r="B836" s="1" t="n">
        <v>45636</v>
      </c>
      <c r="C836" s="1" t="n">
        <v>45936</v>
      </c>
      <c r="D836" t="inlineStr">
        <is>
          <t>VÄRMLANDS LÄN</t>
        </is>
      </c>
      <c r="E836" t="inlineStr">
        <is>
          <t>TORSBY</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58386-2023</t>
        </is>
      </c>
      <c r="B837" s="1" t="n">
        <v>45250</v>
      </c>
      <c r="C837" s="1" t="n">
        <v>45936</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41936-2024</t>
        </is>
      </c>
      <c r="B838" s="1" t="n">
        <v>45561</v>
      </c>
      <c r="C838" s="1" t="n">
        <v>45936</v>
      </c>
      <c r="D838" t="inlineStr">
        <is>
          <t>VÄRMLANDS LÄN</t>
        </is>
      </c>
      <c r="E838" t="inlineStr">
        <is>
          <t>TORSBY</t>
        </is>
      </c>
      <c r="G838" t="n">
        <v>9.9</v>
      </c>
      <c r="H838" t="n">
        <v>0</v>
      </c>
      <c r="I838" t="n">
        <v>0</v>
      </c>
      <c r="J838" t="n">
        <v>0</v>
      </c>
      <c r="K838" t="n">
        <v>0</v>
      </c>
      <c r="L838" t="n">
        <v>0</v>
      </c>
      <c r="M838" t="n">
        <v>0</v>
      </c>
      <c r="N838" t="n">
        <v>0</v>
      </c>
      <c r="O838" t="n">
        <v>0</v>
      </c>
      <c r="P838" t="n">
        <v>0</v>
      </c>
      <c r="Q838" t="n">
        <v>0</v>
      </c>
      <c r="R838" s="2" t="inlineStr"/>
    </row>
    <row r="839" ht="15" customHeight="1">
      <c r="A839" t="inlineStr">
        <is>
          <t>A 9902-2024</t>
        </is>
      </c>
      <c r="B839" s="1" t="n">
        <v>45363</v>
      </c>
      <c r="C839" s="1" t="n">
        <v>45936</v>
      </c>
      <c r="D839" t="inlineStr">
        <is>
          <t>VÄRMLANDS LÄN</t>
        </is>
      </c>
      <c r="E839" t="inlineStr">
        <is>
          <t>TORSBY</t>
        </is>
      </c>
      <c r="G839" t="n">
        <v>4.4</v>
      </c>
      <c r="H839" t="n">
        <v>0</v>
      </c>
      <c r="I839" t="n">
        <v>0</v>
      </c>
      <c r="J839" t="n">
        <v>0</v>
      </c>
      <c r="K839" t="n">
        <v>0</v>
      </c>
      <c r="L839" t="n">
        <v>0</v>
      </c>
      <c r="M839" t="n">
        <v>0</v>
      </c>
      <c r="N839" t="n">
        <v>0</v>
      </c>
      <c r="O839" t="n">
        <v>0</v>
      </c>
      <c r="P839" t="n">
        <v>0</v>
      </c>
      <c r="Q839" t="n">
        <v>0</v>
      </c>
      <c r="R839" s="2" t="inlineStr"/>
    </row>
    <row r="840" ht="15" customHeight="1">
      <c r="A840" t="inlineStr">
        <is>
          <t>A 8447-2023</t>
        </is>
      </c>
      <c r="B840" s="1" t="n">
        <v>44977</v>
      </c>
      <c r="C840" s="1" t="n">
        <v>45936</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10684-2024</t>
        </is>
      </c>
      <c r="B841" s="1" t="n">
        <v>45369.37938657407</v>
      </c>
      <c r="C841" s="1" t="n">
        <v>45936</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38397-2025</t>
        </is>
      </c>
      <c r="B842" s="1" t="n">
        <v>45883</v>
      </c>
      <c r="C842" s="1" t="n">
        <v>45936</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6111-2021</t>
        </is>
      </c>
      <c r="B843" s="1" t="n">
        <v>44232</v>
      </c>
      <c r="C843" s="1" t="n">
        <v>45936</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61138-2022</t>
        </is>
      </c>
      <c r="B844" s="1" t="n">
        <v>44915</v>
      </c>
      <c r="C844" s="1" t="n">
        <v>45936</v>
      </c>
      <c r="D844" t="inlineStr">
        <is>
          <t>VÄRMLANDS LÄN</t>
        </is>
      </c>
      <c r="E844" t="inlineStr">
        <is>
          <t>TORSBY</t>
        </is>
      </c>
      <c r="G844" t="n">
        <v>3.6</v>
      </c>
      <c r="H844" t="n">
        <v>0</v>
      </c>
      <c r="I844" t="n">
        <v>0</v>
      </c>
      <c r="J844" t="n">
        <v>0</v>
      </c>
      <c r="K844" t="n">
        <v>0</v>
      </c>
      <c r="L844" t="n">
        <v>0</v>
      </c>
      <c r="M844" t="n">
        <v>0</v>
      </c>
      <c r="N844" t="n">
        <v>0</v>
      </c>
      <c r="O844" t="n">
        <v>0</v>
      </c>
      <c r="P844" t="n">
        <v>0</v>
      </c>
      <c r="Q844" t="n">
        <v>0</v>
      </c>
      <c r="R844" s="2" t="inlineStr"/>
    </row>
    <row r="845" ht="15" customHeight="1">
      <c r="A845" t="inlineStr">
        <is>
          <t>A 3904-2025</t>
        </is>
      </c>
      <c r="B845" s="1" t="n">
        <v>45684</v>
      </c>
      <c r="C845" s="1" t="n">
        <v>45936</v>
      </c>
      <c r="D845" t="inlineStr">
        <is>
          <t>VÄRMLANDS LÄN</t>
        </is>
      </c>
      <c r="E845" t="inlineStr">
        <is>
          <t>TORSBY</t>
        </is>
      </c>
      <c r="F845" t="inlineStr">
        <is>
          <t>Övriga statliga verk och myndigheter</t>
        </is>
      </c>
      <c r="G845" t="n">
        <v>0.7</v>
      </c>
      <c r="H845" t="n">
        <v>0</v>
      </c>
      <c r="I845" t="n">
        <v>0</v>
      </c>
      <c r="J845" t="n">
        <v>0</v>
      </c>
      <c r="K845" t="n">
        <v>0</v>
      </c>
      <c r="L845" t="n">
        <v>0</v>
      </c>
      <c r="M845" t="n">
        <v>0</v>
      </c>
      <c r="N845" t="n">
        <v>0</v>
      </c>
      <c r="O845" t="n">
        <v>0</v>
      </c>
      <c r="P845" t="n">
        <v>0</v>
      </c>
      <c r="Q845" t="n">
        <v>0</v>
      </c>
      <c r="R845" s="2" t="inlineStr"/>
    </row>
    <row r="846" ht="15" customHeight="1">
      <c r="A846" t="inlineStr">
        <is>
          <t>A 3951-2025</t>
        </is>
      </c>
      <c r="B846" s="1" t="n">
        <v>45684.49333333333</v>
      </c>
      <c r="C846" s="1" t="n">
        <v>45936</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3672-2024</t>
        </is>
      </c>
      <c r="B847" s="1" t="n">
        <v>45321.36465277777</v>
      </c>
      <c r="C847" s="1" t="n">
        <v>45936</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32343-2024</t>
        </is>
      </c>
      <c r="B848" s="1" t="n">
        <v>45512.520625</v>
      </c>
      <c r="C848" s="1" t="n">
        <v>45936</v>
      </c>
      <c r="D848" t="inlineStr">
        <is>
          <t>VÄRMLANDS LÄN</t>
        </is>
      </c>
      <c r="E848" t="inlineStr">
        <is>
          <t>TORSBY</t>
        </is>
      </c>
      <c r="G848" t="n">
        <v>5</v>
      </c>
      <c r="H848" t="n">
        <v>0</v>
      </c>
      <c r="I848" t="n">
        <v>0</v>
      </c>
      <c r="J848" t="n">
        <v>0</v>
      </c>
      <c r="K848" t="n">
        <v>0</v>
      </c>
      <c r="L848" t="n">
        <v>0</v>
      </c>
      <c r="M848" t="n">
        <v>0</v>
      </c>
      <c r="N848" t="n">
        <v>0</v>
      </c>
      <c r="O848" t="n">
        <v>0</v>
      </c>
      <c r="P848" t="n">
        <v>0</v>
      </c>
      <c r="Q848" t="n">
        <v>0</v>
      </c>
      <c r="R848" s="2" t="inlineStr"/>
    </row>
    <row r="849" ht="15" customHeight="1">
      <c r="A849" t="inlineStr">
        <is>
          <t>A 53583-2024</t>
        </is>
      </c>
      <c r="B849" s="1" t="n">
        <v>45614.66449074074</v>
      </c>
      <c r="C849" s="1" t="n">
        <v>45936</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38249-2025</t>
        </is>
      </c>
      <c r="B850" s="1" t="n">
        <v>45883</v>
      </c>
      <c r="C850" s="1" t="n">
        <v>45936</v>
      </c>
      <c r="D850" t="inlineStr">
        <is>
          <t>VÄRMLANDS LÄN</t>
        </is>
      </c>
      <c r="E850" t="inlineStr">
        <is>
          <t>TORSBY</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6063-2021</t>
        </is>
      </c>
      <c r="B851" s="1" t="n">
        <v>44232</v>
      </c>
      <c r="C851" s="1" t="n">
        <v>45936</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4030-2024</t>
        </is>
      </c>
      <c r="B852" s="1" t="n">
        <v>45323</v>
      </c>
      <c r="C852" s="1" t="n">
        <v>45936</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57452-2022</t>
        </is>
      </c>
      <c r="B853" s="1" t="n">
        <v>44896.55787037037</v>
      </c>
      <c r="C853" s="1" t="n">
        <v>45936</v>
      </c>
      <c r="D853" t="inlineStr">
        <is>
          <t>VÄRMLANDS LÄN</t>
        </is>
      </c>
      <c r="E853" t="inlineStr">
        <is>
          <t>TORSBY</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31830-2024</t>
        </is>
      </c>
      <c r="B854" s="1" t="n">
        <v>45509</v>
      </c>
      <c r="C854" s="1" t="n">
        <v>45936</v>
      </c>
      <c r="D854" t="inlineStr">
        <is>
          <t>VÄRMLANDS LÄN</t>
        </is>
      </c>
      <c r="E854" t="inlineStr">
        <is>
          <t>TORSBY</t>
        </is>
      </c>
      <c r="G854" t="n">
        <v>2.6</v>
      </c>
      <c r="H854" t="n">
        <v>0</v>
      </c>
      <c r="I854" t="n">
        <v>0</v>
      </c>
      <c r="J854" t="n">
        <v>0</v>
      </c>
      <c r="K854" t="n">
        <v>0</v>
      </c>
      <c r="L854" t="n">
        <v>0</v>
      </c>
      <c r="M854" t="n">
        <v>0</v>
      </c>
      <c r="N854" t="n">
        <v>0</v>
      </c>
      <c r="O854" t="n">
        <v>0</v>
      </c>
      <c r="P854" t="n">
        <v>0</v>
      </c>
      <c r="Q854" t="n">
        <v>0</v>
      </c>
      <c r="R854" s="2" t="inlineStr"/>
    </row>
    <row r="855" ht="15" customHeight="1">
      <c r="A855" t="inlineStr">
        <is>
          <t>A 25316-2024</t>
        </is>
      </c>
      <c r="B855" s="1" t="n">
        <v>45462</v>
      </c>
      <c r="C855" s="1" t="n">
        <v>45936</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11235-2024</t>
        </is>
      </c>
      <c r="B856" s="1" t="n">
        <v>45371</v>
      </c>
      <c r="C856" s="1" t="n">
        <v>45936</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11242-2024</t>
        </is>
      </c>
      <c r="B857" s="1" t="n">
        <v>45371</v>
      </c>
      <c r="C857" s="1" t="n">
        <v>45936</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11253-2024</t>
        </is>
      </c>
      <c r="B858" s="1" t="n">
        <v>45371</v>
      </c>
      <c r="C858" s="1" t="n">
        <v>45936</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38991-2023</t>
        </is>
      </c>
      <c r="B859" s="1" t="n">
        <v>45163.65929398148</v>
      </c>
      <c r="C859" s="1" t="n">
        <v>45936</v>
      </c>
      <c r="D859" t="inlineStr">
        <is>
          <t>VÄRMLANDS LÄN</t>
        </is>
      </c>
      <c r="E859" t="inlineStr">
        <is>
          <t>TORSBY</t>
        </is>
      </c>
      <c r="G859" t="n">
        <v>2.4</v>
      </c>
      <c r="H859" t="n">
        <v>0</v>
      </c>
      <c r="I859" t="n">
        <v>0</v>
      </c>
      <c r="J859" t="n">
        <v>0</v>
      </c>
      <c r="K859" t="n">
        <v>0</v>
      </c>
      <c r="L859" t="n">
        <v>0</v>
      </c>
      <c r="M859" t="n">
        <v>0</v>
      </c>
      <c r="N859" t="n">
        <v>0</v>
      </c>
      <c r="O859" t="n">
        <v>0</v>
      </c>
      <c r="P859" t="n">
        <v>0</v>
      </c>
      <c r="Q859" t="n">
        <v>0</v>
      </c>
      <c r="R859" s="2" t="inlineStr"/>
    </row>
    <row r="860" ht="15" customHeight="1">
      <c r="A860" t="inlineStr">
        <is>
          <t>A 21581-2024</t>
        </is>
      </c>
      <c r="B860" s="1" t="n">
        <v>45441</v>
      </c>
      <c r="C860" s="1" t="n">
        <v>45936</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13791-2023</t>
        </is>
      </c>
      <c r="B861" s="1" t="n">
        <v>45005</v>
      </c>
      <c r="C861" s="1" t="n">
        <v>45936</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55839-2024</t>
        </is>
      </c>
      <c r="B862" s="1" t="n">
        <v>45623.49502314815</v>
      </c>
      <c r="C862" s="1" t="n">
        <v>45936</v>
      </c>
      <c r="D862" t="inlineStr">
        <is>
          <t>VÄRMLANDS LÄN</t>
        </is>
      </c>
      <c r="E862" t="inlineStr">
        <is>
          <t>TORSBY</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37818-2025</t>
        </is>
      </c>
      <c r="B863" s="1" t="n">
        <v>45881</v>
      </c>
      <c r="C863" s="1" t="n">
        <v>45936</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38165-2025</t>
        </is>
      </c>
      <c r="B864" s="1" t="n">
        <v>45882.63063657407</v>
      </c>
      <c r="C864" s="1" t="n">
        <v>45936</v>
      </c>
      <c r="D864" t="inlineStr">
        <is>
          <t>VÄRMLANDS LÄN</t>
        </is>
      </c>
      <c r="E864" t="inlineStr">
        <is>
          <t>TORSBY</t>
        </is>
      </c>
      <c r="F864" t="inlineStr">
        <is>
          <t>Bergvik skog väst AB</t>
        </is>
      </c>
      <c r="G864" t="n">
        <v>15.2</v>
      </c>
      <c r="H864" t="n">
        <v>0</v>
      </c>
      <c r="I864" t="n">
        <v>0</v>
      </c>
      <c r="J864" t="n">
        <v>0</v>
      </c>
      <c r="K864" t="n">
        <v>0</v>
      </c>
      <c r="L864" t="n">
        <v>0</v>
      </c>
      <c r="M864" t="n">
        <v>0</v>
      </c>
      <c r="N864" t="n">
        <v>0</v>
      </c>
      <c r="O864" t="n">
        <v>0</v>
      </c>
      <c r="P864" t="n">
        <v>0</v>
      </c>
      <c r="Q864" t="n">
        <v>0</v>
      </c>
      <c r="R864" s="2" t="inlineStr"/>
    </row>
    <row r="865" ht="15" customHeight="1">
      <c r="A865" t="inlineStr">
        <is>
          <t>A 8979-2025</t>
        </is>
      </c>
      <c r="B865" s="1" t="n">
        <v>45713</v>
      </c>
      <c r="C865" s="1" t="n">
        <v>45936</v>
      </c>
      <c r="D865" t="inlineStr">
        <is>
          <t>VÄRMLANDS LÄN</t>
        </is>
      </c>
      <c r="E865" t="inlineStr">
        <is>
          <t>TORSBY</t>
        </is>
      </c>
      <c r="G865" t="n">
        <v>6.5</v>
      </c>
      <c r="H865" t="n">
        <v>0</v>
      </c>
      <c r="I865" t="n">
        <v>0</v>
      </c>
      <c r="J865" t="n">
        <v>0</v>
      </c>
      <c r="K865" t="n">
        <v>0</v>
      </c>
      <c r="L865" t="n">
        <v>0</v>
      </c>
      <c r="M865" t="n">
        <v>0</v>
      </c>
      <c r="N865" t="n">
        <v>0</v>
      </c>
      <c r="O865" t="n">
        <v>0</v>
      </c>
      <c r="P865" t="n">
        <v>0</v>
      </c>
      <c r="Q865" t="n">
        <v>0</v>
      </c>
      <c r="R865" s="2" t="inlineStr"/>
    </row>
    <row r="866" ht="15" customHeight="1">
      <c r="A866" t="inlineStr">
        <is>
          <t>A 69250-2020</t>
        </is>
      </c>
      <c r="B866" s="1" t="n">
        <v>44192</v>
      </c>
      <c r="C866" s="1" t="n">
        <v>45936</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39003-2021</t>
        </is>
      </c>
      <c r="B867" s="1" t="n">
        <v>44412</v>
      </c>
      <c r="C867" s="1" t="n">
        <v>45936</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60148-2024</t>
        </is>
      </c>
      <c r="B868" s="1" t="n">
        <v>45642</v>
      </c>
      <c r="C868" s="1" t="n">
        <v>45936</v>
      </c>
      <c r="D868" t="inlineStr">
        <is>
          <t>VÄRMLANDS LÄN</t>
        </is>
      </c>
      <c r="E868" t="inlineStr">
        <is>
          <t>TORSBY</t>
        </is>
      </c>
      <c r="G868" t="n">
        <v>12.4</v>
      </c>
      <c r="H868" t="n">
        <v>0</v>
      </c>
      <c r="I868" t="n">
        <v>0</v>
      </c>
      <c r="J868" t="n">
        <v>0</v>
      </c>
      <c r="K868" t="n">
        <v>0</v>
      </c>
      <c r="L868" t="n">
        <v>0</v>
      </c>
      <c r="M868" t="n">
        <v>0</v>
      </c>
      <c r="N868" t="n">
        <v>0</v>
      </c>
      <c r="O868" t="n">
        <v>0</v>
      </c>
      <c r="P868" t="n">
        <v>0</v>
      </c>
      <c r="Q868" t="n">
        <v>0</v>
      </c>
      <c r="R868" s="2" t="inlineStr"/>
    </row>
    <row r="869" ht="15" customHeight="1">
      <c r="A869" t="inlineStr">
        <is>
          <t>A 37878-2025</t>
        </is>
      </c>
      <c r="B869" s="1" t="n">
        <v>45881</v>
      </c>
      <c r="C869" s="1" t="n">
        <v>45936</v>
      </c>
      <c r="D869" t="inlineStr">
        <is>
          <t>VÄRMLANDS LÄN</t>
        </is>
      </c>
      <c r="E869" t="inlineStr">
        <is>
          <t>TORSBY</t>
        </is>
      </c>
      <c r="F869" t="inlineStr">
        <is>
          <t>Bergvik skog väst AB</t>
        </is>
      </c>
      <c r="G869" t="n">
        <v>9.9</v>
      </c>
      <c r="H869" t="n">
        <v>0</v>
      </c>
      <c r="I869" t="n">
        <v>0</v>
      </c>
      <c r="J869" t="n">
        <v>0</v>
      </c>
      <c r="K869" t="n">
        <v>0</v>
      </c>
      <c r="L869" t="n">
        <v>0</v>
      </c>
      <c r="M869" t="n">
        <v>0</v>
      </c>
      <c r="N869" t="n">
        <v>0</v>
      </c>
      <c r="O869" t="n">
        <v>0</v>
      </c>
      <c r="P869" t="n">
        <v>0</v>
      </c>
      <c r="Q869" t="n">
        <v>0</v>
      </c>
      <c r="R869" s="2" t="inlineStr"/>
    </row>
    <row r="870" ht="15" customHeight="1">
      <c r="A870" t="inlineStr">
        <is>
          <t>A 1803-2024</t>
        </is>
      </c>
      <c r="B870" s="1" t="n">
        <v>45307</v>
      </c>
      <c r="C870" s="1" t="n">
        <v>45936</v>
      </c>
      <c r="D870" t="inlineStr">
        <is>
          <t>VÄRMLANDS LÄN</t>
        </is>
      </c>
      <c r="E870" t="inlineStr">
        <is>
          <t>TORSBY</t>
        </is>
      </c>
      <c r="G870" t="n">
        <v>12.9</v>
      </c>
      <c r="H870" t="n">
        <v>0</v>
      </c>
      <c r="I870" t="n">
        <v>0</v>
      </c>
      <c r="J870" t="n">
        <v>0</v>
      </c>
      <c r="K870" t="n">
        <v>0</v>
      </c>
      <c r="L870" t="n">
        <v>0</v>
      </c>
      <c r="M870" t="n">
        <v>0</v>
      </c>
      <c r="N870" t="n">
        <v>0</v>
      </c>
      <c r="O870" t="n">
        <v>0</v>
      </c>
      <c r="P870" t="n">
        <v>0</v>
      </c>
      <c r="Q870" t="n">
        <v>0</v>
      </c>
      <c r="R870" s="2" t="inlineStr"/>
    </row>
    <row r="871" ht="15" customHeight="1">
      <c r="A871" t="inlineStr">
        <is>
          <t>A 46243-2025</t>
        </is>
      </c>
      <c r="B871" s="1" t="n">
        <v>45925.32122685185</v>
      </c>
      <c r="C871" s="1" t="n">
        <v>45936</v>
      </c>
      <c r="D871" t="inlineStr">
        <is>
          <t>VÄRMLANDS LÄN</t>
        </is>
      </c>
      <c r="E871" t="inlineStr">
        <is>
          <t>TORSBY</t>
        </is>
      </c>
      <c r="F871" t="inlineStr">
        <is>
          <t>Bergvik skog väst AB</t>
        </is>
      </c>
      <c r="G871" t="n">
        <v>4.8</v>
      </c>
      <c r="H871" t="n">
        <v>0</v>
      </c>
      <c r="I871" t="n">
        <v>0</v>
      </c>
      <c r="J871" t="n">
        <v>0</v>
      </c>
      <c r="K871" t="n">
        <v>0</v>
      </c>
      <c r="L871" t="n">
        <v>0</v>
      </c>
      <c r="M871" t="n">
        <v>0</v>
      </c>
      <c r="N871" t="n">
        <v>0</v>
      </c>
      <c r="O871" t="n">
        <v>0</v>
      </c>
      <c r="P871" t="n">
        <v>0</v>
      </c>
      <c r="Q871" t="n">
        <v>0</v>
      </c>
      <c r="R871" s="2" t="inlineStr"/>
    </row>
    <row r="872" ht="15" customHeight="1">
      <c r="A872" t="inlineStr">
        <is>
          <t>A 61251-2024</t>
        </is>
      </c>
      <c r="B872" s="1" t="n">
        <v>45645</v>
      </c>
      <c r="C872" s="1" t="n">
        <v>45936</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61259-2024</t>
        </is>
      </c>
      <c r="B873" s="1" t="n">
        <v>45645.71188657408</v>
      </c>
      <c r="C873" s="1" t="n">
        <v>45936</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16949-2025</t>
        </is>
      </c>
      <c r="B874" s="1" t="n">
        <v>45755</v>
      </c>
      <c r="C874" s="1" t="n">
        <v>45936</v>
      </c>
      <c r="D874" t="inlineStr">
        <is>
          <t>VÄRMLANDS LÄN</t>
        </is>
      </c>
      <c r="E874" t="inlineStr">
        <is>
          <t>TORSBY</t>
        </is>
      </c>
      <c r="F874" t="inlineStr">
        <is>
          <t>Bergvik skog väst AB</t>
        </is>
      </c>
      <c r="G874" t="n">
        <v>3.7</v>
      </c>
      <c r="H874" t="n">
        <v>0</v>
      </c>
      <c r="I874" t="n">
        <v>0</v>
      </c>
      <c r="J874" t="n">
        <v>0</v>
      </c>
      <c r="K874" t="n">
        <v>0</v>
      </c>
      <c r="L874" t="n">
        <v>0</v>
      </c>
      <c r="M874" t="n">
        <v>0</v>
      </c>
      <c r="N874" t="n">
        <v>0</v>
      </c>
      <c r="O874" t="n">
        <v>0</v>
      </c>
      <c r="P874" t="n">
        <v>0</v>
      </c>
      <c r="Q874" t="n">
        <v>0</v>
      </c>
      <c r="R874" s="2" t="inlineStr"/>
    </row>
    <row r="875" ht="15" customHeight="1">
      <c r="A875" t="inlineStr">
        <is>
          <t>A 42428-2024</t>
        </is>
      </c>
      <c r="B875" s="1" t="n">
        <v>45565</v>
      </c>
      <c r="C875" s="1" t="n">
        <v>45936</v>
      </c>
      <c r="D875" t="inlineStr">
        <is>
          <t>VÄRMLANDS LÄN</t>
        </is>
      </c>
      <c r="E875" t="inlineStr">
        <is>
          <t>TORSBY</t>
        </is>
      </c>
      <c r="F875" t="inlineStr">
        <is>
          <t>Bergvik skog väst AB</t>
        </is>
      </c>
      <c r="G875" t="n">
        <v>20.7</v>
      </c>
      <c r="H875" t="n">
        <v>0</v>
      </c>
      <c r="I875" t="n">
        <v>0</v>
      </c>
      <c r="J875" t="n">
        <v>0</v>
      </c>
      <c r="K875" t="n">
        <v>0</v>
      </c>
      <c r="L875" t="n">
        <v>0</v>
      </c>
      <c r="M875" t="n">
        <v>0</v>
      </c>
      <c r="N875" t="n">
        <v>0</v>
      </c>
      <c r="O875" t="n">
        <v>0</v>
      </c>
      <c r="P875" t="n">
        <v>0</v>
      </c>
      <c r="Q875" t="n">
        <v>0</v>
      </c>
      <c r="R875" s="2" t="inlineStr"/>
    </row>
    <row r="876" ht="15" customHeight="1">
      <c r="A876" t="inlineStr">
        <is>
          <t>A 48903-2024</t>
        </is>
      </c>
      <c r="B876" s="1" t="n">
        <v>45594</v>
      </c>
      <c r="C876" s="1" t="n">
        <v>45936</v>
      </c>
      <c r="D876" t="inlineStr">
        <is>
          <t>VÄRMLANDS LÄN</t>
        </is>
      </c>
      <c r="E876" t="inlineStr">
        <is>
          <t>TORSBY</t>
        </is>
      </c>
      <c r="G876" t="n">
        <v>0.4</v>
      </c>
      <c r="H876" t="n">
        <v>0</v>
      </c>
      <c r="I876" t="n">
        <v>0</v>
      </c>
      <c r="J876" t="n">
        <v>0</v>
      </c>
      <c r="K876" t="n">
        <v>0</v>
      </c>
      <c r="L876" t="n">
        <v>0</v>
      </c>
      <c r="M876" t="n">
        <v>0</v>
      </c>
      <c r="N876" t="n">
        <v>0</v>
      </c>
      <c r="O876" t="n">
        <v>0</v>
      </c>
      <c r="P876" t="n">
        <v>0</v>
      </c>
      <c r="Q876" t="n">
        <v>0</v>
      </c>
      <c r="R876" s="2" t="inlineStr"/>
    </row>
    <row r="877" ht="15" customHeight="1">
      <c r="A877" t="inlineStr">
        <is>
          <t>A 20168-2022</t>
        </is>
      </c>
      <c r="B877" s="1" t="n">
        <v>44698.50056712963</v>
      </c>
      <c r="C877" s="1" t="n">
        <v>45936</v>
      </c>
      <c r="D877" t="inlineStr">
        <is>
          <t>VÄRMLANDS LÄN</t>
        </is>
      </c>
      <c r="E877" t="inlineStr">
        <is>
          <t>TORSBY</t>
        </is>
      </c>
      <c r="G877" t="n">
        <v>6.6</v>
      </c>
      <c r="H877" t="n">
        <v>0</v>
      </c>
      <c r="I877" t="n">
        <v>0</v>
      </c>
      <c r="J877" t="n">
        <v>0</v>
      </c>
      <c r="K877" t="n">
        <v>0</v>
      </c>
      <c r="L877" t="n">
        <v>0</v>
      </c>
      <c r="M877" t="n">
        <v>0</v>
      </c>
      <c r="N877" t="n">
        <v>0</v>
      </c>
      <c r="O877" t="n">
        <v>0</v>
      </c>
      <c r="P877" t="n">
        <v>0</v>
      </c>
      <c r="Q877" t="n">
        <v>0</v>
      </c>
      <c r="R877" s="2" t="inlineStr"/>
    </row>
    <row r="878" ht="15" customHeight="1">
      <c r="A878" t="inlineStr">
        <is>
          <t>A 55436-2022</t>
        </is>
      </c>
      <c r="B878" s="1" t="n">
        <v>44887</v>
      </c>
      <c r="C878" s="1" t="n">
        <v>45936</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1911-2022</t>
        </is>
      </c>
      <c r="B879" s="1" t="n">
        <v>44575</v>
      </c>
      <c r="C879" s="1" t="n">
        <v>45936</v>
      </c>
      <c r="D879" t="inlineStr">
        <is>
          <t>VÄRMLANDS LÄN</t>
        </is>
      </c>
      <c r="E879" t="inlineStr">
        <is>
          <t>TORSBY</t>
        </is>
      </c>
      <c r="F879" t="inlineStr">
        <is>
          <t>Kommuner</t>
        </is>
      </c>
      <c r="G879" t="n">
        <v>0.8</v>
      </c>
      <c r="H879" t="n">
        <v>0</v>
      </c>
      <c r="I879" t="n">
        <v>0</v>
      </c>
      <c r="J879" t="n">
        <v>0</v>
      </c>
      <c r="K879" t="n">
        <v>0</v>
      </c>
      <c r="L879" t="n">
        <v>0</v>
      </c>
      <c r="M879" t="n">
        <v>0</v>
      </c>
      <c r="N879" t="n">
        <v>0</v>
      </c>
      <c r="O879" t="n">
        <v>0</v>
      </c>
      <c r="P879" t="n">
        <v>0</v>
      </c>
      <c r="Q879" t="n">
        <v>0</v>
      </c>
      <c r="R879" s="2" t="inlineStr"/>
    </row>
    <row r="880" ht="15" customHeight="1">
      <c r="A880" t="inlineStr">
        <is>
          <t>A 40036-2022</t>
        </is>
      </c>
      <c r="B880" s="1" t="n">
        <v>44820.43179398148</v>
      </c>
      <c r="C880" s="1" t="n">
        <v>45936</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55475-2022</t>
        </is>
      </c>
      <c r="B881" s="1" t="n">
        <v>44887.66210648148</v>
      </c>
      <c r="C881" s="1" t="n">
        <v>45936</v>
      </c>
      <c r="D881" t="inlineStr">
        <is>
          <t>VÄRMLANDS LÄN</t>
        </is>
      </c>
      <c r="E881" t="inlineStr">
        <is>
          <t>TORSBY</t>
        </is>
      </c>
      <c r="G881" t="n">
        <v>2.7</v>
      </c>
      <c r="H881" t="n">
        <v>0</v>
      </c>
      <c r="I881" t="n">
        <v>0</v>
      </c>
      <c r="J881" t="n">
        <v>0</v>
      </c>
      <c r="K881" t="n">
        <v>0</v>
      </c>
      <c r="L881" t="n">
        <v>0</v>
      </c>
      <c r="M881" t="n">
        <v>0</v>
      </c>
      <c r="N881" t="n">
        <v>0</v>
      </c>
      <c r="O881" t="n">
        <v>0</v>
      </c>
      <c r="P881" t="n">
        <v>0</v>
      </c>
      <c r="Q881" t="n">
        <v>0</v>
      </c>
      <c r="R881" s="2" t="inlineStr"/>
    </row>
    <row r="882" ht="15" customHeight="1">
      <c r="A882" t="inlineStr">
        <is>
          <t>A 43256-2024</t>
        </is>
      </c>
      <c r="B882" s="1" t="n">
        <v>45568</v>
      </c>
      <c r="C882" s="1" t="n">
        <v>45936</v>
      </c>
      <c r="D882" t="inlineStr">
        <is>
          <t>VÄRMLANDS LÄN</t>
        </is>
      </c>
      <c r="E882" t="inlineStr">
        <is>
          <t>TORSBY</t>
        </is>
      </c>
      <c r="G882" t="n">
        <v>1.6</v>
      </c>
      <c r="H882" t="n">
        <v>0</v>
      </c>
      <c r="I882" t="n">
        <v>0</v>
      </c>
      <c r="J882" t="n">
        <v>0</v>
      </c>
      <c r="K882" t="n">
        <v>0</v>
      </c>
      <c r="L882" t="n">
        <v>0</v>
      </c>
      <c r="M882" t="n">
        <v>0</v>
      </c>
      <c r="N882" t="n">
        <v>0</v>
      </c>
      <c r="O882" t="n">
        <v>0</v>
      </c>
      <c r="P882" t="n">
        <v>0</v>
      </c>
      <c r="Q882" t="n">
        <v>0</v>
      </c>
      <c r="R882" s="2" t="inlineStr"/>
    </row>
    <row r="883" ht="15" customHeight="1">
      <c r="A883" t="inlineStr">
        <is>
          <t>A 38232-2025</t>
        </is>
      </c>
      <c r="B883" s="1" t="n">
        <v>45883</v>
      </c>
      <c r="C883" s="1" t="n">
        <v>45936</v>
      </c>
      <c r="D883" t="inlineStr">
        <is>
          <t>VÄRMLANDS LÄN</t>
        </is>
      </c>
      <c r="E883" t="inlineStr">
        <is>
          <t>TORSBY</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43538-2024</t>
        </is>
      </c>
      <c r="B884" s="1" t="n">
        <v>45569.36136574074</v>
      </c>
      <c r="C884" s="1" t="n">
        <v>45936</v>
      </c>
      <c r="D884" t="inlineStr">
        <is>
          <t>VÄRMLANDS LÄN</t>
        </is>
      </c>
      <c r="E884" t="inlineStr">
        <is>
          <t>TORSBY</t>
        </is>
      </c>
      <c r="F884" t="inlineStr">
        <is>
          <t>Bergvik skog väst AB</t>
        </is>
      </c>
      <c r="G884" t="n">
        <v>14.4</v>
      </c>
      <c r="H884" t="n">
        <v>0</v>
      </c>
      <c r="I884" t="n">
        <v>0</v>
      </c>
      <c r="J884" t="n">
        <v>0</v>
      </c>
      <c r="K884" t="n">
        <v>0</v>
      </c>
      <c r="L884" t="n">
        <v>0</v>
      </c>
      <c r="M884" t="n">
        <v>0</v>
      </c>
      <c r="N884" t="n">
        <v>0</v>
      </c>
      <c r="O884" t="n">
        <v>0</v>
      </c>
      <c r="P884" t="n">
        <v>0</v>
      </c>
      <c r="Q884" t="n">
        <v>0</v>
      </c>
      <c r="R884" s="2" t="inlineStr"/>
    </row>
    <row r="885" ht="15" customHeight="1">
      <c r="A885" t="inlineStr">
        <is>
          <t>A 53368-2024</t>
        </is>
      </c>
      <c r="B885" s="1" t="n">
        <v>45614</v>
      </c>
      <c r="C885" s="1" t="n">
        <v>45936</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1528-2025</t>
        </is>
      </c>
      <c r="B886" s="1" t="n">
        <v>45670</v>
      </c>
      <c r="C886" s="1" t="n">
        <v>45936</v>
      </c>
      <c r="D886" t="inlineStr">
        <is>
          <t>VÄRMLANDS LÄN</t>
        </is>
      </c>
      <c r="E886" t="inlineStr">
        <is>
          <t>TORSBY</t>
        </is>
      </c>
      <c r="G886" t="n">
        <v>7.4</v>
      </c>
      <c r="H886" t="n">
        <v>0</v>
      </c>
      <c r="I886" t="n">
        <v>0</v>
      </c>
      <c r="J886" t="n">
        <v>0</v>
      </c>
      <c r="K886" t="n">
        <v>0</v>
      </c>
      <c r="L886" t="n">
        <v>0</v>
      </c>
      <c r="M886" t="n">
        <v>0</v>
      </c>
      <c r="N886" t="n">
        <v>0</v>
      </c>
      <c r="O886" t="n">
        <v>0</v>
      </c>
      <c r="P886" t="n">
        <v>0</v>
      </c>
      <c r="Q886" t="n">
        <v>0</v>
      </c>
      <c r="R886" s="2" t="inlineStr"/>
    </row>
    <row r="887" ht="15" customHeight="1">
      <c r="A887" t="inlineStr">
        <is>
          <t>A 46334-2025</t>
        </is>
      </c>
      <c r="B887" s="1" t="n">
        <v>45925.45925925926</v>
      </c>
      <c r="C887" s="1" t="n">
        <v>45936</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2155-2024</t>
        </is>
      </c>
      <c r="B888" s="1" t="n">
        <v>45309</v>
      </c>
      <c r="C888" s="1" t="n">
        <v>45936</v>
      </c>
      <c r="D888" t="inlineStr">
        <is>
          <t>VÄRMLANDS LÄN</t>
        </is>
      </c>
      <c r="E888" t="inlineStr">
        <is>
          <t>TORSBY</t>
        </is>
      </c>
      <c r="G888" t="n">
        <v>2.8</v>
      </c>
      <c r="H888" t="n">
        <v>0</v>
      </c>
      <c r="I888" t="n">
        <v>0</v>
      </c>
      <c r="J888" t="n">
        <v>0</v>
      </c>
      <c r="K888" t="n">
        <v>0</v>
      </c>
      <c r="L888" t="n">
        <v>0</v>
      </c>
      <c r="M888" t="n">
        <v>0</v>
      </c>
      <c r="N888" t="n">
        <v>0</v>
      </c>
      <c r="O888" t="n">
        <v>0</v>
      </c>
      <c r="P888" t="n">
        <v>0</v>
      </c>
      <c r="Q888" t="n">
        <v>0</v>
      </c>
      <c r="R888" s="2" t="inlineStr"/>
    </row>
    <row r="889" ht="15" customHeight="1">
      <c r="A889" t="inlineStr">
        <is>
          <t>A 53921-2023</t>
        </is>
      </c>
      <c r="B889" s="1" t="n">
        <v>45231</v>
      </c>
      <c r="C889" s="1" t="n">
        <v>45936</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57809-2024</t>
        </is>
      </c>
      <c r="B890" s="1" t="n">
        <v>45631</v>
      </c>
      <c r="C890" s="1" t="n">
        <v>45936</v>
      </c>
      <c r="D890" t="inlineStr">
        <is>
          <t>VÄRMLANDS LÄN</t>
        </is>
      </c>
      <c r="E890" t="inlineStr">
        <is>
          <t>TORSBY</t>
        </is>
      </c>
      <c r="F890" t="inlineStr">
        <is>
          <t>Bergvik skog väst AB</t>
        </is>
      </c>
      <c r="G890" t="n">
        <v>10.9</v>
      </c>
      <c r="H890" t="n">
        <v>0</v>
      </c>
      <c r="I890" t="n">
        <v>0</v>
      </c>
      <c r="J890" t="n">
        <v>0</v>
      </c>
      <c r="K890" t="n">
        <v>0</v>
      </c>
      <c r="L890" t="n">
        <v>0</v>
      </c>
      <c r="M890" t="n">
        <v>0</v>
      </c>
      <c r="N890" t="n">
        <v>0</v>
      </c>
      <c r="O890" t="n">
        <v>0</v>
      </c>
      <c r="P890" t="n">
        <v>0</v>
      </c>
      <c r="Q890" t="n">
        <v>0</v>
      </c>
      <c r="R890" s="2" t="inlineStr"/>
    </row>
    <row r="891" ht="15" customHeight="1">
      <c r="A891" t="inlineStr">
        <is>
          <t>A 3667-2023</t>
        </is>
      </c>
      <c r="B891" s="1" t="n">
        <v>44950</v>
      </c>
      <c r="C891" s="1" t="n">
        <v>45936</v>
      </c>
      <c r="D891" t="inlineStr">
        <is>
          <t>VÄRMLANDS LÄN</t>
        </is>
      </c>
      <c r="E891" t="inlineStr">
        <is>
          <t>TORSBY</t>
        </is>
      </c>
      <c r="G891" t="n">
        <v>21.2</v>
      </c>
      <c r="H891" t="n">
        <v>0</v>
      </c>
      <c r="I891" t="n">
        <v>0</v>
      </c>
      <c r="J891" t="n">
        <v>0</v>
      </c>
      <c r="K891" t="n">
        <v>0</v>
      </c>
      <c r="L891" t="n">
        <v>0</v>
      </c>
      <c r="M891" t="n">
        <v>0</v>
      </c>
      <c r="N891" t="n">
        <v>0</v>
      </c>
      <c r="O891" t="n">
        <v>0</v>
      </c>
      <c r="P891" t="n">
        <v>0</v>
      </c>
      <c r="Q891" t="n">
        <v>0</v>
      </c>
      <c r="R891" s="2" t="inlineStr"/>
    </row>
    <row r="892" ht="15" customHeight="1">
      <c r="A892" t="inlineStr">
        <is>
          <t>A 32138-2024</t>
        </is>
      </c>
      <c r="B892" s="1" t="n">
        <v>45511</v>
      </c>
      <c r="C892" s="1" t="n">
        <v>45936</v>
      </c>
      <c r="D892" t="inlineStr">
        <is>
          <t>VÄRMLANDS LÄN</t>
        </is>
      </c>
      <c r="E892" t="inlineStr">
        <is>
          <t>TORSBY</t>
        </is>
      </c>
      <c r="F892" t="inlineStr">
        <is>
          <t>Bergvik skog väst AB</t>
        </is>
      </c>
      <c r="G892" t="n">
        <v>26.3</v>
      </c>
      <c r="H892" t="n">
        <v>0</v>
      </c>
      <c r="I892" t="n">
        <v>0</v>
      </c>
      <c r="J892" t="n">
        <v>0</v>
      </c>
      <c r="K892" t="n">
        <v>0</v>
      </c>
      <c r="L892" t="n">
        <v>0</v>
      </c>
      <c r="M892" t="n">
        <v>0</v>
      </c>
      <c r="N892" t="n">
        <v>0</v>
      </c>
      <c r="O892" t="n">
        <v>0</v>
      </c>
      <c r="P892" t="n">
        <v>0</v>
      </c>
      <c r="Q892" t="n">
        <v>0</v>
      </c>
      <c r="R892" s="2" t="inlineStr"/>
    </row>
    <row r="893" ht="15" customHeight="1">
      <c r="A893" t="inlineStr">
        <is>
          <t>A 41065-2022</t>
        </is>
      </c>
      <c r="B893" s="1" t="n">
        <v>44825.59258101852</v>
      </c>
      <c r="C893" s="1" t="n">
        <v>45936</v>
      </c>
      <c r="D893" t="inlineStr">
        <is>
          <t>VÄRMLANDS LÄN</t>
        </is>
      </c>
      <c r="E893" t="inlineStr">
        <is>
          <t>TORSBY</t>
        </is>
      </c>
      <c r="F893" t="inlineStr">
        <is>
          <t>Kommuner</t>
        </is>
      </c>
      <c r="G893" t="n">
        <v>1.8</v>
      </c>
      <c r="H893" t="n">
        <v>0</v>
      </c>
      <c r="I893" t="n">
        <v>0</v>
      </c>
      <c r="J893" t="n">
        <v>0</v>
      </c>
      <c r="K893" t="n">
        <v>0</v>
      </c>
      <c r="L893" t="n">
        <v>0</v>
      </c>
      <c r="M893" t="n">
        <v>0</v>
      </c>
      <c r="N893" t="n">
        <v>0</v>
      </c>
      <c r="O893" t="n">
        <v>0</v>
      </c>
      <c r="P893" t="n">
        <v>0</v>
      </c>
      <c r="Q893" t="n">
        <v>0</v>
      </c>
      <c r="R893" s="2" t="inlineStr"/>
    </row>
    <row r="894" ht="15" customHeight="1">
      <c r="A894" t="inlineStr">
        <is>
          <t>A 20130-2023</t>
        </is>
      </c>
      <c r="B894" s="1" t="n">
        <v>45055.38503472223</v>
      </c>
      <c r="C894" s="1" t="n">
        <v>45936</v>
      </c>
      <c r="D894" t="inlineStr">
        <is>
          <t>VÄRMLANDS LÄN</t>
        </is>
      </c>
      <c r="E894" t="inlineStr">
        <is>
          <t>TORSBY</t>
        </is>
      </c>
      <c r="G894" t="n">
        <v>0.7</v>
      </c>
      <c r="H894" t="n">
        <v>0</v>
      </c>
      <c r="I894" t="n">
        <v>0</v>
      </c>
      <c r="J894" t="n">
        <v>0</v>
      </c>
      <c r="K894" t="n">
        <v>0</v>
      </c>
      <c r="L894" t="n">
        <v>0</v>
      </c>
      <c r="M894" t="n">
        <v>0</v>
      </c>
      <c r="N894" t="n">
        <v>0</v>
      </c>
      <c r="O894" t="n">
        <v>0</v>
      </c>
      <c r="P894" t="n">
        <v>0</v>
      </c>
      <c r="Q894" t="n">
        <v>0</v>
      </c>
      <c r="R894" s="2" t="inlineStr"/>
    </row>
    <row r="895" ht="15" customHeight="1">
      <c r="A895" t="inlineStr">
        <is>
          <t>A 4342-2025</t>
        </is>
      </c>
      <c r="B895" s="1" t="n">
        <v>45685</v>
      </c>
      <c r="C895" s="1" t="n">
        <v>45936</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45812-2024</t>
        </is>
      </c>
      <c r="B896" s="1" t="n">
        <v>45579</v>
      </c>
      <c r="C896" s="1" t="n">
        <v>45936</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36239-2023</t>
        </is>
      </c>
      <c r="B897" s="1" t="n">
        <v>45150</v>
      </c>
      <c r="C897" s="1" t="n">
        <v>45936</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8284-2023</t>
        </is>
      </c>
      <c r="B898" s="1" t="n">
        <v>44974.64714120371</v>
      </c>
      <c r="C898" s="1" t="n">
        <v>45936</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48239-2022</t>
        </is>
      </c>
      <c r="B899" s="1" t="n">
        <v>44858.45881944444</v>
      </c>
      <c r="C899" s="1" t="n">
        <v>45936</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26223-2021</t>
        </is>
      </c>
      <c r="B900" s="1" t="n">
        <v>44347</v>
      </c>
      <c r="C900" s="1" t="n">
        <v>45936</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906-2025</t>
        </is>
      </c>
      <c r="B901" s="1" t="n">
        <v>45664</v>
      </c>
      <c r="C901" s="1" t="n">
        <v>45936</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49814-2022</t>
        </is>
      </c>
      <c r="B902" s="1" t="n">
        <v>44859</v>
      </c>
      <c r="C902" s="1" t="n">
        <v>45936</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40541-2024</t>
        </is>
      </c>
      <c r="B903" s="1" t="n">
        <v>45555.62736111111</v>
      </c>
      <c r="C903" s="1" t="n">
        <v>45936</v>
      </c>
      <c r="D903" t="inlineStr">
        <is>
          <t>VÄRMLANDS LÄN</t>
        </is>
      </c>
      <c r="E903" t="inlineStr">
        <is>
          <t>TORSBY</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14292-2023</t>
        </is>
      </c>
      <c r="B904" s="1" t="n">
        <v>45011</v>
      </c>
      <c r="C904" s="1" t="n">
        <v>45936</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14293-2023</t>
        </is>
      </c>
      <c r="B905" s="1" t="n">
        <v>45011</v>
      </c>
      <c r="C905" s="1" t="n">
        <v>45936</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2195-2025</t>
        </is>
      </c>
      <c r="B906" s="1" t="n">
        <v>45673.38138888889</v>
      </c>
      <c r="C906" s="1" t="n">
        <v>45936</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234-2024</t>
        </is>
      </c>
      <c r="B907" s="1" t="n">
        <v>45294.8253587963</v>
      </c>
      <c r="C907" s="1" t="n">
        <v>45936</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236-2024</t>
        </is>
      </c>
      <c r="B908" s="1" t="n">
        <v>45294.85927083333</v>
      </c>
      <c r="C908" s="1" t="n">
        <v>45936</v>
      </c>
      <c r="D908" t="inlineStr">
        <is>
          <t>VÄRMLANDS LÄN</t>
        </is>
      </c>
      <c r="E908" t="inlineStr">
        <is>
          <t>TORSBY</t>
        </is>
      </c>
      <c r="G908" t="n">
        <v>2.9</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44580.62828703703</v>
      </c>
      <c r="C909" s="1" t="n">
        <v>45936</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6532-2025</t>
        </is>
      </c>
      <c r="B910" s="1" t="n">
        <v>45699</v>
      </c>
      <c r="C910" s="1" t="n">
        <v>45936</v>
      </c>
      <c r="D910" t="inlineStr">
        <is>
          <t>VÄRMLANDS LÄN</t>
        </is>
      </c>
      <c r="E910" t="inlineStr">
        <is>
          <t>TORSBY</t>
        </is>
      </c>
      <c r="F910" t="inlineStr">
        <is>
          <t>Kommuner</t>
        </is>
      </c>
      <c r="G910" t="n">
        <v>0.3</v>
      </c>
      <c r="H910" t="n">
        <v>0</v>
      </c>
      <c r="I910" t="n">
        <v>0</v>
      </c>
      <c r="J910" t="n">
        <v>0</v>
      </c>
      <c r="K910" t="n">
        <v>0</v>
      </c>
      <c r="L910" t="n">
        <v>0</v>
      </c>
      <c r="M910" t="n">
        <v>0</v>
      </c>
      <c r="N910" t="n">
        <v>0</v>
      </c>
      <c r="O910" t="n">
        <v>0</v>
      </c>
      <c r="P910" t="n">
        <v>0</v>
      </c>
      <c r="Q910" t="n">
        <v>0</v>
      </c>
      <c r="R910" s="2" t="inlineStr"/>
    </row>
    <row r="911" ht="15" customHeight="1">
      <c r="A911" t="inlineStr">
        <is>
          <t>A 56902-2023</t>
        </is>
      </c>
      <c r="B911" s="1" t="n">
        <v>45244</v>
      </c>
      <c r="C911" s="1" t="n">
        <v>45936</v>
      </c>
      <c r="D911" t="inlineStr">
        <is>
          <t>VÄRMLANDS LÄN</t>
        </is>
      </c>
      <c r="E911" t="inlineStr">
        <is>
          <t>TORSBY</t>
        </is>
      </c>
      <c r="G911" t="n">
        <v>17.4</v>
      </c>
      <c r="H911" t="n">
        <v>0</v>
      </c>
      <c r="I911" t="n">
        <v>0</v>
      </c>
      <c r="J911" t="n">
        <v>0</v>
      </c>
      <c r="K911" t="n">
        <v>0</v>
      </c>
      <c r="L911" t="n">
        <v>0</v>
      </c>
      <c r="M911" t="n">
        <v>0</v>
      </c>
      <c r="N911" t="n">
        <v>0</v>
      </c>
      <c r="O911" t="n">
        <v>0</v>
      </c>
      <c r="P911" t="n">
        <v>0</v>
      </c>
      <c r="Q911" t="n">
        <v>0</v>
      </c>
      <c r="R911" s="2" t="inlineStr"/>
    </row>
    <row r="912" ht="15" customHeight="1">
      <c r="A912" t="inlineStr">
        <is>
          <t>A 30104-2023</t>
        </is>
      </c>
      <c r="B912" s="1" t="n">
        <v>45110</v>
      </c>
      <c r="C912" s="1" t="n">
        <v>45936</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53744-2024</t>
        </is>
      </c>
      <c r="B913" s="1" t="n">
        <v>45615</v>
      </c>
      <c r="C913" s="1" t="n">
        <v>45936</v>
      </c>
      <c r="D913" t="inlineStr">
        <is>
          <t>VÄRMLANDS LÄN</t>
        </is>
      </c>
      <c r="E913" t="inlineStr">
        <is>
          <t>TORSBY</t>
        </is>
      </c>
      <c r="G913" t="n">
        <v>16.9</v>
      </c>
      <c r="H913" t="n">
        <v>0</v>
      </c>
      <c r="I913" t="n">
        <v>0</v>
      </c>
      <c r="J913" t="n">
        <v>0</v>
      </c>
      <c r="K913" t="n">
        <v>0</v>
      </c>
      <c r="L913" t="n">
        <v>0</v>
      </c>
      <c r="M913" t="n">
        <v>0</v>
      </c>
      <c r="N913" t="n">
        <v>0</v>
      </c>
      <c r="O913" t="n">
        <v>0</v>
      </c>
      <c r="P913" t="n">
        <v>0</v>
      </c>
      <c r="Q913" t="n">
        <v>0</v>
      </c>
      <c r="R913" s="2" t="inlineStr"/>
    </row>
    <row r="914" ht="15" customHeight="1">
      <c r="A914" t="inlineStr">
        <is>
          <t>A 33848-2023</t>
        </is>
      </c>
      <c r="B914" s="1" t="n">
        <v>45133.68835648148</v>
      </c>
      <c r="C914" s="1" t="n">
        <v>45936</v>
      </c>
      <c r="D914" t="inlineStr">
        <is>
          <t>VÄRMLANDS LÄN</t>
        </is>
      </c>
      <c r="E914" t="inlineStr">
        <is>
          <t>TORSBY</t>
        </is>
      </c>
      <c r="F914" t="inlineStr">
        <is>
          <t>Bergvik skog väst AB</t>
        </is>
      </c>
      <c r="G914" t="n">
        <v>4.4</v>
      </c>
      <c r="H914" t="n">
        <v>0</v>
      </c>
      <c r="I914" t="n">
        <v>0</v>
      </c>
      <c r="J914" t="n">
        <v>0</v>
      </c>
      <c r="K914" t="n">
        <v>0</v>
      </c>
      <c r="L914" t="n">
        <v>0</v>
      </c>
      <c r="M914" t="n">
        <v>0</v>
      </c>
      <c r="N914" t="n">
        <v>0</v>
      </c>
      <c r="O914" t="n">
        <v>0</v>
      </c>
      <c r="P914" t="n">
        <v>0</v>
      </c>
      <c r="Q914" t="n">
        <v>0</v>
      </c>
      <c r="R914" s="2" t="inlineStr"/>
    </row>
    <row r="915" ht="15" customHeight="1">
      <c r="A915" t="inlineStr">
        <is>
          <t>A 12670-2023</t>
        </is>
      </c>
      <c r="B915" s="1" t="n">
        <v>45000.58043981482</v>
      </c>
      <c r="C915" s="1" t="n">
        <v>45936</v>
      </c>
      <c r="D915" t="inlineStr">
        <is>
          <t>VÄRMLANDS LÄN</t>
        </is>
      </c>
      <c r="E915" t="inlineStr">
        <is>
          <t>TORSBY</t>
        </is>
      </c>
      <c r="G915" t="n">
        <v>3.7</v>
      </c>
      <c r="H915" t="n">
        <v>0</v>
      </c>
      <c r="I915" t="n">
        <v>0</v>
      </c>
      <c r="J915" t="n">
        <v>0</v>
      </c>
      <c r="K915" t="n">
        <v>0</v>
      </c>
      <c r="L915" t="n">
        <v>0</v>
      </c>
      <c r="M915" t="n">
        <v>0</v>
      </c>
      <c r="N915" t="n">
        <v>0</v>
      </c>
      <c r="O915" t="n">
        <v>0</v>
      </c>
      <c r="P915" t="n">
        <v>0</v>
      </c>
      <c r="Q915" t="n">
        <v>0</v>
      </c>
      <c r="R915" s="2" t="inlineStr"/>
    </row>
    <row r="916" ht="15" customHeight="1">
      <c r="A916" t="inlineStr">
        <is>
          <t>A 43529-2023</t>
        </is>
      </c>
      <c r="B916" s="1" t="n">
        <v>45181</v>
      </c>
      <c r="C916" s="1" t="n">
        <v>45936</v>
      </c>
      <c r="D916" t="inlineStr">
        <is>
          <t>VÄRMLANDS LÄN</t>
        </is>
      </c>
      <c r="E916" t="inlineStr">
        <is>
          <t>TORSBY</t>
        </is>
      </c>
      <c r="G916" t="n">
        <v>2.7</v>
      </c>
      <c r="H916" t="n">
        <v>0</v>
      </c>
      <c r="I916" t="n">
        <v>0</v>
      </c>
      <c r="J916" t="n">
        <v>0</v>
      </c>
      <c r="K916" t="n">
        <v>0</v>
      </c>
      <c r="L916" t="n">
        <v>0</v>
      </c>
      <c r="M916" t="n">
        <v>0</v>
      </c>
      <c r="N916" t="n">
        <v>0</v>
      </c>
      <c r="O916" t="n">
        <v>0</v>
      </c>
      <c r="P916" t="n">
        <v>0</v>
      </c>
      <c r="Q916" t="n">
        <v>0</v>
      </c>
      <c r="R916" s="2" t="inlineStr"/>
    </row>
    <row r="917" ht="15" customHeight="1">
      <c r="A917" t="inlineStr">
        <is>
          <t>A 16192-2025</t>
        </is>
      </c>
      <c r="B917" s="1" t="n">
        <v>45750.59760416667</v>
      </c>
      <c r="C917" s="1" t="n">
        <v>45936</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54204-2023</t>
        </is>
      </c>
      <c r="B918" s="1" t="n">
        <v>45232.56141203704</v>
      </c>
      <c r="C918" s="1" t="n">
        <v>45936</v>
      </c>
      <c r="D918" t="inlineStr">
        <is>
          <t>VÄRMLANDS LÄN</t>
        </is>
      </c>
      <c r="E918" t="inlineStr">
        <is>
          <t>TORSBY</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45936</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1839-2022</t>
        </is>
      </c>
      <c r="B920" s="1" t="n">
        <v>44574</v>
      </c>
      <c r="C920" s="1" t="n">
        <v>45936</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18365-2025</t>
        </is>
      </c>
      <c r="B921" s="1" t="n">
        <v>45762</v>
      </c>
      <c r="C921" s="1" t="n">
        <v>45936</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21465-2022</t>
        </is>
      </c>
      <c r="B922" s="1" t="n">
        <v>44706.38893518518</v>
      </c>
      <c r="C922" s="1" t="n">
        <v>45936</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62445-2023</t>
        </is>
      </c>
      <c r="B923" s="1" t="n">
        <v>45268.47487268518</v>
      </c>
      <c r="C923" s="1" t="n">
        <v>45936</v>
      </c>
      <c r="D923" t="inlineStr">
        <is>
          <t>VÄRMLANDS LÄN</t>
        </is>
      </c>
      <c r="E923" t="inlineStr">
        <is>
          <t>TORSBY</t>
        </is>
      </c>
      <c r="G923" t="n">
        <v>2.2</v>
      </c>
      <c r="H923" t="n">
        <v>0</v>
      </c>
      <c r="I923" t="n">
        <v>0</v>
      </c>
      <c r="J923" t="n">
        <v>0</v>
      </c>
      <c r="K923" t="n">
        <v>0</v>
      </c>
      <c r="L923" t="n">
        <v>0</v>
      </c>
      <c r="M923" t="n">
        <v>0</v>
      </c>
      <c r="N923" t="n">
        <v>0</v>
      </c>
      <c r="O923" t="n">
        <v>0</v>
      </c>
      <c r="P923" t="n">
        <v>0</v>
      </c>
      <c r="Q923" t="n">
        <v>0</v>
      </c>
      <c r="R923" s="2" t="inlineStr"/>
    </row>
    <row r="924" ht="15" customHeight="1">
      <c r="A924" t="inlineStr">
        <is>
          <t>A 485-2025</t>
        </is>
      </c>
      <c r="B924" s="1" t="n">
        <v>45664</v>
      </c>
      <c r="C924" s="1" t="n">
        <v>45936</v>
      </c>
      <c r="D924" t="inlineStr">
        <is>
          <t>VÄRMLANDS LÄN</t>
        </is>
      </c>
      <c r="E924" t="inlineStr">
        <is>
          <t>TORSBY</t>
        </is>
      </c>
      <c r="G924" t="n">
        <v>2.5</v>
      </c>
      <c r="H924" t="n">
        <v>0</v>
      </c>
      <c r="I924" t="n">
        <v>0</v>
      </c>
      <c r="J924" t="n">
        <v>0</v>
      </c>
      <c r="K924" t="n">
        <v>0</v>
      </c>
      <c r="L924" t="n">
        <v>0</v>
      </c>
      <c r="M924" t="n">
        <v>0</v>
      </c>
      <c r="N924" t="n">
        <v>0</v>
      </c>
      <c r="O924" t="n">
        <v>0</v>
      </c>
      <c r="P924" t="n">
        <v>0</v>
      </c>
      <c r="Q924" t="n">
        <v>0</v>
      </c>
      <c r="R924" s="2" t="inlineStr"/>
    </row>
    <row r="925" ht="15" customHeight="1">
      <c r="A925" t="inlineStr">
        <is>
          <t>A 2803-2025</t>
        </is>
      </c>
      <c r="B925" s="1" t="n">
        <v>45677</v>
      </c>
      <c r="C925" s="1" t="n">
        <v>45936</v>
      </c>
      <c r="D925" t="inlineStr">
        <is>
          <t>VÄRMLANDS LÄN</t>
        </is>
      </c>
      <c r="E925" t="inlineStr">
        <is>
          <t>TORSBY</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2807-2025</t>
        </is>
      </c>
      <c r="B926" s="1" t="n">
        <v>45677</v>
      </c>
      <c r="C926" s="1" t="n">
        <v>45936</v>
      </c>
      <c r="D926" t="inlineStr">
        <is>
          <t>VÄRMLANDS LÄN</t>
        </is>
      </c>
      <c r="E926" t="inlineStr">
        <is>
          <t>TORSBY</t>
        </is>
      </c>
      <c r="G926" t="n">
        <v>2.5</v>
      </c>
      <c r="H926" t="n">
        <v>0</v>
      </c>
      <c r="I926" t="n">
        <v>0</v>
      </c>
      <c r="J926" t="n">
        <v>0</v>
      </c>
      <c r="K926" t="n">
        <v>0</v>
      </c>
      <c r="L926" t="n">
        <v>0</v>
      </c>
      <c r="M926" t="n">
        <v>0</v>
      </c>
      <c r="N926" t="n">
        <v>0</v>
      </c>
      <c r="O926" t="n">
        <v>0</v>
      </c>
      <c r="P926" t="n">
        <v>0</v>
      </c>
      <c r="Q926" t="n">
        <v>0</v>
      </c>
      <c r="R926" s="2" t="inlineStr"/>
    </row>
    <row r="927" ht="15" customHeight="1">
      <c r="A927" t="inlineStr">
        <is>
          <t>A 21078-2023</t>
        </is>
      </c>
      <c r="B927" s="1" t="n">
        <v>45061</v>
      </c>
      <c r="C927" s="1" t="n">
        <v>45936</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3442-2025</t>
        </is>
      </c>
      <c r="B928" s="1" t="n">
        <v>45680.45114583334</v>
      </c>
      <c r="C928" s="1" t="n">
        <v>45936</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36718-2024</t>
        </is>
      </c>
      <c r="B929" s="1" t="n">
        <v>45537</v>
      </c>
      <c r="C929" s="1" t="n">
        <v>45936</v>
      </c>
      <c r="D929" t="inlineStr">
        <is>
          <t>VÄRMLANDS LÄN</t>
        </is>
      </c>
      <c r="E929" t="inlineStr">
        <is>
          <t>TORSBY</t>
        </is>
      </c>
      <c r="G929" t="n">
        <v>3.7</v>
      </c>
      <c r="H929" t="n">
        <v>0</v>
      </c>
      <c r="I929" t="n">
        <v>0</v>
      </c>
      <c r="J929" t="n">
        <v>0</v>
      </c>
      <c r="K929" t="n">
        <v>0</v>
      </c>
      <c r="L929" t="n">
        <v>0</v>
      </c>
      <c r="M929" t="n">
        <v>0</v>
      </c>
      <c r="N929" t="n">
        <v>0</v>
      </c>
      <c r="O929" t="n">
        <v>0</v>
      </c>
      <c r="P929" t="n">
        <v>0</v>
      </c>
      <c r="Q929" t="n">
        <v>0</v>
      </c>
      <c r="R929" s="2" t="inlineStr"/>
    </row>
    <row r="930" ht="15" customHeight="1">
      <c r="A930" t="inlineStr">
        <is>
          <t>A 15019-2025</t>
        </is>
      </c>
      <c r="B930" s="1" t="n">
        <v>45743.63811342593</v>
      </c>
      <c r="C930" s="1" t="n">
        <v>45936</v>
      </c>
      <c r="D930" t="inlineStr">
        <is>
          <t>VÄRMLANDS LÄN</t>
        </is>
      </c>
      <c r="E930" t="inlineStr">
        <is>
          <t>TORSBY</t>
        </is>
      </c>
      <c r="F930" t="inlineStr">
        <is>
          <t>Övriga statliga verk och myndigheter</t>
        </is>
      </c>
      <c r="G930" t="n">
        <v>2.6</v>
      </c>
      <c r="H930" t="n">
        <v>0</v>
      </c>
      <c r="I930" t="n">
        <v>0</v>
      </c>
      <c r="J930" t="n">
        <v>0</v>
      </c>
      <c r="K930" t="n">
        <v>0</v>
      </c>
      <c r="L930" t="n">
        <v>0</v>
      </c>
      <c r="M930" t="n">
        <v>0</v>
      </c>
      <c r="N930" t="n">
        <v>0</v>
      </c>
      <c r="O930" t="n">
        <v>0</v>
      </c>
      <c r="P930" t="n">
        <v>0</v>
      </c>
      <c r="Q930" t="n">
        <v>0</v>
      </c>
      <c r="R930" s="2" t="inlineStr"/>
    </row>
    <row r="931" ht="15" customHeight="1">
      <c r="A931" t="inlineStr">
        <is>
          <t>A 38486-2022</t>
        </is>
      </c>
      <c r="B931" s="1" t="n">
        <v>44813</v>
      </c>
      <c r="C931" s="1" t="n">
        <v>45936</v>
      </c>
      <c r="D931" t="inlineStr">
        <is>
          <t>VÄRMLANDS LÄN</t>
        </is>
      </c>
      <c r="E931" t="inlineStr">
        <is>
          <t>TORSBY</t>
        </is>
      </c>
      <c r="F931" t="inlineStr">
        <is>
          <t>Bergvik skog väst AB</t>
        </is>
      </c>
      <c r="G931" t="n">
        <v>9.6</v>
      </c>
      <c r="H931" t="n">
        <v>0</v>
      </c>
      <c r="I931" t="n">
        <v>0</v>
      </c>
      <c r="J931" t="n">
        <v>0</v>
      </c>
      <c r="K931" t="n">
        <v>0</v>
      </c>
      <c r="L931" t="n">
        <v>0</v>
      </c>
      <c r="M931" t="n">
        <v>0</v>
      </c>
      <c r="N931" t="n">
        <v>0</v>
      </c>
      <c r="O931" t="n">
        <v>0</v>
      </c>
      <c r="P931" t="n">
        <v>0</v>
      </c>
      <c r="Q931" t="n">
        <v>0</v>
      </c>
      <c r="R931" s="2" t="inlineStr"/>
    </row>
    <row r="932" ht="15" customHeight="1">
      <c r="A932" t="inlineStr">
        <is>
          <t>A 18105-2022</t>
        </is>
      </c>
      <c r="B932" s="1" t="n">
        <v>44684</v>
      </c>
      <c r="C932" s="1" t="n">
        <v>45936</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66978-2021</t>
        </is>
      </c>
      <c r="B933" s="1" t="n">
        <v>44522</v>
      </c>
      <c r="C933" s="1" t="n">
        <v>45936</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46921-2025</t>
        </is>
      </c>
      <c r="B934" s="1" t="n">
        <v>45929.43655092592</v>
      </c>
      <c r="C934" s="1" t="n">
        <v>45936</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45328-2022</t>
        </is>
      </c>
      <c r="B935" s="1" t="n">
        <v>44844</v>
      </c>
      <c r="C935" s="1" t="n">
        <v>45936</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47049-2025</t>
        </is>
      </c>
      <c r="B936" s="1" t="n">
        <v>45929.6130324074</v>
      </c>
      <c r="C936" s="1" t="n">
        <v>45936</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10608-2022</t>
        </is>
      </c>
      <c r="B937" s="1" t="n">
        <v>44624</v>
      </c>
      <c r="C937" s="1" t="n">
        <v>45936</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31351-2024</t>
        </is>
      </c>
      <c r="B938" s="1" t="n">
        <v>45505</v>
      </c>
      <c r="C938" s="1" t="n">
        <v>45936</v>
      </c>
      <c r="D938" t="inlineStr">
        <is>
          <t>VÄRMLANDS LÄN</t>
        </is>
      </c>
      <c r="E938" t="inlineStr">
        <is>
          <t>TORSBY</t>
        </is>
      </c>
      <c r="F938" t="inlineStr">
        <is>
          <t>Kyrkan</t>
        </is>
      </c>
      <c r="G938" t="n">
        <v>6.5</v>
      </c>
      <c r="H938" t="n">
        <v>0</v>
      </c>
      <c r="I938" t="n">
        <v>0</v>
      </c>
      <c r="J938" t="n">
        <v>0</v>
      </c>
      <c r="K938" t="n">
        <v>0</v>
      </c>
      <c r="L938" t="n">
        <v>0</v>
      </c>
      <c r="M938" t="n">
        <v>0</v>
      </c>
      <c r="N938" t="n">
        <v>0</v>
      </c>
      <c r="O938" t="n">
        <v>0</v>
      </c>
      <c r="P938" t="n">
        <v>0</v>
      </c>
      <c r="Q938" t="n">
        <v>0</v>
      </c>
      <c r="R938" s="2" t="inlineStr"/>
    </row>
    <row r="939" ht="15" customHeight="1">
      <c r="A939" t="inlineStr">
        <is>
          <t>A 32332-2023</t>
        </is>
      </c>
      <c r="B939" s="1" t="n">
        <v>45110</v>
      </c>
      <c r="C939" s="1" t="n">
        <v>45936</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61510-2022</t>
        </is>
      </c>
      <c r="B940" s="1" t="n">
        <v>44916.49820601852</v>
      </c>
      <c r="C940" s="1" t="n">
        <v>45936</v>
      </c>
      <c r="D940" t="inlineStr">
        <is>
          <t>VÄRMLANDS LÄN</t>
        </is>
      </c>
      <c r="E940" t="inlineStr">
        <is>
          <t>TORSBY</t>
        </is>
      </c>
      <c r="G940" t="n">
        <v>1.9</v>
      </c>
      <c r="H940" t="n">
        <v>0</v>
      </c>
      <c r="I940" t="n">
        <v>0</v>
      </c>
      <c r="J940" t="n">
        <v>0</v>
      </c>
      <c r="K940" t="n">
        <v>0</v>
      </c>
      <c r="L940" t="n">
        <v>0</v>
      </c>
      <c r="M940" t="n">
        <v>0</v>
      </c>
      <c r="N940" t="n">
        <v>0</v>
      </c>
      <c r="O940" t="n">
        <v>0</v>
      </c>
      <c r="P940" t="n">
        <v>0</v>
      </c>
      <c r="Q940" t="n">
        <v>0</v>
      </c>
      <c r="R940" s="2" t="inlineStr"/>
    </row>
    <row r="941" ht="15" customHeight="1">
      <c r="A941" t="inlineStr">
        <is>
          <t>A 1120-2023</t>
        </is>
      </c>
      <c r="B941" s="1" t="n">
        <v>44935</v>
      </c>
      <c r="C941" s="1" t="n">
        <v>45936</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33429-2024</t>
        </is>
      </c>
      <c r="B942" s="1" t="n">
        <v>45519.52792824074</v>
      </c>
      <c r="C942" s="1" t="n">
        <v>45936</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61073-2024</t>
        </is>
      </c>
      <c r="B943" s="1" t="n">
        <v>45645.50665509259</v>
      </c>
      <c r="C943" s="1" t="n">
        <v>45936</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1997-2025</t>
        </is>
      </c>
      <c r="B944" s="1" t="n">
        <v>45672.44431712963</v>
      </c>
      <c r="C944" s="1" t="n">
        <v>45936</v>
      </c>
      <c r="D944" t="inlineStr">
        <is>
          <t>VÄRMLANDS LÄN</t>
        </is>
      </c>
      <c r="E944" t="inlineStr">
        <is>
          <t>TORSBY</t>
        </is>
      </c>
      <c r="G944" t="n">
        <v>20.1</v>
      </c>
      <c r="H944" t="n">
        <v>0</v>
      </c>
      <c r="I944" t="n">
        <v>0</v>
      </c>
      <c r="J944" t="n">
        <v>0</v>
      </c>
      <c r="K944" t="n">
        <v>0</v>
      </c>
      <c r="L944" t="n">
        <v>0</v>
      </c>
      <c r="M944" t="n">
        <v>0</v>
      </c>
      <c r="N944" t="n">
        <v>0</v>
      </c>
      <c r="O944" t="n">
        <v>0</v>
      </c>
      <c r="P944" t="n">
        <v>0</v>
      </c>
      <c r="Q944" t="n">
        <v>0</v>
      </c>
      <c r="R944" s="2" t="inlineStr"/>
    </row>
    <row r="945" ht="15" customHeight="1">
      <c r="A945" t="inlineStr">
        <is>
          <t>A 25932-2024</t>
        </is>
      </c>
      <c r="B945" s="1" t="n">
        <v>45467.62097222222</v>
      </c>
      <c r="C945" s="1" t="n">
        <v>45936</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48185-2024</t>
        </is>
      </c>
      <c r="B946" s="1" t="n">
        <v>45589.90284722222</v>
      </c>
      <c r="C946" s="1" t="n">
        <v>45936</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29908-2022</t>
        </is>
      </c>
      <c r="B947" s="1" t="n">
        <v>44756</v>
      </c>
      <c r="C947" s="1" t="n">
        <v>45936</v>
      </c>
      <c r="D947" t="inlineStr">
        <is>
          <t>VÄRMLANDS LÄN</t>
        </is>
      </c>
      <c r="E947" t="inlineStr">
        <is>
          <t>TORSBY</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34105-2023</t>
        </is>
      </c>
      <c r="B948" s="1" t="n">
        <v>45126</v>
      </c>
      <c r="C948" s="1" t="n">
        <v>45936</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28598-2023</t>
        </is>
      </c>
      <c r="B949" s="1" t="n">
        <v>45103.57421296297</v>
      </c>
      <c r="C949" s="1" t="n">
        <v>45936</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38184-2024</t>
        </is>
      </c>
      <c r="B950" s="1" t="n">
        <v>45545</v>
      </c>
      <c r="C950" s="1" t="n">
        <v>45936</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18330-2024</t>
        </is>
      </c>
      <c r="B951" s="1" t="n">
        <v>45422</v>
      </c>
      <c r="C951" s="1" t="n">
        <v>45936</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38541-2023</t>
        </is>
      </c>
      <c r="B952" s="1" t="n">
        <v>45162</v>
      </c>
      <c r="C952" s="1" t="n">
        <v>45936</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37913-2022</t>
        </is>
      </c>
      <c r="B953" s="1" t="n">
        <v>44811</v>
      </c>
      <c r="C953" s="1" t="n">
        <v>45936</v>
      </c>
      <c r="D953" t="inlineStr">
        <is>
          <t>VÄRMLANDS LÄN</t>
        </is>
      </c>
      <c r="E953" t="inlineStr">
        <is>
          <t>TORSBY</t>
        </is>
      </c>
      <c r="G953" t="n">
        <v>3.7</v>
      </c>
      <c r="H953" t="n">
        <v>0</v>
      </c>
      <c r="I953" t="n">
        <v>0</v>
      </c>
      <c r="J953" t="n">
        <v>0</v>
      </c>
      <c r="K953" t="n">
        <v>0</v>
      </c>
      <c r="L953" t="n">
        <v>0</v>
      </c>
      <c r="M953" t="n">
        <v>0</v>
      </c>
      <c r="N953" t="n">
        <v>0</v>
      </c>
      <c r="O953" t="n">
        <v>0</v>
      </c>
      <c r="P953" t="n">
        <v>0</v>
      </c>
      <c r="Q953" t="n">
        <v>0</v>
      </c>
      <c r="R953" s="2" t="inlineStr"/>
    </row>
    <row r="954" ht="15" customHeight="1">
      <c r="A954" t="inlineStr">
        <is>
          <t>A 15169-2025</t>
        </is>
      </c>
      <c r="B954" s="1" t="n">
        <v>45744</v>
      </c>
      <c r="C954" s="1" t="n">
        <v>45936</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38497-2025</t>
        </is>
      </c>
      <c r="B955" s="1" t="n">
        <v>45884</v>
      </c>
      <c r="C955" s="1" t="n">
        <v>45936</v>
      </c>
      <c r="D955" t="inlineStr">
        <is>
          <t>VÄRMLANDS LÄN</t>
        </is>
      </c>
      <c r="E955" t="inlineStr">
        <is>
          <t>TORSBY</t>
        </is>
      </c>
      <c r="G955" t="n">
        <v>7.7</v>
      </c>
      <c r="H955" t="n">
        <v>0</v>
      </c>
      <c r="I955" t="n">
        <v>0</v>
      </c>
      <c r="J955" t="n">
        <v>0</v>
      </c>
      <c r="K955" t="n">
        <v>0</v>
      </c>
      <c r="L955" t="n">
        <v>0</v>
      </c>
      <c r="M955" t="n">
        <v>0</v>
      </c>
      <c r="N955" t="n">
        <v>0</v>
      </c>
      <c r="O955" t="n">
        <v>0</v>
      </c>
      <c r="P955" t="n">
        <v>0</v>
      </c>
      <c r="Q955" t="n">
        <v>0</v>
      </c>
      <c r="R955" s="2" t="inlineStr"/>
    </row>
    <row r="956" ht="15" customHeight="1">
      <c r="A956" t="inlineStr">
        <is>
          <t>A 9793-2024</t>
        </is>
      </c>
      <c r="B956" s="1" t="n">
        <v>45362.71013888889</v>
      </c>
      <c r="C956" s="1" t="n">
        <v>45936</v>
      </c>
      <c r="D956" t="inlineStr">
        <is>
          <t>VÄRMLANDS LÄN</t>
        </is>
      </c>
      <c r="E956" t="inlineStr">
        <is>
          <t>TORSBY</t>
        </is>
      </c>
      <c r="G956" t="n">
        <v>6</v>
      </c>
      <c r="H956" t="n">
        <v>0</v>
      </c>
      <c r="I956" t="n">
        <v>0</v>
      </c>
      <c r="J956" t="n">
        <v>0</v>
      </c>
      <c r="K956" t="n">
        <v>0</v>
      </c>
      <c r="L956" t="n">
        <v>0</v>
      </c>
      <c r="M956" t="n">
        <v>0</v>
      </c>
      <c r="N956" t="n">
        <v>0</v>
      </c>
      <c r="O956" t="n">
        <v>0</v>
      </c>
      <c r="P956" t="n">
        <v>0</v>
      </c>
      <c r="Q956" t="n">
        <v>0</v>
      </c>
      <c r="R956" s="2" t="inlineStr"/>
    </row>
    <row r="957" ht="15" customHeight="1">
      <c r="A957" t="inlineStr">
        <is>
          <t>A 19878-2025</t>
        </is>
      </c>
      <c r="B957" s="1" t="n">
        <v>45771.55361111111</v>
      </c>
      <c r="C957" s="1" t="n">
        <v>45936</v>
      </c>
      <c r="D957" t="inlineStr">
        <is>
          <t>VÄRMLANDS LÄN</t>
        </is>
      </c>
      <c r="E957" t="inlineStr">
        <is>
          <t>TORSBY</t>
        </is>
      </c>
      <c r="G957" t="n">
        <v>4.2</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45936</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38143-2025</t>
        </is>
      </c>
      <c r="B959" s="1" t="n">
        <v>45882</v>
      </c>
      <c r="C959" s="1" t="n">
        <v>45936</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16017-2025</t>
        </is>
      </c>
      <c r="B960" s="1" t="n">
        <v>45749</v>
      </c>
      <c r="C960" s="1" t="n">
        <v>45936</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11776-2024</t>
        </is>
      </c>
      <c r="B961" s="1" t="n">
        <v>45374</v>
      </c>
      <c r="C961" s="1" t="n">
        <v>45936</v>
      </c>
      <c r="D961" t="inlineStr">
        <is>
          <t>VÄRMLANDS LÄN</t>
        </is>
      </c>
      <c r="E961" t="inlineStr">
        <is>
          <t>TORSBY</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2616-2025</t>
        </is>
      </c>
      <c r="B962" s="1" t="n">
        <v>45675</v>
      </c>
      <c r="C962" s="1" t="n">
        <v>45936</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40009-2022</t>
        </is>
      </c>
      <c r="B963" s="1" t="n">
        <v>44820</v>
      </c>
      <c r="C963" s="1" t="n">
        <v>45936</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14026-2025</t>
        </is>
      </c>
      <c r="B964" s="1" t="n">
        <v>45740.35003472222</v>
      </c>
      <c r="C964" s="1" t="n">
        <v>45936</v>
      </c>
      <c r="D964" t="inlineStr">
        <is>
          <t>VÄRMLANDS LÄN</t>
        </is>
      </c>
      <c r="E964" t="inlineStr">
        <is>
          <t>TORSBY</t>
        </is>
      </c>
      <c r="G964" t="n">
        <v>5.7</v>
      </c>
      <c r="H964" t="n">
        <v>0</v>
      </c>
      <c r="I964" t="n">
        <v>0</v>
      </c>
      <c r="J964" t="n">
        <v>0</v>
      </c>
      <c r="K964" t="n">
        <v>0</v>
      </c>
      <c r="L964" t="n">
        <v>0</v>
      </c>
      <c r="M964" t="n">
        <v>0</v>
      </c>
      <c r="N964" t="n">
        <v>0</v>
      </c>
      <c r="O964" t="n">
        <v>0</v>
      </c>
      <c r="P964" t="n">
        <v>0</v>
      </c>
      <c r="Q964" t="n">
        <v>0</v>
      </c>
      <c r="R964" s="2" t="inlineStr"/>
    </row>
    <row r="965" ht="15" customHeight="1">
      <c r="A965" t="inlineStr">
        <is>
          <t>A 61753-2020</t>
        </is>
      </c>
      <c r="B965" s="1" t="n">
        <v>44158</v>
      </c>
      <c r="C965" s="1" t="n">
        <v>45936</v>
      </c>
      <c r="D965" t="inlineStr">
        <is>
          <t>VÄRMLANDS LÄN</t>
        </is>
      </c>
      <c r="E965" t="inlineStr">
        <is>
          <t>TORSBY</t>
        </is>
      </c>
      <c r="G965" t="n">
        <v>2.2</v>
      </c>
      <c r="H965" t="n">
        <v>0</v>
      </c>
      <c r="I965" t="n">
        <v>0</v>
      </c>
      <c r="J965" t="n">
        <v>0</v>
      </c>
      <c r="K965" t="n">
        <v>0</v>
      </c>
      <c r="L965" t="n">
        <v>0</v>
      </c>
      <c r="M965" t="n">
        <v>0</v>
      </c>
      <c r="N965" t="n">
        <v>0</v>
      </c>
      <c r="O965" t="n">
        <v>0</v>
      </c>
      <c r="P965" t="n">
        <v>0</v>
      </c>
      <c r="Q965" t="n">
        <v>0</v>
      </c>
      <c r="R965" s="2" t="inlineStr"/>
    </row>
    <row r="966" ht="15" customHeight="1">
      <c r="A966" t="inlineStr">
        <is>
          <t>A 51144-2023</t>
        </is>
      </c>
      <c r="B966" s="1" t="n">
        <v>45212</v>
      </c>
      <c r="C966" s="1" t="n">
        <v>45936</v>
      </c>
      <c r="D966" t="inlineStr">
        <is>
          <t>VÄRMLANDS LÄN</t>
        </is>
      </c>
      <c r="E966" t="inlineStr">
        <is>
          <t>TORSBY</t>
        </is>
      </c>
      <c r="G966" t="n">
        <v>7.3</v>
      </c>
      <c r="H966" t="n">
        <v>0</v>
      </c>
      <c r="I966" t="n">
        <v>0</v>
      </c>
      <c r="J966" t="n">
        <v>0</v>
      </c>
      <c r="K966" t="n">
        <v>0</v>
      </c>
      <c r="L966" t="n">
        <v>0</v>
      </c>
      <c r="M966" t="n">
        <v>0</v>
      </c>
      <c r="N966" t="n">
        <v>0</v>
      </c>
      <c r="O966" t="n">
        <v>0</v>
      </c>
      <c r="P966" t="n">
        <v>0</v>
      </c>
      <c r="Q966" t="n">
        <v>0</v>
      </c>
      <c r="R966" s="2" t="inlineStr"/>
    </row>
    <row r="967" ht="15" customHeight="1">
      <c r="A967" t="inlineStr">
        <is>
          <t>A 39215-2022</t>
        </is>
      </c>
      <c r="B967" s="1" t="n">
        <v>44817</v>
      </c>
      <c r="C967" s="1" t="n">
        <v>45936</v>
      </c>
      <c r="D967" t="inlineStr">
        <is>
          <t>VÄRMLANDS LÄN</t>
        </is>
      </c>
      <c r="E967" t="inlineStr">
        <is>
          <t>TORSBY</t>
        </is>
      </c>
      <c r="G967" t="n">
        <v>3.8</v>
      </c>
      <c r="H967" t="n">
        <v>0</v>
      </c>
      <c r="I967" t="n">
        <v>0</v>
      </c>
      <c r="J967" t="n">
        <v>0</v>
      </c>
      <c r="K967" t="n">
        <v>0</v>
      </c>
      <c r="L967" t="n">
        <v>0</v>
      </c>
      <c r="M967" t="n">
        <v>0</v>
      </c>
      <c r="N967" t="n">
        <v>0</v>
      </c>
      <c r="O967" t="n">
        <v>0</v>
      </c>
      <c r="P967" t="n">
        <v>0</v>
      </c>
      <c r="Q967" t="n">
        <v>0</v>
      </c>
      <c r="R967" s="2" t="inlineStr"/>
    </row>
    <row r="968" ht="15" customHeight="1">
      <c r="A968" t="inlineStr">
        <is>
          <t>A 18480-2025</t>
        </is>
      </c>
      <c r="B968" s="1" t="n">
        <v>45762.9171412037</v>
      </c>
      <c r="C968" s="1" t="n">
        <v>45936</v>
      </c>
      <c r="D968" t="inlineStr">
        <is>
          <t>VÄRMLANDS LÄN</t>
        </is>
      </c>
      <c r="E968" t="inlineStr">
        <is>
          <t>TORSBY</t>
        </is>
      </c>
      <c r="G968" t="n">
        <v>2.8</v>
      </c>
      <c r="H968" t="n">
        <v>0</v>
      </c>
      <c r="I968" t="n">
        <v>0</v>
      </c>
      <c r="J968" t="n">
        <v>0</v>
      </c>
      <c r="K968" t="n">
        <v>0</v>
      </c>
      <c r="L968" t="n">
        <v>0</v>
      </c>
      <c r="M968" t="n">
        <v>0</v>
      </c>
      <c r="N968" t="n">
        <v>0</v>
      </c>
      <c r="O968" t="n">
        <v>0</v>
      </c>
      <c r="P968" t="n">
        <v>0</v>
      </c>
      <c r="Q968" t="n">
        <v>0</v>
      </c>
      <c r="R968" s="2" t="inlineStr"/>
    </row>
    <row r="969" ht="15" customHeight="1">
      <c r="A969" t="inlineStr">
        <is>
          <t>A 39216-2022</t>
        </is>
      </c>
      <c r="B969" s="1" t="n">
        <v>44817</v>
      </c>
      <c r="C969" s="1" t="n">
        <v>45936</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10579-2021</t>
        </is>
      </c>
      <c r="B970" s="1" t="n">
        <v>44257</v>
      </c>
      <c r="C970" s="1" t="n">
        <v>45936</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35609-2024</t>
        </is>
      </c>
      <c r="B971" s="1" t="n">
        <v>45531.68758101852</v>
      </c>
      <c r="C971" s="1" t="n">
        <v>45936</v>
      </c>
      <c r="D971" t="inlineStr">
        <is>
          <t>VÄRMLANDS LÄN</t>
        </is>
      </c>
      <c r="E971" t="inlineStr">
        <is>
          <t>TORSBY</t>
        </is>
      </c>
      <c r="G971" t="n">
        <v>38.3</v>
      </c>
      <c r="H971" t="n">
        <v>0</v>
      </c>
      <c r="I971" t="n">
        <v>0</v>
      </c>
      <c r="J971" t="n">
        <v>0</v>
      </c>
      <c r="K971" t="n">
        <v>0</v>
      </c>
      <c r="L971" t="n">
        <v>0</v>
      </c>
      <c r="M971" t="n">
        <v>0</v>
      </c>
      <c r="N971" t="n">
        <v>0</v>
      </c>
      <c r="O971" t="n">
        <v>0</v>
      </c>
      <c r="P971" t="n">
        <v>0</v>
      </c>
      <c r="Q971" t="n">
        <v>0</v>
      </c>
      <c r="R971" s="2" t="inlineStr"/>
    </row>
    <row r="972" ht="15" customHeight="1">
      <c r="A972" t="inlineStr">
        <is>
          <t>A 32747-2021</t>
        </is>
      </c>
      <c r="B972" s="1" t="n">
        <v>44375</v>
      </c>
      <c r="C972" s="1" t="n">
        <v>45936</v>
      </c>
      <c r="D972" t="inlineStr">
        <is>
          <t>VÄRMLANDS LÄN</t>
        </is>
      </c>
      <c r="E972" t="inlineStr">
        <is>
          <t>TORSBY</t>
        </is>
      </c>
      <c r="G972" t="n">
        <v>6.3</v>
      </c>
      <c r="H972" t="n">
        <v>0</v>
      </c>
      <c r="I972" t="n">
        <v>0</v>
      </c>
      <c r="J972" t="n">
        <v>0</v>
      </c>
      <c r="K972" t="n">
        <v>0</v>
      </c>
      <c r="L972" t="n">
        <v>0</v>
      </c>
      <c r="M972" t="n">
        <v>0</v>
      </c>
      <c r="N972" t="n">
        <v>0</v>
      </c>
      <c r="O972" t="n">
        <v>0</v>
      </c>
      <c r="P972" t="n">
        <v>0</v>
      </c>
      <c r="Q972" t="n">
        <v>0</v>
      </c>
      <c r="R972" s="2" t="inlineStr"/>
    </row>
    <row r="973" ht="15" customHeight="1">
      <c r="A973" t="inlineStr">
        <is>
          <t>A 61428-2022</t>
        </is>
      </c>
      <c r="B973" s="1" t="n">
        <v>44910</v>
      </c>
      <c r="C973" s="1" t="n">
        <v>45936</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61432-2022</t>
        </is>
      </c>
      <c r="B974" s="1" t="n">
        <v>44910</v>
      </c>
      <c r="C974" s="1" t="n">
        <v>45936</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9286-2025</t>
        </is>
      </c>
      <c r="B975" s="1" t="n">
        <v>45714</v>
      </c>
      <c r="C975" s="1" t="n">
        <v>45936</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15488-2023</t>
        </is>
      </c>
      <c r="B976" s="1" t="n">
        <v>45020</v>
      </c>
      <c r="C976" s="1" t="n">
        <v>45936</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56473-2022</t>
        </is>
      </c>
      <c r="B977" s="1" t="n">
        <v>44893</v>
      </c>
      <c r="C977" s="1" t="n">
        <v>45936</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43248-2022</t>
        </is>
      </c>
      <c r="B978" s="1" t="n">
        <v>44834</v>
      </c>
      <c r="C978" s="1" t="n">
        <v>45936</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56098-2024</t>
        </is>
      </c>
      <c r="B979" s="1" t="n">
        <v>45624.42371527778</v>
      </c>
      <c r="C979" s="1" t="n">
        <v>45936</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45936</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46471-2024</t>
        </is>
      </c>
      <c r="B981" s="1" t="n">
        <v>45582.5517824074</v>
      </c>
      <c r="C981" s="1" t="n">
        <v>45936</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38286-2023</t>
        </is>
      </c>
      <c r="B982" s="1" t="n">
        <v>45161.63807870371</v>
      </c>
      <c r="C982" s="1" t="n">
        <v>45936</v>
      </c>
      <c r="D982" t="inlineStr">
        <is>
          <t>VÄRMLANDS LÄN</t>
        </is>
      </c>
      <c r="E982" t="inlineStr">
        <is>
          <t>TORSBY</t>
        </is>
      </c>
      <c r="F982" t="inlineStr">
        <is>
          <t>Kyrkan</t>
        </is>
      </c>
      <c r="G982" t="n">
        <v>6.5</v>
      </c>
      <c r="H982" t="n">
        <v>0</v>
      </c>
      <c r="I982" t="n">
        <v>0</v>
      </c>
      <c r="J982" t="n">
        <v>0</v>
      </c>
      <c r="K982" t="n">
        <v>0</v>
      </c>
      <c r="L982" t="n">
        <v>0</v>
      </c>
      <c r="M982" t="n">
        <v>0</v>
      </c>
      <c r="N982" t="n">
        <v>0</v>
      </c>
      <c r="O982" t="n">
        <v>0</v>
      </c>
      <c r="P982" t="n">
        <v>0</v>
      </c>
      <c r="Q982" t="n">
        <v>0</v>
      </c>
      <c r="R982" s="2" t="inlineStr"/>
    </row>
    <row r="983" ht="15" customHeight="1">
      <c r="A983" t="inlineStr">
        <is>
          <t>A 16362-2025</t>
        </is>
      </c>
      <c r="B983" s="1" t="n">
        <v>45751</v>
      </c>
      <c r="C983" s="1" t="n">
        <v>45936</v>
      </c>
      <c r="D983" t="inlineStr">
        <is>
          <t>VÄRMLANDS LÄN</t>
        </is>
      </c>
      <c r="E983" t="inlineStr">
        <is>
          <t>TORSBY</t>
        </is>
      </c>
      <c r="G983" t="n">
        <v>2.7</v>
      </c>
      <c r="H983" t="n">
        <v>0</v>
      </c>
      <c r="I983" t="n">
        <v>0</v>
      </c>
      <c r="J983" t="n">
        <v>0</v>
      </c>
      <c r="K983" t="n">
        <v>0</v>
      </c>
      <c r="L983" t="n">
        <v>0</v>
      </c>
      <c r="M983" t="n">
        <v>0</v>
      </c>
      <c r="N983" t="n">
        <v>0</v>
      </c>
      <c r="O983" t="n">
        <v>0</v>
      </c>
      <c r="P983" t="n">
        <v>0</v>
      </c>
      <c r="Q983" t="n">
        <v>0</v>
      </c>
      <c r="R983" s="2" t="inlineStr"/>
    </row>
    <row r="984" ht="15" customHeight="1">
      <c r="A984" t="inlineStr">
        <is>
          <t>A 18855-2024</t>
        </is>
      </c>
      <c r="B984" s="1" t="n">
        <v>45426.73634259259</v>
      </c>
      <c r="C984" s="1" t="n">
        <v>45936</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43732-2022</t>
        </is>
      </c>
      <c r="B985" s="1" t="n">
        <v>44837.69357638889</v>
      </c>
      <c r="C985" s="1" t="n">
        <v>45936</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15052-2024</t>
        </is>
      </c>
      <c r="B986" s="1" t="n">
        <v>45399.52613425926</v>
      </c>
      <c r="C986" s="1" t="n">
        <v>45936</v>
      </c>
      <c r="D986" t="inlineStr">
        <is>
          <t>VÄRMLANDS LÄN</t>
        </is>
      </c>
      <c r="E986" t="inlineStr">
        <is>
          <t>TORSBY</t>
        </is>
      </c>
      <c r="G986" t="n">
        <v>1.9</v>
      </c>
      <c r="H986" t="n">
        <v>0</v>
      </c>
      <c r="I986" t="n">
        <v>0</v>
      </c>
      <c r="J986" t="n">
        <v>0</v>
      </c>
      <c r="K986" t="n">
        <v>0</v>
      </c>
      <c r="L986" t="n">
        <v>0</v>
      </c>
      <c r="M986" t="n">
        <v>0</v>
      </c>
      <c r="N986" t="n">
        <v>0</v>
      </c>
      <c r="O986" t="n">
        <v>0</v>
      </c>
      <c r="P986" t="n">
        <v>0</v>
      </c>
      <c r="Q986" t="n">
        <v>0</v>
      </c>
      <c r="R986" s="2" t="inlineStr"/>
    </row>
    <row r="987" ht="15" customHeight="1">
      <c r="A987" t="inlineStr">
        <is>
          <t>A 19787-2025</t>
        </is>
      </c>
      <c r="B987" s="1" t="n">
        <v>45771.4408912037</v>
      </c>
      <c r="C987" s="1" t="n">
        <v>45936</v>
      </c>
      <c r="D987" t="inlineStr">
        <is>
          <t>VÄRMLANDS LÄN</t>
        </is>
      </c>
      <c r="E987" t="inlineStr">
        <is>
          <t>TORSBY</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49298-2024</t>
        </is>
      </c>
      <c r="B988" s="1" t="n">
        <v>45595.54357638889</v>
      </c>
      <c r="C988" s="1" t="n">
        <v>45936</v>
      </c>
      <c r="D988" t="inlineStr">
        <is>
          <t>VÄRMLANDS LÄN</t>
        </is>
      </c>
      <c r="E988" t="inlineStr">
        <is>
          <t>TORSBY</t>
        </is>
      </c>
      <c r="G988" t="n">
        <v>3.9</v>
      </c>
      <c r="H988" t="n">
        <v>0</v>
      </c>
      <c r="I988" t="n">
        <v>0</v>
      </c>
      <c r="J988" t="n">
        <v>0</v>
      </c>
      <c r="K988" t="n">
        <v>0</v>
      </c>
      <c r="L988" t="n">
        <v>0</v>
      </c>
      <c r="M988" t="n">
        <v>0</v>
      </c>
      <c r="N988" t="n">
        <v>0</v>
      </c>
      <c r="O988" t="n">
        <v>0</v>
      </c>
      <c r="P988" t="n">
        <v>0</v>
      </c>
      <c r="Q988" t="n">
        <v>0</v>
      </c>
      <c r="R988" s="2" t="inlineStr"/>
    </row>
    <row r="989" ht="15" customHeight="1">
      <c r="A989" t="inlineStr">
        <is>
          <t>A 20321-2023</t>
        </is>
      </c>
      <c r="B989" s="1" t="n">
        <v>45056.45232638889</v>
      </c>
      <c r="C989" s="1" t="n">
        <v>45936</v>
      </c>
      <c r="D989" t="inlineStr">
        <is>
          <t>VÄRMLANDS LÄN</t>
        </is>
      </c>
      <c r="E989" t="inlineStr">
        <is>
          <t>TORSBY</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5814-2024</t>
        </is>
      </c>
      <c r="B990" s="1" t="n">
        <v>45335</v>
      </c>
      <c r="C990" s="1" t="n">
        <v>45936</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35132-2022</t>
        </is>
      </c>
      <c r="B991" s="1" t="n">
        <v>44797</v>
      </c>
      <c r="C991" s="1" t="n">
        <v>45936</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17941-2021</t>
        </is>
      </c>
      <c r="B992" s="1" t="n">
        <v>44301</v>
      </c>
      <c r="C992" s="1" t="n">
        <v>45936</v>
      </c>
      <c r="D992" t="inlineStr">
        <is>
          <t>VÄRMLANDS LÄN</t>
        </is>
      </c>
      <c r="E992" t="inlineStr">
        <is>
          <t>TORSBY</t>
        </is>
      </c>
      <c r="F992" t="inlineStr">
        <is>
          <t>Kommuner</t>
        </is>
      </c>
      <c r="G992" t="n">
        <v>8</v>
      </c>
      <c r="H992" t="n">
        <v>0</v>
      </c>
      <c r="I992" t="n">
        <v>0</v>
      </c>
      <c r="J992" t="n">
        <v>0</v>
      </c>
      <c r="K992" t="n">
        <v>0</v>
      </c>
      <c r="L992" t="n">
        <v>0</v>
      </c>
      <c r="M992" t="n">
        <v>0</v>
      </c>
      <c r="N992" t="n">
        <v>0</v>
      </c>
      <c r="O992" t="n">
        <v>0</v>
      </c>
      <c r="P992" t="n">
        <v>0</v>
      </c>
      <c r="Q992" t="n">
        <v>0</v>
      </c>
      <c r="R992" s="2" t="inlineStr"/>
    </row>
    <row r="993" ht="15" customHeight="1">
      <c r="A993" t="inlineStr">
        <is>
          <t>A 68153-2021</t>
        </is>
      </c>
      <c r="B993" s="1" t="n">
        <v>44526.43881944445</v>
      </c>
      <c r="C993" s="1" t="n">
        <v>45936</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1040-2024</t>
        </is>
      </c>
      <c r="B994" s="1" t="n">
        <v>45301</v>
      </c>
      <c r="C994" s="1" t="n">
        <v>45936</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3409-2025</t>
        </is>
      </c>
      <c r="B995" s="1" t="n">
        <v>45680.39391203703</v>
      </c>
      <c r="C995" s="1" t="n">
        <v>45936</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14303-2023</t>
        </is>
      </c>
      <c r="B996" s="1" t="n">
        <v>45011.75886574074</v>
      </c>
      <c r="C996" s="1" t="n">
        <v>45936</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21828-2024</t>
        </is>
      </c>
      <c r="B997" s="1" t="n">
        <v>45442</v>
      </c>
      <c r="C997" s="1" t="n">
        <v>45936</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10589-2024</t>
        </is>
      </c>
      <c r="B998" s="1" t="n">
        <v>45366</v>
      </c>
      <c r="C998" s="1" t="n">
        <v>45936</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38662-2025</t>
        </is>
      </c>
      <c r="B999" s="1" t="n">
        <v>45884.61193287037</v>
      </c>
      <c r="C999" s="1" t="n">
        <v>45936</v>
      </c>
      <c r="D999" t="inlineStr">
        <is>
          <t>VÄRMLANDS LÄN</t>
        </is>
      </c>
      <c r="E999" t="inlineStr">
        <is>
          <t>TORSBY</t>
        </is>
      </c>
      <c r="F999" t="inlineStr">
        <is>
          <t>Bergvik skog väst AB</t>
        </is>
      </c>
      <c r="G999" t="n">
        <v>5.1</v>
      </c>
      <c r="H999" t="n">
        <v>0</v>
      </c>
      <c r="I999" t="n">
        <v>0</v>
      </c>
      <c r="J999" t="n">
        <v>0</v>
      </c>
      <c r="K999" t="n">
        <v>0</v>
      </c>
      <c r="L999" t="n">
        <v>0</v>
      </c>
      <c r="M999" t="n">
        <v>0</v>
      </c>
      <c r="N999" t="n">
        <v>0</v>
      </c>
      <c r="O999" t="n">
        <v>0</v>
      </c>
      <c r="P999" t="n">
        <v>0</v>
      </c>
      <c r="Q999" t="n">
        <v>0</v>
      </c>
      <c r="R999" s="2" t="inlineStr"/>
    </row>
    <row r="1000" ht="15" customHeight="1">
      <c r="A1000" t="inlineStr">
        <is>
          <t>A 17153-2025</t>
        </is>
      </c>
      <c r="B1000" s="1" t="n">
        <v>45756</v>
      </c>
      <c r="C1000" s="1" t="n">
        <v>45936</v>
      </c>
      <c r="D1000" t="inlineStr">
        <is>
          <t>VÄRMLANDS LÄN</t>
        </is>
      </c>
      <c r="E1000" t="inlineStr">
        <is>
          <t>TORSBY</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40858-2023</t>
        </is>
      </c>
      <c r="B1001" s="1" t="n">
        <v>45173.34709490741</v>
      </c>
      <c r="C1001" s="1" t="n">
        <v>45936</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21587-2024</t>
        </is>
      </c>
      <c r="B1002" s="1" t="n">
        <v>45441</v>
      </c>
      <c r="C1002" s="1" t="n">
        <v>45936</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17001-2024</t>
        </is>
      </c>
      <c r="B1003" s="1" t="n">
        <v>45412.35605324074</v>
      </c>
      <c r="C1003" s="1" t="n">
        <v>45936</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47452-2024</t>
        </is>
      </c>
      <c r="B1004" s="1" t="n">
        <v>45587</v>
      </c>
      <c r="C1004" s="1" t="n">
        <v>45936</v>
      </c>
      <c r="D1004" t="inlineStr">
        <is>
          <t>VÄRMLANDS LÄN</t>
        </is>
      </c>
      <c r="E1004" t="inlineStr">
        <is>
          <t>TORSBY</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17018-2025</t>
        </is>
      </c>
      <c r="B1005" s="1" t="n">
        <v>45755</v>
      </c>
      <c r="C1005" s="1" t="n">
        <v>45936</v>
      </c>
      <c r="D1005" t="inlineStr">
        <is>
          <t>VÄRMLANDS LÄN</t>
        </is>
      </c>
      <c r="E1005" t="inlineStr">
        <is>
          <t>TORSBY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41671-2021</t>
        </is>
      </c>
      <c r="B1006" s="1" t="n">
        <v>44425</v>
      </c>
      <c r="C1006" s="1" t="n">
        <v>45936</v>
      </c>
      <c r="D1006" t="inlineStr">
        <is>
          <t>VÄRMLANDS LÄN</t>
        </is>
      </c>
      <c r="E1006" t="inlineStr">
        <is>
          <t>TORSBY</t>
        </is>
      </c>
      <c r="F1006" t="inlineStr">
        <is>
          <t>Övriga Aktiebolag</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58707-2024</t>
        </is>
      </c>
      <c r="B1007" s="1" t="n">
        <v>45635</v>
      </c>
      <c r="C1007" s="1" t="n">
        <v>45936</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29042-2023</t>
        </is>
      </c>
      <c r="B1008" s="1" t="n">
        <v>45104</v>
      </c>
      <c r="C1008" s="1" t="n">
        <v>45936</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34534-2024</t>
        </is>
      </c>
      <c r="B1009" s="1" t="n">
        <v>45525</v>
      </c>
      <c r="C1009" s="1" t="n">
        <v>45936</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39069-2022</t>
        </is>
      </c>
      <c r="B1010" s="1" t="n">
        <v>44816</v>
      </c>
      <c r="C1010" s="1" t="n">
        <v>45936</v>
      </c>
      <c r="D1010" t="inlineStr">
        <is>
          <t>VÄRMLANDS LÄN</t>
        </is>
      </c>
      <c r="E1010" t="inlineStr">
        <is>
          <t>TORSBY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40788-2022</t>
        </is>
      </c>
      <c r="B1011" s="1" t="n">
        <v>44824</v>
      </c>
      <c r="C1011" s="1" t="n">
        <v>45936</v>
      </c>
      <c r="D1011" t="inlineStr">
        <is>
          <t>VÄRMLANDS LÄN</t>
        </is>
      </c>
      <c r="E1011" t="inlineStr">
        <is>
          <t>TORSBY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235-2024</t>
        </is>
      </c>
      <c r="B1012" s="1" t="n">
        <v>45294.85100694445</v>
      </c>
      <c r="C1012" s="1" t="n">
        <v>45936</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52483-2022</t>
        </is>
      </c>
      <c r="B1013" s="1" t="n">
        <v>44874.48637731482</v>
      </c>
      <c r="C1013" s="1" t="n">
        <v>45936</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13191-2025</t>
        </is>
      </c>
      <c r="B1014" s="1" t="n">
        <v>45735.40501157408</v>
      </c>
      <c r="C1014" s="1" t="n">
        <v>45936</v>
      </c>
      <c r="D1014" t="inlineStr">
        <is>
          <t>VÄRMLANDS LÄN</t>
        </is>
      </c>
      <c r="E1014" t="inlineStr">
        <is>
          <t>TORSBY</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48762-2023</t>
        </is>
      </c>
      <c r="B1015" s="1" t="n">
        <v>45208</v>
      </c>
      <c r="C1015" s="1" t="n">
        <v>45936</v>
      </c>
      <c r="D1015" t="inlineStr">
        <is>
          <t>VÄRMLANDS LÄN</t>
        </is>
      </c>
      <c r="E1015" t="inlineStr">
        <is>
          <t>TORSBY</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51661-2024</t>
        </is>
      </c>
      <c r="B1016" s="1" t="n">
        <v>45606.74392361111</v>
      </c>
      <c r="C1016" s="1" t="n">
        <v>45936</v>
      </c>
      <c r="D1016" t="inlineStr">
        <is>
          <t>VÄRMLANDS LÄN</t>
        </is>
      </c>
      <c r="E1016" t="inlineStr">
        <is>
          <t>TORSBY</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51663-2024</t>
        </is>
      </c>
      <c r="B1017" s="1" t="n">
        <v>45606.76396990741</v>
      </c>
      <c r="C1017" s="1" t="n">
        <v>45936</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33133-2024</t>
        </is>
      </c>
      <c r="B1018" s="1" t="n">
        <v>45518.31722222222</v>
      </c>
      <c r="C1018" s="1" t="n">
        <v>45936</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4537-2025</t>
        </is>
      </c>
      <c r="B1019" s="1" t="n">
        <v>45687.38836805556</v>
      </c>
      <c r="C1019" s="1" t="n">
        <v>45936</v>
      </c>
      <c r="D1019" t="inlineStr">
        <is>
          <t>VÄRMLANDS LÄN</t>
        </is>
      </c>
      <c r="E1019" t="inlineStr">
        <is>
          <t>TORSBY</t>
        </is>
      </c>
      <c r="F1019" t="inlineStr">
        <is>
          <t>Kommuner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38979-2023</t>
        </is>
      </c>
      <c r="B1020" s="1" t="n">
        <v>45163.64584490741</v>
      </c>
      <c r="C1020" s="1" t="n">
        <v>45936</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14162-2025</t>
        </is>
      </c>
      <c r="B1021" s="1" t="n">
        <v>45740</v>
      </c>
      <c r="C1021" s="1" t="n">
        <v>45936</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4640-2022</t>
        </is>
      </c>
      <c r="B1022" s="1" t="n">
        <v>44592</v>
      </c>
      <c r="C1022" s="1" t="n">
        <v>45936</v>
      </c>
      <c r="D1022" t="inlineStr">
        <is>
          <t>VÄRMLANDS LÄN</t>
        </is>
      </c>
      <c r="E1022" t="inlineStr">
        <is>
          <t>TORSBY</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54796-2024</t>
        </is>
      </c>
      <c r="B1023" s="1" t="n">
        <v>45618</v>
      </c>
      <c r="C1023" s="1" t="n">
        <v>45936</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3098-2023</t>
        </is>
      </c>
      <c r="B1024" s="1" t="n">
        <v>44946.46096064815</v>
      </c>
      <c r="C1024" s="1" t="n">
        <v>45936</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3103-2023</t>
        </is>
      </c>
      <c r="B1025" s="1" t="n">
        <v>44946</v>
      </c>
      <c r="C1025" s="1" t="n">
        <v>45936</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35107-2024</t>
        </is>
      </c>
      <c r="B1026" s="1" t="n">
        <v>45529.5588425926</v>
      </c>
      <c r="C1026" s="1" t="n">
        <v>45936</v>
      </c>
      <c r="D1026" t="inlineStr">
        <is>
          <t>VÄRMLANDS LÄN</t>
        </is>
      </c>
      <c r="E1026" t="inlineStr">
        <is>
          <t>TORSBY</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43545-2024</t>
        </is>
      </c>
      <c r="B1027" s="1" t="n">
        <v>45569.36980324074</v>
      </c>
      <c r="C1027" s="1" t="n">
        <v>45936</v>
      </c>
      <c r="D1027" t="inlineStr">
        <is>
          <t>VÄRMLANDS LÄN</t>
        </is>
      </c>
      <c r="E1027" t="inlineStr">
        <is>
          <t>TORSBY</t>
        </is>
      </c>
      <c r="F1027" t="inlineStr">
        <is>
          <t>Bergvik skog väst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21365-2023</t>
        </is>
      </c>
      <c r="B1028" s="1" t="n">
        <v>45063.26761574074</v>
      </c>
      <c r="C1028" s="1" t="n">
        <v>45936</v>
      </c>
      <c r="D1028" t="inlineStr">
        <is>
          <t>VÄRMLANDS LÄN</t>
        </is>
      </c>
      <c r="E1028" t="inlineStr">
        <is>
          <t>TORSBY</t>
        </is>
      </c>
      <c r="F1028" t="inlineStr">
        <is>
          <t>Kyrkan</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38795-2025</t>
        </is>
      </c>
      <c r="B1029" s="1" t="n">
        <v>45887</v>
      </c>
      <c r="C1029" s="1" t="n">
        <v>45936</v>
      </c>
      <c r="D1029" t="inlineStr">
        <is>
          <t>VÄRMLANDS LÄN</t>
        </is>
      </c>
      <c r="E1029" t="inlineStr">
        <is>
          <t>TORSBY</t>
        </is>
      </c>
      <c r="F1029" t="inlineStr">
        <is>
          <t>Bergvik skog väst AB</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38062-2024</t>
        </is>
      </c>
      <c r="B1030" s="1" t="n">
        <v>45544</v>
      </c>
      <c r="C1030" s="1" t="n">
        <v>45936</v>
      </c>
      <c r="D1030" t="inlineStr">
        <is>
          <t>VÄRMLANDS LÄN</t>
        </is>
      </c>
      <c r="E1030" t="inlineStr">
        <is>
          <t>TORSBY</t>
        </is>
      </c>
      <c r="F1030" t="inlineStr">
        <is>
          <t>Bergvik skog väst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52750-2024</t>
        </is>
      </c>
      <c r="B1031" s="1" t="n">
        <v>45610</v>
      </c>
      <c r="C1031" s="1" t="n">
        <v>45936</v>
      </c>
      <c r="D1031" t="inlineStr">
        <is>
          <t>VÄRMLANDS LÄN</t>
        </is>
      </c>
      <c r="E1031" t="inlineStr">
        <is>
          <t>TORSBY</t>
        </is>
      </c>
      <c r="F1031" t="inlineStr">
        <is>
          <t>Kyrkan</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19527-2023</t>
        </is>
      </c>
      <c r="B1032" s="1" t="n">
        <v>45050</v>
      </c>
      <c r="C1032" s="1" t="n">
        <v>45936</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57721-2022</t>
        </is>
      </c>
      <c r="B1033" s="1" t="n">
        <v>44897.55278935185</v>
      </c>
      <c r="C1033" s="1" t="n">
        <v>45936</v>
      </c>
      <c r="D1033" t="inlineStr">
        <is>
          <t>VÄRMLANDS LÄN</t>
        </is>
      </c>
      <c r="E1033" t="inlineStr">
        <is>
          <t>TORSBY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24708-2024</t>
        </is>
      </c>
      <c r="B1034" s="1" t="n">
        <v>45460</v>
      </c>
      <c r="C1034" s="1" t="n">
        <v>45936</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4236-2023</t>
        </is>
      </c>
      <c r="B1035" s="1" t="n">
        <v>44953.48950231481</v>
      </c>
      <c r="C1035" s="1" t="n">
        <v>45936</v>
      </c>
      <c r="D1035" t="inlineStr">
        <is>
          <t>VÄRMLANDS LÄN</t>
        </is>
      </c>
      <c r="E1035" t="inlineStr">
        <is>
          <t>TORSBY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4250-2023</t>
        </is>
      </c>
      <c r="B1036" s="1" t="n">
        <v>44953.51747685186</v>
      </c>
      <c r="C1036" s="1" t="n">
        <v>45936</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24995-2024</t>
        </is>
      </c>
      <c r="B1037" s="1" t="n">
        <v>45461</v>
      </c>
      <c r="C1037" s="1" t="n">
        <v>45936</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2506-2025</t>
        </is>
      </c>
      <c r="B1038" s="1" t="n">
        <v>45674</v>
      </c>
      <c r="C1038" s="1" t="n">
        <v>45936</v>
      </c>
      <c r="D1038" t="inlineStr">
        <is>
          <t>VÄRMLANDS LÄN</t>
        </is>
      </c>
      <c r="E1038" t="inlineStr">
        <is>
          <t>TORSBY</t>
        </is>
      </c>
      <c r="F1038" t="inlineStr">
        <is>
          <t>Bergvik skog väst AB</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29256-2023</t>
        </is>
      </c>
      <c r="B1039" s="1" t="n">
        <v>45105.65310185185</v>
      </c>
      <c r="C1039" s="1" t="n">
        <v>45936</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46658-2025</t>
        </is>
      </c>
      <c r="B1040" s="1" t="n">
        <v>45926.49914351852</v>
      </c>
      <c r="C1040" s="1" t="n">
        <v>45936</v>
      </c>
      <c r="D1040" t="inlineStr">
        <is>
          <t>VÄRMLANDS LÄN</t>
        </is>
      </c>
      <c r="E1040" t="inlineStr">
        <is>
          <t>TORSBY</t>
        </is>
      </c>
      <c r="F1040" t="inlineStr">
        <is>
          <t>Bergvik skog väst AB</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44756.73530092592</v>
      </c>
      <c r="C1041" s="1" t="n">
        <v>45936</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731-2024</t>
        </is>
      </c>
      <c r="B1042" s="1" t="n">
        <v>45300</v>
      </c>
      <c r="C1042" s="1" t="n">
        <v>45936</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44710-2025</t>
        </is>
      </c>
      <c r="B1043" s="1" t="n">
        <v>45917.61743055555</v>
      </c>
      <c r="C1043" s="1" t="n">
        <v>45936</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18308-2024</t>
        </is>
      </c>
      <c r="B1044" s="1" t="n">
        <v>45422</v>
      </c>
      <c r="C1044" s="1" t="n">
        <v>45936</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25355-2024</t>
        </is>
      </c>
      <c r="B1045" s="1" t="n">
        <v>45462.92868055555</v>
      </c>
      <c r="C1045" s="1" t="n">
        <v>45936</v>
      </c>
      <c r="D1045" t="inlineStr">
        <is>
          <t>VÄRMLANDS LÄN</t>
        </is>
      </c>
      <c r="E1045" t="inlineStr">
        <is>
          <t>TORSBY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38771-2025</t>
        </is>
      </c>
      <c r="B1046" s="1" t="n">
        <v>45887</v>
      </c>
      <c r="C1046" s="1" t="n">
        <v>45936</v>
      </c>
      <c r="D1046" t="inlineStr">
        <is>
          <t>VÄRMLANDS LÄN</t>
        </is>
      </c>
      <c r="E1046" t="inlineStr">
        <is>
          <t>TORSBY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60710-2024</t>
        </is>
      </c>
      <c r="B1047" s="1" t="n">
        <v>45643</v>
      </c>
      <c r="C1047" s="1" t="n">
        <v>45936</v>
      </c>
      <c r="D1047" t="inlineStr">
        <is>
          <t>VÄRMLANDS LÄN</t>
        </is>
      </c>
      <c r="E1047" t="inlineStr">
        <is>
          <t>TORSBY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12701-2024</t>
        </is>
      </c>
      <c r="B1048" s="1" t="n">
        <v>45384</v>
      </c>
      <c r="C1048" s="1" t="n">
        <v>45936</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52689-2024</t>
        </is>
      </c>
      <c r="B1049" s="1" t="n">
        <v>45610.39621527777</v>
      </c>
      <c r="C1049" s="1" t="n">
        <v>45936</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20120-2023</t>
        </is>
      </c>
      <c r="B1050" s="1" t="n">
        <v>45055</v>
      </c>
      <c r="C1050" s="1" t="n">
        <v>45936</v>
      </c>
      <c r="D1050" t="inlineStr">
        <is>
          <t>VÄRMLANDS LÄN</t>
        </is>
      </c>
      <c r="E1050" t="inlineStr">
        <is>
          <t>TORSBY</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17941-2021</t>
        </is>
      </c>
      <c r="B1051" s="1" t="n">
        <v>44301</v>
      </c>
      <c r="C1051" s="1" t="n">
        <v>45936</v>
      </c>
      <c r="D1051" t="inlineStr">
        <is>
          <t>VÄRMLANDS LÄN</t>
        </is>
      </c>
      <c r="E1051" t="inlineStr">
        <is>
          <t>TORSBY</t>
        </is>
      </c>
      <c r="F1051" t="inlineStr">
        <is>
          <t>Kommuner</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39781-2022</t>
        </is>
      </c>
      <c r="B1052" s="1" t="n">
        <v>44819</v>
      </c>
      <c r="C1052" s="1" t="n">
        <v>45936</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15175-2024</t>
        </is>
      </c>
      <c r="B1053" s="1" t="n">
        <v>45400</v>
      </c>
      <c r="C1053" s="1" t="n">
        <v>45936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38252-2023</t>
        </is>
      </c>
      <c r="B1054" s="1" t="n">
        <v>45161</v>
      </c>
      <c r="C1054" s="1" t="n">
        <v>45936</v>
      </c>
      <c r="D1054" t="inlineStr">
        <is>
          <t>VÄRMLANDS LÄN</t>
        </is>
      </c>
      <c r="E1054" t="inlineStr">
        <is>
          <t>TORSBY</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55092-2022</t>
        </is>
      </c>
      <c r="B1055" s="1" t="n">
        <v>44886.61493055556</v>
      </c>
      <c r="C1055" s="1" t="n">
        <v>45936</v>
      </c>
      <c r="D1055" t="inlineStr">
        <is>
          <t>VÄRMLANDS LÄN</t>
        </is>
      </c>
      <c r="E1055" t="inlineStr">
        <is>
          <t>TORSBY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1527-2024</t>
        </is>
      </c>
      <c r="B1056" s="1" t="n">
        <v>45306.45614583333</v>
      </c>
      <c r="C1056" s="1" t="n">
        <v>45936</v>
      </c>
      <c r="D1056" t="inlineStr">
        <is>
          <t>VÄRMLANDS LÄN</t>
        </is>
      </c>
      <c r="E1056" t="inlineStr">
        <is>
          <t>TORSBY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15660-2025</t>
        </is>
      </c>
      <c r="B1057" s="1" t="n">
        <v>45748</v>
      </c>
      <c r="C1057" s="1" t="n">
        <v>45936</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38536-2025</t>
        </is>
      </c>
      <c r="B1058" s="1" t="n">
        <v>45884.42</v>
      </c>
      <c r="C1058" s="1" t="n">
        <v>45936</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6013-2024</t>
        </is>
      </c>
      <c r="B1059" s="1" t="n">
        <v>45336.60763888889</v>
      </c>
      <c r="C1059" s="1" t="n">
        <v>45936</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61738-2020</t>
        </is>
      </c>
      <c r="B1060" s="1" t="n">
        <v>44158</v>
      </c>
      <c r="C1060" s="1" t="n">
        <v>45936</v>
      </c>
      <c r="D1060" t="inlineStr">
        <is>
          <t>VÄRMLANDS LÄN</t>
        </is>
      </c>
      <c r="E1060" t="inlineStr">
        <is>
          <t>TORSBY</t>
        </is>
      </c>
      <c r="F1060" t="inlineStr">
        <is>
          <t>Kommuner</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43289-2022</t>
        </is>
      </c>
      <c r="B1061" s="1" t="n">
        <v>44834.51623842592</v>
      </c>
      <c r="C1061" s="1" t="n">
        <v>45936</v>
      </c>
      <c r="D1061" t="inlineStr">
        <is>
          <t>VÄRMLANDS LÄN</t>
        </is>
      </c>
      <c r="E1061" t="inlineStr">
        <is>
          <t>TORSBY</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35762-2024</t>
        </is>
      </c>
      <c r="B1062" s="1" t="n">
        <v>45532.57373842593</v>
      </c>
      <c r="C1062" s="1" t="n">
        <v>45936</v>
      </c>
      <c r="D1062" t="inlineStr">
        <is>
          <t>VÄRMLANDS LÄN</t>
        </is>
      </c>
      <c r="E1062" t="inlineStr">
        <is>
          <t>TORSBY</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44699-2025</t>
        </is>
      </c>
      <c r="B1063" s="1" t="n">
        <v>45917.60077546296</v>
      </c>
      <c r="C1063" s="1" t="n">
        <v>45936</v>
      </c>
      <c r="D1063" t="inlineStr">
        <is>
          <t>VÄRMLANDS LÄN</t>
        </is>
      </c>
      <c r="E1063" t="inlineStr">
        <is>
          <t>TORSBY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20737-2023</t>
        </is>
      </c>
      <c r="B1064" s="1" t="n">
        <v>45058</v>
      </c>
      <c r="C1064" s="1" t="n">
        <v>45936</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62210-2023</t>
        </is>
      </c>
      <c r="B1065" s="1" t="n">
        <v>45267.49430555556</v>
      </c>
      <c r="C1065" s="1" t="n">
        <v>45936</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62250-2023</t>
        </is>
      </c>
      <c r="B1066" s="1" t="n">
        <v>45266</v>
      </c>
      <c r="C1066" s="1" t="n">
        <v>45936</v>
      </c>
      <c r="D1066" t="inlineStr">
        <is>
          <t>VÄRMLANDS LÄN</t>
        </is>
      </c>
      <c r="E1066" t="inlineStr">
        <is>
          <t>TORSBY</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43943-2022</t>
        </is>
      </c>
      <c r="B1067" s="1" t="n">
        <v>44838</v>
      </c>
      <c r="C1067" s="1" t="n">
        <v>45936</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8428-2025</t>
        </is>
      </c>
      <c r="B1068" s="1" t="n">
        <v>45709.41995370371</v>
      </c>
      <c r="C1068" s="1" t="n">
        <v>45936</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4707-2023</t>
        </is>
      </c>
      <c r="B1069" s="1" t="n">
        <v>44957</v>
      </c>
      <c r="C1069" s="1" t="n">
        <v>45936</v>
      </c>
      <c r="D1069" t="inlineStr">
        <is>
          <t>VÄRMLANDS LÄN</t>
        </is>
      </c>
      <c r="E1069" t="inlineStr">
        <is>
          <t>TORSBY</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35553-2023</t>
        </is>
      </c>
      <c r="B1070" s="1" t="n">
        <v>45147</v>
      </c>
      <c r="C1070" s="1" t="n">
        <v>45936</v>
      </c>
      <c r="D1070" t="inlineStr">
        <is>
          <t>VÄRMLANDS LÄN</t>
        </is>
      </c>
      <c r="E1070" t="inlineStr">
        <is>
          <t>TORSBY</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22635-2022</t>
        </is>
      </c>
      <c r="B1071" s="1" t="n">
        <v>44714</v>
      </c>
      <c r="C1071" s="1" t="n">
        <v>45936</v>
      </c>
      <c r="D1071" t="inlineStr">
        <is>
          <t>VÄRMLANDS LÄN</t>
        </is>
      </c>
      <c r="E1071" t="inlineStr">
        <is>
          <t>TORSBY</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45936</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60272-2024</t>
        </is>
      </c>
      <c r="B1073" s="1" t="n">
        <v>45642</v>
      </c>
      <c r="C1073" s="1" t="n">
        <v>45936</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37075-2021</t>
        </is>
      </c>
      <c r="B1074" s="1" t="n">
        <v>44394</v>
      </c>
      <c r="C1074" s="1" t="n">
        <v>45936</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22565-2024</t>
        </is>
      </c>
      <c r="B1075" s="1" t="n">
        <v>45447</v>
      </c>
      <c r="C1075" s="1" t="n">
        <v>45936</v>
      </c>
      <c r="D1075" t="inlineStr">
        <is>
          <t>VÄRMLANDS LÄN</t>
        </is>
      </c>
      <c r="E1075" t="inlineStr">
        <is>
          <t>TORSBY</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24896-2023</t>
        </is>
      </c>
      <c r="B1076" s="1" t="n">
        <v>45085</v>
      </c>
      <c r="C1076" s="1" t="n">
        <v>45936</v>
      </c>
      <c r="D1076" t="inlineStr">
        <is>
          <t>VÄRMLANDS LÄN</t>
        </is>
      </c>
      <c r="E1076" t="inlineStr">
        <is>
          <t>TORSBY</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53460-2024</t>
        </is>
      </c>
      <c r="B1077" s="1" t="n">
        <v>45611</v>
      </c>
      <c r="C1077" s="1" t="n">
        <v>45936</v>
      </c>
      <c r="D1077" t="inlineStr">
        <is>
          <t>VÄRMLANDS LÄN</t>
        </is>
      </c>
      <c r="E1077" t="inlineStr">
        <is>
          <t>TORSBY</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46914-2024</t>
        </is>
      </c>
      <c r="B1078" s="1" t="n">
        <v>45583.7577662037</v>
      </c>
      <c r="C1078" s="1" t="n">
        <v>45936</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11195-2025</t>
        </is>
      </c>
      <c r="B1079" s="1" t="n">
        <v>45725.85177083333</v>
      </c>
      <c r="C1079" s="1" t="n">
        <v>45936</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56170-2023</t>
        </is>
      </c>
      <c r="B1080" s="1" t="n">
        <v>45240.62975694444</v>
      </c>
      <c r="C1080" s="1" t="n">
        <v>45936</v>
      </c>
      <c r="D1080" t="inlineStr">
        <is>
          <t>VÄRMLANDS LÄN</t>
        </is>
      </c>
      <c r="E1080" t="inlineStr">
        <is>
          <t>TORSBY</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9578-2023</t>
        </is>
      </c>
      <c r="B1081" s="1" t="n">
        <v>44982.69790509259</v>
      </c>
      <c r="C1081" s="1" t="n">
        <v>45936</v>
      </c>
      <c r="D1081" t="inlineStr">
        <is>
          <t>VÄRMLANDS LÄN</t>
        </is>
      </c>
      <c r="E1081" t="inlineStr">
        <is>
          <t>TORSBY</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35057-2023</t>
        </is>
      </c>
      <c r="B1082" s="1" t="n">
        <v>45145.3909375</v>
      </c>
      <c r="C1082" s="1" t="n">
        <v>45936</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47241-2023</t>
        </is>
      </c>
      <c r="B1083" s="1" t="n">
        <v>45202.39821759259</v>
      </c>
      <c r="C1083" s="1" t="n">
        <v>45936</v>
      </c>
      <c r="D1083" t="inlineStr">
        <is>
          <t>VÄRMLANDS LÄN</t>
        </is>
      </c>
      <c r="E1083" t="inlineStr">
        <is>
          <t>TORSBY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55811-2021</t>
        </is>
      </c>
      <c r="B1084" s="1" t="n">
        <v>44476</v>
      </c>
      <c r="C1084" s="1" t="n">
        <v>45936</v>
      </c>
      <c r="D1084" t="inlineStr">
        <is>
          <t>VÄRMLANDS LÄN</t>
        </is>
      </c>
      <c r="E1084" t="inlineStr">
        <is>
          <t>TORSBY</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17687-2024</t>
        </is>
      </c>
      <c r="B1085" s="1" t="n">
        <v>45418</v>
      </c>
      <c r="C1085" s="1" t="n">
        <v>45936</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16210-2025</t>
        </is>
      </c>
      <c r="B1086" s="1" t="n">
        <v>45750</v>
      </c>
      <c r="C1086" s="1" t="n">
        <v>45936</v>
      </c>
      <c r="D1086" t="inlineStr">
        <is>
          <t>VÄRMLANDS LÄN</t>
        </is>
      </c>
      <c r="E1086" t="inlineStr">
        <is>
          <t>TORSBY</t>
        </is>
      </c>
      <c r="F1086" t="inlineStr">
        <is>
          <t>Bergvik skog väst AB</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3666-2023</t>
        </is>
      </c>
      <c r="B1087" s="1" t="n">
        <v>44950</v>
      </c>
      <c r="C1087" s="1" t="n">
        <v>45936</v>
      </c>
      <c r="D1087" t="inlineStr">
        <is>
          <t>VÄRMLANDS LÄN</t>
        </is>
      </c>
      <c r="E1087" t="inlineStr">
        <is>
          <t>TORSBY</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8012-2023</t>
        </is>
      </c>
      <c r="B1088" s="1" t="n">
        <v>44973</v>
      </c>
      <c r="C1088" s="1" t="n">
        <v>45936</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57980-2023</t>
        </is>
      </c>
      <c r="B1089" s="1" t="n">
        <v>45247.59328703704</v>
      </c>
      <c r="C1089" s="1" t="n">
        <v>45936</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5289-2022</t>
        </is>
      </c>
      <c r="B1090" s="1" t="n">
        <v>44594.61883101852</v>
      </c>
      <c r="C1090" s="1" t="n">
        <v>45936</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7127-2023</t>
        </is>
      </c>
      <c r="B1091" s="1" t="n">
        <v>44970.41383101852</v>
      </c>
      <c r="C1091" s="1" t="n">
        <v>45936</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25090-2023</t>
        </is>
      </c>
      <c r="B1092" s="1" t="n">
        <v>45086</v>
      </c>
      <c r="C1092" s="1" t="n">
        <v>45936</v>
      </c>
      <c r="D1092" t="inlineStr">
        <is>
          <t>VÄRMLANDS LÄN</t>
        </is>
      </c>
      <c r="E1092" t="inlineStr">
        <is>
          <t>TORSBY</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38808-2025</t>
        </is>
      </c>
      <c r="B1093" s="1" t="n">
        <v>45887.47344907407</v>
      </c>
      <c r="C1093" s="1" t="n">
        <v>45936</v>
      </c>
      <c r="D1093" t="inlineStr">
        <is>
          <t>VÄRMLANDS LÄN</t>
        </is>
      </c>
      <c r="E1093" t="inlineStr">
        <is>
          <t>TORSBY</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15315-2024</t>
        </is>
      </c>
      <c r="B1094" s="1" t="n">
        <v>45400</v>
      </c>
      <c r="C1094" s="1" t="n">
        <v>45936</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48629-2024</t>
        </is>
      </c>
      <c r="B1095" s="1" t="n">
        <v>45593.46605324074</v>
      </c>
      <c r="C1095" s="1" t="n">
        <v>45936</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53492-2022</t>
        </is>
      </c>
      <c r="B1096" s="1" t="n">
        <v>44879.56734953704</v>
      </c>
      <c r="C1096" s="1" t="n">
        <v>45936</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28035-2024</t>
        </is>
      </c>
      <c r="B1097" s="1" t="n">
        <v>45476</v>
      </c>
      <c r="C1097" s="1" t="n">
        <v>45936</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38738-2025</t>
        </is>
      </c>
      <c r="B1098" s="1" t="n">
        <v>45887.3715162037</v>
      </c>
      <c r="C1098" s="1" t="n">
        <v>45936</v>
      </c>
      <c r="D1098" t="inlineStr">
        <is>
          <t>VÄRMLANDS LÄN</t>
        </is>
      </c>
      <c r="E1098" t="inlineStr">
        <is>
          <t>TORSBY</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46233-2023</t>
        </is>
      </c>
      <c r="B1099" s="1" t="n">
        <v>45196.69575231482</v>
      </c>
      <c r="C1099" s="1" t="n">
        <v>45936</v>
      </c>
      <c r="D1099" t="inlineStr">
        <is>
          <t>VÄRMLANDS LÄN</t>
        </is>
      </c>
      <c r="E1099" t="inlineStr">
        <is>
          <t>TORSBY</t>
        </is>
      </c>
      <c r="F1099" t="inlineStr">
        <is>
          <t>Kyrkan</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36850-2024</t>
        </is>
      </c>
      <c r="B1100" s="1" t="n">
        <v>45538</v>
      </c>
      <c r="C1100" s="1" t="n">
        <v>45936</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45936</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25629-2024</t>
        </is>
      </c>
      <c r="B1102" s="1" t="n">
        <v>45463</v>
      </c>
      <c r="C1102" s="1" t="n">
        <v>45936</v>
      </c>
      <c r="D1102" t="inlineStr">
        <is>
          <t>VÄRMLANDS LÄN</t>
        </is>
      </c>
      <c r="E1102" t="inlineStr">
        <is>
          <t>TORSBY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46493-2025</t>
        </is>
      </c>
      <c r="B1103" s="1" t="n">
        <v>45925</v>
      </c>
      <c r="C1103" s="1" t="n">
        <v>45936</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27446-2021</t>
        </is>
      </c>
      <c r="B1104" s="1" t="n">
        <v>44351</v>
      </c>
      <c r="C1104" s="1" t="n">
        <v>45936</v>
      </c>
      <c r="D1104" t="inlineStr">
        <is>
          <t>VÄRMLANDS LÄN</t>
        </is>
      </c>
      <c r="E1104" t="inlineStr">
        <is>
          <t>TORSBY</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3864-2025</t>
        </is>
      </c>
      <c r="B1105" s="1" t="n">
        <v>45684</v>
      </c>
      <c r="C1105" s="1" t="n">
        <v>45936</v>
      </c>
      <c r="D1105" t="inlineStr">
        <is>
          <t>VÄRMLANDS LÄN</t>
        </is>
      </c>
      <c r="E1105" t="inlineStr">
        <is>
          <t>TORSBY</t>
        </is>
      </c>
      <c r="F1105" t="inlineStr">
        <is>
          <t>Bergvik skog väst AB</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38611-2025</t>
        </is>
      </c>
      <c r="B1106" s="1" t="n">
        <v>45884.53958333333</v>
      </c>
      <c r="C1106" s="1" t="n">
        <v>45936</v>
      </c>
      <c r="D1106" t="inlineStr">
        <is>
          <t>VÄRMLANDS LÄN</t>
        </is>
      </c>
      <c r="E1106" t="inlineStr">
        <is>
          <t>TORSBY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67172-2021</t>
        </is>
      </c>
      <c r="B1107" s="1" t="n">
        <v>44523.4271875</v>
      </c>
      <c r="C1107" s="1" t="n">
        <v>45936</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53099-2024</t>
        </is>
      </c>
      <c r="B1108" s="1" t="n">
        <v>45611.54206018519</v>
      </c>
      <c r="C1108" s="1" t="n">
        <v>45936</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3269-2025</t>
        </is>
      </c>
      <c r="B1109" s="1" t="n">
        <v>45679.58148148148</v>
      </c>
      <c r="C1109" s="1" t="n">
        <v>45936</v>
      </c>
      <c r="D1109" t="inlineStr">
        <is>
          <t>VÄRMLANDS LÄN</t>
        </is>
      </c>
      <c r="E1109" t="inlineStr">
        <is>
          <t>TORSBY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28559-2021</t>
        </is>
      </c>
      <c r="B1110" s="1" t="n">
        <v>44356</v>
      </c>
      <c r="C1110" s="1" t="n">
        <v>45936</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21757-2024</t>
        </is>
      </c>
      <c r="B1111" s="1" t="n">
        <v>45442</v>
      </c>
      <c r="C1111" s="1" t="n">
        <v>45936</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45936</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34430-2023</t>
        </is>
      </c>
      <c r="B1113" s="1" t="n">
        <v>45139.62216435185</v>
      </c>
      <c r="C1113" s="1" t="n">
        <v>45936</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6968-2025</t>
        </is>
      </c>
      <c r="B1114" s="1" t="n">
        <v>45701.53253472222</v>
      </c>
      <c r="C1114" s="1" t="n">
        <v>45936</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11259-2024</t>
        </is>
      </c>
      <c r="B1115" s="1" t="n">
        <v>45371</v>
      </c>
      <c r="C1115" s="1" t="n">
        <v>45936</v>
      </c>
      <c r="D1115" t="inlineStr">
        <is>
          <t>VÄRMLANDS LÄN</t>
        </is>
      </c>
      <c r="E1115" t="inlineStr">
        <is>
          <t>TORSBY</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43988-2024</t>
        </is>
      </c>
      <c r="B1116" s="1" t="n">
        <v>45572</v>
      </c>
      <c r="C1116" s="1" t="n">
        <v>45936</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16433-2023</t>
        </is>
      </c>
      <c r="B1117" s="1" t="n">
        <v>45022</v>
      </c>
      <c r="C1117" s="1" t="n">
        <v>45936</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18331-2025</t>
        </is>
      </c>
      <c r="B1118" s="1" t="n">
        <v>45762</v>
      </c>
      <c r="C1118" s="1" t="n">
        <v>45936</v>
      </c>
      <c r="D1118" t="inlineStr">
        <is>
          <t>VÄRMLANDS LÄN</t>
        </is>
      </c>
      <c r="E1118" t="inlineStr">
        <is>
          <t>TORSBY</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66459-2020</t>
        </is>
      </c>
      <c r="B1119" s="1" t="n">
        <v>44176</v>
      </c>
      <c r="C1119" s="1" t="n">
        <v>45936</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12458-2023</t>
        </is>
      </c>
      <c r="B1120" s="1" t="n">
        <v>44999</v>
      </c>
      <c r="C1120" s="1" t="n">
        <v>45936</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34405-2023</t>
        </is>
      </c>
      <c r="B1121" s="1" t="n">
        <v>45139.55131944444</v>
      </c>
      <c r="C1121" s="1" t="n">
        <v>45936</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19791-2025</t>
        </is>
      </c>
      <c r="B1122" s="1" t="n">
        <v>45771.4452662037</v>
      </c>
      <c r="C1122" s="1" t="n">
        <v>45936</v>
      </c>
      <c r="D1122" t="inlineStr">
        <is>
          <t>VÄRMLANDS LÄN</t>
        </is>
      </c>
      <c r="E1122" t="inlineStr">
        <is>
          <t>TORSBY</t>
        </is>
      </c>
      <c r="F1122" t="inlineStr">
        <is>
          <t>Bergvik skog väst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47271-2021</t>
        </is>
      </c>
      <c r="B1123" s="1" t="n">
        <v>44447</v>
      </c>
      <c r="C1123" s="1" t="n">
        <v>45936</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50680-2023</t>
        </is>
      </c>
      <c r="B1124" s="1" t="n">
        <v>45217.5165625</v>
      </c>
      <c r="C1124" s="1" t="n">
        <v>45936</v>
      </c>
      <c r="D1124" t="inlineStr">
        <is>
          <t>VÄRMLANDS LÄN</t>
        </is>
      </c>
      <c r="E1124" t="inlineStr">
        <is>
          <t>TORSBY</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21409-2023</t>
        </is>
      </c>
      <c r="B1125" s="1" t="n">
        <v>45063</v>
      </c>
      <c r="C1125" s="1" t="n">
        <v>45936</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15939-2021</t>
        </is>
      </c>
      <c r="B1126" s="1" t="n">
        <v>44287</v>
      </c>
      <c r="C1126" s="1" t="n">
        <v>45936</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34697-2024</t>
        </is>
      </c>
      <c r="B1127" s="1" t="n">
        <v>45526.55518518519</v>
      </c>
      <c r="C1127" s="1" t="n">
        <v>45936</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14025-2025</t>
        </is>
      </c>
      <c r="B1128" s="1" t="n">
        <v>45740</v>
      </c>
      <c r="C1128" s="1" t="n">
        <v>45936</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60383-2024</t>
        </is>
      </c>
      <c r="B1129" s="1" t="n">
        <v>45643.47674768518</v>
      </c>
      <c r="C1129" s="1" t="n">
        <v>45936</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60386-2024</t>
        </is>
      </c>
      <c r="B1130" s="1" t="n">
        <v>45643</v>
      </c>
      <c r="C1130" s="1" t="n">
        <v>45936</v>
      </c>
      <c r="D1130" t="inlineStr">
        <is>
          <t>VÄRMLANDS LÄN</t>
        </is>
      </c>
      <c r="E1130" t="inlineStr">
        <is>
          <t>TORSBY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42945-2024</t>
        </is>
      </c>
      <c r="B1131" s="1" t="n">
        <v>45567</v>
      </c>
      <c r="C1131" s="1" t="n">
        <v>45936</v>
      </c>
      <c r="D1131" t="inlineStr">
        <is>
          <t>VÄRMLANDS LÄN</t>
        </is>
      </c>
      <c r="E1131" t="inlineStr">
        <is>
          <t>TORSBY</t>
        </is>
      </c>
      <c r="F1131" t="inlineStr">
        <is>
          <t>Bergvik skog väst AB</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20725-2024</t>
        </is>
      </c>
      <c r="B1132" s="1" t="n">
        <v>45436.65284722222</v>
      </c>
      <c r="C1132" s="1" t="n">
        <v>45936</v>
      </c>
      <c r="D1132" t="inlineStr">
        <is>
          <t>VÄRMLANDS LÄN</t>
        </is>
      </c>
      <c r="E1132" t="inlineStr">
        <is>
          <t>TORSBY</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45548-2024</t>
        </is>
      </c>
      <c r="B1133" s="1" t="n">
        <v>45579</v>
      </c>
      <c r="C1133" s="1" t="n">
        <v>45936</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17065-2025</t>
        </is>
      </c>
      <c r="B1134" s="1" t="n">
        <v>45754</v>
      </c>
      <c r="C1134" s="1" t="n">
        <v>45936</v>
      </c>
      <c r="D1134" t="inlineStr">
        <is>
          <t>VÄRMLANDS LÄN</t>
        </is>
      </c>
      <c r="E1134" t="inlineStr">
        <is>
          <t>TORSBY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38905-2025</t>
        </is>
      </c>
      <c r="B1135" s="1" t="n">
        <v>45884</v>
      </c>
      <c r="C1135" s="1" t="n">
        <v>45936</v>
      </c>
      <c r="D1135" t="inlineStr">
        <is>
          <t>VÄRMLANDS LÄN</t>
        </is>
      </c>
      <c r="E1135" t="inlineStr">
        <is>
          <t>TORSBY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60477-2024</t>
        </is>
      </c>
      <c r="B1136" s="1" t="n">
        <v>45643</v>
      </c>
      <c r="C1136" s="1" t="n">
        <v>45936</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52940-2024</t>
        </is>
      </c>
      <c r="B1137" s="1" t="n">
        <v>45610</v>
      </c>
      <c r="C1137" s="1" t="n">
        <v>45936</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57647-2023</t>
        </is>
      </c>
      <c r="B1138" s="1" t="n">
        <v>45246.59627314815</v>
      </c>
      <c r="C1138" s="1" t="n">
        <v>45936</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20461-2025</t>
        </is>
      </c>
      <c r="B1139" s="1" t="n">
        <v>45775.53158564815</v>
      </c>
      <c r="C1139" s="1" t="n">
        <v>45936</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41504-2024</t>
        </is>
      </c>
      <c r="B1140" s="1" t="n">
        <v>45560</v>
      </c>
      <c r="C1140" s="1" t="n">
        <v>45936</v>
      </c>
      <c r="D1140" t="inlineStr">
        <is>
          <t>VÄRMLANDS LÄN</t>
        </is>
      </c>
      <c r="E1140" t="inlineStr">
        <is>
          <t>TORSBY</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41518-2024</t>
        </is>
      </c>
      <c r="B1141" s="1" t="n">
        <v>45560</v>
      </c>
      <c r="C1141" s="1" t="n">
        <v>45936</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44133-2025</t>
        </is>
      </c>
      <c r="B1142" s="1" t="n">
        <v>45915</v>
      </c>
      <c r="C1142" s="1" t="n">
        <v>45936</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21089-2022</t>
        </is>
      </c>
      <c r="B1143" s="1" t="n">
        <v>44704</v>
      </c>
      <c r="C1143" s="1" t="n">
        <v>45936</v>
      </c>
      <c r="D1143" t="inlineStr">
        <is>
          <t>VÄRMLANDS LÄN</t>
        </is>
      </c>
      <c r="E1143" t="inlineStr">
        <is>
          <t>TORSBY</t>
        </is>
      </c>
      <c r="G1143" t="n">
        <v>13.4</v>
      </c>
      <c r="H1143" t="n">
        <v>0</v>
      </c>
      <c r="I1143" t="n">
        <v>0</v>
      </c>
      <c r="J1143" t="n">
        <v>0</v>
      </c>
      <c r="K1143" t="n">
        <v>0</v>
      </c>
      <c r="L1143" t="n">
        <v>0</v>
      </c>
      <c r="M1143" t="n">
        <v>0</v>
      </c>
      <c r="N1143" t="n">
        <v>0</v>
      </c>
      <c r="O1143" t="n">
        <v>0</v>
      </c>
      <c r="P1143" t="n">
        <v>0</v>
      </c>
      <c r="Q1143" t="n">
        <v>0</v>
      </c>
      <c r="R1143" s="2" t="inlineStr"/>
    </row>
    <row r="1144" ht="15" customHeight="1">
      <c r="A1144" t="inlineStr">
        <is>
          <t>A 53331-2024</t>
        </is>
      </c>
      <c r="B1144" s="1" t="n">
        <v>45614</v>
      </c>
      <c r="C1144" s="1" t="n">
        <v>45936</v>
      </c>
      <c r="D1144" t="inlineStr">
        <is>
          <t>VÄRMLANDS LÄN</t>
        </is>
      </c>
      <c r="E1144" t="inlineStr">
        <is>
          <t>TORSBY</t>
        </is>
      </c>
      <c r="F1144" t="inlineStr">
        <is>
          <t>Bergvik skog väst AB</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46578-2025</t>
        </is>
      </c>
      <c r="B1145" s="1" t="n">
        <v>45926.37353009259</v>
      </c>
      <c r="C1145" s="1" t="n">
        <v>45936</v>
      </c>
      <c r="D1145" t="inlineStr">
        <is>
          <t>VÄRMLANDS LÄN</t>
        </is>
      </c>
      <c r="E1145" t="inlineStr">
        <is>
          <t>TORSBY</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11153-2024</t>
        </is>
      </c>
      <c r="B1146" s="1" t="n">
        <v>45371.4759837963</v>
      </c>
      <c r="C1146" s="1" t="n">
        <v>45936</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11211-2024</t>
        </is>
      </c>
      <c r="B1147" s="1" t="n">
        <v>45371</v>
      </c>
      <c r="C1147" s="1" t="n">
        <v>45936</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31547-2023</t>
        </is>
      </c>
      <c r="B1148" s="1" t="n">
        <v>45117</v>
      </c>
      <c r="C1148" s="1" t="n">
        <v>45936</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16591-2024</t>
        </is>
      </c>
      <c r="B1149" s="1" t="n">
        <v>45408.49420138889</v>
      </c>
      <c r="C1149" s="1" t="n">
        <v>45936</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30267-2023</t>
        </is>
      </c>
      <c r="B1150" s="1" t="n">
        <v>45110.75915509259</v>
      </c>
      <c r="C1150" s="1" t="n">
        <v>45936</v>
      </c>
      <c r="D1150" t="inlineStr">
        <is>
          <t>VÄRMLANDS LÄN</t>
        </is>
      </c>
      <c r="E1150" t="inlineStr">
        <is>
          <t>TORSBY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30269-2023</t>
        </is>
      </c>
      <c r="B1151" s="1" t="n">
        <v>45110.76082175926</v>
      </c>
      <c r="C1151" s="1" t="n">
        <v>45936</v>
      </c>
      <c r="D1151" t="inlineStr">
        <is>
          <t>VÄRMLANDS LÄN</t>
        </is>
      </c>
      <c r="E1151" t="inlineStr">
        <is>
          <t>TORSBY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35724-2022</t>
        </is>
      </c>
      <c r="B1152" s="1" t="n">
        <v>44799</v>
      </c>
      <c r="C1152" s="1" t="n">
        <v>45936</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56021-2023</t>
        </is>
      </c>
      <c r="B1153" s="1" t="n">
        <v>45240</v>
      </c>
      <c r="C1153" s="1" t="n">
        <v>45936</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32340-2024</t>
        </is>
      </c>
      <c r="B1154" s="1" t="n">
        <v>45512.50826388889</v>
      </c>
      <c r="C1154" s="1" t="n">
        <v>45936</v>
      </c>
      <c r="D1154" t="inlineStr">
        <is>
          <t>VÄRMLANDS LÄN</t>
        </is>
      </c>
      <c r="E1154" t="inlineStr">
        <is>
          <t>TORSBY</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74375-2021</t>
        </is>
      </c>
      <c r="B1155" s="1" t="n">
        <v>44559.71840277778</v>
      </c>
      <c r="C1155" s="1" t="n">
        <v>45936</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36917-2024</t>
        </is>
      </c>
      <c r="B1156" s="1" t="n">
        <v>45538.65065972223</v>
      </c>
      <c r="C1156" s="1" t="n">
        <v>45936</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36922-2024</t>
        </is>
      </c>
      <c r="B1157" s="1" t="n">
        <v>45538</v>
      </c>
      <c r="C1157" s="1" t="n">
        <v>45936</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22301-2023</t>
        </is>
      </c>
      <c r="B1158" s="1" t="n">
        <v>45070</v>
      </c>
      <c r="C1158" s="1" t="n">
        <v>45936</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14709-2023</t>
        </is>
      </c>
      <c r="B1159" s="1" t="n">
        <v>45014.41900462963</v>
      </c>
      <c r="C1159" s="1" t="n">
        <v>45936</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33782-2023</t>
        </is>
      </c>
      <c r="B1160" s="1" t="n">
        <v>45120</v>
      </c>
      <c r="C1160" s="1" t="n">
        <v>45936</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19489-2022</t>
        </is>
      </c>
      <c r="B1161" s="1" t="n">
        <v>44693</v>
      </c>
      <c r="C1161" s="1" t="n">
        <v>45936</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58956-2022</t>
        </is>
      </c>
      <c r="B1162" s="1" t="n">
        <v>44903.65895833333</v>
      </c>
      <c r="C1162" s="1" t="n">
        <v>45936</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47047-2025</t>
        </is>
      </c>
      <c r="B1163" s="1" t="n">
        <v>45929</v>
      </c>
      <c r="C1163" s="1" t="n">
        <v>45936</v>
      </c>
      <c r="D1163" t="inlineStr">
        <is>
          <t>VÄRMLANDS LÄN</t>
        </is>
      </c>
      <c r="E1163" t="inlineStr">
        <is>
          <t>TORSBY</t>
        </is>
      </c>
      <c r="F1163" t="inlineStr">
        <is>
          <t>Kyrkan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70785-2021</t>
        </is>
      </c>
      <c r="B1164" s="1" t="n">
        <v>44537</v>
      </c>
      <c r="C1164" s="1" t="n">
        <v>45936</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345-2023</t>
        </is>
      </c>
      <c r="B1165" s="1" t="n">
        <v>44923</v>
      </c>
      <c r="C1165" s="1" t="n">
        <v>45936</v>
      </c>
      <c r="D1165" t="inlineStr">
        <is>
          <t>VÄRMLANDS LÄN</t>
        </is>
      </c>
      <c r="E1165" t="inlineStr">
        <is>
          <t>TORSBY</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6438-2022</t>
        </is>
      </c>
      <c r="B1166" s="1" t="n">
        <v>44601.32209490741</v>
      </c>
      <c r="C1166" s="1" t="n">
        <v>45936</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39208-2025</t>
        </is>
      </c>
      <c r="B1167" s="1" t="n">
        <v>45888</v>
      </c>
      <c r="C1167" s="1" t="n">
        <v>45936</v>
      </c>
      <c r="D1167" t="inlineStr">
        <is>
          <t>VÄRMLANDS LÄN</t>
        </is>
      </c>
      <c r="E1167" t="inlineStr">
        <is>
          <t>TORSBY</t>
        </is>
      </c>
      <c r="F1167" t="inlineStr">
        <is>
          <t>Bergvik skog väst AB</t>
        </is>
      </c>
      <c r="G1167" t="n">
        <v>39.1</v>
      </c>
      <c r="H1167" t="n">
        <v>0</v>
      </c>
      <c r="I1167" t="n">
        <v>0</v>
      </c>
      <c r="J1167" t="n">
        <v>0</v>
      </c>
      <c r="K1167" t="n">
        <v>0</v>
      </c>
      <c r="L1167" t="n">
        <v>0</v>
      </c>
      <c r="M1167" t="n">
        <v>0</v>
      </c>
      <c r="N1167" t="n">
        <v>0</v>
      </c>
      <c r="O1167" t="n">
        <v>0</v>
      </c>
      <c r="P1167" t="n">
        <v>0</v>
      </c>
      <c r="Q1167" t="n">
        <v>0</v>
      </c>
      <c r="R1167" s="2" t="inlineStr"/>
    </row>
    <row r="1168" ht="15" customHeight="1">
      <c r="A1168" t="inlineStr">
        <is>
          <t>A 4172-2022</t>
        </is>
      </c>
      <c r="B1168" s="1" t="n">
        <v>44588</v>
      </c>
      <c r="C1168" s="1" t="n">
        <v>45936</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36558-2024</t>
        </is>
      </c>
      <c r="B1169" s="1" t="n">
        <v>45537</v>
      </c>
      <c r="C1169" s="1" t="n">
        <v>45936</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45936</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47366-2025</t>
        </is>
      </c>
      <c r="B1171" s="1" t="n">
        <v>45930</v>
      </c>
      <c r="C1171" s="1" t="n">
        <v>45936</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39451-2025</t>
        </is>
      </c>
      <c r="B1172" s="1" t="n">
        <v>45889.72677083333</v>
      </c>
      <c r="C1172" s="1" t="n">
        <v>45936</v>
      </c>
      <c r="D1172" t="inlineStr">
        <is>
          <t>VÄRMLANDS LÄN</t>
        </is>
      </c>
      <c r="E1172" t="inlineStr">
        <is>
          <t>TORSBY</t>
        </is>
      </c>
      <c r="F1172" t="inlineStr">
        <is>
          <t>Bergvik skog väst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46550-2025</t>
        </is>
      </c>
      <c r="B1173" s="1" t="n">
        <v>45926</v>
      </c>
      <c r="C1173" s="1" t="n">
        <v>45936</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39258-2025</t>
        </is>
      </c>
      <c r="B1174" s="1" t="n">
        <v>45889</v>
      </c>
      <c r="C1174" s="1" t="n">
        <v>45936</v>
      </c>
      <c r="D1174" t="inlineStr">
        <is>
          <t>VÄRMLANDS LÄN</t>
        </is>
      </c>
      <c r="E1174" t="inlineStr">
        <is>
          <t>TORSBY</t>
        </is>
      </c>
      <c r="F1174" t="inlineStr">
        <is>
          <t>Bergvik skog väst AB</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56811-2023</t>
        </is>
      </c>
      <c r="B1175" s="1" t="n">
        <v>45244</v>
      </c>
      <c r="C1175" s="1" t="n">
        <v>45936</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14120-2025</t>
        </is>
      </c>
      <c r="B1176" s="1" t="n">
        <v>45740</v>
      </c>
      <c r="C1176" s="1" t="n">
        <v>45936</v>
      </c>
      <c r="D1176" t="inlineStr">
        <is>
          <t>VÄRMLANDS LÄN</t>
        </is>
      </c>
      <c r="E1176" t="inlineStr">
        <is>
          <t>TORSBY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11581-2025</t>
        </is>
      </c>
      <c r="B1177" s="1" t="n">
        <v>45727</v>
      </c>
      <c r="C1177" s="1" t="n">
        <v>45936</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23073-2023</t>
        </is>
      </c>
      <c r="B1178" s="1" t="n">
        <v>45070</v>
      </c>
      <c r="C1178" s="1" t="n">
        <v>45936</v>
      </c>
      <c r="D1178" t="inlineStr">
        <is>
          <t>VÄRMLANDS LÄN</t>
        </is>
      </c>
      <c r="E1178" t="inlineStr">
        <is>
          <t>TORSBY</t>
        </is>
      </c>
      <c r="G1178" t="n">
        <v>15.1</v>
      </c>
      <c r="H1178" t="n">
        <v>0</v>
      </c>
      <c r="I1178" t="n">
        <v>0</v>
      </c>
      <c r="J1178" t="n">
        <v>0</v>
      </c>
      <c r="K1178" t="n">
        <v>0</v>
      </c>
      <c r="L1178" t="n">
        <v>0</v>
      </c>
      <c r="M1178" t="n">
        <v>0</v>
      </c>
      <c r="N1178" t="n">
        <v>0</v>
      </c>
      <c r="O1178" t="n">
        <v>0</v>
      </c>
      <c r="P1178" t="n">
        <v>0</v>
      </c>
      <c r="Q1178" t="n">
        <v>0</v>
      </c>
      <c r="R1178" s="2" t="inlineStr"/>
    </row>
    <row r="1179" ht="15" customHeight="1">
      <c r="A1179" t="inlineStr">
        <is>
          <t>A 63083-2023</t>
        </is>
      </c>
      <c r="B1179" s="1" t="n">
        <v>45273.348125</v>
      </c>
      <c r="C1179" s="1" t="n">
        <v>45936</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11872-2025</t>
        </is>
      </c>
      <c r="B1180" s="1" t="n">
        <v>45728.43021990741</v>
      </c>
      <c r="C1180" s="1" t="n">
        <v>45936</v>
      </c>
      <c r="D1180" t="inlineStr">
        <is>
          <t>VÄRMLANDS LÄN</t>
        </is>
      </c>
      <c r="E1180" t="inlineStr">
        <is>
          <t>TORSBY</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9203-2024</t>
        </is>
      </c>
      <c r="B1181" s="1" t="n">
        <v>45358</v>
      </c>
      <c r="C1181" s="1" t="n">
        <v>45936</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47545-2025</t>
        </is>
      </c>
      <c r="B1182" s="1" t="n">
        <v>45931</v>
      </c>
      <c r="C1182" s="1" t="n">
        <v>45936</v>
      </c>
      <c r="D1182" t="inlineStr">
        <is>
          <t>VÄRMLANDS LÄN</t>
        </is>
      </c>
      <c r="E1182" t="inlineStr">
        <is>
          <t>TORSBY</t>
        </is>
      </c>
      <c r="F1182" t="inlineStr">
        <is>
          <t>Bergvik skog väst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56107-2024</t>
        </is>
      </c>
      <c r="B1183" s="1" t="n">
        <v>45624.44055555556</v>
      </c>
      <c r="C1183" s="1" t="n">
        <v>45936</v>
      </c>
      <c r="D1183" t="inlineStr">
        <is>
          <t>VÄRMLANDS LÄN</t>
        </is>
      </c>
      <c r="E1183" t="inlineStr">
        <is>
          <t>TORSBY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42414-2024</t>
        </is>
      </c>
      <c r="B1184" s="1" t="n">
        <v>45565</v>
      </c>
      <c r="C1184" s="1" t="n">
        <v>45936</v>
      </c>
      <c r="D1184" t="inlineStr">
        <is>
          <t>VÄRMLANDS LÄN</t>
        </is>
      </c>
      <c r="E1184" t="inlineStr">
        <is>
          <t>TORSBY</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26124-2024</t>
        </is>
      </c>
      <c r="B1185" s="1" t="n">
        <v>45468</v>
      </c>
      <c r="C1185" s="1" t="n">
        <v>45936</v>
      </c>
      <c r="D1185" t="inlineStr">
        <is>
          <t>VÄRMLANDS LÄN</t>
        </is>
      </c>
      <c r="E1185" t="inlineStr">
        <is>
          <t>TORSBY</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27090-2024</t>
        </is>
      </c>
      <c r="B1186" s="1" t="n">
        <v>45471</v>
      </c>
      <c r="C1186" s="1" t="n">
        <v>45936</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11878-2024</t>
        </is>
      </c>
      <c r="B1187" s="1" t="n">
        <v>45376.47877314815</v>
      </c>
      <c r="C1187" s="1" t="n">
        <v>45936</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54004-2024</t>
        </is>
      </c>
      <c r="B1188" s="1" t="n">
        <v>45616.36659722222</v>
      </c>
      <c r="C1188" s="1" t="n">
        <v>45936</v>
      </c>
      <c r="D1188" t="inlineStr">
        <is>
          <t>VÄRMLANDS LÄN</t>
        </is>
      </c>
      <c r="E1188" t="inlineStr">
        <is>
          <t>TORSBY</t>
        </is>
      </c>
      <c r="F1188" t="inlineStr">
        <is>
          <t>Kommuner</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53381-2022</t>
        </is>
      </c>
      <c r="B1189" s="1" t="n">
        <v>44879</v>
      </c>
      <c r="C1189" s="1" t="n">
        <v>45936</v>
      </c>
      <c r="D1189" t="inlineStr">
        <is>
          <t>VÄRMLANDS LÄN</t>
        </is>
      </c>
      <c r="E1189" t="inlineStr">
        <is>
          <t>TORSBY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33862-2024</t>
        </is>
      </c>
      <c r="B1190" s="1" t="n">
        <v>45520.69163194444</v>
      </c>
      <c r="C1190" s="1" t="n">
        <v>45936</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41160-2023</t>
        </is>
      </c>
      <c r="B1191" s="1" t="n">
        <v>45174</v>
      </c>
      <c r="C1191" s="1" t="n">
        <v>45936</v>
      </c>
      <c r="D1191" t="inlineStr">
        <is>
          <t>VÄRMLANDS LÄN</t>
        </is>
      </c>
      <c r="E1191" t="inlineStr">
        <is>
          <t>TORSBY</t>
        </is>
      </c>
      <c r="F1191" t="inlineStr">
        <is>
          <t>Kyrkan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51843-2022</t>
        </is>
      </c>
      <c r="B1192" s="1" t="n">
        <v>44872</v>
      </c>
      <c r="C1192" s="1" t="n">
        <v>45936</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17488-2023</t>
        </is>
      </c>
      <c r="B1193" s="1" t="n">
        <v>45036</v>
      </c>
      <c r="C1193" s="1" t="n">
        <v>45936</v>
      </c>
      <c r="D1193" t="inlineStr">
        <is>
          <t>VÄRMLANDS LÄN</t>
        </is>
      </c>
      <c r="E1193" t="inlineStr">
        <is>
          <t>TORSBY</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6534-2025</t>
        </is>
      </c>
      <c r="B1194" s="1" t="n">
        <v>45699</v>
      </c>
      <c r="C1194" s="1" t="n">
        <v>45936</v>
      </c>
      <c r="D1194" t="inlineStr">
        <is>
          <t>VÄRMLANDS LÄN</t>
        </is>
      </c>
      <c r="E1194" t="inlineStr">
        <is>
          <t>TORSBY</t>
        </is>
      </c>
      <c r="F1194" t="inlineStr">
        <is>
          <t>Kommuner</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7178-2025</t>
        </is>
      </c>
      <c r="B1195" s="1" t="n">
        <v>45702.42493055556</v>
      </c>
      <c r="C1195" s="1" t="n">
        <v>45936</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22634-2023</t>
        </is>
      </c>
      <c r="B1196" s="1" t="n">
        <v>45071</v>
      </c>
      <c r="C1196" s="1" t="n">
        <v>45936</v>
      </c>
      <c r="D1196" t="inlineStr">
        <is>
          <t>VÄRMLANDS LÄN</t>
        </is>
      </c>
      <c r="E1196" t="inlineStr">
        <is>
          <t>TORSBY</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7214-2025</t>
        </is>
      </c>
      <c r="B1197" s="1" t="n">
        <v>45702</v>
      </c>
      <c r="C1197" s="1" t="n">
        <v>45936</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53748-2024</t>
        </is>
      </c>
      <c r="B1198" s="1" t="n">
        <v>45615.48322916667</v>
      </c>
      <c r="C1198" s="1" t="n">
        <v>45936</v>
      </c>
      <c r="D1198" t="inlineStr">
        <is>
          <t>VÄRMLANDS LÄN</t>
        </is>
      </c>
      <c r="E1198" t="inlineStr">
        <is>
          <t>TORSBY</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53358-2024</t>
        </is>
      </c>
      <c r="B1199" s="1" t="n">
        <v>45614</v>
      </c>
      <c r="C1199" s="1" t="n">
        <v>45936</v>
      </c>
      <c r="D1199" t="inlineStr">
        <is>
          <t>VÄRMLANDS LÄN</t>
        </is>
      </c>
      <c r="E1199" t="inlineStr">
        <is>
          <t>TORSBY</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27347-2024</t>
        </is>
      </c>
      <c r="B1200" s="1" t="n">
        <v>45473.59798611111</v>
      </c>
      <c r="C1200" s="1" t="n">
        <v>45936</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41377-2021</t>
        </is>
      </c>
      <c r="B1201" s="1" t="n">
        <v>44424.65148148148</v>
      </c>
      <c r="C1201" s="1" t="n">
        <v>45936</v>
      </c>
      <c r="D1201" t="inlineStr">
        <is>
          <t>VÄRMLANDS LÄN</t>
        </is>
      </c>
      <c r="E1201" t="inlineStr">
        <is>
          <t>TORSBY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57536-2024</t>
        </is>
      </c>
      <c r="B1202" s="1" t="n">
        <v>45630.43023148148</v>
      </c>
      <c r="C1202" s="1" t="n">
        <v>45936</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26086-2024</t>
        </is>
      </c>
      <c r="B1203" s="1" t="n">
        <v>45468</v>
      </c>
      <c r="C1203" s="1" t="n">
        <v>45936</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22536-2024</t>
        </is>
      </c>
      <c r="B1204" s="1" t="n">
        <v>45447</v>
      </c>
      <c r="C1204" s="1" t="n">
        <v>45936</v>
      </c>
      <c r="D1204" t="inlineStr">
        <is>
          <t>VÄRMLANDS LÄN</t>
        </is>
      </c>
      <c r="E1204" t="inlineStr">
        <is>
          <t>TORSBY</t>
        </is>
      </c>
      <c r="G1204" t="n">
        <v>25.2</v>
      </c>
      <c r="H1204" t="n">
        <v>0</v>
      </c>
      <c r="I1204" t="n">
        <v>0</v>
      </c>
      <c r="J1204" t="n">
        <v>0</v>
      </c>
      <c r="K1204" t="n">
        <v>0</v>
      </c>
      <c r="L1204" t="n">
        <v>0</v>
      </c>
      <c r="M1204" t="n">
        <v>0</v>
      </c>
      <c r="N1204" t="n">
        <v>0</v>
      </c>
      <c r="O1204" t="n">
        <v>0</v>
      </c>
      <c r="P1204" t="n">
        <v>0</v>
      </c>
      <c r="Q1204" t="n">
        <v>0</v>
      </c>
      <c r="R1204" s="2" t="inlineStr"/>
    </row>
    <row r="1205" ht="15" customHeight="1">
      <c r="A1205" t="inlineStr">
        <is>
          <t>A 54766-2023</t>
        </is>
      </c>
      <c r="B1205" s="1" t="n">
        <v>45236</v>
      </c>
      <c r="C1205" s="1" t="n">
        <v>45936</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44423-2024</t>
        </is>
      </c>
      <c r="B1206" s="1" t="n">
        <v>45573</v>
      </c>
      <c r="C1206" s="1" t="n">
        <v>45936</v>
      </c>
      <c r="D1206" t="inlineStr">
        <is>
          <t>VÄRMLANDS LÄN</t>
        </is>
      </c>
      <c r="E1206" t="inlineStr">
        <is>
          <t>TORSBY</t>
        </is>
      </c>
      <c r="G1206" t="n">
        <v>34.1</v>
      </c>
      <c r="H1206" t="n">
        <v>0</v>
      </c>
      <c r="I1206" t="n">
        <v>0</v>
      </c>
      <c r="J1206" t="n">
        <v>0</v>
      </c>
      <c r="K1206" t="n">
        <v>0</v>
      </c>
      <c r="L1206" t="n">
        <v>0</v>
      </c>
      <c r="M1206" t="n">
        <v>0</v>
      </c>
      <c r="N1206" t="n">
        <v>0</v>
      </c>
      <c r="O1206" t="n">
        <v>0</v>
      </c>
      <c r="P1206" t="n">
        <v>0</v>
      </c>
      <c r="Q1206" t="n">
        <v>0</v>
      </c>
      <c r="R1206" s="2" t="inlineStr"/>
    </row>
    <row r="1207" ht="15" customHeight="1">
      <c r="A1207" t="inlineStr">
        <is>
          <t>A 25579-2023</t>
        </is>
      </c>
      <c r="B1207" s="1" t="n">
        <v>45089.62266203704</v>
      </c>
      <c r="C1207" s="1" t="n">
        <v>45936</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9381-2024</t>
        </is>
      </c>
      <c r="B1208" s="1" t="n">
        <v>45359</v>
      </c>
      <c r="C1208" s="1" t="n">
        <v>45936</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7283-2023</t>
        </is>
      </c>
      <c r="B1209" s="1" t="n">
        <v>44970</v>
      </c>
      <c r="C1209" s="1" t="n">
        <v>45936</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62574-2022</t>
        </is>
      </c>
      <c r="B1210" s="1" t="n">
        <v>44924.85943287037</v>
      </c>
      <c r="C1210" s="1" t="n">
        <v>45936</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54532-2023</t>
        </is>
      </c>
      <c r="B1211" s="1" t="n">
        <v>45233</v>
      </c>
      <c r="C1211" s="1" t="n">
        <v>45936</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20847-2023</t>
        </is>
      </c>
      <c r="B1212" s="1" t="n">
        <v>45056</v>
      </c>
      <c r="C1212" s="1" t="n">
        <v>45936</v>
      </c>
      <c r="D1212" t="inlineStr">
        <is>
          <t>VÄRMLANDS LÄN</t>
        </is>
      </c>
      <c r="E1212" t="inlineStr">
        <is>
          <t>TORSBY</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46865-2025</t>
        </is>
      </c>
      <c r="B1213" s="1" t="n">
        <v>45929</v>
      </c>
      <c r="C1213" s="1" t="n">
        <v>45936</v>
      </c>
      <c r="D1213" t="inlineStr">
        <is>
          <t>VÄRMLANDS LÄN</t>
        </is>
      </c>
      <c r="E1213" t="inlineStr">
        <is>
          <t>TORSBY</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54777-2023</t>
        </is>
      </c>
      <c r="B1214" s="1" t="n">
        <v>45236</v>
      </c>
      <c r="C1214" s="1" t="n">
        <v>45936</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47736-2025</t>
        </is>
      </c>
      <c r="B1215" s="1" t="n">
        <v>45931.63822916667</v>
      </c>
      <c r="C1215" s="1" t="n">
        <v>45936</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18595-2025</t>
        </is>
      </c>
      <c r="B1216" s="1" t="n">
        <v>45763</v>
      </c>
      <c r="C1216" s="1" t="n">
        <v>45936</v>
      </c>
      <c r="D1216" t="inlineStr">
        <is>
          <t>VÄRMLANDS LÄN</t>
        </is>
      </c>
      <c r="E1216" t="inlineStr">
        <is>
          <t>TORSBY</t>
        </is>
      </c>
      <c r="F1216" t="inlineStr">
        <is>
          <t>Kyrkan</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23823-2021</t>
        </is>
      </c>
      <c r="B1217" s="1" t="n">
        <v>44335</v>
      </c>
      <c r="C1217" s="1" t="n">
        <v>45936</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15899-2024</t>
        </is>
      </c>
      <c r="B1218" s="1" t="n">
        <v>45405.4034837963</v>
      </c>
      <c r="C1218" s="1" t="n">
        <v>45936</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58304-2024</t>
        </is>
      </c>
      <c r="B1219" s="1" t="n">
        <v>45632</v>
      </c>
      <c r="C1219" s="1" t="n">
        <v>45936</v>
      </c>
      <c r="D1219" t="inlineStr">
        <is>
          <t>VÄRMLANDS LÄN</t>
        </is>
      </c>
      <c r="E1219" t="inlineStr">
        <is>
          <t>TORSBY</t>
        </is>
      </c>
      <c r="F1219" t="inlineStr">
        <is>
          <t>Bergvik skog väst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14023-2025</t>
        </is>
      </c>
      <c r="B1220" s="1" t="n">
        <v>45740</v>
      </c>
      <c r="C1220" s="1" t="n">
        <v>45936</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15398-2025</t>
        </is>
      </c>
      <c r="B1221" s="1" t="n">
        <v>45747.44309027777</v>
      </c>
      <c r="C1221" s="1" t="n">
        <v>45936</v>
      </c>
      <c r="D1221" t="inlineStr">
        <is>
          <t>VÄRMLANDS LÄN</t>
        </is>
      </c>
      <c r="E1221" t="inlineStr">
        <is>
          <t>TORSBY</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39033-2025</t>
        </is>
      </c>
      <c r="B1222" s="1" t="n">
        <v>45888</v>
      </c>
      <c r="C1222" s="1" t="n">
        <v>45936</v>
      </c>
      <c r="D1222" t="inlineStr">
        <is>
          <t>VÄRMLANDS LÄN</t>
        </is>
      </c>
      <c r="E1222" t="inlineStr">
        <is>
          <t>TORSBY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59005-2024</t>
        </is>
      </c>
      <c r="B1223" s="1" t="n">
        <v>45636.65234953703</v>
      </c>
      <c r="C1223" s="1" t="n">
        <v>45936</v>
      </c>
      <c r="D1223" t="inlineStr">
        <is>
          <t>VÄRMLANDS LÄN</t>
        </is>
      </c>
      <c r="E1223" t="inlineStr">
        <is>
          <t>TORSBY</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21580-2024</t>
        </is>
      </c>
      <c r="B1224" s="1" t="n">
        <v>45441</v>
      </c>
      <c r="C1224" s="1" t="n">
        <v>45936</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25949-2024</t>
        </is>
      </c>
      <c r="B1225" s="1" t="n">
        <v>45467.6442824074</v>
      </c>
      <c r="C1225" s="1" t="n">
        <v>45936</v>
      </c>
      <c r="D1225" t="inlineStr">
        <is>
          <t>VÄRMLANDS LÄN</t>
        </is>
      </c>
      <c r="E1225" t="inlineStr">
        <is>
          <t>TORSBY</t>
        </is>
      </c>
      <c r="F1225" t="inlineStr">
        <is>
          <t>Bergvik skog väst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13586-2023</t>
        </is>
      </c>
      <c r="B1226" s="1" t="n">
        <v>45006</v>
      </c>
      <c r="C1226" s="1" t="n">
        <v>45936</v>
      </c>
      <c r="D1226" t="inlineStr">
        <is>
          <t>VÄRMLANDS LÄN</t>
        </is>
      </c>
      <c r="E1226" t="inlineStr">
        <is>
          <t>TORSBY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62510-2023</t>
        </is>
      </c>
      <c r="B1227" s="1" t="n">
        <v>45268.61853009259</v>
      </c>
      <c r="C1227" s="1" t="n">
        <v>45936</v>
      </c>
      <c r="D1227" t="inlineStr">
        <is>
          <t>VÄRMLANDS LÄN</t>
        </is>
      </c>
      <c r="E1227" t="inlineStr">
        <is>
          <t>TORSBY</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45587-2023</t>
        </is>
      </c>
      <c r="B1228" s="1" t="n">
        <v>45194.62877314815</v>
      </c>
      <c r="C1228" s="1" t="n">
        <v>45936</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20393-2023</t>
        </is>
      </c>
      <c r="B1229" s="1" t="n">
        <v>45056</v>
      </c>
      <c r="C1229" s="1" t="n">
        <v>45936</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14917-2023</t>
        </is>
      </c>
      <c r="B1230" s="1" t="n">
        <v>45015.39938657408</v>
      </c>
      <c r="C1230" s="1" t="n">
        <v>45936</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39039-2025</t>
        </is>
      </c>
      <c r="B1231" s="1" t="n">
        <v>45888.42684027777</v>
      </c>
      <c r="C1231" s="1" t="n">
        <v>45936</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37401-2022</t>
        </is>
      </c>
      <c r="B1232" s="1" t="n">
        <v>44809</v>
      </c>
      <c r="C1232" s="1" t="n">
        <v>45936</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46503-2025</t>
        </is>
      </c>
      <c r="B1233" s="1" t="n">
        <v>45925</v>
      </c>
      <c r="C1233" s="1" t="n">
        <v>45936</v>
      </c>
      <c r="D1233" t="inlineStr">
        <is>
          <t>VÄRMLANDS LÄN</t>
        </is>
      </c>
      <c r="E1233" t="inlineStr">
        <is>
          <t>TORSBY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5365-2021</t>
        </is>
      </c>
      <c r="B1234" s="1" t="n">
        <v>44229</v>
      </c>
      <c r="C1234" s="1" t="n">
        <v>45936</v>
      </c>
      <c r="D1234" t="inlineStr">
        <is>
          <t>VÄRMLANDS LÄN</t>
        </is>
      </c>
      <c r="E1234" t="inlineStr">
        <is>
          <t>TORSBY</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15083-2024</t>
        </is>
      </c>
      <c r="B1235" s="1" t="n">
        <v>45399.63163194444</v>
      </c>
      <c r="C1235" s="1" t="n">
        <v>45936</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47621-2025</t>
        </is>
      </c>
      <c r="B1236" s="1" t="n">
        <v>45931.48322916667</v>
      </c>
      <c r="C1236" s="1" t="n">
        <v>45936</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41022-2023</t>
        </is>
      </c>
      <c r="B1237" s="1" t="n">
        <v>45173</v>
      </c>
      <c r="C1237" s="1" t="n">
        <v>45936</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27115-2024</t>
        </is>
      </c>
      <c r="B1238" s="1" t="n">
        <v>45471</v>
      </c>
      <c r="C1238" s="1" t="n">
        <v>45936</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7069-2022</t>
        </is>
      </c>
      <c r="B1239" s="1" t="n">
        <v>44603</v>
      </c>
      <c r="C1239" s="1" t="n">
        <v>45936</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21255-2023</t>
        </is>
      </c>
      <c r="B1240" s="1" t="n">
        <v>45058</v>
      </c>
      <c r="C1240" s="1" t="n">
        <v>45936</v>
      </c>
      <c r="D1240" t="inlineStr">
        <is>
          <t>VÄRMLANDS LÄN</t>
        </is>
      </c>
      <c r="E1240" t="inlineStr">
        <is>
          <t>TORSBY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2387-2025</t>
        </is>
      </c>
      <c r="B1241" s="1" t="n">
        <v>45674</v>
      </c>
      <c r="C1241" s="1" t="n">
        <v>45936</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19614-2022</t>
        </is>
      </c>
      <c r="B1242" s="1" t="n">
        <v>44694</v>
      </c>
      <c r="C1242" s="1" t="n">
        <v>45936</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1547-2024</t>
        </is>
      </c>
      <c r="B1243" s="1" t="n">
        <v>45306.48456018518</v>
      </c>
      <c r="C1243" s="1" t="n">
        <v>45936</v>
      </c>
      <c r="D1243" t="inlineStr">
        <is>
          <t>VÄRMLANDS LÄN</t>
        </is>
      </c>
      <c r="E1243" t="inlineStr">
        <is>
          <t>TORSBY</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54609-2024</t>
        </is>
      </c>
      <c r="B1244" s="1" t="n">
        <v>45617</v>
      </c>
      <c r="C1244" s="1" t="n">
        <v>45936</v>
      </c>
      <c r="D1244" t="inlineStr">
        <is>
          <t>VÄRMLANDS LÄN</t>
        </is>
      </c>
      <c r="E1244" t="inlineStr">
        <is>
          <t>TORSBY</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39059-2025</t>
        </is>
      </c>
      <c r="B1245" s="1" t="n">
        <v>45888</v>
      </c>
      <c r="C1245" s="1" t="n">
        <v>45936</v>
      </c>
      <c r="D1245" t="inlineStr">
        <is>
          <t>VÄRMLANDS LÄN</t>
        </is>
      </c>
      <c r="E1245" t="inlineStr">
        <is>
          <t>TORSBY</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62090-2024</t>
        </is>
      </c>
      <c r="B1246" s="1" t="n">
        <v>45656</v>
      </c>
      <c r="C1246" s="1" t="n">
        <v>45936</v>
      </c>
      <c r="D1246" t="inlineStr">
        <is>
          <t>VÄRMLANDS LÄN</t>
        </is>
      </c>
      <c r="E1246" t="inlineStr">
        <is>
          <t>TORSBY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62092-2024</t>
        </is>
      </c>
      <c r="B1247" s="1" t="n">
        <v>45656</v>
      </c>
      <c r="C1247" s="1" t="n">
        <v>45936</v>
      </c>
      <c r="D1247" t="inlineStr">
        <is>
          <t>VÄRMLANDS LÄN</t>
        </is>
      </c>
      <c r="E1247" t="inlineStr">
        <is>
          <t>TORSBY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11842-2025</t>
        </is>
      </c>
      <c r="B1248" s="1" t="n">
        <v>45728.36950231482</v>
      </c>
      <c r="C1248" s="1" t="n">
        <v>45936</v>
      </c>
      <c r="D1248" t="inlineStr">
        <is>
          <t>VÄRMLANDS LÄN</t>
        </is>
      </c>
      <c r="E1248" t="inlineStr">
        <is>
          <t>TORSBY</t>
        </is>
      </c>
      <c r="F1248" t="inlineStr">
        <is>
          <t>Bergvik skog väst AB</t>
        </is>
      </c>
      <c r="G1248" t="n">
        <v>32.1</v>
      </c>
      <c r="H1248" t="n">
        <v>0</v>
      </c>
      <c r="I1248" t="n">
        <v>0</v>
      </c>
      <c r="J1248" t="n">
        <v>0</v>
      </c>
      <c r="K1248" t="n">
        <v>0</v>
      </c>
      <c r="L1248" t="n">
        <v>0</v>
      </c>
      <c r="M1248" t="n">
        <v>0</v>
      </c>
      <c r="N1248" t="n">
        <v>0</v>
      </c>
      <c r="O1248" t="n">
        <v>0</v>
      </c>
      <c r="P1248" t="n">
        <v>0</v>
      </c>
      <c r="Q1248" t="n">
        <v>0</v>
      </c>
      <c r="R1248" s="2" t="inlineStr"/>
    </row>
    <row r="1249" ht="15" customHeight="1">
      <c r="A1249" t="inlineStr">
        <is>
          <t>A 47494-2025</t>
        </is>
      </c>
      <c r="B1249" s="1" t="n">
        <v>45930.78428240741</v>
      </c>
      <c r="C1249" s="1" t="n">
        <v>45936</v>
      </c>
      <c r="D1249" t="inlineStr">
        <is>
          <t>VÄRMLANDS LÄN</t>
        </is>
      </c>
      <c r="E1249" t="inlineStr">
        <is>
          <t>TORSBY</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47495-2025</t>
        </is>
      </c>
      <c r="B1250" s="1" t="n">
        <v>45930.79185185185</v>
      </c>
      <c r="C1250" s="1" t="n">
        <v>45936</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34968-2024</t>
        </is>
      </c>
      <c r="B1251" s="1" t="n">
        <v>45527.49986111111</v>
      </c>
      <c r="C1251" s="1" t="n">
        <v>45936</v>
      </c>
      <c r="D1251" t="inlineStr">
        <is>
          <t>VÄRMLANDS LÄN</t>
        </is>
      </c>
      <c r="E1251" t="inlineStr">
        <is>
          <t>TORSBY</t>
        </is>
      </c>
      <c r="F1251" t="inlineStr">
        <is>
          <t>Bergvik skog väst AB</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67933-2021</t>
        </is>
      </c>
      <c r="B1252" s="1" t="n">
        <v>44525</v>
      </c>
      <c r="C1252" s="1" t="n">
        <v>45936</v>
      </c>
      <c r="D1252" t="inlineStr">
        <is>
          <t>VÄRMLANDS LÄN</t>
        </is>
      </c>
      <c r="E1252" t="inlineStr">
        <is>
          <t>TORSBY</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39321-2025</t>
        </is>
      </c>
      <c r="B1253" s="1" t="n">
        <v>45889</v>
      </c>
      <c r="C1253" s="1" t="n">
        <v>45936</v>
      </c>
      <c r="D1253" t="inlineStr">
        <is>
          <t>VÄRMLANDS LÄN</t>
        </is>
      </c>
      <c r="E1253" t="inlineStr">
        <is>
          <t>TORSBY</t>
        </is>
      </c>
      <c r="F1253" t="inlineStr">
        <is>
          <t>Bergvik skog väst AB</t>
        </is>
      </c>
      <c r="G1253" t="n">
        <v>47.1</v>
      </c>
      <c r="H1253" t="n">
        <v>0</v>
      </c>
      <c r="I1253" t="n">
        <v>0</v>
      </c>
      <c r="J1253" t="n">
        <v>0</v>
      </c>
      <c r="K1253" t="n">
        <v>0</v>
      </c>
      <c r="L1253" t="n">
        <v>0</v>
      </c>
      <c r="M1253" t="n">
        <v>0</v>
      </c>
      <c r="N1253" t="n">
        <v>0</v>
      </c>
      <c r="O1253" t="n">
        <v>0</v>
      </c>
      <c r="P1253" t="n">
        <v>0</v>
      </c>
      <c r="Q1253" t="n">
        <v>0</v>
      </c>
      <c r="R1253" s="2" t="inlineStr"/>
    </row>
    <row r="1254" ht="15" customHeight="1">
      <c r="A1254" t="inlineStr">
        <is>
          <t>A 34164-2024</t>
        </is>
      </c>
      <c r="B1254" s="1" t="n">
        <v>45524.41924768518</v>
      </c>
      <c r="C1254" s="1" t="n">
        <v>45936</v>
      </c>
      <c r="D1254" t="inlineStr">
        <is>
          <t>VÄRMLANDS LÄN</t>
        </is>
      </c>
      <c r="E1254" t="inlineStr">
        <is>
          <t>TORSBY</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32988-2024</t>
        </is>
      </c>
      <c r="B1255" s="1" t="n">
        <v>45517.46616898148</v>
      </c>
      <c r="C1255" s="1" t="n">
        <v>45936</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4219-2024</t>
        </is>
      </c>
      <c r="B1256" s="1" t="n">
        <v>45324</v>
      </c>
      <c r="C1256" s="1" t="n">
        <v>45936</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22421-2024</t>
        </is>
      </c>
      <c r="B1257" s="1" t="n">
        <v>45446.70890046296</v>
      </c>
      <c r="C1257" s="1" t="n">
        <v>45936</v>
      </c>
      <c r="D1257" t="inlineStr">
        <is>
          <t>VÄRMLANDS LÄN</t>
        </is>
      </c>
      <c r="E1257" t="inlineStr">
        <is>
          <t>TORSBY</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13262-2024</t>
        </is>
      </c>
      <c r="B1258" s="1" t="n">
        <v>45386.59236111111</v>
      </c>
      <c r="C1258" s="1" t="n">
        <v>45936</v>
      </c>
      <c r="D1258" t="inlineStr">
        <is>
          <t>VÄRMLANDS LÄN</t>
        </is>
      </c>
      <c r="E1258" t="inlineStr">
        <is>
          <t>TORSBY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3223-2025</t>
        </is>
      </c>
      <c r="B1259" s="1" t="n">
        <v>45679</v>
      </c>
      <c r="C1259" s="1" t="n">
        <v>45936</v>
      </c>
      <c r="D1259" t="inlineStr">
        <is>
          <t>VÄRMLANDS LÄN</t>
        </is>
      </c>
      <c r="E1259" t="inlineStr">
        <is>
          <t>TORSBY</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3226-2025</t>
        </is>
      </c>
      <c r="B1260" s="1" t="n">
        <v>45679.48003472222</v>
      </c>
      <c r="C1260" s="1" t="n">
        <v>45936</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60133-2023</t>
        </is>
      </c>
      <c r="B1261" s="1" t="n">
        <v>45258</v>
      </c>
      <c r="C1261" s="1" t="n">
        <v>45936</v>
      </c>
      <c r="D1261" t="inlineStr">
        <is>
          <t>VÄRMLANDS LÄN</t>
        </is>
      </c>
      <c r="E1261" t="inlineStr">
        <is>
          <t>TORSBY</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38979-2025</t>
        </is>
      </c>
      <c r="B1262" s="1" t="n">
        <v>45887.99758101852</v>
      </c>
      <c r="C1262" s="1" t="n">
        <v>45936</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59872-2023</t>
        </is>
      </c>
      <c r="B1263" s="1" t="n">
        <v>45257.58666666667</v>
      </c>
      <c r="C1263" s="1" t="n">
        <v>45936</v>
      </c>
      <c r="D1263" t="inlineStr">
        <is>
          <t>VÄRMLANDS LÄN</t>
        </is>
      </c>
      <c r="E1263" t="inlineStr">
        <is>
          <t>TORSBY</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22705-2023</t>
        </is>
      </c>
      <c r="B1264" s="1" t="n">
        <v>45071</v>
      </c>
      <c r="C1264" s="1" t="n">
        <v>45936</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7133-2023</t>
        </is>
      </c>
      <c r="B1265" s="1" t="n">
        <v>44970.43622685185</v>
      </c>
      <c r="C1265" s="1" t="n">
        <v>45936</v>
      </c>
      <c r="D1265" t="inlineStr">
        <is>
          <t>VÄRMLANDS LÄN</t>
        </is>
      </c>
      <c r="E1265" t="inlineStr">
        <is>
          <t>TORSBY</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61206-2024</t>
        </is>
      </c>
      <c r="B1266" s="1" t="n">
        <v>45645.64626157407</v>
      </c>
      <c r="C1266" s="1" t="n">
        <v>45936</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51823-2024</t>
        </is>
      </c>
      <c r="B1267" s="1" t="n">
        <v>45607</v>
      </c>
      <c r="C1267" s="1" t="n">
        <v>45936</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43157-2021</t>
        </is>
      </c>
      <c r="B1268" s="1" t="n">
        <v>44431</v>
      </c>
      <c r="C1268" s="1" t="n">
        <v>45936</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39454-2025</t>
        </is>
      </c>
      <c r="B1269" s="1" t="n">
        <v>45889.7462962963</v>
      </c>
      <c r="C1269" s="1" t="n">
        <v>45936</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17024-2024</t>
        </is>
      </c>
      <c r="B1270" s="1" t="n">
        <v>45412.38322916667</v>
      </c>
      <c r="C1270" s="1" t="n">
        <v>45936</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59781-2023</t>
        </is>
      </c>
      <c r="B1271" s="1" t="n">
        <v>45257.44043981482</v>
      </c>
      <c r="C1271" s="1" t="n">
        <v>45936</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39815-2025</t>
        </is>
      </c>
      <c r="B1272" s="1" t="n">
        <v>45891.52760416667</v>
      </c>
      <c r="C1272" s="1" t="n">
        <v>45936</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57393-2022</t>
        </is>
      </c>
      <c r="B1273" s="1" t="n">
        <v>44896.47630787037</v>
      </c>
      <c r="C1273" s="1" t="n">
        <v>45936</v>
      </c>
      <c r="D1273" t="inlineStr">
        <is>
          <t>VÄRMLANDS LÄN</t>
        </is>
      </c>
      <c r="E1273" t="inlineStr">
        <is>
          <t>TORSBY</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39652-2025</t>
        </is>
      </c>
      <c r="B1274" s="1" t="n">
        <v>45890.61689814815</v>
      </c>
      <c r="C1274" s="1" t="n">
        <v>45936</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62258-2023</t>
        </is>
      </c>
      <c r="B1275" s="1" t="n">
        <v>45266</v>
      </c>
      <c r="C1275" s="1" t="n">
        <v>45936</v>
      </c>
      <c r="D1275" t="inlineStr">
        <is>
          <t>VÄRMLANDS LÄN</t>
        </is>
      </c>
      <c r="E1275" t="inlineStr">
        <is>
          <t>TORSBY</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18115-2025</t>
        </is>
      </c>
      <c r="B1276" s="1" t="n">
        <v>45761</v>
      </c>
      <c r="C1276" s="1" t="n">
        <v>45936</v>
      </c>
      <c r="D1276" t="inlineStr">
        <is>
          <t>VÄRMLANDS LÄN</t>
        </is>
      </c>
      <c r="E1276" t="inlineStr">
        <is>
          <t>TORSBY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44292-2025</t>
        </is>
      </c>
      <c r="B1277" s="1" t="n">
        <v>45915</v>
      </c>
      <c r="C1277" s="1" t="n">
        <v>45936</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19743-2025</t>
        </is>
      </c>
      <c r="B1278" s="1" t="n">
        <v>45771.37554398148</v>
      </c>
      <c r="C1278" s="1" t="n">
        <v>45936</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52801-2024</t>
        </is>
      </c>
      <c r="B1279" s="1" t="n">
        <v>45610.56784722222</v>
      </c>
      <c r="C1279" s="1" t="n">
        <v>45936</v>
      </c>
      <c r="D1279" t="inlineStr">
        <is>
          <t>VÄRMLANDS LÄN</t>
        </is>
      </c>
      <c r="E1279" t="inlineStr">
        <is>
          <t>TORSBY</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20843-2025</t>
        </is>
      </c>
      <c r="B1280" s="1" t="n">
        <v>45776.9233912037</v>
      </c>
      <c r="C1280" s="1" t="n">
        <v>45936</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20816-2025</t>
        </is>
      </c>
      <c r="B1281" s="1" t="n">
        <v>45776</v>
      </c>
      <c r="C1281" s="1" t="n">
        <v>45936</v>
      </c>
      <c r="D1281" t="inlineStr">
        <is>
          <t>VÄRMLANDS LÄN</t>
        </is>
      </c>
      <c r="E1281" t="inlineStr">
        <is>
          <t>TORSBY</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15022-2025</t>
        </is>
      </c>
      <c r="B1282" s="1" t="n">
        <v>45743</v>
      </c>
      <c r="C1282" s="1" t="n">
        <v>45936</v>
      </c>
      <c r="D1282" t="inlineStr">
        <is>
          <t>VÄRMLANDS LÄN</t>
        </is>
      </c>
      <c r="E1282" t="inlineStr">
        <is>
          <t>TORSBY</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11364-2023</t>
        </is>
      </c>
      <c r="B1283" s="1" t="n">
        <v>44993.43150462963</v>
      </c>
      <c r="C1283" s="1" t="n">
        <v>45936</v>
      </c>
      <c r="D1283" t="inlineStr">
        <is>
          <t>VÄRMLANDS LÄN</t>
        </is>
      </c>
      <c r="E1283" t="inlineStr">
        <is>
          <t>TORSBY</t>
        </is>
      </c>
      <c r="G1283" t="n">
        <v>31.9</v>
      </c>
      <c r="H1283" t="n">
        <v>0</v>
      </c>
      <c r="I1283" t="n">
        <v>0</v>
      </c>
      <c r="J1283" t="n">
        <v>0</v>
      </c>
      <c r="K1283" t="n">
        <v>0</v>
      </c>
      <c r="L1283" t="n">
        <v>0</v>
      </c>
      <c r="M1283" t="n">
        <v>0</v>
      </c>
      <c r="N1283" t="n">
        <v>0</v>
      </c>
      <c r="O1283" t="n">
        <v>0</v>
      </c>
      <c r="P1283" t="n">
        <v>0</v>
      </c>
      <c r="Q1283" t="n">
        <v>0</v>
      </c>
      <c r="R1283" s="2" t="inlineStr"/>
    </row>
    <row r="1284" ht="15" customHeight="1">
      <c r="A1284" t="inlineStr">
        <is>
          <t>A 46702-2025</t>
        </is>
      </c>
      <c r="B1284" s="1" t="n">
        <v>45926</v>
      </c>
      <c r="C1284" s="1" t="n">
        <v>45936</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30789-2024</t>
        </is>
      </c>
      <c r="B1285" s="1" t="n">
        <v>45497.178125</v>
      </c>
      <c r="C1285" s="1" t="n">
        <v>45936</v>
      </c>
      <c r="D1285" t="inlineStr">
        <is>
          <t>VÄRMLANDS LÄN</t>
        </is>
      </c>
      <c r="E1285" t="inlineStr">
        <is>
          <t>TORSBY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46503-2024</t>
        </is>
      </c>
      <c r="B1286" s="1" t="n">
        <v>45582</v>
      </c>
      <c r="C1286" s="1" t="n">
        <v>45936</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20740-2025</t>
        </is>
      </c>
      <c r="B1287" s="1" t="n">
        <v>45776.54284722222</v>
      </c>
      <c r="C1287" s="1" t="n">
        <v>45936</v>
      </c>
      <c r="D1287" t="inlineStr">
        <is>
          <t>VÄRMLANDS LÄN</t>
        </is>
      </c>
      <c r="E1287" t="inlineStr">
        <is>
          <t>TORSBY</t>
        </is>
      </c>
      <c r="F1287" t="inlineStr">
        <is>
          <t>Bergvik skog väst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43787-2025</t>
        </is>
      </c>
      <c r="B1288" s="1" t="n">
        <v>45912</v>
      </c>
      <c r="C1288" s="1" t="n">
        <v>45936</v>
      </c>
      <c r="D1288" t="inlineStr">
        <is>
          <t>VÄRMLANDS LÄN</t>
        </is>
      </c>
      <c r="E1288" t="inlineStr">
        <is>
          <t>TORSBY</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27101-2024</t>
        </is>
      </c>
      <c r="B1289" s="1" t="n">
        <v>45471</v>
      </c>
      <c r="C1289" s="1" t="n">
        <v>45936</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27116-2024</t>
        </is>
      </c>
      <c r="B1290" s="1" t="n">
        <v>45471.5056712963</v>
      </c>
      <c r="C1290" s="1" t="n">
        <v>45936</v>
      </c>
      <c r="D1290" t="inlineStr">
        <is>
          <t>VÄRMLANDS LÄN</t>
        </is>
      </c>
      <c r="E1290" t="inlineStr">
        <is>
          <t>TORSBY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18096-2025</t>
        </is>
      </c>
      <c r="B1291" s="1" t="n">
        <v>45761</v>
      </c>
      <c r="C1291" s="1" t="n">
        <v>45936</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20914-2025</t>
        </is>
      </c>
      <c r="B1292" s="1" t="n">
        <v>45777</v>
      </c>
      <c r="C1292" s="1" t="n">
        <v>45936</v>
      </c>
      <c r="D1292" t="inlineStr">
        <is>
          <t>VÄRMLANDS LÄN</t>
        </is>
      </c>
      <c r="E1292" t="inlineStr">
        <is>
          <t>TORSBY</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20773-2025</t>
        </is>
      </c>
      <c r="B1293" s="1" t="n">
        <v>45776.59321759259</v>
      </c>
      <c r="C1293" s="1" t="n">
        <v>45936</v>
      </c>
      <c r="D1293" t="inlineStr">
        <is>
          <t>VÄRMLANDS LÄN</t>
        </is>
      </c>
      <c r="E1293" t="inlineStr">
        <is>
          <t>TORSBY</t>
        </is>
      </c>
      <c r="F1293" t="inlineStr">
        <is>
          <t>Bergvik skog väst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47927-2025</t>
        </is>
      </c>
      <c r="B1294" s="1" t="n">
        <v>45932.54604166667</v>
      </c>
      <c r="C1294" s="1" t="n">
        <v>45936</v>
      </c>
      <c r="D1294" t="inlineStr">
        <is>
          <t>VÄRMLANDS LÄN</t>
        </is>
      </c>
      <c r="E1294" t="inlineStr">
        <is>
          <t>TORSBY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39743-2025</t>
        </is>
      </c>
      <c r="B1295" s="1" t="n">
        <v>45891</v>
      </c>
      <c r="C1295" s="1" t="n">
        <v>45936</v>
      </c>
      <c r="D1295" t="inlineStr">
        <is>
          <t>VÄRMLANDS LÄN</t>
        </is>
      </c>
      <c r="E1295" t="inlineStr">
        <is>
          <t>TORSBY</t>
        </is>
      </c>
      <c r="F1295" t="inlineStr">
        <is>
          <t>Bergvik skog väst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39731-2025</t>
        </is>
      </c>
      <c r="B1296" s="1" t="n">
        <v>45891</v>
      </c>
      <c r="C1296" s="1" t="n">
        <v>45936</v>
      </c>
      <c r="D1296" t="inlineStr">
        <is>
          <t>VÄRMLANDS LÄN</t>
        </is>
      </c>
      <c r="E1296" t="inlineStr">
        <is>
          <t>TORSBY</t>
        </is>
      </c>
      <c r="F1296" t="inlineStr">
        <is>
          <t>Bergvik skog väst AB</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48375-2025</t>
        </is>
      </c>
      <c r="B1297" s="1" t="n">
        <v>45933.71201388889</v>
      </c>
      <c r="C1297" s="1" t="n">
        <v>45936</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14369-2025</t>
        </is>
      </c>
      <c r="B1298" s="1" t="n">
        <v>45741</v>
      </c>
      <c r="C1298" s="1" t="n">
        <v>45936</v>
      </c>
      <c r="D1298" t="inlineStr">
        <is>
          <t>VÄRMLANDS LÄN</t>
        </is>
      </c>
      <c r="E1298" t="inlineStr">
        <is>
          <t>TORSBY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39499-2025</t>
        </is>
      </c>
      <c r="B1299" s="1" t="n">
        <v>45890</v>
      </c>
      <c r="C1299" s="1" t="n">
        <v>45936</v>
      </c>
      <c r="D1299" t="inlineStr">
        <is>
          <t>VÄRMLANDS LÄN</t>
        </is>
      </c>
      <c r="E1299" t="inlineStr">
        <is>
          <t>TORSBY</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54822-2023</t>
        </is>
      </c>
      <c r="B1300" s="1" t="n">
        <v>45229</v>
      </c>
      <c r="C1300" s="1" t="n">
        <v>45936</v>
      </c>
      <c r="D1300" t="inlineStr">
        <is>
          <t>VÄRMLANDS LÄN</t>
        </is>
      </c>
      <c r="E1300" t="inlineStr">
        <is>
          <t>TORSBY</t>
        </is>
      </c>
      <c r="F1300" t="inlineStr">
        <is>
          <t>Övriga Aktiebolag</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47619-2024</t>
        </is>
      </c>
      <c r="B1301" s="1" t="n">
        <v>45588.32371527778</v>
      </c>
      <c r="C1301" s="1" t="n">
        <v>45936</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41130-2022</t>
        </is>
      </c>
      <c r="B1302" s="1" t="n">
        <v>44825</v>
      </c>
      <c r="C1302" s="1" t="n">
        <v>45936</v>
      </c>
      <c r="D1302" t="inlineStr">
        <is>
          <t>VÄRMLANDS LÄN</t>
        </is>
      </c>
      <c r="E1302" t="inlineStr">
        <is>
          <t>TORSBY</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36775-2024</t>
        </is>
      </c>
      <c r="B1303" s="1" t="n">
        <v>45538</v>
      </c>
      <c r="C1303" s="1" t="n">
        <v>45936</v>
      </c>
      <c r="D1303" t="inlineStr">
        <is>
          <t>VÄRMLANDS LÄN</t>
        </is>
      </c>
      <c r="E1303" t="inlineStr">
        <is>
          <t>TORSBY</t>
        </is>
      </c>
      <c r="F1303" t="inlineStr">
        <is>
          <t>Kyrkan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2009-2025</t>
        </is>
      </c>
      <c r="B1304" s="1" t="n">
        <v>45672</v>
      </c>
      <c r="C1304" s="1" t="n">
        <v>45936</v>
      </c>
      <c r="D1304" t="inlineStr">
        <is>
          <t>VÄRMLANDS LÄN</t>
        </is>
      </c>
      <c r="E1304" t="inlineStr">
        <is>
          <t>TORSBY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21274-2025</t>
        </is>
      </c>
      <c r="B1305" s="1" t="n">
        <v>45779.62877314815</v>
      </c>
      <c r="C1305" s="1" t="n">
        <v>45936</v>
      </c>
      <c r="D1305" t="inlineStr">
        <is>
          <t>VÄRMLANDS LÄN</t>
        </is>
      </c>
      <c r="E1305" t="inlineStr">
        <is>
          <t>TORSBY</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39845-2025</t>
        </is>
      </c>
      <c r="B1306" s="1" t="n">
        <v>45891</v>
      </c>
      <c r="C1306" s="1" t="n">
        <v>45936</v>
      </c>
      <c r="D1306" t="inlineStr">
        <is>
          <t>VÄRMLANDS LÄN</t>
        </is>
      </c>
      <c r="E1306" t="inlineStr">
        <is>
          <t>TORSBY</t>
        </is>
      </c>
      <c r="F1306" t="inlineStr">
        <is>
          <t>Bergvik skog väst AB</t>
        </is>
      </c>
      <c r="G1306" t="n">
        <v>14.1</v>
      </c>
      <c r="H1306" t="n">
        <v>0</v>
      </c>
      <c r="I1306" t="n">
        <v>0</v>
      </c>
      <c r="J1306" t="n">
        <v>0</v>
      </c>
      <c r="K1306" t="n">
        <v>0</v>
      </c>
      <c r="L1306" t="n">
        <v>0</v>
      </c>
      <c r="M1306" t="n">
        <v>0</v>
      </c>
      <c r="N1306" t="n">
        <v>0</v>
      </c>
      <c r="O1306" t="n">
        <v>0</v>
      </c>
      <c r="P1306" t="n">
        <v>0</v>
      </c>
      <c r="Q1306" t="n">
        <v>0</v>
      </c>
      <c r="R1306" s="2" t="inlineStr"/>
    </row>
    <row r="1307" ht="15" customHeight="1">
      <c r="A1307" t="inlineStr">
        <is>
          <t>A 21462-2025</t>
        </is>
      </c>
      <c r="B1307" s="1" t="n">
        <v>45782.56770833334</v>
      </c>
      <c r="C1307" s="1" t="n">
        <v>45936</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14730-2024</t>
        </is>
      </c>
      <c r="B1308" s="1" t="n">
        <v>45397.58518518518</v>
      </c>
      <c r="C1308" s="1" t="n">
        <v>45936</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36758-2024</t>
        </is>
      </c>
      <c r="B1309" s="1" t="n">
        <v>45538.35525462963</v>
      </c>
      <c r="C1309" s="1" t="n">
        <v>45936</v>
      </c>
      <c r="D1309" t="inlineStr">
        <is>
          <t>VÄRMLANDS LÄN</t>
        </is>
      </c>
      <c r="E1309" t="inlineStr">
        <is>
          <t>TORSBY</t>
        </is>
      </c>
      <c r="F1309" t="inlineStr">
        <is>
          <t>Kyrkan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52057-2024</t>
        </is>
      </c>
      <c r="B1310" s="1" t="n">
        <v>45608</v>
      </c>
      <c r="C1310" s="1" t="n">
        <v>45936</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21808-2025</t>
        </is>
      </c>
      <c r="B1311" s="1" t="n">
        <v>45783.70846064815</v>
      </c>
      <c r="C1311" s="1" t="n">
        <v>45936</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2390-2025</t>
        </is>
      </c>
      <c r="B1312" s="1" t="n">
        <v>45674.32071759259</v>
      </c>
      <c r="C1312" s="1" t="n">
        <v>45936</v>
      </c>
      <c r="D1312" t="inlineStr">
        <is>
          <t>VÄRMLANDS LÄN</t>
        </is>
      </c>
      <c r="E1312" t="inlineStr">
        <is>
          <t>TORSBY</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14581-2023</t>
        </is>
      </c>
      <c r="B1313" s="1" t="n">
        <v>45013.52122685185</v>
      </c>
      <c r="C1313" s="1" t="n">
        <v>45936</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48180-2025</t>
        </is>
      </c>
      <c r="B1314" s="1" t="n">
        <v>45933.45245370371</v>
      </c>
      <c r="C1314" s="1" t="n">
        <v>45936</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54865-2022</t>
        </is>
      </c>
      <c r="B1315" s="1" t="n">
        <v>44884</v>
      </c>
      <c r="C1315" s="1" t="n">
        <v>45936</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18897-2024</t>
        </is>
      </c>
      <c r="B1316" s="1" t="n">
        <v>45427.34046296297</v>
      </c>
      <c r="C1316" s="1" t="n">
        <v>45936</v>
      </c>
      <c r="D1316" t="inlineStr">
        <is>
          <t>VÄRMLANDS LÄN</t>
        </is>
      </c>
      <c r="E1316" t="inlineStr">
        <is>
          <t>TORSBY</t>
        </is>
      </c>
      <c r="F1316" t="inlineStr">
        <is>
          <t>Övriga statliga verk och myndigheter</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61157-2023</t>
        </is>
      </c>
      <c r="B1317" s="1" t="n">
        <v>45261.98796296296</v>
      </c>
      <c r="C1317" s="1" t="n">
        <v>45936</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14613-2025</t>
        </is>
      </c>
      <c r="B1318" s="1" t="n">
        <v>45742.39615740741</v>
      </c>
      <c r="C1318" s="1" t="n">
        <v>45936</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39565-2025</t>
        </is>
      </c>
      <c r="B1319" s="1" t="n">
        <v>45890</v>
      </c>
      <c r="C1319" s="1" t="n">
        <v>45936</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2662-2024</t>
        </is>
      </c>
      <c r="B1320" s="1" t="n">
        <v>45314.38747685185</v>
      </c>
      <c r="C1320" s="1" t="n">
        <v>45936</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8033-2022</t>
        </is>
      </c>
      <c r="B1321" s="1" t="n">
        <v>44609.43644675926</v>
      </c>
      <c r="C1321" s="1" t="n">
        <v>45936</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21759-2025</t>
        </is>
      </c>
      <c r="B1322" s="1" t="n">
        <v>45783</v>
      </c>
      <c r="C1322" s="1" t="n">
        <v>45936</v>
      </c>
      <c r="D1322" t="inlineStr">
        <is>
          <t>VÄRMLANDS LÄN</t>
        </is>
      </c>
      <c r="E1322" t="inlineStr">
        <is>
          <t>TORSBY</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21324-2025</t>
        </is>
      </c>
      <c r="B1323" s="1" t="n">
        <v>45782.34947916667</v>
      </c>
      <c r="C1323" s="1" t="n">
        <v>45936</v>
      </c>
      <c r="D1323" t="inlineStr">
        <is>
          <t>VÄRMLANDS LÄN</t>
        </is>
      </c>
      <c r="E1323" t="inlineStr">
        <is>
          <t>TORSBY</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21576-2025</t>
        </is>
      </c>
      <c r="B1324" s="1" t="n">
        <v>45782.86440972222</v>
      </c>
      <c r="C1324" s="1" t="n">
        <v>45936</v>
      </c>
      <c r="D1324" t="inlineStr">
        <is>
          <t>VÄRMLANDS LÄN</t>
        </is>
      </c>
      <c r="E1324" t="inlineStr">
        <is>
          <t>TORSBY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39473-2025</t>
        </is>
      </c>
      <c r="B1325" s="1" t="n">
        <v>45890</v>
      </c>
      <c r="C1325" s="1" t="n">
        <v>45936</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41633-2021</t>
        </is>
      </c>
      <c r="B1326" s="1" t="n">
        <v>44425</v>
      </c>
      <c r="C1326" s="1" t="n">
        <v>45936</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48020-2025</t>
        </is>
      </c>
      <c r="B1327" s="1" t="n">
        <v>45932</v>
      </c>
      <c r="C1327" s="1" t="n">
        <v>45936</v>
      </c>
      <c r="D1327" t="inlineStr">
        <is>
          <t>VÄRMLANDS LÄN</t>
        </is>
      </c>
      <c r="E1327" t="inlineStr">
        <is>
          <t>TORSBY</t>
        </is>
      </c>
      <c r="F1327" t="inlineStr">
        <is>
          <t>Bergvik skog väst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1166-2023</t>
        </is>
      </c>
      <c r="B1328" s="1" t="n">
        <v>44935</v>
      </c>
      <c r="C1328" s="1" t="n">
        <v>45936</v>
      </c>
      <c r="D1328" t="inlineStr">
        <is>
          <t>VÄRMLANDS LÄN</t>
        </is>
      </c>
      <c r="E1328" t="inlineStr">
        <is>
          <t>TORSBY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25313-2024</t>
        </is>
      </c>
      <c r="B1329" s="1" t="n">
        <v>45462</v>
      </c>
      <c r="C1329" s="1" t="n">
        <v>45936</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46102-2025</t>
        </is>
      </c>
      <c r="B1330" s="1" t="n">
        <v>45924</v>
      </c>
      <c r="C1330" s="1" t="n">
        <v>45936</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46110-2025</t>
        </is>
      </c>
      <c r="B1331" s="1" t="n">
        <v>45924</v>
      </c>
      <c r="C1331" s="1" t="n">
        <v>45936</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11121-2024</t>
        </is>
      </c>
      <c r="B1332" s="1" t="n">
        <v>45371.40634259259</v>
      </c>
      <c r="C1332" s="1" t="n">
        <v>45936</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59097-2022</t>
        </is>
      </c>
      <c r="B1333" s="1" t="n">
        <v>44904</v>
      </c>
      <c r="C1333" s="1" t="n">
        <v>45936</v>
      </c>
      <c r="D1333" t="inlineStr">
        <is>
          <t>VÄRMLANDS LÄN</t>
        </is>
      </c>
      <c r="E1333" t="inlineStr">
        <is>
          <t>TORSBY</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37279-2022</t>
        </is>
      </c>
      <c r="B1334" s="1" t="n">
        <v>44807</v>
      </c>
      <c r="C1334" s="1" t="n">
        <v>45936</v>
      </c>
      <c r="D1334" t="inlineStr">
        <is>
          <t>VÄRMLANDS LÄN</t>
        </is>
      </c>
      <c r="E1334" t="inlineStr">
        <is>
          <t>TORSBY</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39919-2025</t>
        </is>
      </c>
      <c r="B1335" s="1" t="n">
        <v>45891.66664351852</v>
      </c>
      <c r="C1335" s="1" t="n">
        <v>45936</v>
      </c>
      <c r="D1335" t="inlineStr">
        <is>
          <t>VÄRMLANDS LÄN</t>
        </is>
      </c>
      <c r="E1335" t="inlineStr">
        <is>
          <t>TORSBY</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33495-2024</t>
        </is>
      </c>
      <c r="B1336" s="1" t="n">
        <v>45519</v>
      </c>
      <c r="C1336" s="1" t="n">
        <v>45936</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33085-2024</t>
        </is>
      </c>
      <c r="B1337" s="1" t="n">
        <v>45517.67784722222</v>
      </c>
      <c r="C1337" s="1" t="n">
        <v>45936</v>
      </c>
      <c r="D1337" t="inlineStr">
        <is>
          <t>VÄRMLANDS LÄN</t>
        </is>
      </c>
      <c r="E1337" t="inlineStr">
        <is>
          <t>TORSBY</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6448-2025</t>
        </is>
      </c>
      <c r="B1338" s="1" t="n">
        <v>45699</v>
      </c>
      <c r="C1338" s="1" t="n">
        <v>45936</v>
      </c>
      <c r="D1338" t="inlineStr">
        <is>
          <t>VÄRMLANDS LÄN</t>
        </is>
      </c>
      <c r="E1338" t="inlineStr">
        <is>
          <t>TORSBY</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46695-2025</t>
        </is>
      </c>
      <c r="B1339" s="1" t="n">
        <v>45926</v>
      </c>
      <c r="C1339" s="1" t="n">
        <v>45936</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9942-2025</t>
        </is>
      </c>
      <c r="B1340" s="1" t="n">
        <v>45719</v>
      </c>
      <c r="C1340" s="1" t="n">
        <v>45936</v>
      </c>
      <c r="D1340" t="inlineStr">
        <is>
          <t>VÄRMLANDS LÄN</t>
        </is>
      </c>
      <c r="E1340" t="inlineStr">
        <is>
          <t>TORSBY</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48202-2025</t>
        </is>
      </c>
      <c r="B1341" s="1" t="n">
        <v>45933.48121527778</v>
      </c>
      <c r="C1341" s="1" t="n">
        <v>45936</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21744-2024</t>
        </is>
      </c>
      <c r="B1342" s="1" t="n">
        <v>45442</v>
      </c>
      <c r="C1342" s="1" t="n">
        <v>45936</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37340-2022</t>
        </is>
      </c>
      <c r="B1343" s="1" t="n">
        <v>44809</v>
      </c>
      <c r="C1343" s="1" t="n">
        <v>45936</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20170-2021</t>
        </is>
      </c>
      <c r="B1344" s="1" t="n">
        <v>44312</v>
      </c>
      <c r="C1344" s="1" t="n">
        <v>45936</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22090-2025</t>
        </is>
      </c>
      <c r="B1345" s="1" t="n">
        <v>45785.45212962963</v>
      </c>
      <c r="C1345" s="1" t="n">
        <v>45936</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59236-2023</t>
        </is>
      </c>
      <c r="B1346" s="1" t="n">
        <v>45253</v>
      </c>
      <c r="C1346" s="1" t="n">
        <v>45936</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44141-2025</t>
        </is>
      </c>
      <c r="B1347" s="1" t="n">
        <v>45915</v>
      </c>
      <c r="C1347" s="1" t="n">
        <v>45936</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44220-2025</t>
        </is>
      </c>
      <c r="B1348" s="1" t="n">
        <v>45915</v>
      </c>
      <c r="C1348" s="1" t="n">
        <v>45936</v>
      </c>
      <c r="D1348" t="inlineStr">
        <is>
          <t>VÄRMLANDS LÄN</t>
        </is>
      </c>
      <c r="E1348" t="inlineStr">
        <is>
          <t>TORSBY</t>
        </is>
      </c>
      <c r="F1348" t="inlineStr">
        <is>
          <t>Kommuner</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21860-2025</t>
        </is>
      </c>
      <c r="B1349" s="1" t="n">
        <v>45784.36465277777</v>
      </c>
      <c r="C1349" s="1" t="n">
        <v>45936</v>
      </c>
      <c r="D1349" t="inlineStr">
        <is>
          <t>VÄRMLANDS LÄN</t>
        </is>
      </c>
      <c r="E1349" t="inlineStr">
        <is>
          <t>TORSBY</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48214-2025</t>
        </is>
      </c>
      <c r="B1350" s="1" t="n">
        <v>45933.49465277778</v>
      </c>
      <c r="C1350" s="1" t="n">
        <v>45936</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8022-2025</t>
        </is>
      </c>
      <c r="B1351" s="1" t="n">
        <v>45707.57733796296</v>
      </c>
      <c r="C1351" s="1" t="n">
        <v>45936</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21963-2025</t>
        </is>
      </c>
      <c r="B1352" s="1" t="n">
        <v>45784</v>
      </c>
      <c r="C1352" s="1" t="n">
        <v>45936</v>
      </c>
      <c r="D1352" t="inlineStr">
        <is>
          <t>VÄRMLANDS LÄN</t>
        </is>
      </c>
      <c r="E1352" t="inlineStr">
        <is>
          <t>TORSBY</t>
        </is>
      </c>
      <c r="F1352" t="inlineStr">
        <is>
          <t>Bergvik skog väst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21974-2025</t>
        </is>
      </c>
      <c r="B1353" s="1" t="n">
        <v>45784.63689814815</v>
      </c>
      <c r="C1353" s="1" t="n">
        <v>45936</v>
      </c>
      <c r="D1353" t="inlineStr">
        <is>
          <t>VÄRMLANDS LÄN</t>
        </is>
      </c>
      <c r="E1353" t="inlineStr">
        <is>
          <t>TORSBY</t>
        </is>
      </c>
      <c r="F1353" t="inlineStr">
        <is>
          <t>Bergvik skog väst AB</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33078-2024</t>
        </is>
      </c>
      <c r="B1354" s="1" t="n">
        <v>45517</v>
      </c>
      <c r="C1354" s="1" t="n">
        <v>45936</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36175-2024</t>
        </is>
      </c>
      <c r="B1355" s="1" t="n">
        <v>45534.40834490741</v>
      </c>
      <c r="C1355" s="1" t="n">
        <v>45936</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43420-2024</t>
        </is>
      </c>
      <c r="B1356" s="1" t="n">
        <v>45568</v>
      </c>
      <c r="C1356" s="1" t="n">
        <v>45936</v>
      </c>
      <c r="D1356" t="inlineStr">
        <is>
          <t>VÄRMLANDS LÄN</t>
        </is>
      </c>
      <c r="E1356" t="inlineStr">
        <is>
          <t>TORSBY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42662-2024</t>
        </is>
      </c>
      <c r="B1357" s="1" t="n">
        <v>45566</v>
      </c>
      <c r="C1357" s="1" t="n">
        <v>45936</v>
      </c>
      <c r="D1357" t="inlineStr">
        <is>
          <t>VÄRMLANDS LÄN</t>
        </is>
      </c>
      <c r="E1357" t="inlineStr">
        <is>
          <t>TORSBY</t>
        </is>
      </c>
      <c r="F1357" t="inlineStr">
        <is>
          <t>Bergvik skog väst AB</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36184-2024</t>
        </is>
      </c>
      <c r="B1358" s="1" t="n">
        <v>45534.4178125</v>
      </c>
      <c r="C1358" s="1" t="n">
        <v>45936</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24113-2024</t>
        </is>
      </c>
      <c r="B1359" s="1" t="n">
        <v>45456.61590277778</v>
      </c>
      <c r="C1359" s="1" t="n">
        <v>45936</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47624-2025</t>
        </is>
      </c>
      <c r="B1360" s="1" t="n">
        <v>45931.48381944445</v>
      </c>
      <c r="C1360" s="1" t="n">
        <v>45936</v>
      </c>
      <c r="D1360" t="inlineStr">
        <is>
          <t>VÄRMLANDS LÄN</t>
        </is>
      </c>
      <c r="E1360" t="inlineStr">
        <is>
          <t>TORSBY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55036-2024</t>
        </is>
      </c>
      <c r="B1361" s="1" t="n">
        <v>45621.38342592592</v>
      </c>
      <c r="C1361" s="1" t="n">
        <v>45936</v>
      </c>
      <c r="D1361" t="inlineStr">
        <is>
          <t>VÄRMLANDS LÄN</t>
        </is>
      </c>
      <c r="E1361" t="inlineStr">
        <is>
          <t>TORSBY</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19031-2021</t>
        </is>
      </c>
      <c r="B1362" s="1" t="n">
        <v>44308.51076388889</v>
      </c>
      <c r="C1362" s="1" t="n">
        <v>45936</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22178-2025</t>
        </is>
      </c>
      <c r="B1363" s="1" t="n">
        <v>45785</v>
      </c>
      <c r="C1363" s="1" t="n">
        <v>45936</v>
      </c>
      <c r="D1363" t="inlineStr">
        <is>
          <t>VÄRMLANDS LÄN</t>
        </is>
      </c>
      <c r="E1363" t="inlineStr">
        <is>
          <t>TORSBY</t>
        </is>
      </c>
      <c r="G1363" t="n">
        <v>25.5</v>
      </c>
      <c r="H1363" t="n">
        <v>0</v>
      </c>
      <c r="I1363" t="n">
        <v>0</v>
      </c>
      <c r="J1363" t="n">
        <v>0</v>
      </c>
      <c r="K1363" t="n">
        <v>0</v>
      </c>
      <c r="L1363" t="n">
        <v>0</v>
      </c>
      <c r="M1363" t="n">
        <v>0</v>
      </c>
      <c r="N1363" t="n">
        <v>0</v>
      </c>
      <c r="O1363" t="n">
        <v>0</v>
      </c>
      <c r="P1363" t="n">
        <v>0</v>
      </c>
      <c r="Q1363" t="n">
        <v>0</v>
      </c>
      <c r="R1363" s="2" t="inlineStr"/>
    </row>
    <row r="1364" ht="15" customHeight="1">
      <c r="A1364" t="inlineStr">
        <is>
          <t>A 14801-2025</t>
        </is>
      </c>
      <c r="B1364" s="1" t="n">
        <v>45743</v>
      </c>
      <c r="C1364" s="1" t="n">
        <v>45936</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20633-2024</t>
        </is>
      </c>
      <c r="B1365" s="1" t="n">
        <v>45436</v>
      </c>
      <c r="C1365" s="1" t="n">
        <v>45936</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68603-2020</t>
        </is>
      </c>
      <c r="B1366" s="1" t="n">
        <v>44186</v>
      </c>
      <c r="C1366" s="1" t="n">
        <v>45936</v>
      </c>
      <c r="D1366" t="inlineStr">
        <is>
          <t>VÄRMLANDS LÄN</t>
        </is>
      </c>
      <c r="E1366" t="inlineStr">
        <is>
          <t>TORSBY</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45231-2023</t>
        </is>
      </c>
      <c r="B1367" s="1" t="n">
        <v>45191</v>
      </c>
      <c r="C1367" s="1" t="n">
        <v>45936</v>
      </c>
      <c r="D1367" t="inlineStr">
        <is>
          <t>VÄRMLANDS LÄN</t>
        </is>
      </c>
      <c r="E1367" t="inlineStr">
        <is>
          <t>TORSBY</t>
        </is>
      </c>
      <c r="F1367" t="inlineStr">
        <is>
          <t>Bergvik skog väst AB</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40590-2021</t>
        </is>
      </c>
      <c r="B1368" s="1" t="n">
        <v>44420</v>
      </c>
      <c r="C1368" s="1" t="n">
        <v>45936</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44986.59697916666</v>
      </c>
      <c r="C1369" s="1" t="n">
        <v>45936</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73874-2021</t>
        </is>
      </c>
      <c r="B1370" s="1" t="n">
        <v>44553.39755787037</v>
      </c>
      <c r="C1370" s="1" t="n">
        <v>45936</v>
      </c>
      <c r="D1370" t="inlineStr">
        <is>
          <t>VÄRMLANDS LÄN</t>
        </is>
      </c>
      <c r="E1370" t="inlineStr">
        <is>
          <t>TORSBY</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22269-2025</t>
        </is>
      </c>
      <c r="B1371" s="1" t="n">
        <v>45785</v>
      </c>
      <c r="C1371" s="1" t="n">
        <v>45936</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22076-2025</t>
        </is>
      </c>
      <c r="B1372" s="1" t="n">
        <v>45785.41473379629</v>
      </c>
      <c r="C1372" s="1" t="n">
        <v>45936</v>
      </c>
      <c r="D1372" t="inlineStr">
        <is>
          <t>VÄRMLANDS LÄN</t>
        </is>
      </c>
      <c r="E1372" t="inlineStr">
        <is>
          <t>TORSBY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23818-2022</t>
        </is>
      </c>
      <c r="B1373" s="1" t="n">
        <v>44722</v>
      </c>
      <c r="C1373" s="1" t="n">
        <v>45936</v>
      </c>
      <c r="D1373" t="inlineStr">
        <is>
          <t>VÄRMLANDS LÄN</t>
        </is>
      </c>
      <c r="E1373" t="inlineStr">
        <is>
          <t>TORSBY</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46698-2024</t>
        </is>
      </c>
      <c r="B1374" s="1" t="n">
        <v>45583.43209490741</v>
      </c>
      <c r="C1374" s="1" t="n">
        <v>45936</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1708-2025</t>
        </is>
      </c>
      <c r="B1375" s="1" t="n">
        <v>45670</v>
      </c>
      <c r="C1375" s="1" t="n">
        <v>45936</v>
      </c>
      <c r="D1375" t="inlineStr">
        <is>
          <t>VÄRMLANDS LÄN</t>
        </is>
      </c>
      <c r="E1375" t="inlineStr">
        <is>
          <t>TORSBY</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21858-2025</t>
        </is>
      </c>
      <c r="B1376" s="1" t="n">
        <v>45784.36265046296</v>
      </c>
      <c r="C1376" s="1" t="n">
        <v>45936</v>
      </c>
      <c r="D1376" t="inlineStr">
        <is>
          <t>VÄRMLANDS LÄN</t>
        </is>
      </c>
      <c r="E1376" t="inlineStr">
        <is>
          <t>TORSBY</t>
        </is>
      </c>
      <c r="F1376" t="inlineStr">
        <is>
          <t>Bergvik skog väst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29897-2024</t>
        </is>
      </c>
      <c r="B1377" s="1" t="n">
        <v>45487.51834490741</v>
      </c>
      <c r="C1377" s="1" t="n">
        <v>45936</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15085-2023</t>
        </is>
      </c>
      <c r="B1378" s="1" t="n">
        <v>45016</v>
      </c>
      <c r="C1378" s="1" t="n">
        <v>45936</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44083-2023</t>
        </is>
      </c>
      <c r="B1379" s="1" t="n">
        <v>45182</v>
      </c>
      <c r="C1379" s="1" t="n">
        <v>45936</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17548-2023</t>
        </is>
      </c>
      <c r="B1380" s="1" t="n">
        <v>45036</v>
      </c>
      <c r="C1380" s="1" t="n">
        <v>45936</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65134-2023</t>
        </is>
      </c>
      <c r="B1381" s="1" t="n">
        <v>45288.52010416667</v>
      </c>
      <c r="C1381" s="1" t="n">
        <v>45936</v>
      </c>
      <c r="D1381" t="inlineStr">
        <is>
          <t>VÄRMLANDS LÄN</t>
        </is>
      </c>
      <c r="E1381" t="inlineStr">
        <is>
          <t>TORSBY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40573-2024</t>
        </is>
      </c>
      <c r="B1382" s="1" t="n">
        <v>45555.69518518518</v>
      </c>
      <c r="C1382" s="1" t="n">
        <v>45936</v>
      </c>
      <c r="D1382" t="inlineStr">
        <is>
          <t>VÄRMLANDS LÄN</t>
        </is>
      </c>
      <c r="E1382" t="inlineStr">
        <is>
          <t>TORSBY</t>
        </is>
      </c>
      <c r="F1382" t="inlineStr">
        <is>
          <t>Bergvik skog väst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502-2024</t>
        </is>
      </c>
      <c r="B1383" s="1" t="n">
        <v>45299</v>
      </c>
      <c r="C1383" s="1" t="n">
        <v>45936</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33088-2024</t>
        </is>
      </c>
      <c r="B1384" s="1" t="n">
        <v>45517</v>
      </c>
      <c r="C1384" s="1" t="n">
        <v>45936</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4302-2025</t>
        </is>
      </c>
      <c r="B1385" s="1" t="n">
        <v>45685.67939814815</v>
      </c>
      <c r="C1385" s="1" t="n">
        <v>45936</v>
      </c>
      <c r="D1385" t="inlineStr">
        <is>
          <t>VÄRMLANDS LÄN</t>
        </is>
      </c>
      <c r="E1385" t="inlineStr">
        <is>
          <t>TORSBY</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22715-2025</t>
        </is>
      </c>
      <c r="B1386" s="1" t="n">
        <v>45789.56496527778</v>
      </c>
      <c r="C1386" s="1" t="n">
        <v>45936</v>
      </c>
      <c r="D1386" t="inlineStr">
        <is>
          <t>VÄRMLANDS LÄN</t>
        </is>
      </c>
      <c r="E1386" t="inlineStr">
        <is>
          <t>TORSBY</t>
        </is>
      </c>
      <c r="F1386" t="inlineStr">
        <is>
          <t>Kyrkan</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60626-2024</t>
        </is>
      </c>
      <c r="B1387" s="1" t="n">
        <v>45642</v>
      </c>
      <c r="C1387" s="1" t="n">
        <v>45936</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22596-2025</t>
        </is>
      </c>
      <c r="B1388" s="1" t="n">
        <v>45789.41362268518</v>
      </c>
      <c r="C1388" s="1" t="n">
        <v>45936</v>
      </c>
      <c r="D1388" t="inlineStr">
        <is>
          <t>VÄRMLANDS LÄN</t>
        </is>
      </c>
      <c r="E1388" t="inlineStr">
        <is>
          <t>TORSBY</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2797-2025</t>
        </is>
      </c>
      <c r="B1389" s="1" t="n">
        <v>45677</v>
      </c>
      <c r="C1389" s="1" t="n">
        <v>45936</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63158-2023</t>
        </is>
      </c>
      <c r="B1390" s="1" t="n">
        <v>45273.51715277778</v>
      </c>
      <c r="C1390" s="1" t="n">
        <v>45936</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34568-2022</t>
        </is>
      </c>
      <c r="B1391" s="1" t="n">
        <v>44795.28277777778</v>
      </c>
      <c r="C1391" s="1" t="n">
        <v>45936</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22278-2025</t>
        </is>
      </c>
      <c r="B1392" s="1" t="n">
        <v>45786.33332175926</v>
      </c>
      <c r="C1392" s="1" t="n">
        <v>45936</v>
      </c>
      <c r="D1392" t="inlineStr">
        <is>
          <t>VÄRMLANDS LÄN</t>
        </is>
      </c>
      <c r="E1392" t="inlineStr">
        <is>
          <t>TORSBY</t>
        </is>
      </c>
      <c r="F1392" t="inlineStr">
        <is>
          <t>Bergvik skog väst AB</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22316-2025</t>
        </is>
      </c>
      <c r="B1393" s="1" t="n">
        <v>45786.39013888889</v>
      </c>
      <c r="C1393" s="1" t="n">
        <v>45936</v>
      </c>
      <c r="D1393" t="inlineStr">
        <is>
          <t>VÄRMLANDS LÄN</t>
        </is>
      </c>
      <c r="E1393" t="inlineStr">
        <is>
          <t>TORSBY</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22593-2025</t>
        </is>
      </c>
      <c r="B1394" s="1" t="n">
        <v>45789.41113425926</v>
      </c>
      <c r="C1394" s="1" t="n">
        <v>45936</v>
      </c>
      <c r="D1394" t="inlineStr">
        <is>
          <t>VÄRMLANDS LÄN</t>
        </is>
      </c>
      <c r="E1394" t="inlineStr">
        <is>
          <t>TORSBY</t>
        </is>
      </c>
      <c r="F1394" t="inlineStr">
        <is>
          <t>Bergvik skog väst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22708-2025</t>
        </is>
      </c>
      <c r="B1395" s="1" t="n">
        <v>45789.55561342592</v>
      </c>
      <c r="C1395" s="1" t="n">
        <v>45936</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4516-2025</t>
        </is>
      </c>
      <c r="B1396" s="1" t="n">
        <v>45686.88212962963</v>
      </c>
      <c r="C1396" s="1" t="n">
        <v>45936</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4517-2025</t>
        </is>
      </c>
      <c r="B1397" s="1" t="n">
        <v>45686</v>
      </c>
      <c r="C1397" s="1" t="n">
        <v>45936</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25537-2022</t>
        </is>
      </c>
      <c r="B1398" s="1" t="n">
        <v>44732</v>
      </c>
      <c r="C1398" s="1" t="n">
        <v>45936</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57642-2023</t>
        </is>
      </c>
      <c r="B1399" s="1" t="n">
        <v>45246.5915625</v>
      </c>
      <c r="C1399" s="1" t="n">
        <v>45936</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58013-2023</t>
        </is>
      </c>
      <c r="B1400" s="1" t="n">
        <v>45247.62346064814</v>
      </c>
      <c r="C1400" s="1" t="n">
        <v>45936</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36290-2022</t>
        </is>
      </c>
      <c r="B1401" s="1" t="n">
        <v>44803</v>
      </c>
      <c r="C1401" s="1" t="n">
        <v>45936</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39075-2024</t>
        </is>
      </c>
      <c r="B1402" s="1" t="n">
        <v>45548</v>
      </c>
      <c r="C1402" s="1" t="n">
        <v>45936</v>
      </c>
      <c r="D1402" t="inlineStr">
        <is>
          <t>VÄRMLANDS LÄN</t>
        </is>
      </c>
      <c r="E1402" t="inlineStr">
        <is>
          <t>TORSBY</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67547-2020</t>
        </is>
      </c>
      <c r="B1403" s="1" t="n">
        <v>44181</v>
      </c>
      <c r="C1403" s="1" t="n">
        <v>45936</v>
      </c>
      <c r="D1403" t="inlineStr">
        <is>
          <t>VÄRMLANDS LÄN</t>
        </is>
      </c>
      <c r="E1403" t="inlineStr">
        <is>
          <t>TORSBY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15014-2025</t>
        </is>
      </c>
      <c r="B1404" s="1" t="n">
        <v>45743</v>
      </c>
      <c r="C1404" s="1" t="n">
        <v>45936</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40007-2023</t>
        </is>
      </c>
      <c r="B1405" s="1" t="n">
        <v>45168</v>
      </c>
      <c r="C1405" s="1" t="n">
        <v>45936</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19253-2025</t>
        </is>
      </c>
      <c r="B1406" s="1" t="n">
        <v>45769</v>
      </c>
      <c r="C1406" s="1" t="n">
        <v>45936</v>
      </c>
      <c r="D1406" t="inlineStr">
        <is>
          <t>VÄRMLANDS LÄN</t>
        </is>
      </c>
      <c r="E1406" t="inlineStr">
        <is>
          <t>TORSBY</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7745-2023</t>
        </is>
      </c>
      <c r="B1407" s="1" t="n">
        <v>44973.35336805556</v>
      </c>
      <c r="C1407" s="1" t="n">
        <v>45936</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22826-2022</t>
        </is>
      </c>
      <c r="B1408" s="1" t="n">
        <v>44714</v>
      </c>
      <c r="C1408" s="1" t="n">
        <v>45936</v>
      </c>
      <c r="D1408" t="inlineStr">
        <is>
          <t>VÄRMLANDS LÄN</t>
        </is>
      </c>
      <c r="E1408" t="inlineStr">
        <is>
          <t>TORSBY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34717-2024</t>
        </is>
      </c>
      <c r="B1409" s="1" t="n">
        <v>45526.56409722222</v>
      </c>
      <c r="C1409" s="1" t="n">
        <v>45936</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18883-2024</t>
        </is>
      </c>
      <c r="B1410" s="1" t="n">
        <v>45426</v>
      </c>
      <c r="C1410" s="1" t="n">
        <v>45936</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14304-2023</t>
        </is>
      </c>
      <c r="B1411" s="1" t="n">
        <v>45011.76541666667</v>
      </c>
      <c r="C1411" s="1" t="n">
        <v>45936</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33620-2024</t>
        </is>
      </c>
      <c r="B1412" s="1" t="n">
        <v>45520.41530092592</v>
      </c>
      <c r="C1412" s="1" t="n">
        <v>45936</v>
      </c>
      <c r="D1412" t="inlineStr">
        <is>
          <t>VÄRMLANDS LÄN</t>
        </is>
      </c>
      <c r="E1412" t="inlineStr">
        <is>
          <t>TORSBY</t>
        </is>
      </c>
      <c r="F1412" t="inlineStr">
        <is>
          <t>Bergvik skog väst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22320-2025</t>
        </is>
      </c>
      <c r="B1413" s="1" t="n">
        <v>45786.40542824074</v>
      </c>
      <c r="C1413" s="1" t="n">
        <v>45936</v>
      </c>
      <c r="D1413" t="inlineStr">
        <is>
          <t>VÄRMLANDS LÄN</t>
        </is>
      </c>
      <c r="E1413" t="inlineStr">
        <is>
          <t>TORSBY</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22339-2025</t>
        </is>
      </c>
      <c r="B1414" s="1" t="n">
        <v>45786</v>
      </c>
      <c r="C1414" s="1" t="n">
        <v>45936</v>
      </c>
      <c r="D1414" t="inlineStr">
        <is>
          <t>VÄRMLANDS LÄN</t>
        </is>
      </c>
      <c r="E1414" t="inlineStr">
        <is>
          <t>TORSBY</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22760-2025</t>
        </is>
      </c>
      <c r="B1415" s="1" t="n">
        <v>45789</v>
      </c>
      <c r="C1415" s="1" t="n">
        <v>45936</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22331-2025</t>
        </is>
      </c>
      <c r="B1416" s="1" t="n">
        <v>45786</v>
      </c>
      <c r="C1416" s="1" t="n">
        <v>45936</v>
      </c>
      <c r="D1416" t="inlineStr">
        <is>
          <t>VÄRMLANDS LÄN</t>
        </is>
      </c>
      <c r="E1416" t="inlineStr">
        <is>
          <t>TORSBY</t>
        </is>
      </c>
      <c r="F1416" t="inlineStr">
        <is>
          <t>Bergvik skog väst AB</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22757-2025</t>
        </is>
      </c>
      <c r="B1417" s="1" t="n">
        <v>45789.61908564815</v>
      </c>
      <c r="C1417" s="1" t="n">
        <v>45936</v>
      </c>
      <c r="D1417" t="inlineStr">
        <is>
          <t>VÄRMLANDS LÄN</t>
        </is>
      </c>
      <c r="E1417" t="inlineStr">
        <is>
          <t>TORSBY</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60207-2024</t>
        </is>
      </c>
      <c r="B1418" s="1" t="n">
        <v>45642.67428240741</v>
      </c>
      <c r="C1418" s="1" t="n">
        <v>45936</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23367-2025</t>
        </is>
      </c>
      <c r="B1419" s="1" t="n">
        <v>45791.69582175926</v>
      </c>
      <c r="C1419" s="1" t="n">
        <v>45936</v>
      </c>
      <c r="D1419" t="inlineStr">
        <is>
          <t>VÄRMLANDS LÄN</t>
        </is>
      </c>
      <c r="E1419" t="inlineStr">
        <is>
          <t>TORSBY</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7101-2025</t>
        </is>
      </c>
      <c r="B1420" s="1" t="n">
        <v>45701</v>
      </c>
      <c r="C1420" s="1" t="n">
        <v>45936</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23287-2025</t>
        </is>
      </c>
      <c r="B1421" s="1" t="n">
        <v>45791.5816087963</v>
      </c>
      <c r="C1421" s="1" t="n">
        <v>45936</v>
      </c>
      <c r="D1421" t="inlineStr">
        <is>
          <t>VÄRMLANDS LÄN</t>
        </is>
      </c>
      <c r="E1421" t="inlineStr">
        <is>
          <t>TORSBY</t>
        </is>
      </c>
      <c r="F1421" t="inlineStr">
        <is>
          <t>Bergvik skog väst AB</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42613-2023</t>
        </is>
      </c>
      <c r="B1422" s="1" t="n">
        <v>45181</v>
      </c>
      <c r="C1422" s="1" t="n">
        <v>45936</v>
      </c>
      <c r="D1422" t="inlineStr">
        <is>
          <t>VÄRMLANDS LÄN</t>
        </is>
      </c>
      <c r="E1422" t="inlineStr">
        <is>
          <t>TORSBY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40971-2023</t>
        </is>
      </c>
      <c r="B1423" s="1" t="n">
        <v>45173</v>
      </c>
      <c r="C1423" s="1" t="n">
        <v>45936</v>
      </c>
      <c r="D1423" t="inlineStr">
        <is>
          <t>VÄRMLANDS LÄN</t>
        </is>
      </c>
      <c r="E1423" t="inlineStr">
        <is>
          <t>TORSBY</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18314-2025</t>
        </is>
      </c>
      <c r="B1424" s="1" t="n">
        <v>45762.44986111111</v>
      </c>
      <c r="C1424" s="1" t="n">
        <v>45936</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58259-2024</t>
        </is>
      </c>
      <c r="B1425" s="1" t="n">
        <v>45632.56155092592</v>
      </c>
      <c r="C1425" s="1" t="n">
        <v>45936</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34961-2024</t>
        </is>
      </c>
      <c r="B1426" s="1" t="n">
        <v>45527.48923611111</v>
      </c>
      <c r="C1426" s="1" t="n">
        <v>45936</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22845-2025</t>
        </is>
      </c>
      <c r="B1427" s="1" t="n">
        <v>45790</v>
      </c>
      <c r="C1427" s="1" t="n">
        <v>45936</v>
      </c>
      <c r="D1427" t="inlineStr">
        <is>
          <t>VÄRMLANDS LÄN</t>
        </is>
      </c>
      <c r="E1427" t="inlineStr">
        <is>
          <t>TORSBY</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34906-2024</t>
        </is>
      </c>
      <c r="B1428" s="1" t="n">
        <v>45527</v>
      </c>
      <c r="C1428" s="1" t="n">
        <v>45936</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22954-2025</t>
        </is>
      </c>
      <c r="B1429" s="1" t="n">
        <v>45790.5184375</v>
      </c>
      <c r="C1429" s="1" t="n">
        <v>45936</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39746-2024</t>
        </is>
      </c>
      <c r="B1430" s="1" t="n">
        <v>45552</v>
      </c>
      <c r="C1430" s="1" t="n">
        <v>45936</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15460-2022</t>
        </is>
      </c>
      <c r="B1431" s="1" t="n">
        <v>44661</v>
      </c>
      <c r="C1431" s="1" t="n">
        <v>45936</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51987-2024</t>
        </is>
      </c>
      <c r="B1432" s="1" t="n">
        <v>45607</v>
      </c>
      <c r="C1432" s="1" t="n">
        <v>45936</v>
      </c>
      <c r="D1432" t="inlineStr">
        <is>
          <t>VÄRMLANDS LÄN</t>
        </is>
      </c>
      <c r="E1432" t="inlineStr">
        <is>
          <t>TORSBY</t>
        </is>
      </c>
      <c r="G1432" t="n">
        <v>17.7</v>
      </c>
      <c r="H1432" t="n">
        <v>0</v>
      </c>
      <c r="I1432" t="n">
        <v>0</v>
      </c>
      <c r="J1432" t="n">
        <v>0</v>
      </c>
      <c r="K1432" t="n">
        <v>0</v>
      </c>
      <c r="L1432" t="n">
        <v>0</v>
      </c>
      <c r="M1432" t="n">
        <v>0</v>
      </c>
      <c r="N1432" t="n">
        <v>0</v>
      </c>
      <c r="O1432" t="n">
        <v>0</v>
      </c>
      <c r="P1432" t="n">
        <v>0</v>
      </c>
      <c r="Q1432" t="n">
        <v>0</v>
      </c>
      <c r="R1432" s="2" t="inlineStr"/>
    </row>
    <row r="1433" ht="15" customHeight="1">
      <c r="A1433" t="inlineStr">
        <is>
          <t>A 2576-2021</t>
        </is>
      </c>
      <c r="B1433" s="1" t="n">
        <v>44214</v>
      </c>
      <c r="C1433" s="1" t="n">
        <v>45936</v>
      </c>
      <c r="D1433" t="inlineStr">
        <is>
          <t>VÄRMLANDS LÄN</t>
        </is>
      </c>
      <c r="E1433" t="inlineStr">
        <is>
          <t>TORSBY</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57726-2022</t>
        </is>
      </c>
      <c r="B1434" s="1" t="n">
        <v>44897.56420138889</v>
      </c>
      <c r="C1434" s="1" t="n">
        <v>45936</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42403-2023</t>
        </is>
      </c>
      <c r="B1435" s="1" t="n">
        <v>45180.59174768518</v>
      </c>
      <c r="C1435" s="1" t="n">
        <v>45936</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34568-2024</t>
        </is>
      </c>
      <c r="B1436" s="1" t="n">
        <v>45526</v>
      </c>
      <c r="C1436" s="1" t="n">
        <v>45936</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20528-2023</t>
        </is>
      </c>
      <c r="B1437" s="1" t="n">
        <v>45057</v>
      </c>
      <c r="C1437" s="1" t="n">
        <v>45936</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18876-2023</t>
        </is>
      </c>
      <c r="B1438" s="1" t="n">
        <v>45044.50101851852</v>
      </c>
      <c r="C1438" s="1" t="n">
        <v>45936</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28624-2024</t>
        </is>
      </c>
      <c r="B1439" s="1" t="n">
        <v>45478.44297453704</v>
      </c>
      <c r="C1439" s="1" t="n">
        <v>45936</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11214-2024</t>
        </is>
      </c>
      <c r="B1440" s="1" t="n">
        <v>45371</v>
      </c>
      <c r="C1440" s="1" t="n">
        <v>45936</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54790-2024</t>
        </is>
      </c>
      <c r="B1441" s="1" t="n">
        <v>45618</v>
      </c>
      <c r="C1441" s="1" t="n">
        <v>45936</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14575-2025</t>
        </is>
      </c>
      <c r="B1442" s="1" t="n">
        <v>45742.29048611111</v>
      </c>
      <c r="C1442" s="1" t="n">
        <v>45936</v>
      </c>
      <c r="D1442" t="inlineStr">
        <is>
          <t>VÄRMLANDS LÄN</t>
        </is>
      </c>
      <c r="E1442" t="inlineStr">
        <is>
          <t>TORSBY</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4070-2024</t>
        </is>
      </c>
      <c r="B1443" s="1" t="n">
        <v>45323</v>
      </c>
      <c r="C1443" s="1" t="n">
        <v>45936</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30370-2023</t>
        </is>
      </c>
      <c r="B1444" s="1" t="n">
        <v>45111</v>
      </c>
      <c r="C1444" s="1" t="n">
        <v>45936</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2471-2023</t>
        </is>
      </c>
      <c r="B1445" s="1" t="n">
        <v>44943.48373842592</v>
      </c>
      <c r="C1445" s="1" t="n">
        <v>45936</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23280-2025</t>
        </is>
      </c>
      <c r="B1446" s="1" t="n">
        <v>45791.57217592592</v>
      </c>
      <c r="C1446" s="1" t="n">
        <v>45936</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31945-2024</t>
        </is>
      </c>
      <c r="B1447" s="1" t="n">
        <v>45510</v>
      </c>
      <c r="C1447" s="1" t="n">
        <v>45936</v>
      </c>
      <c r="D1447" t="inlineStr">
        <is>
          <t>VÄRMLANDS LÄN</t>
        </is>
      </c>
      <c r="E1447" t="inlineStr">
        <is>
          <t>TORSBY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23832-2025</t>
        </is>
      </c>
      <c r="B1448" s="1" t="n">
        <v>45793.60357638889</v>
      </c>
      <c r="C1448" s="1" t="n">
        <v>45936</v>
      </c>
      <c r="D1448" t="inlineStr">
        <is>
          <t>VÄRMLANDS LÄN</t>
        </is>
      </c>
      <c r="E1448" t="inlineStr">
        <is>
          <t>TORSBY</t>
        </is>
      </c>
      <c r="F1448" t="inlineStr">
        <is>
          <t>Bergvik skog väst AB</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23557-2025</t>
        </is>
      </c>
      <c r="B1449" s="1" t="n">
        <v>45792.58086805556</v>
      </c>
      <c r="C1449" s="1" t="n">
        <v>45936</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42656-2023</t>
        </is>
      </c>
      <c r="B1450" s="1" t="n">
        <v>45181.53928240741</v>
      </c>
      <c r="C1450" s="1" t="n">
        <v>45936</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62957-2023</t>
        </is>
      </c>
      <c r="B1451" s="1" t="n">
        <v>45271</v>
      </c>
      <c r="C1451" s="1" t="n">
        <v>45936</v>
      </c>
      <c r="D1451" t="inlineStr">
        <is>
          <t>VÄRMLANDS LÄN</t>
        </is>
      </c>
      <c r="E1451" t="inlineStr">
        <is>
          <t>TORSBY</t>
        </is>
      </c>
      <c r="F1451" t="inlineStr">
        <is>
          <t>Övriga statliga verk och myndigheter</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23677-2025</t>
        </is>
      </c>
      <c r="B1452" s="1" t="n">
        <v>45793.31969907408</v>
      </c>
      <c r="C1452" s="1" t="n">
        <v>45936</v>
      </c>
      <c r="D1452" t="inlineStr">
        <is>
          <t>VÄRMLANDS LÄN</t>
        </is>
      </c>
      <c r="E1452" t="inlineStr">
        <is>
          <t>TORSBY</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23741-2025</t>
        </is>
      </c>
      <c r="B1453" s="1" t="n">
        <v>45793</v>
      </c>
      <c r="C1453" s="1" t="n">
        <v>45936</v>
      </c>
      <c r="D1453" t="inlineStr">
        <is>
          <t>VÄRMLANDS LÄN</t>
        </is>
      </c>
      <c r="E1453" t="inlineStr">
        <is>
          <t>TORSBY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4078-2024</t>
        </is>
      </c>
      <c r="B1454" s="1" t="n">
        <v>45323</v>
      </c>
      <c r="C1454" s="1" t="n">
        <v>45936</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33069-2022</t>
        </is>
      </c>
      <c r="B1455" s="1" t="n">
        <v>44785</v>
      </c>
      <c r="C1455" s="1" t="n">
        <v>45936</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23455-2025</t>
        </is>
      </c>
      <c r="B1456" s="1" t="n">
        <v>45792.42520833333</v>
      </c>
      <c r="C1456" s="1" t="n">
        <v>45936</v>
      </c>
      <c r="D1456" t="inlineStr">
        <is>
          <t>VÄRMLANDS LÄN</t>
        </is>
      </c>
      <c r="E1456" t="inlineStr">
        <is>
          <t>TORSBY</t>
        </is>
      </c>
      <c r="F1456" t="inlineStr">
        <is>
          <t>Kyrkan</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43179-2023</t>
        </is>
      </c>
      <c r="B1457" s="1" t="n">
        <v>45183.37615740741</v>
      </c>
      <c r="C1457" s="1" t="n">
        <v>45936</v>
      </c>
      <c r="D1457" t="inlineStr">
        <is>
          <t>VÄRMLANDS LÄN</t>
        </is>
      </c>
      <c r="E1457" t="inlineStr">
        <is>
          <t>TORSBY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42473-2023</t>
        </is>
      </c>
      <c r="B1458" s="1" t="n">
        <v>45180</v>
      </c>
      <c r="C1458" s="1" t="n">
        <v>45936</v>
      </c>
      <c r="D1458" t="inlineStr">
        <is>
          <t>VÄRMLANDS LÄN</t>
        </is>
      </c>
      <c r="E1458" t="inlineStr">
        <is>
          <t>TORSBY</t>
        </is>
      </c>
      <c r="F1458" t="inlineStr">
        <is>
          <t>Bergvik skog väst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11427-2025</t>
        </is>
      </c>
      <c r="B1459" s="1" t="n">
        <v>45726</v>
      </c>
      <c r="C1459" s="1" t="n">
        <v>45936</v>
      </c>
      <c r="D1459" t="inlineStr">
        <is>
          <t>VÄRMLANDS LÄN</t>
        </is>
      </c>
      <c r="E1459" t="inlineStr">
        <is>
          <t>TORSBY</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2308-2024</t>
        </is>
      </c>
      <c r="B1460" s="1" t="n">
        <v>45310</v>
      </c>
      <c r="C1460" s="1" t="n">
        <v>45936</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46195-2023</t>
        </is>
      </c>
      <c r="B1461" s="1" t="n">
        <v>45196</v>
      </c>
      <c r="C1461" s="1" t="n">
        <v>45936</v>
      </c>
      <c r="D1461" t="inlineStr">
        <is>
          <t>VÄRMLANDS LÄN</t>
        </is>
      </c>
      <c r="E1461" t="inlineStr">
        <is>
          <t>TORSBY</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18959-2024</t>
        </is>
      </c>
      <c r="B1462" s="1" t="n">
        <v>45427.53032407408</v>
      </c>
      <c r="C1462" s="1" t="n">
        <v>45936</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19630-2025</t>
        </is>
      </c>
      <c r="B1463" s="1" t="n">
        <v>45770.64239583333</v>
      </c>
      <c r="C1463" s="1" t="n">
        <v>45936</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15170-2025</t>
        </is>
      </c>
      <c r="B1464" s="1" t="n">
        <v>45743</v>
      </c>
      <c r="C1464" s="1" t="n">
        <v>45936</v>
      </c>
      <c r="D1464" t="inlineStr">
        <is>
          <t>VÄRMLANDS LÄN</t>
        </is>
      </c>
      <c r="E1464" t="inlineStr">
        <is>
          <t>TORSBY</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24069-2025</t>
        </is>
      </c>
      <c r="B1465" s="1" t="n">
        <v>45796.53997685185</v>
      </c>
      <c r="C1465" s="1" t="n">
        <v>45936</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37985-2022</t>
        </is>
      </c>
      <c r="B1466" s="1" t="n">
        <v>44811</v>
      </c>
      <c r="C1466" s="1" t="n">
        <v>45936</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14624-2023</t>
        </is>
      </c>
      <c r="B1467" s="1" t="n">
        <v>45013</v>
      </c>
      <c r="C1467" s="1" t="n">
        <v>45936</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24204-2025</t>
        </is>
      </c>
      <c r="B1468" s="1" t="n">
        <v>45797.31824074074</v>
      </c>
      <c r="C1468" s="1" t="n">
        <v>45936</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24112-2025</t>
        </is>
      </c>
      <c r="B1469" s="1" t="n">
        <v>45796</v>
      </c>
      <c r="C1469" s="1" t="n">
        <v>45936</v>
      </c>
      <c r="D1469" t="inlineStr">
        <is>
          <t>VÄRMLANDS LÄN</t>
        </is>
      </c>
      <c r="E1469" t="inlineStr">
        <is>
          <t>TORSBY</t>
        </is>
      </c>
      <c r="F1469" t="inlineStr">
        <is>
          <t>Bergvik skog väst AB</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24260-2025</t>
        </is>
      </c>
      <c r="B1470" s="1" t="n">
        <v>45797</v>
      </c>
      <c r="C1470" s="1" t="n">
        <v>45936</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24425-2025</t>
        </is>
      </c>
      <c r="B1471" s="1" t="n">
        <v>45797</v>
      </c>
      <c r="C1471" s="1" t="n">
        <v>45936</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29921-2022</t>
        </is>
      </c>
      <c r="B1472" s="1" t="n">
        <v>44756</v>
      </c>
      <c r="C1472" s="1" t="n">
        <v>45936</v>
      </c>
      <c r="D1472" t="inlineStr">
        <is>
          <t>VÄRMLANDS LÄN</t>
        </is>
      </c>
      <c r="E1472" t="inlineStr">
        <is>
          <t>TORSBY</t>
        </is>
      </c>
      <c r="F1472" t="inlineStr">
        <is>
          <t>Kommuner</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64641-2023</t>
        </is>
      </c>
      <c r="B1473" s="1" t="n">
        <v>45281.55908564815</v>
      </c>
      <c r="C1473" s="1" t="n">
        <v>45936</v>
      </c>
      <c r="D1473" t="inlineStr">
        <is>
          <t>VÄRMLANDS LÄN</t>
        </is>
      </c>
      <c r="E1473" t="inlineStr">
        <is>
          <t>TORSBY</t>
        </is>
      </c>
      <c r="F1473" t="inlineStr">
        <is>
          <t>Bergvik skog väst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24026-2025</t>
        </is>
      </c>
      <c r="B1474" s="1" t="n">
        <v>45796.46841435185</v>
      </c>
      <c r="C1474" s="1" t="n">
        <v>45936</v>
      </c>
      <c r="D1474" t="inlineStr">
        <is>
          <t>VÄRMLANDS LÄN</t>
        </is>
      </c>
      <c r="E1474" t="inlineStr">
        <is>
          <t>TORSBY</t>
        </is>
      </c>
      <c r="G1474" t="n">
        <v>11.9</v>
      </c>
      <c r="H1474" t="n">
        <v>0</v>
      </c>
      <c r="I1474" t="n">
        <v>0</v>
      </c>
      <c r="J1474" t="n">
        <v>0</v>
      </c>
      <c r="K1474" t="n">
        <v>0</v>
      </c>
      <c r="L1474" t="n">
        <v>0</v>
      </c>
      <c r="M1474" t="n">
        <v>0</v>
      </c>
      <c r="N1474" t="n">
        <v>0</v>
      </c>
      <c r="O1474" t="n">
        <v>0</v>
      </c>
      <c r="P1474" t="n">
        <v>0</v>
      </c>
      <c r="Q1474" t="n">
        <v>0</v>
      </c>
      <c r="R1474" s="2" t="inlineStr"/>
    </row>
    <row r="1475" ht="15" customHeight="1">
      <c r="A1475" t="inlineStr">
        <is>
          <t>A 24111-2025</t>
        </is>
      </c>
      <c r="B1475" s="1" t="n">
        <v>45796.60822916667</v>
      </c>
      <c r="C1475" s="1" t="n">
        <v>45936</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24318-2025</t>
        </is>
      </c>
      <c r="B1476" s="1" t="n">
        <v>45797.54879629629</v>
      </c>
      <c r="C1476" s="1" t="n">
        <v>45936</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24251-2025</t>
        </is>
      </c>
      <c r="B1477" s="1" t="n">
        <v>45797</v>
      </c>
      <c r="C1477" s="1" t="n">
        <v>45936</v>
      </c>
      <c r="D1477" t="inlineStr">
        <is>
          <t>VÄRMLANDS LÄN</t>
        </is>
      </c>
      <c r="E1477" t="inlineStr">
        <is>
          <t>TORSBY</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11868-2025</t>
        </is>
      </c>
      <c r="B1478" s="1" t="n">
        <v>45728.4225</v>
      </c>
      <c r="C1478" s="1" t="n">
        <v>45936</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24411-2025</t>
        </is>
      </c>
      <c r="B1479" s="1" t="n">
        <v>45797</v>
      </c>
      <c r="C1479" s="1" t="n">
        <v>45936</v>
      </c>
      <c r="D1479" t="inlineStr">
        <is>
          <t>VÄRMLANDS LÄN</t>
        </is>
      </c>
      <c r="E1479" t="inlineStr">
        <is>
          <t>TORSBY</t>
        </is>
      </c>
      <c r="F1479" t="inlineStr">
        <is>
          <t>Övriga statliga verk och myndigheter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11569-2025</t>
        </is>
      </c>
      <c r="B1480" s="1" t="n">
        <v>45727.37971064815</v>
      </c>
      <c r="C1480" s="1" t="n">
        <v>45936</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24726-2025</t>
        </is>
      </c>
      <c r="B1481" s="1" t="n">
        <v>45799.32805555555</v>
      </c>
      <c r="C1481" s="1" t="n">
        <v>45936</v>
      </c>
      <c r="D1481" t="inlineStr">
        <is>
          <t>VÄRMLANDS LÄN</t>
        </is>
      </c>
      <c r="E1481" t="inlineStr">
        <is>
          <t>TORSBY</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16427-2023</t>
        </is>
      </c>
      <c r="B1482" s="1" t="n">
        <v>45022</v>
      </c>
      <c r="C1482" s="1" t="n">
        <v>45936</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34434-2022</t>
        </is>
      </c>
      <c r="B1483" s="1" t="n">
        <v>44792</v>
      </c>
      <c r="C1483" s="1" t="n">
        <v>45936</v>
      </c>
      <c r="D1483" t="inlineStr">
        <is>
          <t>VÄRMLANDS LÄN</t>
        </is>
      </c>
      <c r="E1483" t="inlineStr">
        <is>
          <t>TORSBY</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2321-2021</t>
        </is>
      </c>
      <c r="B1484" s="1" t="n">
        <v>44214</v>
      </c>
      <c r="C1484" s="1" t="n">
        <v>45936</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24576-2025</t>
        </is>
      </c>
      <c r="B1485" s="1" t="n">
        <v>45798</v>
      </c>
      <c r="C1485" s="1" t="n">
        <v>45936</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7636-2024</t>
        </is>
      </c>
      <c r="B1486" s="1" t="n">
        <v>45348</v>
      </c>
      <c r="C1486" s="1" t="n">
        <v>45936</v>
      </c>
      <c r="D1486" t="inlineStr">
        <is>
          <t>VÄRMLANDS LÄN</t>
        </is>
      </c>
      <c r="E1486" t="inlineStr">
        <is>
          <t>TORSBY</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3160-2021</t>
        </is>
      </c>
      <c r="B1487" s="1" t="n">
        <v>44217</v>
      </c>
      <c r="C1487" s="1" t="n">
        <v>45936</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3590-2024</t>
        </is>
      </c>
      <c r="B1488" s="1" t="n">
        <v>45320</v>
      </c>
      <c r="C1488" s="1" t="n">
        <v>45936</v>
      </c>
      <c r="D1488" t="inlineStr">
        <is>
          <t>VÄRMLANDS LÄN</t>
        </is>
      </c>
      <c r="E1488" t="inlineStr">
        <is>
          <t>TORSBY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24528-2025</t>
        </is>
      </c>
      <c r="B1489" s="1" t="n">
        <v>45798.42680555556</v>
      </c>
      <c r="C1489" s="1" t="n">
        <v>45936</v>
      </c>
      <c r="D1489" t="inlineStr">
        <is>
          <t>VÄRMLANDS LÄN</t>
        </is>
      </c>
      <c r="E1489" t="inlineStr">
        <is>
          <t>TORSBY</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18258-2025</t>
        </is>
      </c>
      <c r="B1490" s="1" t="n">
        <v>45762.35762731481</v>
      </c>
      <c r="C1490" s="1" t="n">
        <v>45936</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37822-2023</t>
        </is>
      </c>
      <c r="B1491" s="1" t="n">
        <v>45160.30215277777</v>
      </c>
      <c r="C1491" s="1" t="n">
        <v>45936</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24597-2025</t>
        </is>
      </c>
      <c r="B1492" s="1" t="n">
        <v>45798</v>
      </c>
      <c r="C1492" s="1" t="n">
        <v>45936</v>
      </c>
      <c r="D1492" t="inlineStr">
        <is>
          <t>VÄRMLANDS LÄN</t>
        </is>
      </c>
      <c r="E1492" t="inlineStr">
        <is>
          <t>TORSBY</t>
        </is>
      </c>
      <c r="F1492" t="inlineStr">
        <is>
          <t>Övriga statliga verk och myndigheter</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24599-2025</t>
        </is>
      </c>
      <c r="B1493" s="1" t="n">
        <v>45798.56230324074</v>
      </c>
      <c r="C1493" s="1" t="n">
        <v>45936</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24607-2025</t>
        </is>
      </c>
      <c r="B1494" s="1" t="n">
        <v>45798.57608796296</v>
      </c>
      <c r="C1494" s="1" t="n">
        <v>45936</v>
      </c>
      <c r="D1494" t="inlineStr">
        <is>
          <t>VÄRMLANDS LÄN</t>
        </is>
      </c>
      <c r="E1494" t="inlineStr">
        <is>
          <t>TORSBY</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21825-2024</t>
        </is>
      </c>
      <c r="B1495" s="1" t="n">
        <v>45442</v>
      </c>
      <c r="C1495" s="1" t="n">
        <v>45936</v>
      </c>
      <c r="D1495" t="inlineStr">
        <is>
          <t>VÄRMLANDS LÄN</t>
        </is>
      </c>
      <c r="E1495" t="inlineStr">
        <is>
          <t>TORSBY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20721-2023</t>
        </is>
      </c>
      <c r="B1496" s="1" t="n">
        <v>45058</v>
      </c>
      <c r="C1496" s="1" t="n">
        <v>45936</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16369-2024</t>
        </is>
      </c>
      <c r="B1497" s="1" t="n">
        <v>45407</v>
      </c>
      <c r="C1497" s="1" t="n">
        <v>45936</v>
      </c>
      <c r="D1497" t="inlineStr">
        <is>
          <t>VÄRMLANDS LÄN</t>
        </is>
      </c>
      <c r="E1497" t="inlineStr">
        <is>
          <t>TORSBY</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25050-2025</t>
        </is>
      </c>
      <c r="B1498" s="1" t="n">
        <v>45799</v>
      </c>
      <c r="C1498" s="1" t="n">
        <v>45936</v>
      </c>
      <c r="D1498" t="inlineStr">
        <is>
          <t>VÄRMLANDS LÄN</t>
        </is>
      </c>
      <c r="E1498" t="inlineStr">
        <is>
          <t>TORSBY</t>
        </is>
      </c>
      <c r="F1498" t="inlineStr">
        <is>
          <t>Bergvik skog väst AB</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24757-2025</t>
        </is>
      </c>
      <c r="B1499" s="1" t="n">
        <v>45799</v>
      </c>
      <c r="C1499" s="1" t="n">
        <v>45936</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42615-2021</t>
        </is>
      </c>
      <c r="B1500" s="1" t="n">
        <v>44428</v>
      </c>
      <c r="C1500" s="1" t="n">
        <v>45936</v>
      </c>
      <c r="D1500" t="inlineStr">
        <is>
          <t>VÄRMLANDS LÄN</t>
        </is>
      </c>
      <c r="E1500" t="inlineStr">
        <is>
          <t>TORSBY</t>
        </is>
      </c>
      <c r="F1500" t="inlineStr">
        <is>
          <t>Bergvik skog väst AB</t>
        </is>
      </c>
      <c r="G1500" t="n">
        <v>37.2</v>
      </c>
      <c r="H1500" t="n">
        <v>0</v>
      </c>
      <c r="I1500" t="n">
        <v>0</v>
      </c>
      <c r="J1500" t="n">
        <v>0</v>
      </c>
      <c r="K1500" t="n">
        <v>0</v>
      </c>
      <c r="L1500" t="n">
        <v>0</v>
      </c>
      <c r="M1500" t="n">
        <v>0</v>
      </c>
      <c r="N1500" t="n">
        <v>0</v>
      </c>
      <c r="O1500" t="n">
        <v>0</v>
      </c>
      <c r="P1500" t="n">
        <v>0</v>
      </c>
      <c r="Q1500" t="n">
        <v>0</v>
      </c>
      <c r="R1500" s="2" t="inlineStr"/>
    </row>
    <row r="1501" ht="15" customHeight="1">
      <c r="A1501" t="inlineStr">
        <is>
          <t>A 18337-2024</t>
        </is>
      </c>
      <c r="B1501" s="1" t="n">
        <v>45422</v>
      </c>
      <c r="C1501" s="1" t="n">
        <v>45936</v>
      </c>
      <c r="D1501" t="inlineStr">
        <is>
          <t>VÄRMLANDS LÄN</t>
        </is>
      </c>
      <c r="E1501" t="inlineStr">
        <is>
          <t>TORSBY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43111-2022</t>
        </is>
      </c>
      <c r="B1502" s="1" t="n">
        <v>44833</v>
      </c>
      <c r="C1502" s="1" t="n">
        <v>45936</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392-2025</t>
        </is>
      </c>
      <c r="B1503" s="1" t="n">
        <v>45663.35111111111</v>
      </c>
      <c r="C1503" s="1" t="n">
        <v>45936</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19964-2025</t>
        </is>
      </c>
      <c r="B1504" s="1" t="n">
        <v>45771.67315972222</v>
      </c>
      <c r="C1504" s="1" t="n">
        <v>45936</v>
      </c>
      <c r="D1504" t="inlineStr">
        <is>
          <t>VÄRMLANDS LÄN</t>
        </is>
      </c>
      <c r="E1504" t="inlineStr">
        <is>
          <t>TORSBY</t>
        </is>
      </c>
      <c r="F1504" t="inlineStr">
        <is>
          <t>Bergvik skog väst AB</t>
        </is>
      </c>
      <c r="G1504" t="n">
        <v>23.8</v>
      </c>
      <c r="H1504" t="n">
        <v>0</v>
      </c>
      <c r="I1504" t="n">
        <v>0</v>
      </c>
      <c r="J1504" t="n">
        <v>0</v>
      </c>
      <c r="K1504" t="n">
        <v>0</v>
      </c>
      <c r="L1504" t="n">
        <v>0</v>
      </c>
      <c r="M1504" t="n">
        <v>0</v>
      </c>
      <c r="N1504" t="n">
        <v>0</v>
      </c>
      <c r="O1504" t="n">
        <v>0</v>
      </c>
      <c r="P1504" t="n">
        <v>0</v>
      </c>
      <c r="Q1504" t="n">
        <v>0</v>
      </c>
      <c r="R1504" s="2" t="inlineStr"/>
    </row>
    <row r="1505" ht="15" customHeight="1">
      <c r="A1505" t="inlineStr">
        <is>
          <t>A 24967-2025</t>
        </is>
      </c>
      <c r="B1505" s="1" t="n">
        <v>45799.58332175926</v>
      </c>
      <c r="C1505" s="1" t="n">
        <v>45936</v>
      </c>
      <c r="D1505" t="inlineStr">
        <is>
          <t>VÄRMLANDS LÄN</t>
        </is>
      </c>
      <c r="E1505" t="inlineStr">
        <is>
          <t>TORSBY</t>
        </is>
      </c>
      <c r="F1505" t="inlineStr">
        <is>
          <t>Bergvik skog väst AB</t>
        </is>
      </c>
      <c r="G1505" t="n">
        <v>17.6</v>
      </c>
      <c r="H1505" t="n">
        <v>0</v>
      </c>
      <c r="I1505" t="n">
        <v>0</v>
      </c>
      <c r="J1505" t="n">
        <v>0</v>
      </c>
      <c r="K1505" t="n">
        <v>0</v>
      </c>
      <c r="L1505" t="n">
        <v>0</v>
      </c>
      <c r="M1505" t="n">
        <v>0</v>
      </c>
      <c r="N1505" t="n">
        <v>0</v>
      </c>
      <c r="O1505" t="n">
        <v>0</v>
      </c>
      <c r="P1505" t="n">
        <v>0</v>
      </c>
      <c r="Q1505" t="n">
        <v>0</v>
      </c>
      <c r="R1505" s="2" t="inlineStr"/>
    </row>
    <row r="1506" ht="15" customHeight="1">
      <c r="A1506" t="inlineStr">
        <is>
          <t>A 27273-2024</t>
        </is>
      </c>
      <c r="B1506" s="1" t="n">
        <v>45471.84013888889</v>
      </c>
      <c r="C1506" s="1" t="n">
        <v>45936</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27275-2024</t>
        </is>
      </c>
      <c r="B1507" s="1" t="n">
        <v>45471.85645833334</v>
      </c>
      <c r="C1507" s="1" t="n">
        <v>45936</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1947-2023</t>
        </is>
      </c>
      <c r="B1508" s="1" t="n">
        <v>44939</v>
      </c>
      <c r="C1508" s="1" t="n">
        <v>45936</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60537-2024</t>
        </is>
      </c>
      <c r="B1509" s="1" t="n">
        <v>45643.77138888889</v>
      </c>
      <c r="C1509" s="1" t="n">
        <v>45936</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44342-2024</t>
        </is>
      </c>
      <c r="B1510" s="1" t="n">
        <v>45573.61793981482</v>
      </c>
      <c r="C1510" s="1" t="n">
        <v>45936</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25653-2025</t>
        </is>
      </c>
      <c r="B1511" s="1" t="n">
        <v>45803.61072916666</v>
      </c>
      <c r="C1511" s="1" t="n">
        <v>45936</v>
      </c>
      <c r="D1511" t="inlineStr">
        <is>
          <t>VÄRMLANDS LÄN</t>
        </is>
      </c>
      <c r="E1511" t="inlineStr">
        <is>
          <t>TORSBY</t>
        </is>
      </c>
      <c r="F1511" t="inlineStr">
        <is>
          <t>Bergvik skog väst AB</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25508-2025</t>
        </is>
      </c>
      <c r="B1512" s="1" t="n">
        <v>45803.35520833333</v>
      </c>
      <c r="C1512" s="1" t="n">
        <v>45936</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4522-2021</t>
        </is>
      </c>
      <c r="B1513" s="1" t="n">
        <v>44224</v>
      </c>
      <c r="C1513" s="1" t="n">
        <v>45936</v>
      </c>
      <c r="D1513" t="inlineStr">
        <is>
          <t>VÄRMLANDS LÄN</t>
        </is>
      </c>
      <c r="E1513" t="inlineStr">
        <is>
          <t>TORSBY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52809-2024</t>
        </is>
      </c>
      <c r="B1514" s="1" t="n">
        <v>45610</v>
      </c>
      <c r="C1514" s="1" t="n">
        <v>45936</v>
      </c>
      <c r="D1514" t="inlineStr">
        <is>
          <t>VÄRMLANDS LÄN</t>
        </is>
      </c>
      <c r="E1514" t="inlineStr">
        <is>
          <t>TORSBY</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10979-2025</t>
        </is>
      </c>
      <c r="B1515" s="1" t="n">
        <v>45723.39988425926</v>
      </c>
      <c r="C1515" s="1" t="n">
        <v>45936</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27292-2024</t>
        </is>
      </c>
      <c r="B1516" s="1" t="n">
        <v>45471.93378472222</v>
      </c>
      <c r="C1516" s="1" t="n">
        <v>45936</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60533-2020</t>
        </is>
      </c>
      <c r="B1517" s="1" t="n">
        <v>44153</v>
      </c>
      <c r="C1517" s="1" t="n">
        <v>45936</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53570-2024</t>
        </is>
      </c>
      <c r="B1518" s="1" t="n">
        <v>45614.65956018519</v>
      </c>
      <c r="C1518" s="1" t="n">
        <v>45936</v>
      </c>
      <c r="D1518" t="inlineStr">
        <is>
          <t>VÄRMLANDS LÄN</t>
        </is>
      </c>
      <c r="E1518" t="inlineStr">
        <is>
          <t>TORSBY</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53044-2024</t>
        </is>
      </c>
      <c r="B1519" s="1" t="n">
        <v>45611.44701388889</v>
      </c>
      <c r="C1519" s="1" t="n">
        <v>45936</v>
      </c>
      <c r="D1519" t="inlineStr">
        <is>
          <t>VÄRMLANDS LÄN</t>
        </is>
      </c>
      <c r="E1519" t="inlineStr">
        <is>
          <t>TORSBY</t>
        </is>
      </c>
      <c r="F1519" t="inlineStr">
        <is>
          <t>Kyrkan</t>
        </is>
      </c>
      <c r="G1519" t="n">
        <v>25.8</v>
      </c>
      <c r="H1519" t="n">
        <v>0</v>
      </c>
      <c r="I1519" t="n">
        <v>0</v>
      </c>
      <c r="J1519" t="n">
        <v>0</v>
      </c>
      <c r="K1519" t="n">
        <v>0</v>
      </c>
      <c r="L1519" t="n">
        <v>0</v>
      </c>
      <c r="M1519" t="n">
        <v>0</v>
      </c>
      <c r="N1519" t="n">
        <v>0</v>
      </c>
      <c r="O1519" t="n">
        <v>0</v>
      </c>
      <c r="P1519" t="n">
        <v>0</v>
      </c>
      <c r="Q1519" t="n">
        <v>0</v>
      </c>
      <c r="R1519" s="2" t="inlineStr"/>
    </row>
    <row r="1520" ht="15" customHeight="1">
      <c r="A1520" t="inlineStr">
        <is>
          <t>A 17039-2025</t>
        </is>
      </c>
      <c r="B1520" s="1" t="n">
        <v>45754</v>
      </c>
      <c r="C1520" s="1" t="n">
        <v>45936</v>
      </c>
      <c r="D1520" t="inlineStr">
        <is>
          <t>VÄRMLANDS LÄN</t>
        </is>
      </c>
      <c r="E1520" t="inlineStr">
        <is>
          <t>TORSBY</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17062-2025</t>
        </is>
      </c>
      <c r="B1521" s="1" t="n">
        <v>45754</v>
      </c>
      <c r="C1521" s="1" t="n">
        <v>45936</v>
      </c>
      <c r="D1521" t="inlineStr">
        <is>
          <t>VÄRMLANDS LÄN</t>
        </is>
      </c>
      <c r="E1521" t="inlineStr">
        <is>
          <t>TORSBY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25464-2025</t>
        </is>
      </c>
      <c r="B1522" s="1" t="n">
        <v>45802.46032407408</v>
      </c>
      <c r="C1522" s="1" t="n">
        <v>45936</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25465-2025</t>
        </is>
      </c>
      <c r="B1523" s="1" t="n">
        <v>45802.48196759259</v>
      </c>
      <c r="C1523" s="1" t="n">
        <v>45936</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25218-2025</t>
        </is>
      </c>
      <c r="B1524" s="1" t="n">
        <v>45800.4766087963</v>
      </c>
      <c r="C1524" s="1" t="n">
        <v>45936</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25186-2025</t>
        </is>
      </c>
      <c r="B1525" s="1" t="n">
        <v>45800.45247685185</v>
      </c>
      <c r="C1525" s="1" t="n">
        <v>45936</v>
      </c>
      <c r="D1525" t="inlineStr">
        <is>
          <t>VÄRMLANDS LÄN</t>
        </is>
      </c>
      <c r="E1525" t="inlineStr">
        <is>
          <t>TORSBY</t>
        </is>
      </c>
      <c r="F1525" t="inlineStr">
        <is>
          <t>Kyrkan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25353-2025</t>
        </is>
      </c>
      <c r="B1526" s="1" t="n">
        <v>45800.61553240741</v>
      </c>
      <c r="C1526" s="1" t="n">
        <v>45936</v>
      </c>
      <c r="D1526" t="inlineStr">
        <is>
          <t>VÄRMLANDS LÄN</t>
        </is>
      </c>
      <c r="E1526" t="inlineStr">
        <is>
          <t>TORSBY</t>
        </is>
      </c>
      <c r="F1526" t="inlineStr">
        <is>
          <t>Bergvik skog väst AB</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11575-2024</t>
        </is>
      </c>
      <c r="B1527" s="1" t="n">
        <v>45373</v>
      </c>
      <c r="C1527" s="1" t="n">
        <v>45936</v>
      </c>
      <c r="D1527" t="inlineStr">
        <is>
          <t>VÄRMLANDS LÄN</t>
        </is>
      </c>
      <c r="E1527" t="inlineStr">
        <is>
          <t>TORSBY</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25428-2025</t>
        </is>
      </c>
      <c r="B1528" s="1" t="n">
        <v>45800.71540509259</v>
      </c>
      <c r="C1528" s="1" t="n">
        <v>45936</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25328-2025</t>
        </is>
      </c>
      <c r="B1529" s="1" t="n">
        <v>45800</v>
      </c>
      <c r="C1529" s="1" t="n">
        <v>45936</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25443-2025</t>
        </is>
      </c>
      <c r="B1530" s="1" t="n">
        <v>45801.49258101852</v>
      </c>
      <c r="C1530" s="1" t="n">
        <v>45936</v>
      </c>
      <c r="D1530" t="inlineStr">
        <is>
          <t>VÄRMLANDS LÄN</t>
        </is>
      </c>
      <c r="E1530" t="inlineStr">
        <is>
          <t>TORSBY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25369-2025</t>
        </is>
      </c>
      <c r="B1531" s="1" t="n">
        <v>45800.63046296296</v>
      </c>
      <c r="C1531" s="1" t="n">
        <v>45936</v>
      </c>
      <c r="D1531" t="inlineStr">
        <is>
          <t>VÄRMLANDS LÄN</t>
        </is>
      </c>
      <c r="E1531" t="inlineStr">
        <is>
          <t>TORSBY</t>
        </is>
      </c>
      <c r="F1531" t="inlineStr">
        <is>
          <t>Bergvik skog väst AB</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14413-2025</t>
        </is>
      </c>
      <c r="B1532" s="1" t="n">
        <v>45741</v>
      </c>
      <c r="C1532" s="1" t="n">
        <v>45936</v>
      </c>
      <c r="D1532" t="inlineStr">
        <is>
          <t>VÄRMLANDS LÄN</t>
        </is>
      </c>
      <c r="E1532" t="inlineStr">
        <is>
          <t>TORSBY</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39642-2021</t>
        </is>
      </c>
      <c r="B1533" s="1" t="n">
        <v>44417</v>
      </c>
      <c r="C1533" s="1" t="n">
        <v>45936</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14945-2023</t>
        </is>
      </c>
      <c r="B1534" s="1" t="n">
        <v>45014</v>
      </c>
      <c r="C1534" s="1" t="n">
        <v>45936</v>
      </c>
      <c r="D1534" t="inlineStr">
        <is>
          <t>VÄRMLANDS LÄN</t>
        </is>
      </c>
      <c r="E1534" t="inlineStr">
        <is>
          <t>TORSBY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55100-2023</t>
        </is>
      </c>
      <c r="B1535" s="1" t="n">
        <v>45237.45715277778</v>
      </c>
      <c r="C1535" s="1" t="n">
        <v>45936</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25545-2025</t>
        </is>
      </c>
      <c r="B1536" s="1" t="n">
        <v>45803.43763888889</v>
      </c>
      <c r="C1536" s="1" t="n">
        <v>45936</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59423-2024</t>
        </is>
      </c>
      <c r="B1537" s="1" t="n">
        <v>45638</v>
      </c>
      <c r="C1537" s="1" t="n">
        <v>45936</v>
      </c>
      <c r="D1537" t="inlineStr">
        <is>
          <t>VÄRMLANDS LÄN</t>
        </is>
      </c>
      <c r="E1537" t="inlineStr">
        <is>
          <t>TORSBY</t>
        </is>
      </c>
      <c r="G1537" t="n">
        <v>23.7</v>
      </c>
      <c r="H1537" t="n">
        <v>0</v>
      </c>
      <c r="I1537" t="n">
        <v>0</v>
      </c>
      <c r="J1537" t="n">
        <v>0</v>
      </c>
      <c r="K1537" t="n">
        <v>0</v>
      </c>
      <c r="L1537" t="n">
        <v>0</v>
      </c>
      <c r="M1537" t="n">
        <v>0</v>
      </c>
      <c r="N1537" t="n">
        <v>0</v>
      </c>
      <c r="O1537" t="n">
        <v>0</v>
      </c>
      <c r="P1537" t="n">
        <v>0</v>
      </c>
      <c r="Q1537" t="n">
        <v>0</v>
      </c>
      <c r="R1537" s="2" t="inlineStr"/>
    </row>
    <row r="1538" ht="15" customHeight="1">
      <c r="A1538" t="inlineStr">
        <is>
          <t>A 25866-2025</t>
        </is>
      </c>
      <c r="B1538" s="1" t="n">
        <v>45804.48143518518</v>
      </c>
      <c r="C1538" s="1" t="n">
        <v>45936</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26231-2025</t>
        </is>
      </c>
      <c r="B1539" s="1" t="n">
        <v>45805</v>
      </c>
      <c r="C1539" s="1" t="n">
        <v>45936</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54060-2020</t>
        </is>
      </c>
      <c r="B1540" s="1" t="n">
        <v>44125</v>
      </c>
      <c r="C1540" s="1" t="n">
        <v>45936</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27086-2024</t>
        </is>
      </c>
      <c r="B1541" s="1" t="n">
        <v>45471</v>
      </c>
      <c r="C1541" s="1" t="n">
        <v>45936</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15274-2024</t>
        </is>
      </c>
      <c r="B1542" s="1" t="n">
        <v>45400.58201388889</v>
      </c>
      <c r="C1542" s="1" t="n">
        <v>45936</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25807-2025</t>
        </is>
      </c>
      <c r="B1543" s="1" t="n">
        <v>45804.41055555556</v>
      </c>
      <c r="C1543" s="1" t="n">
        <v>45936</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34966-2024</t>
        </is>
      </c>
      <c r="B1544" s="1" t="n">
        <v>45527.49600694444</v>
      </c>
      <c r="C1544" s="1" t="n">
        <v>45936</v>
      </c>
      <c r="D1544" t="inlineStr">
        <is>
          <t>VÄRMLANDS LÄN</t>
        </is>
      </c>
      <c r="E1544" t="inlineStr">
        <is>
          <t>TORSBY</t>
        </is>
      </c>
      <c r="F1544" t="inlineStr">
        <is>
          <t>Bergvik skog väst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44670-2023</t>
        </is>
      </c>
      <c r="B1545" s="1" t="n">
        <v>45189</v>
      </c>
      <c r="C1545" s="1" t="n">
        <v>45936</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44710-2023</t>
        </is>
      </c>
      <c r="B1546" s="1" t="n">
        <v>45190</v>
      </c>
      <c r="C1546" s="1" t="n">
        <v>45936</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16488-2024</t>
        </is>
      </c>
      <c r="B1547" s="1" t="n">
        <v>45408.34597222223</v>
      </c>
      <c r="C1547" s="1" t="n">
        <v>45936</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25959-2025</t>
        </is>
      </c>
      <c r="B1548" s="1" t="n">
        <v>45804.60914351852</v>
      </c>
      <c r="C1548" s="1" t="n">
        <v>45936</v>
      </c>
      <c r="D1548" t="inlineStr">
        <is>
          <t>VÄRMLANDS LÄN</t>
        </is>
      </c>
      <c r="E1548" t="inlineStr">
        <is>
          <t>TORSBY</t>
        </is>
      </c>
      <c r="F1548" t="inlineStr">
        <is>
          <t>Bergvik skog väst AB</t>
        </is>
      </c>
      <c r="G1548" t="n">
        <v>17.6</v>
      </c>
      <c r="H1548" t="n">
        <v>0</v>
      </c>
      <c r="I1548" t="n">
        <v>0</v>
      </c>
      <c r="J1548" t="n">
        <v>0</v>
      </c>
      <c r="K1548" t="n">
        <v>0</v>
      </c>
      <c r="L1548" t="n">
        <v>0</v>
      </c>
      <c r="M1548" t="n">
        <v>0</v>
      </c>
      <c r="N1548" t="n">
        <v>0</v>
      </c>
      <c r="O1548" t="n">
        <v>0</v>
      </c>
      <c r="P1548" t="n">
        <v>0</v>
      </c>
      <c r="Q1548" t="n">
        <v>0</v>
      </c>
      <c r="R1548" s="2" t="inlineStr"/>
    </row>
    <row r="1549" ht="15" customHeight="1">
      <c r="A1549" t="inlineStr">
        <is>
          <t>A 16592-2024</t>
        </is>
      </c>
      <c r="B1549" s="1" t="n">
        <v>45408.49623842593</v>
      </c>
      <c r="C1549" s="1" t="n">
        <v>45936</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25917-2025</t>
        </is>
      </c>
      <c r="B1550" s="1" t="n">
        <v>45804.56704861111</v>
      </c>
      <c r="C1550" s="1" t="n">
        <v>45936</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26061-2025</t>
        </is>
      </c>
      <c r="B1551" s="1" t="n">
        <v>45805.24886574074</v>
      </c>
      <c r="C1551" s="1" t="n">
        <v>45936</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25974-2025</t>
        </is>
      </c>
      <c r="B1552" s="1" t="n">
        <v>45804</v>
      </c>
      <c r="C1552" s="1" t="n">
        <v>45936</v>
      </c>
      <c r="D1552" t="inlineStr">
        <is>
          <t>VÄRMLANDS LÄN</t>
        </is>
      </c>
      <c r="E1552" t="inlineStr">
        <is>
          <t>TORSBY</t>
        </is>
      </c>
      <c r="F1552" t="inlineStr">
        <is>
          <t>Bergvik skog väst AB</t>
        </is>
      </c>
      <c r="G1552" t="n">
        <v>24.6</v>
      </c>
      <c r="H1552" t="n">
        <v>0</v>
      </c>
      <c r="I1552" t="n">
        <v>0</v>
      </c>
      <c r="J1552" t="n">
        <v>0</v>
      </c>
      <c r="K1552" t="n">
        <v>0</v>
      </c>
      <c r="L1552" t="n">
        <v>0</v>
      </c>
      <c r="M1552" t="n">
        <v>0</v>
      </c>
      <c r="N1552" t="n">
        <v>0</v>
      </c>
      <c r="O1552" t="n">
        <v>0</v>
      </c>
      <c r="P1552" t="n">
        <v>0</v>
      </c>
      <c r="Q1552" t="n">
        <v>0</v>
      </c>
      <c r="R1552" s="2" t="inlineStr"/>
    </row>
    <row r="1553" ht="15" customHeight="1">
      <c r="A1553" t="inlineStr">
        <is>
          <t>A 26158-2025</t>
        </is>
      </c>
      <c r="B1553" s="1" t="n">
        <v>45805</v>
      </c>
      <c r="C1553" s="1" t="n">
        <v>45936</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54014-2024</t>
        </is>
      </c>
      <c r="B1554" s="1" t="n">
        <v>45616.38003472222</v>
      </c>
      <c r="C1554" s="1" t="n">
        <v>45936</v>
      </c>
      <c r="D1554" t="inlineStr">
        <is>
          <t>VÄRMLANDS LÄN</t>
        </is>
      </c>
      <c r="E1554" t="inlineStr">
        <is>
          <t>TORSBY</t>
        </is>
      </c>
      <c r="F1554" t="inlineStr">
        <is>
          <t>Kommuner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44448-2024</t>
        </is>
      </c>
      <c r="B1555" s="1" t="n">
        <v>45574</v>
      </c>
      <c r="C1555" s="1" t="n">
        <v>45936</v>
      </c>
      <c r="D1555" t="inlineStr">
        <is>
          <t>VÄRMLANDS LÄN</t>
        </is>
      </c>
      <c r="E1555" t="inlineStr">
        <is>
          <t>TORSBY</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739-2022</t>
        </is>
      </c>
      <c r="B1556" s="1" t="n">
        <v>44568</v>
      </c>
      <c r="C1556" s="1" t="n">
        <v>45936</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36318-2022</t>
        </is>
      </c>
      <c r="B1557" s="1" t="n">
        <v>44803</v>
      </c>
      <c r="C1557" s="1" t="n">
        <v>45936</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25881-2025</t>
        </is>
      </c>
      <c r="B1558" s="1" t="n">
        <v>45804.49729166667</v>
      </c>
      <c r="C1558" s="1" t="n">
        <v>45936</v>
      </c>
      <c r="D1558" t="inlineStr">
        <is>
          <t>VÄRMLANDS LÄN</t>
        </is>
      </c>
      <c r="E1558" t="inlineStr">
        <is>
          <t>TORSBY</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25803-2025</t>
        </is>
      </c>
      <c r="B1559" s="1" t="n">
        <v>45804.40886574074</v>
      </c>
      <c r="C1559" s="1" t="n">
        <v>45936</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26342-2025</t>
        </is>
      </c>
      <c r="B1560" s="1" t="n">
        <v>45805.70604166666</v>
      </c>
      <c r="C1560" s="1" t="n">
        <v>45936</v>
      </c>
      <c r="D1560" t="inlineStr">
        <is>
          <t>VÄRMLANDS LÄN</t>
        </is>
      </c>
      <c r="E1560" t="inlineStr">
        <is>
          <t>TORSBY</t>
        </is>
      </c>
      <c r="F1560" t="inlineStr">
        <is>
          <t>Bergvik skog väst AB</t>
        </is>
      </c>
      <c r="G1560" t="n">
        <v>13.6</v>
      </c>
      <c r="H1560" t="n">
        <v>0</v>
      </c>
      <c r="I1560" t="n">
        <v>0</v>
      </c>
      <c r="J1560" t="n">
        <v>0</v>
      </c>
      <c r="K1560" t="n">
        <v>0</v>
      </c>
      <c r="L1560" t="n">
        <v>0</v>
      </c>
      <c r="M1560" t="n">
        <v>0</v>
      </c>
      <c r="N1560" t="n">
        <v>0</v>
      </c>
      <c r="O1560" t="n">
        <v>0</v>
      </c>
      <c r="P1560" t="n">
        <v>0</v>
      </c>
      <c r="Q1560" t="n">
        <v>0</v>
      </c>
      <c r="R1560" s="2" t="inlineStr"/>
    </row>
    <row r="1561" ht="15" customHeight="1">
      <c r="A1561" t="inlineStr">
        <is>
          <t>A 26108-2025</t>
        </is>
      </c>
      <c r="B1561" s="1" t="n">
        <v>45805</v>
      </c>
      <c r="C1561" s="1" t="n">
        <v>45936</v>
      </c>
      <c r="D1561" t="inlineStr">
        <is>
          <t>VÄRMLANDS LÄN</t>
        </is>
      </c>
      <c r="E1561" t="inlineStr">
        <is>
          <t>TORSBY</t>
        </is>
      </c>
      <c r="F1561" t="inlineStr">
        <is>
          <t>Bergvik skog väst AB</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25859-2025</t>
        </is>
      </c>
      <c r="B1562" s="1" t="n">
        <v>45804.47244212963</v>
      </c>
      <c r="C1562" s="1" t="n">
        <v>45936</v>
      </c>
      <c r="D1562" t="inlineStr">
        <is>
          <t>VÄRMLANDS LÄN</t>
        </is>
      </c>
      <c r="E1562" t="inlineStr">
        <is>
          <t>TORSBY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25915-2025</t>
        </is>
      </c>
      <c r="B1563" s="1" t="n">
        <v>45804.56549768519</v>
      </c>
      <c r="C1563" s="1" t="n">
        <v>45936</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25808-2025</t>
        </is>
      </c>
      <c r="B1564" s="1" t="n">
        <v>45804.41528935185</v>
      </c>
      <c r="C1564" s="1" t="n">
        <v>45936</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26563-2025</t>
        </is>
      </c>
      <c r="B1565" s="1" t="n">
        <v>45807.65767361111</v>
      </c>
      <c r="C1565" s="1" t="n">
        <v>45936</v>
      </c>
      <c r="D1565" t="inlineStr">
        <is>
          <t>VÄRMLANDS LÄN</t>
        </is>
      </c>
      <c r="E1565" t="inlineStr">
        <is>
          <t>TORSBY</t>
        </is>
      </c>
      <c r="F1565" t="inlineStr">
        <is>
          <t>Bergvik skog väst AB</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26504-2025</t>
        </is>
      </c>
      <c r="B1566" s="1" t="n">
        <v>45807.519375</v>
      </c>
      <c r="C1566" s="1" t="n">
        <v>45936</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26505-2025</t>
        </is>
      </c>
      <c r="B1567" s="1" t="n">
        <v>45807.52231481481</v>
      </c>
      <c r="C1567" s="1" t="n">
        <v>45936</v>
      </c>
      <c r="D1567" t="inlineStr">
        <is>
          <t>VÄRMLANDS LÄN</t>
        </is>
      </c>
      <c r="E1567" t="inlineStr">
        <is>
          <t>TORSBY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26511-2025</t>
        </is>
      </c>
      <c r="B1568" s="1" t="n">
        <v>45807.54571759259</v>
      </c>
      <c r="C1568" s="1" t="n">
        <v>45936</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26539-2025</t>
        </is>
      </c>
      <c r="B1569" s="1" t="n">
        <v>45807.58127314815</v>
      </c>
      <c r="C1569" s="1" t="n">
        <v>45936</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50380-2024</t>
        </is>
      </c>
      <c r="B1570" s="1" t="n">
        <v>45601.30582175926</v>
      </c>
      <c r="C1570" s="1" t="n">
        <v>45936</v>
      </c>
      <c r="D1570" t="inlineStr">
        <is>
          <t>VÄRMLANDS LÄN</t>
        </is>
      </c>
      <c r="E1570" t="inlineStr">
        <is>
          <t>TORSBY</t>
        </is>
      </c>
      <c r="F1570" t="inlineStr">
        <is>
          <t>Bergvik skog väst AB</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32444-2022</t>
        </is>
      </c>
      <c r="B1571" s="1" t="n">
        <v>44782</v>
      </c>
      <c r="C1571" s="1" t="n">
        <v>45936</v>
      </c>
      <c r="D1571" t="inlineStr">
        <is>
          <t>VÄRMLANDS LÄN</t>
        </is>
      </c>
      <c r="E1571" t="inlineStr">
        <is>
          <t>TORSBY</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26418-2025</t>
        </is>
      </c>
      <c r="B1572" s="1" t="n">
        <v>45807.36436342593</v>
      </c>
      <c r="C1572" s="1" t="n">
        <v>45936</v>
      </c>
      <c r="D1572" t="inlineStr">
        <is>
          <t>VÄRMLANDS LÄN</t>
        </is>
      </c>
      <c r="E1572" t="inlineStr">
        <is>
          <t>TORSBY</t>
        </is>
      </c>
      <c r="F1572" t="inlineStr">
        <is>
          <t>Bergvik skog väst AB</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26507-2025</t>
        </is>
      </c>
      <c r="B1573" s="1" t="n">
        <v>45807.52539351852</v>
      </c>
      <c r="C1573" s="1" t="n">
        <v>45936</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26564-2025</t>
        </is>
      </c>
      <c r="B1574" s="1" t="n">
        <v>45807.66306712963</v>
      </c>
      <c r="C1574" s="1" t="n">
        <v>45936</v>
      </c>
      <c r="D1574" t="inlineStr">
        <is>
          <t>VÄRMLANDS LÄN</t>
        </is>
      </c>
      <c r="E1574" t="inlineStr">
        <is>
          <t>TORSBY</t>
        </is>
      </c>
      <c r="F1574" t="inlineStr">
        <is>
          <t>Bergvik skog väst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26479-2025</t>
        </is>
      </c>
      <c r="B1575" s="1" t="n">
        <v>45807.47021990741</v>
      </c>
      <c r="C1575" s="1" t="n">
        <v>45936</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26491-2025</t>
        </is>
      </c>
      <c r="B1576" s="1" t="n">
        <v>45807.48939814815</v>
      </c>
      <c r="C1576" s="1" t="n">
        <v>45936</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26533-2025</t>
        </is>
      </c>
      <c r="B1577" s="1" t="n">
        <v>45807.57259259259</v>
      </c>
      <c r="C1577" s="1" t="n">
        <v>45936</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26487-2025</t>
        </is>
      </c>
      <c r="B1578" s="1" t="n">
        <v>45807.47644675926</v>
      </c>
      <c r="C1578" s="1" t="n">
        <v>45936</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56724-2023</t>
        </is>
      </c>
      <c r="B1579" s="1" t="n">
        <v>45244.3393287037</v>
      </c>
      <c r="C1579" s="1" t="n">
        <v>45936</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28545-2024</t>
        </is>
      </c>
      <c r="B1580" s="1" t="n">
        <v>45478.3559375</v>
      </c>
      <c r="C1580" s="1" t="n">
        <v>45936</v>
      </c>
      <c r="D1580" t="inlineStr">
        <is>
          <t>VÄRMLANDS LÄN</t>
        </is>
      </c>
      <c r="E1580" t="inlineStr">
        <is>
          <t>TORSBY</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16380-2025</t>
        </is>
      </c>
      <c r="B1581" s="1" t="n">
        <v>45751</v>
      </c>
      <c r="C1581" s="1" t="n">
        <v>45936</v>
      </c>
      <c r="D1581" t="inlineStr">
        <is>
          <t>VÄRMLANDS LÄN</t>
        </is>
      </c>
      <c r="E1581" t="inlineStr">
        <is>
          <t>TORSBY</t>
        </is>
      </c>
      <c r="F1581" t="inlineStr">
        <is>
          <t>Bergvik skog väst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27056-2025</t>
        </is>
      </c>
      <c r="B1582" s="1" t="n">
        <v>45811.63118055555</v>
      </c>
      <c r="C1582" s="1" t="n">
        <v>45936</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27116-2025</t>
        </is>
      </c>
      <c r="B1583" s="1" t="n">
        <v>45811.74233796296</v>
      </c>
      <c r="C1583" s="1" t="n">
        <v>45936</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43144-2024</t>
        </is>
      </c>
      <c r="B1584" s="1" t="n">
        <v>45567</v>
      </c>
      <c r="C1584" s="1" t="n">
        <v>45936</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15773-2023</t>
        </is>
      </c>
      <c r="B1585" s="1" t="n">
        <v>45021</v>
      </c>
      <c r="C1585" s="1" t="n">
        <v>45936</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27043-2025</t>
        </is>
      </c>
      <c r="B1586" s="1" t="n">
        <v>45811.61342592593</v>
      </c>
      <c r="C1586" s="1" t="n">
        <v>45936</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26898-2025</t>
        </is>
      </c>
      <c r="B1587" s="1" t="n">
        <v>45811</v>
      </c>
      <c r="C1587" s="1" t="n">
        <v>45936</v>
      </c>
      <c r="D1587" t="inlineStr">
        <is>
          <t>VÄRMLANDS LÄN</t>
        </is>
      </c>
      <c r="E1587" t="inlineStr">
        <is>
          <t>TORSBY</t>
        </is>
      </c>
      <c r="F1587" t="inlineStr">
        <is>
          <t>Övriga Aktiebolag</t>
        </is>
      </c>
      <c r="G1587" t="n">
        <v>37.8</v>
      </c>
      <c r="H1587" t="n">
        <v>0</v>
      </c>
      <c r="I1587" t="n">
        <v>0</v>
      </c>
      <c r="J1587" t="n">
        <v>0</v>
      </c>
      <c r="K1587" t="n">
        <v>0</v>
      </c>
      <c r="L1587" t="n">
        <v>0</v>
      </c>
      <c r="M1587" t="n">
        <v>0</v>
      </c>
      <c r="N1587" t="n">
        <v>0</v>
      </c>
      <c r="O1587" t="n">
        <v>0</v>
      </c>
      <c r="P1587" t="n">
        <v>0</v>
      </c>
      <c r="Q1587" t="n">
        <v>0</v>
      </c>
      <c r="R1587" s="2" t="inlineStr"/>
    </row>
    <row r="1588" ht="15" customHeight="1">
      <c r="A1588" t="inlineStr">
        <is>
          <t>A 11222-2024</t>
        </is>
      </c>
      <c r="B1588" s="1" t="n">
        <v>45371</v>
      </c>
      <c r="C1588" s="1" t="n">
        <v>45936</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754-2025</t>
        </is>
      </c>
      <c r="B1589" s="1" t="n">
        <v>45665</v>
      </c>
      <c r="C1589" s="1" t="n">
        <v>45936</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26892-2025</t>
        </is>
      </c>
      <c r="B1590" s="1" t="n">
        <v>45811.3334837963</v>
      </c>
      <c r="C1590" s="1" t="n">
        <v>45936</v>
      </c>
      <c r="D1590" t="inlineStr">
        <is>
          <t>VÄRMLANDS LÄN</t>
        </is>
      </c>
      <c r="E1590" t="inlineStr">
        <is>
          <t>TORSBY</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27094-2025</t>
        </is>
      </c>
      <c r="B1591" s="1" t="n">
        <v>45811.6766087963</v>
      </c>
      <c r="C1591" s="1" t="n">
        <v>45936</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26822-2025</t>
        </is>
      </c>
      <c r="B1592" s="1" t="n">
        <v>45810</v>
      </c>
      <c r="C1592" s="1" t="n">
        <v>45936</v>
      </c>
      <c r="D1592" t="inlineStr">
        <is>
          <t>VÄRMLANDS LÄN</t>
        </is>
      </c>
      <c r="E1592" t="inlineStr">
        <is>
          <t>TORSBY</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26890-2025</t>
        </is>
      </c>
      <c r="B1593" s="1" t="n">
        <v>45811</v>
      </c>
      <c r="C1593" s="1" t="n">
        <v>45936</v>
      </c>
      <c r="D1593" t="inlineStr">
        <is>
          <t>VÄRMLANDS LÄN</t>
        </is>
      </c>
      <c r="E1593" t="inlineStr">
        <is>
          <t>TORSBY</t>
        </is>
      </c>
      <c r="F1593" t="inlineStr">
        <is>
          <t>Bergvik skog väst AB</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25956-2025</t>
        </is>
      </c>
      <c r="B1594" s="1" t="n">
        <v>45804</v>
      </c>
      <c r="C1594" s="1" t="n">
        <v>45936</v>
      </c>
      <c r="D1594" t="inlineStr">
        <is>
          <t>VÄRMLANDS LÄN</t>
        </is>
      </c>
      <c r="E1594" t="inlineStr">
        <is>
          <t>TORSBY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15992-2023</t>
        </is>
      </c>
      <c r="B1595" s="1" t="n">
        <v>45023.5066087963</v>
      </c>
      <c r="C1595" s="1" t="n">
        <v>45936</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16044-2023</t>
        </is>
      </c>
      <c r="B1596" s="1" t="n">
        <v>45027</v>
      </c>
      <c r="C1596" s="1" t="n">
        <v>45936</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26607-2025</t>
        </is>
      </c>
      <c r="B1597" s="1" t="n">
        <v>45809.92239583333</v>
      </c>
      <c r="C1597" s="1" t="n">
        <v>45936</v>
      </c>
      <c r="D1597" t="inlineStr">
        <is>
          <t>VÄRMLANDS LÄN</t>
        </is>
      </c>
      <c r="E1597" t="inlineStr">
        <is>
          <t>TORSBY</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10288-2025</t>
        </is>
      </c>
      <c r="B1598" s="1" t="n">
        <v>45720.41396990741</v>
      </c>
      <c r="C1598" s="1" t="n">
        <v>45936</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26960-2025</t>
        </is>
      </c>
      <c r="B1599" s="1" t="n">
        <v>45811.46167824074</v>
      </c>
      <c r="C1599" s="1" t="n">
        <v>45936</v>
      </c>
      <c r="D1599" t="inlineStr">
        <is>
          <t>VÄRMLANDS LÄN</t>
        </is>
      </c>
      <c r="E1599" t="inlineStr">
        <is>
          <t>TORSBY</t>
        </is>
      </c>
      <c r="F1599" t="inlineStr">
        <is>
          <t>Kyrkan</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27093-2025</t>
        </is>
      </c>
      <c r="B1600" s="1" t="n">
        <v>45811.67347222222</v>
      </c>
      <c r="C1600" s="1" t="n">
        <v>45936</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26897-2025</t>
        </is>
      </c>
      <c r="B1601" s="1" t="n">
        <v>45811.34108796297</v>
      </c>
      <c r="C1601" s="1" t="n">
        <v>45936</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14367-2025</t>
        </is>
      </c>
      <c r="B1602" s="1" t="n">
        <v>45741.38988425926</v>
      </c>
      <c r="C1602" s="1" t="n">
        <v>45936</v>
      </c>
      <c r="D1602" t="inlineStr">
        <is>
          <t>VÄRMLANDS LÄN</t>
        </is>
      </c>
      <c r="E1602" t="inlineStr">
        <is>
          <t>TORSBY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14419-2025</t>
        </is>
      </c>
      <c r="B1603" s="1" t="n">
        <v>45741</v>
      </c>
      <c r="C1603" s="1" t="n">
        <v>45936</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36050-2023</t>
        </is>
      </c>
      <c r="B1604" s="1" t="n">
        <v>45149</v>
      </c>
      <c r="C1604" s="1" t="n">
        <v>45936</v>
      </c>
      <c r="D1604" t="inlineStr">
        <is>
          <t>VÄRMLANDS LÄN</t>
        </is>
      </c>
      <c r="E1604" t="inlineStr">
        <is>
          <t>TORSBY</t>
        </is>
      </c>
      <c r="F1604" t="inlineStr">
        <is>
          <t>Kommuner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26876-2024</t>
        </is>
      </c>
      <c r="B1605" s="1" t="n">
        <v>45470.62181712963</v>
      </c>
      <c r="C1605" s="1" t="n">
        <v>45936</v>
      </c>
      <c r="D1605" t="inlineStr">
        <is>
          <t>VÄRMLANDS LÄN</t>
        </is>
      </c>
      <c r="E1605" t="inlineStr">
        <is>
          <t>TORSBY</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11187-2024</t>
        </is>
      </c>
      <c r="B1606" s="1" t="n">
        <v>45371</v>
      </c>
      <c r="C1606" s="1" t="n">
        <v>45936</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67457-2021</t>
        </is>
      </c>
      <c r="B1607" s="1" t="n">
        <v>44524</v>
      </c>
      <c r="C1607" s="1" t="n">
        <v>45936</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21308-2024</t>
        </is>
      </c>
      <c r="B1608" s="1" t="n">
        <v>45440</v>
      </c>
      <c r="C1608" s="1" t="n">
        <v>45936</v>
      </c>
      <c r="D1608" t="inlineStr">
        <is>
          <t>VÄRMLANDS LÄN</t>
        </is>
      </c>
      <c r="E1608" t="inlineStr">
        <is>
          <t>TORSBY</t>
        </is>
      </c>
      <c r="G1608" t="n">
        <v>18.9</v>
      </c>
      <c r="H1608" t="n">
        <v>0</v>
      </c>
      <c r="I1608" t="n">
        <v>0</v>
      </c>
      <c r="J1608" t="n">
        <v>0</v>
      </c>
      <c r="K1608" t="n">
        <v>0</v>
      </c>
      <c r="L1608" t="n">
        <v>0</v>
      </c>
      <c r="M1608" t="n">
        <v>0</v>
      </c>
      <c r="N1608" t="n">
        <v>0</v>
      </c>
      <c r="O1608" t="n">
        <v>0</v>
      </c>
      <c r="P1608" t="n">
        <v>0</v>
      </c>
      <c r="Q1608" t="n">
        <v>0</v>
      </c>
      <c r="R1608" s="2" t="inlineStr"/>
    </row>
    <row r="1609" ht="15" customHeight="1">
      <c r="A1609" t="inlineStr">
        <is>
          <t>A 24087-2024</t>
        </is>
      </c>
      <c r="B1609" s="1" t="n">
        <v>45456</v>
      </c>
      <c r="C1609" s="1" t="n">
        <v>45936</v>
      </c>
      <c r="D1609" t="inlineStr">
        <is>
          <t>VÄRMLANDS LÄN</t>
        </is>
      </c>
      <c r="E1609" t="inlineStr">
        <is>
          <t>TORSBY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30002-2024</t>
        </is>
      </c>
      <c r="B1610" s="1" t="n">
        <v>45488</v>
      </c>
      <c r="C1610" s="1" t="n">
        <v>45936</v>
      </c>
      <c r="D1610" t="inlineStr">
        <is>
          <t>VÄRMLANDS LÄN</t>
        </is>
      </c>
      <c r="E1610" t="inlineStr">
        <is>
          <t>TORSBY</t>
        </is>
      </c>
      <c r="F1610" t="inlineStr">
        <is>
          <t>Kommuner</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27149-2025</t>
        </is>
      </c>
      <c r="B1611" s="1" t="n">
        <v>45812.31924768518</v>
      </c>
      <c r="C1611" s="1" t="n">
        <v>45936</v>
      </c>
      <c r="D1611" t="inlineStr">
        <is>
          <t>VÄRMLANDS LÄN</t>
        </is>
      </c>
      <c r="E1611" t="inlineStr">
        <is>
          <t>TORSBY</t>
        </is>
      </c>
      <c r="F1611" t="inlineStr">
        <is>
          <t>Bergvik skog väst AB</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9067-2023</t>
        </is>
      </c>
      <c r="B1612" s="1" t="n">
        <v>44979</v>
      </c>
      <c r="C1612" s="1" t="n">
        <v>45936</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19887-2024</t>
        </is>
      </c>
      <c r="B1613" s="1" t="n">
        <v>45433</v>
      </c>
      <c r="C1613" s="1" t="n">
        <v>45936</v>
      </c>
      <c r="D1613" t="inlineStr">
        <is>
          <t>VÄRMLANDS LÄN</t>
        </is>
      </c>
      <c r="E1613" t="inlineStr">
        <is>
          <t>TORSBY</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27667-2025</t>
        </is>
      </c>
      <c r="B1614" s="1" t="n">
        <v>45813.62092592593</v>
      </c>
      <c r="C1614" s="1" t="n">
        <v>45936</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27674-2025</t>
        </is>
      </c>
      <c r="B1615" s="1" t="n">
        <v>45813.62936342593</v>
      </c>
      <c r="C1615" s="1" t="n">
        <v>45936</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27467-2025</t>
        </is>
      </c>
      <c r="B1616" s="1" t="n">
        <v>45813.35497685185</v>
      </c>
      <c r="C1616" s="1" t="n">
        <v>45936</v>
      </c>
      <c r="D1616" t="inlineStr">
        <is>
          <t>VÄRMLANDS LÄN</t>
        </is>
      </c>
      <c r="E1616" t="inlineStr">
        <is>
          <t>TORSBY</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27450-2025</t>
        </is>
      </c>
      <c r="B1617" s="1" t="n">
        <v>45813.33738425926</v>
      </c>
      <c r="C1617" s="1" t="n">
        <v>45936</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27470-2025</t>
        </is>
      </c>
      <c r="B1618" s="1" t="n">
        <v>45813.36284722222</v>
      </c>
      <c r="C1618" s="1" t="n">
        <v>45936</v>
      </c>
      <c r="D1618" t="inlineStr">
        <is>
          <t>VÄRMLANDS LÄN</t>
        </is>
      </c>
      <c r="E1618" t="inlineStr">
        <is>
          <t>TORSBY</t>
        </is>
      </c>
      <c r="G1618" t="n">
        <v>17.9</v>
      </c>
      <c r="H1618" t="n">
        <v>0</v>
      </c>
      <c r="I1618" t="n">
        <v>0</v>
      </c>
      <c r="J1618" t="n">
        <v>0</v>
      </c>
      <c r="K1618" t="n">
        <v>0</v>
      </c>
      <c r="L1618" t="n">
        <v>0</v>
      </c>
      <c r="M1618" t="n">
        <v>0</v>
      </c>
      <c r="N1618" t="n">
        <v>0</v>
      </c>
      <c r="O1618" t="n">
        <v>0</v>
      </c>
      <c r="P1618" t="n">
        <v>0</v>
      </c>
      <c r="Q1618" t="n">
        <v>0</v>
      </c>
      <c r="R1618" s="2" t="inlineStr"/>
    </row>
    <row r="1619" ht="15" customHeight="1">
      <c r="A1619" t="inlineStr">
        <is>
          <t>A 24965-2023</t>
        </is>
      </c>
      <c r="B1619" s="1" t="n">
        <v>45085</v>
      </c>
      <c r="C1619" s="1" t="n">
        <v>45936</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24969-2023</t>
        </is>
      </c>
      <c r="B1620" s="1" t="n">
        <v>45085.61429398148</v>
      </c>
      <c r="C1620" s="1" t="n">
        <v>45936</v>
      </c>
      <c r="D1620" t="inlineStr">
        <is>
          <t>VÄRMLANDS LÄN</t>
        </is>
      </c>
      <c r="E1620" t="inlineStr">
        <is>
          <t>TORSBY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27291-2025</t>
        </is>
      </c>
      <c r="B1621" s="1" t="n">
        <v>45812.55769675926</v>
      </c>
      <c r="C1621" s="1" t="n">
        <v>45936</v>
      </c>
      <c r="D1621" t="inlineStr">
        <is>
          <t>VÄRMLANDS LÄN</t>
        </is>
      </c>
      <c r="E1621" t="inlineStr">
        <is>
          <t>TORSBY</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43137-2024</t>
        </is>
      </c>
      <c r="B1622" s="1" t="n">
        <v>45567</v>
      </c>
      <c r="C1622" s="1" t="n">
        <v>45936</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17554-2023</t>
        </is>
      </c>
      <c r="B1623" s="1" t="n">
        <v>45034</v>
      </c>
      <c r="C1623" s="1" t="n">
        <v>45936</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44150-2023</t>
        </is>
      </c>
      <c r="B1624" s="1" t="n">
        <v>45188.47791666666</v>
      </c>
      <c r="C1624" s="1" t="n">
        <v>45936</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27174-2025</t>
        </is>
      </c>
      <c r="B1625" s="1" t="n">
        <v>45812.34997685185</v>
      </c>
      <c r="C1625" s="1" t="n">
        <v>45936</v>
      </c>
      <c r="D1625" t="inlineStr">
        <is>
          <t>VÄRMLANDS LÄN</t>
        </is>
      </c>
      <c r="E1625" t="inlineStr">
        <is>
          <t>TORSBY</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27759-2025</t>
        </is>
      </c>
      <c r="B1626" s="1" t="n">
        <v>45816.48986111111</v>
      </c>
      <c r="C1626" s="1" t="n">
        <v>45936</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27863-2025</t>
        </is>
      </c>
      <c r="B1627" s="1" t="n">
        <v>45817.42118055555</v>
      </c>
      <c r="C1627" s="1" t="n">
        <v>45936</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27730-2025</t>
        </is>
      </c>
      <c r="B1628" s="1" t="n">
        <v>45814</v>
      </c>
      <c r="C1628" s="1" t="n">
        <v>45936</v>
      </c>
      <c r="D1628" t="inlineStr">
        <is>
          <t>VÄRMLANDS LÄN</t>
        </is>
      </c>
      <c r="E1628" t="inlineStr">
        <is>
          <t>TORSBY</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45936</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27968-2025</t>
        </is>
      </c>
      <c r="B1630" s="1" t="n">
        <v>45817.55846064815</v>
      </c>
      <c r="C1630" s="1" t="n">
        <v>45936</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27856-2025</t>
        </is>
      </c>
      <c r="B1631" s="1" t="n">
        <v>45817.41006944444</v>
      </c>
      <c r="C1631" s="1" t="n">
        <v>45936</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24493-2024</t>
        </is>
      </c>
      <c r="B1632" s="1" t="n">
        <v>45459.72136574074</v>
      </c>
      <c r="C1632" s="1" t="n">
        <v>45936</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58255-2024</t>
        </is>
      </c>
      <c r="B1633" s="1" t="n">
        <v>45632.55993055556</v>
      </c>
      <c r="C1633" s="1" t="n">
        <v>45936</v>
      </c>
      <c r="D1633" t="inlineStr">
        <is>
          <t>VÄRMLANDS LÄN</t>
        </is>
      </c>
      <c r="E1633" t="inlineStr">
        <is>
          <t>TORSBY</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27906-2025</t>
        </is>
      </c>
      <c r="B1634" s="1" t="n">
        <v>45817.47108796296</v>
      </c>
      <c r="C1634" s="1" t="n">
        <v>45936</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62507-2023</t>
        </is>
      </c>
      <c r="B1635" s="1" t="n">
        <v>45267</v>
      </c>
      <c r="C1635" s="1" t="n">
        <v>45936</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27962-2025</t>
        </is>
      </c>
      <c r="B1636" s="1" t="n">
        <v>45817.54878472222</v>
      </c>
      <c r="C1636" s="1" t="n">
        <v>45936</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20255-2025</t>
        </is>
      </c>
      <c r="B1637" s="1" t="n">
        <v>45772.9009375</v>
      </c>
      <c r="C1637" s="1" t="n">
        <v>45936</v>
      </c>
      <c r="D1637" t="inlineStr">
        <is>
          <t>VÄRMLANDS LÄN</t>
        </is>
      </c>
      <c r="E1637" t="inlineStr">
        <is>
          <t>TORSBY</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27758-2025</t>
        </is>
      </c>
      <c r="B1638" s="1" t="n">
        <v>45816</v>
      </c>
      <c r="C1638" s="1" t="n">
        <v>45936</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27728-2025</t>
        </is>
      </c>
      <c r="B1639" s="1" t="n">
        <v>45814</v>
      </c>
      <c r="C1639" s="1" t="n">
        <v>45936</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28214-2025</t>
        </is>
      </c>
      <c r="B1640" s="1" t="n">
        <v>45818</v>
      </c>
      <c r="C1640" s="1" t="n">
        <v>45936</v>
      </c>
      <c r="D1640" t="inlineStr">
        <is>
          <t>VÄRMLANDS LÄN</t>
        </is>
      </c>
      <c r="E1640" t="inlineStr">
        <is>
          <t>TORSBY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15087-2023</t>
        </is>
      </c>
      <c r="B1641" s="1" t="n">
        <v>45016</v>
      </c>
      <c r="C1641" s="1" t="n">
        <v>45936</v>
      </c>
      <c r="D1641" t="inlineStr">
        <is>
          <t>VÄRMLANDS LÄN</t>
        </is>
      </c>
      <c r="E1641" t="inlineStr">
        <is>
          <t>TORSBY</t>
        </is>
      </c>
      <c r="F1641" t="inlineStr">
        <is>
          <t>Bergvik skog väst AB</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44262-2023</t>
        </is>
      </c>
      <c r="B1642" s="1" t="n">
        <v>45188.59809027778</v>
      </c>
      <c r="C1642" s="1" t="n">
        <v>45936</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20647-2024</t>
        </is>
      </c>
      <c r="B1643" s="1" t="n">
        <v>45436</v>
      </c>
      <c r="C1643" s="1" t="n">
        <v>45936</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17898-2023</t>
        </is>
      </c>
      <c r="B1644" s="1" t="n">
        <v>45039.72086805556</v>
      </c>
      <c r="C1644" s="1" t="n">
        <v>45936</v>
      </c>
      <c r="D1644" t="inlineStr">
        <is>
          <t>VÄRMLANDS LÄN</t>
        </is>
      </c>
      <c r="E1644" t="inlineStr">
        <is>
          <t>TORSBY</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13785-2023</t>
        </is>
      </c>
      <c r="B1645" s="1" t="n">
        <v>45007</v>
      </c>
      <c r="C1645" s="1" t="n">
        <v>45936</v>
      </c>
      <c r="D1645" t="inlineStr">
        <is>
          <t>VÄRMLANDS LÄN</t>
        </is>
      </c>
      <c r="E1645" t="inlineStr">
        <is>
          <t>TORSBY</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28116-2025</t>
        </is>
      </c>
      <c r="B1646" s="1" t="n">
        <v>45818.28697916667</v>
      </c>
      <c r="C1646" s="1" t="n">
        <v>45936</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28117-2025</t>
        </is>
      </c>
      <c r="B1647" s="1" t="n">
        <v>45818</v>
      </c>
      <c r="C1647" s="1" t="n">
        <v>45936</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28118-2025</t>
        </is>
      </c>
      <c r="B1648" s="1" t="n">
        <v>45818</v>
      </c>
      <c r="C1648" s="1" t="n">
        <v>45936</v>
      </c>
      <c r="D1648" t="inlineStr">
        <is>
          <t>VÄRMLANDS LÄN</t>
        </is>
      </c>
      <c r="E1648" t="inlineStr">
        <is>
          <t>TORSBY</t>
        </is>
      </c>
      <c r="F1648" t="inlineStr">
        <is>
          <t>Bergvik skog väst AB</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28612-2025</t>
        </is>
      </c>
      <c r="B1649" s="1" t="n">
        <v>45819</v>
      </c>
      <c r="C1649" s="1" t="n">
        <v>45936</v>
      </c>
      <c r="D1649" t="inlineStr">
        <is>
          <t>VÄRMLANDS LÄN</t>
        </is>
      </c>
      <c r="E1649" t="inlineStr">
        <is>
          <t>TORSBY</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35134-2022</t>
        </is>
      </c>
      <c r="B1650" s="1" t="n">
        <v>44797</v>
      </c>
      <c r="C1650" s="1" t="n">
        <v>45936</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28511-2025</t>
        </is>
      </c>
      <c r="B1651" s="1" t="n">
        <v>45819</v>
      </c>
      <c r="C1651" s="1" t="n">
        <v>45936</v>
      </c>
      <c r="D1651" t="inlineStr">
        <is>
          <t>VÄRMLANDS LÄN</t>
        </is>
      </c>
      <c r="E1651" t="inlineStr">
        <is>
          <t>TORSBY</t>
        </is>
      </c>
      <c r="F1651" t="inlineStr">
        <is>
          <t>Bergvik skog väst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8048-2022</t>
        </is>
      </c>
      <c r="B1652" s="1" t="n">
        <v>44609</v>
      </c>
      <c r="C1652" s="1" t="n">
        <v>45936</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55794-2021</t>
        </is>
      </c>
      <c r="B1653" s="1" t="n">
        <v>44476</v>
      </c>
      <c r="C1653" s="1" t="n">
        <v>45936</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28380-2025</t>
        </is>
      </c>
      <c r="B1654" s="1" t="n">
        <v>45819.30581018519</v>
      </c>
      <c r="C1654" s="1" t="n">
        <v>45936</v>
      </c>
      <c r="D1654" t="inlineStr">
        <is>
          <t>VÄRMLANDS LÄN</t>
        </is>
      </c>
      <c r="E1654" t="inlineStr">
        <is>
          <t>TORSBY</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64602-2023</t>
        </is>
      </c>
      <c r="B1655" s="1" t="n">
        <v>45281.50085648148</v>
      </c>
      <c r="C1655" s="1" t="n">
        <v>45936</v>
      </c>
      <c r="D1655" t="inlineStr">
        <is>
          <t>VÄRMLANDS LÄN</t>
        </is>
      </c>
      <c r="E1655" t="inlineStr">
        <is>
          <t>TORSBY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41631-2024</t>
        </is>
      </c>
      <c r="B1656" s="1" t="n">
        <v>45560</v>
      </c>
      <c r="C1656" s="1" t="n">
        <v>45936</v>
      </c>
      <c r="D1656" t="inlineStr">
        <is>
          <t>VÄRMLANDS LÄN</t>
        </is>
      </c>
      <c r="E1656" t="inlineStr">
        <is>
          <t>TORSBY</t>
        </is>
      </c>
      <c r="F1656" t="inlineStr">
        <is>
          <t>Bergvik skog väst AB</t>
        </is>
      </c>
      <c r="G1656" t="n">
        <v>16.3</v>
      </c>
      <c r="H1656" t="n">
        <v>0</v>
      </c>
      <c r="I1656" t="n">
        <v>0</v>
      </c>
      <c r="J1656" t="n">
        <v>0</v>
      </c>
      <c r="K1656" t="n">
        <v>0</v>
      </c>
      <c r="L1656" t="n">
        <v>0</v>
      </c>
      <c r="M1656" t="n">
        <v>0</v>
      </c>
      <c r="N1656" t="n">
        <v>0</v>
      </c>
      <c r="O1656" t="n">
        <v>0</v>
      </c>
      <c r="P1656" t="n">
        <v>0</v>
      </c>
      <c r="Q1656" t="n">
        <v>0</v>
      </c>
      <c r="R1656" s="2" t="inlineStr"/>
    </row>
    <row r="1657" ht="15" customHeight="1">
      <c r="A1657" t="inlineStr">
        <is>
          <t>A 28765-2025</t>
        </is>
      </c>
      <c r="B1657" s="1" t="n">
        <v>45820.41982638889</v>
      </c>
      <c r="C1657" s="1" t="n">
        <v>45936</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28791-2025</t>
        </is>
      </c>
      <c r="B1658" s="1" t="n">
        <v>45820</v>
      </c>
      <c r="C1658" s="1" t="n">
        <v>45936</v>
      </c>
      <c r="D1658" t="inlineStr">
        <is>
          <t>VÄRMLANDS LÄN</t>
        </is>
      </c>
      <c r="E1658" t="inlineStr">
        <is>
          <t>TORSBY</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70658-2021</t>
        </is>
      </c>
      <c r="B1659" s="1" t="n">
        <v>44537.52368055555</v>
      </c>
      <c r="C1659" s="1" t="n">
        <v>45936</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28774-2025</t>
        </is>
      </c>
      <c r="B1660" s="1" t="n">
        <v>45820.4434375</v>
      </c>
      <c r="C1660" s="1" t="n">
        <v>45936</v>
      </c>
      <c r="D1660" t="inlineStr">
        <is>
          <t>VÄRMLANDS LÄN</t>
        </is>
      </c>
      <c r="E1660" t="inlineStr">
        <is>
          <t>TORSBY</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28898-2025</t>
        </is>
      </c>
      <c r="B1661" s="1" t="n">
        <v>45820.63644675926</v>
      </c>
      <c r="C1661" s="1" t="n">
        <v>45936</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1979-2023</t>
        </is>
      </c>
      <c r="B1662" s="1" t="n">
        <v>44939</v>
      </c>
      <c r="C1662" s="1" t="n">
        <v>45936</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46909-2024</t>
        </is>
      </c>
      <c r="B1663" s="1" t="n">
        <v>45583</v>
      </c>
      <c r="C1663" s="1" t="n">
        <v>45936</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29071-2025</t>
        </is>
      </c>
      <c r="B1664" s="1" t="n">
        <v>45821</v>
      </c>
      <c r="C1664" s="1" t="n">
        <v>45936</v>
      </c>
      <c r="D1664" t="inlineStr">
        <is>
          <t>VÄRMLANDS LÄN</t>
        </is>
      </c>
      <c r="E1664" t="inlineStr">
        <is>
          <t>TORSBY</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29130-2025</t>
        </is>
      </c>
      <c r="B1665" s="1" t="n">
        <v>45821</v>
      </c>
      <c r="C1665" s="1" t="n">
        <v>45936</v>
      </c>
      <c r="D1665" t="inlineStr">
        <is>
          <t>VÄRMLANDS LÄN</t>
        </is>
      </c>
      <c r="E1665" t="inlineStr">
        <is>
          <t>TORSBY</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28761-2025</t>
        </is>
      </c>
      <c r="B1666" s="1" t="n">
        <v>45820.41648148148</v>
      </c>
      <c r="C1666" s="1" t="n">
        <v>45936</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28939-2025</t>
        </is>
      </c>
      <c r="B1667" s="1" t="n">
        <v>45820.71350694444</v>
      </c>
      <c r="C1667" s="1" t="n">
        <v>45936</v>
      </c>
      <c r="D1667" t="inlineStr">
        <is>
          <t>VÄRMLANDS LÄN</t>
        </is>
      </c>
      <c r="E1667" t="inlineStr">
        <is>
          <t>TORSBY</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29063-2025</t>
        </is>
      </c>
      <c r="B1668" s="1" t="n">
        <v>45821</v>
      </c>
      <c r="C1668" s="1" t="n">
        <v>45936</v>
      </c>
      <c r="D1668" t="inlineStr">
        <is>
          <t>VÄRMLANDS LÄN</t>
        </is>
      </c>
      <c r="E1668" t="inlineStr">
        <is>
          <t>TORSBY</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26887-2024</t>
        </is>
      </c>
      <c r="B1669" s="1" t="n">
        <v>45470.64864583333</v>
      </c>
      <c r="C1669" s="1" t="n">
        <v>45936</v>
      </c>
      <c r="D1669" t="inlineStr">
        <is>
          <t>VÄRMLANDS LÄN</t>
        </is>
      </c>
      <c r="E1669" t="inlineStr">
        <is>
          <t>TORSBY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28784-2025</t>
        </is>
      </c>
      <c r="B1670" s="1" t="n">
        <v>45820</v>
      </c>
      <c r="C1670" s="1" t="n">
        <v>45936</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58727-2021</t>
        </is>
      </c>
      <c r="B1671" s="1" t="n">
        <v>44489.49052083334</v>
      </c>
      <c r="C1671" s="1" t="n">
        <v>45936</v>
      </c>
      <c r="D1671" t="inlineStr">
        <is>
          <t>VÄRMLANDS LÄN</t>
        </is>
      </c>
      <c r="E1671" t="inlineStr">
        <is>
          <t>TORSBY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29512-2025</t>
        </is>
      </c>
      <c r="B1672" s="1" t="n">
        <v>45825.31002314815</v>
      </c>
      <c r="C1672" s="1" t="n">
        <v>45936</v>
      </c>
      <c r="D1672" t="inlineStr">
        <is>
          <t>VÄRMLANDS LÄN</t>
        </is>
      </c>
      <c r="E1672" t="inlineStr">
        <is>
          <t>TORSBY</t>
        </is>
      </c>
      <c r="F1672" t="inlineStr">
        <is>
          <t>Bergvik skog väst AB</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53771-2020</t>
        </is>
      </c>
      <c r="B1673" s="1" t="n">
        <v>44124</v>
      </c>
      <c r="C1673" s="1" t="n">
        <v>45936</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29525-2025</t>
        </is>
      </c>
      <c r="B1674" s="1" t="n">
        <v>45825.33684027778</v>
      </c>
      <c r="C1674" s="1" t="n">
        <v>45936</v>
      </c>
      <c r="D1674" t="inlineStr">
        <is>
          <t>VÄRMLANDS LÄN</t>
        </is>
      </c>
      <c r="E1674" t="inlineStr">
        <is>
          <t>TORSBY</t>
        </is>
      </c>
      <c r="F1674" t="inlineStr">
        <is>
          <t>Bergvik skog väst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29312-2025</t>
        </is>
      </c>
      <c r="B1675" s="1" t="n">
        <v>45824</v>
      </c>
      <c r="C1675" s="1" t="n">
        <v>45936</v>
      </c>
      <c r="D1675" t="inlineStr">
        <is>
          <t>VÄRMLANDS LÄN</t>
        </is>
      </c>
      <c r="E1675" t="inlineStr">
        <is>
          <t>TORSBY</t>
        </is>
      </c>
      <c r="F1675" t="inlineStr">
        <is>
          <t>Övriga Aktiebolag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29251-2025</t>
        </is>
      </c>
      <c r="B1676" s="1" t="n">
        <v>45824</v>
      </c>
      <c r="C1676" s="1" t="n">
        <v>45936</v>
      </c>
      <c r="D1676" t="inlineStr">
        <is>
          <t>VÄRMLANDS LÄN</t>
        </is>
      </c>
      <c r="E1676" t="inlineStr">
        <is>
          <t>TORSBY</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36700-2021</t>
        </is>
      </c>
      <c r="B1677" s="1" t="n">
        <v>44392</v>
      </c>
      <c r="C1677" s="1" t="n">
        <v>45936</v>
      </c>
      <c r="D1677" t="inlineStr">
        <is>
          <t>VÄRMLANDS LÄN</t>
        </is>
      </c>
      <c r="E1677" t="inlineStr">
        <is>
          <t>TORSBY</t>
        </is>
      </c>
      <c r="F1677" t="inlineStr">
        <is>
          <t>Bergvik skog väst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25163-2023</t>
        </is>
      </c>
      <c r="B1678" s="1" t="n">
        <v>45086</v>
      </c>
      <c r="C1678" s="1" t="n">
        <v>45936</v>
      </c>
      <c r="D1678" t="inlineStr">
        <is>
          <t>VÄRMLANDS LÄN</t>
        </is>
      </c>
      <c r="E1678" t="inlineStr">
        <is>
          <t>TORSBY</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29587-2025</t>
        </is>
      </c>
      <c r="B1679" s="1" t="n">
        <v>45825.39394675926</v>
      </c>
      <c r="C1679" s="1" t="n">
        <v>45936</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47651-2024</t>
        </is>
      </c>
      <c r="B1680" s="1" t="n">
        <v>45588</v>
      </c>
      <c r="C1680" s="1" t="n">
        <v>45936</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61367-2022</t>
        </is>
      </c>
      <c r="B1681" s="1" t="n">
        <v>44915.82997685186</v>
      </c>
      <c r="C1681" s="1" t="n">
        <v>45936</v>
      </c>
      <c r="D1681" t="inlineStr">
        <is>
          <t>VÄRMLANDS LÄN</t>
        </is>
      </c>
      <c r="E1681" t="inlineStr">
        <is>
          <t>TORSBY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30110-2023</t>
        </is>
      </c>
      <c r="B1682" s="1" t="n">
        <v>45110</v>
      </c>
      <c r="C1682" s="1" t="n">
        <v>45936</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29650-2025</t>
        </is>
      </c>
      <c r="B1683" s="1" t="n">
        <v>45825.47546296296</v>
      </c>
      <c r="C1683" s="1" t="n">
        <v>45936</v>
      </c>
      <c r="D1683" t="inlineStr">
        <is>
          <t>VÄRMLANDS LÄN</t>
        </is>
      </c>
      <c r="E1683" t="inlineStr">
        <is>
          <t>TORSBY</t>
        </is>
      </c>
      <c r="G1683" t="n">
        <v>16.8</v>
      </c>
      <c r="H1683" t="n">
        <v>0</v>
      </c>
      <c r="I1683" t="n">
        <v>0</v>
      </c>
      <c r="J1683" t="n">
        <v>0</v>
      </c>
      <c r="K1683" t="n">
        <v>0</v>
      </c>
      <c r="L1683" t="n">
        <v>0</v>
      </c>
      <c r="M1683" t="n">
        <v>0</v>
      </c>
      <c r="N1683" t="n">
        <v>0</v>
      </c>
      <c r="O1683" t="n">
        <v>0</v>
      </c>
      <c r="P1683" t="n">
        <v>0</v>
      </c>
      <c r="Q1683" t="n">
        <v>0</v>
      </c>
      <c r="R1683" s="2" t="inlineStr"/>
    </row>
    <row r="1684" ht="15" customHeight="1">
      <c r="A1684" t="inlineStr">
        <is>
          <t>A 28757-2025</t>
        </is>
      </c>
      <c r="B1684" s="1" t="n">
        <v>45820</v>
      </c>
      <c r="C1684" s="1" t="n">
        <v>45936</v>
      </c>
      <c r="D1684" t="inlineStr">
        <is>
          <t>VÄRMLANDS LÄN</t>
        </is>
      </c>
      <c r="E1684" t="inlineStr">
        <is>
          <t>TORSBY</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44340-2022</t>
        </is>
      </c>
      <c r="B1685" s="1" t="n">
        <v>44838</v>
      </c>
      <c r="C1685" s="1" t="n">
        <v>45936</v>
      </c>
      <c r="D1685" t="inlineStr">
        <is>
          <t>VÄRMLANDS LÄN</t>
        </is>
      </c>
      <c r="E1685" t="inlineStr">
        <is>
          <t>TORSBY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29641-2025</t>
        </is>
      </c>
      <c r="B1686" s="1" t="n">
        <v>45825.46285879629</v>
      </c>
      <c r="C1686" s="1" t="n">
        <v>45936</v>
      </c>
      <c r="D1686" t="inlineStr">
        <is>
          <t>VÄRMLANDS LÄN</t>
        </is>
      </c>
      <c r="E1686" t="inlineStr">
        <is>
          <t>TORSBY</t>
        </is>
      </c>
      <c r="G1686" t="n">
        <v>23.4</v>
      </c>
      <c r="H1686" t="n">
        <v>0</v>
      </c>
      <c r="I1686" t="n">
        <v>0</v>
      </c>
      <c r="J1686" t="n">
        <v>0</v>
      </c>
      <c r="K1686" t="n">
        <v>0</v>
      </c>
      <c r="L1686" t="n">
        <v>0</v>
      </c>
      <c r="M1686" t="n">
        <v>0</v>
      </c>
      <c r="N1686" t="n">
        <v>0</v>
      </c>
      <c r="O1686" t="n">
        <v>0</v>
      </c>
      <c r="P1686" t="n">
        <v>0</v>
      </c>
      <c r="Q1686" t="n">
        <v>0</v>
      </c>
      <c r="R1686" s="2" t="inlineStr"/>
    </row>
    <row r="1687" ht="15" customHeight="1">
      <c r="A1687" t="inlineStr">
        <is>
          <t>A 29307-2025</t>
        </is>
      </c>
      <c r="B1687" s="1" t="n">
        <v>45824</v>
      </c>
      <c r="C1687" s="1" t="n">
        <v>45936</v>
      </c>
      <c r="D1687" t="inlineStr">
        <is>
          <t>VÄRMLANDS LÄN</t>
        </is>
      </c>
      <c r="E1687" t="inlineStr">
        <is>
          <t>TORSBY</t>
        </is>
      </c>
      <c r="F1687" t="inlineStr">
        <is>
          <t>Övriga Aktiebolag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29403-2025</t>
        </is>
      </c>
      <c r="B1688" s="1" t="n">
        <v>45824.61469907407</v>
      </c>
      <c r="C1688" s="1" t="n">
        <v>45936</v>
      </c>
      <c r="D1688" t="inlineStr">
        <is>
          <t>VÄRMLANDS LÄN</t>
        </is>
      </c>
      <c r="E1688" t="inlineStr">
        <is>
          <t>TORSBY</t>
        </is>
      </c>
      <c r="F1688" t="inlineStr">
        <is>
          <t>Bergvik skog väst AB</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29702-2025</t>
        </is>
      </c>
      <c r="B1689" s="1" t="n">
        <v>45825.55667824074</v>
      </c>
      <c r="C1689" s="1" t="n">
        <v>45936</v>
      </c>
      <c r="D1689" t="inlineStr">
        <is>
          <t>VÄRMLANDS LÄN</t>
        </is>
      </c>
      <c r="E1689" t="inlineStr">
        <is>
          <t>TORSBY</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49206-2022</t>
        </is>
      </c>
      <c r="B1690" s="1" t="n">
        <v>44860.95984953704</v>
      </c>
      <c r="C1690" s="1" t="n">
        <v>45936</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18101-2022</t>
        </is>
      </c>
      <c r="B1691" s="1" t="n">
        <v>44684</v>
      </c>
      <c r="C1691" s="1" t="n">
        <v>45936</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30078-2025</t>
        </is>
      </c>
      <c r="B1692" s="1" t="n">
        <v>45826.64291666666</v>
      </c>
      <c r="C1692" s="1" t="n">
        <v>45936</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30433-2025</t>
        </is>
      </c>
      <c r="B1693" s="1" t="n">
        <v>45827</v>
      </c>
      <c r="C1693" s="1" t="n">
        <v>45936</v>
      </c>
      <c r="D1693" t="inlineStr">
        <is>
          <t>VÄRMLANDS LÄN</t>
        </is>
      </c>
      <c r="E1693" t="inlineStr">
        <is>
          <t>TORSBY</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30074-2025</t>
        </is>
      </c>
      <c r="B1694" s="1" t="n">
        <v>45826.63672453703</v>
      </c>
      <c r="C1694" s="1" t="n">
        <v>45936</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30380-2025</t>
        </is>
      </c>
      <c r="B1695" s="1" t="n">
        <v>45827</v>
      </c>
      <c r="C1695" s="1" t="n">
        <v>45936</v>
      </c>
      <c r="D1695" t="inlineStr">
        <is>
          <t>VÄRMLANDS LÄN</t>
        </is>
      </c>
      <c r="E1695" t="inlineStr">
        <is>
          <t>TORSBY</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30199-2025</t>
        </is>
      </c>
      <c r="B1696" s="1" t="n">
        <v>45827</v>
      </c>
      <c r="C1696" s="1" t="n">
        <v>45936</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21076-2023</t>
        </is>
      </c>
      <c r="B1697" s="1" t="n">
        <v>45061</v>
      </c>
      <c r="C1697" s="1" t="n">
        <v>45936</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18244-2023</t>
        </is>
      </c>
      <c r="B1698" s="1" t="n">
        <v>45041</v>
      </c>
      <c r="C1698" s="1" t="n">
        <v>45936</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30377-2025</t>
        </is>
      </c>
      <c r="B1699" s="1" t="n">
        <v>45827</v>
      </c>
      <c r="C1699" s="1" t="n">
        <v>45936</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30388-2025</t>
        </is>
      </c>
      <c r="B1700" s="1" t="n">
        <v>45827.5734837963</v>
      </c>
      <c r="C1700" s="1" t="n">
        <v>45936</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30153-2025</t>
        </is>
      </c>
      <c r="B1701" s="1" t="n">
        <v>45827.31736111111</v>
      </c>
      <c r="C1701" s="1" t="n">
        <v>45936</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30026-2025</t>
        </is>
      </c>
      <c r="B1702" s="1" t="n">
        <v>45826.5637037037</v>
      </c>
      <c r="C1702" s="1" t="n">
        <v>45936</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30151-2025</t>
        </is>
      </c>
      <c r="B1703" s="1" t="n">
        <v>45827</v>
      </c>
      <c r="C1703" s="1" t="n">
        <v>45936</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30214-2025</t>
        </is>
      </c>
      <c r="B1704" s="1" t="n">
        <v>45827</v>
      </c>
      <c r="C1704" s="1" t="n">
        <v>45936</v>
      </c>
      <c r="D1704" t="inlineStr">
        <is>
          <t>VÄRMLANDS LÄN</t>
        </is>
      </c>
      <c r="E1704" t="inlineStr">
        <is>
          <t>TORSBY</t>
        </is>
      </c>
      <c r="F1704" t="inlineStr">
        <is>
          <t>Bergvik skog väst AB</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30333-2025</t>
        </is>
      </c>
      <c r="B1705" s="1" t="n">
        <v>45827</v>
      </c>
      <c r="C1705" s="1" t="n">
        <v>45936</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30607-2025</t>
        </is>
      </c>
      <c r="B1706" s="1" t="n">
        <v>45831.4584375</v>
      </c>
      <c r="C1706" s="1" t="n">
        <v>45936</v>
      </c>
      <c r="D1706" t="inlineStr">
        <is>
          <t>VÄRMLANDS LÄN</t>
        </is>
      </c>
      <c r="E1706" t="inlineStr">
        <is>
          <t>TORSBY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30717-2025</t>
        </is>
      </c>
      <c r="B1707" s="1" t="n">
        <v>45831.56103009259</v>
      </c>
      <c r="C1707" s="1" t="n">
        <v>45936</v>
      </c>
      <c r="D1707" t="inlineStr">
        <is>
          <t>VÄRMLANDS LÄN</t>
        </is>
      </c>
      <c r="E1707" t="inlineStr">
        <is>
          <t>TORSBY</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45936</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30560-2025</t>
        </is>
      </c>
      <c r="B1709" s="1" t="n">
        <v>45831.39497685185</v>
      </c>
      <c r="C1709" s="1" t="n">
        <v>45936</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19148-2025</t>
        </is>
      </c>
      <c r="B1710" s="1" t="n">
        <v>45769</v>
      </c>
      <c r="C1710" s="1" t="n">
        <v>45936</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30735-2025</t>
        </is>
      </c>
      <c r="B1711" s="1" t="n">
        <v>45831.57479166667</v>
      </c>
      <c r="C1711" s="1" t="n">
        <v>45936</v>
      </c>
      <c r="D1711" t="inlineStr">
        <is>
          <t>VÄRMLANDS LÄN</t>
        </is>
      </c>
      <c r="E1711" t="inlineStr">
        <is>
          <t>TORSBY</t>
        </is>
      </c>
      <c r="F1711" t="inlineStr">
        <is>
          <t>Bergvik skog väst AB</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30738-2025</t>
        </is>
      </c>
      <c r="B1712" s="1" t="n">
        <v>45831.57583333334</v>
      </c>
      <c r="C1712" s="1" t="n">
        <v>45936</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31101-2025</t>
        </is>
      </c>
      <c r="B1713" s="1" t="n">
        <v>45832</v>
      </c>
      <c r="C1713" s="1" t="n">
        <v>45936</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54452-2022</t>
        </is>
      </c>
      <c r="B1714" s="1" t="n">
        <v>44880</v>
      </c>
      <c r="C1714" s="1" t="n">
        <v>45936</v>
      </c>
      <c r="D1714" t="inlineStr">
        <is>
          <t>VÄRMLANDS LÄN</t>
        </is>
      </c>
      <c r="E1714" t="inlineStr">
        <is>
          <t>TORSBY</t>
        </is>
      </c>
      <c r="F1714" t="inlineStr">
        <is>
          <t>Kyrkan</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45176.60533564815</v>
      </c>
      <c r="C1715" s="1" t="n">
        <v>45936</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31547-2025</t>
        </is>
      </c>
      <c r="B1716" s="1" t="n">
        <v>45833.63733796297</v>
      </c>
      <c r="C1716" s="1" t="n">
        <v>45936</v>
      </c>
      <c r="D1716" t="inlineStr">
        <is>
          <t>VÄRMLANDS LÄN</t>
        </is>
      </c>
      <c r="E1716" t="inlineStr">
        <is>
          <t>TORSBY</t>
        </is>
      </c>
      <c r="F1716" t="inlineStr">
        <is>
          <t>Bergvik skog väst AB</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31335-2025</t>
        </is>
      </c>
      <c r="B1717" s="1" t="n">
        <v>45833.42608796297</v>
      </c>
      <c r="C1717" s="1" t="n">
        <v>45936</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41264-2022</t>
        </is>
      </c>
      <c r="B1718" s="1" t="n">
        <v>44823</v>
      </c>
      <c r="C1718" s="1" t="n">
        <v>45936</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30974-2025</t>
        </is>
      </c>
      <c r="B1719" s="1" t="n">
        <v>45832.46305555556</v>
      </c>
      <c r="C1719" s="1" t="n">
        <v>45936</v>
      </c>
      <c r="D1719" t="inlineStr">
        <is>
          <t>VÄRMLANDS LÄN</t>
        </is>
      </c>
      <c r="E1719" t="inlineStr">
        <is>
          <t>TORSBY</t>
        </is>
      </c>
      <c r="G1719" t="n">
        <v>29.2</v>
      </c>
      <c r="H1719" t="n">
        <v>0</v>
      </c>
      <c r="I1719" t="n">
        <v>0</v>
      </c>
      <c r="J1719" t="n">
        <v>0</v>
      </c>
      <c r="K1719" t="n">
        <v>0</v>
      </c>
      <c r="L1719" t="n">
        <v>0</v>
      </c>
      <c r="M1719" t="n">
        <v>0</v>
      </c>
      <c r="N1719" t="n">
        <v>0</v>
      </c>
      <c r="O1719" t="n">
        <v>0</v>
      </c>
      <c r="P1719" t="n">
        <v>0</v>
      </c>
      <c r="Q1719" t="n">
        <v>0</v>
      </c>
      <c r="R1719" s="2" t="inlineStr"/>
    </row>
    <row r="1720" ht="15" customHeight="1">
      <c r="A1720" t="inlineStr">
        <is>
          <t>A 64902-2021</t>
        </is>
      </c>
      <c r="B1720" s="1" t="n">
        <v>44512.64336805556</v>
      </c>
      <c r="C1720" s="1" t="n">
        <v>45936</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61546-2024</t>
        </is>
      </c>
      <c r="B1721" s="1" t="n">
        <v>45645</v>
      </c>
      <c r="C1721" s="1" t="n">
        <v>45936</v>
      </c>
      <c r="D1721" t="inlineStr">
        <is>
          <t>VÄRMLANDS LÄN</t>
        </is>
      </c>
      <c r="E1721" t="inlineStr">
        <is>
          <t>TORSBY</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31416-2025</t>
        </is>
      </c>
      <c r="B1722" s="1" t="n">
        <v>45833.48278935185</v>
      </c>
      <c r="C1722" s="1" t="n">
        <v>45936</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276-2024</t>
        </is>
      </c>
      <c r="B1723" s="1" t="n">
        <v>45295</v>
      </c>
      <c r="C1723" s="1" t="n">
        <v>45936</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57071-2022</t>
        </is>
      </c>
      <c r="B1724" s="1" t="n">
        <v>44895.42334490741</v>
      </c>
      <c r="C1724" s="1" t="n">
        <v>45936</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32298-2025</t>
        </is>
      </c>
      <c r="B1725" s="1" t="n">
        <v>45835.7144675926</v>
      </c>
      <c r="C1725" s="1" t="n">
        <v>45936</v>
      </c>
      <c r="D1725" t="inlineStr">
        <is>
          <t>VÄRMLANDS LÄN</t>
        </is>
      </c>
      <c r="E1725" t="inlineStr">
        <is>
          <t>TORSBY</t>
        </is>
      </c>
      <c r="G1725" t="n">
        <v>19.2</v>
      </c>
      <c r="H1725" t="n">
        <v>0</v>
      </c>
      <c r="I1725" t="n">
        <v>0</v>
      </c>
      <c r="J1725" t="n">
        <v>0</v>
      </c>
      <c r="K1725" t="n">
        <v>0</v>
      </c>
      <c r="L1725" t="n">
        <v>0</v>
      </c>
      <c r="M1725" t="n">
        <v>0</v>
      </c>
      <c r="N1725" t="n">
        <v>0</v>
      </c>
      <c r="O1725" t="n">
        <v>0</v>
      </c>
      <c r="P1725" t="n">
        <v>0</v>
      </c>
      <c r="Q1725" t="n">
        <v>0</v>
      </c>
      <c r="R1725" s="2" t="inlineStr"/>
    </row>
    <row r="1726" ht="15" customHeight="1">
      <c r="A1726" t="inlineStr">
        <is>
          <t>A 31850-2025</t>
        </is>
      </c>
      <c r="B1726" s="1" t="n">
        <v>45834</v>
      </c>
      <c r="C1726" s="1" t="n">
        <v>45936</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11135-2024</t>
        </is>
      </c>
      <c r="B1727" s="1" t="n">
        <v>45371</v>
      </c>
      <c r="C1727" s="1" t="n">
        <v>45936</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32084-2025</t>
        </is>
      </c>
      <c r="B1728" s="1" t="n">
        <v>45835.45379629629</v>
      </c>
      <c r="C1728" s="1" t="n">
        <v>45936</v>
      </c>
      <c r="D1728" t="inlineStr">
        <is>
          <t>VÄRMLANDS LÄN</t>
        </is>
      </c>
      <c r="E1728" t="inlineStr">
        <is>
          <t>TORSBY</t>
        </is>
      </c>
      <c r="F1728" t="inlineStr">
        <is>
          <t>Bergvik skog väst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31906-2025</t>
        </is>
      </c>
      <c r="B1729" s="1" t="n">
        <v>45834.69046296296</v>
      </c>
      <c r="C1729" s="1" t="n">
        <v>45936</v>
      </c>
      <c r="D1729" t="inlineStr">
        <is>
          <t>VÄRMLANDS LÄN</t>
        </is>
      </c>
      <c r="E1729" t="inlineStr">
        <is>
          <t>TORSBY</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32054-2025</t>
        </is>
      </c>
      <c r="B1730" s="1" t="n">
        <v>45835</v>
      </c>
      <c r="C1730" s="1" t="n">
        <v>45936</v>
      </c>
      <c r="D1730" t="inlineStr">
        <is>
          <t>VÄRMLANDS LÄN</t>
        </is>
      </c>
      <c r="E1730" t="inlineStr">
        <is>
          <t>TORSBY</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31672-2025</t>
        </is>
      </c>
      <c r="B1731" s="1" t="n">
        <v>45834.36979166666</v>
      </c>
      <c r="C1731" s="1" t="n">
        <v>45936</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21258-2023</t>
        </is>
      </c>
      <c r="B1732" s="1" t="n">
        <v>45058</v>
      </c>
      <c r="C1732" s="1" t="n">
        <v>45936</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31902-2025</t>
        </is>
      </c>
      <c r="B1733" s="1" t="n">
        <v>45834.68592592593</v>
      </c>
      <c r="C1733" s="1" t="n">
        <v>45936</v>
      </c>
      <c r="D1733" t="inlineStr">
        <is>
          <t>VÄRMLANDS LÄN</t>
        </is>
      </c>
      <c r="E1733" t="inlineStr">
        <is>
          <t>TORSBY</t>
        </is>
      </c>
      <c r="G1733" t="n">
        <v>27.1</v>
      </c>
      <c r="H1733" t="n">
        <v>0</v>
      </c>
      <c r="I1733" t="n">
        <v>0</v>
      </c>
      <c r="J1733" t="n">
        <v>0</v>
      </c>
      <c r="K1733" t="n">
        <v>0</v>
      </c>
      <c r="L1733" t="n">
        <v>0</v>
      </c>
      <c r="M1733" t="n">
        <v>0</v>
      </c>
      <c r="N1733" t="n">
        <v>0</v>
      </c>
      <c r="O1733" t="n">
        <v>0</v>
      </c>
      <c r="P1733" t="n">
        <v>0</v>
      </c>
      <c r="Q1733" t="n">
        <v>0</v>
      </c>
      <c r="R1733" s="2" t="inlineStr"/>
    </row>
    <row r="1734" ht="15" customHeight="1">
      <c r="A1734" t="inlineStr">
        <is>
          <t>A 32134-2025</t>
        </is>
      </c>
      <c r="B1734" s="1" t="n">
        <v>45835.5102662037</v>
      </c>
      <c r="C1734" s="1" t="n">
        <v>45936</v>
      </c>
      <c r="D1734" t="inlineStr">
        <is>
          <t>VÄRMLANDS LÄN</t>
        </is>
      </c>
      <c r="E1734" t="inlineStr">
        <is>
          <t>TORSBY</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53988-2022</t>
        </is>
      </c>
      <c r="B1735" s="1" t="n">
        <v>44876</v>
      </c>
      <c r="C1735" s="1" t="n">
        <v>45936</v>
      </c>
      <c r="D1735" t="inlineStr">
        <is>
          <t>VÄRMLANDS LÄN</t>
        </is>
      </c>
      <c r="E1735" t="inlineStr">
        <is>
          <t>TORSBY</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61128-2022</t>
        </is>
      </c>
      <c r="B1736" s="1" t="n">
        <v>44915.4455787037</v>
      </c>
      <c r="C1736" s="1" t="n">
        <v>45936</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32191-2025</t>
        </is>
      </c>
      <c r="B1737" s="1" t="n">
        <v>45835.57099537037</v>
      </c>
      <c r="C1737" s="1" t="n">
        <v>45936</v>
      </c>
      <c r="D1737" t="inlineStr">
        <is>
          <t>VÄRMLANDS LÄN</t>
        </is>
      </c>
      <c r="E1737" t="inlineStr">
        <is>
          <t>TORSBY</t>
        </is>
      </c>
      <c r="F1737" t="inlineStr">
        <is>
          <t>Bergvik skog väst AB</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31630-2025</t>
        </is>
      </c>
      <c r="B1738" s="1" t="n">
        <v>45834.32670138889</v>
      </c>
      <c r="C1738" s="1" t="n">
        <v>45936</v>
      </c>
      <c r="D1738" t="inlineStr">
        <is>
          <t>VÄRMLANDS LÄN</t>
        </is>
      </c>
      <c r="E1738" t="inlineStr">
        <is>
          <t>TORSBY</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21390-2023</t>
        </is>
      </c>
      <c r="B1739" s="1" t="n">
        <v>45063</v>
      </c>
      <c r="C1739" s="1" t="n">
        <v>45936</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32618-2025</t>
        </is>
      </c>
      <c r="B1740" s="1" t="n">
        <v>45838.6435300926</v>
      </c>
      <c r="C1740" s="1" t="n">
        <v>45936</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7215-2025</t>
        </is>
      </c>
      <c r="B1741" s="1" t="n">
        <v>45702</v>
      </c>
      <c r="C1741" s="1" t="n">
        <v>45936</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69628-2020</t>
        </is>
      </c>
      <c r="B1742" s="1" t="n">
        <v>44195</v>
      </c>
      <c r="C1742" s="1" t="n">
        <v>45936</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32995-2025</t>
        </is>
      </c>
      <c r="B1743" s="1" t="n">
        <v>45839</v>
      </c>
      <c r="C1743" s="1" t="n">
        <v>45936</v>
      </c>
      <c r="D1743" t="inlineStr">
        <is>
          <t>VÄRMLANDS LÄN</t>
        </is>
      </c>
      <c r="E1743" t="inlineStr">
        <is>
          <t>TORSBY</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32348-2025</t>
        </is>
      </c>
      <c r="B1744" s="1" t="n">
        <v>45837.47078703704</v>
      </c>
      <c r="C1744" s="1" t="n">
        <v>45936</v>
      </c>
      <c r="D1744" t="inlineStr">
        <is>
          <t>VÄRMLANDS LÄN</t>
        </is>
      </c>
      <c r="E1744" t="inlineStr">
        <is>
          <t>TORSBY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56101-2024</t>
        </is>
      </c>
      <c r="B1745" s="1" t="n">
        <v>45624</v>
      </c>
      <c r="C1745" s="1" t="n">
        <v>45936</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12574-2025</t>
        </is>
      </c>
      <c r="B1746" s="1" t="n">
        <v>45732</v>
      </c>
      <c r="C1746" s="1" t="n">
        <v>45936</v>
      </c>
      <c r="D1746" t="inlineStr">
        <is>
          <t>VÄRMLANDS LÄN</t>
        </is>
      </c>
      <c r="E1746" t="inlineStr">
        <is>
          <t>TORSBY</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6121-2021</t>
        </is>
      </c>
      <c r="B1747" s="1" t="n">
        <v>44232</v>
      </c>
      <c r="C1747" s="1" t="n">
        <v>45936</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32331-2025</t>
        </is>
      </c>
      <c r="B1748" s="1" t="n">
        <v>45836.50674768518</v>
      </c>
      <c r="C1748" s="1" t="n">
        <v>45936</v>
      </c>
      <c r="D1748" t="inlineStr">
        <is>
          <t>VÄRMLANDS LÄN</t>
        </is>
      </c>
      <c r="E1748" t="inlineStr">
        <is>
          <t>TORSBY</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32342-2025</t>
        </is>
      </c>
      <c r="B1749" s="1" t="n">
        <v>45837.34560185186</v>
      </c>
      <c r="C1749" s="1" t="n">
        <v>45936</v>
      </c>
      <c r="D1749" t="inlineStr">
        <is>
          <t>VÄRMLANDS LÄN</t>
        </is>
      </c>
      <c r="E1749" t="inlineStr">
        <is>
          <t>TORSBY</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45936</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32710-2025</t>
        </is>
      </c>
      <c r="B1751" s="1" t="n">
        <v>45839.36722222222</v>
      </c>
      <c r="C1751" s="1" t="n">
        <v>45936</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45849-2024</t>
        </is>
      </c>
      <c r="B1752" s="1" t="n">
        <v>45580</v>
      </c>
      <c r="C1752" s="1" t="n">
        <v>45936</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32622-2025</t>
        </is>
      </c>
      <c r="B1753" s="1" t="n">
        <v>45838</v>
      </c>
      <c r="C1753" s="1" t="n">
        <v>45936</v>
      </c>
      <c r="D1753" t="inlineStr">
        <is>
          <t>VÄRMLANDS LÄN</t>
        </is>
      </c>
      <c r="E1753" t="inlineStr">
        <is>
          <t>TORSBY</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41781-2022</t>
        </is>
      </c>
      <c r="B1754" s="1" t="n">
        <v>44827.70537037037</v>
      </c>
      <c r="C1754" s="1" t="n">
        <v>45936</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3387-2025</t>
        </is>
      </c>
      <c r="B1755" s="1" t="n">
        <v>45680</v>
      </c>
      <c r="C1755" s="1" t="n">
        <v>45936</v>
      </c>
      <c r="D1755" t="inlineStr">
        <is>
          <t>VÄRMLANDS LÄN</t>
        </is>
      </c>
      <c r="E1755" t="inlineStr">
        <is>
          <t>TORSBY</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32555-2025</t>
        </is>
      </c>
      <c r="B1756" s="1" t="n">
        <v>45838.56084490741</v>
      </c>
      <c r="C1756" s="1" t="n">
        <v>45936</v>
      </c>
      <c r="D1756" t="inlineStr">
        <is>
          <t>VÄRMLANDS LÄN</t>
        </is>
      </c>
      <c r="E1756" t="inlineStr">
        <is>
          <t>TORSBY</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32343-2025</t>
        </is>
      </c>
      <c r="B1757" s="1" t="n">
        <v>45837.37171296297</v>
      </c>
      <c r="C1757" s="1" t="n">
        <v>45936</v>
      </c>
      <c r="D1757" t="inlineStr">
        <is>
          <t>VÄRMLANDS LÄN</t>
        </is>
      </c>
      <c r="E1757" t="inlineStr">
        <is>
          <t>TORSBY</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32345-2025</t>
        </is>
      </c>
      <c r="B1758" s="1" t="n">
        <v>45837.44293981481</v>
      </c>
      <c r="C1758" s="1" t="n">
        <v>45936</v>
      </c>
      <c r="D1758" t="inlineStr">
        <is>
          <t>VÄRMLANDS LÄN</t>
        </is>
      </c>
      <c r="E1758" t="inlineStr">
        <is>
          <t>TORSBY</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32339-2025</t>
        </is>
      </c>
      <c r="B1759" s="1" t="n">
        <v>45836.68836805555</v>
      </c>
      <c r="C1759" s="1" t="n">
        <v>45936</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33149-2025</t>
        </is>
      </c>
      <c r="B1760" s="1" t="n">
        <v>45840.54246527778</v>
      </c>
      <c r="C1760" s="1" t="n">
        <v>45936</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33196-2025</t>
        </is>
      </c>
      <c r="B1761" s="1" t="n">
        <v>45840.60381944444</v>
      </c>
      <c r="C1761" s="1" t="n">
        <v>45936</v>
      </c>
      <c r="D1761" t="inlineStr">
        <is>
          <t>VÄRMLANDS LÄN</t>
        </is>
      </c>
      <c r="E1761" t="inlineStr">
        <is>
          <t>TORSBY</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55522-2023</t>
        </is>
      </c>
      <c r="B1762" s="1" t="n">
        <v>45238</v>
      </c>
      <c r="C1762" s="1" t="n">
        <v>45936</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44659-2024</t>
        </is>
      </c>
      <c r="B1763" s="1" t="n">
        <v>45574</v>
      </c>
      <c r="C1763" s="1" t="n">
        <v>45936</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26166-2024</t>
        </is>
      </c>
      <c r="B1764" s="1" t="n">
        <v>45468.55357638889</v>
      </c>
      <c r="C1764" s="1" t="n">
        <v>45936</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61956-2020</t>
        </is>
      </c>
      <c r="B1765" s="1" t="n">
        <v>44159</v>
      </c>
      <c r="C1765" s="1" t="n">
        <v>45936</v>
      </c>
      <c r="D1765" t="inlineStr">
        <is>
          <t>VÄRMLANDS LÄN</t>
        </is>
      </c>
      <c r="E1765" t="inlineStr">
        <is>
          <t>TORSBY</t>
        </is>
      </c>
      <c r="F1765" t="inlineStr">
        <is>
          <t>Kommuner</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46166-2024</t>
        </is>
      </c>
      <c r="B1766" s="1" t="n">
        <v>45581</v>
      </c>
      <c r="C1766" s="1" t="n">
        <v>45936</v>
      </c>
      <c r="D1766" t="inlineStr">
        <is>
          <t>VÄRMLANDS LÄN</t>
        </is>
      </c>
      <c r="E1766" t="inlineStr">
        <is>
          <t>TORSBY</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33146-2025</t>
        </is>
      </c>
      <c r="B1767" s="1" t="n">
        <v>45840.53549768519</v>
      </c>
      <c r="C1767" s="1" t="n">
        <v>45936</v>
      </c>
      <c r="D1767" t="inlineStr">
        <is>
          <t>VÄRMLANDS LÄN</t>
        </is>
      </c>
      <c r="E1767" t="inlineStr">
        <is>
          <t>TORSBY</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6828-2024</t>
        </is>
      </c>
      <c r="B1768" s="1" t="n">
        <v>45342</v>
      </c>
      <c r="C1768" s="1" t="n">
        <v>45936</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33192-2025</t>
        </is>
      </c>
      <c r="B1769" s="1" t="n">
        <v>45840.60081018518</v>
      </c>
      <c r="C1769" s="1" t="n">
        <v>45936</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33712-2025</t>
        </is>
      </c>
      <c r="B1770" s="1" t="n">
        <v>45841</v>
      </c>
      <c r="C1770" s="1" t="n">
        <v>45936</v>
      </c>
      <c r="D1770" t="inlineStr">
        <is>
          <t>VÄRMLANDS LÄN</t>
        </is>
      </c>
      <c r="E1770" t="inlineStr">
        <is>
          <t>TORSBY</t>
        </is>
      </c>
      <c r="F1770" t="inlineStr">
        <is>
          <t>Bergvik skog väst AB</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33221-2025</t>
        </is>
      </c>
      <c r="B1771" s="1" t="n">
        <v>45840.63471064815</v>
      </c>
      <c r="C1771" s="1" t="n">
        <v>45936</v>
      </c>
      <c r="D1771" t="inlineStr">
        <is>
          <t>VÄRMLANDS LÄN</t>
        </is>
      </c>
      <c r="E1771" t="inlineStr">
        <is>
          <t>TORSBY</t>
        </is>
      </c>
      <c r="F1771" t="inlineStr">
        <is>
          <t>Bergvik skog väst AB</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33567-2025</t>
        </is>
      </c>
      <c r="B1772" s="1" t="n">
        <v>45841.58232638889</v>
      </c>
      <c r="C1772" s="1" t="n">
        <v>45936</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8018-2025</t>
        </is>
      </c>
      <c r="B1773" s="1" t="n">
        <v>45707</v>
      </c>
      <c r="C1773" s="1" t="n">
        <v>45936</v>
      </c>
      <c r="D1773" t="inlineStr">
        <is>
          <t>VÄRMLANDS LÄN</t>
        </is>
      </c>
      <c r="E1773" t="inlineStr">
        <is>
          <t>TORSBY</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33268-2023</t>
        </is>
      </c>
      <c r="B1774" s="1" t="n">
        <v>45127.58094907407</v>
      </c>
      <c r="C1774" s="1" t="n">
        <v>45936</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33189-2025</t>
        </is>
      </c>
      <c r="B1775" s="1" t="n">
        <v>45840.59884259259</v>
      </c>
      <c r="C1775" s="1" t="n">
        <v>45936</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50445-2023</t>
        </is>
      </c>
      <c r="B1776" s="1" t="n">
        <v>45216</v>
      </c>
      <c r="C1776" s="1" t="n">
        <v>45936</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32983-2025</t>
        </is>
      </c>
      <c r="B1777" s="1" t="n">
        <v>45839.92967592592</v>
      </c>
      <c r="C1777" s="1" t="n">
        <v>45936</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22426-2024</t>
        </is>
      </c>
      <c r="B1778" s="1" t="n">
        <v>45446</v>
      </c>
      <c r="C1778" s="1" t="n">
        <v>45936</v>
      </c>
      <c r="D1778" t="inlineStr">
        <is>
          <t>VÄRMLANDS LÄN</t>
        </is>
      </c>
      <c r="E1778" t="inlineStr">
        <is>
          <t>TORSBY</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33161-2025</t>
        </is>
      </c>
      <c r="B1779" s="1" t="n">
        <v>45840.56846064814</v>
      </c>
      <c r="C1779" s="1" t="n">
        <v>45936</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60454-2024</t>
        </is>
      </c>
      <c r="B1780" s="1" t="n">
        <v>45643</v>
      </c>
      <c r="C1780" s="1" t="n">
        <v>45936</v>
      </c>
      <c r="D1780" t="inlineStr">
        <is>
          <t>VÄRMLANDS LÄN</t>
        </is>
      </c>
      <c r="E1780" t="inlineStr">
        <is>
          <t>TORSBY</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60458-2024</t>
        </is>
      </c>
      <c r="B1781" s="1" t="n">
        <v>45643</v>
      </c>
      <c r="C1781" s="1" t="n">
        <v>45936</v>
      </c>
      <c r="D1781" t="inlineStr">
        <is>
          <t>VÄRMLANDS LÄN</t>
        </is>
      </c>
      <c r="E1781" t="inlineStr">
        <is>
          <t>TORSBY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34268-2025</t>
        </is>
      </c>
      <c r="B1782" s="1" t="n">
        <v>45845</v>
      </c>
      <c r="C1782" s="1" t="n">
        <v>45936</v>
      </c>
      <c r="D1782" t="inlineStr">
        <is>
          <t>VÄRMLANDS LÄN</t>
        </is>
      </c>
      <c r="E1782" t="inlineStr">
        <is>
          <t>TORSBY</t>
        </is>
      </c>
      <c r="F1782" t="inlineStr">
        <is>
          <t>Bergvik skog väst AB</t>
        </is>
      </c>
      <c r="G1782" t="n">
        <v>19.7</v>
      </c>
      <c r="H1782" t="n">
        <v>0</v>
      </c>
      <c r="I1782" t="n">
        <v>0</v>
      </c>
      <c r="J1782" t="n">
        <v>0</v>
      </c>
      <c r="K1782" t="n">
        <v>0</v>
      </c>
      <c r="L1782" t="n">
        <v>0</v>
      </c>
      <c r="M1782" t="n">
        <v>0</v>
      </c>
      <c r="N1782" t="n">
        <v>0</v>
      </c>
      <c r="O1782" t="n">
        <v>0</v>
      </c>
      <c r="P1782" t="n">
        <v>0</v>
      </c>
      <c r="Q1782" t="n">
        <v>0</v>
      </c>
      <c r="R1782" s="2" t="inlineStr"/>
    </row>
    <row r="1783" ht="15" customHeight="1">
      <c r="A1783" t="inlineStr">
        <is>
          <t>A 33897-2025</t>
        </is>
      </c>
      <c r="B1783" s="1" t="n">
        <v>45842</v>
      </c>
      <c r="C1783" s="1" t="n">
        <v>45936</v>
      </c>
      <c r="D1783" t="inlineStr">
        <is>
          <t>VÄRMLANDS LÄN</t>
        </is>
      </c>
      <c r="E1783" t="inlineStr">
        <is>
          <t>TORSBY</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34140-2025</t>
        </is>
      </c>
      <c r="B1784" s="1" t="n">
        <v>45845.54896990741</v>
      </c>
      <c r="C1784" s="1" t="n">
        <v>45936</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52460-2020</t>
        </is>
      </c>
      <c r="B1785" s="1" t="n">
        <v>44116</v>
      </c>
      <c r="C1785" s="1" t="n">
        <v>45936</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10587-2024</t>
        </is>
      </c>
      <c r="B1786" s="1" t="n">
        <v>45366</v>
      </c>
      <c r="C1786" s="1" t="n">
        <v>45936</v>
      </c>
      <c r="D1786" t="inlineStr">
        <is>
          <t>VÄRMLANDS LÄN</t>
        </is>
      </c>
      <c r="E1786" t="inlineStr">
        <is>
          <t>TORSBY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1095-2025</t>
        </is>
      </c>
      <c r="B1787" s="1" t="n">
        <v>45666.63681712963</v>
      </c>
      <c r="C1787" s="1" t="n">
        <v>45936</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53705-2021</t>
        </is>
      </c>
      <c r="B1788" s="1" t="n">
        <v>44469</v>
      </c>
      <c r="C1788" s="1" t="n">
        <v>45936</v>
      </c>
      <c r="D1788" t="inlineStr">
        <is>
          <t>VÄRMLANDS LÄN</t>
        </is>
      </c>
      <c r="E1788" t="inlineStr">
        <is>
          <t>TORSBY</t>
        </is>
      </c>
      <c r="F1788" t="inlineStr">
        <is>
          <t>Kyrkan</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53396-2024</t>
        </is>
      </c>
      <c r="B1789" s="1" t="n">
        <v>45614</v>
      </c>
      <c r="C1789" s="1" t="n">
        <v>45936</v>
      </c>
      <c r="D1789" t="inlineStr">
        <is>
          <t>VÄRMLANDS LÄN</t>
        </is>
      </c>
      <c r="E1789" t="inlineStr">
        <is>
          <t>TORSBY</t>
        </is>
      </c>
      <c r="F1789" t="inlineStr">
        <is>
          <t>Bergvik skog väst AB</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60781-2024</t>
        </is>
      </c>
      <c r="B1790" s="1" t="n">
        <v>45642</v>
      </c>
      <c r="C1790" s="1" t="n">
        <v>45936</v>
      </c>
      <c r="D1790" t="inlineStr">
        <is>
          <t>VÄRMLANDS LÄN</t>
        </is>
      </c>
      <c r="E1790" t="inlineStr">
        <is>
          <t>TORSBY</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21280-2024</t>
        </is>
      </c>
      <c r="B1791" s="1" t="n">
        <v>45440</v>
      </c>
      <c r="C1791" s="1" t="n">
        <v>45936</v>
      </c>
      <c r="D1791" t="inlineStr">
        <is>
          <t>VÄRMLANDS LÄN</t>
        </is>
      </c>
      <c r="E1791" t="inlineStr">
        <is>
          <t>TORSBY</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36327-2021</t>
        </is>
      </c>
      <c r="B1792" s="1" t="n">
        <v>44390</v>
      </c>
      <c r="C1792" s="1" t="n">
        <v>45936</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27346-2024</t>
        </is>
      </c>
      <c r="B1793" s="1" t="n">
        <v>45473.58984953703</v>
      </c>
      <c r="C1793" s="1" t="n">
        <v>45936</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27349-2024</t>
        </is>
      </c>
      <c r="B1794" s="1" t="n">
        <v>45473.65679398148</v>
      </c>
      <c r="C1794" s="1" t="n">
        <v>45936</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44532-2022</t>
        </is>
      </c>
      <c r="B1795" s="1" t="n">
        <v>44840</v>
      </c>
      <c r="C1795" s="1" t="n">
        <v>45936</v>
      </c>
      <c r="D1795" t="inlineStr">
        <is>
          <t>VÄRMLANDS LÄN</t>
        </is>
      </c>
      <c r="E1795" t="inlineStr">
        <is>
          <t>TORSBY</t>
        </is>
      </c>
      <c r="G1795" t="n">
        <v>12.3</v>
      </c>
      <c r="H1795" t="n">
        <v>0</v>
      </c>
      <c r="I1795" t="n">
        <v>0</v>
      </c>
      <c r="J1795" t="n">
        <v>0</v>
      </c>
      <c r="K1795" t="n">
        <v>0</v>
      </c>
      <c r="L1795" t="n">
        <v>0</v>
      </c>
      <c r="M1795" t="n">
        <v>0</v>
      </c>
      <c r="N1795" t="n">
        <v>0</v>
      </c>
      <c r="O1795" t="n">
        <v>0</v>
      </c>
      <c r="P1795" t="n">
        <v>0</v>
      </c>
      <c r="Q1795" t="n">
        <v>0</v>
      </c>
      <c r="R1795" s="2" t="inlineStr"/>
    </row>
    <row r="1796" ht="15" customHeight="1">
      <c r="A1796" t="inlineStr">
        <is>
          <t>A 16073-2024</t>
        </is>
      </c>
      <c r="B1796" s="1" t="n">
        <v>45406</v>
      </c>
      <c r="C1796" s="1" t="n">
        <v>45936</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1042-2024</t>
        </is>
      </c>
      <c r="B1797" s="1" t="n">
        <v>45301</v>
      </c>
      <c r="C1797" s="1" t="n">
        <v>45936</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48540-2024</t>
        </is>
      </c>
      <c r="B1798" s="1" t="n">
        <v>45593</v>
      </c>
      <c r="C1798" s="1" t="n">
        <v>45936</v>
      </c>
      <c r="D1798" t="inlineStr">
        <is>
          <t>VÄRMLANDS LÄN</t>
        </is>
      </c>
      <c r="E1798" t="inlineStr">
        <is>
          <t>TORSBY</t>
        </is>
      </c>
      <c r="G1798" t="n">
        <v>16.5</v>
      </c>
      <c r="H1798" t="n">
        <v>0</v>
      </c>
      <c r="I1798" t="n">
        <v>0</v>
      </c>
      <c r="J1798" t="n">
        <v>0</v>
      </c>
      <c r="K1798" t="n">
        <v>0</v>
      </c>
      <c r="L1798" t="n">
        <v>0</v>
      </c>
      <c r="M1798" t="n">
        <v>0</v>
      </c>
      <c r="N1798" t="n">
        <v>0</v>
      </c>
      <c r="O1798" t="n">
        <v>0</v>
      </c>
      <c r="P1798" t="n">
        <v>0</v>
      </c>
      <c r="Q1798" t="n">
        <v>0</v>
      </c>
      <c r="R1798" s="2" t="inlineStr"/>
    </row>
    <row r="1799" ht="15" customHeight="1">
      <c r="A1799" t="inlineStr">
        <is>
          <t>A 43060-2021</t>
        </is>
      </c>
      <c r="B1799" s="1" t="n">
        <v>44431</v>
      </c>
      <c r="C1799" s="1" t="n">
        <v>45936</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58948-2024</t>
        </is>
      </c>
      <c r="B1800" s="1" t="n">
        <v>45636</v>
      </c>
      <c r="C1800" s="1" t="n">
        <v>45936</v>
      </c>
      <c r="D1800" t="inlineStr">
        <is>
          <t>VÄRMLANDS LÄN</t>
        </is>
      </c>
      <c r="E1800" t="inlineStr">
        <is>
          <t>TORSBY</t>
        </is>
      </c>
      <c r="F1800" t="inlineStr">
        <is>
          <t>Bergvik skog väst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50494-2024</t>
        </is>
      </c>
      <c r="B1801" s="1" t="n">
        <v>45601.50818287037</v>
      </c>
      <c r="C1801" s="1" t="n">
        <v>45936</v>
      </c>
      <c r="D1801" t="inlineStr">
        <is>
          <t>VÄRMLANDS LÄN</t>
        </is>
      </c>
      <c r="E1801" t="inlineStr">
        <is>
          <t>TORSBY</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18676-2025</t>
        </is>
      </c>
      <c r="B1802" s="1" t="n">
        <v>45763</v>
      </c>
      <c r="C1802" s="1" t="n">
        <v>45936</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59256-2023</t>
        </is>
      </c>
      <c r="B1803" s="1" t="n">
        <v>45251</v>
      </c>
      <c r="C1803" s="1" t="n">
        <v>45936</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55836-2024</t>
        </is>
      </c>
      <c r="B1804" s="1" t="n">
        <v>45623.49150462963</v>
      </c>
      <c r="C1804" s="1" t="n">
        <v>45936</v>
      </c>
      <c r="D1804" t="inlineStr">
        <is>
          <t>VÄRMLANDS LÄN</t>
        </is>
      </c>
      <c r="E1804" t="inlineStr">
        <is>
          <t>TORSBY</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37357-2023</t>
        </is>
      </c>
      <c r="B1805" s="1" t="n">
        <v>45156.48006944444</v>
      </c>
      <c r="C1805" s="1" t="n">
        <v>45936</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5763-2023</t>
        </is>
      </c>
      <c r="B1806" s="1" t="n">
        <v>44963.36383101852</v>
      </c>
      <c r="C1806" s="1" t="n">
        <v>45936</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38467-2021</t>
        </is>
      </c>
      <c r="B1807" s="1" t="n">
        <v>44405</v>
      </c>
      <c r="C1807" s="1" t="n">
        <v>45936</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63177-2023</t>
        </is>
      </c>
      <c r="B1808" s="1" t="n">
        <v>45272</v>
      </c>
      <c r="C1808" s="1" t="n">
        <v>45936</v>
      </c>
      <c r="D1808" t="inlineStr">
        <is>
          <t>VÄRMLANDS LÄN</t>
        </is>
      </c>
      <c r="E1808" t="inlineStr">
        <is>
          <t>TORSBY</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9904-2024</t>
        </is>
      </c>
      <c r="B1809" s="1" t="n">
        <v>45363</v>
      </c>
      <c r="C1809" s="1" t="n">
        <v>45936</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9908-2024</t>
        </is>
      </c>
      <c r="B1810" s="1" t="n">
        <v>45363</v>
      </c>
      <c r="C1810" s="1" t="n">
        <v>45936</v>
      </c>
      <c r="D1810" t="inlineStr">
        <is>
          <t>VÄRMLANDS LÄN</t>
        </is>
      </c>
      <c r="E1810" t="inlineStr">
        <is>
          <t>TORSBY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4585-2023</t>
        </is>
      </c>
      <c r="B1811" s="1" t="n">
        <v>44956.79790509259</v>
      </c>
      <c r="C1811" s="1" t="n">
        <v>45936</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29925-2024</t>
        </is>
      </c>
      <c r="B1812" s="1" t="n">
        <v>45488</v>
      </c>
      <c r="C1812" s="1" t="n">
        <v>45936</v>
      </c>
      <c r="D1812" t="inlineStr">
        <is>
          <t>VÄRMLANDS LÄN</t>
        </is>
      </c>
      <c r="E1812" t="inlineStr">
        <is>
          <t>TORSBY</t>
        </is>
      </c>
      <c r="F1812" t="inlineStr">
        <is>
          <t>Kyrkan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15101-2024</t>
        </is>
      </c>
      <c r="B1813" s="1" t="n">
        <v>45399.66148148148</v>
      </c>
      <c r="C1813" s="1" t="n">
        <v>45936</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41253-2021</t>
        </is>
      </c>
      <c r="B1814" s="1" t="n">
        <v>44424</v>
      </c>
      <c r="C1814" s="1" t="n">
        <v>45936</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52669-2024</t>
        </is>
      </c>
      <c r="B1815" s="1" t="n">
        <v>45610</v>
      </c>
      <c r="C1815" s="1" t="n">
        <v>45936</v>
      </c>
      <c r="D1815" t="inlineStr">
        <is>
          <t>VÄRMLANDS LÄN</t>
        </is>
      </c>
      <c r="E1815" t="inlineStr">
        <is>
          <t>TORSBY</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8281-2023</t>
        </is>
      </c>
      <c r="B1816" s="1" t="n">
        <v>44974</v>
      </c>
      <c r="C1816" s="1" t="n">
        <v>45936</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23804-2022</t>
        </is>
      </c>
      <c r="B1817" s="1" t="n">
        <v>44722</v>
      </c>
      <c r="C1817" s="1" t="n">
        <v>45936</v>
      </c>
      <c r="D1817" t="inlineStr">
        <is>
          <t>VÄRMLANDS LÄN</t>
        </is>
      </c>
      <c r="E1817" t="inlineStr">
        <is>
          <t>TORSBY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34136-2025</t>
        </is>
      </c>
      <c r="B1818" s="1" t="n">
        <v>45845.54184027778</v>
      </c>
      <c r="C1818" s="1" t="n">
        <v>45936</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34179-2025</t>
        </is>
      </c>
      <c r="B1819" s="1" t="n">
        <v>45845</v>
      </c>
      <c r="C1819" s="1" t="n">
        <v>45936</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42457-2024</t>
        </is>
      </c>
      <c r="B1820" s="1" t="n">
        <v>45565.46346064815</v>
      </c>
      <c r="C1820" s="1" t="n">
        <v>45936</v>
      </c>
      <c r="D1820" t="inlineStr">
        <is>
          <t>VÄRMLANDS LÄN</t>
        </is>
      </c>
      <c r="E1820" t="inlineStr">
        <is>
          <t>TORSBY</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34145-2025</t>
        </is>
      </c>
      <c r="B1821" s="1" t="n">
        <v>45845.55372685185</v>
      </c>
      <c r="C1821" s="1" t="n">
        <v>45936</v>
      </c>
      <c r="D1821" t="inlineStr">
        <is>
          <t>VÄRMLANDS LÄN</t>
        </is>
      </c>
      <c r="E1821" t="inlineStr">
        <is>
          <t>TORSBY</t>
        </is>
      </c>
      <c r="G1821" t="n">
        <v>19.2</v>
      </c>
      <c r="H1821" t="n">
        <v>0</v>
      </c>
      <c r="I1821" t="n">
        <v>0</v>
      </c>
      <c r="J1821" t="n">
        <v>0</v>
      </c>
      <c r="K1821" t="n">
        <v>0</v>
      </c>
      <c r="L1821" t="n">
        <v>0</v>
      </c>
      <c r="M1821" t="n">
        <v>0</v>
      </c>
      <c r="N1821" t="n">
        <v>0</v>
      </c>
      <c r="O1821" t="n">
        <v>0</v>
      </c>
      <c r="P1821" t="n">
        <v>0</v>
      </c>
      <c r="Q1821" t="n">
        <v>0</v>
      </c>
      <c r="R1821" s="2" t="inlineStr"/>
    </row>
    <row r="1822" ht="15" customHeight="1">
      <c r="A1822" t="inlineStr">
        <is>
          <t>A 34137-2025</t>
        </is>
      </c>
      <c r="B1822" s="1" t="n">
        <v>45845.54340277778</v>
      </c>
      <c r="C1822" s="1" t="n">
        <v>45936</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34138-2025</t>
        </is>
      </c>
      <c r="B1823" s="1" t="n">
        <v>45845.54486111111</v>
      </c>
      <c r="C1823" s="1" t="n">
        <v>45936</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34146-2025</t>
        </is>
      </c>
      <c r="B1824" s="1" t="n">
        <v>45845.56008101852</v>
      </c>
      <c r="C1824" s="1" t="n">
        <v>45936</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34046-2025</t>
        </is>
      </c>
      <c r="B1825" s="1" t="n">
        <v>45845.38671296297</v>
      </c>
      <c r="C1825" s="1" t="n">
        <v>45936</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34398-2025</t>
        </is>
      </c>
      <c r="B1826" s="1" t="n">
        <v>45846.60688657407</v>
      </c>
      <c r="C1826" s="1" t="n">
        <v>45936</v>
      </c>
      <c r="D1826" t="inlineStr">
        <is>
          <t>VÄRMLANDS LÄN</t>
        </is>
      </c>
      <c r="E1826" t="inlineStr">
        <is>
          <t>TORSBY</t>
        </is>
      </c>
      <c r="F1826" t="inlineStr">
        <is>
          <t>Bergvik skog väst AB</t>
        </is>
      </c>
      <c r="G1826" t="n">
        <v>22.3</v>
      </c>
      <c r="H1826" t="n">
        <v>0</v>
      </c>
      <c r="I1826" t="n">
        <v>0</v>
      </c>
      <c r="J1826" t="n">
        <v>0</v>
      </c>
      <c r="K1826" t="n">
        <v>0</v>
      </c>
      <c r="L1826" t="n">
        <v>0</v>
      </c>
      <c r="M1826" t="n">
        <v>0</v>
      </c>
      <c r="N1826" t="n">
        <v>0</v>
      </c>
      <c r="O1826" t="n">
        <v>0</v>
      </c>
      <c r="P1826" t="n">
        <v>0</v>
      </c>
      <c r="Q1826" t="n">
        <v>0</v>
      </c>
      <c r="R1826" s="2" t="inlineStr"/>
    </row>
    <row r="1827" ht="15" customHeight="1">
      <c r="A1827" t="inlineStr">
        <is>
          <t>A 34399-2025</t>
        </is>
      </c>
      <c r="B1827" s="1" t="n">
        <v>45846.610625</v>
      </c>
      <c r="C1827" s="1" t="n">
        <v>45936</v>
      </c>
      <c r="D1827" t="inlineStr">
        <is>
          <t>VÄRMLANDS LÄN</t>
        </is>
      </c>
      <c r="E1827" t="inlineStr">
        <is>
          <t>TORSBY</t>
        </is>
      </c>
      <c r="F1827" t="inlineStr">
        <is>
          <t>Bergvik skog väst AB</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8728-2024</t>
        </is>
      </c>
      <c r="B1828" s="1" t="n">
        <v>45356.42799768518</v>
      </c>
      <c r="C1828" s="1" t="n">
        <v>45936</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34355-2025</t>
        </is>
      </c>
      <c r="B1829" s="1" t="n">
        <v>45846.48114583334</v>
      </c>
      <c r="C1829" s="1" t="n">
        <v>45936</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34358-2025</t>
        </is>
      </c>
      <c r="B1830" s="1" t="n">
        <v>45846.48637731482</v>
      </c>
      <c r="C1830" s="1" t="n">
        <v>45936</v>
      </c>
      <c r="D1830" t="inlineStr">
        <is>
          <t>VÄRMLANDS LÄN</t>
        </is>
      </c>
      <c r="E1830" t="inlineStr">
        <is>
          <t>TORSBY</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34365-2025</t>
        </is>
      </c>
      <c r="B1831" s="1" t="n">
        <v>45846.49326388889</v>
      </c>
      <c r="C1831" s="1" t="n">
        <v>45936</v>
      </c>
      <c r="D1831" t="inlineStr">
        <is>
          <t>VÄRMLANDS LÄN</t>
        </is>
      </c>
      <c r="E1831" t="inlineStr">
        <is>
          <t>TORSBY</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34451-2025</t>
        </is>
      </c>
      <c r="B1832" s="1" t="n">
        <v>45846.85114583333</v>
      </c>
      <c r="C1832" s="1" t="n">
        <v>45936</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34480-2025</t>
        </is>
      </c>
      <c r="B1833" s="1" t="n">
        <v>45847.37582175926</v>
      </c>
      <c r="C1833" s="1" t="n">
        <v>45936</v>
      </c>
      <c r="D1833" t="inlineStr">
        <is>
          <t>VÄRMLANDS LÄN</t>
        </is>
      </c>
      <c r="E1833" t="inlineStr">
        <is>
          <t>TORSBY</t>
        </is>
      </c>
      <c r="F1833" t="inlineStr">
        <is>
          <t>Övriga Aktiebolag</t>
        </is>
      </c>
      <c r="G1833" t="n">
        <v>13.4</v>
      </c>
      <c r="H1833" t="n">
        <v>0</v>
      </c>
      <c r="I1833" t="n">
        <v>0</v>
      </c>
      <c r="J1833" t="n">
        <v>0</v>
      </c>
      <c r="K1833" t="n">
        <v>0</v>
      </c>
      <c r="L1833" t="n">
        <v>0</v>
      </c>
      <c r="M1833" t="n">
        <v>0</v>
      </c>
      <c r="N1833" t="n">
        <v>0</v>
      </c>
      <c r="O1833" t="n">
        <v>0</v>
      </c>
      <c r="P1833" t="n">
        <v>0</v>
      </c>
      <c r="Q1833" t="n">
        <v>0</v>
      </c>
      <c r="R1833" s="2" t="inlineStr"/>
    </row>
    <row r="1834" ht="15" customHeight="1">
      <c r="A1834" t="inlineStr">
        <is>
          <t>A 34495-2025</t>
        </is>
      </c>
      <c r="B1834" s="1" t="n">
        <v>45847.42686342593</v>
      </c>
      <c r="C1834" s="1" t="n">
        <v>45936</v>
      </c>
      <c r="D1834" t="inlineStr">
        <is>
          <t>VÄRMLANDS LÄN</t>
        </is>
      </c>
      <c r="E1834" t="inlineStr">
        <is>
          <t>TORSBY</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34517-2025</t>
        </is>
      </c>
      <c r="B1835" s="1" t="n">
        <v>45847.46900462963</v>
      </c>
      <c r="C1835" s="1" t="n">
        <v>45936</v>
      </c>
      <c r="D1835" t="inlineStr">
        <is>
          <t>VÄRMLANDS LÄN</t>
        </is>
      </c>
      <c r="E1835" t="inlineStr">
        <is>
          <t>TORSBY</t>
        </is>
      </c>
      <c r="F1835" t="inlineStr">
        <is>
          <t>Övriga Aktiebolag</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34388-2025</t>
        </is>
      </c>
      <c r="B1836" s="1" t="n">
        <v>45846.57305555556</v>
      </c>
      <c r="C1836" s="1" t="n">
        <v>45936</v>
      </c>
      <c r="D1836" t="inlineStr">
        <is>
          <t>VÄRMLANDS LÄN</t>
        </is>
      </c>
      <c r="E1836" t="inlineStr">
        <is>
          <t>TORSBY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39771-2024</t>
        </is>
      </c>
      <c r="B1837" s="1" t="n">
        <v>45552</v>
      </c>
      <c r="C1837" s="1" t="n">
        <v>45936</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34353-2025</t>
        </is>
      </c>
      <c r="B1838" s="1" t="n">
        <v>45846.4775</v>
      </c>
      <c r="C1838" s="1" t="n">
        <v>45936</v>
      </c>
      <c r="D1838" t="inlineStr">
        <is>
          <t>VÄRMLANDS LÄN</t>
        </is>
      </c>
      <c r="E1838" t="inlineStr">
        <is>
          <t>TORSBY</t>
        </is>
      </c>
      <c r="G1838" t="n">
        <v>14.5</v>
      </c>
      <c r="H1838" t="n">
        <v>0</v>
      </c>
      <c r="I1838" t="n">
        <v>0</v>
      </c>
      <c r="J1838" t="n">
        <v>0</v>
      </c>
      <c r="K1838" t="n">
        <v>0</v>
      </c>
      <c r="L1838" t="n">
        <v>0</v>
      </c>
      <c r="M1838" t="n">
        <v>0</v>
      </c>
      <c r="N1838" t="n">
        <v>0</v>
      </c>
      <c r="O1838" t="n">
        <v>0</v>
      </c>
      <c r="P1838" t="n">
        <v>0</v>
      </c>
      <c r="Q1838" t="n">
        <v>0</v>
      </c>
      <c r="R1838" s="2" t="inlineStr"/>
    </row>
    <row r="1839" ht="15" customHeight="1">
      <c r="A1839" t="inlineStr">
        <is>
          <t>A 34372-2025</t>
        </is>
      </c>
      <c r="B1839" s="1" t="n">
        <v>45846.5134837963</v>
      </c>
      <c r="C1839" s="1" t="n">
        <v>45936</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34363-2025</t>
        </is>
      </c>
      <c r="B1840" s="1" t="n">
        <v>45846.49144675926</v>
      </c>
      <c r="C1840" s="1" t="n">
        <v>45936</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34370-2025</t>
        </is>
      </c>
      <c r="B1841" s="1" t="n">
        <v>45846.51056712963</v>
      </c>
      <c r="C1841" s="1" t="n">
        <v>45936</v>
      </c>
      <c r="D1841" t="inlineStr">
        <is>
          <t>VÄRMLANDS LÄN</t>
        </is>
      </c>
      <c r="E1841" t="inlineStr">
        <is>
          <t>TORSBY</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71679-2021</t>
        </is>
      </c>
      <c r="B1842" s="1" t="n">
        <v>44543</v>
      </c>
      <c r="C1842" s="1" t="n">
        <v>45936</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22124-2022</t>
        </is>
      </c>
      <c r="B1843" s="1" t="n">
        <v>44712</v>
      </c>
      <c r="C1843" s="1" t="n">
        <v>45936</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22943-2023</t>
        </is>
      </c>
      <c r="B1844" s="1" t="n">
        <v>45072</v>
      </c>
      <c r="C1844" s="1" t="n">
        <v>45936</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34533-2025</t>
        </is>
      </c>
      <c r="B1845" s="1" t="n">
        <v>45847.50868055555</v>
      </c>
      <c r="C1845" s="1" t="n">
        <v>45936</v>
      </c>
      <c r="D1845" t="inlineStr">
        <is>
          <t>VÄRMLANDS LÄN</t>
        </is>
      </c>
      <c r="E1845" t="inlineStr">
        <is>
          <t>TORSBY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38497-2024</t>
        </is>
      </c>
      <c r="B1846" s="1" t="n">
        <v>45546.51869212963</v>
      </c>
      <c r="C1846" s="1" t="n">
        <v>45936</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45936</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17931-2024</t>
        </is>
      </c>
      <c r="B1848" s="1" t="n">
        <v>45419</v>
      </c>
      <c r="C1848" s="1" t="n">
        <v>45936</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40807-2024</t>
        </is>
      </c>
      <c r="B1849" s="1" t="n">
        <v>45558</v>
      </c>
      <c r="C1849" s="1" t="n">
        <v>45936</v>
      </c>
      <c r="D1849" t="inlineStr">
        <is>
          <t>VÄRMLANDS LÄN</t>
        </is>
      </c>
      <c r="E1849" t="inlineStr">
        <is>
          <t>TORSBY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31316-2025</t>
        </is>
      </c>
      <c r="B1850" s="1" t="n">
        <v>45833.40241898148</v>
      </c>
      <c r="C1850" s="1" t="n">
        <v>45936</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54006-2024</t>
        </is>
      </c>
      <c r="B1851" s="1" t="n">
        <v>45616.3717824074</v>
      </c>
      <c r="C1851" s="1" t="n">
        <v>45936</v>
      </c>
      <c r="D1851" t="inlineStr">
        <is>
          <t>VÄRMLANDS LÄN</t>
        </is>
      </c>
      <c r="E1851" t="inlineStr">
        <is>
          <t>TORSBY</t>
        </is>
      </c>
      <c r="F1851" t="inlineStr">
        <is>
          <t>Kommuner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34792-2025</t>
        </is>
      </c>
      <c r="B1852" s="1" t="n">
        <v>45848.70331018518</v>
      </c>
      <c r="C1852" s="1" t="n">
        <v>45936</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34997-2025</t>
        </is>
      </c>
      <c r="B1853" s="1" t="n">
        <v>45849.87340277778</v>
      </c>
      <c r="C1853" s="1" t="n">
        <v>45936</v>
      </c>
      <c r="D1853" t="inlineStr">
        <is>
          <t>VÄRMLANDS LÄN</t>
        </is>
      </c>
      <c r="E1853" t="inlineStr">
        <is>
          <t>TORSBY</t>
        </is>
      </c>
      <c r="G1853" t="n">
        <v>24.4</v>
      </c>
      <c r="H1853" t="n">
        <v>0</v>
      </c>
      <c r="I1853" t="n">
        <v>0</v>
      </c>
      <c r="J1853" t="n">
        <v>0</v>
      </c>
      <c r="K1853" t="n">
        <v>0</v>
      </c>
      <c r="L1853" t="n">
        <v>0</v>
      </c>
      <c r="M1853" t="n">
        <v>0</v>
      </c>
      <c r="N1853" t="n">
        <v>0</v>
      </c>
      <c r="O1853" t="n">
        <v>0</v>
      </c>
      <c r="P1853" t="n">
        <v>0</v>
      </c>
      <c r="Q1853" t="n">
        <v>0</v>
      </c>
      <c r="R1853" s="2" t="inlineStr"/>
    </row>
    <row r="1854" ht="15" customHeight="1">
      <c r="A1854" t="inlineStr">
        <is>
          <t>A 35185-2025</t>
        </is>
      </c>
      <c r="B1854" s="1" t="n">
        <v>45853.30383101852</v>
      </c>
      <c r="C1854" s="1" t="n">
        <v>45936</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20985-2024</t>
        </is>
      </c>
      <c r="B1855" s="1" t="n">
        <v>45439</v>
      </c>
      <c r="C1855" s="1" t="n">
        <v>45936</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35191-2025</t>
        </is>
      </c>
      <c r="B1856" s="1" t="n">
        <v>45853.3469675926</v>
      </c>
      <c r="C1856" s="1" t="n">
        <v>45936</v>
      </c>
      <c r="D1856" t="inlineStr">
        <is>
          <t>VÄRMLANDS LÄN</t>
        </is>
      </c>
      <c r="E1856" t="inlineStr">
        <is>
          <t>TORSBY</t>
        </is>
      </c>
      <c r="F1856" t="inlineStr">
        <is>
          <t>Bergvik skog väst AB</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32847-2024</t>
        </is>
      </c>
      <c r="B1857" s="1" t="n">
        <v>45516.63021990741</v>
      </c>
      <c r="C1857" s="1" t="n">
        <v>45936</v>
      </c>
      <c r="D1857" t="inlineStr">
        <is>
          <t>VÄRMLANDS LÄN</t>
        </is>
      </c>
      <c r="E1857" t="inlineStr">
        <is>
          <t>TORSBY</t>
        </is>
      </c>
      <c r="F1857" t="inlineStr">
        <is>
          <t>Bergvik skog väst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8016-2023</t>
        </is>
      </c>
      <c r="B1858" s="1" t="n">
        <v>44973</v>
      </c>
      <c r="C1858" s="1" t="n">
        <v>45936</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40051-2025</t>
        </is>
      </c>
      <c r="B1859" s="1" t="n">
        <v>45894.40730324074</v>
      </c>
      <c r="C1859" s="1" t="n">
        <v>45936</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68136-2021</t>
        </is>
      </c>
      <c r="B1860" s="1" t="n">
        <v>44526.40984953703</v>
      </c>
      <c r="C1860" s="1" t="n">
        <v>45936</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40227-2024</t>
        </is>
      </c>
      <c r="B1861" s="1" t="n">
        <v>45554</v>
      </c>
      <c r="C1861" s="1" t="n">
        <v>45936</v>
      </c>
      <c r="D1861" t="inlineStr">
        <is>
          <t>VÄRMLANDS LÄN</t>
        </is>
      </c>
      <c r="E1861" t="inlineStr">
        <is>
          <t>TORSBY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41501-2024</t>
        </is>
      </c>
      <c r="B1862" s="1" t="n">
        <v>45560</v>
      </c>
      <c r="C1862" s="1" t="n">
        <v>45936</v>
      </c>
      <c r="D1862" t="inlineStr">
        <is>
          <t>VÄRMLANDS LÄN</t>
        </is>
      </c>
      <c r="E1862" t="inlineStr">
        <is>
          <t>TORSBY</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40034-2025</t>
        </is>
      </c>
      <c r="B1863" s="1" t="n">
        <v>45894.38159722222</v>
      </c>
      <c r="C1863" s="1" t="n">
        <v>45936</v>
      </c>
      <c r="D1863" t="inlineStr">
        <is>
          <t>VÄRMLANDS LÄN</t>
        </is>
      </c>
      <c r="E1863" t="inlineStr">
        <is>
          <t>TORSBY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35194-2025</t>
        </is>
      </c>
      <c r="B1864" s="1" t="n">
        <v>45853.35740740741</v>
      </c>
      <c r="C1864" s="1" t="n">
        <v>45936</v>
      </c>
      <c r="D1864" t="inlineStr">
        <is>
          <t>VÄRMLANDS LÄN</t>
        </is>
      </c>
      <c r="E1864" t="inlineStr">
        <is>
          <t>TORSBY</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3922-2024</t>
        </is>
      </c>
      <c r="B1865" s="1" t="n">
        <v>45322.57271990741</v>
      </c>
      <c r="C1865" s="1" t="n">
        <v>45936</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40195-2025</t>
        </is>
      </c>
      <c r="B1866" s="1" t="n">
        <v>45894.65922453703</v>
      </c>
      <c r="C1866" s="1" t="n">
        <v>45936</v>
      </c>
      <c r="D1866" t="inlineStr">
        <is>
          <t>VÄRMLANDS LÄN</t>
        </is>
      </c>
      <c r="E1866" t="inlineStr">
        <is>
          <t>TORSBY</t>
        </is>
      </c>
      <c r="F1866" t="inlineStr">
        <is>
          <t>Bergvik skog väst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17944-2021</t>
        </is>
      </c>
      <c r="B1867" s="1" t="n">
        <v>44301</v>
      </c>
      <c r="C1867" s="1" t="n">
        <v>45936</v>
      </c>
      <c r="D1867" t="inlineStr">
        <is>
          <t>VÄRMLANDS LÄN</t>
        </is>
      </c>
      <c r="E1867" t="inlineStr">
        <is>
          <t>TORSBY</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35408-2025</t>
        </is>
      </c>
      <c r="B1868" s="1" t="n">
        <v>45855.37256944444</v>
      </c>
      <c r="C1868" s="1" t="n">
        <v>45936</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35334-2025</t>
        </is>
      </c>
      <c r="B1869" s="1" t="n">
        <v>45854.57973379629</v>
      </c>
      <c r="C1869" s="1" t="n">
        <v>45936</v>
      </c>
      <c r="D1869" t="inlineStr">
        <is>
          <t>VÄRMLANDS LÄN</t>
        </is>
      </c>
      <c r="E1869" t="inlineStr">
        <is>
          <t>TORSBY</t>
        </is>
      </c>
      <c r="F1869" t="inlineStr">
        <is>
          <t>Bergvik skog väst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40128-2025</t>
        </is>
      </c>
      <c r="B1870" s="1" t="n">
        <v>45894</v>
      </c>
      <c r="C1870" s="1" t="n">
        <v>45936</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27195-2023</t>
        </is>
      </c>
      <c r="B1871" s="1" t="n">
        <v>45096</v>
      </c>
      <c r="C1871" s="1" t="n">
        <v>45936</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40519-2025</t>
        </is>
      </c>
      <c r="B1872" s="1" t="n">
        <v>45896.3640162037</v>
      </c>
      <c r="C1872" s="1" t="n">
        <v>45936</v>
      </c>
      <c r="D1872" t="inlineStr">
        <is>
          <t>VÄRMLANDS LÄN</t>
        </is>
      </c>
      <c r="E1872" t="inlineStr">
        <is>
          <t>TORSBY</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60796-2024</t>
        </is>
      </c>
      <c r="B1873" s="1" t="n">
        <v>45642</v>
      </c>
      <c r="C1873" s="1" t="n">
        <v>45936</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38084-2023</t>
        </is>
      </c>
      <c r="B1874" s="1" t="n">
        <v>45160</v>
      </c>
      <c r="C1874" s="1" t="n">
        <v>45936</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18344-2021</t>
        </is>
      </c>
      <c r="B1875" s="1" t="n">
        <v>44305</v>
      </c>
      <c r="C1875" s="1" t="n">
        <v>45936</v>
      </c>
      <c r="D1875" t="inlineStr">
        <is>
          <t>VÄRMLANDS LÄN</t>
        </is>
      </c>
      <c r="E1875" t="inlineStr">
        <is>
          <t>TORSBY</t>
        </is>
      </c>
      <c r="F1875" t="inlineStr">
        <is>
          <t>Kommuner</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57990-2023</t>
        </is>
      </c>
      <c r="B1876" s="1" t="n">
        <v>45247.60293981482</v>
      </c>
      <c r="C1876" s="1" t="n">
        <v>45936</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24244-2023</t>
        </is>
      </c>
      <c r="B1877" s="1" t="n">
        <v>45079.61969907407</v>
      </c>
      <c r="C1877" s="1" t="n">
        <v>45936</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27223-2022</t>
        </is>
      </c>
      <c r="B1878" s="1" t="n">
        <v>44741</v>
      </c>
      <c r="C1878" s="1" t="n">
        <v>45936</v>
      </c>
      <c r="D1878" t="inlineStr">
        <is>
          <t>VÄRMLANDS LÄN</t>
        </is>
      </c>
      <c r="E1878" t="inlineStr">
        <is>
          <t>TORSBY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423-2024</t>
        </is>
      </c>
      <c r="B1879" s="1" t="n">
        <v>45296.53034722222</v>
      </c>
      <c r="C1879" s="1" t="n">
        <v>45936</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28329-2024</t>
        </is>
      </c>
      <c r="B1880" s="1" t="n">
        <v>45477</v>
      </c>
      <c r="C1880" s="1" t="n">
        <v>45936</v>
      </c>
      <c r="D1880" t="inlineStr">
        <is>
          <t>VÄRMLANDS LÄN</t>
        </is>
      </c>
      <c r="E1880" t="inlineStr">
        <is>
          <t>TORSBY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12365-2022</t>
        </is>
      </c>
      <c r="B1881" s="1" t="n">
        <v>44637.70670138889</v>
      </c>
      <c r="C1881" s="1" t="n">
        <v>45936</v>
      </c>
      <c r="D1881" t="inlineStr">
        <is>
          <t>VÄRMLANDS LÄN</t>
        </is>
      </c>
      <c r="E1881" t="inlineStr">
        <is>
          <t>TORSBY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58430-2023</t>
        </is>
      </c>
      <c r="B1882" s="1" t="n">
        <v>45250.80646990741</v>
      </c>
      <c r="C1882" s="1" t="n">
        <v>45936</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27270-2024</t>
        </is>
      </c>
      <c r="B1883" s="1" t="n">
        <v>45471.81967592592</v>
      </c>
      <c r="C1883" s="1" t="n">
        <v>45936</v>
      </c>
      <c r="D1883" t="inlineStr">
        <is>
          <t>VÄRMLANDS LÄN</t>
        </is>
      </c>
      <c r="E1883" t="inlineStr">
        <is>
          <t>TORSBY</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40180-2024</t>
        </is>
      </c>
      <c r="B1884" s="1" t="n">
        <v>45554.55413194445</v>
      </c>
      <c r="C1884" s="1" t="n">
        <v>45936</v>
      </c>
      <c r="D1884" t="inlineStr">
        <is>
          <t>VÄRMLANDS LÄN</t>
        </is>
      </c>
      <c r="E1884" t="inlineStr">
        <is>
          <t>TORSBY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10584-2023</t>
        </is>
      </c>
      <c r="B1885" s="1" t="n">
        <v>44988.36736111111</v>
      </c>
      <c r="C1885" s="1" t="n">
        <v>45936</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42632-2023</t>
        </is>
      </c>
      <c r="B1886" s="1" t="n">
        <v>45181</v>
      </c>
      <c r="C1886" s="1" t="n">
        <v>45936</v>
      </c>
      <c r="D1886" t="inlineStr">
        <is>
          <t>VÄRMLANDS LÄN</t>
        </is>
      </c>
      <c r="E1886" t="inlineStr">
        <is>
          <t>TORSBY</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42635-2023</t>
        </is>
      </c>
      <c r="B1887" s="1" t="n">
        <v>45181.49310185185</v>
      </c>
      <c r="C1887" s="1" t="n">
        <v>45936</v>
      </c>
      <c r="D1887" t="inlineStr">
        <is>
          <t>VÄRMLANDS LÄN</t>
        </is>
      </c>
      <c r="E1887" t="inlineStr">
        <is>
          <t>TORSBY</t>
        </is>
      </c>
      <c r="G1887" t="n">
        <v>16.1</v>
      </c>
      <c r="H1887" t="n">
        <v>0</v>
      </c>
      <c r="I1887" t="n">
        <v>0</v>
      </c>
      <c r="J1887" t="n">
        <v>0</v>
      </c>
      <c r="K1887" t="n">
        <v>0</v>
      </c>
      <c r="L1887" t="n">
        <v>0</v>
      </c>
      <c r="M1887" t="n">
        <v>0</v>
      </c>
      <c r="N1887" t="n">
        <v>0</v>
      </c>
      <c r="O1887" t="n">
        <v>0</v>
      </c>
      <c r="P1887" t="n">
        <v>0</v>
      </c>
      <c r="Q1887" t="n">
        <v>0</v>
      </c>
      <c r="R1887" s="2" t="inlineStr"/>
    </row>
    <row r="1888" ht="15" customHeight="1">
      <c r="A1888" t="inlineStr">
        <is>
          <t>A 35367-2025</t>
        </is>
      </c>
      <c r="B1888" s="1" t="n">
        <v>45854</v>
      </c>
      <c r="C1888" s="1" t="n">
        <v>45936</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4510-2023</t>
        </is>
      </c>
      <c r="B1889" s="1" t="n">
        <v>44956.57528935185</v>
      </c>
      <c r="C1889" s="1" t="n">
        <v>45936</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40729-2025</t>
        </is>
      </c>
      <c r="B1890" s="1" t="n">
        <v>45897.35421296296</v>
      </c>
      <c r="C1890" s="1" t="n">
        <v>45936</v>
      </c>
      <c r="D1890" t="inlineStr">
        <is>
          <t>VÄRMLANDS LÄN</t>
        </is>
      </c>
      <c r="E1890" t="inlineStr">
        <is>
          <t>TORSBY</t>
        </is>
      </c>
      <c r="F1890" t="inlineStr">
        <is>
          <t>Bergvik skog väst AB</t>
        </is>
      </c>
      <c r="G1890" t="n">
        <v>25.4</v>
      </c>
      <c r="H1890" t="n">
        <v>0</v>
      </c>
      <c r="I1890" t="n">
        <v>0</v>
      </c>
      <c r="J1890" t="n">
        <v>0</v>
      </c>
      <c r="K1890" t="n">
        <v>0</v>
      </c>
      <c r="L1890" t="n">
        <v>0</v>
      </c>
      <c r="M1890" t="n">
        <v>0</v>
      </c>
      <c r="N1890" t="n">
        <v>0</v>
      </c>
      <c r="O1890" t="n">
        <v>0</v>
      </c>
      <c r="P1890" t="n">
        <v>0</v>
      </c>
      <c r="Q1890" t="n">
        <v>0</v>
      </c>
      <c r="R1890" s="2" t="inlineStr"/>
    </row>
    <row r="1891" ht="15" customHeight="1">
      <c r="A1891" t="inlineStr">
        <is>
          <t>A 33499-2024</t>
        </is>
      </c>
      <c r="B1891" s="1" t="n">
        <v>45519.62280092593</v>
      </c>
      <c r="C1891" s="1" t="n">
        <v>45936</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41168-2025</t>
        </is>
      </c>
      <c r="B1892" s="1" t="n">
        <v>45898</v>
      </c>
      <c r="C1892" s="1" t="n">
        <v>45936</v>
      </c>
      <c r="D1892" t="inlineStr">
        <is>
          <t>VÄRMLANDS LÄN</t>
        </is>
      </c>
      <c r="E1892" t="inlineStr">
        <is>
          <t>TORSBY</t>
        </is>
      </c>
      <c r="F1892" t="inlineStr">
        <is>
          <t>Övriga Aktiebolag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41232-2025</t>
        </is>
      </c>
      <c r="B1893" s="1" t="n">
        <v>45898</v>
      </c>
      <c r="C1893" s="1" t="n">
        <v>45936</v>
      </c>
      <c r="D1893" t="inlineStr">
        <is>
          <t>VÄRMLANDS LÄN</t>
        </is>
      </c>
      <c r="E1893" t="inlineStr">
        <is>
          <t>TORSBY</t>
        </is>
      </c>
      <c r="F1893" t="inlineStr">
        <is>
          <t>Övriga Aktiebolag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21516-2022</t>
        </is>
      </c>
      <c r="B1894" s="1" t="n">
        <v>44706</v>
      </c>
      <c r="C1894" s="1" t="n">
        <v>45936</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41189-2025</t>
        </is>
      </c>
      <c r="B1895" s="1" t="n">
        <v>45898</v>
      </c>
      <c r="C1895" s="1" t="n">
        <v>45936</v>
      </c>
      <c r="D1895" t="inlineStr">
        <is>
          <t>VÄRMLANDS LÄN</t>
        </is>
      </c>
      <c r="E1895" t="inlineStr">
        <is>
          <t>TORSBY</t>
        </is>
      </c>
      <c r="F1895" t="inlineStr">
        <is>
          <t>Övriga Aktiebolag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41124-2025</t>
        </is>
      </c>
      <c r="B1896" s="1" t="n">
        <v>45898.47166666666</v>
      </c>
      <c r="C1896" s="1" t="n">
        <v>45936</v>
      </c>
      <c r="D1896" t="inlineStr">
        <is>
          <t>VÄRMLANDS LÄN</t>
        </is>
      </c>
      <c r="E1896" t="inlineStr">
        <is>
          <t>TORSBY</t>
        </is>
      </c>
      <c r="F1896" t="inlineStr">
        <is>
          <t>Bergvik skog väst AB</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31052-2023</t>
        </is>
      </c>
      <c r="B1897" s="1" t="n">
        <v>45113</v>
      </c>
      <c r="C1897" s="1" t="n">
        <v>45936</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41376-2025</t>
        </is>
      </c>
      <c r="B1898" s="1" t="n">
        <v>45900.84105324074</v>
      </c>
      <c r="C1898" s="1" t="n">
        <v>45936</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5052-2025</t>
        </is>
      </c>
      <c r="B1899" s="1" t="n">
        <v>45691</v>
      </c>
      <c r="C1899" s="1" t="n">
        <v>45936</v>
      </c>
      <c r="D1899" t="inlineStr">
        <is>
          <t>VÄRMLANDS LÄN</t>
        </is>
      </c>
      <c r="E1899" t="inlineStr">
        <is>
          <t>TORSBY</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41209-2025</t>
        </is>
      </c>
      <c r="B1900" s="1" t="n">
        <v>45898</v>
      </c>
      <c r="C1900" s="1" t="n">
        <v>45936</v>
      </c>
      <c r="D1900" t="inlineStr">
        <is>
          <t>VÄRMLANDS LÄN</t>
        </is>
      </c>
      <c r="E1900" t="inlineStr">
        <is>
          <t>TORSBY</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27358-2024</t>
        </is>
      </c>
      <c r="B1901" s="1" t="n">
        <v>45473.71635416667</v>
      </c>
      <c r="C1901" s="1" t="n">
        <v>45936</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27360-2024</t>
        </is>
      </c>
      <c r="B1902" s="1" t="n">
        <v>45473</v>
      </c>
      <c r="C1902" s="1" t="n">
        <v>45936</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17562-2024</t>
        </is>
      </c>
      <c r="B1903" s="1" t="n">
        <v>45415</v>
      </c>
      <c r="C1903" s="1" t="n">
        <v>45936</v>
      </c>
      <c r="D1903" t="inlineStr">
        <is>
          <t>VÄRMLANDS LÄN</t>
        </is>
      </c>
      <c r="E1903" t="inlineStr">
        <is>
          <t>TORSBY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41627-2025</t>
        </is>
      </c>
      <c r="B1904" s="1" t="n">
        <v>45901.79328703704</v>
      </c>
      <c r="C1904" s="1" t="n">
        <v>45936</v>
      </c>
      <c r="D1904" t="inlineStr">
        <is>
          <t>VÄRMLANDS LÄN</t>
        </is>
      </c>
      <c r="E1904" t="inlineStr">
        <is>
          <t>TORSBY</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39768-2024</t>
        </is>
      </c>
      <c r="B1905" s="1" t="n">
        <v>45552</v>
      </c>
      <c r="C1905" s="1" t="n">
        <v>45936</v>
      </c>
      <c r="D1905" t="inlineStr">
        <is>
          <t>VÄRMLANDS LÄN</t>
        </is>
      </c>
      <c r="E1905" t="inlineStr">
        <is>
          <t>TORSBY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31936-2023</t>
        </is>
      </c>
      <c r="B1906" s="1" t="n">
        <v>45107</v>
      </c>
      <c r="C1906" s="1" t="n">
        <v>45936</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35552-2025</t>
        </is>
      </c>
      <c r="B1907" s="1" t="n">
        <v>45856.49702546297</v>
      </c>
      <c r="C1907" s="1" t="n">
        <v>45936</v>
      </c>
      <c r="D1907" t="inlineStr">
        <is>
          <t>VÄRMLANDS LÄN</t>
        </is>
      </c>
      <c r="E1907" t="inlineStr">
        <is>
          <t>TORSBY</t>
        </is>
      </c>
      <c r="F1907" t="inlineStr">
        <is>
          <t>Bergvik skog väst AB</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41194-2025</t>
        </is>
      </c>
      <c r="B1908" s="1" t="n">
        <v>45898.57028935185</v>
      </c>
      <c r="C1908" s="1" t="n">
        <v>45936</v>
      </c>
      <c r="D1908" t="inlineStr">
        <is>
          <t>VÄRMLANDS LÄN</t>
        </is>
      </c>
      <c r="E1908" t="inlineStr">
        <is>
          <t>TORSBY</t>
        </is>
      </c>
      <c r="F1908" t="inlineStr">
        <is>
          <t>Bergvik skog väst AB</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54011-2024</t>
        </is>
      </c>
      <c r="B1909" s="1" t="n">
        <v>45616.37576388889</v>
      </c>
      <c r="C1909" s="1" t="n">
        <v>45936</v>
      </c>
      <c r="D1909" t="inlineStr">
        <is>
          <t>VÄRMLANDS LÄN</t>
        </is>
      </c>
      <c r="E1909" t="inlineStr">
        <is>
          <t>TORSBY</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54026-2024</t>
        </is>
      </c>
      <c r="B1910" s="1" t="n">
        <v>45616</v>
      </c>
      <c r="C1910" s="1" t="n">
        <v>45936</v>
      </c>
      <c r="D1910" t="inlineStr">
        <is>
          <t>VÄRMLANDS LÄN</t>
        </is>
      </c>
      <c r="E1910" t="inlineStr">
        <is>
          <t>TORSBY</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41137-2025</t>
        </is>
      </c>
      <c r="B1911" s="1" t="n">
        <v>45898</v>
      </c>
      <c r="C1911" s="1" t="n">
        <v>45936</v>
      </c>
      <c r="D1911" t="inlineStr">
        <is>
          <t>VÄRMLANDS LÄN</t>
        </is>
      </c>
      <c r="E1911" t="inlineStr">
        <is>
          <t>TORSBY</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56509-2024</t>
        </is>
      </c>
      <c r="B1912" s="1" t="n">
        <v>45625</v>
      </c>
      <c r="C1912" s="1" t="n">
        <v>45936</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41471-2025</t>
        </is>
      </c>
      <c r="B1913" s="1" t="n">
        <v>45901.46770833333</v>
      </c>
      <c r="C1913" s="1" t="n">
        <v>45936</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45936</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40157-2024</t>
        </is>
      </c>
      <c r="B1915" s="1" t="n">
        <v>45554</v>
      </c>
      <c r="C1915" s="1" t="n">
        <v>45936</v>
      </c>
      <c r="D1915" t="inlineStr">
        <is>
          <t>VÄRMLANDS LÄN</t>
        </is>
      </c>
      <c r="E1915" t="inlineStr">
        <is>
          <t>TORSBY</t>
        </is>
      </c>
      <c r="F1915" t="inlineStr">
        <is>
          <t>Bergvik skog väst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56880-2023</t>
        </is>
      </c>
      <c r="B1916" s="1" t="n">
        <v>45244</v>
      </c>
      <c r="C1916" s="1" t="n">
        <v>45936</v>
      </c>
      <c r="D1916" t="inlineStr">
        <is>
          <t>VÄRMLANDS LÄN</t>
        </is>
      </c>
      <c r="E1916" t="inlineStr">
        <is>
          <t>TORSBY</t>
        </is>
      </c>
      <c r="F1916" t="inlineStr">
        <is>
          <t>Övriga Aktiebolag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35817-2025</t>
        </is>
      </c>
      <c r="B1917" s="1" t="n">
        <v>45861.44365740741</v>
      </c>
      <c r="C1917" s="1" t="n">
        <v>45936</v>
      </c>
      <c r="D1917" t="inlineStr">
        <is>
          <t>VÄRMLANDS LÄN</t>
        </is>
      </c>
      <c r="E1917" t="inlineStr">
        <is>
          <t>TORSBY</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18447-2025</t>
        </is>
      </c>
      <c r="B1918" s="1" t="n">
        <v>45762</v>
      </c>
      <c r="C1918" s="1" t="n">
        <v>45936</v>
      </c>
      <c r="D1918" t="inlineStr">
        <is>
          <t>VÄRMLANDS LÄN</t>
        </is>
      </c>
      <c r="E1918" t="inlineStr">
        <is>
          <t>TORSBY</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40207-2023</t>
        </is>
      </c>
      <c r="B1919" s="1" t="n">
        <v>45169.44604166667</v>
      </c>
      <c r="C1919" s="1" t="n">
        <v>45936</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45238.52023148148</v>
      </c>
      <c r="C1920" s="1" t="n">
        <v>45936</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45236.3515162037</v>
      </c>
      <c r="C1921" s="1" t="n">
        <v>45936</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21094-2022</t>
        </is>
      </c>
      <c r="B1922" s="1" t="n">
        <v>44704</v>
      </c>
      <c r="C1922" s="1" t="n">
        <v>45936</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41958-2025</t>
        </is>
      </c>
      <c r="B1923" s="1" t="n">
        <v>45903.46856481482</v>
      </c>
      <c r="C1923" s="1" t="n">
        <v>45936</v>
      </c>
      <c r="D1923" t="inlineStr">
        <is>
          <t>VÄRMLANDS LÄN</t>
        </is>
      </c>
      <c r="E1923" t="inlineStr">
        <is>
          <t>TORSBY</t>
        </is>
      </c>
      <c r="F1923" t="inlineStr">
        <is>
          <t>Bergvik skog väst AB</t>
        </is>
      </c>
      <c r="G1923" t="n">
        <v>15.8</v>
      </c>
      <c r="H1923" t="n">
        <v>0</v>
      </c>
      <c r="I1923" t="n">
        <v>0</v>
      </c>
      <c r="J1923" t="n">
        <v>0</v>
      </c>
      <c r="K1923" t="n">
        <v>0</v>
      </c>
      <c r="L1923" t="n">
        <v>0</v>
      </c>
      <c r="M1923" t="n">
        <v>0</v>
      </c>
      <c r="N1923" t="n">
        <v>0</v>
      </c>
      <c r="O1923" t="n">
        <v>0</v>
      </c>
      <c r="P1923" t="n">
        <v>0</v>
      </c>
      <c r="Q1923" t="n">
        <v>0</v>
      </c>
      <c r="R1923" s="2" t="inlineStr"/>
    </row>
    <row r="1924" ht="15" customHeight="1">
      <c r="A1924" t="inlineStr">
        <is>
          <t>A 41293-2025</t>
        </is>
      </c>
      <c r="B1924" s="1" t="n">
        <v>45898</v>
      </c>
      <c r="C1924" s="1" t="n">
        <v>45936</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50973-2023</t>
        </is>
      </c>
      <c r="B1925" s="1" t="n">
        <v>45218.50408564815</v>
      </c>
      <c r="C1925" s="1" t="n">
        <v>45936</v>
      </c>
      <c r="D1925" t="inlineStr">
        <is>
          <t>VÄRMLANDS LÄN</t>
        </is>
      </c>
      <c r="E1925" t="inlineStr">
        <is>
          <t>TORSBY</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41895-2025</t>
        </is>
      </c>
      <c r="B1926" s="1" t="n">
        <v>45903.38645833333</v>
      </c>
      <c r="C1926" s="1" t="n">
        <v>45936</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51836-2024</t>
        </is>
      </c>
      <c r="B1927" s="1" t="n">
        <v>45607</v>
      </c>
      <c r="C1927" s="1" t="n">
        <v>45936</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66194-2020</t>
        </is>
      </c>
      <c r="B1928" s="1" t="n">
        <v>44175</v>
      </c>
      <c r="C1928" s="1" t="n">
        <v>45936</v>
      </c>
      <c r="D1928" t="inlineStr">
        <is>
          <t>VÄRMLANDS LÄN</t>
        </is>
      </c>
      <c r="E1928" t="inlineStr">
        <is>
          <t>TORSBY</t>
        </is>
      </c>
      <c r="F1928" t="inlineStr">
        <is>
          <t>Bergvik skog väst AB</t>
        </is>
      </c>
      <c r="G1928" t="n">
        <v>18.4</v>
      </c>
      <c r="H1928" t="n">
        <v>0</v>
      </c>
      <c r="I1928" t="n">
        <v>0</v>
      </c>
      <c r="J1928" t="n">
        <v>0</v>
      </c>
      <c r="K1928" t="n">
        <v>0</v>
      </c>
      <c r="L1928" t="n">
        <v>0</v>
      </c>
      <c r="M1928" t="n">
        <v>0</v>
      </c>
      <c r="N1928" t="n">
        <v>0</v>
      </c>
      <c r="O1928" t="n">
        <v>0</v>
      </c>
      <c r="P1928" t="n">
        <v>0</v>
      </c>
      <c r="Q1928" t="n">
        <v>0</v>
      </c>
      <c r="R1928" s="2" t="inlineStr"/>
    </row>
    <row r="1929" ht="15" customHeight="1">
      <c r="A1929" t="inlineStr">
        <is>
          <t>A 14800-2025</t>
        </is>
      </c>
      <c r="B1929" s="1" t="n">
        <v>45743</v>
      </c>
      <c r="C1929" s="1" t="n">
        <v>45936</v>
      </c>
      <c r="D1929" t="inlineStr">
        <is>
          <t>VÄRMLANDS LÄN</t>
        </is>
      </c>
      <c r="E1929" t="inlineStr">
        <is>
          <t>TORSBY</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41478-2025</t>
        </is>
      </c>
      <c r="B1930" s="1" t="n">
        <v>45901</v>
      </c>
      <c r="C1930" s="1" t="n">
        <v>45936</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35855-2025</t>
        </is>
      </c>
      <c r="B1931" s="1" t="n">
        <v>45861.61864583333</v>
      </c>
      <c r="C1931" s="1" t="n">
        <v>45936</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20060-2025</t>
        </is>
      </c>
      <c r="B1932" s="1" t="n">
        <v>45772.41831018519</v>
      </c>
      <c r="C1932" s="1" t="n">
        <v>45936</v>
      </c>
      <c r="D1932" t="inlineStr">
        <is>
          <t>VÄRMLANDS LÄN</t>
        </is>
      </c>
      <c r="E1932" t="inlineStr">
        <is>
          <t>TORSBY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41711-2025</t>
        </is>
      </c>
      <c r="B1933" s="1" t="n">
        <v>45902.43106481482</v>
      </c>
      <c r="C1933" s="1" t="n">
        <v>45936</v>
      </c>
      <c r="D1933" t="inlineStr">
        <is>
          <t>VÄRMLANDS LÄN</t>
        </is>
      </c>
      <c r="E1933" t="inlineStr">
        <is>
          <t>TORSBY</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54489-2024</t>
        </is>
      </c>
      <c r="B1934" s="1" t="n">
        <v>45617.56674768519</v>
      </c>
      <c r="C1934" s="1" t="n">
        <v>45936</v>
      </c>
      <c r="D1934" t="inlineStr">
        <is>
          <t>VÄRMLANDS LÄN</t>
        </is>
      </c>
      <c r="E1934" t="inlineStr">
        <is>
          <t>TORSBY</t>
        </is>
      </c>
      <c r="F1934" t="inlineStr">
        <is>
          <t>Bergvik skog väst AB</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924-2024</t>
        </is>
      </c>
      <c r="B1935" s="1" t="n">
        <v>45301</v>
      </c>
      <c r="C1935" s="1" t="n">
        <v>45936</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41975-2025</t>
        </is>
      </c>
      <c r="B1936" s="1" t="n">
        <v>45903.49732638889</v>
      </c>
      <c r="C1936" s="1" t="n">
        <v>45936</v>
      </c>
      <c r="D1936" t="inlineStr">
        <is>
          <t>VÄRMLANDS LÄN</t>
        </is>
      </c>
      <c r="E1936" t="inlineStr">
        <is>
          <t>TORSBY</t>
        </is>
      </c>
      <c r="F1936" t="inlineStr">
        <is>
          <t>Bergvik skog väst AB</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11695-2021</t>
        </is>
      </c>
      <c r="B1937" s="1" t="n">
        <v>44264.87736111111</v>
      </c>
      <c r="C1937" s="1" t="n">
        <v>45936</v>
      </c>
      <c r="D1937" t="inlineStr">
        <is>
          <t>VÄRMLANDS LÄN</t>
        </is>
      </c>
      <c r="E1937" t="inlineStr">
        <is>
          <t>TORSBY</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20309-2025</t>
        </is>
      </c>
      <c r="B1938" s="1" t="n">
        <v>45775.28427083333</v>
      </c>
      <c r="C1938" s="1" t="n">
        <v>45936</v>
      </c>
      <c r="D1938" t="inlineStr">
        <is>
          <t>VÄRMLANDS LÄN</t>
        </is>
      </c>
      <c r="E1938" t="inlineStr">
        <is>
          <t>TORSBY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41416-2025</t>
        </is>
      </c>
      <c r="B1939" s="1" t="n">
        <v>45901</v>
      </c>
      <c r="C1939" s="1" t="n">
        <v>45936</v>
      </c>
      <c r="D1939" t="inlineStr">
        <is>
          <t>VÄRMLANDS LÄN</t>
        </is>
      </c>
      <c r="E1939" t="inlineStr">
        <is>
          <t>TORSBY</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41746-2025</t>
        </is>
      </c>
      <c r="B1940" s="1" t="n">
        <v>45902.48660879629</v>
      </c>
      <c r="C1940" s="1" t="n">
        <v>45936</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42529-2025</t>
        </is>
      </c>
      <c r="B1941" s="1" t="n">
        <v>45905.55716435185</v>
      </c>
      <c r="C1941" s="1" t="n">
        <v>45936</v>
      </c>
      <c r="D1941" t="inlineStr">
        <is>
          <t>VÄRMLANDS LÄN</t>
        </is>
      </c>
      <c r="E1941" t="inlineStr">
        <is>
          <t>TORSBY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42308-2025</t>
        </is>
      </c>
      <c r="B1942" s="1" t="n">
        <v>45904.65320601852</v>
      </c>
      <c r="C1942" s="1" t="n">
        <v>45936</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16498-2022</t>
        </is>
      </c>
      <c r="B1943" s="1" t="n">
        <v>44671</v>
      </c>
      <c r="C1943" s="1" t="n">
        <v>45936</v>
      </c>
      <c r="D1943" t="inlineStr">
        <is>
          <t>VÄRMLANDS LÄN</t>
        </is>
      </c>
      <c r="E1943" t="inlineStr">
        <is>
          <t>TORSBY</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21411-2023</t>
        </is>
      </c>
      <c r="B1944" s="1" t="n">
        <v>45063.38505787037</v>
      </c>
      <c r="C1944" s="1" t="n">
        <v>45936</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48320-2022</t>
        </is>
      </c>
      <c r="B1945" s="1" t="n">
        <v>44853</v>
      </c>
      <c r="C1945" s="1" t="n">
        <v>45936</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42304-2025</t>
        </is>
      </c>
      <c r="B1946" s="1" t="n">
        <v>45904.6447337963</v>
      </c>
      <c r="C1946" s="1" t="n">
        <v>45936</v>
      </c>
      <c r="D1946" t="inlineStr">
        <is>
          <t>VÄRMLANDS LÄN</t>
        </is>
      </c>
      <c r="E1946" t="inlineStr">
        <is>
          <t>TORSBY</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42305-2025</t>
        </is>
      </c>
      <c r="B1947" s="1" t="n">
        <v>45904.64886574074</v>
      </c>
      <c r="C1947" s="1" t="n">
        <v>45936</v>
      </c>
      <c r="D1947" t="inlineStr">
        <is>
          <t>VÄRMLANDS LÄN</t>
        </is>
      </c>
      <c r="E1947" t="inlineStr">
        <is>
          <t>TORSBY</t>
        </is>
      </c>
      <c r="F1947" t="inlineStr">
        <is>
          <t>Bergvik skog väst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42563-2025</t>
        </is>
      </c>
      <c r="B1948" s="1" t="n">
        <v>45905.60097222222</v>
      </c>
      <c r="C1948" s="1" t="n">
        <v>45936</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42499-2025</t>
        </is>
      </c>
      <c r="B1949" s="1" t="n">
        <v>45905.5194675926</v>
      </c>
      <c r="C1949" s="1" t="n">
        <v>45936</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42149-2025</t>
        </is>
      </c>
      <c r="B1950" s="1" t="n">
        <v>45904.38109953704</v>
      </c>
      <c r="C1950" s="1" t="n">
        <v>45936</v>
      </c>
      <c r="D1950" t="inlineStr">
        <is>
          <t>VÄRMLANDS LÄN</t>
        </is>
      </c>
      <c r="E1950" t="inlineStr">
        <is>
          <t>TORSBY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3841-2022</t>
        </is>
      </c>
      <c r="B1951" s="1" t="n">
        <v>44587</v>
      </c>
      <c r="C1951" s="1" t="n">
        <v>45936</v>
      </c>
      <c r="D1951" t="inlineStr">
        <is>
          <t>VÄRMLANDS LÄN</t>
        </is>
      </c>
      <c r="E1951" t="inlineStr">
        <is>
          <t>TORSBY</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45250.41873842593</v>
      </c>
      <c r="C1952" s="1" t="n">
        <v>45936</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42496-2025</t>
        </is>
      </c>
      <c r="B1953" s="1" t="n">
        <v>45905.50864583333</v>
      </c>
      <c r="C1953" s="1" t="n">
        <v>45936</v>
      </c>
      <c r="D1953" t="inlineStr">
        <is>
          <t>VÄRMLANDS LÄN</t>
        </is>
      </c>
      <c r="E1953" t="inlineStr">
        <is>
          <t>TORSBY</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42481-2025</t>
        </is>
      </c>
      <c r="B1954" s="1" t="n">
        <v>45904</v>
      </c>
      <c r="C1954" s="1" t="n">
        <v>45936</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27038-2024</t>
        </is>
      </c>
      <c r="B1955" s="1" t="n">
        <v>45471</v>
      </c>
      <c r="C1955" s="1" t="n">
        <v>45936</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27045-2024</t>
        </is>
      </c>
      <c r="B1956" s="1" t="n">
        <v>45471</v>
      </c>
      <c r="C1956" s="1" t="n">
        <v>45936</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42273-2025</t>
        </is>
      </c>
      <c r="B1957" s="1" t="n">
        <v>45904.60708333334</v>
      </c>
      <c r="C1957" s="1" t="n">
        <v>45936</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35980-2025</t>
        </is>
      </c>
      <c r="B1958" s="1" t="n">
        <v>45863</v>
      </c>
      <c r="C1958" s="1" t="n">
        <v>45936</v>
      </c>
      <c r="D1958" t="inlineStr">
        <is>
          <t>VÄRMLANDS LÄN</t>
        </is>
      </c>
      <c r="E1958" t="inlineStr">
        <is>
          <t>TORSBY</t>
        </is>
      </c>
      <c r="F1958" t="inlineStr">
        <is>
          <t>Bergvik skog väst AB</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52062-2024</t>
        </is>
      </c>
      <c r="B1959" s="1" t="n">
        <v>45608</v>
      </c>
      <c r="C1959" s="1" t="n">
        <v>45936</v>
      </c>
      <c r="D1959" t="inlineStr">
        <is>
          <t>VÄRMLANDS LÄN</t>
        </is>
      </c>
      <c r="E1959" t="inlineStr">
        <is>
          <t>TORSBY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35965-2025</t>
        </is>
      </c>
      <c r="B1960" s="1" t="n">
        <v>45863.39790509259</v>
      </c>
      <c r="C1960" s="1" t="n">
        <v>45936</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35987-2025</t>
        </is>
      </c>
      <c r="B1961" s="1" t="n">
        <v>45863.46144675926</v>
      </c>
      <c r="C1961" s="1" t="n">
        <v>45936</v>
      </c>
      <c r="D1961" t="inlineStr">
        <is>
          <t>VÄRMLANDS LÄN</t>
        </is>
      </c>
      <c r="E1961" t="inlineStr">
        <is>
          <t>TORSBY</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42296-2025</t>
        </is>
      </c>
      <c r="B1962" s="1" t="n">
        <v>45904.63361111111</v>
      </c>
      <c r="C1962" s="1" t="n">
        <v>45936</v>
      </c>
      <c r="D1962" t="inlineStr">
        <is>
          <t>VÄRMLANDS LÄN</t>
        </is>
      </c>
      <c r="E1962" t="inlineStr">
        <is>
          <t>TORSBY</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42152-2025</t>
        </is>
      </c>
      <c r="B1963" s="1" t="n">
        <v>45904.3884375</v>
      </c>
      <c r="C1963" s="1" t="n">
        <v>45936</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42108-2025</t>
        </is>
      </c>
      <c r="B1964" s="1" t="n">
        <v>45903.96076388889</v>
      </c>
      <c r="C1964" s="1" t="n">
        <v>45936</v>
      </c>
      <c r="D1964" t="inlineStr">
        <is>
          <t>VÄRMLANDS LÄN</t>
        </is>
      </c>
      <c r="E1964" t="inlineStr">
        <is>
          <t>TORSBY</t>
        </is>
      </c>
      <c r="F1964" t="inlineStr">
        <is>
          <t>Bergvik skog väst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21585-2024</t>
        </is>
      </c>
      <c r="B1965" s="1" t="n">
        <v>45441</v>
      </c>
      <c r="C1965" s="1" t="n">
        <v>45936</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7378-2025</t>
        </is>
      </c>
      <c r="B1966" s="1" t="n">
        <v>45705</v>
      </c>
      <c r="C1966" s="1" t="n">
        <v>45936</v>
      </c>
      <c r="D1966" t="inlineStr">
        <is>
          <t>VÄRMLANDS LÄN</t>
        </is>
      </c>
      <c r="E1966" t="inlineStr">
        <is>
          <t>TORSBY</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30958-2025</t>
        </is>
      </c>
      <c r="B1967" s="1" t="n">
        <v>45832.43880787037</v>
      </c>
      <c r="C1967" s="1" t="n">
        <v>45936</v>
      </c>
      <c r="D1967" t="inlineStr">
        <is>
          <t>VÄRMLANDS LÄN</t>
        </is>
      </c>
      <c r="E1967" t="inlineStr">
        <is>
          <t>TORSBY</t>
        </is>
      </c>
      <c r="G1967" t="n">
        <v>28.5</v>
      </c>
      <c r="H1967" t="n">
        <v>0</v>
      </c>
      <c r="I1967" t="n">
        <v>0</v>
      </c>
      <c r="J1967" t="n">
        <v>0</v>
      </c>
      <c r="K1967" t="n">
        <v>0</v>
      </c>
      <c r="L1967" t="n">
        <v>0</v>
      </c>
      <c r="M1967" t="n">
        <v>0</v>
      </c>
      <c r="N1967" t="n">
        <v>0</v>
      </c>
      <c r="O1967" t="n">
        <v>0</v>
      </c>
      <c r="P1967" t="n">
        <v>0</v>
      </c>
      <c r="Q1967" t="n">
        <v>0</v>
      </c>
      <c r="R1967" s="2" t="inlineStr"/>
    </row>
    <row r="1968" ht="15" customHeight="1">
      <c r="A1968" t="inlineStr">
        <is>
          <t>A 41148-2025</t>
        </is>
      </c>
      <c r="B1968" s="1" t="n">
        <v>45898</v>
      </c>
      <c r="C1968" s="1" t="n">
        <v>45936</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36287-2025</t>
        </is>
      </c>
      <c r="B1969" s="1" t="n">
        <v>45867.65814814815</v>
      </c>
      <c r="C1969" s="1" t="n">
        <v>45936</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42705-2025</t>
        </is>
      </c>
      <c r="B1970" s="1" t="n">
        <v>45908.37063657407</v>
      </c>
      <c r="C1970" s="1" t="n">
        <v>45936</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30836-2025</t>
        </is>
      </c>
      <c r="B1971" s="1" t="n">
        <v>45831.70571759259</v>
      </c>
      <c r="C1971" s="1" t="n">
        <v>45936</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41634-2025</t>
        </is>
      </c>
      <c r="B1972" s="1" t="n">
        <v>45902</v>
      </c>
      <c r="C1972" s="1" t="n">
        <v>45936</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27920-2023</t>
        </is>
      </c>
      <c r="B1973" s="1" t="n">
        <v>45098.64269675926</v>
      </c>
      <c r="C1973" s="1" t="n">
        <v>45936</v>
      </c>
      <c r="D1973" t="inlineStr">
        <is>
          <t>VÄRMLANDS LÄN</t>
        </is>
      </c>
      <c r="E1973" t="inlineStr">
        <is>
          <t>TORSBY</t>
        </is>
      </c>
      <c r="F1973" t="inlineStr">
        <is>
          <t>Kyrkan</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42349-2025</t>
        </is>
      </c>
      <c r="B1974" s="1" t="n">
        <v>45904</v>
      </c>
      <c r="C1974" s="1" t="n">
        <v>45936</v>
      </c>
      <c r="D1974" t="inlineStr">
        <is>
          <t>VÄRMLANDS LÄN</t>
        </is>
      </c>
      <c r="E1974" t="inlineStr">
        <is>
          <t>TORSBY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42966-2025</t>
        </is>
      </c>
      <c r="B1975" s="1" t="n">
        <v>45909.38825231481</v>
      </c>
      <c r="C1975" s="1" t="n">
        <v>45936</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14614-2025</t>
        </is>
      </c>
      <c r="B1976" s="1" t="n">
        <v>45742</v>
      </c>
      <c r="C1976" s="1" t="n">
        <v>45936</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32624-2025</t>
        </is>
      </c>
      <c r="B1977" s="1" t="n">
        <v>45838.64796296296</v>
      </c>
      <c r="C1977" s="1" t="n">
        <v>45936</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42965-2025</t>
        </is>
      </c>
      <c r="B1978" s="1" t="n">
        <v>45909.37575231482</v>
      </c>
      <c r="C1978" s="1" t="n">
        <v>45936</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24639-2023</t>
        </is>
      </c>
      <c r="B1979" s="1" t="n">
        <v>45084</v>
      </c>
      <c r="C1979" s="1" t="n">
        <v>45936</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57072-2022</t>
        </is>
      </c>
      <c r="B1980" s="1" t="n">
        <v>44895.4252662037</v>
      </c>
      <c r="C1980" s="1" t="n">
        <v>45936</v>
      </c>
      <c r="D1980" t="inlineStr">
        <is>
          <t>VÄRMLANDS LÄN</t>
        </is>
      </c>
      <c r="E1980" t="inlineStr">
        <is>
          <t>TORSBY</t>
        </is>
      </c>
      <c r="F1980" t="inlineStr">
        <is>
          <t>Övriga statliga verk och myndigheter</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36256-2025</t>
        </is>
      </c>
      <c r="B1981" s="1" t="n">
        <v>45867.58938657407</v>
      </c>
      <c r="C1981" s="1" t="n">
        <v>45936</v>
      </c>
      <c r="D1981" t="inlineStr">
        <is>
          <t>VÄRMLANDS LÄN</t>
        </is>
      </c>
      <c r="E1981" t="inlineStr">
        <is>
          <t>TORSBY</t>
        </is>
      </c>
      <c r="F1981" t="inlineStr">
        <is>
          <t>Bergvik skog väst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42720-2025</t>
        </is>
      </c>
      <c r="B1982" s="1" t="n">
        <v>45908.39427083333</v>
      </c>
      <c r="C1982" s="1" t="n">
        <v>45936</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42961-2025</t>
        </is>
      </c>
      <c r="B1983" s="1" t="n">
        <v>45909.36737268518</v>
      </c>
      <c r="C1983" s="1" t="n">
        <v>45936</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45936</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36258-2025</t>
        </is>
      </c>
      <c r="B1985" s="1" t="n">
        <v>45867.59559027778</v>
      </c>
      <c r="C1985" s="1" t="n">
        <v>45936</v>
      </c>
      <c r="D1985" t="inlineStr">
        <is>
          <t>VÄRMLANDS LÄN</t>
        </is>
      </c>
      <c r="E1985" t="inlineStr">
        <is>
          <t>TORSBY</t>
        </is>
      </c>
      <c r="F1985" t="inlineStr">
        <is>
          <t>Bergvik skog väst AB</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42354-2025</t>
        </is>
      </c>
      <c r="B1986" s="1" t="n">
        <v>45904</v>
      </c>
      <c r="C1986" s="1" t="n">
        <v>45936</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52581-2024</t>
        </is>
      </c>
      <c r="B1987" s="1" t="n">
        <v>45609</v>
      </c>
      <c r="C1987" s="1" t="n">
        <v>45936</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36288-2025</t>
        </is>
      </c>
      <c r="B1988" s="1" t="n">
        <v>45867.6619212963</v>
      </c>
      <c r="C1988" s="1" t="n">
        <v>45936</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36289-2025</t>
        </is>
      </c>
      <c r="B1989" s="1" t="n">
        <v>45867.66329861111</v>
      </c>
      <c r="C1989" s="1" t="n">
        <v>45936</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36279-2025</t>
        </is>
      </c>
      <c r="B1990" s="1" t="n">
        <v>45867.638125</v>
      </c>
      <c r="C1990" s="1" t="n">
        <v>45936</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44708-2022</t>
        </is>
      </c>
      <c r="B1991" s="1" t="n">
        <v>44840.73633101852</v>
      </c>
      <c r="C1991" s="1" t="n">
        <v>45936</v>
      </c>
      <c r="D1991" t="inlineStr">
        <is>
          <t>VÄRMLANDS LÄN</t>
        </is>
      </c>
      <c r="E1991" t="inlineStr">
        <is>
          <t>TORSBY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20191-2025</t>
        </is>
      </c>
      <c r="B1992" s="1" t="n">
        <v>45772</v>
      </c>
      <c r="C1992" s="1" t="n">
        <v>45936</v>
      </c>
      <c r="D1992" t="inlineStr">
        <is>
          <t>VÄRMLANDS LÄN</t>
        </is>
      </c>
      <c r="E1992" t="inlineStr">
        <is>
          <t>TORSBY</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56970-2023</t>
        </is>
      </c>
      <c r="B1993" s="1" t="n">
        <v>45244.63689814815</v>
      </c>
      <c r="C1993" s="1" t="n">
        <v>45936</v>
      </c>
      <c r="D1993" t="inlineStr">
        <is>
          <t>VÄRMLANDS LÄN</t>
        </is>
      </c>
      <c r="E1993" t="inlineStr">
        <is>
          <t>TORSBY</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25961-2025</t>
        </is>
      </c>
      <c r="B1994" s="1" t="n">
        <v>45804</v>
      </c>
      <c r="C1994" s="1" t="n">
        <v>45936</v>
      </c>
      <c r="D1994" t="inlineStr">
        <is>
          <t>VÄRMLANDS LÄN</t>
        </is>
      </c>
      <c r="E1994" t="inlineStr">
        <is>
          <t>TORSBY</t>
        </is>
      </c>
      <c r="G1994" t="n">
        <v>17.8</v>
      </c>
      <c r="H1994" t="n">
        <v>0</v>
      </c>
      <c r="I1994" t="n">
        <v>0</v>
      </c>
      <c r="J1994" t="n">
        <v>0</v>
      </c>
      <c r="K1994" t="n">
        <v>0</v>
      </c>
      <c r="L1994" t="n">
        <v>0</v>
      </c>
      <c r="M1994" t="n">
        <v>0</v>
      </c>
      <c r="N1994" t="n">
        <v>0</v>
      </c>
      <c r="O1994" t="n">
        <v>0</v>
      </c>
      <c r="P1994" t="n">
        <v>0</v>
      </c>
      <c r="Q1994" t="n">
        <v>0</v>
      </c>
      <c r="R1994" s="2" t="inlineStr"/>
    </row>
    <row r="1995" ht="15" customHeight="1">
      <c r="A1995" t="inlineStr">
        <is>
          <t>A 42350-2025</t>
        </is>
      </c>
      <c r="B1995" s="1" t="n">
        <v>45904</v>
      </c>
      <c r="C1995" s="1" t="n">
        <v>45936</v>
      </c>
      <c r="D1995" t="inlineStr">
        <is>
          <t>VÄRMLANDS LÄN</t>
        </is>
      </c>
      <c r="E1995" t="inlineStr">
        <is>
          <t>TORSBY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42352-2025</t>
        </is>
      </c>
      <c r="B1996" s="1" t="n">
        <v>45904</v>
      </c>
      <c r="C1996" s="1" t="n">
        <v>45936</v>
      </c>
      <c r="D1996" t="inlineStr">
        <is>
          <t>VÄRMLANDS LÄN</t>
        </is>
      </c>
      <c r="E1996" t="inlineStr">
        <is>
          <t>TORSBY</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42886-2025</t>
        </is>
      </c>
      <c r="B1997" s="1" t="n">
        <v>45908.65288194444</v>
      </c>
      <c r="C1997" s="1" t="n">
        <v>45936</v>
      </c>
      <c r="D1997" t="inlineStr">
        <is>
          <t>VÄRMLANDS LÄN</t>
        </is>
      </c>
      <c r="E1997" t="inlineStr">
        <is>
          <t>TORSBY</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42742-2025</t>
        </is>
      </c>
      <c r="B1998" s="1" t="n">
        <v>45908</v>
      </c>
      <c r="C1998" s="1" t="n">
        <v>45936</v>
      </c>
      <c r="D1998" t="inlineStr">
        <is>
          <t>VÄRMLANDS LÄN</t>
        </is>
      </c>
      <c r="E1998" t="inlineStr">
        <is>
          <t>TORSBY</t>
        </is>
      </c>
      <c r="F1998" t="inlineStr">
        <is>
          <t>Bergvik skog väst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36477-2025</t>
        </is>
      </c>
      <c r="B1999" s="1" t="n">
        <v>45869</v>
      </c>
      <c r="C1999" s="1" t="n">
        <v>45936</v>
      </c>
      <c r="D1999" t="inlineStr">
        <is>
          <t>VÄRMLANDS LÄN</t>
        </is>
      </c>
      <c r="E1999" t="inlineStr">
        <is>
          <t>TORSBY</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36548-2025</t>
        </is>
      </c>
      <c r="B2000" s="1" t="n">
        <v>45869.74849537037</v>
      </c>
      <c r="C2000" s="1" t="n">
        <v>45936</v>
      </c>
      <c r="D2000" t="inlineStr">
        <is>
          <t>VÄRMLANDS LÄN</t>
        </is>
      </c>
      <c r="E2000" t="inlineStr">
        <is>
          <t>TORSBY</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38100-2024</t>
        </is>
      </c>
      <c r="B2001" s="1" t="n">
        <v>45545</v>
      </c>
      <c r="C2001" s="1" t="n">
        <v>45936</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41529-2024</t>
        </is>
      </c>
      <c r="B2002" s="1" t="n">
        <v>45560.48552083333</v>
      </c>
      <c r="C2002" s="1" t="n">
        <v>45936</v>
      </c>
      <c r="D2002" t="inlineStr">
        <is>
          <t>VÄRMLANDS LÄN</t>
        </is>
      </c>
      <c r="E2002" t="inlineStr">
        <is>
          <t>TORSBY</t>
        </is>
      </c>
      <c r="F2002" t="inlineStr">
        <is>
          <t>Bergvik skog väst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36483-2025</t>
        </is>
      </c>
      <c r="B2003" s="1" t="n">
        <v>45869</v>
      </c>
      <c r="C2003" s="1" t="n">
        <v>45936</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56281-2022</t>
        </is>
      </c>
      <c r="B2004" s="1" t="n">
        <v>44890</v>
      </c>
      <c r="C2004" s="1" t="n">
        <v>45936</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52979-2020</t>
        </is>
      </c>
      <c r="B2005" s="1" t="n">
        <v>44120</v>
      </c>
      <c r="C2005" s="1" t="n">
        <v>45936</v>
      </c>
      <c r="D2005" t="inlineStr">
        <is>
          <t>VÄRMLANDS LÄN</t>
        </is>
      </c>
      <c r="E2005" t="inlineStr">
        <is>
          <t>TORSBY</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36530-2025</t>
        </is>
      </c>
      <c r="B2006" s="1" t="n">
        <v>45869.61282407407</v>
      </c>
      <c r="C2006" s="1" t="n">
        <v>45936</v>
      </c>
      <c r="D2006" t="inlineStr">
        <is>
          <t>VÄRMLANDS LÄN</t>
        </is>
      </c>
      <c r="E2006" t="inlineStr">
        <is>
          <t>TORSBY</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43614-2025</t>
        </is>
      </c>
      <c r="B2007" s="1" t="n">
        <v>45911.67766203704</v>
      </c>
      <c r="C2007" s="1" t="n">
        <v>45936</v>
      </c>
      <c r="D2007" t="inlineStr">
        <is>
          <t>VÄRMLANDS LÄN</t>
        </is>
      </c>
      <c r="E2007" t="inlineStr">
        <is>
          <t>TORSBY</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47355-2023</t>
        </is>
      </c>
      <c r="B2008" s="1" t="n">
        <v>45202</v>
      </c>
      <c r="C2008" s="1" t="n">
        <v>45936</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43304-2025</t>
        </is>
      </c>
      <c r="B2009" s="1" t="n">
        <v>45910.63630787037</v>
      </c>
      <c r="C2009" s="1" t="n">
        <v>45936</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40997-2022</t>
        </is>
      </c>
      <c r="B2010" s="1" t="n">
        <v>44825.50576388889</v>
      </c>
      <c r="C2010" s="1" t="n">
        <v>45936</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39770-2024</t>
        </is>
      </c>
      <c r="B2011" s="1" t="n">
        <v>45552</v>
      </c>
      <c r="C2011" s="1" t="n">
        <v>45936</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43608-2025</t>
        </is>
      </c>
      <c r="B2012" s="1" t="n">
        <v>45911.67491898148</v>
      </c>
      <c r="C2012" s="1" t="n">
        <v>45936</v>
      </c>
      <c r="D2012" t="inlineStr">
        <is>
          <t>VÄRMLANDS LÄN</t>
        </is>
      </c>
      <c r="E2012" t="inlineStr">
        <is>
          <t>TORSBY</t>
        </is>
      </c>
      <c r="F2012" t="inlineStr">
        <is>
          <t>Bergvik skog väst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18682-2024</t>
        </is>
      </c>
      <c r="B2013" s="1" t="n">
        <v>45426.37251157407</v>
      </c>
      <c r="C2013" s="1" t="n">
        <v>45936</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43055-2025</t>
        </is>
      </c>
      <c r="B2014" s="1" t="n">
        <v>45909</v>
      </c>
      <c r="C2014" s="1" t="n">
        <v>45936</v>
      </c>
      <c r="D2014" t="inlineStr">
        <is>
          <t>VÄRMLANDS LÄN</t>
        </is>
      </c>
      <c r="E2014" t="inlineStr">
        <is>
          <t>TORSBY</t>
        </is>
      </c>
      <c r="F2014" t="inlineStr">
        <is>
          <t>Bergvik skog väst AB</t>
        </is>
      </c>
      <c r="G2014" t="n">
        <v>20.1</v>
      </c>
      <c r="H2014" t="n">
        <v>0</v>
      </c>
      <c r="I2014" t="n">
        <v>0</v>
      </c>
      <c r="J2014" t="n">
        <v>0</v>
      </c>
      <c r="K2014" t="n">
        <v>0</v>
      </c>
      <c r="L2014" t="n">
        <v>0</v>
      </c>
      <c r="M2014" t="n">
        <v>0</v>
      </c>
      <c r="N2014" t="n">
        <v>0</v>
      </c>
      <c r="O2014" t="n">
        <v>0</v>
      </c>
      <c r="P2014" t="n">
        <v>0</v>
      </c>
      <c r="Q2014" t="n">
        <v>0</v>
      </c>
      <c r="R2014" s="2" t="inlineStr"/>
    </row>
    <row r="2015" ht="15" customHeight="1">
      <c r="A2015" t="inlineStr">
        <is>
          <t>A 11670-2025</t>
        </is>
      </c>
      <c r="B2015" s="1" t="n">
        <v>45727</v>
      </c>
      <c r="C2015" s="1" t="n">
        <v>45936</v>
      </c>
      <c r="D2015" t="inlineStr">
        <is>
          <t>VÄRMLANDS LÄN</t>
        </is>
      </c>
      <c r="E2015" t="inlineStr">
        <is>
          <t>TORSBY</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43313-2025</t>
        </is>
      </c>
      <c r="B2016" s="1" t="n">
        <v>45910</v>
      </c>
      <c r="C2016" s="1" t="n">
        <v>45936</v>
      </c>
      <c r="D2016" t="inlineStr">
        <is>
          <t>VÄRMLANDS LÄN</t>
        </is>
      </c>
      <c r="E2016" t="inlineStr">
        <is>
          <t>TORSBY</t>
        </is>
      </c>
      <c r="F2016" t="inlineStr">
        <is>
          <t>Övriga Aktiebolag</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45936</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45936</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45936</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45936</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43831-2025</t>
        </is>
      </c>
      <c r="B2021" s="1" t="n">
        <v>45912.62987268518</v>
      </c>
      <c r="C2021" s="1" t="n">
        <v>45936</v>
      </c>
      <c r="D2021" t="inlineStr">
        <is>
          <t>VÄRMLANDS LÄN</t>
        </is>
      </c>
      <c r="E2021" t="inlineStr">
        <is>
          <t>TORSBY</t>
        </is>
      </c>
      <c r="F2021" t="inlineStr">
        <is>
          <t>Bergvik skog väst AB</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22973-2024</t>
        </is>
      </c>
      <c r="B2022" s="1" t="n">
        <v>45449</v>
      </c>
      <c r="C2022" s="1" t="n">
        <v>45936</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9057-2022</t>
        </is>
      </c>
      <c r="B2023" s="1" t="n">
        <v>44615</v>
      </c>
      <c r="C2023" s="1" t="n">
        <v>45936</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13189-2025</t>
        </is>
      </c>
      <c r="B2024" s="1" t="n">
        <v>45735.39708333334</v>
      </c>
      <c r="C2024" s="1" t="n">
        <v>45936</v>
      </c>
      <c r="D2024" t="inlineStr">
        <is>
          <t>VÄRMLANDS LÄN</t>
        </is>
      </c>
      <c r="E2024" t="inlineStr">
        <is>
          <t>TORSBY</t>
        </is>
      </c>
      <c r="G2024" t="n">
        <v>15.4</v>
      </c>
      <c r="H2024" t="n">
        <v>0</v>
      </c>
      <c r="I2024" t="n">
        <v>0</v>
      </c>
      <c r="J2024" t="n">
        <v>0</v>
      </c>
      <c r="K2024" t="n">
        <v>0</v>
      </c>
      <c r="L2024" t="n">
        <v>0</v>
      </c>
      <c r="M2024" t="n">
        <v>0</v>
      </c>
      <c r="N2024" t="n">
        <v>0</v>
      </c>
      <c r="O2024" t="n">
        <v>0</v>
      </c>
      <c r="P2024" t="n">
        <v>0</v>
      </c>
      <c r="Q2024" t="n">
        <v>0</v>
      </c>
      <c r="R2024" s="2" t="inlineStr"/>
    </row>
    <row r="2025">
      <c r="A2025" t="inlineStr">
        <is>
          <t>A 3326-2024</t>
        </is>
      </c>
      <c r="B2025" s="1" t="n">
        <v>45317</v>
      </c>
      <c r="C2025" s="1" t="n">
        <v>45936</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2025-10-06T12:35:47Z</dcterms:created>
  <dcterms:modified xmlns:dcterms="http://purl.org/dc/terms/" xmlns:xsi="http://www.w3.org/2001/XMLSchema-instance" xsi:type="dcterms:W3CDTF">2025-10-06T12:35:48Z</dcterms:modified>
</cp:coreProperties>
</file>