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45849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45849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45849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45849</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45849</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45849</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45849</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45849</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45849</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45849</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45849</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45849</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45849</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45849</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45849</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45849</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45849</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45849</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45849</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45849</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45849</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45849</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45849</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45849</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45849</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45849</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45849</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45849</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45849</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45849</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44562-2023</t>
        </is>
      </c>
      <c r="B33" s="1" t="n">
        <v>45189</v>
      </c>
      <c r="C33" s="1" t="n">
        <v>45849</v>
      </c>
      <c r="D33" t="inlineStr">
        <is>
          <t>VÄRMLANDS LÄN</t>
        </is>
      </c>
      <c r="E33" t="inlineStr">
        <is>
          <t>TORSBY</t>
        </is>
      </c>
      <c r="G33" t="n">
        <v>2</v>
      </c>
      <c r="H33" t="n">
        <v>1</v>
      </c>
      <c r="I33" t="n">
        <v>1</v>
      </c>
      <c r="J33" t="n">
        <v>5</v>
      </c>
      <c r="K33" t="n">
        <v>2</v>
      </c>
      <c r="L33" t="n">
        <v>0</v>
      </c>
      <c r="M33" t="n">
        <v>0</v>
      </c>
      <c r="N33" t="n">
        <v>0</v>
      </c>
      <c r="O33" t="n">
        <v>7</v>
      </c>
      <c r="P33" t="n">
        <v>2</v>
      </c>
      <c r="Q33" t="n">
        <v>8</v>
      </c>
      <c r="R33" s="2" t="inlineStr">
        <is>
          <t>Fläckporing
Knärot
Dvärgbägarlav
Garnlav
Kolflarnlav
Mörk kolflarnlav
Vedskivlav
Kattfotslav</t>
        </is>
      </c>
      <c r="S33">
        <f>HYPERLINK("https://klasma.github.io/Logging_1737/artfynd/A 44562-2023 artfynd.xlsx", "A 44562-2023")</f>
        <v/>
      </c>
      <c r="T33">
        <f>HYPERLINK("https://klasma.github.io/Logging_1737/kartor/A 44562-2023 karta.png", "A 44562-2023")</f>
        <v/>
      </c>
      <c r="U33">
        <f>HYPERLINK("https://klasma.github.io/Logging_1737/knärot/A 44562-2023 karta knärot.png", "A 44562-2023")</f>
        <v/>
      </c>
      <c r="V33">
        <f>HYPERLINK("https://klasma.github.io/Logging_1737/klagomål/A 44562-2023 FSC-klagomål.docx", "A 44562-2023")</f>
        <v/>
      </c>
      <c r="W33">
        <f>HYPERLINK("https://klasma.github.io/Logging_1737/klagomålsmail/A 44562-2023 FSC-klagomål mail.docx", "A 44562-2023")</f>
        <v/>
      </c>
      <c r="X33">
        <f>HYPERLINK("https://klasma.github.io/Logging_1737/tillsyn/A 44562-2023 tillsynsbegäran.docx", "A 44562-2023")</f>
        <v/>
      </c>
      <c r="Y33">
        <f>HYPERLINK("https://klasma.github.io/Logging_1737/tillsynsmail/A 44562-2023 tillsynsbegäran mail.docx", "A 44562-2023")</f>
        <v/>
      </c>
    </row>
    <row r="34" ht="15" customHeight="1">
      <c r="A34" t="inlineStr">
        <is>
          <t>A 37041-2024</t>
        </is>
      </c>
      <c r="B34" s="1" t="n">
        <v>45539</v>
      </c>
      <c r="C34" s="1" t="n">
        <v>45849</v>
      </c>
      <c r="D34" t="inlineStr">
        <is>
          <t>VÄRMLANDS LÄN</t>
        </is>
      </c>
      <c r="E34" t="inlineStr">
        <is>
          <t>TORSBY</t>
        </is>
      </c>
      <c r="G34" t="n">
        <v>1.5</v>
      </c>
      <c r="H34" t="n">
        <v>1</v>
      </c>
      <c r="I34" t="n">
        <v>2</v>
      </c>
      <c r="J34" t="n">
        <v>4</v>
      </c>
      <c r="K34" t="n">
        <v>2</v>
      </c>
      <c r="L34" t="n">
        <v>0</v>
      </c>
      <c r="M34" t="n">
        <v>0</v>
      </c>
      <c r="N34" t="n">
        <v>0</v>
      </c>
      <c r="O34" t="n">
        <v>6</v>
      </c>
      <c r="P34" t="n">
        <v>2</v>
      </c>
      <c r="Q34" t="n">
        <v>8</v>
      </c>
      <c r="R34" s="2" t="inlineStr">
        <is>
          <t>Knärot
Rynkskinn
Garnlav
Ullticka
Vedskivlav
Vedtrappmossa
Skarp dropptaggsvamp
Vedticka</t>
        </is>
      </c>
      <c r="S34">
        <f>HYPERLINK("https://klasma.github.io/Logging_1737/artfynd/A 37041-2024 artfynd.xlsx", "A 37041-2024")</f>
        <v/>
      </c>
      <c r="T34">
        <f>HYPERLINK("https://klasma.github.io/Logging_1737/kartor/A 37041-2024 karta.png", "A 37041-2024")</f>
        <v/>
      </c>
      <c r="U34">
        <f>HYPERLINK("https://klasma.github.io/Logging_1737/knärot/A 37041-2024 karta knärot.png", "A 37041-2024")</f>
        <v/>
      </c>
      <c r="V34">
        <f>HYPERLINK("https://klasma.github.io/Logging_1737/klagomål/A 37041-2024 FSC-klagomål.docx", "A 37041-2024")</f>
        <v/>
      </c>
      <c r="W34">
        <f>HYPERLINK("https://klasma.github.io/Logging_1737/klagomålsmail/A 37041-2024 FSC-klagomål mail.docx", "A 37041-2024")</f>
        <v/>
      </c>
      <c r="X34">
        <f>HYPERLINK("https://klasma.github.io/Logging_1737/tillsyn/A 37041-2024 tillsynsbegäran.docx", "A 37041-2024")</f>
        <v/>
      </c>
      <c r="Y34">
        <f>HYPERLINK("https://klasma.github.io/Logging_1737/tillsynsmail/A 37041-2024 tillsynsbegäran mail.docx", "A 37041-2024")</f>
        <v/>
      </c>
    </row>
    <row r="35" ht="15" customHeight="1">
      <c r="A35" t="inlineStr">
        <is>
          <t>A 41346-2024</t>
        </is>
      </c>
      <c r="B35" s="1" t="n">
        <v>45559</v>
      </c>
      <c r="C35" s="1" t="n">
        <v>45849</v>
      </c>
      <c r="D35" t="inlineStr">
        <is>
          <t>VÄRMLANDS LÄN</t>
        </is>
      </c>
      <c r="E35" t="inlineStr">
        <is>
          <t>TORSBY</t>
        </is>
      </c>
      <c r="G35" t="n">
        <v>4.1</v>
      </c>
      <c r="H35" t="n">
        <v>0</v>
      </c>
      <c r="I35" t="n">
        <v>0</v>
      </c>
      <c r="J35" t="n">
        <v>8</v>
      </c>
      <c r="K35" t="n">
        <v>0</v>
      </c>
      <c r="L35" t="n">
        <v>0</v>
      </c>
      <c r="M35" t="n">
        <v>0</v>
      </c>
      <c r="N35" t="n">
        <v>0</v>
      </c>
      <c r="O35" t="n">
        <v>8</v>
      </c>
      <c r="P35" t="n">
        <v>0</v>
      </c>
      <c r="Q35" t="n">
        <v>8</v>
      </c>
      <c r="R35" s="2" t="inlineStr">
        <is>
          <t>Garnlav
Lunglav
Skrovellav
Tallticka
Ullticka
Vedskivlav
Vedtrappmossa
Violettgrå tagellav</t>
        </is>
      </c>
      <c r="S35">
        <f>HYPERLINK("https://klasma.github.io/Logging_1737/artfynd/A 41346-2024 artfynd.xlsx", "A 41346-2024")</f>
        <v/>
      </c>
      <c r="T35">
        <f>HYPERLINK("https://klasma.github.io/Logging_1737/kartor/A 41346-2024 karta.png", "A 41346-2024")</f>
        <v/>
      </c>
      <c r="V35">
        <f>HYPERLINK("https://klasma.github.io/Logging_1737/klagomål/A 41346-2024 FSC-klagomål.docx", "A 41346-2024")</f>
        <v/>
      </c>
      <c r="W35">
        <f>HYPERLINK("https://klasma.github.io/Logging_1737/klagomålsmail/A 41346-2024 FSC-klagomål mail.docx", "A 41346-2024")</f>
        <v/>
      </c>
      <c r="X35">
        <f>HYPERLINK("https://klasma.github.io/Logging_1737/tillsyn/A 41346-2024 tillsynsbegäran.docx", "A 41346-2024")</f>
        <v/>
      </c>
      <c r="Y35">
        <f>HYPERLINK("https://klasma.github.io/Logging_1737/tillsynsmail/A 41346-2024 tillsynsbegäran mail.docx", "A 41346-2024")</f>
        <v/>
      </c>
    </row>
    <row r="36" ht="15" customHeight="1">
      <c r="A36" t="inlineStr">
        <is>
          <t>A 33920-2019</t>
        </is>
      </c>
      <c r="B36" s="1" t="n">
        <v>43654</v>
      </c>
      <c r="C36" s="1" t="n">
        <v>45849</v>
      </c>
      <c r="D36" t="inlineStr">
        <is>
          <t>VÄRMLANDS LÄN</t>
        </is>
      </c>
      <c r="E36" t="inlineStr">
        <is>
          <t>TORSBY</t>
        </is>
      </c>
      <c r="G36" t="n">
        <v>1.5</v>
      </c>
      <c r="H36" t="n">
        <v>0</v>
      </c>
      <c r="I36" t="n">
        <v>2</v>
      </c>
      <c r="J36" t="n">
        <v>5</v>
      </c>
      <c r="K36" t="n">
        <v>0</v>
      </c>
      <c r="L36" t="n">
        <v>0</v>
      </c>
      <c r="M36" t="n">
        <v>0</v>
      </c>
      <c r="N36" t="n">
        <v>0</v>
      </c>
      <c r="O36" t="n">
        <v>5</v>
      </c>
      <c r="P36" t="n">
        <v>0</v>
      </c>
      <c r="Q36" t="n">
        <v>7</v>
      </c>
      <c r="R36" s="2" t="inlineStr">
        <is>
          <t>Gammelgransskål
Garnlav
Lunglav
Ullticka
Vedtrappmossa
Gulnål
Vedticka</t>
        </is>
      </c>
      <c r="S36">
        <f>HYPERLINK("https://klasma.github.io/Logging_1737/artfynd/A 33920-2019 artfynd.xlsx", "A 33920-2019")</f>
        <v/>
      </c>
      <c r="T36">
        <f>HYPERLINK("https://klasma.github.io/Logging_1737/kartor/A 33920-2019 karta.png", "A 33920-2019")</f>
        <v/>
      </c>
      <c r="V36">
        <f>HYPERLINK("https://klasma.github.io/Logging_1737/klagomål/A 33920-2019 FSC-klagomål.docx", "A 33920-2019")</f>
        <v/>
      </c>
      <c r="W36">
        <f>HYPERLINK("https://klasma.github.io/Logging_1737/klagomålsmail/A 33920-2019 FSC-klagomål mail.docx", "A 33920-2019")</f>
        <v/>
      </c>
      <c r="X36">
        <f>HYPERLINK("https://klasma.github.io/Logging_1737/tillsyn/A 33920-2019 tillsynsbegäran.docx", "A 33920-2019")</f>
        <v/>
      </c>
      <c r="Y36">
        <f>HYPERLINK("https://klasma.github.io/Logging_1737/tillsynsmail/A 33920-2019 tillsynsbegäran mail.docx", "A 33920-2019")</f>
        <v/>
      </c>
    </row>
    <row r="37" ht="15" customHeight="1">
      <c r="A37" t="inlineStr">
        <is>
          <t>A 730-2020</t>
        </is>
      </c>
      <c r="B37" s="1" t="n">
        <v>43838</v>
      </c>
      <c r="C37" s="1" t="n">
        <v>45849</v>
      </c>
      <c r="D37" t="inlineStr">
        <is>
          <t>VÄRMLANDS LÄN</t>
        </is>
      </c>
      <c r="E37" t="inlineStr">
        <is>
          <t>TORSBY</t>
        </is>
      </c>
      <c r="G37" t="n">
        <v>2.1</v>
      </c>
      <c r="H37" t="n">
        <v>0</v>
      </c>
      <c r="I37" t="n">
        <v>4</v>
      </c>
      <c r="J37" t="n">
        <v>3</v>
      </c>
      <c r="K37" t="n">
        <v>0</v>
      </c>
      <c r="L37" t="n">
        <v>0</v>
      </c>
      <c r="M37" t="n">
        <v>0</v>
      </c>
      <c r="N37" t="n">
        <v>0</v>
      </c>
      <c r="O37" t="n">
        <v>3</v>
      </c>
      <c r="P37" t="n">
        <v>0</v>
      </c>
      <c r="Q37" t="n">
        <v>7</v>
      </c>
      <c r="R37" s="2" t="inlineStr">
        <is>
          <t>Desmeknopp
Flattoppad klubbsvamp
Lunglav
Dvärghäxört
Kransrams
Springkorn
Svart trolldruva</t>
        </is>
      </c>
      <c r="S37">
        <f>HYPERLINK("https://klasma.github.io/Logging_1737/artfynd/A 730-2020 artfynd.xlsx", "A 730-2020")</f>
        <v/>
      </c>
      <c r="T37">
        <f>HYPERLINK("https://klasma.github.io/Logging_1737/kartor/A 730-2020 karta.png", "A 730-2020")</f>
        <v/>
      </c>
      <c r="V37">
        <f>HYPERLINK("https://klasma.github.io/Logging_1737/klagomål/A 730-2020 FSC-klagomål.docx", "A 730-2020")</f>
        <v/>
      </c>
      <c r="W37">
        <f>HYPERLINK("https://klasma.github.io/Logging_1737/klagomålsmail/A 730-2020 FSC-klagomål mail.docx", "A 730-2020")</f>
        <v/>
      </c>
      <c r="X37">
        <f>HYPERLINK("https://klasma.github.io/Logging_1737/tillsyn/A 730-2020 tillsynsbegäran.docx", "A 730-2020")</f>
        <v/>
      </c>
      <c r="Y37">
        <f>HYPERLINK("https://klasma.github.io/Logging_1737/tillsynsmail/A 730-2020 tillsynsbegäran mail.docx", "A 730-2020")</f>
        <v/>
      </c>
    </row>
    <row r="38" ht="15" customHeight="1">
      <c r="A38" t="inlineStr">
        <is>
          <t>A 35199-2021</t>
        </is>
      </c>
      <c r="B38" s="1" t="n">
        <v>44384</v>
      </c>
      <c r="C38" s="1" t="n">
        <v>45849</v>
      </c>
      <c r="D38" t="inlineStr">
        <is>
          <t>VÄRMLANDS LÄN</t>
        </is>
      </c>
      <c r="E38" t="inlineStr">
        <is>
          <t>TORSBY</t>
        </is>
      </c>
      <c r="G38" t="n">
        <v>20.8</v>
      </c>
      <c r="H38" t="n">
        <v>0</v>
      </c>
      <c r="I38" t="n">
        <v>1</v>
      </c>
      <c r="J38" t="n">
        <v>6</v>
      </c>
      <c r="K38" t="n">
        <v>0</v>
      </c>
      <c r="L38" t="n">
        <v>0</v>
      </c>
      <c r="M38" t="n">
        <v>0</v>
      </c>
      <c r="N38" t="n">
        <v>0</v>
      </c>
      <c r="O38" t="n">
        <v>6</v>
      </c>
      <c r="P38" t="n">
        <v>0</v>
      </c>
      <c r="Q38" t="n">
        <v>7</v>
      </c>
      <c r="R38" s="2" t="inlineStr">
        <is>
          <t>Dvärgbägarlav
Garnlav
Kolflarnlav
Kortskaftad ärgspik
Mörk kolflarnlav
Vedskivlav
Nästlav</t>
        </is>
      </c>
      <c r="S38">
        <f>HYPERLINK("https://klasma.github.io/Logging_1737/artfynd/A 35199-2021 artfynd.xlsx", "A 35199-2021")</f>
        <v/>
      </c>
      <c r="T38">
        <f>HYPERLINK("https://klasma.github.io/Logging_1737/kartor/A 35199-2021 karta.png", "A 35199-2021")</f>
        <v/>
      </c>
      <c r="V38">
        <f>HYPERLINK("https://klasma.github.io/Logging_1737/klagomål/A 35199-2021 FSC-klagomål.docx", "A 35199-2021")</f>
        <v/>
      </c>
      <c r="W38">
        <f>HYPERLINK("https://klasma.github.io/Logging_1737/klagomålsmail/A 35199-2021 FSC-klagomål mail.docx", "A 35199-2021")</f>
        <v/>
      </c>
      <c r="X38">
        <f>HYPERLINK("https://klasma.github.io/Logging_1737/tillsyn/A 35199-2021 tillsynsbegäran.docx", "A 35199-2021")</f>
        <v/>
      </c>
      <c r="Y38">
        <f>HYPERLINK("https://klasma.github.io/Logging_1737/tillsynsmail/A 35199-2021 tillsynsbegäran mail.docx", "A 35199-2021")</f>
        <v/>
      </c>
    </row>
    <row r="39" ht="15" customHeight="1">
      <c r="A39" t="inlineStr">
        <is>
          <t>A 66836-2021</t>
        </is>
      </c>
      <c r="B39" s="1" t="n">
        <v>44522</v>
      </c>
      <c r="C39" s="1" t="n">
        <v>45849</v>
      </c>
      <c r="D39" t="inlineStr">
        <is>
          <t>VÄRMLANDS LÄN</t>
        </is>
      </c>
      <c r="E39" t="inlineStr">
        <is>
          <t>TORSBY</t>
        </is>
      </c>
      <c r="G39" t="n">
        <v>4.1</v>
      </c>
      <c r="H39" t="n">
        <v>1</v>
      </c>
      <c r="I39" t="n">
        <v>3</v>
      </c>
      <c r="J39" t="n">
        <v>4</v>
      </c>
      <c r="K39" t="n">
        <v>0</v>
      </c>
      <c r="L39" t="n">
        <v>0</v>
      </c>
      <c r="M39" t="n">
        <v>0</v>
      </c>
      <c r="N39" t="n">
        <v>0</v>
      </c>
      <c r="O39" t="n">
        <v>4</v>
      </c>
      <c r="P39" t="n">
        <v>0</v>
      </c>
      <c r="Q39" t="n">
        <v>7</v>
      </c>
      <c r="R39" s="2" t="inlineStr">
        <is>
          <t>Doftskinn
Garnlav
Lunglav
Violettgrå tagellav
Korallblylav
Spindelblomster
Vedticka</t>
        </is>
      </c>
      <c r="S39">
        <f>HYPERLINK("https://klasma.github.io/Logging_1737/artfynd/A 66836-2021 artfynd.xlsx", "A 66836-2021")</f>
        <v/>
      </c>
      <c r="T39">
        <f>HYPERLINK("https://klasma.github.io/Logging_1737/kartor/A 66836-2021 karta.png", "A 66836-2021")</f>
        <v/>
      </c>
      <c r="V39">
        <f>HYPERLINK("https://klasma.github.io/Logging_1737/klagomål/A 66836-2021 FSC-klagomål.docx", "A 66836-2021")</f>
        <v/>
      </c>
      <c r="W39">
        <f>HYPERLINK("https://klasma.github.io/Logging_1737/klagomålsmail/A 66836-2021 FSC-klagomål mail.docx", "A 66836-2021")</f>
        <v/>
      </c>
      <c r="X39">
        <f>HYPERLINK("https://klasma.github.io/Logging_1737/tillsyn/A 66836-2021 tillsynsbegäran.docx", "A 66836-2021")</f>
        <v/>
      </c>
      <c r="Y39">
        <f>HYPERLINK("https://klasma.github.io/Logging_1737/tillsynsmail/A 66836-2021 tillsynsbegäran mail.docx", "A 66836-2021")</f>
        <v/>
      </c>
    </row>
    <row r="40" ht="15" customHeight="1">
      <c r="A40" t="inlineStr">
        <is>
          <t>A 73921-2021</t>
        </is>
      </c>
      <c r="B40" s="1" t="n">
        <v>44553</v>
      </c>
      <c r="C40" s="1" t="n">
        <v>45849</v>
      </c>
      <c r="D40" t="inlineStr">
        <is>
          <t>VÄRMLANDS LÄN</t>
        </is>
      </c>
      <c r="E40" t="inlineStr">
        <is>
          <t>TORSBY</t>
        </is>
      </c>
      <c r="G40" t="n">
        <v>15.3</v>
      </c>
      <c r="H40" t="n">
        <v>0</v>
      </c>
      <c r="I40" t="n">
        <v>1</v>
      </c>
      <c r="J40" t="n">
        <v>6</v>
      </c>
      <c r="K40" t="n">
        <v>0</v>
      </c>
      <c r="L40" t="n">
        <v>0</v>
      </c>
      <c r="M40" t="n">
        <v>0</v>
      </c>
      <c r="N40" t="n">
        <v>0</v>
      </c>
      <c r="O40" t="n">
        <v>6</v>
      </c>
      <c r="P40" t="n">
        <v>0</v>
      </c>
      <c r="Q40" t="n">
        <v>7</v>
      </c>
      <c r="R40" s="2" t="inlineStr">
        <is>
          <t>Gammelgransskål
Garnlav
Kolflarnlav
Motaggsvamp
Mörk kolflarnlav
Vedskivlav
Dropptaggsvamp</t>
        </is>
      </c>
      <c r="S40">
        <f>HYPERLINK("https://klasma.github.io/Logging_1737/artfynd/A 73921-2021 artfynd.xlsx", "A 73921-2021")</f>
        <v/>
      </c>
      <c r="T40">
        <f>HYPERLINK("https://klasma.github.io/Logging_1737/kartor/A 73921-2021 karta.png", "A 73921-2021")</f>
        <v/>
      </c>
      <c r="V40">
        <f>HYPERLINK("https://klasma.github.io/Logging_1737/klagomål/A 73921-2021 FSC-klagomål.docx", "A 73921-2021")</f>
        <v/>
      </c>
      <c r="W40">
        <f>HYPERLINK("https://klasma.github.io/Logging_1737/klagomålsmail/A 73921-2021 FSC-klagomål mail.docx", "A 73921-2021")</f>
        <v/>
      </c>
      <c r="X40">
        <f>HYPERLINK("https://klasma.github.io/Logging_1737/tillsyn/A 73921-2021 tillsynsbegäran.docx", "A 73921-2021")</f>
        <v/>
      </c>
      <c r="Y40">
        <f>HYPERLINK("https://klasma.github.io/Logging_1737/tillsynsmail/A 73921-2021 tillsynsbegäran mail.docx", "A 73921-2021")</f>
        <v/>
      </c>
    </row>
    <row r="41" ht="15" customHeight="1">
      <c r="A41" t="inlineStr">
        <is>
          <t>A 42499-2022</t>
        </is>
      </c>
      <c r="B41" s="1" t="n">
        <v>44831</v>
      </c>
      <c r="C41" s="1" t="n">
        <v>45849</v>
      </c>
      <c r="D41" t="inlineStr">
        <is>
          <t>VÄRMLANDS LÄN</t>
        </is>
      </c>
      <c r="E41" t="inlineStr">
        <is>
          <t>TORSBY</t>
        </is>
      </c>
      <c r="F41" t="inlineStr">
        <is>
          <t>Kommuner</t>
        </is>
      </c>
      <c r="G41" t="n">
        <v>2.8</v>
      </c>
      <c r="H41" t="n">
        <v>0</v>
      </c>
      <c r="I41" t="n">
        <v>1</v>
      </c>
      <c r="J41" t="n">
        <v>6</v>
      </c>
      <c r="K41" t="n">
        <v>0</v>
      </c>
      <c r="L41" t="n">
        <v>0</v>
      </c>
      <c r="M41" t="n">
        <v>0</v>
      </c>
      <c r="N41" t="n">
        <v>0</v>
      </c>
      <c r="O41" t="n">
        <v>6</v>
      </c>
      <c r="P41" t="n">
        <v>0</v>
      </c>
      <c r="Q41" t="n">
        <v>7</v>
      </c>
      <c r="R41" s="2" t="inlineStr">
        <is>
          <t>Dvärgbägarlav
Garnlav
Kolflarnlav
Mörk kolflarnlav
Vedskivlav
Violettgrå tagellav
Dropptaggsvamp</t>
        </is>
      </c>
      <c r="S41">
        <f>HYPERLINK("https://klasma.github.io/Logging_1737/artfynd/A 42499-2022 artfynd.xlsx", "A 42499-2022")</f>
        <v/>
      </c>
      <c r="T41">
        <f>HYPERLINK("https://klasma.github.io/Logging_1737/kartor/A 42499-2022 karta.png", "A 42499-2022")</f>
        <v/>
      </c>
      <c r="V41">
        <f>HYPERLINK("https://klasma.github.io/Logging_1737/klagomål/A 42499-2022 FSC-klagomål.docx", "A 42499-2022")</f>
        <v/>
      </c>
      <c r="W41">
        <f>HYPERLINK("https://klasma.github.io/Logging_1737/klagomålsmail/A 42499-2022 FSC-klagomål mail.docx", "A 42499-2022")</f>
        <v/>
      </c>
      <c r="X41">
        <f>HYPERLINK("https://klasma.github.io/Logging_1737/tillsyn/A 42499-2022 tillsynsbegäran.docx", "A 42499-2022")</f>
        <v/>
      </c>
      <c r="Y41">
        <f>HYPERLINK("https://klasma.github.io/Logging_1737/tillsynsmail/A 42499-2022 tillsynsbegäran mail.docx", "A 42499-2022")</f>
        <v/>
      </c>
    </row>
    <row r="42" ht="15" customHeight="1">
      <c r="A42" t="inlineStr">
        <is>
          <t>A 43822-2023</t>
        </is>
      </c>
      <c r="B42" s="1" t="n">
        <v>45182</v>
      </c>
      <c r="C42" s="1" t="n">
        <v>45849</v>
      </c>
      <c r="D42" t="inlineStr">
        <is>
          <t>VÄRMLANDS LÄN</t>
        </is>
      </c>
      <c r="E42" t="inlineStr">
        <is>
          <t>TORSBY</t>
        </is>
      </c>
      <c r="G42" t="n">
        <v>17.9</v>
      </c>
      <c r="H42" t="n">
        <v>1</v>
      </c>
      <c r="I42" t="n">
        <v>0</v>
      </c>
      <c r="J42" t="n">
        <v>7</v>
      </c>
      <c r="K42" t="n">
        <v>0</v>
      </c>
      <c r="L42" t="n">
        <v>0</v>
      </c>
      <c r="M42" t="n">
        <v>0</v>
      </c>
      <c r="N42" t="n">
        <v>0</v>
      </c>
      <c r="O42" t="n">
        <v>7</v>
      </c>
      <c r="P42" t="n">
        <v>0</v>
      </c>
      <c r="Q42" t="n">
        <v>7</v>
      </c>
      <c r="R42" s="2" t="inlineStr">
        <is>
          <t>Gammelgransskål
Garnlav
Kolflarnlav
Motaggsvamp
Mörk kolflarnlav
Skrovellav
Tretåig hackspett</t>
        </is>
      </c>
      <c r="S42">
        <f>HYPERLINK("https://klasma.github.io/Logging_1737/artfynd/A 43822-2023 artfynd.xlsx", "A 43822-2023")</f>
        <v/>
      </c>
      <c r="T42">
        <f>HYPERLINK("https://klasma.github.io/Logging_1737/kartor/A 43822-2023 karta.png", "A 43822-2023")</f>
        <v/>
      </c>
      <c r="V42">
        <f>HYPERLINK("https://klasma.github.io/Logging_1737/klagomål/A 43822-2023 FSC-klagomål.docx", "A 43822-2023")</f>
        <v/>
      </c>
      <c r="W42">
        <f>HYPERLINK("https://klasma.github.io/Logging_1737/klagomålsmail/A 43822-2023 FSC-klagomål mail.docx", "A 43822-2023")</f>
        <v/>
      </c>
      <c r="X42">
        <f>HYPERLINK("https://klasma.github.io/Logging_1737/tillsyn/A 43822-2023 tillsynsbegäran.docx", "A 43822-2023")</f>
        <v/>
      </c>
      <c r="Y42">
        <f>HYPERLINK("https://klasma.github.io/Logging_1737/tillsynsmail/A 43822-2023 tillsynsbegäran mail.docx", "A 43822-2023")</f>
        <v/>
      </c>
      <c r="Z42">
        <f>HYPERLINK("https://klasma.github.io/Logging_1737/fåglar/A 43822-2023 prioriterade fågelarter.docx", "A 43822-2023")</f>
        <v/>
      </c>
    </row>
    <row r="43" ht="15" customHeight="1">
      <c r="A43" t="inlineStr">
        <is>
          <t>A 7650-2021</t>
        </is>
      </c>
      <c r="B43" s="1" t="n">
        <v>44242</v>
      </c>
      <c r="C43" s="1" t="n">
        <v>45849</v>
      </c>
      <c r="D43" t="inlineStr">
        <is>
          <t>VÄRMLANDS LÄN</t>
        </is>
      </c>
      <c r="E43" t="inlineStr">
        <is>
          <t>TORSBY</t>
        </is>
      </c>
      <c r="G43" t="n">
        <v>6</v>
      </c>
      <c r="H43" t="n">
        <v>0</v>
      </c>
      <c r="I43" t="n">
        <v>0</v>
      </c>
      <c r="J43" t="n">
        <v>6</v>
      </c>
      <c r="K43" t="n">
        <v>0</v>
      </c>
      <c r="L43" t="n">
        <v>0</v>
      </c>
      <c r="M43" t="n">
        <v>0</v>
      </c>
      <c r="N43" t="n">
        <v>0</v>
      </c>
      <c r="O43" t="n">
        <v>6</v>
      </c>
      <c r="P43" t="n">
        <v>0</v>
      </c>
      <c r="Q43" t="n">
        <v>6</v>
      </c>
      <c r="R43" s="2" t="inlineStr">
        <is>
          <t>Dvärgbägarlav
Garnlav
Kolflarnlav
Mörk kolflarnlav
Tallticka
Vedskivlav</t>
        </is>
      </c>
      <c r="S43">
        <f>HYPERLINK("https://klasma.github.io/Logging_1737/artfynd/A 7650-2021 artfynd.xlsx", "A 7650-2021")</f>
        <v/>
      </c>
      <c r="T43">
        <f>HYPERLINK("https://klasma.github.io/Logging_1737/kartor/A 7650-2021 karta.png", "A 7650-2021")</f>
        <v/>
      </c>
      <c r="V43">
        <f>HYPERLINK("https://klasma.github.io/Logging_1737/klagomål/A 7650-2021 FSC-klagomål.docx", "A 7650-2021")</f>
        <v/>
      </c>
      <c r="W43">
        <f>HYPERLINK("https://klasma.github.io/Logging_1737/klagomålsmail/A 7650-2021 FSC-klagomål mail.docx", "A 7650-2021")</f>
        <v/>
      </c>
      <c r="X43">
        <f>HYPERLINK("https://klasma.github.io/Logging_1737/tillsyn/A 7650-2021 tillsynsbegäran.docx", "A 7650-2021")</f>
        <v/>
      </c>
      <c r="Y43">
        <f>HYPERLINK("https://klasma.github.io/Logging_1737/tillsynsmail/A 7650-2021 tillsynsbegäran mail.docx", "A 7650-2021")</f>
        <v/>
      </c>
    </row>
    <row r="44" ht="15" customHeight="1">
      <c r="A44" t="inlineStr">
        <is>
          <t>A 44477-2024</t>
        </is>
      </c>
      <c r="B44" s="1" t="n">
        <v>45574</v>
      </c>
      <c r="C44" s="1" t="n">
        <v>45849</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45849</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45849</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45849</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45849</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45849</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45849</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45849</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45849</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45849</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45849</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45849</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45849</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32986-2025</t>
        </is>
      </c>
      <c r="B57" s="1" t="n">
        <v>45840</v>
      </c>
      <c r="C57" s="1" t="n">
        <v>45849</v>
      </c>
      <c r="D57" t="inlineStr">
        <is>
          <t>VÄRMLANDS LÄN</t>
        </is>
      </c>
      <c r="E57" t="inlineStr">
        <is>
          <t>TORSBY</t>
        </is>
      </c>
      <c r="G57" t="n">
        <v>2.9</v>
      </c>
      <c r="H57" t="n">
        <v>0</v>
      </c>
      <c r="I57" t="n">
        <v>1</v>
      </c>
      <c r="J57" t="n">
        <v>3</v>
      </c>
      <c r="K57" t="n">
        <v>1</v>
      </c>
      <c r="L57" t="n">
        <v>0</v>
      </c>
      <c r="M57" t="n">
        <v>0</v>
      </c>
      <c r="N57" t="n">
        <v>0</v>
      </c>
      <c r="O57" t="n">
        <v>4</v>
      </c>
      <c r="P57" t="n">
        <v>1</v>
      </c>
      <c r="Q57" t="n">
        <v>5</v>
      </c>
      <c r="R57" s="2" t="inlineStr">
        <is>
          <t>Gräddporing
Dvärgbägarlav
Garnlav
Mörk kolflarnlav
Skarp dropptaggsvamp</t>
        </is>
      </c>
      <c r="S57">
        <f>HYPERLINK("https://klasma.github.io/Logging_171737/artfynd/A 32986-2025 artfynd.xlsx", "A 32986-2025")</f>
        <v/>
      </c>
      <c r="T57">
        <f>HYPERLINK("https://klasma.github.io/Logging_171737/kartor/A 32986-2025 karta.png", "A 32986-2025")</f>
        <v/>
      </c>
      <c r="V57">
        <f>HYPERLINK("https://klasma.github.io/Logging_171737/klagomål/A 32986-2025 FSC-klagomål.docx", "A 32986-2025")</f>
        <v/>
      </c>
      <c r="W57">
        <f>HYPERLINK("https://klasma.github.io/Logging_171737/klagomålsmail/A 32986-2025 FSC-klagomål mail.docx", "A 32986-2025")</f>
        <v/>
      </c>
      <c r="X57">
        <f>HYPERLINK("https://klasma.github.io/Logging_171737/tillsyn/A 32986-2025 tillsynsbegäran.docx", "A 32986-2025")</f>
        <v/>
      </c>
      <c r="Y57">
        <f>HYPERLINK("https://klasma.github.io/Logging_171737/tillsynsmail/A 32986-2025 tillsynsbegäran mail.docx", "A 32986-2025")</f>
        <v/>
      </c>
    </row>
    <row r="58" ht="15" customHeight="1">
      <c r="A58" t="inlineStr">
        <is>
          <t>A 173-2021</t>
        </is>
      </c>
      <c r="B58" s="1" t="n">
        <v>44200</v>
      </c>
      <c r="C58" s="1" t="n">
        <v>45849</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45849</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45849</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45849</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45849</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45849</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45849</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45849</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45849</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45849</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45849</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45849</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45849</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45849</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45849</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45849</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45849</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45849</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45849</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45849</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45849</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45849</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45849</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45849</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45849</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45849</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45849</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45849</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45849</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45849</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45849</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45849</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45849</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45849</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45849</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45849</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45849</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45849</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45849</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45849</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45849</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45849</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45849</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45849</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45849</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45849</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45849</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45849</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45849</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45849</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45849</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45849</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45849</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45849</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45849</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45849</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45849</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45849</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45849</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45849</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45849</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45849</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45849</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45849</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45849</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45849</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45849</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45849</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45849</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33906-2025</t>
        </is>
      </c>
      <c r="B127" s="1" t="n">
        <v>45842</v>
      </c>
      <c r="C127" s="1" t="n">
        <v>45849</v>
      </c>
      <c r="D127" t="inlineStr">
        <is>
          <t>VÄRMLANDS LÄN</t>
        </is>
      </c>
      <c r="E127" t="inlineStr">
        <is>
          <t>TORSBY</t>
        </is>
      </c>
      <c r="G127" t="n">
        <v>11.5</v>
      </c>
      <c r="H127" t="n">
        <v>0</v>
      </c>
      <c r="I127" t="n">
        <v>1</v>
      </c>
      <c r="J127" t="n">
        <v>1</v>
      </c>
      <c r="K127" t="n">
        <v>0</v>
      </c>
      <c r="L127" t="n">
        <v>0</v>
      </c>
      <c r="M127" t="n">
        <v>0</v>
      </c>
      <c r="N127" t="n">
        <v>0</v>
      </c>
      <c r="O127" t="n">
        <v>1</v>
      </c>
      <c r="P127" t="n">
        <v>0</v>
      </c>
      <c r="Q127" t="n">
        <v>2</v>
      </c>
      <c r="R127" s="2" t="inlineStr">
        <is>
          <t>Garnlav
Korallblylav</t>
        </is>
      </c>
      <c r="S127">
        <f>HYPERLINK("https://klasma.github.io/Logging_171737/artfynd/A 33906-2025 artfynd.xlsx", "A 33906-2025")</f>
        <v/>
      </c>
      <c r="T127">
        <f>HYPERLINK("https://klasma.github.io/Logging_171737/kartor/A 33906-2025 karta.png", "A 33906-2025")</f>
        <v/>
      </c>
      <c r="V127">
        <f>HYPERLINK("https://klasma.github.io/Logging_171737/klagomål/A 33906-2025 FSC-klagomål.docx", "A 33906-2025")</f>
        <v/>
      </c>
      <c r="W127">
        <f>HYPERLINK("https://klasma.github.io/Logging_171737/klagomålsmail/A 33906-2025 FSC-klagomål mail.docx", "A 33906-2025")</f>
        <v/>
      </c>
      <c r="X127">
        <f>HYPERLINK("https://klasma.github.io/Logging_171737/tillsyn/A 33906-2025 tillsynsbegäran.docx", "A 33906-2025")</f>
        <v/>
      </c>
      <c r="Y127">
        <f>HYPERLINK("https://klasma.github.io/Logging_171737/tillsynsmail/A 33906-2025 tillsynsbegäran mail.docx", "A 33906-2025")</f>
        <v/>
      </c>
    </row>
    <row r="128" ht="15" customHeight="1">
      <c r="A128" t="inlineStr">
        <is>
          <t>A 18499-2019</t>
        </is>
      </c>
      <c r="B128" s="1" t="n">
        <v>43559</v>
      </c>
      <c r="C128" s="1" t="n">
        <v>45849</v>
      </c>
      <c r="D128" t="inlineStr">
        <is>
          <t>VÄRMLANDS LÄN</t>
        </is>
      </c>
      <c r="E128" t="inlineStr">
        <is>
          <t>TORSBY</t>
        </is>
      </c>
      <c r="G128" t="n">
        <v>4.8</v>
      </c>
      <c r="H128" t="n">
        <v>0</v>
      </c>
      <c r="I128" t="n">
        <v>0</v>
      </c>
      <c r="J128" t="n">
        <v>0</v>
      </c>
      <c r="K128" t="n">
        <v>1</v>
      </c>
      <c r="L128" t="n">
        <v>0</v>
      </c>
      <c r="M128" t="n">
        <v>0</v>
      </c>
      <c r="N128" t="n">
        <v>0</v>
      </c>
      <c r="O128" t="n">
        <v>1</v>
      </c>
      <c r="P128" t="n">
        <v>1</v>
      </c>
      <c r="Q128" t="n">
        <v>1</v>
      </c>
      <c r="R128" s="2" t="inlineStr">
        <is>
          <t>Raggbock</t>
        </is>
      </c>
      <c r="S128">
        <f>HYPERLINK("https://klasma.github.io/Logging_1737/artfynd/A 18499-2019 artfynd.xlsx", "A 18499-2019")</f>
        <v/>
      </c>
      <c r="T128">
        <f>HYPERLINK("https://klasma.github.io/Logging_1737/kartor/A 18499-2019 karta.png", "A 18499-2019")</f>
        <v/>
      </c>
      <c r="V128">
        <f>HYPERLINK("https://klasma.github.io/Logging_1737/klagomål/A 18499-2019 FSC-klagomål.docx", "A 18499-2019")</f>
        <v/>
      </c>
      <c r="W128">
        <f>HYPERLINK("https://klasma.github.io/Logging_1737/klagomålsmail/A 18499-2019 FSC-klagomål mail.docx", "A 18499-2019")</f>
        <v/>
      </c>
      <c r="X128">
        <f>HYPERLINK("https://klasma.github.io/Logging_1737/tillsyn/A 18499-2019 tillsynsbegäran.docx", "A 18499-2019")</f>
        <v/>
      </c>
      <c r="Y128">
        <f>HYPERLINK("https://klasma.github.io/Logging_1737/tillsynsmail/A 18499-2019 tillsynsbegäran mail.docx", "A 18499-2019")</f>
        <v/>
      </c>
    </row>
    <row r="129" ht="15" customHeight="1">
      <c r="A129" t="inlineStr">
        <is>
          <t>A 31848-2019</t>
        </is>
      </c>
      <c r="B129" s="1" t="n">
        <v>43642</v>
      </c>
      <c r="C129" s="1" t="n">
        <v>45849</v>
      </c>
      <c r="D129" t="inlineStr">
        <is>
          <t>VÄRMLANDS LÄN</t>
        </is>
      </c>
      <c r="E129" t="inlineStr">
        <is>
          <t>TORSBY</t>
        </is>
      </c>
      <c r="G129" t="n">
        <v>6.1</v>
      </c>
      <c r="H129" t="n">
        <v>1</v>
      </c>
      <c r="I129" t="n">
        <v>0</v>
      </c>
      <c r="J129" t="n">
        <v>0</v>
      </c>
      <c r="K129" t="n">
        <v>1</v>
      </c>
      <c r="L129" t="n">
        <v>0</v>
      </c>
      <c r="M129" t="n">
        <v>0</v>
      </c>
      <c r="N129" t="n">
        <v>0</v>
      </c>
      <c r="O129" t="n">
        <v>1</v>
      </c>
      <c r="P129" t="n">
        <v>1</v>
      </c>
      <c r="Q129" t="n">
        <v>1</v>
      </c>
      <c r="R129" s="2" t="inlineStr">
        <is>
          <t>Knärot</t>
        </is>
      </c>
      <c r="S129">
        <f>HYPERLINK("https://klasma.github.io/Logging_1737/artfynd/A 31848-2019 artfynd.xlsx", "A 31848-2019")</f>
        <v/>
      </c>
      <c r="T129">
        <f>HYPERLINK("https://klasma.github.io/Logging_1737/kartor/A 31848-2019 karta.png", "A 31848-2019")</f>
        <v/>
      </c>
      <c r="U129">
        <f>HYPERLINK("https://klasma.github.io/Logging_1737/knärot/A 31848-2019 karta knärot.png", "A 31848-2019")</f>
        <v/>
      </c>
      <c r="V129">
        <f>HYPERLINK("https://klasma.github.io/Logging_1737/klagomål/A 31848-2019 FSC-klagomål.docx", "A 31848-2019")</f>
        <v/>
      </c>
      <c r="W129">
        <f>HYPERLINK("https://klasma.github.io/Logging_1737/klagomålsmail/A 31848-2019 FSC-klagomål mail.docx", "A 31848-2019")</f>
        <v/>
      </c>
      <c r="X129">
        <f>HYPERLINK("https://klasma.github.io/Logging_1737/tillsyn/A 31848-2019 tillsynsbegäran.docx", "A 31848-2019")</f>
        <v/>
      </c>
      <c r="Y129">
        <f>HYPERLINK("https://klasma.github.io/Logging_1737/tillsynsmail/A 31848-2019 tillsynsbegäran mail.docx", "A 31848-2019")</f>
        <v/>
      </c>
    </row>
    <row r="130" ht="15" customHeight="1">
      <c r="A130" t="inlineStr">
        <is>
          <t>A 45844-2019</t>
        </is>
      </c>
      <c r="B130" s="1" t="n">
        <v>43717</v>
      </c>
      <c r="C130" s="1" t="n">
        <v>45849</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Talltita</t>
        </is>
      </c>
      <c r="S130">
        <f>HYPERLINK("https://klasma.github.io/Logging_1737/artfynd/A 45844-2019 artfynd.xlsx", "A 45844-2019")</f>
        <v/>
      </c>
      <c r="T130">
        <f>HYPERLINK("https://klasma.github.io/Logging_1737/kartor/A 45844-2019 karta.png", "A 45844-2019")</f>
        <v/>
      </c>
      <c r="V130">
        <f>HYPERLINK("https://klasma.github.io/Logging_1737/klagomål/A 45844-2019 FSC-klagomål.docx", "A 45844-2019")</f>
        <v/>
      </c>
      <c r="W130">
        <f>HYPERLINK("https://klasma.github.io/Logging_1737/klagomålsmail/A 45844-2019 FSC-klagomål mail.docx", "A 45844-2019")</f>
        <v/>
      </c>
      <c r="X130">
        <f>HYPERLINK("https://klasma.github.io/Logging_1737/tillsyn/A 45844-2019 tillsynsbegäran.docx", "A 45844-2019")</f>
        <v/>
      </c>
      <c r="Y130">
        <f>HYPERLINK("https://klasma.github.io/Logging_1737/tillsynsmail/A 45844-2019 tillsynsbegäran mail.docx", "A 45844-2019")</f>
        <v/>
      </c>
      <c r="Z130">
        <f>HYPERLINK("https://klasma.github.io/Logging_1737/fåglar/A 45844-2019 prioriterade fågelarter.docx", "A 45844-2019")</f>
        <v/>
      </c>
    </row>
    <row r="131" ht="15" customHeight="1">
      <c r="A131" t="inlineStr">
        <is>
          <t>A 47731-2019</t>
        </is>
      </c>
      <c r="B131" s="1" t="n">
        <v>43724</v>
      </c>
      <c r="C131" s="1" t="n">
        <v>45849</v>
      </c>
      <c r="D131" t="inlineStr">
        <is>
          <t>VÄRMLANDS LÄN</t>
        </is>
      </c>
      <c r="E131" t="inlineStr">
        <is>
          <t>TORSBY</t>
        </is>
      </c>
      <c r="G131" t="n">
        <v>3.5</v>
      </c>
      <c r="H131" t="n">
        <v>1</v>
      </c>
      <c r="I131" t="n">
        <v>0</v>
      </c>
      <c r="J131" t="n">
        <v>1</v>
      </c>
      <c r="K131" t="n">
        <v>0</v>
      </c>
      <c r="L131" t="n">
        <v>0</v>
      </c>
      <c r="M131" t="n">
        <v>0</v>
      </c>
      <c r="N131" t="n">
        <v>0</v>
      </c>
      <c r="O131" t="n">
        <v>1</v>
      </c>
      <c r="P131" t="n">
        <v>0</v>
      </c>
      <c r="Q131" t="n">
        <v>1</v>
      </c>
      <c r="R131" s="2" t="inlineStr">
        <is>
          <t>Gulsparv</t>
        </is>
      </c>
      <c r="S131">
        <f>HYPERLINK("https://klasma.github.io/Logging_1737/artfynd/A 47731-2019 artfynd.xlsx", "A 47731-2019")</f>
        <v/>
      </c>
      <c r="T131">
        <f>HYPERLINK("https://klasma.github.io/Logging_1737/kartor/A 47731-2019 karta.png", "A 47731-2019")</f>
        <v/>
      </c>
      <c r="V131">
        <f>HYPERLINK("https://klasma.github.io/Logging_1737/klagomål/A 47731-2019 FSC-klagomål.docx", "A 47731-2019")</f>
        <v/>
      </c>
      <c r="W131">
        <f>HYPERLINK("https://klasma.github.io/Logging_1737/klagomålsmail/A 47731-2019 FSC-klagomål mail.docx", "A 47731-2019")</f>
        <v/>
      </c>
      <c r="X131">
        <f>HYPERLINK("https://klasma.github.io/Logging_1737/tillsyn/A 47731-2019 tillsynsbegäran.docx", "A 47731-2019")</f>
        <v/>
      </c>
      <c r="Y131">
        <f>HYPERLINK("https://klasma.github.io/Logging_1737/tillsynsmail/A 47731-2019 tillsynsbegäran mail.docx", "A 47731-2019")</f>
        <v/>
      </c>
      <c r="Z131">
        <f>HYPERLINK("https://klasma.github.io/Logging_1737/fåglar/A 47731-2019 prioriterade fågelarter.docx", "A 47731-2019")</f>
        <v/>
      </c>
    </row>
    <row r="132" ht="15" customHeight="1">
      <c r="A132" t="inlineStr">
        <is>
          <t>A 53924-2019</t>
        </is>
      </c>
      <c r="B132" s="1" t="n">
        <v>43742</v>
      </c>
      <c r="C132" s="1" t="n">
        <v>45849</v>
      </c>
      <c r="D132" t="inlineStr">
        <is>
          <t>VÄRMLANDS LÄN</t>
        </is>
      </c>
      <c r="E132" t="inlineStr">
        <is>
          <t>TORSBY</t>
        </is>
      </c>
      <c r="G132" t="n">
        <v>7.1</v>
      </c>
      <c r="H132" t="n">
        <v>1</v>
      </c>
      <c r="I132" t="n">
        <v>0</v>
      </c>
      <c r="J132" t="n">
        <v>0</v>
      </c>
      <c r="K132" t="n">
        <v>0</v>
      </c>
      <c r="L132" t="n">
        <v>0</v>
      </c>
      <c r="M132" t="n">
        <v>0</v>
      </c>
      <c r="N132" t="n">
        <v>0</v>
      </c>
      <c r="O132" t="n">
        <v>0</v>
      </c>
      <c r="P132" t="n">
        <v>0</v>
      </c>
      <c r="Q132" t="n">
        <v>1</v>
      </c>
      <c r="R132" s="2" t="inlineStr">
        <is>
          <t>Fläcknycklar</t>
        </is>
      </c>
      <c r="S132">
        <f>HYPERLINK("https://klasma.github.io/Logging_1737/artfynd/A 53924-2019 artfynd.xlsx", "A 53924-2019")</f>
        <v/>
      </c>
      <c r="T132">
        <f>HYPERLINK("https://klasma.github.io/Logging_1737/kartor/A 53924-2019 karta.png", "A 53924-2019")</f>
        <v/>
      </c>
      <c r="V132">
        <f>HYPERLINK("https://klasma.github.io/Logging_1737/klagomål/A 53924-2019 FSC-klagomål.docx", "A 53924-2019")</f>
        <v/>
      </c>
      <c r="W132">
        <f>HYPERLINK("https://klasma.github.io/Logging_1737/klagomålsmail/A 53924-2019 FSC-klagomål mail.docx", "A 53924-2019")</f>
        <v/>
      </c>
      <c r="X132">
        <f>HYPERLINK("https://klasma.github.io/Logging_1737/tillsyn/A 53924-2019 tillsynsbegäran.docx", "A 53924-2019")</f>
        <v/>
      </c>
      <c r="Y132">
        <f>HYPERLINK("https://klasma.github.io/Logging_1737/tillsynsmail/A 53924-2019 tillsynsbegäran mail.docx", "A 53924-2019")</f>
        <v/>
      </c>
    </row>
    <row r="133" ht="15" customHeight="1">
      <c r="A133" t="inlineStr">
        <is>
          <t>A 63767-2019</t>
        </is>
      </c>
      <c r="B133" s="1" t="n">
        <v>43795</v>
      </c>
      <c r="C133" s="1" t="n">
        <v>45849</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Garnlav</t>
        </is>
      </c>
      <c r="S133">
        <f>HYPERLINK("https://klasma.github.io/Logging_1737/artfynd/A 63767-2019 artfynd.xlsx", "A 63767-2019")</f>
        <v/>
      </c>
      <c r="T133">
        <f>HYPERLINK("https://klasma.github.io/Logging_1737/kartor/A 63767-2019 karta.png", "A 63767-2019")</f>
        <v/>
      </c>
      <c r="V133">
        <f>HYPERLINK("https://klasma.github.io/Logging_1737/klagomål/A 63767-2019 FSC-klagomål.docx", "A 63767-2019")</f>
        <v/>
      </c>
      <c r="W133">
        <f>HYPERLINK("https://klasma.github.io/Logging_1737/klagomålsmail/A 63767-2019 FSC-klagomål mail.docx", "A 63767-2019")</f>
        <v/>
      </c>
      <c r="X133">
        <f>HYPERLINK("https://klasma.github.io/Logging_1737/tillsyn/A 63767-2019 tillsynsbegäran.docx", "A 63767-2019")</f>
        <v/>
      </c>
      <c r="Y133">
        <f>HYPERLINK("https://klasma.github.io/Logging_1737/tillsynsmail/A 63767-2019 tillsynsbegäran mail.docx", "A 63767-2019")</f>
        <v/>
      </c>
    </row>
    <row r="134" ht="15" customHeight="1">
      <c r="A134" t="inlineStr">
        <is>
          <t>A 65129-2019</t>
        </is>
      </c>
      <c r="B134" s="1" t="n">
        <v>43802</v>
      </c>
      <c r="C134" s="1" t="n">
        <v>45849</v>
      </c>
      <c r="D134" t="inlineStr">
        <is>
          <t>VÄRMLANDS LÄN</t>
        </is>
      </c>
      <c r="E134" t="inlineStr">
        <is>
          <t>TORSBY</t>
        </is>
      </c>
      <c r="G134" t="n">
        <v>3.3</v>
      </c>
      <c r="H134" t="n">
        <v>0</v>
      </c>
      <c r="I134" t="n">
        <v>0</v>
      </c>
      <c r="J134" t="n">
        <v>1</v>
      </c>
      <c r="K134" t="n">
        <v>0</v>
      </c>
      <c r="L134" t="n">
        <v>0</v>
      </c>
      <c r="M134" t="n">
        <v>0</v>
      </c>
      <c r="N134" t="n">
        <v>0</v>
      </c>
      <c r="O134" t="n">
        <v>1</v>
      </c>
      <c r="P134" t="n">
        <v>0</v>
      </c>
      <c r="Q134" t="n">
        <v>1</v>
      </c>
      <c r="R134" s="2" t="inlineStr">
        <is>
          <t>Garnlav</t>
        </is>
      </c>
      <c r="S134">
        <f>HYPERLINK("https://klasma.github.io/Logging_1737/artfynd/A 65129-2019 artfynd.xlsx", "A 65129-2019")</f>
        <v/>
      </c>
      <c r="T134">
        <f>HYPERLINK("https://klasma.github.io/Logging_1737/kartor/A 65129-2019 karta.png", "A 65129-2019")</f>
        <v/>
      </c>
      <c r="V134">
        <f>HYPERLINK("https://klasma.github.io/Logging_1737/klagomål/A 65129-2019 FSC-klagomål.docx", "A 65129-2019")</f>
        <v/>
      </c>
      <c r="W134">
        <f>HYPERLINK("https://klasma.github.io/Logging_1737/klagomålsmail/A 65129-2019 FSC-klagomål mail.docx", "A 65129-2019")</f>
        <v/>
      </c>
      <c r="X134">
        <f>HYPERLINK("https://klasma.github.io/Logging_1737/tillsyn/A 65129-2019 tillsynsbegäran.docx", "A 65129-2019")</f>
        <v/>
      </c>
      <c r="Y134">
        <f>HYPERLINK("https://klasma.github.io/Logging_1737/tillsynsmail/A 65129-2019 tillsynsbegäran mail.docx", "A 65129-2019")</f>
        <v/>
      </c>
    </row>
    <row r="135" ht="15" customHeight="1">
      <c r="A135" t="inlineStr">
        <is>
          <t>A 37035-2020</t>
        </is>
      </c>
      <c r="B135" s="1" t="n">
        <v>44054</v>
      </c>
      <c r="C135" s="1" t="n">
        <v>45849</v>
      </c>
      <c r="D135" t="inlineStr">
        <is>
          <t>VÄRMLANDS LÄN</t>
        </is>
      </c>
      <c r="E135" t="inlineStr">
        <is>
          <t>TORSBY</t>
        </is>
      </c>
      <c r="G135" t="n">
        <v>2.7</v>
      </c>
      <c r="H135" t="n">
        <v>0</v>
      </c>
      <c r="I135" t="n">
        <v>0</v>
      </c>
      <c r="J135" t="n">
        <v>0</v>
      </c>
      <c r="K135" t="n">
        <v>1</v>
      </c>
      <c r="L135" t="n">
        <v>0</v>
      </c>
      <c r="M135" t="n">
        <v>0</v>
      </c>
      <c r="N135" t="n">
        <v>0</v>
      </c>
      <c r="O135" t="n">
        <v>1</v>
      </c>
      <c r="P135" t="n">
        <v>1</v>
      </c>
      <c r="Q135" t="n">
        <v>1</v>
      </c>
      <c r="R135" s="2" t="inlineStr">
        <is>
          <t>Raggbock</t>
        </is>
      </c>
      <c r="S135">
        <f>HYPERLINK("https://klasma.github.io/Logging_1737/artfynd/A 37035-2020 artfynd.xlsx", "A 37035-2020")</f>
        <v/>
      </c>
      <c r="T135">
        <f>HYPERLINK("https://klasma.github.io/Logging_1737/kartor/A 37035-2020 karta.png", "A 37035-2020")</f>
        <v/>
      </c>
      <c r="V135">
        <f>HYPERLINK("https://klasma.github.io/Logging_1737/klagomål/A 37035-2020 FSC-klagomål.docx", "A 37035-2020")</f>
        <v/>
      </c>
      <c r="W135">
        <f>HYPERLINK("https://klasma.github.io/Logging_1737/klagomålsmail/A 37035-2020 FSC-klagomål mail.docx", "A 37035-2020")</f>
        <v/>
      </c>
      <c r="X135">
        <f>HYPERLINK("https://klasma.github.io/Logging_1737/tillsyn/A 37035-2020 tillsynsbegäran.docx", "A 37035-2020")</f>
        <v/>
      </c>
      <c r="Y135">
        <f>HYPERLINK("https://klasma.github.io/Logging_1737/tillsynsmail/A 37035-2020 tillsynsbegäran mail.docx", "A 37035-2020")</f>
        <v/>
      </c>
    </row>
    <row r="136" ht="15" customHeight="1">
      <c r="A136" t="inlineStr">
        <is>
          <t>A 50854-2020</t>
        </is>
      </c>
      <c r="B136" s="1" t="n">
        <v>44105</v>
      </c>
      <c r="C136" s="1" t="n">
        <v>45849</v>
      </c>
      <c r="D136" t="inlineStr">
        <is>
          <t>VÄRMLANDS LÄN</t>
        </is>
      </c>
      <c r="E136" t="inlineStr">
        <is>
          <t>TORSBY</t>
        </is>
      </c>
      <c r="G136" t="n">
        <v>6.5</v>
      </c>
      <c r="H136" t="n">
        <v>1</v>
      </c>
      <c r="I136" t="n">
        <v>0</v>
      </c>
      <c r="J136" t="n">
        <v>0</v>
      </c>
      <c r="K136" t="n">
        <v>1</v>
      </c>
      <c r="L136" t="n">
        <v>0</v>
      </c>
      <c r="M136" t="n">
        <v>0</v>
      </c>
      <c r="N136" t="n">
        <v>0</v>
      </c>
      <c r="O136" t="n">
        <v>1</v>
      </c>
      <c r="P136" t="n">
        <v>1</v>
      </c>
      <c r="Q136" t="n">
        <v>1</v>
      </c>
      <c r="R136" s="2" t="inlineStr">
        <is>
          <t>Knärot</t>
        </is>
      </c>
      <c r="S136">
        <f>HYPERLINK("https://klasma.github.io/Logging_1737/artfynd/A 50854-2020 artfynd.xlsx", "A 50854-2020")</f>
        <v/>
      </c>
      <c r="T136">
        <f>HYPERLINK("https://klasma.github.io/Logging_1737/kartor/A 50854-2020 karta.png", "A 50854-2020")</f>
        <v/>
      </c>
      <c r="U136">
        <f>HYPERLINK("https://klasma.github.io/Logging_1737/knärot/A 50854-2020 karta knärot.png", "A 50854-2020")</f>
        <v/>
      </c>
      <c r="V136">
        <f>HYPERLINK("https://klasma.github.io/Logging_1737/klagomål/A 50854-2020 FSC-klagomål.docx", "A 50854-2020")</f>
        <v/>
      </c>
      <c r="W136">
        <f>HYPERLINK("https://klasma.github.io/Logging_1737/klagomålsmail/A 50854-2020 FSC-klagomål mail.docx", "A 50854-2020")</f>
        <v/>
      </c>
      <c r="X136">
        <f>HYPERLINK("https://klasma.github.io/Logging_1737/tillsyn/A 50854-2020 tillsynsbegäran.docx", "A 50854-2020")</f>
        <v/>
      </c>
      <c r="Y136">
        <f>HYPERLINK("https://klasma.github.io/Logging_1737/tillsynsmail/A 50854-2020 tillsynsbegäran mail.docx", "A 50854-2020")</f>
        <v/>
      </c>
    </row>
    <row r="137" ht="15" customHeight="1">
      <c r="A137" t="inlineStr">
        <is>
          <t>A 50089-2020</t>
        </is>
      </c>
      <c r="B137" s="1" t="n">
        <v>44109</v>
      </c>
      <c r="C137" s="1" t="n">
        <v>45849</v>
      </c>
      <c r="D137" t="inlineStr">
        <is>
          <t>VÄRMLANDS LÄN</t>
        </is>
      </c>
      <c r="E137" t="inlineStr">
        <is>
          <t>TORSBY</t>
        </is>
      </c>
      <c r="G137" t="n">
        <v>0.9</v>
      </c>
      <c r="H137" t="n">
        <v>1</v>
      </c>
      <c r="I137" t="n">
        <v>0</v>
      </c>
      <c r="J137" t="n">
        <v>1</v>
      </c>
      <c r="K137" t="n">
        <v>0</v>
      </c>
      <c r="L137" t="n">
        <v>0</v>
      </c>
      <c r="M137" t="n">
        <v>0</v>
      </c>
      <c r="N137" t="n">
        <v>0</v>
      </c>
      <c r="O137" t="n">
        <v>1</v>
      </c>
      <c r="P137" t="n">
        <v>0</v>
      </c>
      <c r="Q137" t="n">
        <v>1</v>
      </c>
      <c r="R137" s="2" t="inlineStr">
        <is>
          <t>Spillkråka</t>
        </is>
      </c>
      <c r="S137">
        <f>HYPERLINK("https://klasma.github.io/Logging_1737/artfynd/A 50089-2020 artfynd.xlsx", "A 50089-2020")</f>
        <v/>
      </c>
      <c r="T137">
        <f>HYPERLINK("https://klasma.github.io/Logging_1737/kartor/A 50089-2020 karta.png", "A 50089-2020")</f>
        <v/>
      </c>
      <c r="V137">
        <f>HYPERLINK("https://klasma.github.io/Logging_1737/klagomål/A 50089-2020 FSC-klagomål.docx", "A 50089-2020")</f>
        <v/>
      </c>
      <c r="W137">
        <f>HYPERLINK("https://klasma.github.io/Logging_1737/klagomålsmail/A 50089-2020 FSC-klagomål mail.docx", "A 50089-2020")</f>
        <v/>
      </c>
      <c r="X137">
        <f>HYPERLINK("https://klasma.github.io/Logging_1737/tillsyn/A 50089-2020 tillsynsbegäran.docx", "A 50089-2020")</f>
        <v/>
      </c>
      <c r="Y137">
        <f>HYPERLINK("https://klasma.github.io/Logging_1737/tillsynsmail/A 50089-2020 tillsynsbegäran mail.docx", "A 50089-2020")</f>
        <v/>
      </c>
      <c r="Z137">
        <f>HYPERLINK("https://klasma.github.io/Logging_1737/fåglar/A 50089-2020 prioriterade fågelarter.docx", "A 50089-2020")</f>
        <v/>
      </c>
    </row>
    <row r="138" ht="15" customHeight="1">
      <c r="A138" t="inlineStr">
        <is>
          <t>A 53491-2020</t>
        </is>
      </c>
      <c r="B138" s="1" t="n">
        <v>44123</v>
      </c>
      <c r="C138" s="1" t="n">
        <v>45849</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53491-2020 artfynd.xlsx", "A 53491-2020")</f>
        <v/>
      </c>
      <c r="T138">
        <f>HYPERLINK("https://klasma.github.io/Logging_1737/kartor/A 53491-2020 karta.png", "A 53491-2020")</f>
        <v/>
      </c>
      <c r="V138">
        <f>HYPERLINK("https://klasma.github.io/Logging_1737/klagomål/A 53491-2020 FSC-klagomål.docx", "A 53491-2020")</f>
        <v/>
      </c>
      <c r="W138">
        <f>HYPERLINK("https://klasma.github.io/Logging_1737/klagomålsmail/A 53491-2020 FSC-klagomål mail.docx", "A 53491-2020")</f>
        <v/>
      </c>
      <c r="X138">
        <f>HYPERLINK("https://klasma.github.io/Logging_1737/tillsyn/A 53491-2020 tillsynsbegäran.docx", "A 53491-2020")</f>
        <v/>
      </c>
      <c r="Y138">
        <f>HYPERLINK("https://klasma.github.io/Logging_1737/tillsynsmail/A 53491-2020 tillsynsbegäran mail.docx", "A 53491-2020")</f>
        <v/>
      </c>
    </row>
    <row r="139" ht="15" customHeight="1">
      <c r="A139" t="inlineStr">
        <is>
          <t>A 8747-2021</t>
        </is>
      </c>
      <c r="B139" s="1" t="n">
        <v>44246</v>
      </c>
      <c r="C139" s="1" t="n">
        <v>45849</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24042-2021</t>
        </is>
      </c>
      <c r="B140" s="1" t="n">
        <v>44336</v>
      </c>
      <c r="C140" s="1" t="n">
        <v>45849</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34876-2021</t>
        </is>
      </c>
      <c r="B141" s="1" t="n">
        <v>44383</v>
      </c>
      <c r="C141" s="1" t="n">
        <v>45849</v>
      </c>
      <c r="D141" t="inlineStr">
        <is>
          <t>VÄRMLANDS LÄN</t>
        </is>
      </c>
      <c r="E141" t="inlineStr">
        <is>
          <t>TORSBY</t>
        </is>
      </c>
      <c r="G141" t="n">
        <v>4.7</v>
      </c>
      <c r="H141" t="n">
        <v>0</v>
      </c>
      <c r="I141" t="n">
        <v>0</v>
      </c>
      <c r="J141" t="n">
        <v>1</v>
      </c>
      <c r="K141" t="n">
        <v>0</v>
      </c>
      <c r="L141" t="n">
        <v>0</v>
      </c>
      <c r="M141" t="n">
        <v>0</v>
      </c>
      <c r="N141" t="n">
        <v>0</v>
      </c>
      <c r="O141" t="n">
        <v>1</v>
      </c>
      <c r="P141" t="n">
        <v>0</v>
      </c>
      <c r="Q141" t="n">
        <v>1</v>
      </c>
      <c r="R141" s="2" t="inlineStr">
        <is>
          <t>Doftskinn</t>
        </is>
      </c>
      <c r="S141">
        <f>HYPERLINK("https://klasma.github.io/Logging_1737/artfynd/A 34876-2021 artfynd.xlsx", "A 34876-2021")</f>
        <v/>
      </c>
      <c r="T141">
        <f>HYPERLINK("https://klasma.github.io/Logging_1737/kartor/A 34876-2021 karta.png", "A 34876-2021")</f>
        <v/>
      </c>
      <c r="V141">
        <f>HYPERLINK("https://klasma.github.io/Logging_1737/klagomål/A 34876-2021 FSC-klagomål.docx", "A 34876-2021")</f>
        <v/>
      </c>
      <c r="W141">
        <f>HYPERLINK("https://klasma.github.io/Logging_1737/klagomålsmail/A 34876-2021 FSC-klagomål mail.docx", "A 34876-2021")</f>
        <v/>
      </c>
      <c r="X141">
        <f>HYPERLINK("https://klasma.github.io/Logging_1737/tillsyn/A 34876-2021 tillsynsbegäran.docx", "A 34876-2021")</f>
        <v/>
      </c>
      <c r="Y141">
        <f>HYPERLINK("https://klasma.github.io/Logging_1737/tillsynsmail/A 34876-2021 tillsynsbegäran mail.docx", "A 34876-2021")</f>
        <v/>
      </c>
    </row>
    <row r="142" ht="15" customHeight="1">
      <c r="A142" t="inlineStr">
        <is>
          <t>A 34853-2021</t>
        </is>
      </c>
      <c r="B142" s="1" t="n">
        <v>44383</v>
      </c>
      <c r="C142" s="1" t="n">
        <v>45849</v>
      </c>
      <c r="D142" t="inlineStr">
        <is>
          <t>VÄRMLANDS LÄN</t>
        </is>
      </c>
      <c r="E142" t="inlineStr">
        <is>
          <t>TORSBY</t>
        </is>
      </c>
      <c r="G142" t="n">
        <v>14.8</v>
      </c>
      <c r="H142" t="n">
        <v>1</v>
      </c>
      <c r="I142" t="n">
        <v>0</v>
      </c>
      <c r="J142" t="n">
        <v>1</v>
      </c>
      <c r="K142" t="n">
        <v>0</v>
      </c>
      <c r="L142" t="n">
        <v>0</v>
      </c>
      <c r="M142" t="n">
        <v>0</v>
      </c>
      <c r="N142" t="n">
        <v>0</v>
      </c>
      <c r="O142" t="n">
        <v>1</v>
      </c>
      <c r="P142" t="n">
        <v>0</v>
      </c>
      <c r="Q142" t="n">
        <v>1</v>
      </c>
      <c r="R142" s="2" t="inlineStr">
        <is>
          <t>Talltita</t>
        </is>
      </c>
      <c r="S142">
        <f>HYPERLINK("https://klasma.github.io/Logging_1737/artfynd/A 34853-2021 artfynd.xlsx", "A 34853-2021")</f>
        <v/>
      </c>
      <c r="T142">
        <f>HYPERLINK("https://klasma.github.io/Logging_1737/kartor/A 34853-2021 karta.png", "A 34853-2021")</f>
        <v/>
      </c>
      <c r="V142">
        <f>HYPERLINK("https://klasma.github.io/Logging_1737/klagomål/A 34853-2021 FSC-klagomål.docx", "A 34853-2021")</f>
        <v/>
      </c>
      <c r="W142">
        <f>HYPERLINK("https://klasma.github.io/Logging_1737/klagomålsmail/A 34853-2021 FSC-klagomål mail.docx", "A 34853-2021")</f>
        <v/>
      </c>
      <c r="X142">
        <f>HYPERLINK("https://klasma.github.io/Logging_1737/tillsyn/A 34853-2021 tillsynsbegäran.docx", "A 34853-2021")</f>
        <v/>
      </c>
      <c r="Y142">
        <f>HYPERLINK("https://klasma.github.io/Logging_1737/tillsynsmail/A 34853-2021 tillsynsbegäran mail.docx", "A 34853-2021")</f>
        <v/>
      </c>
      <c r="Z142">
        <f>HYPERLINK("https://klasma.github.io/Logging_1737/fåglar/A 34853-2021 prioriterade fågelarter.docx", "A 34853-2021")</f>
        <v/>
      </c>
    </row>
    <row r="143" ht="15" customHeight="1">
      <c r="A143" t="inlineStr">
        <is>
          <t>A 40265-2021</t>
        </is>
      </c>
      <c r="B143" s="1" t="n">
        <v>44419</v>
      </c>
      <c r="C143" s="1" t="n">
        <v>45849</v>
      </c>
      <c r="D143" t="inlineStr">
        <is>
          <t>VÄRMLANDS LÄN</t>
        </is>
      </c>
      <c r="E143" t="inlineStr">
        <is>
          <t>TORSBY</t>
        </is>
      </c>
      <c r="F143" t="inlineStr">
        <is>
          <t>Bergvik skog väst AB</t>
        </is>
      </c>
      <c r="G143" t="n">
        <v>5.7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40265-2021 artfynd.xlsx", "A 40265-2021")</f>
        <v/>
      </c>
      <c r="T143">
        <f>HYPERLINK("https://klasma.github.io/Logging_1737/kartor/A 40265-2021 karta.png", "A 40265-2021")</f>
        <v/>
      </c>
      <c r="V143">
        <f>HYPERLINK("https://klasma.github.io/Logging_1737/klagomål/A 40265-2021 FSC-klagomål.docx", "A 40265-2021")</f>
        <v/>
      </c>
      <c r="W143">
        <f>HYPERLINK("https://klasma.github.io/Logging_1737/klagomålsmail/A 40265-2021 FSC-klagomål mail.docx", "A 40265-2021")</f>
        <v/>
      </c>
      <c r="X143">
        <f>HYPERLINK("https://klasma.github.io/Logging_1737/tillsyn/A 40265-2021 tillsynsbegäran.docx", "A 40265-2021")</f>
        <v/>
      </c>
      <c r="Y143">
        <f>HYPERLINK("https://klasma.github.io/Logging_1737/tillsynsmail/A 40265-2021 tillsynsbegäran mail.docx", "A 40265-2021")</f>
        <v/>
      </c>
    </row>
    <row r="144" ht="15" customHeight="1">
      <c r="A144" t="inlineStr">
        <is>
          <t>A 43784-2021</t>
        </is>
      </c>
      <c r="B144" s="1" t="n">
        <v>44433</v>
      </c>
      <c r="C144" s="1" t="n">
        <v>45849</v>
      </c>
      <c r="D144" t="inlineStr">
        <is>
          <t>VÄRMLANDS LÄN</t>
        </is>
      </c>
      <c r="E144" t="inlineStr">
        <is>
          <t>TORSBY</t>
        </is>
      </c>
      <c r="G144" t="n">
        <v>5.2</v>
      </c>
      <c r="H144" t="n">
        <v>1</v>
      </c>
      <c r="I144" t="n">
        <v>0</v>
      </c>
      <c r="J144" t="n">
        <v>0</v>
      </c>
      <c r="K144" t="n">
        <v>0</v>
      </c>
      <c r="L144" t="n">
        <v>0</v>
      </c>
      <c r="M144" t="n">
        <v>0</v>
      </c>
      <c r="N144" t="n">
        <v>0</v>
      </c>
      <c r="O144" t="n">
        <v>0</v>
      </c>
      <c r="P144" t="n">
        <v>0</v>
      </c>
      <c r="Q144" t="n">
        <v>1</v>
      </c>
      <c r="R144" s="2" t="inlineStr">
        <is>
          <t>Kopparödla</t>
        </is>
      </c>
      <c r="S144">
        <f>HYPERLINK("https://klasma.github.io/Logging_1737/artfynd/A 43784-2021 artfynd.xlsx", "A 43784-2021")</f>
        <v/>
      </c>
      <c r="T144">
        <f>HYPERLINK("https://klasma.github.io/Logging_1737/kartor/A 43784-2021 karta.png", "A 43784-2021")</f>
        <v/>
      </c>
      <c r="V144">
        <f>HYPERLINK("https://klasma.github.io/Logging_1737/klagomål/A 43784-2021 FSC-klagomål.docx", "A 43784-2021")</f>
        <v/>
      </c>
      <c r="W144">
        <f>HYPERLINK("https://klasma.github.io/Logging_1737/klagomålsmail/A 43784-2021 FSC-klagomål mail.docx", "A 43784-2021")</f>
        <v/>
      </c>
      <c r="X144">
        <f>HYPERLINK("https://klasma.github.io/Logging_1737/tillsyn/A 43784-2021 tillsynsbegäran.docx", "A 43784-2021")</f>
        <v/>
      </c>
      <c r="Y144">
        <f>HYPERLINK("https://klasma.github.io/Logging_1737/tillsynsmail/A 43784-2021 tillsynsbegäran mail.docx", "A 43784-2021")</f>
        <v/>
      </c>
    </row>
    <row r="145" ht="15" customHeight="1">
      <c r="A145" t="inlineStr">
        <is>
          <t>A 49110-2021</t>
        </is>
      </c>
      <c r="B145" s="1" t="n">
        <v>44453</v>
      </c>
      <c r="C145" s="1" t="n">
        <v>45849</v>
      </c>
      <c r="D145" t="inlineStr">
        <is>
          <t>VÄRMLANDS LÄN</t>
        </is>
      </c>
      <c r="E145" t="inlineStr">
        <is>
          <t>TORSBY</t>
        </is>
      </c>
      <c r="G145" t="n">
        <v>33.8</v>
      </c>
      <c r="H145" t="n">
        <v>0</v>
      </c>
      <c r="I145" t="n">
        <v>1</v>
      </c>
      <c r="J145" t="n">
        <v>0</v>
      </c>
      <c r="K145" t="n">
        <v>0</v>
      </c>
      <c r="L145" t="n">
        <v>0</v>
      </c>
      <c r="M145" t="n">
        <v>0</v>
      </c>
      <c r="N145" t="n">
        <v>0</v>
      </c>
      <c r="O145" t="n">
        <v>0</v>
      </c>
      <c r="P145" t="n">
        <v>0</v>
      </c>
      <c r="Q145" t="n">
        <v>1</v>
      </c>
      <c r="R145" s="2" t="inlineStr">
        <is>
          <t>Vedticka</t>
        </is>
      </c>
      <c r="S145">
        <f>HYPERLINK("https://klasma.github.io/Logging_1737/artfynd/A 49110-2021 artfynd.xlsx", "A 49110-2021")</f>
        <v/>
      </c>
      <c r="T145">
        <f>HYPERLINK("https://klasma.github.io/Logging_1737/kartor/A 49110-2021 karta.png", "A 49110-2021")</f>
        <v/>
      </c>
      <c r="V145">
        <f>HYPERLINK("https://klasma.github.io/Logging_1737/klagomål/A 49110-2021 FSC-klagomål.docx", "A 49110-2021")</f>
        <v/>
      </c>
      <c r="W145">
        <f>HYPERLINK("https://klasma.github.io/Logging_1737/klagomålsmail/A 49110-2021 FSC-klagomål mail.docx", "A 49110-2021")</f>
        <v/>
      </c>
      <c r="X145">
        <f>HYPERLINK("https://klasma.github.io/Logging_1737/tillsyn/A 49110-2021 tillsynsbegäran.docx", "A 49110-2021")</f>
        <v/>
      </c>
      <c r="Y145">
        <f>HYPERLINK("https://klasma.github.io/Logging_1737/tillsynsmail/A 49110-2021 tillsynsbegäran mail.docx", "A 49110-2021")</f>
        <v/>
      </c>
    </row>
    <row r="146" ht="15" customHeight="1">
      <c r="A146" t="inlineStr">
        <is>
          <t>A 54982-2021</t>
        </is>
      </c>
      <c r="B146" s="1" t="n">
        <v>44469</v>
      </c>
      <c r="C146" s="1" t="n">
        <v>45849</v>
      </c>
      <c r="D146" t="inlineStr">
        <is>
          <t>VÄRMLANDS LÄN</t>
        </is>
      </c>
      <c r="E146" t="inlineStr">
        <is>
          <t>TORSBY</t>
        </is>
      </c>
      <c r="G146" t="n">
        <v>4.1</v>
      </c>
      <c r="H146" t="n">
        <v>0</v>
      </c>
      <c r="I146" t="n">
        <v>1</v>
      </c>
      <c r="J146" t="n">
        <v>0</v>
      </c>
      <c r="K146" t="n">
        <v>0</v>
      </c>
      <c r="L146" t="n">
        <v>0</v>
      </c>
      <c r="M146" t="n">
        <v>0</v>
      </c>
      <c r="N146" t="n">
        <v>0</v>
      </c>
      <c r="O146" t="n">
        <v>0</v>
      </c>
      <c r="P146" t="n">
        <v>0</v>
      </c>
      <c r="Q146" t="n">
        <v>1</v>
      </c>
      <c r="R146" s="2" t="inlineStr">
        <is>
          <t>Tibast</t>
        </is>
      </c>
      <c r="S146">
        <f>HYPERLINK("https://klasma.github.io/Logging_1737/artfynd/A 54982-2021 artfynd.xlsx", "A 54982-2021")</f>
        <v/>
      </c>
      <c r="T146">
        <f>HYPERLINK("https://klasma.github.io/Logging_1737/kartor/A 54982-2021 karta.png", "A 54982-2021")</f>
        <v/>
      </c>
      <c r="V146">
        <f>HYPERLINK("https://klasma.github.io/Logging_1737/klagomål/A 54982-2021 FSC-klagomål.docx", "A 54982-2021")</f>
        <v/>
      </c>
      <c r="W146">
        <f>HYPERLINK("https://klasma.github.io/Logging_1737/klagomålsmail/A 54982-2021 FSC-klagomål mail.docx", "A 54982-2021")</f>
        <v/>
      </c>
      <c r="X146">
        <f>HYPERLINK("https://klasma.github.io/Logging_1737/tillsyn/A 54982-2021 tillsynsbegäran.docx", "A 54982-2021")</f>
        <v/>
      </c>
      <c r="Y146">
        <f>HYPERLINK("https://klasma.github.io/Logging_1737/tillsynsmail/A 54982-2021 tillsynsbegäran mail.docx", "A 54982-2021")</f>
        <v/>
      </c>
    </row>
    <row r="147" ht="15" customHeight="1">
      <c r="A147" t="inlineStr">
        <is>
          <t>A 58471-2021</t>
        </is>
      </c>
      <c r="B147" s="1" t="n">
        <v>44488</v>
      </c>
      <c r="C147" s="1" t="n">
        <v>45849</v>
      </c>
      <c r="D147" t="inlineStr">
        <is>
          <t>VÄRMLANDS LÄN</t>
        </is>
      </c>
      <c r="E147" t="inlineStr">
        <is>
          <t>TORSBY</t>
        </is>
      </c>
      <c r="G147" t="n">
        <v>2.5</v>
      </c>
      <c r="H147" t="n">
        <v>0</v>
      </c>
      <c r="I147" t="n">
        <v>1</v>
      </c>
      <c r="J147" t="n">
        <v>0</v>
      </c>
      <c r="K147" t="n">
        <v>0</v>
      </c>
      <c r="L147" t="n">
        <v>0</v>
      </c>
      <c r="M147" t="n">
        <v>0</v>
      </c>
      <c r="N147" t="n">
        <v>0</v>
      </c>
      <c r="O147" t="n">
        <v>0</v>
      </c>
      <c r="P147" t="n">
        <v>0</v>
      </c>
      <c r="Q147" t="n">
        <v>1</v>
      </c>
      <c r="R147" s="2" t="inlineStr">
        <is>
          <t>Korallblylav</t>
        </is>
      </c>
      <c r="S147">
        <f>HYPERLINK("https://klasma.github.io/Logging_1737/artfynd/A 58471-2021 artfynd.xlsx", "A 58471-2021")</f>
        <v/>
      </c>
      <c r="T147">
        <f>HYPERLINK("https://klasma.github.io/Logging_1737/kartor/A 58471-2021 karta.png", "A 58471-2021")</f>
        <v/>
      </c>
      <c r="V147">
        <f>HYPERLINK("https://klasma.github.io/Logging_1737/klagomål/A 58471-2021 FSC-klagomål.docx", "A 58471-2021")</f>
        <v/>
      </c>
      <c r="W147">
        <f>HYPERLINK("https://klasma.github.io/Logging_1737/klagomålsmail/A 58471-2021 FSC-klagomål mail.docx", "A 58471-2021")</f>
        <v/>
      </c>
      <c r="X147">
        <f>HYPERLINK("https://klasma.github.io/Logging_1737/tillsyn/A 58471-2021 tillsynsbegäran.docx", "A 58471-2021")</f>
        <v/>
      </c>
      <c r="Y147">
        <f>HYPERLINK("https://klasma.github.io/Logging_1737/tillsynsmail/A 58471-2021 tillsynsbegäran mail.docx", "A 58471-2021")</f>
        <v/>
      </c>
    </row>
    <row r="148" ht="15" customHeight="1">
      <c r="A148" t="inlineStr">
        <is>
          <t>A 61813-2021</t>
        </is>
      </c>
      <c r="B148" s="1" t="n">
        <v>44501</v>
      </c>
      <c r="C148" s="1" t="n">
        <v>45849</v>
      </c>
      <c r="D148" t="inlineStr">
        <is>
          <t>VÄRMLANDS LÄN</t>
        </is>
      </c>
      <c r="E148" t="inlineStr">
        <is>
          <t>TORSBY</t>
        </is>
      </c>
      <c r="G148" t="n">
        <v>4.9</v>
      </c>
      <c r="H148" t="n">
        <v>0</v>
      </c>
      <c r="I148" t="n">
        <v>0</v>
      </c>
      <c r="J148" t="n">
        <v>1</v>
      </c>
      <c r="K148" t="n">
        <v>0</v>
      </c>
      <c r="L148" t="n">
        <v>0</v>
      </c>
      <c r="M148" t="n">
        <v>0</v>
      </c>
      <c r="N148" t="n">
        <v>0</v>
      </c>
      <c r="O148" t="n">
        <v>1</v>
      </c>
      <c r="P148" t="n">
        <v>0</v>
      </c>
      <c r="Q148" t="n">
        <v>1</v>
      </c>
      <c r="R148" s="2" t="inlineStr">
        <is>
          <t>Tallticka</t>
        </is>
      </c>
      <c r="S148">
        <f>HYPERLINK("https://klasma.github.io/Logging_1737/artfynd/A 61813-2021 artfynd.xlsx", "A 61813-2021")</f>
        <v/>
      </c>
      <c r="T148">
        <f>HYPERLINK("https://klasma.github.io/Logging_1737/kartor/A 61813-2021 karta.png", "A 61813-2021")</f>
        <v/>
      </c>
      <c r="V148">
        <f>HYPERLINK("https://klasma.github.io/Logging_1737/klagomål/A 61813-2021 FSC-klagomål.docx", "A 61813-2021")</f>
        <v/>
      </c>
      <c r="W148">
        <f>HYPERLINK("https://klasma.github.io/Logging_1737/klagomålsmail/A 61813-2021 FSC-klagomål mail.docx", "A 61813-2021")</f>
        <v/>
      </c>
      <c r="X148">
        <f>HYPERLINK("https://klasma.github.io/Logging_1737/tillsyn/A 61813-2021 tillsynsbegäran.docx", "A 61813-2021")</f>
        <v/>
      </c>
      <c r="Y148">
        <f>HYPERLINK("https://klasma.github.io/Logging_1737/tillsynsmail/A 61813-2021 tillsynsbegäran mail.docx", "A 61813-2021")</f>
        <v/>
      </c>
    </row>
    <row r="149" ht="15" customHeight="1">
      <c r="A149" t="inlineStr">
        <is>
          <t>A 65767-2021</t>
        </is>
      </c>
      <c r="B149" s="1" t="n">
        <v>44516</v>
      </c>
      <c r="C149" s="1" t="n">
        <v>45849</v>
      </c>
      <c r="D149" t="inlineStr">
        <is>
          <t>VÄRMLANDS LÄN</t>
        </is>
      </c>
      <c r="E149" t="inlineStr">
        <is>
          <t>TORSBY</t>
        </is>
      </c>
      <c r="G149" t="n">
        <v>7.5</v>
      </c>
      <c r="H149" t="n">
        <v>0</v>
      </c>
      <c r="I149" t="n">
        <v>1</v>
      </c>
      <c r="J149" t="n">
        <v>0</v>
      </c>
      <c r="K149" t="n">
        <v>0</v>
      </c>
      <c r="L149" t="n">
        <v>0</v>
      </c>
      <c r="M149" t="n">
        <v>0</v>
      </c>
      <c r="N149" t="n">
        <v>0</v>
      </c>
      <c r="O149" t="n">
        <v>0</v>
      </c>
      <c r="P149" t="n">
        <v>0</v>
      </c>
      <c r="Q149" t="n">
        <v>1</v>
      </c>
      <c r="R149" s="2" t="inlineStr">
        <is>
          <t>Mörk husmossa</t>
        </is>
      </c>
      <c r="S149">
        <f>HYPERLINK("https://klasma.github.io/Logging_1737/artfynd/A 65767-2021 artfynd.xlsx", "A 65767-2021")</f>
        <v/>
      </c>
      <c r="T149">
        <f>HYPERLINK("https://klasma.github.io/Logging_1737/kartor/A 65767-2021 karta.png", "A 65767-2021")</f>
        <v/>
      </c>
      <c r="V149">
        <f>HYPERLINK("https://klasma.github.io/Logging_1737/klagomål/A 65767-2021 FSC-klagomål.docx", "A 65767-2021")</f>
        <v/>
      </c>
      <c r="W149">
        <f>HYPERLINK("https://klasma.github.io/Logging_1737/klagomålsmail/A 65767-2021 FSC-klagomål mail.docx", "A 65767-2021")</f>
        <v/>
      </c>
      <c r="X149">
        <f>HYPERLINK("https://klasma.github.io/Logging_1737/tillsyn/A 65767-2021 tillsynsbegäran.docx", "A 65767-2021")</f>
        <v/>
      </c>
      <c r="Y149">
        <f>HYPERLINK("https://klasma.github.io/Logging_1737/tillsynsmail/A 65767-2021 tillsynsbegäran mail.docx", "A 65767-2021")</f>
        <v/>
      </c>
    </row>
    <row r="150" ht="15" customHeight="1">
      <c r="A150" t="inlineStr">
        <is>
          <t>A 71594-2021</t>
        </is>
      </c>
      <c r="B150" s="1" t="n">
        <v>44541</v>
      </c>
      <c r="C150" s="1" t="n">
        <v>45849</v>
      </c>
      <c r="D150" t="inlineStr">
        <is>
          <t>VÄRMLANDS LÄN</t>
        </is>
      </c>
      <c r="E150" t="inlineStr">
        <is>
          <t>TORSBY</t>
        </is>
      </c>
      <c r="G150" t="n">
        <v>13.1</v>
      </c>
      <c r="H150" t="n">
        <v>0</v>
      </c>
      <c r="I150" t="n">
        <v>0</v>
      </c>
      <c r="J150" t="n">
        <v>1</v>
      </c>
      <c r="K150" t="n">
        <v>0</v>
      </c>
      <c r="L150" t="n">
        <v>0</v>
      </c>
      <c r="M150" t="n">
        <v>0</v>
      </c>
      <c r="N150" t="n">
        <v>0</v>
      </c>
      <c r="O150" t="n">
        <v>1</v>
      </c>
      <c r="P150" t="n">
        <v>0</v>
      </c>
      <c r="Q150" t="n">
        <v>1</v>
      </c>
      <c r="R150" s="2" t="inlineStr">
        <is>
          <t>Garnlav</t>
        </is>
      </c>
      <c r="S150">
        <f>HYPERLINK("https://klasma.github.io/Logging_1737/artfynd/A 71594-2021 artfynd.xlsx", "A 71594-2021")</f>
        <v/>
      </c>
      <c r="T150">
        <f>HYPERLINK("https://klasma.github.io/Logging_1737/kartor/A 71594-2021 karta.png", "A 71594-2021")</f>
        <v/>
      </c>
      <c r="V150">
        <f>HYPERLINK("https://klasma.github.io/Logging_1737/klagomål/A 71594-2021 FSC-klagomål.docx", "A 71594-2021")</f>
        <v/>
      </c>
      <c r="W150">
        <f>HYPERLINK("https://klasma.github.io/Logging_1737/klagomålsmail/A 71594-2021 FSC-klagomål mail.docx", "A 71594-2021")</f>
        <v/>
      </c>
      <c r="X150">
        <f>HYPERLINK("https://klasma.github.io/Logging_1737/tillsyn/A 71594-2021 tillsynsbegäran.docx", "A 71594-2021")</f>
        <v/>
      </c>
      <c r="Y150">
        <f>HYPERLINK("https://klasma.github.io/Logging_1737/tillsynsmail/A 71594-2021 tillsynsbegäran mail.docx", "A 71594-2021")</f>
        <v/>
      </c>
    </row>
    <row r="151" ht="15" customHeight="1">
      <c r="A151" t="inlineStr">
        <is>
          <t>A 3404-2022</t>
        </is>
      </c>
      <c r="B151" s="1" t="n">
        <v>44585</v>
      </c>
      <c r="C151" s="1" t="n">
        <v>45849</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Vedtrappmossa</t>
        </is>
      </c>
      <c r="S151">
        <f>HYPERLINK("https://klasma.github.io/Logging_1737/artfynd/A 3404-2022 artfynd.xlsx", "A 3404-2022")</f>
        <v/>
      </c>
      <c r="T151">
        <f>HYPERLINK("https://klasma.github.io/Logging_1737/kartor/A 3404-2022 karta.png", "A 3404-2022")</f>
        <v/>
      </c>
      <c r="V151">
        <f>HYPERLINK("https://klasma.github.io/Logging_1737/klagomål/A 3404-2022 FSC-klagomål.docx", "A 3404-2022")</f>
        <v/>
      </c>
      <c r="W151">
        <f>HYPERLINK("https://klasma.github.io/Logging_1737/klagomålsmail/A 3404-2022 FSC-klagomål mail.docx", "A 3404-2022")</f>
        <v/>
      </c>
      <c r="X151">
        <f>HYPERLINK("https://klasma.github.io/Logging_1737/tillsyn/A 3404-2022 tillsynsbegäran.docx", "A 3404-2022")</f>
        <v/>
      </c>
      <c r="Y151">
        <f>HYPERLINK("https://klasma.github.io/Logging_1737/tillsynsmail/A 3404-2022 tillsynsbegäran mail.docx", "A 3404-2022")</f>
        <v/>
      </c>
    </row>
    <row r="152" ht="15" customHeight="1">
      <c r="A152" t="inlineStr">
        <is>
          <t>A 16572-2022</t>
        </is>
      </c>
      <c r="B152" s="1" t="n">
        <v>44672</v>
      </c>
      <c r="C152" s="1" t="n">
        <v>45849</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23486-2022</t>
        </is>
      </c>
      <c r="B153" s="1" t="n">
        <v>44721</v>
      </c>
      <c r="C153" s="1" t="n">
        <v>45849</v>
      </c>
      <c r="D153" t="inlineStr">
        <is>
          <t>VÄRMLANDS LÄN</t>
        </is>
      </c>
      <c r="E153" t="inlineStr">
        <is>
          <t>TORSBY</t>
        </is>
      </c>
      <c r="G153" t="n">
        <v>1</v>
      </c>
      <c r="H153" t="n">
        <v>0</v>
      </c>
      <c r="I153" t="n">
        <v>0</v>
      </c>
      <c r="J153" t="n">
        <v>1</v>
      </c>
      <c r="K153" t="n">
        <v>0</v>
      </c>
      <c r="L153" t="n">
        <v>0</v>
      </c>
      <c r="M153" t="n">
        <v>0</v>
      </c>
      <c r="N153" t="n">
        <v>0</v>
      </c>
      <c r="O153" t="n">
        <v>1</v>
      </c>
      <c r="P153" t="n">
        <v>0</v>
      </c>
      <c r="Q153" t="n">
        <v>1</v>
      </c>
      <c r="R153" s="2" t="inlineStr">
        <is>
          <t>Tallriska</t>
        </is>
      </c>
      <c r="S153">
        <f>HYPERLINK("https://klasma.github.io/Logging_1737/artfynd/A 23486-2022 artfynd.xlsx", "A 23486-2022")</f>
        <v/>
      </c>
      <c r="T153">
        <f>HYPERLINK("https://klasma.github.io/Logging_1737/kartor/A 23486-2022 karta.png", "A 23486-2022")</f>
        <v/>
      </c>
      <c r="V153">
        <f>HYPERLINK("https://klasma.github.io/Logging_1737/klagomål/A 23486-2022 FSC-klagomål.docx", "A 23486-2022")</f>
        <v/>
      </c>
      <c r="W153">
        <f>HYPERLINK("https://klasma.github.io/Logging_1737/klagomålsmail/A 23486-2022 FSC-klagomål mail.docx", "A 23486-2022")</f>
        <v/>
      </c>
      <c r="X153">
        <f>HYPERLINK("https://klasma.github.io/Logging_1737/tillsyn/A 23486-2022 tillsynsbegäran.docx", "A 23486-2022")</f>
        <v/>
      </c>
      <c r="Y153">
        <f>HYPERLINK("https://klasma.github.io/Logging_1737/tillsynsmail/A 23486-2022 tillsynsbegäran mail.docx", "A 23486-2022")</f>
        <v/>
      </c>
    </row>
    <row r="154" ht="15" customHeight="1">
      <c r="A154" t="inlineStr">
        <is>
          <t>A 25999-2022</t>
        </is>
      </c>
      <c r="B154" s="1" t="n">
        <v>44734</v>
      </c>
      <c r="C154" s="1" t="n">
        <v>45849</v>
      </c>
      <c r="D154" t="inlineStr">
        <is>
          <t>VÄRMLANDS LÄN</t>
        </is>
      </c>
      <c r="E154" t="inlineStr">
        <is>
          <t>TORSBY</t>
        </is>
      </c>
      <c r="G154" t="n">
        <v>0.6</v>
      </c>
      <c r="H154" t="n">
        <v>0</v>
      </c>
      <c r="I154" t="n">
        <v>1</v>
      </c>
      <c r="J154" t="n">
        <v>0</v>
      </c>
      <c r="K154" t="n">
        <v>0</v>
      </c>
      <c r="L154" t="n">
        <v>0</v>
      </c>
      <c r="M154" t="n">
        <v>0</v>
      </c>
      <c r="N154" t="n">
        <v>0</v>
      </c>
      <c r="O154" t="n">
        <v>0</v>
      </c>
      <c r="P154" t="n">
        <v>0</v>
      </c>
      <c r="Q154" t="n">
        <v>1</v>
      </c>
      <c r="R154" s="2" t="inlineStr">
        <is>
          <t>Korallblylav</t>
        </is>
      </c>
      <c r="S154">
        <f>HYPERLINK("https://klasma.github.io/Logging_1737/artfynd/A 25999-2022 artfynd.xlsx", "A 25999-2022")</f>
        <v/>
      </c>
      <c r="T154">
        <f>HYPERLINK("https://klasma.github.io/Logging_1737/kartor/A 25999-2022 karta.png", "A 25999-2022")</f>
        <v/>
      </c>
      <c r="V154">
        <f>HYPERLINK("https://klasma.github.io/Logging_1737/klagomål/A 25999-2022 FSC-klagomål.docx", "A 25999-2022")</f>
        <v/>
      </c>
      <c r="W154">
        <f>HYPERLINK("https://klasma.github.io/Logging_1737/klagomålsmail/A 25999-2022 FSC-klagomål mail.docx", "A 25999-2022")</f>
        <v/>
      </c>
      <c r="X154">
        <f>HYPERLINK("https://klasma.github.io/Logging_1737/tillsyn/A 25999-2022 tillsynsbegäran.docx", "A 25999-2022")</f>
        <v/>
      </c>
      <c r="Y154">
        <f>HYPERLINK("https://klasma.github.io/Logging_1737/tillsynsmail/A 25999-2022 tillsynsbegäran mail.docx", "A 25999-2022")</f>
        <v/>
      </c>
    </row>
    <row r="155" ht="15" customHeight="1">
      <c r="A155" t="inlineStr">
        <is>
          <t>A 35709-2022</t>
        </is>
      </c>
      <c r="B155" s="1" t="n">
        <v>44799</v>
      </c>
      <c r="C155" s="1" t="n">
        <v>45849</v>
      </c>
      <c r="D155" t="inlineStr">
        <is>
          <t>VÄRMLANDS LÄN</t>
        </is>
      </c>
      <c r="E155" t="inlineStr">
        <is>
          <t>TORSBY</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35709-2022 artfynd.xlsx", "A 35709-2022")</f>
        <v/>
      </c>
      <c r="T155">
        <f>HYPERLINK("https://klasma.github.io/Logging_1737/kartor/A 35709-2022 karta.png", "A 35709-2022")</f>
        <v/>
      </c>
      <c r="V155">
        <f>HYPERLINK("https://klasma.github.io/Logging_1737/klagomål/A 35709-2022 FSC-klagomål.docx", "A 35709-2022")</f>
        <v/>
      </c>
      <c r="W155">
        <f>HYPERLINK("https://klasma.github.io/Logging_1737/klagomålsmail/A 35709-2022 FSC-klagomål mail.docx", "A 35709-2022")</f>
        <v/>
      </c>
      <c r="X155">
        <f>HYPERLINK("https://klasma.github.io/Logging_1737/tillsyn/A 35709-2022 tillsynsbegäran.docx", "A 35709-2022")</f>
        <v/>
      </c>
      <c r="Y155">
        <f>HYPERLINK("https://klasma.github.io/Logging_1737/tillsynsmail/A 35709-2022 tillsynsbegäran mail.docx", "A 35709-2022")</f>
        <v/>
      </c>
    </row>
    <row r="156" ht="15" customHeight="1">
      <c r="A156" t="inlineStr">
        <is>
          <t>A 42500-2022</t>
        </is>
      </c>
      <c r="B156" s="1" t="n">
        <v>44831</v>
      </c>
      <c r="C156" s="1" t="n">
        <v>45849</v>
      </c>
      <c r="D156" t="inlineStr">
        <is>
          <t>VÄRMLANDS LÄN</t>
        </is>
      </c>
      <c r="E156" t="inlineStr">
        <is>
          <t>TORSBY</t>
        </is>
      </c>
      <c r="F156" t="inlineStr">
        <is>
          <t>Kommuner</t>
        </is>
      </c>
      <c r="G156" t="n">
        <v>2.3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42500-2022 artfynd.xlsx", "A 42500-2022")</f>
        <v/>
      </c>
      <c r="T156">
        <f>HYPERLINK("https://klasma.github.io/Logging_1737/kartor/A 42500-2022 karta.png", "A 42500-2022")</f>
        <v/>
      </c>
      <c r="U156">
        <f>HYPERLINK("https://klasma.github.io/Logging_1737/knärot/A 42500-2022 karta knärot.png", "A 42500-2022")</f>
        <v/>
      </c>
      <c r="V156">
        <f>HYPERLINK("https://klasma.github.io/Logging_1737/klagomål/A 42500-2022 FSC-klagomål.docx", "A 42500-2022")</f>
        <v/>
      </c>
      <c r="W156">
        <f>HYPERLINK("https://klasma.github.io/Logging_1737/klagomålsmail/A 42500-2022 FSC-klagomål mail.docx", "A 42500-2022")</f>
        <v/>
      </c>
      <c r="X156">
        <f>HYPERLINK("https://klasma.github.io/Logging_1737/tillsyn/A 42500-2022 tillsynsbegäran.docx", "A 42500-2022")</f>
        <v/>
      </c>
      <c r="Y156">
        <f>HYPERLINK("https://klasma.github.io/Logging_1737/tillsynsmail/A 42500-2022 tillsynsbegäran mail.docx", "A 42500-2022")</f>
        <v/>
      </c>
    </row>
    <row r="157" ht="15" customHeight="1">
      <c r="A157" t="inlineStr">
        <is>
          <t>A 44007-2022</t>
        </is>
      </c>
      <c r="B157" s="1" t="n">
        <v>44838</v>
      </c>
      <c r="C157" s="1" t="n">
        <v>45849</v>
      </c>
      <c r="D157" t="inlineStr">
        <is>
          <t>VÄRMLANDS LÄN</t>
        </is>
      </c>
      <c r="E157" t="inlineStr">
        <is>
          <t>TORSBY</t>
        </is>
      </c>
      <c r="F157" t="inlineStr">
        <is>
          <t>Bergvik skog väst AB</t>
        </is>
      </c>
      <c r="G157" t="n">
        <v>8</v>
      </c>
      <c r="H157" t="n">
        <v>1</v>
      </c>
      <c r="I157" t="n">
        <v>0</v>
      </c>
      <c r="J157" t="n">
        <v>1</v>
      </c>
      <c r="K157" t="n">
        <v>0</v>
      </c>
      <c r="L157" t="n">
        <v>0</v>
      </c>
      <c r="M157" t="n">
        <v>0</v>
      </c>
      <c r="N157" t="n">
        <v>0</v>
      </c>
      <c r="O157" t="n">
        <v>1</v>
      </c>
      <c r="P157" t="n">
        <v>0</v>
      </c>
      <c r="Q157" t="n">
        <v>1</v>
      </c>
      <c r="R157" s="2" t="inlineStr">
        <is>
          <t>Utter</t>
        </is>
      </c>
      <c r="S157">
        <f>HYPERLINK("https://klasma.github.io/Logging_1737/artfynd/A 44007-2022 artfynd.xlsx", "A 44007-2022")</f>
        <v/>
      </c>
      <c r="T157">
        <f>HYPERLINK("https://klasma.github.io/Logging_1737/kartor/A 44007-2022 karta.png", "A 44007-2022")</f>
        <v/>
      </c>
      <c r="V157">
        <f>HYPERLINK("https://klasma.github.io/Logging_1737/klagomål/A 44007-2022 FSC-klagomål.docx", "A 44007-2022")</f>
        <v/>
      </c>
      <c r="W157">
        <f>HYPERLINK("https://klasma.github.io/Logging_1737/klagomålsmail/A 44007-2022 FSC-klagomål mail.docx", "A 44007-2022")</f>
        <v/>
      </c>
      <c r="X157">
        <f>HYPERLINK("https://klasma.github.io/Logging_1737/tillsyn/A 44007-2022 tillsynsbegäran.docx", "A 44007-2022")</f>
        <v/>
      </c>
      <c r="Y157">
        <f>HYPERLINK("https://klasma.github.io/Logging_1737/tillsynsmail/A 44007-2022 tillsynsbegäran mail.docx", "A 44007-2022")</f>
        <v/>
      </c>
    </row>
    <row r="158" ht="15" customHeight="1">
      <c r="A158" t="inlineStr">
        <is>
          <t>A 50236-2022</t>
        </is>
      </c>
      <c r="B158" s="1" t="n">
        <v>44865</v>
      </c>
      <c r="C158" s="1" t="n">
        <v>45849</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51288-2022</t>
        </is>
      </c>
      <c r="B159" s="1" t="n">
        <v>44868</v>
      </c>
      <c r="C159" s="1" t="n">
        <v>45849</v>
      </c>
      <c r="D159" t="inlineStr">
        <is>
          <t>VÄRMLANDS LÄN</t>
        </is>
      </c>
      <c r="E159" t="inlineStr">
        <is>
          <t>TORSBY</t>
        </is>
      </c>
      <c r="G159" t="n">
        <v>1.9</v>
      </c>
      <c r="H159" t="n">
        <v>1</v>
      </c>
      <c r="I159" t="n">
        <v>0</v>
      </c>
      <c r="J159" t="n">
        <v>0</v>
      </c>
      <c r="K159" t="n">
        <v>1</v>
      </c>
      <c r="L159" t="n">
        <v>0</v>
      </c>
      <c r="M159" t="n">
        <v>0</v>
      </c>
      <c r="N159" t="n">
        <v>0</v>
      </c>
      <c r="O159" t="n">
        <v>1</v>
      </c>
      <c r="P159" t="n">
        <v>1</v>
      </c>
      <c r="Q159" t="n">
        <v>1</v>
      </c>
      <c r="R159" s="2" t="inlineStr">
        <is>
          <t>Bombmurkla</t>
        </is>
      </c>
      <c r="S159">
        <f>HYPERLINK("https://klasma.github.io/Logging_1737/artfynd/A 51288-2022 artfynd.xlsx", "A 51288-2022")</f>
        <v/>
      </c>
      <c r="T159">
        <f>HYPERLINK("https://klasma.github.io/Logging_1737/kartor/A 51288-2022 karta.png", "A 51288-2022")</f>
        <v/>
      </c>
      <c r="V159">
        <f>HYPERLINK("https://klasma.github.io/Logging_1737/klagomål/A 51288-2022 FSC-klagomål.docx", "A 51288-2022")</f>
        <v/>
      </c>
      <c r="W159">
        <f>HYPERLINK("https://klasma.github.io/Logging_1737/klagomålsmail/A 51288-2022 FSC-klagomål mail.docx", "A 51288-2022")</f>
        <v/>
      </c>
      <c r="X159">
        <f>HYPERLINK("https://klasma.github.io/Logging_1737/tillsyn/A 51288-2022 tillsynsbegäran.docx", "A 51288-2022")</f>
        <v/>
      </c>
      <c r="Y159">
        <f>HYPERLINK("https://klasma.github.io/Logging_1737/tillsynsmail/A 51288-2022 tillsynsbegäran mail.docx", "A 51288-2022")</f>
        <v/>
      </c>
    </row>
    <row r="160" ht="15" customHeight="1">
      <c r="A160" t="inlineStr">
        <is>
          <t>A 13361-2023</t>
        </is>
      </c>
      <c r="B160" s="1" t="n">
        <v>45005</v>
      </c>
      <c r="C160" s="1" t="n">
        <v>45849</v>
      </c>
      <c r="D160" t="inlineStr">
        <is>
          <t>VÄRMLANDS LÄN</t>
        </is>
      </c>
      <c r="E160" t="inlineStr">
        <is>
          <t>TORSBY</t>
        </is>
      </c>
      <c r="G160" t="n">
        <v>8.5</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13361-2023 artfynd.xlsx", "A 13361-2023")</f>
        <v/>
      </c>
      <c r="T160">
        <f>HYPERLINK("https://klasma.github.io/Logging_1737/kartor/A 13361-2023 karta.png", "A 13361-2023")</f>
        <v/>
      </c>
      <c r="V160">
        <f>HYPERLINK("https://klasma.github.io/Logging_1737/klagomål/A 13361-2023 FSC-klagomål.docx", "A 13361-2023")</f>
        <v/>
      </c>
      <c r="W160">
        <f>HYPERLINK("https://klasma.github.io/Logging_1737/klagomålsmail/A 13361-2023 FSC-klagomål mail.docx", "A 13361-2023")</f>
        <v/>
      </c>
      <c r="X160">
        <f>HYPERLINK("https://klasma.github.io/Logging_1737/tillsyn/A 13361-2023 tillsynsbegäran.docx", "A 13361-2023")</f>
        <v/>
      </c>
      <c r="Y160">
        <f>HYPERLINK("https://klasma.github.io/Logging_1737/tillsynsmail/A 13361-2023 tillsynsbegäran mail.docx", "A 13361-2023")</f>
        <v/>
      </c>
    </row>
    <row r="161" ht="15" customHeight="1">
      <c r="A161" t="inlineStr">
        <is>
          <t>A 13359-2023</t>
        </is>
      </c>
      <c r="B161" s="1" t="n">
        <v>45005</v>
      </c>
      <c r="C161" s="1" t="n">
        <v>45849</v>
      </c>
      <c r="D161" t="inlineStr">
        <is>
          <t>VÄRMLANDS LÄN</t>
        </is>
      </c>
      <c r="E161" t="inlineStr">
        <is>
          <t>TORSBY</t>
        </is>
      </c>
      <c r="G161" t="n">
        <v>12.9</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13359-2023 artfynd.xlsx", "A 13359-2023")</f>
        <v/>
      </c>
      <c r="T161">
        <f>HYPERLINK("https://klasma.github.io/Logging_1737/kartor/A 13359-2023 karta.png", "A 13359-2023")</f>
        <v/>
      </c>
      <c r="V161">
        <f>HYPERLINK("https://klasma.github.io/Logging_1737/klagomål/A 13359-2023 FSC-klagomål.docx", "A 13359-2023")</f>
        <v/>
      </c>
      <c r="W161">
        <f>HYPERLINK("https://klasma.github.io/Logging_1737/klagomålsmail/A 13359-2023 FSC-klagomål mail.docx", "A 13359-2023")</f>
        <v/>
      </c>
      <c r="X161">
        <f>HYPERLINK("https://klasma.github.io/Logging_1737/tillsyn/A 13359-2023 tillsynsbegäran.docx", "A 13359-2023")</f>
        <v/>
      </c>
      <c r="Y161">
        <f>HYPERLINK("https://klasma.github.io/Logging_1737/tillsynsmail/A 13359-2023 tillsynsbegäran mail.docx", "A 13359-2023")</f>
        <v/>
      </c>
    </row>
    <row r="162" ht="15" customHeight="1">
      <c r="A162" t="inlineStr">
        <is>
          <t>A 15548-2023</t>
        </is>
      </c>
      <c r="B162" s="1" t="n">
        <v>45020</v>
      </c>
      <c r="C162" s="1" t="n">
        <v>45849</v>
      </c>
      <c r="D162" t="inlineStr">
        <is>
          <t>VÄRMLANDS LÄN</t>
        </is>
      </c>
      <c r="E162" t="inlineStr">
        <is>
          <t>TORSBY</t>
        </is>
      </c>
      <c r="G162" t="n">
        <v>0.6</v>
      </c>
      <c r="H162" t="n">
        <v>1</v>
      </c>
      <c r="I162" t="n">
        <v>0</v>
      </c>
      <c r="J162" t="n">
        <v>1</v>
      </c>
      <c r="K162" t="n">
        <v>0</v>
      </c>
      <c r="L162" t="n">
        <v>0</v>
      </c>
      <c r="M162" t="n">
        <v>0</v>
      </c>
      <c r="N162" t="n">
        <v>0</v>
      </c>
      <c r="O162" t="n">
        <v>1</v>
      </c>
      <c r="P162" t="n">
        <v>0</v>
      </c>
      <c r="Q162" t="n">
        <v>1</v>
      </c>
      <c r="R162" s="2" t="inlineStr">
        <is>
          <t>Spillkråka</t>
        </is>
      </c>
      <c r="S162">
        <f>HYPERLINK("https://klasma.github.io/Logging_1737/artfynd/A 15548-2023 artfynd.xlsx", "A 15548-2023")</f>
        <v/>
      </c>
      <c r="T162">
        <f>HYPERLINK("https://klasma.github.io/Logging_1737/kartor/A 15548-2023 karta.png", "A 15548-2023")</f>
        <v/>
      </c>
      <c r="V162">
        <f>HYPERLINK("https://klasma.github.io/Logging_1737/klagomål/A 15548-2023 FSC-klagomål.docx", "A 15548-2023")</f>
        <v/>
      </c>
      <c r="W162">
        <f>HYPERLINK("https://klasma.github.io/Logging_1737/klagomålsmail/A 15548-2023 FSC-klagomål mail.docx", "A 15548-2023")</f>
        <v/>
      </c>
      <c r="X162">
        <f>HYPERLINK("https://klasma.github.io/Logging_1737/tillsyn/A 15548-2023 tillsynsbegäran.docx", "A 15548-2023")</f>
        <v/>
      </c>
      <c r="Y162">
        <f>HYPERLINK("https://klasma.github.io/Logging_1737/tillsynsmail/A 15548-2023 tillsynsbegäran mail.docx", "A 15548-2023")</f>
        <v/>
      </c>
      <c r="Z162">
        <f>HYPERLINK("https://klasma.github.io/Logging_1737/fåglar/A 15548-2023 prioriterade fågelarter.docx", "A 15548-2023")</f>
        <v/>
      </c>
    </row>
    <row r="163" ht="15" customHeight="1">
      <c r="A163" t="inlineStr">
        <is>
          <t>A 18882-2023</t>
        </is>
      </c>
      <c r="B163" s="1" t="n">
        <v>45044</v>
      </c>
      <c r="C163" s="1" t="n">
        <v>45849</v>
      </c>
      <c r="D163" t="inlineStr">
        <is>
          <t>VÄRMLANDS LÄN</t>
        </is>
      </c>
      <c r="E163" t="inlineStr">
        <is>
          <t>TORSBY</t>
        </is>
      </c>
      <c r="G163" t="n">
        <v>3</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18882-2023 artfynd.xlsx", "A 18882-2023")</f>
        <v/>
      </c>
      <c r="T163">
        <f>HYPERLINK("https://klasma.github.io/Logging_1737/kartor/A 18882-2023 karta.png", "A 18882-2023")</f>
        <v/>
      </c>
      <c r="V163">
        <f>HYPERLINK("https://klasma.github.io/Logging_1737/klagomål/A 18882-2023 FSC-klagomål.docx", "A 18882-2023")</f>
        <v/>
      </c>
      <c r="W163">
        <f>HYPERLINK("https://klasma.github.io/Logging_1737/klagomålsmail/A 18882-2023 FSC-klagomål mail.docx", "A 18882-2023")</f>
        <v/>
      </c>
      <c r="X163">
        <f>HYPERLINK("https://klasma.github.io/Logging_1737/tillsyn/A 18882-2023 tillsynsbegäran.docx", "A 18882-2023")</f>
        <v/>
      </c>
      <c r="Y163">
        <f>HYPERLINK("https://klasma.github.io/Logging_1737/tillsynsmail/A 18882-2023 tillsynsbegäran mail.docx", "A 18882-2023")</f>
        <v/>
      </c>
    </row>
    <row r="164" ht="15" customHeight="1">
      <c r="A164" t="inlineStr">
        <is>
          <t>A 19669-2023</t>
        </is>
      </c>
      <c r="B164" s="1" t="n">
        <v>45051</v>
      </c>
      <c r="C164" s="1" t="n">
        <v>45849</v>
      </c>
      <c r="D164" t="inlineStr">
        <is>
          <t>VÄRMLANDS LÄN</t>
        </is>
      </c>
      <c r="E164" t="inlineStr">
        <is>
          <t>TORSBY</t>
        </is>
      </c>
      <c r="F164" t="inlineStr">
        <is>
          <t>Kyrkan</t>
        </is>
      </c>
      <c r="G164" t="n">
        <v>5.2</v>
      </c>
      <c r="H164" t="n">
        <v>1</v>
      </c>
      <c r="I164" t="n">
        <v>0</v>
      </c>
      <c r="J164" t="n">
        <v>1</v>
      </c>
      <c r="K164" t="n">
        <v>0</v>
      </c>
      <c r="L164" t="n">
        <v>0</v>
      </c>
      <c r="M164" t="n">
        <v>0</v>
      </c>
      <c r="N164" t="n">
        <v>0</v>
      </c>
      <c r="O164" t="n">
        <v>1</v>
      </c>
      <c r="P164" t="n">
        <v>0</v>
      </c>
      <c r="Q164" t="n">
        <v>1</v>
      </c>
      <c r="R164" s="2" t="inlineStr">
        <is>
          <t>Utter</t>
        </is>
      </c>
      <c r="S164">
        <f>HYPERLINK("https://klasma.github.io/Logging_1737/artfynd/A 19669-2023 artfynd.xlsx", "A 19669-2023")</f>
        <v/>
      </c>
      <c r="T164">
        <f>HYPERLINK("https://klasma.github.io/Logging_1737/kartor/A 19669-2023 karta.png", "A 19669-2023")</f>
        <v/>
      </c>
      <c r="V164">
        <f>HYPERLINK("https://klasma.github.io/Logging_1737/klagomål/A 19669-2023 FSC-klagomål.docx", "A 19669-2023")</f>
        <v/>
      </c>
      <c r="W164">
        <f>HYPERLINK("https://klasma.github.io/Logging_1737/klagomålsmail/A 19669-2023 FSC-klagomål mail.docx", "A 19669-2023")</f>
        <v/>
      </c>
      <c r="X164">
        <f>HYPERLINK("https://klasma.github.io/Logging_1737/tillsyn/A 19669-2023 tillsynsbegäran.docx", "A 19669-2023")</f>
        <v/>
      </c>
      <c r="Y164">
        <f>HYPERLINK("https://klasma.github.io/Logging_1737/tillsynsmail/A 19669-2023 tillsynsbegäran mail.docx", "A 19669-2023")</f>
        <v/>
      </c>
    </row>
    <row r="165" ht="15" customHeight="1">
      <c r="A165" t="inlineStr">
        <is>
          <t>A 26747-2023</t>
        </is>
      </c>
      <c r="B165" s="1" t="n">
        <v>45090</v>
      </c>
      <c r="C165" s="1" t="n">
        <v>45849</v>
      </c>
      <c r="D165" t="inlineStr">
        <is>
          <t>VÄRMLANDS LÄN</t>
        </is>
      </c>
      <c r="E165" t="inlineStr">
        <is>
          <t>TORSBY</t>
        </is>
      </c>
      <c r="F165" t="inlineStr">
        <is>
          <t>Övriga statliga verk och myndigheter</t>
        </is>
      </c>
      <c r="G165" t="n">
        <v>4.5</v>
      </c>
      <c r="H165" t="n">
        <v>0</v>
      </c>
      <c r="I165" t="n">
        <v>0</v>
      </c>
      <c r="J165" t="n">
        <v>1</v>
      </c>
      <c r="K165" t="n">
        <v>0</v>
      </c>
      <c r="L165" t="n">
        <v>0</v>
      </c>
      <c r="M165" t="n">
        <v>0</v>
      </c>
      <c r="N165" t="n">
        <v>0</v>
      </c>
      <c r="O165" t="n">
        <v>1</v>
      </c>
      <c r="P165" t="n">
        <v>0</v>
      </c>
      <c r="Q165" t="n">
        <v>1</v>
      </c>
      <c r="R165" s="2" t="inlineStr">
        <is>
          <t>Garnlav</t>
        </is>
      </c>
      <c r="S165">
        <f>HYPERLINK("https://klasma.github.io/Logging_1737/artfynd/A 26747-2023 artfynd.xlsx", "A 26747-2023")</f>
        <v/>
      </c>
      <c r="T165">
        <f>HYPERLINK("https://klasma.github.io/Logging_1737/kartor/A 26747-2023 karta.png", "A 26747-2023")</f>
        <v/>
      </c>
      <c r="V165">
        <f>HYPERLINK("https://klasma.github.io/Logging_1737/klagomål/A 26747-2023 FSC-klagomål.docx", "A 26747-2023")</f>
        <v/>
      </c>
      <c r="W165">
        <f>HYPERLINK("https://klasma.github.io/Logging_1737/klagomålsmail/A 26747-2023 FSC-klagomål mail.docx", "A 26747-2023")</f>
        <v/>
      </c>
      <c r="X165">
        <f>HYPERLINK("https://klasma.github.io/Logging_1737/tillsyn/A 26747-2023 tillsynsbegäran.docx", "A 26747-2023")</f>
        <v/>
      </c>
      <c r="Y165">
        <f>HYPERLINK("https://klasma.github.io/Logging_1737/tillsynsmail/A 26747-2023 tillsynsbegäran mail.docx", "A 26747-2023")</f>
        <v/>
      </c>
    </row>
    <row r="166" ht="15" customHeight="1">
      <c r="A166" t="inlineStr">
        <is>
          <t>A 33835-2023</t>
        </is>
      </c>
      <c r="B166" s="1" t="n">
        <v>45133</v>
      </c>
      <c r="C166" s="1" t="n">
        <v>45849</v>
      </c>
      <c r="D166" t="inlineStr">
        <is>
          <t>VÄRMLANDS LÄN</t>
        </is>
      </c>
      <c r="E166" t="inlineStr">
        <is>
          <t>TORSBY</t>
        </is>
      </c>
      <c r="F166" t="inlineStr">
        <is>
          <t>Bergvik skog väst AB</t>
        </is>
      </c>
      <c r="G166" t="n">
        <v>17.3</v>
      </c>
      <c r="H166" t="n">
        <v>1</v>
      </c>
      <c r="I166" t="n">
        <v>0</v>
      </c>
      <c r="J166" t="n">
        <v>0</v>
      </c>
      <c r="K166" t="n">
        <v>0</v>
      </c>
      <c r="L166" t="n">
        <v>0</v>
      </c>
      <c r="M166" t="n">
        <v>0</v>
      </c>
      <c r="N166" t="n">
        <v>0</v>
      </c>
      <c r="O166" t="n">
        <v>0</v>
      </c>
      <c r="P166" t="n">
        <v>0</v>
      </c>
      <c r="Q166" t="n">
        <v>1</v>
      </c>
      <c r="R166" s="2" t="inlineStr">
        <is>
          <t>Sparvuggla</t>
        </is>
      </c>
      <c r="S166">
        <f>HYPERLINK("https://klasma.github.io/Logging_1737/artfynd/A 33835-2023 artfynd.xlsx", "A 33835-2023")</f>
        <v/>
      </c>
      <c r="T166">
        <f>HYPERLINK("https://klasma.github.io/Logging_1737/kartor/A 33835-2023 karta.png", "A 33835-2023")</f>
        <v/>
      </c>
      <c r="V166">
        <f>HYPERLINK("https://klasma.github.io/Logging_1737/klagomål/A 33835-2023 FSC-klagomål.docx", "A 33835-2023")</f>
        <v/>
      </c>
      <c r="W166">
        <f>HYPERLINK("https://klasma.github.io/Logging_1737/klagomålsmail/A 33835-2023 FSC-klagomål mail.docx", "A 33835-2023")</f>
        <v/>
      </c>
      <c r="X166">
        <f>HYPERLINK("https://klasma.github.io/Logging_1737/tillsyn/A 33835-2023 tillsynsbegäran.docx", "A 33835-2023")</f>
        <v/>
      </c>
      <c r="Y166">
        <f>HYPERLINK("https://klasma.github.io/Logging_1737/tillsynsmail/A 33835-2023 tillsynsbegäran mail.docx", "A 33835-2023")</f>
        <v/>
      </c>
      <c r="Z166">
        <f>HYPERLINK("https://klasma.github.io/Logging_1737/fåglar/A 33835-2023 prioriterade fågelarter.docx", "A 33835-2023")</f>
        <v/>
      </c>
    </row>
    <row r="167" ht="15" customHeight="1">
      <c r="A167" t="inlineStr">
        <is>
          <t>A 35809-2023</t>
        </is>
      </c>
      <c r="B167" s="1" t="n">
        <v>45147</v>
      </c>
      <c r="C167" s="1" t="n">
        <v>45849</v>
      </c>
      <c r="D167" t="inlineStr">
        <is>
          <t>VÄRMLANDS LÄN</t>
        </is>
      </c>
      <c r="E167" t="inlineStr">
        <is>
          <t>TORSBY</t>
        </is>
      </c>
      <c r="F167" t="inlineStr">
        <is>
          <t>Övriga statliga verk och myndigheter</t>
        </is>
      </c>
      <c r="G167" t="n">
        <v>7.2</v>
      </c>
      <c r="H167" t="n">
        <v>1</v>
      </c>
      <c r="I167" t="n">
        <v>0</v>
      </c>
      <c r="J167" t="n">
        <v>0</v>
      </c>
      <c r="K167" t="n">
        <v>0</v>
      </c>
      <c r="L167" t="n">
        <v>0</v>
      </c>
      <c r="M167" t="n">
        <v>0</v>
      </c>
      <c r="N167" t="n">
        <v>0</v>
      </c>
      <c r="O167" t="n">
        <v>0</v>
      </c>
      <c r="P167" t="n">
        <v>0</v>
      </c>
      <c r="Q167" t="n">
        <v>1</v>
      </c>
      <c r="R167" s="2" t="inlineStr">
        <is>
          <t>Fläcknycklar</t>
        </is>
      </c>
      <c r="S167">
        <f>HYPERLINK("https://klasma.github.io/Logging_1737/artfynd/A 35809-2023 artfynd.xlsx", "A 35809-2023")</f>
        <v/>
      </c>
      <c r="T167">
        <f>HYPERLINK("https://klasma.github.io/Logging_1737/kartor/A 35809-2023 karta.png", "A 35809-2023")</f>
        <v/>
      </c>
      <c r="V167">
        <f>HYPERLINK("https://klasma.github.io/Logging_1737/klagomål/A 35809-2023 FSC-klagomål.docx", "A 35809-2023")</f>
        <v/>
      </c>
      <c r="W167">
        <f>HYPERLINK("https://klasma.github.io/Logging_1737/klagomålsmail/A 35809-2023 FSC-klagomål mail.docx", "A 35809-2023")</f>
        <v/>
      </c>
      <c r="X167">
        <f>HYPERLINK("https://klasma.github.io/Logging_1737/tillsyn/A 35809-2023 tillsynsbegäran.docx", "A 35809-2023")</f>
        <v/>
      </c>
      <c r="Y167">
        <f>HYPERLINK("https://klasma.github.io/Logging_1737/tillsynsmail/A 35809-2023 tillsynsbegäran mail.docx", "A 35809-2023")</f>
        <v/>
      </c>
    </row>
    <row r="168" ht="15" customHeight="1">
      <c r="A168" t="inlineStr">
        <is>
          <t>A 39681-2023</t>
        </is>
      </c>
      <c r="B168" s="1" t="n">
        <v>45167</v>
      </c>
      <c r="C168" s="1" t="n">
        <v>45849</v>
      </c>
      <c r="D168" t="inlineStr">
        <is>
          <t>VÄRMLANDS LÄN</t>
        </is>
      </c>
      <c r="E168" t="inlineStr">
        <is>
          <t>TORSBY</t>
        </is>
      </c>
      <c r="G168" t="n">
        <v>5.2</v>
      </c>
      <c r="H168" t="n">
        <v>0</v>
      </c>
      <c r="I168" t="n">
        <v>0</v>
      </c>
      <c r="J168" t="n">
        <v>1</v>
      </c>
      <c r="K168" t="n">
        <v>0</v>
      </c>
      <c r="L168" t="n">
        <v>0</v>
      </c>
      <c r="M168" t="n">
        <v>0</v>
      </c>
      <c r="N168" t="n">
        <v>0</v>
      </c>
      <c r="O168" t="n">
        <v>1</v>
      </c>
      <c r="P168" t="n">
        <v>0</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39983-2023</t>
        </is>
      </c>
      <c r="B169" s="1" t="n">
        <v>45168</v>
      </c>
      <c r="C169" s="1" t="n">
        <v>45849</v>
      </c>
      <c r="D169" t="inlineStr">
        <is>
          <t>VÄRMLANDS LÄN</t>
        </is>
      </c>
      <c r="E169" t="inlineStr">
        <is>
          <t>TORSBY</t>
        </is>
      </c>
      <c r="G169" t="n">
        <v>17.2</v>
      </c>
      <c r="H169" t="n">
        <v>1</v>
      </c>
      <c r="I169" t="n">
        <v>0</v>
      </c>
      <c r="J169" t="n">
        <v>1</v>
      </c>
      <c r="K169" t="n">
        <v>0</v>
      </c>
      <c r="L169" t="n">
        <v>0</v>
      </c>
      <c r="M169" t="n">
        <v>0</v>
      </c>
      <c r="N169" t="n">
        <v>0</v>
      </c>
      <c r="O169" t="n">
        <v>1</v>
      </c>
      <c r="P169" t="n">
        <v>0</v>
      </c>
      <c r="Q169" t="n">
        <v>1</v>
      </c>
      <c r="R169" s="2" t="inlineStr">
        <is>
          <t>Kråka</t>
        </is>
      </c>
      <c r="S169">
        <f>HYPERLINK("https://klasma.github.io/Logging_1737/artfynd/A 39983-2023 artfynd.xlsx", "A 39983-2023")</f>
        <v/>
      </c>
      <c r="T169">
        <f>HYPERLINK("https://klasma.github.io/Logging_1737/kartor/A 39983-2023 karta.png", "A 39983-2023")</f>
        <v/>
      </c>
      <c r="V169">
        <f>HYPERLINK("https://klasma.github.io/Logging_1737/klagomål/A 39983-2023 FSC-klagomål.docx", "A 39983-2023")</f>
        <v/>
      </c>
      <c r="W169">
        <f>HYPERLINK("https://klasma.github.io/Logging_1737/klagomålsmail/A 39983-2023 FSC-klagomål mail.docx", "A 39983-2023")</f>
        <v/>
      </c>
      <c r="X169">
        <f>HYPERLINK("https://klasma.github.io/Logging_1737/tillsyn/A 39983-2023 tillsynsbegäran.docx", "A 39983-2023")</f>
        <v/>
      </c>
      <c r="Y169">
        <f>HYPERLINK("https://klasma.github.io/Logging_1737/tillsynsmail/A 39983-2023 tillsynsbegäran mail.docx", "A 39983-2023")</f>
        <v/>
      </c>
      <c r="Z169">
        <f>HYPERLINK("https://klasma.github.io/Logging_1737/fåglar/A 39983-2023 prioriterade fågelarter.docx", "A 39983-2023")</f>
        <v/>
      </c>
    </row>
    <row r="170" ht="15" customHeight="1">
      <c r="A170" t="inlineStr">
        <is>
          <t>A 46099-2023</t>
        </is>
      </c>
      <c r="B170" s="1" t="n">
        <v>45196</v>
      </c>
      <c r="C170" s="1" t="n">
        <v>45849</v>
      </c>
      <c r="D170" t="inlineStr">
        <is>
          <t>VÄRMLANDS LÄN</t>
        </is>
      </c>
      <c r="E170" t="inlineStr">
        <is>
          <t>TORSBY</t>
        </is>
      </c>
      <c r="G170" t="n">
        <v>8.4</v>
      </c>
      <c r="H170" t="n">
        <v>0</v>
      </c>
      <c r="I170" t="n">
        <v>0</v>
      </c>
      <c r="J170" t="n">
        <v>1</v>
      </c>
      <c r="K170" t="n">
        <v>0</v>
      </c>
      <c r="L170" t="n">
        <v>0</v>
      </c>
      <c r="M170" t="n">
        <v>0</v>
      </c>
      <c r="N170" t="n">
        <v>0</v>
      </c>
      <c r="O170" t="n">
        <v>1</v>
      </c>
      <c r="P170" t="n">
        <v>0</v>
      </c>
      <c r="Q170" t="n">
        <v>1</v>
      </c>
      <c r="R170" s="2" t="inlineStr">
        <is>
          <t>Gammelgransskål</t>
        </is>
      </c>
      <c r="S170">
        <f>HYPERLINK("https://klasma.github.io/Logging_1737/artfynd/A 46099-2023 artfynd.xlsx", "A 46099-2023")</f>
        <v/>
      </c>
      <c r="T170">
        <f>HYPERLINK("https://klasma.github.io/Logging_1737/kartor/A 46099-2023 karta.png", "A 46099-2023")</f>
        <v/>
      </c>
      <c r="V170">
        <f>HYPERLINK("https://klasma.github.io/Logging_1737/klagomål/A 46099-2023 FSC-klagomål.docx", "A 46099-2023")</f>
        <v/>
      </c>
      <c r="W170">
        <f>HYPERLINK("https://klasma.github.io/Logging_1737/klagomålsmail/A 46099-2023 FSC-klagomål mail.docx", "A 46099-2023")</f>
        <v/>
      </c>
      <c r="X170">
        <f>HYPERLINK("https://klasma.github.io/Logging_1737/tillsyn/A 46099-2023 tillsynsbegäran.docx", "A 46099-2023")</f>
        <v/>
      </c>
      <c r="Y170">
        <f>HYPERLINK("https://klasma.github.io/Logging_1737/tillsynsmail/A 46099-2023 tillsynsbegäran mail.docx", "A 46099-2023")</f>
        <v/>
      </c>
    </row>
    <row r="171" ht="15" customHeight="1">
      <c r="A171" t="inlineStr">
        <is>
          <t>A 49724-2023</t>
        </is>
      </c>
      <c r="B171" s="1" t="n">
        <v>45208</v>
      </c>
      <c r="C171" s="1" t="n">
        <v>45849</v>
      </c>
      <c r="D171" t="inlineStr">
        <is>
          <t>VÄRMLANDS LÄN</t>
        </is>
      </c>
      <c r="E171" t="inlineStr">
        <is>
          <t>TORSBY</t>
        </is>
      </c>
      <c r="G171" t="n">
        <v>2.6</v>
      </c>
      <c r="H171" t="n">
        <v>0</v>
      </c>
      <c r="I171" t="n">
        <v>0</v>
      </c>
      <c r="J171" t="n">
        <v>1</v>
      </c>
      <c r="K171" t="n">
        <v>0</v>
      </c>
      <c r="L171" t="n">
        <v>0</v>
      </c>
      <c r="M171" t="n">
        <v>0</v>
      </c>
      <c r="N171" t="n">
        <v>0</v>
      </c>
      <c r="O171" t="n">
        <v>1</v>
      </c>
      <c r="P171" t="n">
        <v>0</v>
      </c>
      <c r="Q171" t="n">
        <v>1</v>
      </c>
      <c r="R171" s="2" t="inlineStr">
        <is>
          <t>Garnlav</t>
        </is>
      </c>
      <c r="S171">
        <f>HYPERLINK("https://klasma.github.io/Logging_1737/artfynd/A 49724-2023 artfynd.xlsx", "A 49724-2023")</f>
        <v/>
      </c>
      <c r="T171">
        <f>HYPERLINK("https://klasma.github.io/Logging_1737/kartor/A 49724-2023 karta.png", "A 49724-2023")</f>
        <v/>
      </c>
      <c r="V171">
        <f>HYPERLINK("https://klasma.github.io/Logging_1737/klagomål/A 49724-2023 FSC-klagomål.docx", "A 49724-2023")</f>
        <v/>
      </c>
      <c r="W171">
        <f>HYPERLINK("https://klasma.github.io/Logging_1737/klagomålsmail/A 49724-2023 FSC-klagomål mail.docx", "A 49724-2023")</f>
        <v/>
      </c>
      <c r="X171">
        <f>HYPERLINK("https://klasma.github.io/Logging_1737/tillsyn/A 49724-2023 tillsynsbegäran.docx", "A 49724-2023")</f>
        <v/>
      </c>
      <c r="Y171">
        <f>HYPERLINK("https://klasma.github.io/Logging_1737/tillsynsmail/A 49724-2023 tillsynsbegäran mail.docx", "A 49724-2023")</f>
        <v/>
      </c>
    </row>
    <row r="172" ht="15" customHeight="1">
      <c r="A172" t="inlineStr">
        <is>
          <t>A 57971-2023</t>
        </is>
      </c>
      <c r="B172" s="1" t="n">
        <v>45247</v>
      </c>
      <c r="C172" s="1" t="n">
        <v>45849</v>
      </c>
      <c r="D172" t="inlineStr">
        <is>
          <t>VÄRMLANDS LÄN</t>
        </is>
      </c>
      <c r="E172" t="inlineStr">
        <is>
          <t>TORSBY</t>
        </is>
      </c>
      <c r="G172" t="n">
        <v>12.4</v>
      </c>
      <c r="H172" t="n">
        <v>0</v>
      </c>
      <c r="I172" t="n">
        <v>0</v>
      </c>
      <c r="J172" t="n">
        <v>1</v>
      </c>
      <c r="K172" t="n">
        <v>0</v>
      </c>
      <c r="L172" t="n">
        <v>0</v>
      </c>
      <c r="M172" t="n">
        <v>0</v>
      </c>
      <c r="N172" t="n">
        <v>0</v>
      </c>
      <c r="O172" t="n">
        <v>1</v>
      </c>
      <c r="P172" t="n">
        <v>0</v>
      </c>
      <c r="Q172" t="n">
        <v>1</v>
      </c>
      <c r="R172" s="2" t="inlineStr">
        <is>
          <t>Garnlav</t>
        </is>
      </c>
      <c r="S172">
        <f>HYPERLINK("https://klasma.github.io/Logging_1737/artfynd/A 57971-2023 artfynd.xlsx", "A 57971-2023")</f>
        <v/>
      </c>
      <c r="T172">
        <f>HYPERLINK("https://klasma.github.io/Logging_1737/kartor/A 57971-2023 karta.png", "A 57971-2023")</f>
        <v/>
      </c>
      <c r="V172">
        <f>HYPERLINK("https://klasma.github.io/Logging_1737/klagomål/A 57971-2023 FSC-klagomål.docx", "A 57971-2023")</f>
        <v/>
      </c>
      <c r="W172">
        <f>HYPERLINK("https://klasma.github.io/Logging_1737/klagomålsmail/A 57971-2023 FSC-klagomål mail.docx", "A 57971-2023")</f>
        <v/>
      </c>
      <c r="X172">
        <f>HYPERLINK("https://klasma.github.io/Logging_1737/tillsyn/A 57971-2023 tillsynsbegäran.docx", "A 57971-2023")</f>
        <v/>
      </c>
      <c r="Y172">
        <f>HYPERLINK("https://klasma.github.io/Logging_1737/tillsynsmail/A 57971-2023 tillsynsbegäran mail.docx", "A 57971-2023")</f>
        <v/>
      </c>
    </row>
    <row r="173" ht="15" customHeight="1">
      <c r="A173" t="inlineStr">
        <is>
          <t>A 61911-2023</t>
        </is>
      </c>
      <c r="B173" s="1" t="n">
        <v>45266</v>
      </c>
      <c r="C173" s="1" t="n">
        <v>45849</v>
      </c>
      <c r="D173" t="inlineStr">
        <is>
          <t>VÄRMLANDS LÄN</t>
        </is>
      </c>
      <c r="E173" t="inlineStr">
        <is>
          <t>TORSBY</t>
        </is>
      </c>
      <c r="F173" t="inlineStr">
        <is>
          <t>Kommuner</t>
        </is>
      </c>
      <c r="G173" t="n">
        <v>9.1</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61911-2023 artfynd.xlsx", "A 61911-2023")</f>
        <v/>
      </c>
      <c r="T173">
        <f>HYPERLINK("https://klasma.github.io/Logging_1737/kartor/A 61911-2023 karta.png", "A 61911-2023")</f>
        <v/>
      </c>
      <c r="V173">
        <f>HYPERLINK("https://klasma.github.io/Logging_1737/klagomål/A 61911-2023 FSC-klagomål.docx", "A 61911-2023")</f>
        <v/>
      </c>
      <c r="W173">
        <f>HYPERLINK("https://klasma.github.io/Logging_1737/klagomålsmail/A 61911-2023 FSC-klagomål mail.docx", "A 61911-2023")</f>
        <v/>
      </c>
      <c r="X173">
        <f>HYPERLINK("https://klasma.github.io/Logging_1737/tillsyn/A 61911-2023 tillsynsbegäran.docx", "A 61911-2023")</f>
        <v/>
      </c>
      <c r="Y173">
        <f>HYPERLINK("https://klasma.github.io/Logging_1737/tillsynsmail/A 61911-2023 tillsynsbegäran mail.docx", "A 61911-2023")</f>
        <v/>
      </c>
    </row>
    <row r="174" ht="15" customHeight="1">
      <c r="A174" t="inlineStr">
        <is>
          <t>A 1811-2024</t>
        </is>
      </c>
      <c r="B174" s="1" t="n">
        <v>45307</v>
      </c>
      <c r="C174" s="1" t="n">
        <v>45849</v>
      </c>
      <c r="D174" t="inlineStr">
        <is>
          <t>VÄRMLANDS LÄN</t>
        </is>
      </c>
      <c r="E174" t="inlineStr">
        <is>
          <t>TORSBY</t>
        </is>
      </c>
      <c r="G174" t="n">
        <v>12.1</v>
      </c>
      <c r="H174" t="n">
        <v>1</v>
      </c>
      <c r="I174" t="n">
        <v>0</v>
      </c>
      <c r="J174" t="n">
        <v>0</v>
      </c>
      <c r="K174" t="n">
        <v>0</v>
      </c>
      <c r="L174" t="n">
        <v>0</v>
      </c>
      <c r="M174" t="n">
        <v>0</v>
      </c>
      <c r="N174" t="n">
        <v>0</v>
      </c>
      <c r="O174" t="n">
        <v>0</v>
      </c>
      <c r="P174" t="n">
        <v>0</v>
      </c>
      <c r="Q174" t="n">
        <v>1</v>
      </c>
      <c r="R174" s="2" t="inlineStr">
        <is>
          <t>Revlummer</t>
        </is>
      </c>
      <c r="S174">
        <f>HYPERLINK("https://klasma.github.io/Logging_1737/artfynd/A 1811-2024 artfynd.xlsx", "A 1811-2024")</f>
        <v/>
      </c>
      <c r="T174">
        <f>HYPERLINK("https://klasma.github.io/Logging_1737/kartor/A 1811-2024 karta.png", "A 1811-2024")</f>
        <v/>
      </c>
      <c r="V174">
        <f>HYPERLINK("https://klasma.github.io/Logging_1737/klagomål/A 1811-2024 FSC-klagomål.docx", "A 1811-2024")</f>
        <v/>
      </c>
      <c r="W174">
        <f>HYPERLINK("https://klasma.github.io/Logging_1737/klagomålsmail/A 1811-2024 FSC-klagomål mail.docx", "A 1811-2024")</f>
        <v/>
      </c>
      <c r="X174">
        <f>HYPERLINK("https://klasma.github.io/Logging_1737/tillsyn/A 1811-2024 tillsynsbegäran.docx", "A 1811-2024")</f>
        <v/>
      </c>
      <c r="Y174">
        <f>HYPERLINK("https://klasma.github.io/Logging_1737/tillsynsmail/A 1811-2024 tillsynsbegäran mail.docx", "A 1811-2024")</f>
        <v/>
      </c>
    </row>
    <row r="175" ht="15" customHeight="1">
      <c r="A175" t="inlineStr">
        <is>
          <t>A 2039-2024</t>
        </is>
      </c>
      <c r="B175" s="1" t="n">
        <v>45308</v>
      </c>
      <c r="C175" s="1" t="n">
        <v>45849</v>
      </c>
      <c r="D175" t="inlineStr">
        <is>
          <t>VÄRMLANDS LÄN</t>
        </is>
      </c>
      <c r="E175" t="inlineStr">
        <is>
          <t>TORSBY</t>
        </is>
      </c>
      <c r="G175" t="n">
        <v>6.4</v>
      </c>
      <c r="H175" t="n">
        <v>1</v>
      </c>
      <c r="I175" t="n">
        <v>0</v>
      </c>
      <c r="J175" t="n">
        <v>1</v>
      </c>
      <c r="K175" t="n">
        <v>0</v>
      </c>
      <c r="L175" t="n">
        <v>0</v>
      </c>
      <c r="M175" t="n">
        <v>0</v>
      </c>
      <c r="N175" t="n">
        <v>0</v>
      </c>
      <c r="O175" t="n">
        <v>1</v>
      </c>
      <c r="P175" t="n">
        <v>0</v>
      </c>
      <c r="Q175" t="n">
        <v>1</v>
      </c>
      <c r="R175" s="2" t="inlineStr">
        <is>
          <t>Kungsörn</t>
        </is>
      </c>
      <c r="S175">
        <f>HYPERLINK("https://klasma.github.io/Logging_1737/artfynd/A 2039-2024 artfynd.xlsx", "A 2039-2024")</f>
        <v/>
      </c>
      <c r="T175">
        <f>HYPERLINK("https://klasma.github.io/Logging_1737/kartor/A 2039-2024 karta.png", "A 2039-2024")</f>
        <v/>
      </c>
      <c r="V175">
        <f>HYPERLINK("https://klasma.github.io/Logging_1737/klagomål/A 2039-2024 FSC-klagomål.docx", "A 2039-2024")</f>
        <v/>
      </c>
      <c r="W175">
        <f>HYPERLINK("https://klasma.github.io/Logging_1737/klagomålsmail/A 2039-2024 FSC-klagomål mail.docx", "A 2039-2024")</f>
        <v/>
      </c>
      <c r="X175">
        <f>HYPERLINK("https://klasma.github.io/Logging_1737/tillsyn/A 2039-2024 tillsynsbegäran.docx", "A 2039-2024")</f>
        <v/>
      </c>
      <c r="Y175">
        <f>HYPERLINK("https://klasma.github.io/Logging_1737/tillsynsmail/A 2039-2024 tillsynsbegäran mail.docx", "A 2039-2024")</f>
        <v/>
      </c>
      <c r="Z175">
        <f>HYPERLINK("https://klasma.github.io/Logging_1737/fåglar/A 2039-2024 prioriterade fågelarter.docx", "A 2039-2024")</f>
        <v/>
      </c>
    </row>
    <row r="176" ht="15" customHeight="1">
      <c r="A176" t="inlineStr">
        <is>
          <t>A 4985-2024</t>
        </is>
      </c>
      <c r="B176" s="1" t="n">
        <v>45329</v>
      </c>
      <c r="C176" s="1" t="n">
        <v>45849</v>
      </c>
      <c r="D176" t="inlineStr">
        <is>
          <t>VÄRMLANDS LÄN</t>
        </is>
      </c>
      <c r="E176" t="inlineStr">
        <is>
          <t>TORSBY</t>
        </is>
      </c>
      <c r="G176" t="n">
        <v>4.9</v>
      </c>
      <c r="H176" t="n">
        <v>0</v>
      </c>
      <c r="I176" t="n">
        <v>0</v>
      </c>
      <c r="J176" t="n">
        <v>1</v>
      </c>
      <c r="K176" t="n">
        <v>0</v>
      </c>
      <c r="L176" t="n">
        <v>0</v>
      </c>
      <c r="M176" t="n">
        <v>0</v>
      </c>
      <c r="N176" t="n">
        <v>0</v>
      </c>
      <c r="O176" t="n">
        <v>1</v>
      </c>
      <c r="P176" t="n">
        <v>0</v>
      </c>
      <c r="Q176" t="n">
        <v>1</v>
      </c>
      <c r="R176" s="2" t="inlineStr">
        <is>
          <t>Garnlav</t>
        </is>
      </c>
      <c r="S176">
        <f>HYPERLINK("https://klasma.github.io/Logging_1737/artfynd/A 4985-2024 artfynd.xlsx", "A 4985-2024")</f>
        <v/>
      </c>
      <c r="T176">
        <f>HYPERLINK("https://klasma.github.io/Logging_1737/kartor/A 4985-2024 karta.png", "A 4985-2024")</f>
        <v/>
      </c>
      <c r="V176">
        <f>HYPERLINK("https://klasma.github.io/Logging_1737/klagomål/A 4985-2024 FSC-klagomål.docx", "A 4985-2024")</f>
        <v/>
      </c>
      <c r="W176">
        <f>HYPERLINK("https://klasma.github.io/Logging_1737/klagomålsmail/A 4985-2024 FSC-klagomål mail.docx", "A 4985-2024")</f>
        <v/>
      </c>
      <c r="X176">
        <f>HYPERLINK("https://klasma.github.io/Logging_1737/tillsyn/A 4985-2024 tillsynsbegäran.docx", "A 4985-2024")</f>
        <v/>
      </c>
      <c r="Y176">
        <f>HYPERLINK("https://klasma.github.io/Logging_1737/tillsynsmail/A 4985-2024 tillsynsbegäran mail.docx", "A 4985-2024")</f>
        <v/>
      </c>
    </row>
    <row r="177" ht="15" customHeight="1">
      <c r="A177" t="inlineStr">
        <is>
          <t>A 19760-2024</t>
        </is>
      </c>
      <c r="B177" s="1" t="n">
        <v>45432</v>
      </c>
      <c r="C177" s="1" t="n">
        <v>45849</v>
      </c>
      <c r="D177" t="inlineStr">
        <is>
          <t>VÄRMLANDS LÄN</t>
        </is>
      </c>
      <c r="E177" t="inlineStr">
        <is>
          <t>TORSBY</t>
        </is>
      </c>
      <c r="F177" t="inlineStr">
        <is>
          <t>Bergvik skog väst AB</t>
        </is>
      </c>
      <c r="G177" t="n">
        <v>7.9</v>
      </c>
      <c r="H177" t="n">
        <v>1</v>
      </c>
      <c r="I177" t="n">
        <v>0</v>
      </c>
      <c r="J177" t="n">
        <v>1</v>
      </c>
      <c r="K177" t="n">
        <v>0</v>
      </c>
      <c r="L177" t="n">
        <v>0</v>
      </c>
      <c r="M177" t="n">
        <v>0</v>
      </c>
      <c r="N177" t="n">
        <v>0</v>
      </c>
      <c r="O177" t="n">
        <v>1</v>
      </c>
      <c r="P177" t="n">
        <v>0</v>
      </c>
      <c r="Q177" t="n">
        <v>1</v>
      </c>
      <c r="R177" s="2" t="inlineStr">
        <is>
          <t>Utter</t>
        </is>
      </c>
      <c r="S177">
        <f>HYPERLINK("https://klasma.github.io/Logging_1737/artfynd/A 19760-2024 artfynd.xlsx", "A 19760-2024")</f>
        <v/>
      </c>
      <c r="T177">
        <f>HYPERLINK("https://klasma.github.io/Logging_1737/kartor/A 19760-2024 karta.png", "A 19760-2024")</f>
        <v/>
      </c>
      <c r="V177">
        <f>HYPERLINK("https://klasma.github.io/Logging_1737/klagomål/A 19760-2024 FSC-klagomål.docx", "A 19760-2024")</f>
        <v/>
      </c>
      <c r="W177">
        <f>HYPERLINK("https://klasma.github.io/Logging_1737/klagomålsmail/A 19760-2024 FSC-klagomål mail.docx", "A 19760-2024")</f>
        <v/>
      </c>
      <c r="X177">
        <f>HYPERLINK("https://klasma.github.io/Logging_1737/tillsyn/A 19760-2024 tillsynsbegäran.docx", "A 19760-2024")</f>
        <v/>
      </c>
      <c r="Y177">
        <f>HYPERLINK("https://klasma.github.io/Logging_1737/tillsynsmail/A 19760-2024 tillsynsbegäran mail.docx", "A 19760-2024")</f>
        <v/>
      </c>
    </row>
    <row r="178" ht="15" customHeight="1">
      <c r="A178" t="inlineStr">
        <is>
          <t>A 25789-2024</t>
        </is>
      </c>
      <c r="B178" s="1" t="n">
        <v>45467</v>
      </c>
      <c r="C178" s="1" t="n">
        <v>45849</v>
      </c>
      <c r="D178" t="inlineStr">
        <is>
          <t>VÄRMLANDS LÄN</t>
        </is>
      </c>
      <c r="E178" t="inlineStr">
        <is>
          <t>TORSBY</t>
        </is>
      </c>
      <c r="F178" t="inlineStr">
        <is>
          <t>Bergvik skog väst AB</t>
        </is>
      </c>
      <c r="G178" t="n">
        <v>9</v>
      </c>
      <c r="H178" t="n">
        <v>1</v>
      </c>
      <c r="I178" t="n">
        <v>0</v>
      </c>
      <c r="J178" t="n">
        <v>1</v>
      </c>
      <c r="K178" t="n">
        <v>0</v>
      </c>
      <c r="L178" t="n">
        <v>0</v>
      </c>
      <c r="M178" t="n">
        <v>0</v>
      </c>
      <c r="N178" t="n">
        <v>0</v>
      </c>
      <c r="O178" t="n">
        <v>1</v>
      </c>
      <c r="P178" t="n">
        <v>0</v>
      </c>
      <c r="Q178" t="n">
        <v>1</v>
      </c>
      <c r="R178" s="2" t="inlineStr">
        <is>
          <t>Järpe</t>
        </is>
      </c>
      <c r="S178">
        <f>HYPERLINK("https://klasma.github.io/Logging_1737/artfynd/A 25789-2024 artfynd.xlsx", "A 25789-2024")</f>
        <v/>
      </c>
      <c r="T178">
        <f>HYPERLINK("https://klasma.github.io/Logging_1737/kartor/A 25789-2024 karta.png", "A 25789-2024")</f>
        <v/>
      </c>
      <c r="V178">
        <f>HYPERLINK("https://klasma.github.io/Logging_1737/klagomål/A 25789-2024 FSC-klagomål.docx", "A 25789-2024")</f>
        <v/>
      </c>
      <c r="W178">
        <f>HYPERLINK("https://klasma.github.io/Logging_1737/klagomålsmail/A 25789-2024 FSC-klagomål mail.docx", "A 25789-2024")</f>
        <v/>
      </c>
      <c r="X178">
        <f>HYPERLINK("https://klasma.github.io/Logging_1737/tillsyn/A 25789-2024 tillsynsbegäran.docx", "A 25789-2024")</f>
        <v/>
      </c>
      <c r="Y178">
        <f>HYPERLINK("https://klasma.github.io/Logging_1737/tillsynsmail/A 25789-2024 tillsynsbegäran mail.docx", "A 25789-2024")</f>
        <v/>
      </c>
      <c r="Z178">
        <f>HYPERLINK("https://klasma.github.io/Logging_1737/fåglar/A 25789-2024 prioriterade fågelarter.docx", "A 25789-2024")</f>
        <v/>
      </c>
    </row>
    <row r="179" ht="15" customHeight="1">
      <c r="A179" t="inlineStr">
        <is>
          <t>A 36962-2024</t>
        </is>
      </c>
      <c r="B179" s="1" t="n">
        <v>45538</v>
      </c>
      <c r="C179" s="1" t="n">
        <v>45849</v>
      </c>
      <c r="D179" t="inlineStr">
        <is>
          <t>VÄRMLANDS LÄN</t>
        </is>
      </c>
      <c r="E179" t="inlineStr">
        <is>
          <t>TORSBY</t>
        </is>
      </c>
      <c r="G179" t="n">
        <v>17</v>
      </c>
      <c r="H179" t="n">
        <v>0</v>
      </c>
      <c r="I179" t="n">
        <v>1</v>
      </c>
      <c r="J179" t="n">
        <v>0</v>
      </c>
      <c r="K179" t="n">
        <v>0</v>
      </c>
      <c r="L179" t="n">
        <v>0</v>
      </c>
      <c r="M179" t="n">
        <v>0</v>
      </c>
      <c r="N179" t="n">
        <v>0</v>
      </c>
      <c r="O179" t="n">
        <v>0</v>
      </c>
      <c r="P179" t="n">
        <v>0</v>
      </c>
      <c r="Q179" t="n">
        <v>1</v>
      </c>
      <c r="R179" s="2" t="inlineStr">
        <is>
          <t>Dropptaggsvamp</t>
        </is>
      </c>
      <c r="S179">
        <f>HYPERLINK("https://klasma.github.io/Logging_1737/artfynd/A 36962-2024 artfynd.xlsx", "A 36962-2024")</f>
        <v/>
      </c>
      <c r="T179">
        <f>HYPERLINK("https://klasma.github.io/Logging_1737/kartor/A 36962-2024 karta.png", "A 36962-2024")</f>
        <v/>
      </c>
      <c r="V179">
        <f>HYPERLINK("https://klasma.github.io/Logging_1737/klagomål/A 36962-2024 FSC-klagomål.docx", "A 36962-2024")</f>
        <v/>
      </c>
      <c r="W179">
        <f>HYPERLINK("https://klasma.github.io/Logging_1737/klagomålsmail/A 36962-2024 FSC-klagomål mail.docx", "A 36962-2024")</f>
        <v/>
      </c>
      <c r="X179">
        <f>HYPERLINK("https://klasma.github.io/Logging_1737/tillsyn/A 36962-2024 tillsynsbegäran.docx", "A 36962-2024")</f>
        <v/>
      </c>
      <c r="Y179">
        <f>HYPERLINK("https://klasma.github.io/Logging_1737/tillsynsmail/A 36962-2024 tillsynsbegäran mail.docx", "A 36962-2024")</f>
        <v/>
      </c>
    </row>
    <row r="180" ht="15" customHeight="1">
      <c r="A180" t="inlineStr">
        <is>
          <t>A 37292-2024</t>
        </is>
      </c>
      <c r="B180" s="1" t="n">
        <v>45540</v>
      </c>
      <c r="C180" s="1" t="n">
        <v>45849</v>
      </c>
      <c r="D180" t="inlineStr">
        <is>
          <t>VÄRMLANDS LÄN</t>
        </is>
      </c>
      <c r="E180" t="inlineStr">
        <is>
          <t>TORSBY</t>
        </is>
      </c>
      <c r="G180" t="n">
        <v>5.4</v>
      </c>
      <c r="H180" t="n">
        <v>0</v>
      </c>
      <c r="I180" t="n">
        <v>0</v>
      </c>
      <c r="J180" t="n">
        <v>1</v>
      </c>
      <c r="K180" t="n">
        <v>0</v>
      </c>
      <c r="L180" t="n">
        <v>0</v>
      </c>
      <c r="M180" t="n">
        <v>0</v>
      </c>
      <c r="N180" t="n">
        <v>0</v>
      </c>
      <c r="O180" t="n">
        <v>1</v>
      </c>
      <c r="P180" t="n">
        <v>0</v>
      </c>
      <c r="Q180" t="n">
        <v>1</v>
      </c>
      <c r="R180" s="2" t="inlineStr">
        <is>
          <t>Garnlav</t>
        </is>
      </c>
      <c r="S180">
        <f>HYPERLINK("https://klasma.github.io/Logging_1737/artfynd/A 37292-2024 artfynd.xlsx", "A 37292-2024")</f>
        <v/>
      </c>
      <c r="T180">
        <f>HYPERLINK("https://klasma.github.io/Logging_1737/kartor/A 37292-2024 karta.png", "A 37292-2024")</f>
        <v/>
      </c>
      <c r="V180">
        <f>HYPERLINK("https://klasma.github.io/Logging_1737/klagomål/A 37292-2024 FSC-klagomål.docx", "A 37292-2024")</f>
        <v/>
      </c>
      <c r="W180">
        <f>HYPERLINK("https://klasma.github.io/Logging_1737/klagomålsmail/A 37292-2024 FSC-klagomål mail.docx", "A 37292-2024")</f>
        <v/>
      </c>
      <c r="X180">
        <f>HYPERLINK("https://klasma.github.io/Logging_1737/tillsyn/A 37292-2024 tillsynsbegäran.docx", "A 37292-2024")</f>
        <v/>
      </c>
      <c r="Y180">
        <f>HYPERLINK("https://klasma.github.io/Logging_1737/tillsynsmail/A 37292-2024 tillsynsbegäran mail.docx", "A 37292-2024")</f>
        <v/>
      </c>
    </row>
    <row r="181" ht="15" customHeight="1">
      <c r="A181" t="inlineStr">
        <is>
          <t>A 40033-2024</t>
        </is>
      </c>
      <c r="B181" s="1" t="n">
        <v>45553</v>
      </c>
      <c r="C181" s="1" t="n">
        <v>45849</v>
      </c>
      <c r="D181" t="inlineStr">
        <is>
          <t>VÄRMLANDS LÄN</t>
        </is>
      </c>
      <c r="E181" t="inlineStr">
        <is>
          <t>TORSBY</t>
        </is>
      </c>
      <c r="G181" t="n">
        <v>6.2</v>
      </c>
      <c r="H181" t="n">
        <v>0</v>
      </c>
      <c r="I181" t="n">
        <v>0</v>
      </c>
      <c r="J181" t="n">
        <v>1</v>
      </c>
      <c r="K181" t="n">
        <v>0</v>
      </c>
      <c r="L181" t="n">
        <v>0</v>
      </c>
      <c r="M181" t="n">
        <v>0</v>
      </c>
      <c r="N181" t="n">
        <v>0</v>
      </c>
      <c r="O181" t="n">
        <v>1</v>
      </c>
      <c r="P181" t="n">
        <v>0</v>
      </c>
      <c r="Q181" t="n">
        <v>1</v>
      </c>
      <c r="R181" s="2" t="inlineStr">
        <is>
          <t>Violettgrå tagellav</t>
        </is>
      </c>
      <c r="S181">
        <f>HYPERLINK("https://klasma.github.io/Logging_1737/artfynd/A 40033-2024 artfynd.xlsx", "A 40033-2024")</f>
        <v/>
      </c>
      <c r="T181">
        <f>HYPERLINK("https://klasma.github.io/Logging_1737/kartor/A 40033-2024 karta.png", "A 40033-2024")</f>
        <v/>
      </c>
      <c r="V181">
        <f>HYPERLINK("https://klasma.github.io/Logging_1737/klagomål/A 40033-2024 FSC-klagomål.docx", "A 40033-2024")</f>
        <v/>
      </c>
      <c r="W181">
        <f>HYPERLINK("https://klasma.github.io/Logging_1737/klagomålsmail/A 40033-2024 FSC-klagomål mail.docx", "A 40033-2024")</f>
        <v/>
      </c>
      <c r="X181">
        <f>HYPERLINK("https://klasma.github.io/Logging_1737/tillsyn/A 40033-2024 tillsynsbegäran.docx", "A 40033-2024")</f>
        <v/>
      </c>
      <c r="Y181">
        <f>HYPERLINK("https://klasma.github.io/Logging_1737/tillsynsmail/A 40033-2024 tillsynsbegäran mail.docx", "A 40033-2024")</f>
        <v/>
      </c>
    </row>
    <row r="182" ht="15" customHeight="1">
      <c r="A182" t="inlineStr">
        <is>
          <t>A 40934-2024</t>
        </is>
      </c>
      <c r="B182" s="1" t="n">
        <v>45558</v>
      </c>
      <c r="C182" s="1" t="n">
        <v>45849</v>
      </c>
      <c r="D182" t="inlineStr">
        <is>
          <t>VÄRMLANDS LÄN</t>
        </is>
      </c>
      <c r="E182" t="inlineStr">
        <is>
          <t>TORSBY</t>
        </is>
      </c>
      <c r="G182" t="n">
        <v>8.1</v>
      </c>
      <c r="H182" t="n">
        <v>0</v>
      </c>
      <c r="I182" t="n">
        <v>0</v>
      </c>
      <c r="J182" t="n">
        <v>1</v>
      </c>
      <c r="K182" t="n">
        <v>0</v>
      </c>
      <c r="L182" t="n">
        <v>0</v>
      </c>
      <c r="M182" t="n">
        <v>0</v>
      </c>
      <c r="N182" t="n">
        <v>0</v>
      </c>
      <c r="O182" t="n">
        <v>1</v>
      </c>
      <c r="P182" t="n">
        <v>0</v>
      </c>
      <c r="Q182" t="n">
        <v>1</v>
      </c>
      <c r="R182" s="2" t="inlineStr">
        <is>
          <t>Lunglav</t>
        </is>
      </c>
      <c r="S182">
        <f>HYPERLINK("https://klasma.github.io/Logging_1737/artfynd/A 40934-2024 artfynd.xlsx", "A 40934-2024")</f>
        <v/>
      </c>
      <c r="T182">
        <f>HYPERLINK("https://klasma.github.io/Logging_1737/kartor/A 40934-2024 karta.png", "A 40934-2024")</f>
        <v/>
      </c>
      <c r="V182">
        <f>HYPERLINK("https://klasma.github.io/Logging_1737/klagomål/A 40934-2024 FSC-klagomål.docx", "A 40934-2024")</f>
        <v/>
      </c>
      <c r="W182">
        <f>HYPERLINK("https://klasma.github.io/Logging_1737/klagomålsmail/A 40934-2024 FSC-klagomål mail.docx", "A 40934-2024")</f>
        <v/>
      </c>
      <c r="X182">
        <f>HYPERLINK("https://klasma.github.io/Logging_1737/tillsyn/A 40934-2024 tillsynsbegäran.docx", "A 40934-2024")</f>
        <v/>
      </c>
      <c r="Y182">
        <f>HYPERLINK("https://klasma.github.io/Logging_1737/tillsynsmail/A 40934-2024 tillsynsbegäran mail.docx", "A 40934-2024")</f>
        <v/>
      </c>
    </row>
    <row r="183" ht="15" customHeight="1">
      <c r="A183" t="inlineStr">
        <is>
          <t>A 41350-2024</t>
        </is>
      </c>
      <c r="B183" s="1" t="n">
        <v>45559</v>
      </c>
      <c r="C183" s="1" t="n">
        <v>45849</v>
      </c>
      <c r="D183" t="inlineStr">
        <is>
          <t>VÄRMLANDS LÄN</t>
        </is>
      </c>
      <c r="E183" t="inlineStr">
        <is>
          <t>TORSBY</t>
        </is>
      </c>
      <c r="G183" t="n">
        <v>5.5</v>
      </c>
      <c r="H183" t="n">
        <v>0</v>
      </c>
      <c r="I183" t="n">
        <v>0</v>
      </c>
      <c r="J183" t="n">
        <v>1</v>
      </c>
      <c r="K183" t="n">
        <v>0</v>
      </c>
      <c r="L183" t="n">
        <v>0</v>
      </c>
      <c r="M183" t="n">
        <v>0</v>
      </c>
      <c r="N183" t="n">
        <v>0</v>
      </c>
      <c r="O183" t="n">
        <v>1</v>
      </c>
      <c r="P183" t="n">
        <v>0</v>
      </c>
      <c r="Q183" t="n">
        <v>1</v>
      </c>
      <c r="R183" s="2" t="inlineStr">
        <is>
          <t>Garnlav</t>
        </is>
      </c>
      <c r="S183">
        <f>HYPERLINK("https://klasma.github.io/Logging_1737/artfynd/A 41350-2024 artfynd.xlsx", "A 41350-2024")</f>
        <v/>
      </c>
      <c r="T183">
        <f>HYPERLINK("https://klasma.github.io/Logging_1737/kartor/A 41350-2024 karta.png", "A 41350-2024")</f>
        <v/>
      </c>
      <c r="V183">
        <f>HYPERLINK("https://klasma.github.io/Logging_1737/klagomål/A 41350-2024 FSC-klagomål.docx", "A 41350-2024")</f>
        <v/>
      </c>
      <c r="W183">
        <f>HYPERLINK("https://klasma.github.io/Logging_1737/klagomålsmail/A 41350-2024 FSC-klagomål mail.docx", "A 41350-2024")</f>
        <v/>
      </c>
      <c r="X183">
        <f>HYPERLINK("https://klasma.github.io/Logging_1737/tillsyn/A 41350-2024 tillsynsbegäran.docx", "A 41350-2024")</f>
        <v/>
      </c>
      <c r="Y183">
        <f>HYPERLINK("https://klasma.github.io/Logging_1737/tillsynsmail/A 41350-2024 tillsynsbegäran mail.docx", "A 41350-2024")</f>
        <v/>
      </c>
    </row>
    <row r="184" ht="15" customHeight="1">
      <c r="A184" t="inlineStr">
        <is>
          <t>A 41477-2024</t>
        </is>
      </c>
      <c r="B184" s="1" t="n">
        <v>45560</v>
      </c>
      <c r="C184" s="1" t="n">
        <v>45849</v>
      </c>
      <c r="D184" t="inlineStr">
        <is>
          <t>VÄRMLANDS LÄN</t>
        </is>
      </c>
      <c r="E184" t="inlineStr">
        <is>
          <t>TORSBY</t>
        </is>
      </c>
      <c r="G184" t="n">
        <v>6.7</v>
      </c>
      <c r="H184" t="n">
        <v>0</v>
      </c>
      <c r="I184" t="n">
        <v>0</v>
      </c>
      <c r="J184" t="n">
        <v>1</v>
      </c>
      <c r="K184" t="n">
        <v>0</v>
      </c>
      <c r="L184" t="n">
        <v>0</v>
      </c>
      <c r="M184" t="n">
        <v>0</v>
      </c>
      <c r="N184" t="n">
        <v>0</v>
      </c>
      <c r="O184" t="n">
        <v>1</v>
      </c>
      <c r="P184" t="n">
        <v>0</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47689-2024</t>
        </is>
      </c>
      <c r="B185" s="1" t="n">
        <v>45588</v>
      </c>
      <c r="C185" s="1" t="n">
        <v>45849</v>
      </c>
      <c r="D185" t="inlineStr">
        <is>
          <t>VÄRMLANDS LÄN</t>
        </is>
      </c>
      <c r="E185" t="inlineStr">
        <is>
          <t>TORSBY</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HYPERLINK("https://klasma.github.io/Logging_1737/artfynd/A 47689-2024 artfynd.xlsx", "A 47689-2024")</f>
        <v/>
      </c>
      <c r="T185">
        <f>HYPERLINK("https://klasma.github.io/Logging_1737/kartor/A 47689-2024 karta.png", "A 47689-2024")</f>
        <v/>
      </c>
      <c r="V185">
        <f>HYPERLINK("https://klasma.github.io/Logging_1737/klagomål/A 47689-2024 FSC-klagomål.docx", "A 47689-2024")</f>
        <v/>
      </c>
      <c r="W185">
        <f>HYPERLINK("https://klasma.github.io/Logging_1737/klagomålsmail/A 47689-2024 FSC-klagomål mail.docx", "A 47689-2024")</f>
        <v/>
      </c>
      <c r="X185">
        <f>HYPERLINK("https://klasma.github.io/Logging_1737/tillsyn/A 47689-2024 tillsynsbegäran.docx", "A 47689-2024")</f>
        <v/>
      </c>
      <c r="Y185">
        <f>HYPERLINK("https://klasma.github.io/Logging_1737/tillsynsmail/A 47689-2024 tillsynsbegäran mail.docx", "A 47689-2024")</f>
        <v/>
      </c>
    </row>
    <row r="186" ht="15" customHeight="1">
      <c r="A186" t="inlineStr">
        <is>
          <t>A 50318-2024</t>
        </is>
      </c>
      <c r="B186" s="1" t="n">
        <v>45600</v>
      </c>
      <c r="C186" s="1" t="n">
        <v>45849</v>
      </c>
      <c r="D186" t="inlineStr">
        <is>
          <t>VÄRMLANDS LÄN</t>
        </is>
      </c>
      <c r="E186" t="inlineStr">
        <is>
          <t>TORSBY</t>
        </is>
      </c>
      <c r="F186" t="inlineStr">
        <is>
          <t>Bergvik skog väst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50318-2024 artfynd.xlsx", "A 50318-2024")</f>
        <v/>
      </c>
      <c r="T186">
        <f>HYPERLINK("https://klasma.github.io/Logging_1737/kartor/A 50318-2024 karta.png", "A 50318-2024")</f>
        <v/>
      </c>
      <c r="V186">
        <f>HYPERLINK("https://klasma.github.io/Logging_1737/klagomål/A 50318-2024 FSC-klagomål.docx", "A 50318-2024")</f>
        <v/>
      </c>
      <c r="W186">
        <f>HYPERLINK("https://klasma.github.io/Logging_1737/klagomålsmail/A 50318-2024 FSC-klagomål mail.docx", "A 50318-2024")</f>
        <v/>
      </c>
      <c r="X186">
        <f>HYPERLINK("https://klasma.github.io/Logging_1737/tillsyn/A 50318-2024 tillsynsbegäran.docx", "A 50318-2024")</f>
        <v/>
      </c>
      <c r="Y186">
        <f>HYPERLINK("https://klasma.github.io/Logging_1737/tillsynsmail/A 50318-2024 tillsynsbegäran mail.docx", "A 50318-2024")</f>
        <v/>
      </c>
    </row>
    <row r="187" ht="15" customHeight="1">
      <c r="A187" t="inlineStr">
        <is>
          <t>A 53862-2024</t>
        </is>
      </c>
      <c r="B187" s="1" t="n">
        <v>45615</v>
      </c>
      <c r="C187" s="1" t="n">
        <v>45849</v>
      </c>
      <c r="D187" t="inlineStr">
        <is>
          <t>VÄRMLANDS LÄN</t>
        </is>
      </c>
      <c r="E187" t="inlineStr">
        <is>
          <t>TORSBY</t>
        </is>
      </c>
      <c r="G187" t="n">
        <v>3.4</v>
      </c>
      <c r="H187" t="n">
        <v>0</v>
      </c>
      <c r="I187" t="n">
        <v>0</v>
      </c>
      <c r="J187" t="n">
        <v>1</v>
      </c>
      <c r="K187" t="n">
        <v>0</v>
      </c>
      <c r="L187" t="n">
        <v>0</v>
      </c>
      <c r="M187" t="n">
        <v>0</v>
      </c>
      <c r="N187" t="n">
        <v>0</v>
      </c>
      <c r="O187" t="n">
        <v>1</v>
      </c>
      <c r="P187" t="n">
        <v>0</v>
      </c>
      <c r="Q187" t="n">
        <v>1</v>
      </c>
      <c r="R187" s="2" t="inlineStr">
        <is>
          <t>Kolflarnlav</t>
        </is>
      </c>
      <c r="S187">
        <f>HYPERLINK("https://klasma.github.io/Logging_1737/artfynd/A 53862-2024 artfynd.xlsx", "A 53862-2024")</f>
        <v/>
      </c>
      <c r="T187">
        <f>HYPERLINK("https://klasma.github.io/Logging_1737/kartor/A 53862-2024 karta.png", "A 53862-2024")</f>
        <v/>
      </c>
      <c r="V187">
        <f>HYPERLINK("https://klasma.github.io/Logging_1737/klagomål/A 53862-2024 FSC-klagomål.docx", "A 53862-2024")</f>
        <v/>
      </c>
      <c r="W187">
        <f>HYPERLINK("https://klasma.github.io/Logging_1737/klagomålsmail/A 53862-2024 FSC-klagomål mail.docx", "A 53862-2024")</f>
        <v/>
      </c>
      <c r="X187">
        <f>HYPERLINK("https://klasma.github.io/Logging_1737/tillsyn/A 53862-2024 tillsynsbegäran.docx", "A 53862-2024")</f>
        <v/>
      </c>
      <c r="Y187">
        <f>HYPERLINK("https://klasma.github.io/Logging_1737/tillsynsmail/A 53862-2024 tillsynsbegäran mail.docx", "A 53862-2024")</f>
        <v/>
      </c>
    </row>
    <row r="188" ht="15" customHeight="1">
      <c r="A188" t="inlineStr">
        <is>
          <t>A 54009-2024</t>
        </is>
      </c>
      <c r="B188" s="1" t="n">
        <v>45616</v>
      </c>
      <c r="C188" s="1" t="n">
        <v>45849</v>
      </c>
      <c r="D188" t="inlineStr">
        <is>
          <t>VÄRMLANDS LÄN</t>
        </is>
      </c>
      <c r="E188" t="inlineStr">
        <is>
          <t>TORSBY</t>
        </is>
      </c>
      <c r="F188" t="inlineStr">
        <is>
          <t>Bergvik skog väst AB</t>
        </is>
      </c>
      <c r="G188" t="n">
        <v>8.800000000000001</v>
      </c>
      <c r="H188" t="n">
        <v>1</v>
      </c>
      <c r="I188" t="n">
        <v>1</v>
      </c>
      <c r="J188" t="n">
        <v>0</v>
      </c>
      <c r="K188" t="n">
        <v>0</v>
      </c>
      <c r="L188" t="n">
        <v>0</v>
      </c>
      <c r="M188" t="n">
        <v>0</v>
      </c>
      <c r="N188" t="n">
        <v>0</v>
      </c>
      <c r="O188" t="n">
        <v>0</v>
      </c>
      <c r="P188" t="n">
        <v>0</v>
      </c>
      <c r="Q188" t="n">
        <v>1</v>
      </c>
      <c r="R188" s="2" t="inlineStr">
        <is>
          <t>Korallrot</t>
        </is>
      </c>
      <c r="S188">
        <f>HYPERLINK("https://klasma.github.io/Logging_1737/artfynd/A 54009-2024 artfynd.xlsx", "A 54009-2024")</f>
        <v/>
      </c>
      <c r="T188">
        <f>HYPERLINK("https://klasma.github.io/Logging_1737/kartor/A 54009-2024 karta.png", "A 54009-2024")</f>
        <v/>
      </c>
      <c r="V188">
        <f>HYPERLINK("https://klasma.github.io/Logging_1737/klagomål/A 54009-2024 FSC-klagomål.docx", "A 54009-2024")</f>
        <v/>
      </c>
      <c r="W188">
        <f>HYPERLINK("https://klasma.github.io/Logging_1737/klagomålsmail/A 54009-2024 FSC-klagomål mail.docx", "A 54009-2024")</f>
        <v/>
      </c>
      <c r="X188">
        <f>HYPERLINK("https://klasma.github.io/Logging_1737/tillsyn/A 54009-2024 tillsynsbegäran.docx", "A 54009-2024")</f>
        <v/>
      </c>
      <c r="Y188">
        <f>HYPERLINK("https://klasma.github.io/Logging_1737/tillsynsmail/A 54009-2024 tillsynsbegäran mail.docx", "A 54009-2024")</f>
        <v/>
      </c>
    </row>
    <row r="189" ht="15" customHeight="1">
      <c r="A189" t="inlineStr">
        <is>
          <t>A 54029-2024</t>
        </is>
      </c>
      <c r="B189" s="1" t="n">
        <v>45616</v>
      </c>
      <c r="C189" s="1" t="n">
        <v>45849</v>
      </c>
      <c r="D189" t="inlineStr">
        <is>
          <t>VÄRMLANDS LÄN</t>
        </is>
      </c>
      <c r="E189" t="inlineStr">
        <is>
          <t>TORSBY</t>
        </is>
      </c>
      <c r="G189" t="n">
        <v>10.2</v>
      </c>
      <c r="H189" t="n">
        <v>0</v>
      </c>
      <c r="I189" t="n">
        <v>1</v>
      </c>
      <c r="J189" t="n">
        <v>0</v>
      </c>
      <c r="K189" t="n">
        <v>0</v>
      </c>
      <c r="L189" t="n">
        <v>0</v>
      </c>
      <c r="M189" t="n">
        <v>0</v>
      </c>
      <c r="N189" t="n">
        <v>0</v>
      </c>
      <c r="O189" t="n">
        <v>0</v>
      </c>
      <c r="P189" t="n">
        <v>0</v>
      </c>
      <c r="Q189" t="n">
        <v>1</v>
      </c>
      <c r="R189" s="2" t="inlineStr">
        <is>
          <t>Vedticka</t>
        </is>
      </c>
      <c r="S189">
        <f>HYPERLINK("https://klasma.github.io/Logging_1737/artfynd/A 54029-2024 artfynd.xlsx", "A 54029-2024")</f>
        <v/>
      </c>
      <c r="T189">
        <f>HYPERLINK("https://klasma.github.io/Logging_1737/kartor/A 54029-2024 karta.png", "A 54029-2024")</f>
        <v/>
      </c>
      <c r="V189">
        <f>HYPERLINK("https://klasma.github.io/Logging_1737/klagomål/A 54029-2024 FSC-klagomål.docx", "A 54029-2024")</f>
        <v/>
      </c>
      <c r="W189">
        <f>HYPERLINK("https://klasma.github.io/Logging_1737/klagomålsmail/A 54029-2024 FSC-klagomål mail.docx", "A 54029-2024")</f>
        <v/>
      </c>
      <c r="X189">
        <f>HYPERLINK("https://klasma.github.io/Logging_1737/tillsyn/A 54029-2024 tillsynsbegäran.docx", "A 54029-2024")</f>
        <v/>
      </c>
      <c r="Y189">
        <f>HYPERLINK("https://klasma.github.io/Logging_1737/tillsynsmail/A 54029-2024 tillsynsbegäran mail.docx", "A 54029-2024")</f>
        <v/>
      </c>
    </row>
    <row r="190" ht="15" customHeight="1">
      <c r="A190" t="inlineStr">
        <is>
          <t>A 54788-2024</t>
        </is>
      </c>
      <c r="B190" s="1" t="n">
        <v>45618</v>
      </c>
      <c r="C190" s="1" t="n">
        <v>45849</v>
      </c>
      <c r="D190" t="inlineStr">
        <is>
          <t>VÄRMLANDS LÄN</t>
        </is>
      </c>
      <c r="E190" t="inlineStr">
        <is>
          <t>TORSBY</t>
        </is>
      </c>
      <c r="G190" t="n">
        <v>2.4</v>
      </c>
      <c r="H190" t="n">
        <v>0</v>
      </c>
      <c r="I190" t="n">
        <v>0</v>
      </c>
      <c r="J190" t="n">
        <v>1</v>
      </c>
      <c r="K190" t="n">
        <v>0</v>
      </c>
      <c r="L190" t="n">
        <v>0</v>
      </c>
      <c r="M190" t="n">
        <v>0</v>
      </c>
      <c r="N190" t="n">
        <v>0</v>
      </c>
      <c r="O190" t="n">
        <v>1</v>
      </c>
      <c r="P190" t="n">
        <v>0</v>
      </c>
      <c r="Q190" t="n">
        <v>1</v>
      </c>
      <c r="R190" s="2" t="inlineStr">
        <is>
          <t>Mörk kolflarnlav</t>
        </is>
      </c>
      <c r="S190">
        <f>HYPERLINK("https://klasma.github.io/Logging_1737/artfynd/A 54788-2024 artfynd.xlsx", "A 54788-2024")</f>
        <v/>
      </c>
      <c r="T190">
        <f>HYPERLINK("https://klasma.github.io/Logging_1737/kartor/A 54788-2024 karta.png", "A 54788-2024")</f>
        <v/>
      </c>
      <c r="V190">
        <f>HYPERLINK("https://klasma.github.io/Logging_1737/klagomål/A 54788-2024 FSC-klagomål.docx", "A 54788-2024")</f>
        <v/>
      </c>
      <c r="W190">
        <f>HYPERLINK("https://klasma.github.io/Logging_1737/klagomålsmail/A 54788-2024 FSC-klagomål mail.docx", "A 54788-2024")</f>
        <v/>
      </c>
      <c r="X190">
        <f>HYPERLINK("https://klasma.github.io/Logging_1737/tillsyn/A 54788-2024 tillsynsbegäran.docx", "A 54788-2024")</f>
        <v/>
      </c>
      <c r="Y190">
        <f>HYPERLINK("https://klasma.github.io/Logging_1737/tillsynsmail/A 54788-2024 tillsynsbegäran mail.docx", "A 54788-2024")</f>
        <v/>
      </c>
    </row>
    <row r="191" ht="15" customHeight="1">
      <c r="A191" t="inlineStr">
        <is>
          <t>A 54786-2024</t>
        </is>
      </c>
      <c r="B191" s="1" t="n">
        <v>45618</v>
      </c>
      <c r="C191" s="1" t="n">
        <v>45849</v>
      </c>
      <c r="D191" t="inlineStr">
        <is>
          <t>VÄRMLANDS LÄN</t>
        </is>
      </c>
      <c r="E191" t="inlineStr">
        <is>
          <t>TORSBY</t>
        </is>
      </c>
      <c r="G191" t="n">
        <v>3.8</v>
      </c>
      <c r="H191" t="n">
        <v>0</v>
      </c>
      <c r="I191" t="n">
        <v>0</v>
      </c>
      <c r="J191" t="n">
        <v>1</v>
      </c>
      <c r="K191" t="n">
        <v>0</v>
      </c>
      <c r="L191" t="n">
        <v>0</v>
      </c>
      <c r="M191" t="n">
        <v>0</v>
      </c>
      <c r="N191" t="n">
        <v>0</v>
      </c>
      <c r="O191" t="n">
        <v>1</v>
      </c>
      <c r="P191" t="n">
        <v>0</v>
      </c>
      <c r="Q191" t="n">
        <v>1</v>
      </c>
      <c r="R191" s="2" t="inlineStr">
        <is>
          <t>Dvärgbägarlav</t>
        </is>
      </c>
      <c r="S191">
        <f>HYPERLINK("https://klasma.github.io/Logging_1737/artfynd/A 54786-2024 artfynd.xlsx", "A 54786-2024")</f>
        <v/>
      </c>
      <c r="T191">
        <f>HYPERLINK("https://klasma.github.io/Logging_1737/kartor/A 54786-2024 karta.png", "A 54786-2024")</f>
        <v/>
      </c>
      <c r="V191">
        <f>HYPERLINK("https://klasma.github.io/Logging_1737/klagomål/A 54786-2024 FSC-klagomål.docx", "A 54786-2024")</f>
        <v/>
      </c>
      <c r="W191">
        <f>HYPERLINK("https://klasma.github.io/Logging_1737/klagomålsmail/A 54786-2024 FSC-klagomål mail.docx", "A 54786-2024")</f>
        <v/>
      </c>
      <c r="X191">
        <f>HYPERLINK("https://klasma.github.io/Logging_1737/tillsyn/A 54786-2024 tillsynsbegäran.docx", "A 54786-2024")</f>
        <v/>
      </c>
      <c r="Y191">
        <f>HYPERLINK("https://klasma.github.io/Logging_1737/tillsynsmail/A 54786-2024 tillsynsbegäran mail.docx", "A 54786-2024")</f>
        <v/>
      </c>
    </row>
    <row r="192" ht="15" customHeight="1">
      <c r="A192" t="inlineStr">
        <is>
          <t>A 56133-2024</t>
        </is>
      </c>
      <c r="B192" s="1" t="n">
        <v>45624</v>
      </c>
      <c r="C192" s="1" t="n">
        <v>45849</v>
      </c>
      <c r="D192" t="inlineStr">
        <is>
          <t>VÄRMLANDS LÄN</t>
        </is>
      </c>
      <c r="E192" t="inlineStr">
        <is>
          <t>TORSBY</t>
        </is>
      </c>
      <c r="G192" t="n">
        <v>2.4</v>
      </c>
      <c r="H192" t="n">
        <v>0</v>
      </c>
      <c r="I192" t="n">
        <v>1</v>
      </c>
      <c r="J192" t="n">
        <v>0</v>
      </c>
      <c r="K192" t="n">
        <v>0</v>
      </c>
      <c r="L192" t="n">
        <v>0</v>
      </c>
      <c r="M192" t="n">
        <v>0</v>
      </c>
      <c r="N192" t="n">
        <v>0</v>
      </c>
      <c r="O192" t="n">
        <v>0</v>
      </c>
      <c r="P192" t="n">
        <v>0</v>
      </c>
      <c r="Q192" t="n">
        <v>1</v>
      </c>
      <c r="R192" s="2" t="inlineStr">
        <is>
          <t>Vedticka</t>
        </is>
      </c>
      <c r="S192">
        <f>HYPERLINK("https://klasma.github.io/Logging_1737/artfynd/A 56133-2024 artfynd.xlsx", "A 56133-2024")</f>
        <v/>
      </c>
      <c r="T192">
        <f>HYPERLINK("https://klasma.github.io/Logging_1737/kartor/A 56133-2024 karta.png", "A 56133-2024")</f>
        <v/>
      </c>
      <c r="V192">
        <f>HYPERLINK("https://klasma.github.io/Logging_1737/klagomål/A 56133-2024 FSC-klagomål.docx", "A 56133-2024")</f>
        <v/>
      </c>
      <c r="W192">
        <f>HYPERLINK("https://klasma.github.io/Logging_1737/klagomålsmail/A 56133-2024 FSC-klagomål mail.docx", "A 56133-2024")</f>
        <v/>
      </c>
      <c r="X192">
        <f>HYPERLINK("https://klasma.github.io/Logging_1737/tillsyn/A 56133-2024 tillsynsbegäran.docx", "A 56133-2024")</f>
        <v/>
      </c>
      <c r="Y192">
        <f>HYPERLINK("https://klasma.github.io/Logging_1737/tillsynsmail/A 56133-2024 tillsynsbegäran mail.docx", "A 56133-2024")</f>
        <v/>
      </c>
    </row>
    <row r="193" ht="15" customHeight="1">
      <c r="A193" t="inlineStr">
        <is>
          <t>A 56990-2024</t>
        </is>
      </c>
      <c r="B193" s="1" t="n">
        <v>45628</v>
      </c>
      <c r="C193" s="1" t="n">
        <v>45849</v>
      </c>
      <c r="D193" t="inlineStr">
        <is>
          <t>VÄRMLANDS LÄN</t>
        </is>
      </c>
      <c r="E193" t="inlineStr">
        <is>
          <t>TORSBY</t>
        </is>
      </c>
      <c r="F193" t="inlineStr">
        <is>
          <t>Bergvik skog väst AB</t>
        </is>
      </c>
      <c r="G193" t="n">
        <v>8.699999999999999</v>
      </c>
      <c r="H193" t="n">
        <v>1</v>
      </c>
      <c r="I193" t="n">
        <v>0</v>
      </c>
      <c r="J193" t="n">
        <v>1</v>
      </c>
      <c r="K193" t="n">
        <v>0</v>
      </c>
      <c r="L193" t="n">
        <v>0</v>
      </c>
      <c r="M193" t="n">
        <v>0</v>
      </c>
      <c r="N193" t="n">
        <v>0</v>
      </c>
      <c r="O193" t="n">
        <v>1</v>
      </c>
      <c r="P193" t="n">
        <v>0</v>
      </c>
      <c r="Q193" t="n">
        <v>1</v>
      </c>
      <c r="R193" s="2" t="inlineStr">
        <is>
          <t>Grönsångare</t>
        </is>
      </c>
      <c r="S193">
        <f>HYPERLINK("https://klasma.github.io/Logging_1737/artfynd/A 56990-2024 artfynd.xlsx", "A 56990-2024")</f>
        <v/>
      </c>
      <c r="T193">
        <f>HYPERLINK("https://klasma.github.io/Logging_1737/kartor/A 56990-2024 karta.png", "A 56990-2024")</f>
        <v/>
      </c>
      <c r="V193">
        <f>HYPERLINK("https://klasma.github.io/Logging_1737/klagomål/A 56990-2024 FSC-klagomål.docx", "A 56990-2024")</f>
        <v/>
      </c>
      <c r="W193">
        <f>HYPERLINK("https://klasma.github.io/Logging_1737/klagomålsmail/A 56990-2024 FSC-klagomål mail.docx", "A 56990-2024")</f>
        <v/>
      </c>
      <c r="X193">
        <f>HYPERLINK("https://klasma.github.io/Logging_1737/tillsyn/A 56990-2024 tillsynsbegäran.docx", "A 56990-2024")</f>
        <v/>
      </c>
      <c r="Y193">
        <f>HYPERLINK("https://klasma.github.io/Logging_1737/tillsynsmail/A 56990-2024 tillsynsbegäran mail.docx", "A 56990-2024")</f>
        <v/>
      </c>
      <c r="Z193">
        <f>HYPERLINK("https://klasma.github.io/Logging_1737/fåglar/A 56990-2024 prioriterade fågelarter.docx", "A 56990-2024")</f>
        <v/>
      </c>
    </row>
    <row r="194" ht="15" customHeight="1">
      <c r="A194" t="inlineStr">
        <is>
          <t>A 58014-2024</t>
        </is>
      </c>
      <c r="B194" s="1" t="n">
        <v>45631</v>
      </c>
      <c r="C194" s="1" t="n">
        <v>45849</v>
      </c>
      <c r="D194" t="inlineStr">
        <is>
          <t>VÄRMLANDS LÄN</t>
        </is>
      </c>
      <c r="E194" t="inlineStr">
        <is>
          <t>TORSBY</t>
        </is>
      </c>
      <c r="G194" t="n">
        <v>2.2</v>
      </c>
      <c r="H194" t="n">
        <v>0</v>
      </c>
      <c r="I194" t="n">
        <v>1</v>
      </c>
      <c r="J194" t="n">
        <v>0</v>
      </c>
      <c r="K194" t="n">
        <v>0</v>
      </c>
      <c r="L194" t="n">
        <v>0</v>
      </c>
      <c r="M194" t="n">
        <v>0</v>
      </c>
      <c r="N194" t="n">
        <v>0</v>
      </c>
      <c r="O194" t="n">
        <v>0</v>
      </c>
      <c r="P194" t="n">
        <v>0</v>
      </c>
      <c r="Q194" t="n">
        <v>1</v>
      </c>
      <c r="R194" s="2" t="inlineStr">
        <is>
          <t>Kattfotslav</t>
        </is>
      </c>
      <c r="S194">
        <f>HYPERLINK("https://klasma.github.io/Logging_1737/artfynd/A 58014-2024 artfynd.xlsx", "A 58014-2024")</f>
        <v/>
      </c>
      <c r="T194">
        <f>HYPERLINK("https://klasma.github.io/Logging_1737/kartor/A 58014-2024 karta.png", "A 58014-2024")</f>
        <v/>
      </c>
      <c r="V194">
        <f>HYPERLINK("https://klasma.github.io/Logging_1737/klagomål/A 58014-2024 FSC-klagomål.docx", "A 58014-2024")</f>
        <v/>
      </c>
      <c r="W194">
        <f>HYPERLINK("https://klasma.github.io/Logging_1737/klagomålsmail/A 58014-2024 FSC-klagomål mail.docx", "A 58014-2024")</f>
        <v/>
      </c>
      <c r="X194">
        <f>HYPERLINK("https://klasma.github.io/Logging_1737/tillsyn/A 58014-2024 tillsynsbegäran.docx", "A 58014-2024")</f>
        <v/>
      </c>
      <c r="Y194">
        <f>HYPERLINK("https://klasma.github.io/Logging_1737/tillsynsmail/A 58014-2024 tillsynsbegäran mail.docx", "A 58014-2024")</f>
        <v/>
      </c>
    </row>
    <row r="195" ht="15" customHeight="1">
      <c r="A195" t="inlineStr">
        <is>
          <t>A 5726-2025</t>
        </is>
      </c>
      <c r="B195" s="1" t="n">
        <v>45694</v>
      </c>
      <c r="C195" s="1" t="n">
        <v>45849</v>
      </c>
      <c r="D195" t="inlineStr">
        <is>
          <t>VÄRMLANDS LÄN</t>
        </is>
      </c>
      <c r="E195" t="inlineStr">
        <is>
          <t>TORSBY</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HYPERLINK("https://klasma.github.io/Logging_1737/artfynd/A 5726-2025 artfynd.xlsx", "A 5726-2025")</f>
        <v/>
      </c>
      <c r="T195">
        <f>HYPERLINK("https://klasma.github.io/Logging_1737/kartor/A 5726-2025 karta.png", "A 5726-2025")</f>
        <v/>
      </c>
      <c r="V195">
        <f>HYPERLINK("https://klasma.github.io/Logging_1737/klagomål/A 5726-2025 FSC-klagomål.docx", "A 5726-2025")</f>
        <v/>
      </c>
      <c r="W195">
        <f>HYPERLINK("https://klasma.github.io/Logging_1737/klagomålsmail/A 5726-2025 FSC-klagomål mail.docx", "A 5726-2025")</f>
        <v/>
      </c>
      <c r="X195">
        <f>HYPERLINK("https://klasma.github.io/Logging_1737/tillsyn/A 5726-2025 tillsynsbegäran.docx", "A 5726-2025")</f>
        <v/>
      </c>
      <c r="Y195">
        <f>HYPERLINK("https://klasma.github.io/Logging_1737/tillsynsmail/A 5726-2025 tillsynsbegäran mail.docx", "A 5726-2025")</f>
        <v/>
      </c>
    </row>
    <row r="196" ht="15" customHeight="1">
      <c r="A196" t="inlineStr">
        <is>
          <t>A 12517-2025</t>
        </is>
      </c>
      <c r="B196" s="1" t="n">
        <v>45730</v>
      </c>
      <c r="C196" s="1" t="n">
        <v>45849</v>
      </c>
      <c r="D196" t="inlineStr">
        <is>
          <t>VÄRMLANDS LÄN</t>
        </is>
      </c>
      <c r="E196" t="inlineStr">
        <is>
          <t>TORSBY</t>
        </is>
      </c>
      <c r="F196" t="inlineStr">
        <is>
          <t>Bergvik skog väst AB</t>
        </is>
      </c>
      <c r="G196" t="n">
        <v>34</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12517-2025 artfynd.xlsx", "A 12517-2025")</f>
        <v/>
      </c>
      <c r="T196">
        <f>HYPERLINK("https://klasma.github.io/Logging_171737/kartor/A 12517-2025 karta.png", "A 12517-2025")</f>
        <v/>
      </c>
      <c r="V196">
        <f>HYPERLINK("https://klasma.github.io/Logging_171737/klagomål/A 12517-2025 FSC-klagomål.docx", "A 12517-2025")</f>
        <v/>
      </c>
      <c r="W196">
        <f>HYPERLINK("https://klasma.github.io/Logging_171737/klagomålsmail/A 12517-2025 FSC-klagomål mail.docx", "A 12517-2025")</f>
        <v/>
      </c>
      <c r="X196">
        <f>HYPERLINK("https://klasma.github.io/Logging_171737/tillsyn/A 12517-2025 tillsynsbegäran.docx", "A 12517-2025")</f>
        <v/>
      </c>
      <c r="Y196">
        <f>HYPERLINK("https://klasma.github.io/Logging_171737/tillsynsmail/A 12517-2025 tillsynsbegäran mail.docx", "A 12517-2025")</f>
        <v/>
      </c>
    </row>
    <row r="197" ht="15" customHeight="1">
      <c r="A197" t="inlineStr">
        <is>
          <t>A 14212-2025</t>
        </is>
      </c>
      <c r="B197" s="1" t="n">
        <v>45740</v>
      </c>
      <c r="C197" s="1" t="n">
        <v>45849</v>
      </c>
      <c r="D197" t="inlineStr">
        <is>
          <t>VÄRMLANDS LÄN</t>
        </is>
      </c>
      <c r="E197" t="inlineStr">
        <is>
          <t>TORSBY</t>
        </is>
      </c>
      <c r="F197" t="inlineStr">
        <is>
          <t>Övriga statliga verk och myndigheter</t>
        </is>
      </c>
      <c r="G197" t="n">
        <v>2</v>
      </c>
      <c r="H197" t="n">
        <v>0</v>
      </c>
      <c r="I197" t="n">
        <v>0</v>
      </c>
      <c r="J197" t="n">
        <v>0</v>
      </c>
      <c r="K197" t="n">
        <v>1</v>
      </c>
      <c r="L197" t="n">
        <v>0</v>
      </c>
      <c r="M197" t="n">
        <v>0</v>
      </c>
      <c r="N197" t="n">
        <v>0</v>
      </c>
      <c r="O197" t="n">
        <v>1</v>
      </c>
      <c r="P197" t="n">
        <v>1</v>
      </c>
      <c r="Q197" t="n">
        <v>1</v>
      </c>
      <c r="R197" s="2" t="inlineStr">
        <is>
          <t>Raggbock</t>
        </is>
      </c>
      <c r="S197">
        <f>HYPERLINK("https://klasma.github.io/Logging_171737/artfynd/A 14212-2025 artfynd.xlsx", "A 14212-2025")</f>
        <v/>
      </c>
      <c r="T197">
        <f>HYPERLINK("https://klasma.github.io/Logging_171737/kartor/A 14212-2025 karta.png", "A 14212-2025")</f>
        <v/>
      </c>
      <c r="V197">
        <f>HYPERLINK("https://klasma.github.io/Logging_171737/klagomål/A 14212-2025 FSC-klagomål.docx", "A 14212-2025")</f>
        <v/>
      </c>
      <c r="W197">
        <f>HYPERLINK("https://klasma.github.io/Logging_171737/klagomålsmail/A 14212-2025 FSC-klagomål mail.docx", "A 14212-2025")</f>
        <v/>
      </c>
      <c r="X197">
        <f>HYPERLINK("https://klasma.github.io/Logging_171737/tillsyn/A 14212-2025 tillsynsbegäran.docx", "A 14212-2025")</f>
        <v/>
      </c>
      <c r="Y197">
        <f>HYPERLINK("https://klasma.github.io/Logging_171737/tillsynsmail/A 14212-2025 tillsynsbegäran mail.docx", "A 14212-2025")</f>
        <v/>
      </c>
    </row>
    <row r="198" ht="15" customHeight="1">
      <c r="A198" t="inlineStr">
        <is>
          <t>A 15872-2025</t>
        </is>
      </c>
      <c r="B198" s="1" t="n">
        <v>45749</v>
      </c>
      <c r="C198" s="1" t="n">
        <v>45849</v>
      </c>
      <c r="D198" t="inlineStr">
        <is>
          <t>VÄRMLANDS LÄN</t>
        </is>
      </c>
      <c r="E198" t="inlineStr">
        <is>
          <t>TORSBY</t>
        </is>
      </c>
      <c r="F198" t="inlineStr">
        <is>
          <t>Bergvik skog väst AB</t>
        </is>
      </c>
      <c r="G198" t="n">
        <v>10.8</v>
      </c>
      <c r="H198" t="n">
        <v>1</v>
      </c>
      <c r="I198" t="n">
        <v>1</v>
      </c>
      <c r="J198" t="n">
        <v>0</v>
      </c>
      <c r="K198" t="n">
        <v>0</v>
      </c>
      <c r="L198" t="n">
        <v>0</v>
      </c>
      <c r="M198" t="n">
        <v>0</v>
      </c>
      <c r="N198" t="n">
        <v>0</v>
      </c>
      <c r="O198" t="n">
        <v>0</v>
      </c>
      <c r="P198" t="n">
        <v>0</v>
      </c>
      <c r="Q198" t="n">
        <v>1</v>
      </c>
      <c r="R198" s="2" t="inlineStr">
        <is>
          <t>Korallrot</t>
        </is>
      </c>
      <c r="S198">
        <f>HYPERLINK("https://klasma.github.io/Logging_171737/artfynd/A 15872-2025 artfynd.xlsx", "A 15872-2025")</f>
        <v/>
      </c>
      <c r="T198">
        <f>HYPERLINK("https://klasma.github.io/Logging_171737/kartor/A 15872-2025 karta.png", "A 15872-2025")</f>
        <v/>
      </c>
      <c r="V198">
        <f>HYPERLINK("https://klasma.github.io/Logging_171737/klagomål/A 15872-2025 FSC-klagomål.docx", "A 15872-2025")</f>
        <v/>
      </c>
      <c r="W198">
        <f>HYPERLINK("https://klasma.github.io/Logging_171737/klagomålsmail/A 15872-2025 FSC-klagomål mail.docx", "A 15872-2025")</f>
        <v/>
      </c>
      <c r="X198">
        <f>HYPERLINK("https://klasma.github.io/Logging_171737/tillsyn/A 15872-2025 tillsynsbegäran.docx", "A 15872-2025")</f>
        <v/>
      </c>
      <c r="Y198">
        <f>HYPERLINK("https://klasma.github.io/Logging_171737/tillsynsmail/A 15872-2025 tillsynsbegäran mail.docx", "A 15872-2025")</f>
        <v/>
      </c>
    </row>
    <row r="199" ht="15" customHeight="1">
      <c r="A199" t="inlineStr">
        <is>
          <t>A 16164-2025</t>
        </is>
      </c>
      <c r="B199" s="1" t="n">
        <v>45750</v>
      </c>
      <c r="C199" s="1" t="n">
        <v>45849</v>
      </c>
      <c r="D199" t="inlineStr">
        <is>
          <t>VÄRMLANDS LÄN</t>
        </is>
      </c>
      <c r="E199" t="inlineStr">
        <is>
          <t>TORSBY</t>
        </is>
      </c>
      <c r="G199" t="n">
        <v>1.4</v>
      </c>
      <c r="H199" t="n">
        <v>0</v>
      </c>
      <c r="I199" t="n">
        <v>0</v>
      </c>
      <c r="J199" t="n">
        <v>1</v>
      </c>
      <c r="K199" t="n">
        <v>0</v>
      </c>
      <c r="L199" t="n">
        <v>0</v>
      </c>
      <c r="M199" t="n">
        <v>0</v>
      </c>
      <c r="N199" t="n">
        <v>0</v>
      </c>
      <c r="O199" t="n">
        <v>1</v>
      </c>
      <c r="P199" t="n">
        <v>0</v>
      </c>
      <c r="Q199" t="n">
        <v>1</v>
      </c>
      <c r="R199" s="2" t="inlineStr">
        <is>
          <t>Tallriska</t>
        </is>
      </c>
      <c r="S199">
        <f>HYPERLINK("https://klasma.github.io/Logging_171737/artfynd/A 16164-2025 artfynd.xlsx", "A 16164-2025")</f>
        <v/>
      </c>
      <c r="T199">
        <f>HYPERLINK("https://klasma.github.io/Logging_171737/kartor/A 16164-2025 karta.png", "A 16164-2025")</f>
        <v/>
      </c>
      <c r="V199">
        <f>HYPERLINK("https://klasma.github.io/Logging_171737/klagomål/A 16164-2025 FSC-klagomål.docx", "A 16164-2025")</f>
        <v/>
      </c>
      <c r="W199">
        <f>HYPERLINK("https://klasma.github.io/Logging_171737/klagomålsmail/A 16164-2025 FSC-klagomål mail.docx", "A 16164-2025")</f>
        <v/>
      </c>
      <c r="X199">
        <f>HYPERLINK("https://klasma.github.io/Logging_171737/tillsyn/A 16164-2025 tillsynsbegäran.docx", "A 16164-2025")</f>
        <v/>
      </c>
      <c r="Y199">
        <f>HYPERLINK("https://klasma.github.io/Logging_171737/tillsynsmail/A 16164-2025 tillsynsbegäran mail.docx", "A 16164-2025")</f>
        <v/>
      </c>
    </row>
    <row r="200" ht="15" customHeight="1">
      <c r="A200" t="inlineStr">
        <is>
          <t>A 19930-2025</t>
        </is>
      </c>
      <c r="B200" s="1" t="n">
        <v>45771</v>
      </c>
      <c r="C200" s="1" t="n">
        <v>45849</v>
      </c>
      <c r="D200" t="inlineStr">
        <is>
          <t>VÄRMLANDS LÄN</t>
        </is>
      </c>
      <c r="E200" t="inlineStr">
        <is>
          <t>TORSBY</t>
        </is>
      </c>
      <c r="G200" t="n">
        <v>9.199999999999999</v>
      </c>
      <c r="H200" t="n">
        <v>0</v>
      </c>
      <c r="I200" t="n">
        <v>1</v>
      </c>
      <c r="J200" t="n">
        <v>0</v>
      </c>
      <c r="K200" t="n">
        <v>0</v>
      </c>
      <c r="L200" t="n">
        <v>0</v>
      </c>
      <c r="M200" t="n">
        <v>0</v>
      </c>
      <c r="N200" t="n">
        <v>0</v>
      </c>
      <c r="O200" t="n">
        <v>0</v>
      </c>
      <c r="P200" t="n">
        <v>0</v>
      </c>
      <c r="Q200" t="n">
        <v>1</v>
      </c>
      <c r="R200" s="2" t="inlineStr">
        <is>
          <t>Skinnlav</t>
        </is>
      </c>
      <c r="S200">
        <f>HYPERLINK("https://klasma.github.io/Logging_171737/artfynd/A 19930-2025 artfynd.xlsx", "A 19930-2025")</f>
        <v/>
      </c>
      <c r="T200">
        <f>HYPERLINK("https://klasma.github.io/Logging_171737/kartor/A 19930-2025 karta.png", "A 19930-2025")</f>
        <v/>
      </c>
      <c r="V200">
        <f>HYPERLINK("https://klasma.github.io/Logging_171737/klagomål/A 19930-2025 FSC-klagomål.docx", "A 19930-2025")</f>
        <v/>
      </c>
      <c r="W200">
        <f>HYPERLINK("https://klasma.github.io/Logging_171737/klagomålsmail/A 19930-2025 FSC-klagomål mail.docx", "A 19930-2025")</f>
        <v/>
      </c>
      <c r="X200">
        <f>HYPERLINK("https://klasma.github.io/Logging_171737/tillsyn/A 19930-2025 tillsynsbegäran.docx", "A 19930-2025")</f>
        <v/>
      </c>
      <c r="Y200">
        <f>HYPERLINK("https://klasma.github.io/Logging_171737/tillsynsmail/A 19930-2025 tillsynsbegäran mail.docx", "A 19930-2025")</f>
        <v/>
      </c>
    </row>
    <row r="201" ht="15" customHeight="1">
      <c r="A201" t="inlineStr">
        <is>
          <t>A 22621-2025</t>
        </is>
      </c>
      <c r="B201" s="1" t="n">
        <v>45789</v>
      </c>
      <c r="C201" s="1" t="n">
        <v>45849</v>
      </c>
      <c r="D201" t="inlineStr">
        <is>
          <t>VÄRMLANDS LÄN</t>
        </is>
      </c>
      <c r="E201" t="inlineStr">
        <is>
          <t>TORSBY</t>
        </is>
      </c>
      <c r="G201" t="n">
        <v>17.1</v>
      </c>
      <c r="H201" t="n">
        <v>0</v>
      </c>
      <c r="I201" t="n">
        <v>0</v>
      </c>
      <c r="J201" t="n">
        <v>1</v>
      </c>
      <c r="K201" t="n">
        <v>0</v>
      </c>
      <c r="L201" t="n">
        <v>0</v>
      </c>
      <c r="M201" t="n">
        <v>0</v>
      </c>
      <c r="N201" t="n">
        <v>0</v>
      </c>
      <c r="O201" t="n">
        <v>1</v>
      </c>
      <c r="P201" t="n">
        <v>0</v>
      </c>
      <c r="Q201" t="n">
        <v>1</v>
      </c>
      <c r="R201" s="2" t="inlineStr">
        <is>
          <t>Vaddporing</t>
        </is>
      </c>
      <c r="S201">
        <f>HYPERLINK("https://klasma.github.io/Logging_171737/artfynd/A 22621-2025 artfynd.xlsx", "A 22621-2025")</f>
        <v/>
      </c>
      <c r="T201">
        <f>HYPERLINK("https://klasma.github.io/Logging_171737/kartor/A 22621-2025 karta.png", "A 22621-2025")</f>
        <v/>
      </c>
      <c r="V201">
        <f>HYPERLINK("https://klasma.github.io/Logging_171737/klagomål/A 22621-2025 FSC-klagomål.docx", "A 22621-2025")</f>
        <v/>
      </c>
      <c r="W201">
        <f>HYPERLINK("https://klasma.github.io/Logging_171737/klagomålsmail/A 22621-2025 FSC-klagomål mail.docx", "A 22621-2025")</f>
        <v/>
      </c>
      <c r="X201">
        <f>HYPERLINK("https://klasma.github.io/Logging_171737/tillsyn/A 22621-2025 tillsynsbegäran.docx", "A 22621-2025")</f>
        <v/>
      </c>
      <c r="Y201">
        <f>HYPERLINK("https://klasma.github.io/Logging_171737/tillsynsmail/A 22621-2025 tillsynsbegäran mail.docx", "A 22621-2025")</f>
        <v/>
      </c>
    </row>
    <row r="202" ht="15" customHeight="1">
      <c r="A202" t="inlineStr">
        <is>
          <t>A 25217-2025</t>
        </is>
      </c>
      <c r="B202" s="1" t="n">
        <v>45800</v>
      </c>
      <c r="C202" s="1" t="n">
        <v>45849</v>
      </c>
      <c r="D202" t="inlineStr">
        <is>
          <t>VÄRMLANDS LÄN</t>
        </is>
      </c>
      <c r="E202" t="inlineStr">
        <is>
          <t>TORSBY</t>
        </is>
      </c>
      <c r="G202" t="n">
        <v>10.9</v>
      </c>
      <c r="H202" t="n">
        <v>0</v>
      </c>
      <c r="I202" t="n">
        <v>0</v>
      </c>
      <c r="J202" t="n">
        <v>1</v>
      </c>
      <c r="K202" t="n">
        <v>0</v>
      </c>
      <c r="L202" t="n">
        <v>0</v>
      </c>
      <c r="M202" t="n">
        <v>0</v>
      </c>
      <c r="N202" t="n">
        <v>0</v>
      </c>
      <c r="O202" t="n">
        <v>1</v>
      </c>
      <c r="P202" t="n">
        <v>0</v>
      </c>
      <c r="Q202" t="n">
        <v>1</v>
      </c>
      <c r="R202" s="2" t="inlineStr">
        <is>
          <t>Dvärgbägarlav</t>
        </is>
      </c>
      <c r="S202">
        <f>HYPERLINK("https://klasma.github.io/Logging_171737/artfynd/A 25217-2025 artfynd.xlsx", "A 25217-2025")</f>
        <v/>
      </c>
      <c r="T202">
        <f>HYPERLINK("https://klasma.github.io/Logging_171737/kartor/A 25217-2025 karta.png", "A 25217-2025")</f>
        <v/>
      </c>
      <c r="V202">
        <f>HYPERLINK("https://klasma.github.io/Logging_171737/klagomål/A 25217-2025 FSC-klagomål.docx", "A 25217-2025")</f>
        <v/>
      </c>
      <c r="W202">
        <f>HYPERLINK("https://klasma.github.io/Logging_171737/klagomålsmail/A 25217-2025 FSC-klagomål mail.docx", "A 25217-2025")</f>
        <v/>
      </c>
      <c r="X202">
        <f>HYPERLINK("https://klasma.github.io/Logging_171737/tillsyn/A 25217-2025 tillsynsbegäran.docx", "A 25217-2025")</f>
        <v/>
      </c>
      <c r="Y202">
        <f>HYPERLINK("https://klasma.github.io/Logging_171737/tillsynsmail/A 25217-2025 tillsynsbegäran mail.docx", "A 25217-2025")</f>
        <v/>
      </c>
    </row>
    <row r="203" ht="15" customHeight="1">
      <c r="A203" t="inlineStr">
        <is>
          <t>A 25276-2025</t>
        </is>
      </c>
      <c r="B203" s="1" t="n">
        <v>45800</v>
      </c>
      <c r="C203" s="1" t="n">
        <v>45849</v>
      </c>
      <c r="D203" t="inlineStr">
        <is>
          <t>VÄRMLANDS LÄN</t>
        </is>
      </c>
      <c r="E203" t="inlineStr">
        <is>
          <t>TORSBY</t>
        </is>
      </c>
      <c r="G203" t="n">
        <v>27.6</v>
      </c>
      <c r="H203" t="n">
        <v>0</v>
      </c>
      <c r="I203" t="n">
        <v>0</v>
      </c>
      <c r="J203" t="n">
        <v>1</v>
      </c>
      <c r="K203" t="n">
        <v>0</v>
      </c>
      <c r="L203" t="n">
        <v>0</v>
      </c>
      <c r="M203" t="n">
        <v>0</v>
      </c>
      <c r="N203" t="n">
        <v>0</v>
      </c>
      <c r="O203" t="n">
        <v>1</v>
      </c>
      <c r="P203" t="n">
        <v>0</v>
      </c>
      <c r="Q203" t="n">
        <v>1</v>
      </c>
      <c r="R203" s="2" t="inlineStr">
        <is>
          <t>Lunglav</t>
        </is>
      </c>
      <c r="S203">
        <f>HYPERLINK("https://klasma.github.io/Logging_171737/artfynd/A 25276-2025 artfynd.xlsx", "A 25276-2025")</f>
        <v/>
      </c>
      <c r="T203">
        <f>HYPERLINK("https://klasma.github.io/Logging_171737/kartor/A 25276-2025 karta.png", "A 25276-2025")</f>
        <v/>
      </c>
      <c r="V203">
        <f>HYPERLINK("https://klasma.github.io/Logging_171737/klagomål/A 25276-2025 FSC-klagomål.docx", "A 25276-2025")</f>
        <v/>
      </c>
      <c r="W203">
        <f>HYPERLINK("https://klasma.github.io/Logging_171737/klagomålsmail/A 25276-2025 FSC-klagomål mail.docx", "A 25276-2025")</f>
        <v/>
      </c>
      <c r="X203">
        <f>HYPERLINK("https://klasma.github.io/Logging_171737/tillsyn/A 25276-2025 tillsynsbegäran.docx", "A 25276-2025")</f>
        <v/>
      </c>
      <c r="Y203">
        <f>HYPERLINK("https://klasma.github.io/Logging_171737/tillsynsmail/A 25276-2025 tillsynsbegäran mail.docx", "A 25276-2025")</f>
        <v/>
      </c>
    </row>
    <row r="204" ht="15" customHeight="1">
      <c r="A204" t="inlineStr">
        <is>
          <t>A 25802-2025</t>
        </is>
      </c>
      <c r="B204" s="1" t="n">
        <v>45804</v>
      </c>
      <c r="C204" s="1" t="n">
        <v>45849</v>
      </c>
      <c r="D204" t="inlineStr">
        <is>
          <t>VÄRMLANDS LÄN</t>
        </is>
      </c>
      <c r="E204" t="inlineStr">
        <is>
          <t>TORSBY</t>
        </is>
      </c>
      <c r="G204" t="n">
        <v>2.3</v>
      </c>
      <c r="H204" t="n">
        <v>0</v>
      </c>
      <c r="I204" t="n">
        <v>0</v>
      </c>
      <c r="J204" t="n">
        <v>1</v>
      </c>
      <c r="K204" t="n">
        <v>0</v>
      </c>
      <c r="L204" t="n">
        <v>0</v>
      </c>
      <c r="M204" t="n">
        <v>0</v>
      </c>
      <c r="N204" t="n">
        <v>0</v>
      </c>
      <c r="O204" t="n">
        <v>1</v>
      </c>
      <c r="P204" t="n">
        <v>0</v>
      </c>
      <c r="Q204" t="n">
        <v>1</v>
      </c>
      <c r="R204" s="2" t="inlineStr">
        <is>
          <t>Tallticka</t>
        </is>
      </c>
      <c r="S204">
        <f>HYPERLINK("https://klasma.github.io/Logging_171737/artfynd/A 25802-2025 artfynd.xlsx", "A 25802-2025")</f>
        <v/>
      </c>
      <c r="T204">
        <f>HYPERLINK("https://klasma.github.io/Logging_171737/kartor/A 25802-2025 karta.png", "A 25802-2025")</f>
        <v/>
      </c>
      <c r="V204">
        <f>HYPERLINK("https://klasma.github.io/Logging_171737/klagomål/A 25802-2025 FSC-klagomål.docx", "A 25802-2025")</f>
        <v/>
      </c>
      <c r="W204">
        <f>HYPERLINK("https://klasma.github.io/Logging_171737/klagomålsmail/A 25802-2025 FSC-klagomål mail.docx", "A 25802-2025")</f>
        <v/>
      </c>
      <c r="X204">
        <f>HYPERLINK("https://klasma.github.io/Logging_171737/tillsyn/A 25802-2025 tillsynsbegäran.docx", "A 25802-2025")</f>
        <v/>
      </c>
      <c r="Y204">
        <f>HYPERLINK("https://klasma.github.io/Logging_171737/tillsynsmail/A 25802-2025 tillsynsbegäran mail.docx", "A 25802-2025")</f>
        <v/>
      </c>
    </row>
    <row r="205" ht="15" customHeight="1">
      <c r="A205" t="inlineStr">
        <is>
          <t>A 27108-2025</t>
        </is>
      </c>
      <c r="B205" s="1" t="n">
        <v>45811</v>
      </c>
      <c r="C205" s="1" t="n">
        <v>45849</v>
      </c>
      <c r="D205" t="inlineStr">
        <is>
          <t>VÄRMLANDS LÄN</t>
        </is>
      </c>
      <c r="E205" t="inlineStr">
        <is>
          <t>TORSBY</t>
        </is>
      </c>
      <c r="G205" t="n">
        <v>1.5</v>
      </c>
      <c r="H205" t="n">
        <v>0</v>
      </c>
      <c r="I205" t="n">
        <v>0</v>
      </c>
      <c r="J205" t="n">
        <v>1</v>
      </c>
      <c r="K205" t="n">
        <v>0</v>
      </c>
      <c r="L205" t="n">
        <v>0</v>
      </c>
      <c r="M205" t="n">
        <v>0</v>
      </c>
      <c r="N205" t="n">
        <v>0</v>
      </c>
      <c r="O205" t="n">
        <v>1</v>
      </c>
      <c r="P205" t="n">
        <v>0</v>
      </c>
      <c r="Q205" t="n">
        <v>1</v>
      </c>
      <c r="R205" s="2" t="inlineStr">
        <is>
          <t>Garnlav</t>
        </is>
      </c>
      <c r="S205">
        <f>HYPERLINK("https://klasma.github.io/Logging_171737/artfynd/A 27108-2025 artfynd.xlsx", "A 27108-2025")</f>
        <v/>
      </c>
      <c r="T205">
        <f>HYPERLINK("https://klasma.github.io/Logging_171737/kartor/A 27108-2025 karta.png", "A 27108-2025")</f>
        <v/>
      </c>
      <c r="V205">
        <f>HYPERLINK("https://klasma.github.io/Logging_171737/klagomål/A 27108-2025 FSC-klagomål.docx", "A 27108-2025")</f>
        <v/>
      </c>
      <c r="W205">
        <f>HYPERLINK("https://klasma.github.io/Logging_171737/klagomålsmail/A 27108-2025 FSC-klagomål mail.docx", "A 27108-2025")</f>
        <v/>
      </c>
      <c r="X205">
        <f>HYPERLINK("https://klasma.github.io/Logging_171737/tillsyn/A 27108-2025 tillsynsbegäran.docx", "A 27108-2025")</f>
        <v/>
      </c>
      <c r="Y205">
        <f>HYPERLINK("https://klasma.github.io/Logging_171737/tillsynsmail/A 27108-2025 tillsynsbegäran mail.docx", "A 27108-2025")</f>
        <v/>
      </c>
    </row>
    <row r="206" ht="15" customHeight="1">
      <c r="A206" t="inlineStr">
        <is>
          <t>A 27301-2025</t>
        </is>
      </c>
      <c r="B206" s="1" t="n">
        <v>45812</v>
      </c>
      <c r="C206" s="1" t="n">
        <v>45849</v>
      </c>
      <c r="D206" t="inlineStr">
        <is>
          <t>VÄRMLANDS LÄN</t>
        </is>
      </c>
      <c r="E206" t="inlineStr">
        <is>
          <t>TORSBY</t>
        </is>
      </c>
      <c r="G206" t="n">
        <v>2.7</v>
      </c>
      <c r="H206" t="n">
        <v>1</v>
      </c>
      <c r="I206" t="n">
        <v>0</v>
      </c>
      <c r="J206" t="n">
        <v>1</v>
      </c>
      <c r="K206" t="n">
        <v>0</v>
      </c>
      <c r="L206" t="n">
        <v>0</v>
      </c>
      <c r="M206" t="n">
        <v>0</v>
      </c>
      <c r="N206" t="n">
        <v>0</v>
      </c>
      <c r="O206" t="n">
        <v>1</v>
      </c>
      <c r="P206" t="n">
        <v>0</v>
      </c>
      <c r="Q206" t="n">
        <v>1</v>
      </c>
      <c r="R206" s="2" t="inlineStr">
        <is>
          <t>Nordfladdermus</t>
        </is>
      </c>
      <c r="S206">
        <f>HYPERLINK("https://klasma.github.io/Logging_171737/artfynd/A 27301-2025 artfynd.xlsx", "A 27301-2025")</f>
        <v/>
      </c>
      <c r="T206">
        <f>HYPERLINK("https://klasma.github.io/Logging_171737/kartor/A 27301-2025 karta.png", "A 27301-2025")</f>
        <v/>
      </c>
      <c r="V206">
        <f>HYPERLINK("https://klasma.github.io/Logging_171737/klagomål/A 27301-2025 FSC-klagomål.docx", "A 27301-2025")</f>
        <v/>
      </c>
      <c r="W206">
        <f>HYPERLINK("https://klasma.github.io/Logging_171737/klagomålsmail/A 27301-2025 FSC-klagomål mail.docx", "A 27301-2025")</f>
        <v/>
      </c>
      <c r="X206">
        <f>HYPERLINK("https://klasma.github.io/Logging_171737/tillsyn/A 27301-2025 tillsynsbegäran.docx", "A 27301-2025")</f>
        <v/>
      </c>
      <c r="Y206">
        <f>HYPERLINK("https://klasma.github.io/Logging_171737/tillsynsmail/A 27301-2025 tillsynsbegäran mail.docx", "A 27301-2025")</f>
        <v/>
      </c>
    </row>
    <row r="207" ht="15" customHeight="1">
      <c r="A207" t="inlineStr">
        <is>
          <t>A 29756-2025</t>
        </is>
      </c>
      <c r="B207" s="1" t="n">
        <v>45825</v>
      </c>
      <c r="C207" s="1" t="n">
        <v>45849</v>
      </c>
      <c r="D207" t="inlineStr">
        <is>
          <t>VÄRMLANDS LÄN</t>
        </is>
      </c>
      <c r="E207" t="inlineStr">
        <is>
          <t>TORSBY</t>
        </is>
      </c>
      <c r="G207" t="n">
        <v>6.9</v>
      </c>
      <c r="H207" t="n">
        <v>0</v>
      </c>
      <c r="I207" t="n">
        <v>0</v>
      </c>
      <c r="J207" t="n">
        <v>1</v>
      </c>
      <c r="K207" t="n">
        <v>0</v>
      </c>
      <c r="L207" t="n">
        <v>0</v>
      </c>
      <c r="M207" t="n">
        <v>0</v>
      </c>
      <c r="N207" t="n">
        <v>0</v>
      </c>
      <c r="O207" t="n">
        <v>1</v>
      </c>
      <c r="P207" t="n">
        <v>0</v>
      </c>
      <c r="Q207" t="n">
        <v>1</v>
      </c>
      <c r="R207" s="2" t="inlineStr">
        <is>
          <t>Garnlav</t>
        </is>
      </c>
      <c r="S207">
        <f>HYPERLINK("https://klasma.github.io/Logging_171737/artfynd/A 29756-2025 artfynd.xlsx", "A 29756-2025")</f>
        <v/>
      </c>
      <c r="T207">
        <f>HYPERLINK("https://klasma.github.io/Logging_171737/kartor/A 29756-2025 karta.png", "A 29756-2025")</f>
        <v/>
      </c>
      <c r="V207">
        <f>HYPERLINK("https://klasma.github.io/Logging_171737/klagomål/A 29756-2025 FSC-klagomål.docx", "A 29756-2025")</f>
        <v/>
      </c>
      <c r="W207">
        <f>HYPERLINK("https://klasma.github.io/Logging_171737/klagomålsmail/A 29756-2025 FSC-klagomål mail.docx", "A 29756-2025")</f>
        <v/>
      </c>
      <c r="X207">
        <f>HYPERLINK("https://klasma.github.io/Logging_171737/tillsyn/A 29756-2025 tillsynsbegäran.docx", "A 29756-2025")</f>
        <v/>
      </c>
      <c r="Y207">
        <f>HYPERLINK("https://klasma.github.io/Logging_171737/tillsynsmail/A 29756-2025 tillsynsbegäran mail.docx", "A 29756-2025")</f>
        <v/>
      </c>
    </row>
    <row r="208" ht="15" customHeight="1">
      <c r="A208" t="inlineStr">
        <is>
          <t>A 32328-2025</t>
        </is>
      </c>
      <c r="B208" s="1" t="n">
        <v>45836</v>
      </c>
      <c r="C208" s="1" t="n">
        <v>45849</v>
      </c>
      <c r="D208" t="inlineStr">
        <is>
          <t>VÄRMLANDS LÄN</t>
        </is>
      </c>
      <c r="E208" t="inlineStr">
        <is>
          <t>TORSBY</t>
        </is>
      </c>
      <c r="G208" t="n">
        <v>1.1</v>
      </c>
      <c r="H208" t="n">
        <v>0</v>
      </c>
      <c r="I208" t="n">
        <v>0</v>
      </c>
      <c r="J208" t="n">
        <v>1</v>
      </c>
      <c r="K208" t="n">
        <v>0</v>
      </c>
      <c r="L208" t="n">
        <v>0</v>
      </c>
      <c r="M208" t="n">
        <v>0</v>
      </c>
      <c r="N208" t="n">
        <v>0</v>
      </c>
      <c r="O208" t="n">
        <v>1</v>
      </c>
      <c r="P208" t="n">
        <v>0</v>
      </c>
      <c r="Q208" t="n">
        <v>1</v>
      </c>
      <c r="R208" s="2" t="inlineStr">
        <is>
          <t>Ullticka</t>
        </is>
      </c>
      <c r="S208">
        <f>HYPERLINK("https://klasma.github.io/Logging_171737/artfynd/A 32328-2025 artfynd.xlsx", "A 32328-2025")</f>
        <v/>
      </c>
      <c r="T208">
        <f>HYPERLINK("https://klasma.github.io/Logging_171737/kartor/A 32328-2025 karta.png", "A 32328-2025")</f>
        <v/>
      </c>
      <c r="V208">
        <f>HYPERLINK("https://klasma.github.io/Logging_171737/klagomål/A 32328-2025 FSC-klagomål.docx", "A 32328-2025")</f>
        <v/>
      </c>
      <c r="W208">
        <f>HYPERLINK("https://klasma.github.io/Logging_171737/klagomålsmail/A 32328-2025 FSC-klagomål mail.docx", "A 32328-2025")</f>
        <v/>
      </c>
      <c r="X208">
        <f>HYPERLINK("https://klasma.github.io/Logging_171737/tillsyn/A 32328-2025 tillsynsbegäran.docx", "A 32328-2025")</f>
        <v/>
      </c>
      <c r="Y208">
        <f>HYPERLINK("https://klasma.github.io/Logging_171737/tillsynsmail/A 32328-2025 tillsynsbegäran mail.docx", "A 32328-2025")</f>
        <v/>
      </c>
    </row>
    <row r="209" ht="15" customHeight="1">
      <c r="A209" t="inlineStr">
        <is>
          <t>A 17808-2019</t>
        </is>
      </c>
      <c r="B209" s="1" t="n">
        <v>43556</v>
      </c>
      <c r="C209" s="1" t="n">
        <v>45849</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17788-2019</t>
        </is>
      </c>
      <c r="B210" s="1" t="n">
        <v>43556</v>
      </c>
      <c r="C210" s="1" t="n">
        <v>45849</v>
      </c>
      <c r="D210" t="inlineStr">
        <is>
          <t>VÄRMLANDS LÄN</t>
        </is>
      </c>
      <c r="E210" t="inlineStr">
        <is>
          <t>TORSBY</t>
        </is>
      </c>
      <c r="G210" t="n">
        <v>2.3</v>
      </c>
      <c r="H210" t="n">
        <v>0</v>
      </c>
      <c r="I210" t="n">
        <v>0</v>
      </c>
      <c r="J210" t="n">
        <v>0</v>
      </c>
      <c r="K210" t="n">
        <v>0</v>
      </c>
      <c r="L210" t="n">
        <v>0</v>
      </c>
      <c r="M210" t="n">
        <v>0</v>
      </c>
      <c r="N210" t="n">
        <v>0</v>
      </c>
      <c r="O210" t="n">
        <v>0</v>
      </c>
      <c r="P210" t="n">
        <v>0</v>
      </c>
      <c r="Q210" t="n">
        <v>0</v>
      </c>
      <c r="R210" s="2" t="inlineStr"/>
    </row>
    <row r="211" ht="15" customHeight="1">
      <c r="A211" t="inlineStr">
        <is>
          <t>A 17957-2019</t>
        </is>
      </c>
      <c r="B211" s="1" t="n">
        <v>43557</v>
      </c>
      <c r="C211" s="1" t="n">
        <v>45849</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17864-2019</t>
        </is>
      </c>
      <c r="B212" s="1" t="n">
        <v>43557</v>
      </c>
      <c r="C212" s="1" t="n">
        <v>45849</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18551-2019</t>
        </is>
      </c>
      <c r="B213" s="1" t="n">
        <v>43559</v>
      </c>
      <c r="C213" s="1" t="n">
        <v>45849</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18947-2019</t>
        </is>
      </c>
      <c r="B214" s="1" t="n">
        <v>43563</v>
      </c>
      <c r="C214" s="1" t="n">
        <v>45849</v>
      </c>
      <c r="D214" t="inlineStr">
        <is>
          <t>VÄRMLANDS LÄN</t>
        </is>
      </c>
      <c r="E214" t="inlineStr">
        <is>
          <t>TORSBY</t>
        </is>
      </c>
      <c r="G214" t="n">
        <v>7.6</v>
      </c>
      <c r="H214" t="n">
        <v>0</v>
      </c>
      <c r="I214" t="n">
        <v>0</v>
      </c>
      <c r="J214" t="n">
        <v>0</v>
      </c>
      <c r="K214" t="n">
        <v>0</v>
      </c>
      <c r="L214" t="n">
        <v>0</v>
      </c>
      <c r="M214" t="n">
        <v>0</v>
      </c>
      <c r="N214" t="n">
        <v>0</v>
      </c>
      <c r="O214" t="n">
        <v>0</v>
      </c>
      <c r="P214" t="n">
        <v>0</v>
      </c>
      <c r="Q214" t="n">
        <v>0</v>
      </c>
      <c r="R214" s="2" t="inlineStr"/>
    </row>
    <row r="215" ht="15" customHeight="1">
      <c r="A215" t="inlineStr">
        <is>
          <t>A 19974-2019</t>
        </is>
      </c>
      <c r="B215" s="1" t="n">
        <v>43564</v>
      </c>
      <c r="C215" s="1" t="n">
        <v>45849</v>
      </c>
      <c r="D215" t="inlineStr">
        <is>
          <t>VÄRMLANDS LÄN</t>
        </is>
      </c>
      <c r="E215" t="inlineStr">
        <is>
          <t>TORSBY</t>
        </is>
      </c>
      <c r="G215" t="n">
        <v>5.1</v>
      </c>
      <c r="H215" t="n">
        <v>0</v>
      </c>
      <c r="I215" t="n">
        <v>0</v>
      </c>
      <c r="J215" t="n">
        <v>0</v>
      </c>
      <c r="K215" t="n">
        <v>0</v>
      </c>
      <c r="L215" t="n">
        <v>0</v>
      </c>
      <c r="M215" t="n">
        <v>0</v>
      </c>
      <c r="N215" t="n">
        <v>0</v>
      </c>
      <c r="O215" t="n">
        <v>0</v>
      </c>
      <c r="P215" t="n">
        <v>0</v>
      </c>
      <c r="Q215" t="n">
        <v>0</v>
      </c>
      <c r="R215" s="2" t="inlineStr"/>
    </row>
    <row r="216" ht="15" customHeight="1">
      <c r="A216" t="inlineStr">
        <is>
          <t>A 19125-2019</t>
        </is>
      </c>
      <c r="B216" s="1" t="n">
        <v>43564</v>
      </c>
      <c r="C216" s="1" t="n">
        <v>45849</v>
      </c>
      <c r="D216" t="inlineStr">
        <is>
          <t>VÄRMLANDS LÄN</t>
        </is>
      </c>
      <c r="E216" t="inlineStr">
        <is>
          <t>TORSBY</t>
        </is>
      </c>
      <c r="G216" t="n">
        <v>18.3</v>
      </c>
      <c r="H216" t="n">
        <v>0</v>
      </c>
      <c r="I216" t="n">
        <v>0</v>
      </c>
      <c r="J216" t="n">
        <v>0</v>
      </c>
      <c r="K216" t="n">
        <v>0</v>
      </c>
      <c r="L216" t="n">
        <v>0</v>
      </c>
      <c r="M216" t="n">
        <v>0</v>
      </c>
      <c r="N216" t="n">
        <v>0</v>
      </c>
      <c r="O216" t="n">
        <v>0</v>
      </c>
      <c r="P216" t="n">
        <v>0</v>
      </c>
      <c r="Q216" t="n">
        <v>0</v>
      </c>
      <c r="R216" s="2" t="inlineStr"/>
    </row>
    <row r="217" ht="15" customHeight="1">
      <c r="A217" t="inlineStr">
        <is>
          <t>A 19591-2019</t>
        </is>
      </c>
      <c r="B217" s="1" t="n">
        <v>43566</v>
      </c>
      <c r="C217" s="1" t="n">
        <v>45849</v>
      </c>
      <c r="D217" t="inlineStr">
        <is>
          <t>VÄRMLANDS LÄN</t>
        </is>
      </c>
      <c r="E217" t="inlineStr">
        <is>
          <t>TORSBY</t>
        </is>
      </c>
      <c r="G217" t="n">
        <v>0.9</v>
      </c>
      <c r="H217" t="n">
        <v>0</v>
      </c>
      <c r="I217" t="n">
        <v>0</v>
      </c>
      <c r="J217" t="n">
        <v>0</v>
      </c>
      <c r="K217" t="n">
        <v>0</v>
      </c>
      <c r="L217" t="n">
        <v>0</v>
      </c>
      <c r="M217" t="n">
        <v>0</v>
      </c>
      <c r="N217" t="n">
        <v>0</v>
      </c>
      <c r="O217" t="n">
        <v>0</v>
      </c>
      <c r="P217" t="n">
        <v>0</v>
      </c>
      <c r="Q217" t="n">
        <v>0</v>
      </c>
      <c r="R217" s="2" t="inlineStr"/>
    </row>
    <row r="218" ht="15" customHeight="1">
      <c r="A218" t="inlineStr">
        <is>
          <t>A 20167-2019</t>
        </is>
      </c>
      <c r="B218" s="1" t="n">
        <v>43570</v>
      </c>
      <c r="C218" s="1" t="n">
        <v>45849</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20190-2019</t>
        </is>
      </c>
      <c r="B219" s="1" t="n">
        <v>43570</v>
      </c>
      <c r="C219" s="1" t="n">
        <v>45849</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20244-2019</t>
        </is>
      </c>
      <c r="B220" s="1" t="n">
        <v>43571</v>
      </c>
      <c r="C220" s="1" t="n">
        <v>45849</v>
      </c>
      <c r="D220" t="inlineStr">
        <is>
          <t>VÄRMLANDS LÄN</t>
        </is>
      </c>
      <c r="E220" t="inlineStr">
        <is>
          <t>TORSBY</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20616-2019</t>
        </is>
      </c>
      <c r="B221" s="1" t="n">
        <v>43572</v>
      </c>
      <c r="C221" s="1" t="n">
        <v>45849</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20468-2019</t>
        </is>
      </c>
      <c r="B222" s="1" t="n">
        <v>43572</v>
      </c>
      <c r="C222" s="1" t="n">
        <v>45849</v>
      </c>
      <c r="D222" t="inlineStr">
        <is>
          <t>VÄRMLANDS LÄN</t>
        </is>
      </c>
      <c r="E222" t="inlineStr">
        <is>
          <t>TORSBY</t>
        </is>
      </c>
      <c r="G222" t="n">
        <v>2.9</v>
      </c>
      <c r="H222" t="n">
        <v>0</v>
      </c>
      <c r="I222" t="n">
        <v>0</v>
      </c>
      <c r="J222" t="n">
        <v>0</v>
      </c>
      <c r="K222" t="n">
        <v>0</v>
      </c>
      <c r="L222" t="n">
        <v>0</v>
      </c>
      <c r="M222" t="n">
        <v>0</v>
      </c>
      <c r="N222" t="n">
        <v>0</v>
      </c>
      <c r="O222" t="n">
        <v>0</v>
      </c>
      <c r="P222" t="n">
        <v>0</v>
      </c>
      <c r="Q222" t="n">
        <v>0</v>
      </c>
      <c r="R222" s="2" t="inlineStr"/>
    </row>
    <row r="223" ht="15" customHeight="1">
      <c r="A223" t="inlineStr">
        <is>
          <t>A 21166-2019</t>
        </is>
      </c>
      <c r="B223" s="1" t="n">
        <v>43578</v>
      </c>
      <c r="C223" s="1" t="n">
        <v>45849</v>
      </c>
      <c r="D223" t="inlineStr">
        <is>
          <t>VÄRMLANDS LÄN</t>
        </is>
      </c>
      <c r="E223" t="inlineStr">
        <is>
          <t>TORSBY</t>
        </is>
      </c>
      <c r="G223" t="n">
        <v>3.4</v>
      </c>
      <c r="H223" t="n">
        <v>0</v>
      </c>
      <c r="I223" t="n">
        <v>0</v>
      </c>
      <c r="J223" t="n">
        <v>0</v>
      </c>
      <c r="K223" t="n">
        <v>0</v>
      </c>
      <c r="L223" t="n">
        <v>0</v>
      </c>
      <c r="M223" t="n">
        <v>0</v>
      </c>
      <c r="N223" t="n">
        <v>0</v>
      </c>
      <c r="O223" t="n">
        <v>0</v>
      </c>
      <c r="P223" t="n">
        <v>0</v>
      </c>
      <c r="Q223" t="n">
        <v>0</v>
      </c>
      <c r="R223" s="2" t="inlineStr"/>
    </row>
    <row r="224" ht="15" customHeight="1">
      <c r="A224" t="inlineStr">
        <is>
          <t>A 21387-2019</t>
        </is>
      </c>
      <c r="B224" s="1" t="n">
        <v>43580</v>
      </c>
      <c r="C224" s="1" t="n">
        <v>45849</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21958-2019</t>
        </is>
      </c>
      <c r="B225" s="1" t="n">
        <v>43584</v>
      </c>
      <c r="C225" s="1" t="n">
        <v>45849</v>
      </c>
      <c r="D225" t="inlineStr">
        <is>
          <t>VÄRMLANDS LÄN</t>
        </is>
      </c>
      <c r="E225" t="inlineStr">
        <is>
          <t>TORSBY</t>
        </is>
      </c>
      <c r="G225" t="n">
        <v>3.5</v>
      </c>
      <c r="H225" t="n">
        <v>0</v>
      </c>
      <c r="I225" t="n">
        <v>0</v>
      </c>
      <c r="J225" t="n">
        <v>0</v>
      </c>
      <c r="K225" t="n">
        <v>0</v>
      </c>
      <c r="L225" t="n">
        <v>0</v>
      </c>
      <c r="M225" t="n">
        <v>0</v>
      </c>
      <c r="N225" t="n">
        <v>0</v>
      </c>
      <c r="O225" t="n">
        <v>0</v>
      </c>
      <c r="P225" t="n">
        <v>0</v>
      </c>
      <c r="Q225" t="n">
        <v>0</v>
      </c>
      <c r="R225" s="2" t="inlineStr"/>
    </row>
    <row r="226" ht="15" customHeight="1">
      <c r="A226" t="inlineStr">
        <is>
          <t>A 22252-2019</t>
        </is>
      </c>
      <c r="B226" s="1" t="n">
        <v>43585</v>
      </c>
      <c r="C226" s="1" t="n">
        <v>45849</v>
      </c>
      <c r="D226" t="inlineStr">
        <is>
          <t>VÄRMLANDS LÄN</t>
        </is>
      </c>
      <c r="E226" t="inlineStr">
        <is>
          <t>TORSBY</t>
        </is>
      </c>
      <c r="G226" t="n">
        <v>3.7</v>
      </c>
      <c r="H226" t="n">
        <v>0</v>
      </c>
      <c r="I226" t="n">
        <v>0</v>
      </c>
      <c r="J226" t="n">
        <v>0</v>
      </c>
      <c r="K226" t="n">
        <v>0</v>
      </c>
      <c r="L226" t="n">
        <v>0</v>
      </c>
      <c r="M226" t="n">
        <v>0</v>
      </c>
      <c r="N226" t="n">
        <v>0</v>
      </c>
      <c r="O226" t="n">
        <v>0</v>
      </c>
      <c r="P226" t="n">
        <v>0</v>
      </c>
      <c r="Q226" t="n">
        <v>0</v>
      </c>
      <c r="R226" s="2" t="inlineStr"/>
    </row>
    <row r="227" ht="15" customHeight="1">
      <c r="A227" t="inlineStr">
        <is>
          <t>A 22158-2019</t>
        </is>
      </c>
      <c r="B227" s="1" t="n">
        <v>43585</v>
      </c>
      <c r="C227" s="1" t="n">
        <v>45849</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22416-2019</t>
        </is>
      </c>
      <c r="B228" s="1" t="n">
        <v>43587</v>
      </c>
      <c r="C228" s="1" t="n">
        <v>45849</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22351-2019</t>
        </is>
      </c>
      <c r="B229" s="1" t="n">
        <v>43587</v>
      </c>
      <c r="C229" s="1" t="n">
        <v>45849</v>
      </c>
      <c r="D229" t="inlineStr">
        <is>
          <t>VÄRMLANDS LÄN</t>
        </is>
      </c>
      <c r="E229" t="inlineStr">
        <is>
          <t>TORSBY</t>
        </is>
      </c>
      <c r="G229" t="n">
        <v>4.3</v>
      </c>
      <c r="H229" t="n">
        <v>0</v>
      </c>
      <c r="I229" t="n">
        <v>0</v>
      </c>
      <c r="J229" t="n">
        <v>0</v>
      </c>
      <c r="K229" t="n">
        <v>0</v>
      </c>
      <c r="L229" t="n">
        <v>0</v>
      </c>
      <c r="M229" t="n">
        <v>0</v>
      </c>
      <c r="N229" t="n">
        <v>0</v>
      </c>
      <c r="O229" t="n">
        <v>0</v>
      </c>
      <c r="P229" t="n">
        <v>0</v>
      </c>
      <c r="Q229" t="n">
        <v>0</v>
      </c>
      <c r="R229" s="2" t="inlineStr"/>
    </row>
    <row r="230" ht="15" customHeight="1">
      <c r="A230" t="inlineStr">
        <is>
          <t>A 22692-2019</t>
        </is>
      </c>
      <c r="B230" s="1" t="n">
        <v>43588</v>
      </c>
      <c r="C230" s="1" t="n">
        <v>45849</v>
      </c>
      <c r="D230" t="inlineStr">
        <is>
          <t>VÄRMLANDS LÄN</t>
        </is>
      </c>
      <c r="E230" t="inlineStr">
        <is>
          <t>TORSBY</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22717-2019</t>
        </is>
      </c>
      <c r="B231" s="1" t="n">
        <v>43588</v>
      </c>
      <c r="C231" s="1" t="n">
        <v>45849</v>
      </c>
      <c r="D231" t="inlineStr">
        <is>
          <t>VÄRMLANDS LÄN</t>
        </is>
      </c>
      <c r="E231" t="inlineStr">
        <is>
          <t>TORSBY</t>
        </is>
      </c>
      <c r="G231" t="n">
        <v>8</v>
      </c>
      <c r="H231" t="n">
        <v>0</v>
      </c>
      <c r="I231" t="n">
        <v>0</v>
      </c>
      <c r="J231" t="n">
        <v>0</v>
      </c>
      <c r="K231" t="n">
        <v>0</v>
      </c>
      <c r="L231" t="n">
        <v>0</v>
      </c>
      <c r="M231" t="n">
        <v>0</v>
      </c>
      <c r="N231" t="n">
        <v>0</v>
      </c>
      <c r="O231" t="n">
        <v>0</v>
      </c>
      <c r="P231" t="n">
        <v>0</v>
      </c>
      <c r="Q231" t="n">
        <v>0</v>
      </c>
      <c r="R231" s="2" t="inlineStr"/>
    </row>
    <row r="232" ht="15" customHeight="1">
      <c r="A232" t="inlineStr">
        <is>
          <t>A 23412-2019</t>
        </is>
      </c>
      <c r="B232" s="1" t="n">
        <v>43593</v>
      </c>
      <c r="C232" s="1" t="n">
        <v>45849</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23892-2019</t>
        </is>
      </c>
      <c r="B233" s="1" t="n">
        <v>43595</v>
      </c>
      <c r="C233" s="1" t="n">
        <v>45849</v>
      </c>
      <c r="D233" t="inlineStr">
        <is>
          <t>VÄRMLANDS LÄN</t>
        </is>
      </c>
      <c r="E233" t="inlineStr">
        <is>
          <t>TORSBY</t>
        </is>
      </c>
      <c r="G233" t="n">
        <v>1.8</v>
      </c>
      <c r="H233" t="n">
        <v>0</v>
      </c>
      <c r="I233" t="n">
        <v>0</v>
      </c>
      <c r="J233" t="n">
        <v>0</v>
      </c>
      <c r="K233" t="n">
        <v>0</v>
      </c>
      <c r="L233" t="n">
        <v>0</v>
      </c>
      <c r="M233" t="n">
        <v>0</v>
      </c>
      <c r="N233" t="n">
        <v>0</v>
      </c>
      <c r="O233" t="n">
        <v>0</v>
      </c>
      <c r="P233" t="n">
        <v>0</v>
      </c>
      <c r="Q233" t="n">
        <v>0</v>
      </c>
      <c r="R233" s="2" t="inlineStr"/>
    </row>
    <row r="234" ht="15" customHeight="1">
      <c r="A234" t="inlineStr">
        <is>
          <t>A 23771-2019</t>
        </is>
      </c>
      <c r="B234" s="1" t="n">
        <v>43595</v>
      </c>
      <c r="C234" s="1" t="n">
        <v>45849</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24667-2019</t>
        </is>
      </c>
      <c r="B235" s="1" t="n">
        <v>43599</v>
      </c>
      <c r="C235" s="1" t="n">
        <v>45849</v>
      </c>
      <c r="D235" t="inlineStr">
        <is>
          <t>VÄRMLANDS LÄN</t>
        </is>
      </c>
      <c r="E235" t="inlineStr">
        <is>
          <t>TORSBY</t>
        </is>
      </c>
      <c r="G235" t="n">
        <v>6.7</v>
      </c>
      <c r="H235" t="n">
        <v>0</v>
      </c>
      <c r="I235" t="n">
        <v>0</v>
      </c>
      <c r="J235" t="n">
        <v>0</v>
      </c>
      <c r="K235" t="n">
        <v>0</v>
      </c>
      <c r="L235" t="n">
        <v>0</v>
      </c>
      <c r="M235" t="n">
        <v>0</v>
      </c>
      <c r="N235" t="n">
        <v>0</v>
      </c>
      <c r="O235" t="n">
        <v>0</v>
      </c>
      <c r="P235" t="n">
        <v>0</v>
      </c>
      <c r="Q235" t="n">
        <v>0</v>
      </c>
      <c r="R235" s="2" t="inlineStr"/>
    </row>
    <row r="236" ht="15" customHeight="1">
      <c r="A236" t="inlineStr">
        <is>
          <t>A 24703-2019</t>
        </is>
      </c>
      <c r="B236" s="1" t="n">
        <v>43601</v>
      </c>
      <c r="C236" s="1" t="n">
        <v>45849</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26493-2019</t>
        </is>
      </c>
      <c r="B237" s="1" t="n">
        <v>43612</v>
      </c>
      <c r="C237" s="1" t="n">
        <v>45849</v>
      </c>
      <c r="D237" t="inlineStr">
        <is>
          <t>VÄRMLANDS LÄN</t>
        </is>
      </c>
      <c r="E237" t="inlineStr">
        <is>
          <t>TORSBY</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27907-2019</t>
        </is>
      </c>
      <c r="B238" s="1" t="n">
        <v>43612</v>
      </c>
      <c r="C238" s="1" t="n">
        <v>45849</v>
      </c>
      <c r="D238" t="inlineStr">
        <is>
          <t>VÄRMLANDS LÄN</t>
        </is>
      </c>
      <c r="E238" t="inlineStr">
        <is>
          <t>TORSBY</t>
        </is>
      </c>
      <c r="G238" t="n">
        <v>7.5</v>
      </c>
      <c r="H238" t="n">
        <v>0</v>
      </c>
      <c r="I238" t="n">
        <v>0</v>
      </c>
      <c r="J238" t="n">
        <v>0</v>
      </c>
      <c r="K238" t="n">
        <v>0</v>
      </c>
      <c r="L238" t="n">
        <v>0</v>
      </c>
      <c r="M238" t="n">
        <v>0</v>
      </c>
      <c r="N238" t="n">
        <v>0</v>
      </c>
      <c r="O238" t="n">
        <v>0</v>
      </c>
      <c r="P238" t="n">
        <v>0</v>
      </c>
      <c r="Q238" t="n">
        <v>0</v>
      </c>
      <c r="R238" s="2" t="inlineStr"/>
    </row>
    <row r="239" ht="15" customHeight="1">
      <c r="A239" t="inlineStr">
        <is>
          <t>A 26783-2019</t>
        </is>
      </c>
      <c r="B239" s="1" t="n">
        <v>43613</v>
      </c>
      <c r="C239" s="1" t="n">
        <v>45849</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27711-2019</t>
        </is>
      </c>
      <c r="B240" s="1" t="n">
        <v>43619</v>
      </c>
      <c r="C240" s="1" t="n">
        <v>45849</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27682-2019</t>
        </is>
      </c>
      <c r="B241" s="1" t="n">
        <v>43619</v>
      </c>
      <c r="C241" s="1" t="n">
        <v>45849</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28975-2019</t>
        </is>
      </c>
      <c r="B242" s="1" t="n">
        <v>43619</v>
      </c>
      <c r="C242" s="1" t="n">
        <v>45849</v>
      </c>
      <c r="D242" t="inlineStr">
        <is>
          <t>VÄRMLANDS LÄN</t>
        </is>
      </c>
      <c r="E242" t="inlineStr">
        <is>
          <t>TORSBY</t>
        </is>
      </c>
      <c r="G242" t="n">
        <v>6.5</v>
      </c>
      <c r="H242" t="n">
        <v>0</v>
      </c>
      <c r="I242" t="n">
        <v>0</v>
      </c>
      <c r="J242" t="n">
        <v>0</v>
      </c>
      <c r="K242" t="n">
        <v>0</v>
      </c>
      <c r="L242" t="n">
        <v>0</v>
      </c>
      <c r="M242" t="n">
        <v>0</v>
      </c>
      <c r="N242" t="n">
        <v>0</v>
      </c>
      <c r="O242" t="n">
        <v>0</v>
      </c>
      <c r="P242" t="n">
        <v>0</v>
      </c>
      <c r="Q242" t="n">
        <v>0</v>
      </c>
      <c r="R242" s="2" t="inlineStr"/>
    </row>
    <row r="243" ht="15" customHeight="1">
      <c r="A243" t="inlineStr">
        <is>
          <t>A 28487-2019</t>
        </is>
      </c>
      <c r="B243" s="1" t="n">
        <v>43621</v>
      </c>
      <c r="C243" s="1" t="n">
        <v>45849</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28653-2019</t>
        </is>
      </c>
      <c r="B244" s="1" t="n">
        <v>43627</v>
      </c>
      <c r="C244" s="1" t="n">
        <v>45849</v>
      </c>
      <c r="D244" t="inlineStr">
        <is>
          <t>VÄRMLANDS LÄN</t>
        </is>
      </c>
      <c r="E244" t="inlineStr">
        <is>
          <t>TORSBY</t>
        </is>
      </c>
      <c r="G244" t="n">
        <v>5.2</v>
      </c>
      <c r="H244" t="n">
        <v>0</v>
      </c>
      <c r="I244" t="n">
        <v>0</v>
      </c>
      <c r="J244" t="n">
        <v>0</v>
      </c>
      <c r="K244" t="n">
        <v>0</v>
      </c>
      <c r="L244" t="n">
        <v>0</v>
      </c>
      <c r="M244" t="n">
        <v>0</v>
      </c>
      <c r="N244" t="n">
        <v>0</v>
      </c>
      <c r="O244" t="n">
        <v>0</v>
      </c>
      <c r="P244" t="n">
        <v>0</v>
      </c>
      <c r="Q244" t="n">
        <v>0</v>
      </c>
      <c r="R244" s="2" t="inlineStr"/>
    </row>
    <row r="245" ht="15" customHeight="1">
      <c r="A245" t="inlineStr">
        <is>
          <t>A 28818-2019</t>
        </is>
      </c>
      <c r="B245" s="1" t="n">
        <v>43627</v>
      </c>
      <c r="C245" s="1" t="n">
        <v>45849</v>
      </c>
      <c r="D245" t="inlineStr">
        <is>
          <t>VÄRMLANDS LÄN</t>
        </is>
      </c>
      <c r="E245" t="inlineStr">
        <is>
          <t>TORSBY</t>
        </is>
      </c>
      <c r="F245" t="inlineStr">
        <is>
          <t>Bergvik skog väst AB</t>
        </is>
      </c>
      <c r="G245" t="n">
        <v>58.6</v>
      </c>
      <c r="H245" t="n">
        <v>0</v>
      </c>
      <c r="I245" t="n">
        <v>0</v>
      </c>
      <c r="J245" t="n">
        <v>0</v>
      </c>
      <c r="K245" t="n">
        <v>0</v>
      </c>
      <c r="L245" t="n">
        <v>0</v>
      </c>
      <c r="M245" t="n">
        <v>0</v>
      </c>
      <c r="N245" t="n">
        <v>0</v>
      </c>
      <c r="O245" t="n">
        <v>0</v>
      </c>
      <c r="P245" t="n">
        <v>0</v>
      </c>
      <c r="Q245" t="n">
        <v>0</v>
      </c>
      <c r="R245" s="2" t="inlineStr"/>
    </row>
    <row r="246" ht="15" customHeight="1">
      <c r="A246" t="inlineStr">
        <is>
          <t>A 28889-2019</t>
        </is>
      </c>
      <c r="B246" s="1" t="n">
        <v>43628</v>
      </c>
      <c r="C246" s="1" t="n">
        <v>45849</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29436-2019</t>
        </is>
      </c>
      <c r="B247" s="1" t="n">
        <v>43629</v>
      </c>
      <c r="C247" s="1" t="n">
        <v>45849</v>
      </c>
      <c r="D247" t="inlineStr">
        <is>
          <t>VÄRMLANDS LÄN</t>
        </is>
      </c>
      <c r="E247" t="inlineStr">
        <is>
          <t>TORSBY</t>
        </is>
      </c>
      <c r="F247" t="inlineStr">
        <is>
          <t>Bergvik skog väst AB</t>
        </is>
      </c>
      <c r="G247" t="n">
        <v>33.7</v>
      </c>
      <c r="H247" t="n">
        <v>0</v>
      </c>
      <c r="I247" t="n">
        <v>0</v>
      </c>
      <c r="J247" t="n">
        <v>0</v>
      </c>
      <c r="K247" t="n">
        <v>0</v>
      </c>
      <c r="L247" t="n">
        <v>0</v>
      </c>
      <c r="M247" t="n">
        <v>0</v>
      </c>
      <c r="N247" t="n">
        <v>0</v>
      </c>
      <c r="O247" t="n">
        <v>0</v>
      </c>
      <c r="P247" t="n">
        <v>0</v>
      </c>
      <c r="Q247" t="n">
        <v>0</v>
      </c>
      <c r="R247" s="2" t="inlineStr"/>
    </row>
    <row r="248" ht="15" customHeight="1">
      <c r="A248" t="inlineStr">
        <is>
          <t>A 30031-2019</t>
        </is>
      </c>
      <c r="B248" s="1" t="n">
        <v>43633</v>
      </c>
      <c r="C248" s="1" t="n">
        <v>45849</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30049-2019</t>
        </is>
      </c>
      <c r="B249" s="1" t="n">
        <v>43633</v>
      </c>
      <c r="C249" s="1" t="n">
        <v>45849</v>
      </c>
      <c r="D249" t="inlineStr">
        <is>
          <t>VÄRMLANDS LÄN</t>
        </is>
      </c>
      <c r="E249" t="inlineStr">
        <is>
          <t>TORSBY</t>
        </is>
      </c>
      <c r="G249" t="n">
        <v>7.1</v>
      </c>
      <c r="H249" t="n">
        <v>0</v>
      </c>
      <c r="I249" t="n">
        <v>0</v>
      </c>
      <c r="J249" t="n">
        <v>0</v>
      </c>
      <c r="K249" t="n">
        <v>0</v>
      </c>
      <c r="L249" t="n">
        <v>0</v>
      </c>
      <c r="M249" t="n">
        <v>0</v>
      </c>
      <c r="N249" t="n">
        <v>0</v>
      </c>
      <c r="O249" t="n">
        <v>0</v>
      </c>
      <c r="P249" t="n">
        <v>0</v>
      </c>
      <c r="Q249" t="n">
        <v>0</v>
      </c>
      <c r="R249" s="2" t="inlineStr"/>
    </row>
    <row r="250" ht="15" customHeight="1">
      <c r="A250" t="inlineStr">
        <is>
          <t>A 29984-2019</t>
        </is>
      </c>
      <c r="B250" s="1" t="n">
        <v>43633</v>
      </c>
      <c r="C250" s="1" t="n">
        <v>45849</v>
      </c>
      <c r="D250" t="inlineStr">
        <is>
          <t>VÄRMLANDS LÄN</t>
        </is>
      </c>
      <c r="E250" t="inlineStr">
        <is>
          <t>TORSBY</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30158-2019</t>
        </is>
      </c>
      <c r="B251" s="1" t="n">
        <v>43634</v>
      </c>
      <c r="C251" s="1" t="n">
        <v>45849</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30596-2019</t>
        </is>
      </c>
      <c r="B252" s="1" t="n">
        <v>43635</v>
      </c>
      <c r="C252" s="1" t="n">
        <v>45849</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30860-2019</t>
        </is>
      </c>
      <c r="B253" s="1" t="n">
        <v>43636</v>
      </c>
      <c r="C253" s="1" t="n">
        <v>45849</v>
      </c>
      <c r="D253" t="inlineStr">
        <is>
          <t>VÄRMLANDS LÄN</t>
        </is>
      </c>
      <c r="E253" t="inlineStr">
        <is>
          <t>TORSBY</t>
        </is>
      </c>
      <c r="G253" t="n">
        <v>11.7</v>
      </c>
      <c r="H253" t="n">
        <v>0</v>
      </c>
      <c r="I253" t="n">
        <v>0</v>
      </c>
      <c r="J253" t="n">
        <v>0</v>
      </c>
      <c r="K253" t="n">
        <v>0</v>
      </c>
      <c r="L253" t="n">
        <v>0</v>
      </c>
      <c r="M253" t="n">
        <v>0</v>
      </c>
      <c r="N253" t="n">
        <v>0</v>
      </c>
      <c r="O253" t="n">
        <v>0</v>
      </c>
      <c r="P253" t="n">
        <v>0</v>
      </c>
      <c r="Q253" t="n">
        <v>0</v>
      </c>
      <c r="R253" s="2" t="inlineStr"/>
    </row>
    <row r="254" ht="15" customHeight="1">
      <c r="A254" t="inlineStr">
        <is>
          <t>A 31109-2019</t>
        </is>
      </c>
      <c r="B254" s="1" t="n">
        <v>43640</v>
      </c>
      <c r="C254" s="1" t="n">
        <v>45849</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31010-2019</t>
        </is>
      </c>
      <c r="B255" s="1" t="n">
        <v>43640</v>
      </c>
      <c r="C255" s="1" t="n">
        <v>45849</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31138-2019</t>
        </is>
      </c>
      <c r="B256" s="1" t="n">
        <v>43640</v>
      </c>
      <c r="C256" s="1" t="n">
        <v>45849</v>
      </c>
      <c r="D256" t="inlineStr">
        <is>
          <t>VÄRMLANDS LÄN</t>
        </is>
      </c>
      <c r="E256" t="inlineStr">
        <is>
          <t>TORSBY</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31543-2019</t>
        </is>
      </c>
      <c r="B257" s="1" t="n">
        <v>43641</v>
      </c>
      <c r="C257" s="1" t="n">
        <v>45849</v>
      </c>
      <c r="D257" t="inlineStr">
        <is>
          <t>VÄRMLANDS LÄN</t>
        </is>
      </c>
      <c r="E257" t="inlineStr">
        <is>
          <t>TORSBY</t>
        </is>
      </c>
      <c r="G257" t="n">
        <v>6</v>
      </c>
      <c r="H257" t="n">
        <v>0</v>
      </c>
      <c r="I257" t="n">
        <v>0</v>
      </c>
      <c r="J257" t="n">
        <v>0</v>
      </c>
      <c r="K257" t="n">
        <v>0</v>
      </c>
      <c r="L257" t="n">
        <v>0</v>
      </c>
      <c r="M257" t="n">
        <v>0</v>
      </c>
      <c r="N257" t="n">
        <v>0</v>
      </c>
      <c r="O257" t="n">
        <v>0</v>
      </c>
      <c r="P257" t="n">
        <v>0</v>
      </c>
      <c r="Q257" t="n">
        <v>0</v>
      </c>
      <c r="R257" s="2" t="inlineStr"/>
    </row>
    <row r="258" ht="15" customHeight="1">
      <c r="A258" t="inlineStr">
        <is>
          <t>A 31930-2019</t>
        </is>
      </c>
      <c r="B258" s="1" t="n">
        <v>43642</v>
      </c>
      <c r="C258" s="1" t="n">
        <v>45849</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32170-2019</t>
        </is>
      </c>
      <c r="B259" s="1" t="n">
        <v>43643</v>
      </c>
      <c r="C259" s="1" t="n">
        <v>45849</v>
      </c>
      <c r="D259" t="inlineStr">
        <is>
          <t>VÄRMLANDS LÄN</t>
        </is>
      </c>
      <c r="E259" t="inlineStr">
        <is>
          <t>TORSBY</t>
        </is>
      </c>
      <c r="G259" t="n">
        <v>4.6</v>
      </c>
      <c r="H259" t="n">
        <v>0</v>
      </c>
      <c r="I259" t="n">
        <v>0</v>
      </c>
      <c r="J259" t="n">
        <v>0</v>
      </c>
      <c r="K259" t="n">
        <v>0</v>
      </c>
      <c r="L259" t="n">
        <v>0</v>
      </c>
      <c r="M259" t="n">
        <v>0</v>
      </c>
      <c r="N259" t="n">
        <v>0</v>
      </c>
      <c r="O259" t="n">
        <v>0</v>
      </c>
      <c r="P259" t="n">
        <v>0</v>
      </c>
      <c r="Q259" t="n">
        <v>0</v>
      </c>
      <c r="R259" s="2" t="inlineStr"/>
    </row>
    <row r="260" ht="15" customHeight="1">
      <c r="A260" t="inlineStr">
        <is>
          <t>A 32443-2019</t>
        </is>
      </c>
      <c r="B260" s="1" t="n">
        <v>43644</v>
      </c>
      <c r="C260" s="1" t="n">
        <v>45849</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32298-2019</t>
        </is>
      </c>
      <c r="B261" s="1" t="n">
        <v>43644</v>
      </c>
      <c r="C261" s="1" t="n">
        <v>45849</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32468-2019</t>
        </is>
      </c>
      <c r="B262" s="1" t="n">
        <v>43644</v>
      </c>
      <c r="C262" s="1" t="n">
        <v>45849</v>
      </c>
      <c r="D262" t="inlineStr">
        <is>
          <t>VÄRMLANDS LÄN</t>
        </is>
      </c>
      <c r="E262" t="inlineStr">
        <is>
          <t>TORSBY</t>
        </is>
      </c>
      <c r="G262" t="n">
        <v>4.7</v>
      </c>
      <c r="H262" t="n">
        <v>0</v>
      </c>
      <c r="I262" t="n">
        <v>0</v>
      </c>
      <c r="J262" t="n">
        <v>0</v>
      </c>
      <c r="K262" t="n">
        <v>0</v>
      </c>
      <c r="L262" t="n">
        <v>0</v>
      </c>
      <c r="M262" t="n">
        <v>0</v>
      </c>
      <c r="N262" t="n">
        <v>0</v>
      </c>
      <c r="O262" t="n">
        <v>0</v>
      </c>
      <c r="P262" t="n">
        <v>0</v>
      </c>
      <c r="Q262" t="n">
        <v>0</v>
      </c>
      <c r="R262" s="2" t="inlineStr"/>
    </row>
    <row r="263" ht="15" customHeight="1">
      <c r="A263" t="inlineStr">
        <is>
          <t>A 32444-2019</t>
        </is>
      </c>
      <c r="B263" s="1" t="n">
        <v>43644</v>
      </c>
      <c r="C263" s="1" t="n">
        <v>45849</v>
      </c>
      <c r="D263" t="inlineStr">
        <is>
          <t>VÄRMLANDS LÄN</t>
        </is>
      </c>
      <c r="E263" t="inlineStr">
        <is>
          <t>TORSBY</t>
        </is>
      </c>
      <c r="G263" t="n">
        <v>0.7</v>
      </c>
      <c r="H263" t="n">
        <v>0</v>
      </c>
      <c r="I263" t="n">
        <v>0</v>
      </c>
      <c r="J263" t="n">
        <v>0</v>
      </c>
      <c r="K263" t="n">
        <v>0</v>
      </c>
      <c r="L263" t="n">
        <v>0</v>
      </c>
      <c r="M263" t="n">
        <v>0</v>
      </c>
      <c r="N263" t="n">
        <v>0</v>
      </c>
      <c r="O263" t="n">
        <v>0</v>
      </c>
      <c r="P263" t="n">
        <v>0</v>
      </c>
      <c r="Q263" t="n">
        <v>0</v>
      </c>
      <c r="R263" s="2" t="inlineStr"/>
    </row>
    <row r="264" ht="15" customHeight="1">
      <c r="A264" t="inlineStr">
        <is>
          <t>A 33918-2019</t>
        </is>
      </c>
      <c r="B264" s="1" t="n">
        <v>43654</v>
      </c>
      <c r="C264" s="1" t="n">
        <v>45849</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35505-2019</t>
        </is>
      </c>
      <c r="B265" s="1" t="n">
        <v>43654</v>
      </c>
      <c r="C265" s="1" t="n">
        <v>45849</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35788-2019</t>
        </is>
      </c>
      <c r="B266" s="1" t="n">
        <v>43656</v>
      </c>
      <c r="C266" s="1" t="n">
        <v>45849</v>
      </c>
      <c r="D266" t="inlineStr">
        <is>
          <t>VÄRMLANDS LÄN</t>
        </is>
      </c>
      <c r="E266" t="inlineStr">
        <is>
          <t>TORSBY</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34541-2019</t>
        </is>
      </c>
      <c r="B267" s="1" t="n">
        <v>43657</v>
      </c>
      <c r="C267" s="1" t="n">
        <v>45849</v>
      </c>
      <c r="D267" t="inlineStr">
        <is>
          <t>VÄRMLANDS LÄN</t>
        </is>
      </c>
      <c r="E267" t="inlineStr">
        <is>
          <t>TORSBY</t>
        </is>
      </c>
      <c r="G267" t="n">
        <v>5.7</v>
      </c>
      <c r="H267" t="n">
        <v>0</v>
      </c>
      <c r="I267" t="n">
        <v>0</v>
      </c>
      <c r="J267" t="n">
        <v>0</v>
      </c>
      <c r="K267" t="n">
        <v>0</v>
      </c>
      <c r="L267" t="n">
        <v>0</v>
      </c>
      <c r="M267" t="n">
        <v>0</v>
      </c>
      <c r="N267" t="n">
        <v>0</v>
      </c>
      <c r="O267" t="n">
        <v>0</v>
      </c>
      <c r="P267" t="n">
        <v>0</v>
      </c>
      <c r="Q267" t="n">
        <v>0</v>
      </c>
      <c r="R267" s="2" t="inlineStr"/>
    </row>
    <row r="268" ht="15" customHeight="1">
      <c r="A268" t="inlineStr">
        <is>
          <t>A 36480-2019</t>
        </is>
      </c>
      <c r="B268" s="1" t="n">
        <v>43668</v>
      </c>
      <c r="C268" s="1" t="n">
        <v>45849</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38010-2019</t>
        </is>
      </c>
      <c r="B269" s="1" t="n">
        <v>43669</v>
      </c>
      <c r="C269" s="1" t="n">
        <v>45849</v>
      </c>
      <c r="D269" t="inlineStr">
        <is>
          <t>VÄRMLANDS LÄN</t>
        </is>
      </c>
      <c r="E269" t="inlineStr">
        <is>
          <t>TORSBY</t>
        </is>
      </c>
      <c r="G269" t="n">
        <v>6.2</v>
      </c>
      <c r="H269" t="n">
        <v>0</v>
      </c>
      <c r="I269" t="n">
        <v>0</v>
      </c>
      <c r="J269" t="n">
        <v>0</v>
      </c>
      <c r="K269" t="n">
        <v>0</v>
      </c>
      <c r="L269" t="n">
        <v>0</v>
      </c>
      <c r="M269" t="n">
        <v>0</v>
      </c>
      <c r="N269" t="n">
        <v>0</v>
      </c>
      <c r="O269" t="n">
        <v>0</v>
      </c>
      <c r="P269" t="n">
        <v>0</v>
      </c>
      <c r="Q269" t="n">
        <v>0</v>
      </c>
      <c r="R269" s="2" t="inlineStr"/>
    </row>
    <row r="270" ht="15" customHeight="1">
      <c r="A270" t="inlineStr">
        <is>
          <t>A 38003-2019</t>
        </is>
      </c>
      <c r="B270" s="1" t="n">
        <v>43669</v>
      </c>
      <c r="C270" s="1" t="n">
        <v>45849</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36712-2019</t>
        </is>
      </c>
      <c r="B271" s="1" t="n">
        <v>43669</v>
      </c>
      <c r="C271" s="1" t="n">
        <v>45849</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36682-2019</t>
        </is>
      </c>
      <c r="B272" s="1" t="n">
        <v>43670</v>
      </c>
      <c r="C272" s="1" t="n">
        <v>45849</v>
      </c>
      <c r="D272" t="inlineStr">
        <is>
          <t>VÄRMLANDS LÄN</t>
        </is>
      </c>
      <c r="E272" t="inlineStr">
        <is>
          <t>TORSBY</t>
        </is>
      </c>
      <c r="G272" t="n">
        <v>8.1</v>
      </c>
      <c r="H272" t="n">
        <v>0</v>
      </c>
      <c r="I272" t="n">
        <v>0</v>
      </c>
      <c r="J272" t="n">
        <v>0</v>
      </c>
      <c r="K272" t="n">
        <v>0</v>
      </c>
      <c r="L272" t="n">
        <v>0</v>
      </c>
      <c r="M272" t="n">
        <v>0</v>
      </c>
      <c r="N272" t="n">
        <v>0</v>
      </c>
      <c r="O272" t="n">
        <v>0</v>
      </c>
      <c r="P272" t="n">
        <v>0</v>
      </c>
      <c r="Q272" t="n">
        <v>0</v>
      </c>
      <c r="R272" s="2" t="inlineStr"/>
    </row>
    <row r="273" ht="15" customHeight="1">
      <c r="A273" t="inlineStr">
        <is>
          <t>A 36734-2019</t>
        </is>
      </c>
      <c r="B273" s="1" t="n">
        <v>43672</v>
      </c>
      <c r="C273" s="1" t="n">
        <v>45849</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36820-2019</t>
        </is>
      </c>
      <c r="B274" s="1" t="n">
        <v>43673</v>
      </c>
      <c r="C274" s="1" t="n">
        <v>45849</v>
      </c>
      <c r="D274" t="inlineStr">
        <is>
          <t>VÄRMLANDS LÄN</t>
        </is>
      </c>
      <c r="E274" t="inlineStr">
        <is>
          <t>TORSBY</t>
        </is>
      </c>
      <c r="G274" t="n">
        <v>0.2</v>
      </c>
      <c r="H274" t="n">
        <v>0</v>
      </c>
      <c r="I274" t="n">
        <v>0</v>
      </c>
      <c r="J274" t="n">
        <v>0</v>
      </c>
      <c r="K274" t="n">
        <v>0</v>
      </c>
      <c r="L274" t="n">
        <v>0</v>
      </c>
      <c r="M274" t="n">
        <v>0</v>
      </c>
      <c r="N274" t="n">
        <v>0</v>
      </c>
      <c r="O274" t="n">
        <v>0</v>
      </c>
      <c r="P274" t="n">
        <v>0</v>
      </c>
      <c r="Q274" t="n">
        <v>0</v>
      </c>
      <c r="R274" s="2" t="inlineStr"/>
    </row>
    <row r="275" ht="15" customHeight="1">
      <c r="A275" t="inlineStr">
        <is>
          <t>A 37005-2019</t>
        </is>
      </c>
      <c r="B275" s="1" t="n">
        <v>43676</v>
      </c>
      <c r="C275" s="1" t="n">
        <v>45849</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37719-2019</t>
        </is>
      </c>
      <c r="B276" s="1" t="n">
        <v>43682</v>
      </c>
      <c r="C276" s="1" t="n">
        <v>45849</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38068-2019</t>
        </is>
      </c>
      <c r="B277" s="1" t="n">
        <v>43683</v>
      </c>
      <c r="C277" s="1" t="n">
        <v>45849</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38265-2019</t>
        </is>
      </c>
      <c r="B278" s="1" t="n">
        <v>43684</v>
      </c>
      <c r="C278" s="1" t="n">
        <v>45849</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39213-2019</t>
        </is>
      </c>
      <c r="B279" s="1" t="n">
        <v>43690</v>
      </c>
      <c r="C279" s="1" t="n">
        <v>45849</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40632-2019</t>
        </is>
      </c>
      <c r="B280" s="1" t="n">
        <v>43696</v>
      </c>
      <c r="C280" s="1" t="n">
        <v>45849</v>
      </c>
      <c r="D280" t="inlineStr">
        <is>
          <t>VÄRMLANDS LÄN</t>
        </is>
      </c>
      <c r="E280" t="inlineStr">
        <is>
          <t>TORSBY</t>
        </is>
      </c>
      <c r="G280" t="n">
        <v>4.2</v>
      </c>
      <c r="H280" t="n">
        <v>0</v>
      </c>
      <c r="I280" t="n">
        <v>0</v>
      </c>
      <c r="J280" t="n">
        <v>0</v>
      </c>
      <c r="K280" t="n">
        <v>0</v>
      </c>
      <c r="L280" t="n">
        <v>0</v>
      </c>
      <c r="M280" t="n">
        <v>0</v>
      </c>
      <c r="N280" t="n">
        <v>0</v>
      </c>
      <c r="O280" t="n">
        <v>0</v>
      </c>
      <c r="P280" t="n">
        <v>0</v>
      </c>
      <c r="Q280" t="n">
        <v>0</v>
      </c>
      <c r="R280" s="2" t="inlineStr"/>
    </row>
    <row r="281" ht="15" customHeight="1">
      <c r="A281" t="inlineStr">
        <is>
          <t>A 40589-2019</t>
        </is>
      </c>
      <c r="B281" s="1" t="n">
        <v>43696</v>
      </c>
      <c r="C281" s="1" t="n">
        <v>45849</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40810-2019</t>
        </is>
      </c>
      <c r="B282" s="1" t="n">
        <v>43697</v>
      </c>
      <c r="C282" s="1" t="n">
        <v>45849</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41698-2019</t>
        </is>
      </c>
      <c r="B283" s="1" t="n">
        <v>43697</v>
      </c>
      <c r="C283" s="1" t="n">
        <v>45849</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42441-2019</t>
        </is>
      </c>
      <c r="B284" s="1" t="n">
        <v>43697</v>
      </c>
      <c r="C284" s="1" t="n">
        <v>45849</v>
      </c>
      <c r="D284" t="inlineStr">
        <is>
          <t>VÄRMLANDS LÄN</t>
        </is>
      </c>
      <c r="E284" t="inlineStr">
        <is>
          <t>TORSBY</t>
        </is>
      </c>
      <c r="G284" t="n">
        <v>2.4</v>
      </c>
      <c r="H284" t="n">
        <v>0</v>
      </c>
      <c r="I284" t="n">
        <v>0</v>
      </c>
      <c r="J284" t="n">
        <v>0</v>
      </c>
      <c r="K284" t="n">
        <v>0</v>
      </c>
      <c r="L284" t="n">
        <v>0</v>
      </c>
      <c r="M284" t="n">
        <v>0</v>
      </c>
      <c r="N284" t="n">
        <v>0</v>
      </c>
      <c r="O284" t="n">
        <v>0</v>
      </c>
      <c r="P284" t="n">
        <v>0</v>
      </c>
      <c r="Q284" t="n">
        <v>0</v>
      </c>
      <c r="R284" s="2" t="inlineStr"/>
    </row>
    <row r="285" ht="15" customHeight="1">
      <c r="A285" t="inlineStr">
        <is>
          <t>A 41436-2019</t>
        </is>
      </c>
      <c r="B285" s="1" t="n">
        <v>43698</v>
      </c>
      <c r="C285" s="1" t="n">
        <v>45849</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41435-2019</t>
        </is>
      </c>
      <c r="B286" s="1" t="n">
        <v>43698</v>
      </c>
      <c r="C286" s="1" t="n">
        <v>45849</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41438-2019</t>
        </is>
      </c>
      <c r="B287" s="1" t="n">
        <v>43698</v>
      </c>
      <c r="C287" s="1" t="n">
        <v>45849</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41621-2019</t>
        </is>
      </c>
      <c r="B288" s="1" t="n">
        <v>43699</v>
      </c>
      <c r="C288" s="1" t="n">
        <v>45849</v>
      </c>
      <c r="D288" t="inlineStr">
        <is>
          <t>VÄRMLANDS LÄN</t>
        </is>
      </c>
      <c r="E288" t="inlineStr">
        <is>
          <t>TORSBY</t>
        </is>
      </c>
      <c r="G288" t="n">
        <v>4.2</v>
      </c>
      <c r="H288" t="n">
        <v>0</v>
      </c>
      <c r="I288" t="n">
        <v>0</v>
      </c>
      <c r="J288" t="n">
        <v>0</v>
      </c>
      <c r="K288" t="n">
        <v>0</v>
      </c>
      <c r="L288" t="n">
        <v>0</v>
      </c>
      <c r="M288" t="n">
        <v>0</v>
      </c>
      <c r="N288" t="n">
        <v>0</v>
      </c>
      <c r="O288" t="n">
        <v>0</v>
      </c>
      <c r="P288" t="n">
        <v>0</v>
      </c>
      <c r="Q288" t="n">
        <v>0</v>
      </c>
      <c r="R288" s="2" t="inlineStr"/>
    </row>
    <row r="289" ht="15" customHeight="1">
      <c r="A289" t="inlineStr">
        <is>
          <t>A 42230-2019</t>
        </is>
      </c>
      <c r="B289" s="1" t="n">
        <v>43703</v>
      </c>
      <c r="C289" s="1" t="n">
        <v>45849</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43273-2019</t>
        </is>
      </c>
      <c r="B290" s="1" t="n">
        <v>43704</v>
      </c>
      <c r="C290" s="1" t="n">
        <v>45849</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43897-2019</t>
        </is>
      </c>
      <c r="B291" s="1" t="n">
        <v>43707</v>
      </c>
      <c r="C291" s="1" t="n">
        <v>45849</v>
      </c>
      <c r="D291" t="inlineStr">
        <is>
          <t>VÄRMLANDS LÄN</t>
        </is>
      </c>
      <c r="E291" t="inlineStr">
        <is>
          <t>TORSBY</t>
        </is>
      </c>
      <c r="G291" t="n">
        <v>3.2</v>
      </c>
      <c r="H291" t="n">
        <v>0</v>
      </c>
      <c r="I291" t="n">
        <v>0</v>
      </c>
      <c r="J291" t="n">
        <v>0</v>
      </c>
      <c r="K291" t="n">
        <v>0</v>
      </c>
      <c r="L291" t="n">
        <v>0</v>
      </c>
      <c r="M291" t="n">
        <v>0</v>
      </c>
      <c r="N291" t="n">
        <v>0</v>
      </c>
      <c r="O291" t="n">
        <v>0</v>
      </c>
      <c r="P291" t="n">
        <v>0</v>
      </c>
      <c r="Q291" t="n">
        <v>0</v>
      </c>
      <c r="R291" s="2" t="inlineStr"/>
    </row>
    <row r="292" ht="15" customHeight="1">
      <c r="A292" t="inlineStr">
        <is>
          <t>A 44832-2019</t>
        </is>
      </c>
      <c r="B292" s="1" t="n">
        <v>43707</v>
      </c>
      <c r="C292" s="1" t="n">
        <v>45849</v>
      </c>
      <c r="D292" t="inlineStr">
        <is>
          <t>VÄRMLANDS LÄN</t>
        </is>
      </c>
      <c r="E292" t="inlineStr">
        <is>
          <t>TORSBY</t>
        </is>
      </c>
      <c r="G292" t="n">
        <v>27.1</v>
      </c>
      <c r="H292" t="n">
        <v>0</v>
      </c>
      <c r="I292" t="n">
        <v>0</v>
      </c>
      <c r="J292" t="n">
        <v>0</v>
      </c>
      <c r="K292" t="n">
        <v>0</v>
      </c>
      <c r="L292" t="n">
        <v>0</v>
      </c>
      <c r="M292" t="n">
        <v>0</v>
      </c>
      <c r="N292" t="n">
        <v>0</v>
      </c>
      <c r="O292" t="n">
        <v>0</v>
      </c>
      <c r="P292" t="n">
        <v>0</v>
      </c>
      <c r="Q292" t="n">
        <v>0</v>
      </c>
      <c r="R292" s="2" t="inlineStr"/>
    </row>
    <row r="293" ht="15" customHeight="1">
      <c r="A293" t="inlineStr">
        <is>
          <t>A 44708-2019</t>
        </is>
      </c>
      <c r="B293" s="1" t="n">
        <v>43712</v>
      </c>
      <c r="C293" s="1" t="n">
        <v>45849</v>
      </c>
      <c r="D293" t="inlineStr">
        <is>
          <t>VÄRMLANDS LÄN</t>
        </is>
      </c>
      <c r="E293" t="inlineStr">
        <is>
          <t>TORSBY</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44706-2019</t>
        </is>
      </c>
      <c r="B294" s="1" t="n">
        <v>43712</v>
      </c>
      <c r="C294" s="1" t="n">
        <v>45849</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45053-2019</t>
        </is>
      </c>
      <c r="B295" s="1" t="n">
        <v>43713</v>
      </c>
      <c r="C295" s="1" t="n">
        <v>45849</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45083-2019</t>
        </is>
      </c>
      <c r="B296" s="1" t="n">
        <v>43713</v>
      </c>
      <c r="C296" s="1" t="n">
        <v>45849</v>
      </c>
      <c r="D296" t="inlineStr">
        <is>
          <t>VÄRMLANDS LÄN</t>
        </is>
      </c>
      <c r="E296" t="inlineStr">
        <is>
          <t>TORSBY</t>
        </is>
      </c>
      <c r="F296" t="inlineStr">
        <is>
          <t>Bergvik skog väst AB</t>
        </is>
      </c>
      <c r="G296" t="n">
        <v>37.8</v>
      </c>
      <c r="H296" t="n">
        <v>0</v>
      </c>
      <c r="I296" t="n">
        <v>0</v>
      </c>
      <c r="J296" t="n">
        <v>0</v>
      </c>
      <c r="K296" t="n">
        <v>0</v>
      </c>
      <c r="L296" t="n">
        <v>0</v>
      </c>
      <c r="M296" t="n">
        <v>0</v>
      </c>
      <c r="N296" t="n">
        <v>0</v>
      </c>
      <c r="O296" t="n">
        <v>0</v>
      </c>
      <c r="P296" t="n">
        <v>0</v>
      </c>
      <c r="Q296" t="n">
        <v>0</v>
      </c>
      <c r="R296" s="2" t="inlineStr"/>
    </row>
    <row r="297" ht="15" customHeight="1">
      <c r="A297" t="inlineStr">
        <is>
          <t>A 45189-2019</t>
        </is>
      </c>
      <c r="B297" s="1" t="n">
        <v>43713</v>
      </c>
      <c r="C297" s="1" t="n">
        <v>45849</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45068-2019</t>
        </is>
      </c>
      <c r="B298" s="1" t="n">
        <v>43713</v>
      </c>
      <c r="C298" s="1" t="n">
        <v>45849</v>
      </c>
      <c r="D298" t="inlineStr">
        <is>
          <t>VÄRMLANDS LÄN</t>
        </is>
      </c>
      <c r="E298" t="inlineStr">
        <is>
          <t>TORSBY</t>
        </is>
      </c>
      <c r="G298" t="n">
        <v>2.4</v>
      </c>
      <c r="H298" t="n">
        <v>0</v>
      </c>
      <c r="I298" t="n">
        <v>0</v>
      </c>
      <c r="J298" t="n">
        <v>0</v>
      </c>
      <c r="K298" t="n">
        <v>0</v>
      </c>
      <c r="L298" t="n">
        <v>0</v>
      </c>
      <c r="M298" t="n">
        <v>0</v>
      </c>
      <c r="N298" t="n">
        <v>0</v>
      </c>
      <c r="O298" t="n">
        <v>0</v>
      </c>
      <c r="P298" t="n">
        <v>0</v>
      </c>
      <c r="Q298" t="n">
        <v>0</v>
      </c>
      <c r="R298" s="2" t="inlineStr"/>
    </row>
    <row r="299" ht="15" customHeight="1">
      <c r="A299" t="inlineStr">
        <is>
          <t>A 45891-2019</t>
        </is>
      </c>
      <c r="B299" s="1" t="n">
        <v>43717</v>
      </c>
      <c r="C299" s="1" t="n">
        <v>45849</v>
      </c>
      <c r="D299" t="inlineStr">
        <is>
          <t>VÄRMLANDS LÄN</t>
        </is>
      </c>
      <c r="E299" t="inlineStr">
        <is>
          <t>TORSBY</t>
        </is>
      </c>
      <c r="G299" t="n">
        <v>2.7</v>
      </c>
      <c r="H299" t="n">
        <v>0</v>
      </c>
      <c r="I299" t="n">
        <v>0</v>
      </c>
      <c r="J299" t="n">
        <v>0</v>
      </c>
      <c r="K299" t="n">
        <v>0</v>
      </c>
      <c r="L299" t="n">
        <v>0</v>
      </c>
      <c r="M299" t="n">
        <v>0</v>
      </c>
      <c r="N299" t="n">
        <v>0</v>
      </c>
      <c r="O299" t="n">
        <v>0</v>
      </c>
      <c r="P299" t="n">
        <v>0</v>
      </c>
      <c r="Q299" t="n">
        <v>0</v>
      </c>
      <c r="R299" s="2" t="inlineStr"/>
    </row>
    <row r="300" ht="15" customHeight="1">
      <c r="A300" t="inlineStr">
        <is>
          <t>A 46738-2019</t>
        </is>
      </c>
      <c r="B300" s="1" t="n">
        <v>43719</v>
      </c>
      <c r="C300" s="1" t="n">
        <v>45849</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46743-2019</t>
        </is>
      </c>
      <c r="B301" s="1" t="n">
        <v>43719</v>
      </c>
      <c r="C301" s="1" t="n">
        <v>45849</v>
      </c>
      <c r="D301" t="inlineStr">
        <is>
          <t>VÄRMLANDS LÄN</t>
        </is>
      </c>
      <c r="E301" t="inlineStr">
        <is>
          <t>TORSBY</t>
        </is>
      </c>
      <c r="G301" t="n">
        <v>7</v>
      </c>
      <c r="H301" t="n">
        <v>0</v>
      </c>
      <c r="I301" t="n">
        <v>0</v>
      </c>
      <c r="J301" t="n">
        <v>0</v>
      </c>
      <c r="K301" t="n">
        <v>0</v>
      </c>
      <c r="L301" t="n">
        <v>0</v>
      </c>
      <c r="M301" t="n">
        <v>0</v>
      </c>
      <c r="N301" t="n">
        <v>0</v>
      </c>
      <c r="O301" t="n">
        <v>0</v>
      </c>
      <c r="P301" t="n">
        <v>0</v>
      </c>
      <c r="Q301" t="n">
        <v>0</v>
      </c>
      <c r="R301" s="2" t="inlineStr"/>
    </row>
    <row r="302" ht="15" customHeight="1">
      <c r="A302" t="inlineStr">
        <is>
          <t>A 47114-2019</t>
        </is>
      </c>
      <c r="B302" s="1" t="n">
        <v>43720</v>
      </c>
      <c r="C302" s="1" t="n">
        <v>45849</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47214-2019</t>
        </is>
      </c>
      <c r="B303" s="1" t="n">
        <v>43721</v>
      </c>
      <c r="C303" s="1" t="n">
        <v>45849</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47137-2019</t>
        </is>
      </c>
      <c r="B304" s="1" t="n">
        <v>43721</v>
      </c>
      <c r="C304" s="1" t="n">
        <v>45849</v>
      </c>
      <c r="D304" t="inlineStr">
        <is>
          <t>VÄRMLANDS LÄN</t>
        </is>
      </c>
      <c r="E304" t="inlineStr">
        <is>
          <t>TORSBY</t>
        </is>
      </c>
      <c r="G304" t="n">
        <v>1.3</v>
      </c>
      <c r="H304" t="n">
        <v>0</v>
      </c>
      <c r="I304" t="n">
        <v>0</v>
      </c>
      <c r="J304" t="n">
        <v>0</v>
      </c>
      <c r="K304" t="n">
        <v>0</v>
      </c>
      <c r="L304" t="n">
        <v>0</v>
      </c>
      <c r="M304" t="n">
        <v>0</v>
      </c>
      <c r="N304" t="n">
        <v>0</v>
      </c>
      <c r="O304" t="n">
        <v>0</v>
      </c>
      <c r="P304" t="n">
        <v>0</v>
      </c>
      <c r="Q304" t="n">
        <v>0</v>
      </c>
      <c r="R304" s="2" t="inlineStr"/>
    </row>
    <row r="305" ht="15" customHeight="1">
      <c r="A305" t="inlineStr">
        <is>
          <t>A 47316-2019</t>
        </is>
      </c>
      <c r="B305" s="1" t="n">
        <v>43721</v>
      </c>
      <c r="C305" s="1" t="n">
        <v>45849</v>
      </c>
      <c r="D305" t="inlineStr">
        <is>
          <t>VÄRMLANDS LÄN</t>
        </is>
      </c>
      <c r="E305" t="inlineStr">
        <is>
          <t>TORSBY</t>
        </is>
      </c>
      <c r="F305" t="inlineStr">
        <is>
          <t>Bergvik skog väst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47608-2019</t>
        </is>
      </c>
      <c r="B306" s="1" t="n">
        <v>43724</v>
      </c>
      <c r="C306" s="1" t="n">
        <v>45849</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47772-2019</t>
        </is>
      </c>
      <c r="B307" s="1" t="n">
        <v>43724</v>
      </c>
      <c r="C307" s="1" t="n">
        <v>45849</v>
      </c>
      <c r="D307" t="inlineStr">
        <is>
          <t>VÄRMLANDS LÄN</t>
        </is>
      </c>
      <c r="E307" t="inlineStr">
        <is>
          <t>TORSBY</t>
        </is>
      </c>
      <c r="G307" t="n">
        <v>3.9</v>
      </c>
      <c r="H307" t="n">
        <v>0</v>
      </c>
      <c r="I307" t="n">
        <v>0</v>
      </c>
      <c r="J307" t="n">
        <v>0</v>
      </c>
      <c r="K307" t="n">
        <v>0</v>
      </c>
      <c r="L307" t="n">
        <v>0</v>
      </c>
      <c r="M307" t="n">
        <v>0</v>
      </c>
      <c r="N307" t="n">
        <v>0</v>
      </c>
      <c r="O307" t="n">
        <v>0</v>
      </c>
      <c r="P307" t="n">
        <v>0</v>
      </c>
      <c r="Q307" t="n">
        <v>0</v>
      </c>
      <c r="R307" s="2" t="inlineStr"/>
    </row>
    <row r="308" ht="15" customHeight="1">
      <c r="A308" t="inlineStr">
        <is>
          <t>A 47648-2019</t>
        </is>
      </c>
      <c r="B308" s="1" t="n">
        <v>43724</v>
      </c>
      <c r="C308" s="1" t="n">
        <v>45849</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47502-2019</t>
        </is>
      </c>
      <c r="B309" s="1" t="n">
        <v>43724</v>
      </c>
      <c r="C309" s="1" t="n">
        <v>45849</v>
      </c>
      <c r="D309" t="inlineStr">
        <is>
          <t>VÄRMLANDS LÄN</t>
        </is>
      </c>
      <c r="E309" t="inlineStr">
        <is>
          <t>TORSBY</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47869-2019</t>
        </is>
      </c>
      <c r="B310" s="1" t="n">
        <v>43725</v>
      </c>
      <c r="C310" s="1" t="n">
        <v>45849</v>
      </c>
      <c r="D310" t="inlineStr">
        <is>
          <t>VÄRMLANDS LÄN</t>
        </is>
      </c>
      <c r="E310" t="inlineStr">
        <is>
          <t>TORSBY</t>
        </is>
      </c>
      <c r="G310" t="n">
        <v>4.7</v>
      </c>
      <c r="H310" t="n">
        <v>0</v>
      </c>
      <c r="I310" t="n">
        <v>0</v>
      </c>
      <c r="J310" t="n">
        <v>0</v>
      </c>
      <c r="K310" t="n">
        <v>0</v>
      </c>
      <c r="L310" t="n">
        <v>0</v>
      </c>
      <c r="M310" t="n">
        <v>0</v>
      </c>
      <c r="N310" t="n">
        <v>0</v>
      </c>
      <c r="O310" t="n">
        <v>0</v>
      </c>
      <c r="P310" t="n">
        <v>0</v>
      </c>
      <c r="Q310" t="n">
        <v>0</v>
      </c>
      <c r="R310" s="2" t="inlineStr"/>
    </row>
    <row r="311" ht="15" customHeight="1">
      <c r="A311" t="inlineStr">
        <is>
          <t>A 47979-2019</t>
        </is>
      </c>
      <c r="B311" s="1" t="n">
        <v>43725</v>
      </c>
      <c r="C311" s="1" t="n">
        <v>45849</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48040-2019</t>
        </is>
      </c>
      <c r="B312" s="1" t="n">
        <v>43725</v>
      </c>
      <c r="C312" s="1" t="n">
        <v>45849</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48346-2019</t>
        </is>
      </c>
      <c r="B313" s="1" t="n">
        <v>43726</v>
      </c>
      <c r="C313" s="1" t="n">
        <v>45849</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48366-2019</t>
        </is>
      </c>
      <c r="B314" s="1" t="n">
        <v>43726</v>
      </c>
      <c r="C314" s="1" t="n">
        <v>45849</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49550-2019</t>
        </is>
      </c>
      <c r="B315" s="1" t="n">
        <v>43727</v>
      </c>
      <c r="C315" s="1" t="n">
        <v>45849</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51497-2019</t>
        </is>
      </c>
      <c r="B316" s="1" t="n">
        <v>43734</v>
      </c>
      <c r="C316" s="1" t="n">
        <v>45849</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50428-2019</t>
        </is>
      </c>
      <c r="B317" s="1" t="n">
        <v>43735</v>
      </c>
      <c r="C317" s="1" t="n">
        <v>45849</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52319-2019</t>
        </is>
      </c>
      <c r="B318" s="1" t="n">
        <v>43735</v>
      </c>
      <c r="C318" s="1" t="n">
        <v>45849</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52326-2019</t>
        </is>
      </c>
      <c r="B319" s="1" t="n">
        <v>43735</v>
      </c>
      <c r="C319" s="1" t="n">
        <v>45849</v>
      </c>
      <c r="D319" t="inlineStr">
        <is>
          <t>VÄRMLANDS LÄN</t>
        </is>
      </c>
      <c r="E319" t="inlineStr">
        <is>
          <t>TORSBY</t>
        </is>
      </c>
      <c r="G319" t="n">
        <v>6.2</v>
      </c>
      <c r="H319" t="n">
        <v>0</v>
      </c>
      <c r="I319" t="n">
        <v>0</v>
      </c>
      <c r="J319" t="n">
        <v>0</v>
      </c>
      <c r="K319" t="n">
        <v>0</v>
      </c>
      <c r="L319" t="n">
        <v>0</v>
      </c>
      <c r="M319" t="n">
        <v>0</v>
      </c>
      <c r="N319" t="n">
        <v>0</v>
      </c>
      <c r="O319" t="n">
        <v>0</v>
      </c>
      <c r="P319" t="n">
        <v>0</v>
      </c>
      <c r="Q319" t="n">
        <v>0</v>
      </c>
      <c r="R319" s="2" t="inlineStr"/>
    </row>
    <row r="320" ht="15" customHeight="1">
      <c r="A320" t="inlineStr">
        <is>
          <t>A 52317-2019</t>
        </is>
      </c>
      <c r="B320" s="1" t="n">
        <v>43735</v>
      </c>
      <c r="C320" s="1" t="n">
        <v>45849</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51254-2019</t>
        </is>
      </c>
      <c r="B321" s="1" t="n">
        <v>43739</v>
      </c>
      <c r="C321" s="1" t="n">
        <v>45849</v>
      </c>
      <c r="D321" t="inlineStr">
        <is>
          <t>VÄRMLANDS LÄN</t>
        </is>
      </c>
      <c r="E321" t="inlineStr">
        <is>
          <t>TORSBY</t>
        </is>
      </c>
      <c r="F321" t="inlineStr">
        <is>
          <t>Bergvik skog väst AB</t>
        </is>
      </c>
      <c r="G321" t="n">
        <v>4.5</v>
      </c>
      <c r="H321" t="n">
        <v>0</v>
      </c>
      <c r="I321" t="n">
        <v>0</v>
      </c>
      <c r="J321" t="n">
        <v>0</v>
      </c>
      <c r="K321" t="n">
        <v>0</v>
      </c>
      <c r="L321" t="n">
        <v>0</v>
      </c>
      <c r="M321" t="n">
        <v>0</v>
      </c>
      <c r="N321" t="n">
        <v>0</v>
      </c>
      <c r="O321" t="n">
        <v>0</v>
      </c>
      <c r="P321" t="n">
        <v>0</v>
      </c>
      <c r="Q321" t="n">
        <v>0</v>
      </c>
      <c r="R321" s="2" t="inlineStr"/>
    </row>
    <row r="322" ht="15" customHeight="1">
      <c r="A322" t="inlineStr">
        <is>
          <t>A 52186-2019</t>
        </is>
      </c>
      <c r="B322" s="1" t="n">
        <v>43742</v>
      </c>
      <c r="C322" s="1" t="n">
        <v>45849</v>
      </c>
      <c r="D322" t="inlineStr">
        <is>
          <t>VÄRMLANDS LÄN</t>
        </is>
      </c>
      <c r="E322" t="inlineStr">
        <is>
          <t>TORSBY</t>
        </is>
      </c>
      <c r="G322" t="n">
        <v>3.6</v>
      </c>
      <c r="H322" t="n">
        <v>0</v>
      </c>
      <c r="I322" t="n">
        <v>0</v>
      </c>
      <c r="J322" t="n">
        <v>0</v>
      </c>
      <c r="K322" t="n">
        <v>0</v>
      </c>
      <c r="L322" t="n">
        <v>0</v>
      </c>
      <c r="M322" t="n">
        <v>0</v>
      </c>
      <c r="N322" t="n">
        <v>0</v>
      </c>
      <c r="O322" t="n">
        <v>0</v>
      </c>
      <c r="P322" t="n">
        <v>0</v>
      </c>
      <c r="Q322" t="n">
        <v>0</v>
      </c>
      <c r="R322" s="2" t="inlineStr"/>
    </row>
    <row r="323" ht="15" customHeight="1">
      <c r="A323" t="inlineStr">
        <is>
          <t>A 52311-2019</t>
        </is>
      </c>
      <c r="B323" s="1" t="n">
        <v>43745</v>
      </c>
      <c r="C323" s="1" t="n">
        <v>45849</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52674-2019</t>
        </is>
      </c>
      <c r="B324" s="1" t="n">
        <v>43746</v>
      </c>
      <c r="C324" s="1" t="n">
        <v>45849</v>
      </c>
      <c r="D324" t="inlineStr">
        <is>
          <t>VÄRMLANDS LÄN</t>
        </is>
      </c>
      <c r="E324" t="inlineStr">
        <is>
          <t>TORSBY</t>
        </is>
      </c>
      <c r="F324" t="inlineStr">
        <is>
          <t>Bergvik skog väst AB</t>
        </is>
      </c>
      <c r="G324" t="n">
        <v>26.4</v>
      </c>
      <c r="H324" t="n">
        <v>0</v>
      </c>
      <c r="I324" t="n">
        <v>0</v>
      </c>
      <c r="J324" t="n">
        <v>0</v>
      </c>
      <c r="K324" t="n">
        <v>0</v>
      </c>
      <c r="L324" t="n">
        <v>0</v>
      </c>
      <c r="M324" t="n">
        <v>0</v>
      </c>
      <c r="N324" t="n">
        <v>0</v>
      </c>
      <c r="O324" t="n">
        <v>0</v>
      </c>
      <c r="P324" t="n">
        <v>0</v>
      </c>
      <c r="Q324" t="n">
        <v>0</v>
      </c>
      <c r="R324" s="2" t="inlineStr"/>
    </row>
    <row r="325" ht="15" customHeight="1">
      <c r="A325" t="inlineStr">
        <is>
          <t>A 52885-2019</t>
        </is>
      </c>
      <c r="B325" s="1" t="n">
        <v>43746</v>
      </c>
      <c r="C325" s="1" t="n">
        <v>45849</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53271-2019</t>
        </is>
      </c>
      <c r="B326" s="1" t="n">
        <v>43748</v>
      </c>
      <c r="C326" s="1" t="n">
        <v>45849</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54764-2019</t>
        </is>
      </c>
      <c r="B327" s="1" t="n">
        <v>43748</v>
      </c>
      <c r="C327" s="1" t="n">
        <v>45849</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53635-2019</t>
        </is>
      </c>
      <c r="B328" s="1" t="n">
        <v>43749</v>
      </c>
      <c r="C328" s="1" t="n">
        <v>45849</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53746-2019</t>
        </is>
      </c>
      <c r="B329" s="1" t="n">
        <v>43749</v>
      </c>
      <c r="C329" s="1" t="n">
        <v>45849</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53744-2019</t>
        </is>
      </c>
      <c r="B330" s="1" t="n">
        <v>43749</v>
      </c>
      <c r="C330" s="1" t="n">
        <v>45849</v>
      </c>
      <c r="D330" t="inlineStr">
        <is>
          <t>VÄRMLANDS LÄN</t>
        </is>
      </c>
      <c r="E330" t="inlineStr">
        <is>
          <t>TORSBY</t>
        </is>
      </c>
      <c r="G330" t="n">
        <v>0.4</v>
      </c>
      <c r="H330" t="n">
        <v>0</v>
      </c>
      <c r="I330" t="n">
        <v>0</v>
      </c>
      <c r="J330" t="n">
        <v>0</v>
      </c>
      <c r="K330" t="n">
        <v>0</v>
      </c>
      <c r="L330" t="n">
        <v>0</v>
      </c>
      <c r="M330" t="n">
        <v>0</v>
      </c>
      <c r="N330" t="n">
        <v>0</v>
      </c>
      <c r="O330" t="n">
        <v>0</v>
      </c>
      <c r="P330" t="n">
        <v>0</v>
      </c>
      <c r="Q330" t="n">
        <v>0</v>
      </c>
      <c r="R330" s="2" t="inlineStr"/>
    </row>
    <row r="331" ht="15" customHeight="1">
      <c r="A331" t="inlineStr">
        <is>
          <t>A 54437-2019</t>
        </is>
      </c>
      <c r="B331" s="1" t="n">
        <v>43754</v>
      </c>
      <c r="C331" s="1" t="n">
        <v>45849</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56256-2019</t>
        </is>
      </c>
      <c r="B332" s="1" t="n">
        <v>43756</v>
      </c>
      <c r="C332" s="1" t="n">
        <v>45849</v>
      </c>
      <c r="D332" t="inlineStr">
        <is>
          <t>VÄRMLANDS LÄN</t>
        </is>
      </c>
      <c r="E332" t="inlineStr">
        <is>
          <t>TORSBY</t>
        </is>
      </c>
      <c r="G332" t="n">
        <v>2.2</v>
      </c>
      <c r="H332" t="n">
        <v>0</v>
      </c>
      <c r="I332" t="n">
        <v>0</v>
      </c>
      <c r="J332" t="n">
        <v>0</v>
      </c>
      <c r="K332" t="n">
        <v>0</v>
      </c>
      <c r="L332" t="n">
        <v>0</v>
      </c>
      <c r="M332" t="n">
        <v>0</v>
      </c>
      <c r="N332" t="n">
        <v>0</v>
      </c>
      <c r="O332" t="n">
        <v>0</v>
      </c>
      <c r="P332" t="n">
        <v>0</v>
      </c>
      <c r="Q332" t="n">
        <v>0</v>
      </c>
      <c r="R332" s="2" t="inlineStr"/>
    </row>
    <row r="333" ht="15" customHeight="1">
      <c r="A333" t="inlineStr">
        <is>
          <t>A 55988-2019</t>
        </is>
      </c>
      <c r="B333" s="1" t="n">
        <v>43759</v>
      </c>
      <c r="C333" s="1" t="n">
        <v>45849</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56704-2019</t>
        </is>
      </c>
      <c r="B334" s="1" t="n">
        <v>43759</v>
      </c>
      <c r="C334" s="1" t="n">
        <v>45849</v>
      </c>
      <c r="D334" t="inlineStr">
        <is>
          <t>VÄRMLANDS LÄN</t>
        </is>
      </c>
      <c r="E334" t="inlineStr">
        <is>
          <t>TORSBY</t>
        </is>
      </c>
      <c r="G334" t="n">
        <v>2.6</v>
      </c>
      <c r="H334" t="n">
        <v>0</v>
      </c>
      <c r="I334" t="n">
        <v>0</v>
      </c>
      <c r="J334" t="n">
        <v>0</v>
      </c>
      <c r="K334" t="n">
        <v>0</v>
      </c>
      <c r="L334" t="n">
        <v>0</v>
      </c>
      <c r="M334" t="n">
        <v>0</v>
      </c>
      <c r="N334" t="n">
        <v>0</v>
      </c>
      <c r="O334" t="n">
        <v>0</v>
      </c>
      <c r="P334" t="n">
        <v>0</v>
      </c>
      <c r="Q334" t="n">
        <v>0</v>
      </c>
      <c r="R334" s="2" t="inlineStr"/>
    </row>
    <row r="335" ht="15" customHeight="1">
      <c r="A335" t="inlineStr">
        <is>
          <t>A 55927-2019</t>
        </is>
      </c>
      <c r="B335" s="1" t="n">
        <v>43761</v>
      </c>
      <c r="C335" s="1" t="n">
        <v>45849</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56021-2019</t>
        </is>
      </c>
      <c r="B336" s="1" t="n">
        <v>43761</v>
      </c>
      <c r="C336" s="1" t="n">
        <v>45849</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56305-2019</t>
        </is>
      </c>
      <c r="B337" s="1" t="n">
        <v>43762</v>
      </c>
      <c r="C337" s="1" t="n">
        <v>45849</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56594-2019</t>
        </is>
      </c>
      <c r="B338" s="1" t="n">
        <v>43763</v>
      </c>
      <c r="C338" s="1" t="n">
        <v>45849</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56633-2019</t>
        </is>
      </c>
      <c r="B339" s="1" t="n">
        <v>43763</v>
      </c>
      <c r="C339" s="1" t="n">
        <v>45849</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56824-2019</t>
        </is>
      </c>
      <c r="B340" s="1" t="n">
        <v>43764</v>
      </c>
      <c r="C340" s="1" t="n">
        <v>45849</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56935-2019</t>
        </is>
      </c>
      <c r="B341" s="1" t="n">
        <v>43766</v>
      </c>
      <c r="C341" s="1" t="n">
        <v>45849</v>
      </c>
      <c r="D341" t="inlineStr">
        <is>
          <t>VÄRMLANDS LÄN</t>
        </is>
      </c>
      <c r="E341" t="inlineStr">
        <is>
          <t>TORSBY</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57399-2019</t>
        </is>
      </c>
      <c r="B342" s="1" t="n">
        <v>43767</v>
      </c>
      <c r="C342" s="1" t="n">
        <v>45849</v>
      </c>
      <c r="D342" t="inlineStr">
        <is>
          <t>VÄRMLANDS LÄN</t>
        </is>
      </c>
      <c r="E342" t="inlineStr">
        <is>
          <t>TORSBY</t>
        </is>
      </c>
      <c r="F342" t="inlineStr">
        <is>
          <t>Bergvik skog väst AB</t>
        </is>
      </c>
      <c r="G342" t="n">
        <v>18.9</v>
      </c>
      <c r="H342" t="n">
        <v>0</v>
      </c>
      <c r="I342" t="n">
        <v>0</v>
      </c>
      <c r="J342" t="n">
        <v>0</v>
      </c>
      <c r="K342" t="n">
        <v>0</v>
      </c>
      <c r="L342" t="n">
        <v>0</v>
      </c>
      <c r="M342" t="n">
        <v>0</v>
      </c>
      <c r="N342" t="n">
        <v>0</v>
      </c>
      <c r="O342" t="n">
        <v>0</v>
      </c>
      <c r="P342" t="n">
        <v>0</v>
      </c>
      <c r="Q342" t="n">
        <v>0</v>
      </c>
      <c r="R342" s="2" t="inlineStr"/>
    </row>
    <row r="343" ht="15" customHeight="1">
      <c r="A343" t="inlineStr">
        <is>
          <t>A 57251-2019</t>
        </is>
      </c>
      <c r="B343" s="1" t="n">
        <v>43767</v>
      </c>
      <c r="C343" s="1" t="n">
        <v>45849</v>
      </c>
      <c r="D343" t="inlineStr">
        <is>
          <t>VÄRMLANDS LÄN</t>
        </is>
      </c>
      <c r="E343" t="inlineStr">
        <is>
          <t>TORSBY</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57301-2019</t>
        </is>
      </c>
      <c r="B344" s="1" t="n">
        <v>43767</v>
      </c>
      <c r="C344" s="1" t="n">
        <v>45849</v>
      </c>
      <c r="D344" t="inlineStr">
        <is>
          <t>VÄRMLANDS LÄN</t>
        </is>
      </c>
      <c r="E344" t="inlineStr">
        <is>
          <t>TORSBY</t>
        </is>
      </c>
      <c r="G344" t="n">
        <v>3.6</v>
      </c>
      <c r="H344" t="n">
        <v>0</v>
      </c>
      <c r="I344" t="n">
        <v>0</v>
      </c>
      <c r="J344" t="n">
        <v>0</v>
      </c>
      <c r="K344" t="n">
        <v>0</v>
      </c>
      <c r="L344" t="n">
        <v>0</v>
      </c>
      <c r="M344" t="n">
        <v>0</v>
      </c>
      <c r="N344" t="n">
        <v>0</v>
      </c>
      <c r="O344" t="n">
        <v>0</v>
      </c>
      <c r="P344" t="n">
        <v>0</v>
      </c>
      <c r="Q344" t="n">
        <v>0</v>
      </c>
      <c r="R344" s="2" t="inlineStr"/>
    </row>
    <row r="345" ht="15" customHeight="1">
      <c r="A345" t="inlineStr">
        <is>
          <t>A 57268-2019</t>
        </is>
      </c>
      <c r="B345" s="1" t="n">
        <v>43767</v>
      </c>
      <c r="C345" s="1" t="n">
        <v>45849</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58530-2019</t>
        </is>
      </c>
      <c r="B346" s="1" t="n">
        <v>43767</v>
      </c>
      <c r="C346" s="1" t="n">
        <v>45849</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57223-2019</t>
        </is>
      </c>
      <c r="B347" s="1" t="n">
        <v>43767</v>
      </c>
      <c r="C347" s="1" t="n">
        <v>45849</v>
      </c>
      <c r="D347" t="inlineStr">
        <is>
          <t>VÄRMLANDS LÄN</t>
        </is>
      </c>
      <c r="E347" t="inlineStr">
        <is>
          <t>TORSBY</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57566-2019</t>
        </is>
      </c>
      <c r="B348" s="1" t="n">
        <v>43768</v>
      </c>
      <c r="C348" s="1" t="n">
        <v>45849</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57704-2019</t>
        </is>
      </c>
      <c r="B349" s="1" t="n">
        <v>43768</v>
      </c>
      <c r="C349" s="1" t="n">
        <v>45849</v>
      </c>
      <c r="D349" t="inlineStr">
        <is>
          <t>VÄRMLANDS LÄN</t>
        </is>
      </c>
      <c r="E349" t="inlineStr">
        <is>
          <t>TORSBY</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57565-2019</t>
        </is>
      </c>
      <c r="B350" s="1" t="n">
        <v>43768</v>
      </c>
      <c r="C350" s="1" t="n">
        <v>45849</v>
      </c>
      <c r="D350" t="inlineStr">
        <is>
          <t>VÄRMLANDS LÄN</t>
        </is>
      </c>
      <c r="E350" t="inlineStr">
        <is>
          <t>TORSBY</t>
        </is>
      </c>
      <c r="G350" t="n">
        <v>2</v>
      </c>
      <c r="H350" t="n">
        <v>0</v>
      </c>
      <c r="I350" t="n">
        <v>0</v>
      </c>
      <c r="J350" t="n">
        <v>0</v>
      </c>
      <c r="K350" t="n">
        <v>0</v>
      </c>
      <c r="L350" t="n">
        <v>0</v>
      </c>
      <c r="M350" t="n">
        <v>0</v>
      </c>
      <c r="N350" t="n">
        <v>0</v>
      </c>
      <c r="O350" t="n">
        <v>0</v>
      </c>
      <c r="P350" t="n">
        <v>0</v>
      </c>
      <c r="Q350" t="n">
        <v>0</v>
      </c>
      <c r="R350" s="2" t="inlineStr"/>
    </row>
    <row r="351" ht="15" customHeight="1">
      <c r="A351" t="inlineStr">
        <is>
          <t>A 58004-2019</t>
        </is>
      </c>
      <c r="B351" s="1" t="n">
        <v>43769</v>
      </c>
      <c r="C351" s="1" t="n">
        <v>45849</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58678-2019</t>
        </is>
      </c>
      <c r="B352" s="1" t="n">
        <v>43773</v>
      </c>
      <c r="C352" s="1" t="n">
        <v>45849</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59127-2019</t>
        </is>
      </c>
      <c r="B353" s="1" t="n">
        <v>43775</v>
      </c>
      <c r="C353" s="1" t="n">
        <v>45849</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59593-2019</t>
        </is>
      </c>
      <c r="B354" s="1" t="n">
        <v>43776</v>
      </c>
      <c r="C354" s="1" t="n">
        <v>45849</v>
      </c>
      <c r="D354" t="inlineStr">
        <is>
          <t>VÄRMLANDS LÄN</t>
        </is>
      </c>
      <c r="E354" t="inlineStr">
        <is>
          <t>TORSBY</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60545-2019</t>
        </is>
      </c>
      <c r="B355" s="1" t="n">
        <v>43781</v>
      </c>
      <c r="C355" s="1" t="n">
        <v>45849</v>
      </c>
      <c r="D355" t="inlineStr">
        <is>
          <t>VÄRMLANDS LÄN</t>
        </is>
      </c>
      <c r="E355" t="inlineStr">
        <is>
          <t>TORSBY</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61074-2019</t>
        </is>
      </c>
      <c r="B356" s="1" t="n">
        <v>43782</v>
      </c>
      <c r="C356" s="1" t="n">
        <v>45849</v>
      </c>
      <c r="D356" t="inlineStr">
        <is>
          <t>VÄRMLANDS LÄN</t>
        </is>
      </c>
      <c r="E356" t="inlineStr">
        <is>
          <t>TORSBY</t>
        </is>
      </c>
      <c r="G356" t="n">
        <v>6.4</v>
      </c>
      <c r="H356" t="n">
        <v>0</v>
      </c>
      <c r="I356" t="n">
        <v>0</v>
      </c>
      <c r="J356" t="n">
        <v>0</v>
      </c>
      <c r="K356" t="n">
        <v>0</v>
      </c>
      <c r="L356" t="n">
        <v>0</v>
      </c>
      <c r="M356" t="n">
        <v>0</v>
      </c>
      <c r="N356" t="n">
        <v>0</v>
      </c>
      <c r="O356" t="n">
        <v>0</v>
      </c>
      <c r="P356" t="n">
        <v>0</v>
      </c>
      <c r="Q356" t="n">
        <v>0</v>
      </c>
      <c r="R356" s="2" t="inlineStr"/>
    </row>
    <row r="357" ht="15" customHeight="1">
      <c r="A357" t="inlineStr">
        <is>
          <t>A 62050-2019</t>
        </is>
      </c>
      <c r="B357" s="1" t="n">
        <v>43787</v>
      </c>
      <c r="C357" s="1" t="n">
        <v>45849</v>
      </c>
      <c r="D357" t="inlineStr">
        <is>
          <t>VÄRMLANDS LÄN</t>
        </is>
      </c>
      <c r="E357" t="inlineStr">
        <is>
          <t>TORSBY</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61958-2019</t>
        </is>
      </c>
      <c r="B358" s="1" t="n">
        <v>43787</v>
      </c>
      <c r="C358" s="1" t="n">
        <v>45849</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62255-2019</t>
        </is>
      </c>
      <c r="B359" s="1" t="n">
        <v>43788</v>
      </c>
      <c r="C359" s="1" t="n">
        <v>45849</v>
      </c>
      <c r="D359" t="inlineStr">
        <is>
          <t>VÄRMLANDS LÄN</t>
        </is>
      </c>
      <c r="E359" t="inlineStr">
        <is>
          <t>TORSBY</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62286-2019</t>
        </is>
      </c>
      <c r="B360" s="1" t="n">
        <v>43788</v>
      </c>
      <c r="C360" s="1" t="n">
        <v>45849</v>
      </c>
      <c r="D360" t="inlineStr">
        <is>
          <t>VÄRMLANDS LÄN</t>
        </is>
      </c>
      <c r="E360" t="inlineStr">
        <is>
          <t>TORSBY</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63743-2019</t>
        </is>
      </c>
      <c r="B361" s="1" t="n">
        <v>43795</v>
      </c>
      <c r="C361" s="1" t="n">
        <v>45849</v>
      </c>
      <c r="D361" t="inlineStr">
        <is>
          <t>VÄRMLANDS LÄN</t>
        </is>
      </c>
      <c r="E361" t="inlineStr">
        <is>
          <t>TORSBY</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64114-2019</t>
        </is>
      </c>
      <c r="B362" s="1" t="n">
        <v>43796</v>
      </c>
      <c r="C362" s="1" t="n">
        <v>45849</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64444-2019</t>
        </is>
      </c>
      <c r="B363" s="1" t="n">
        <v>43797</v>
      </c>
      <c r="C363" s="1" t="n">
        <v>45849</v>
      </c>
      <c r="D363" t="inlineStr">
        <is>
          <t>VÄRMLANDS LÄN</t>
        </is>
      </c>
      <c r="E363" t="inlineStr">
        <is>
          <t>TORSBY</t>
        </is>
      </c>
      <c r="G363" t="n">
        <v>3.5</v>
      </c>
      <c r="H363" t="n">
        <v>0</v>
      </c>
      <c r="I363" t="n">
        <v>0</v>
      </c>
      <c r="J363" t="n">
        <v>0</v>
      </c>
      <c r="K363" t="n">
        <v>0</v>
      </c>
      <c r="L363" t="n">
        <v>0</v>
      </c>
      <c r="M363" t="n">
        <v>0</v>
      </c>
      <c r="N363" t="n">
        <v>0</v>
      </c>
      <c r="O363" t="n">
        <v>0</v>
      </c>
      <c r="P363" t="n">
        <v>0</v>
      </c>
      <c r="Q363" t="n">
        <v>0</v>
      </c>
      <c r="R363" s="2" t="inlineStr"/>
    </row>
    <row r="364" ht="15" customHeight="1">
      <c r="A364" t="inlineStr">
        <is>
          <t>A 65187-2019</t>
        </is>
      </c>
      <c r="B364" s="1" t="n">
        <v>43797</v>
      </c>
      <c r="C364" s="1" t="n">
        <v>45849</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65243-2019</t>
        </is>
      </c>
      <c r="B365" s="1" t="n">
        <v>43797</v>
      </c>
      <c r="C365" s="1" t="n">
        <v>45849</v>
      </c>
      <c r="D365" t="inlineStr">
        <is>
          <t>VÄRMLANDS LÄN</t>
        </is>
      </c>
      <c r="E365" t="inlineStr">
        <is>
          <t>TORSBY</t>
        </is>
      </c>
      <c r="F365" t="inlineStr">
        <is>
          <t>Övriga statliga verk och myndigheter</t>
        </is>
      </c>
      <c r="G365" t="n">
        <v>20.3</v>
      </c>
      <c r="H365" t="n">
        <v>0</v>
      </c>
      <c r="I365" t="n">
        <v>0</v>
      </c>
      <c r="J365" t="n">
        <v>0</v>
      </c>
      <c r="K365" t="n">
        <v>0</v>
      </c>
      <c r="L365" t="n">
        <v>0</v>
      </c>
      <c r="M365" t="n">
        <v>0</v>
      </c>
      <c r="N365" t="n">
        <v>0</v>
      </c>
      <c r="O365" t="n">
        <v>0</v>
      </c>
      <c r="P365" t="n">
        <v>0</v>
      </c>
      <c r="Q365" t="n">
        <v>0</v>
      </c>
      <c r="R365" s="2" t="inlineStr"/>
    </row>
    <row r="366" ht="15" customHeight="1">
      <c r="A366" t="inlineStr">
        <is>
          <t>A 64803-2019</t>
        </is>
      </c>
      <c r="B366" s="1" t="n">
        <v>43801</v>
      </c>
      <c r="C366" s="1" t="n">
        <v>45849</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65132-2019</t>
        </is>
      </c>
      <c r="B367" s="1" t="n">
        <v>43802</v>
      </c>
      <c r="C367" s="1" t="n">
        <v>45849</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65076-2019</t>
        </is>
      </c>
      <c r="B368" s="1" t="n">
        <v>43802</v>
      </c>
      <c r="C368" s="1" t="n">
        <v>45849</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65465-2019</t>
        </is>
      </c>
      <c r="B369" s="1" t="n">
        <v>43803</v>
      </c>
      <c r="C369" s="1" t="n">
        <v>45849</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65914-2019</t>
        </is>
      </c>
      <c r="B370" s="1" t="n">
        <v>43805</v>
      </c>
      <c r="C370" s="1" t="n">
        <v>45849</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67527-2019</t>
        </is>
      </c>
      <c r="B371" s="1" t="n">
        <v>43808</v>
      </c>
      <c r="C371" s="1" t="n">
        <v>45849</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66690-2019</t>
        </is>
      </c>
      <c r="B372" s="1" t="n">
        <v>43809</v>
      </c>
      <c r="C372" s="1" t="n">
        <v>45849</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66689-2019</t>
        </is>
      </c>
      <c r="B373" s="1" t="n">
        <v>43809</v>
      </c>
      <c r="C373" s="1" t="n">
        <v>45849</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67686-2019</t>
        </is>
      </c>
      <c r="B374" s="1" t="n">
        <v>43809</v>
      </c>
      <c r="C374" s="1" t="n">
        <v>45849</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66688-2019</t>
        </is>
      </c>
      <c r="B375" s="1" t="n">
        <v>43809</v>
      </c>
      <c r="C375" s="1" t="n">
        <v>45849</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67690-2019</t>
        </is>
      </c>
      <c r="B376" s="1" t="n">
        <v>43809</v>
      </c>
      <c r="C376" s="1" t="n">
        <v>45849</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67671-2019</t>
        </is>
      </c>
      <c r="B377" s="1" t="n">
        <v>43810</v>
      </c>
      <c r="C377" s="1" t="n">
        <v>45849</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67728-2019</t>
        </is>
      </c>
      <c r="B378" s="1" t="n">
        <v>43815</v>
      </c>
      <c r="C378" s="1" t="n">
        <v>45849</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68354-2019</t>
        </is>
      </c>
      <c r="B379" s="1" t="n">
        <v>43818</v>
      </c>
      <c r="C379" s="1" t="n">
        <v>45849</v>
      </c>
      <c r="D379" t="inlineStr">
        <is>
          <t>VÄRMLANDS LÄN</t>
        </is>
      </c>
      <c r="E379" t="inlineStr">
        <is>
          <t>TORSBY</t>
        </is>
      </c>
      <c r="G379" t="n">
        <v>61.1</v>
      </c>
      <c r="H379" t="n">
        <v>0</v>
      </c>
      <c r="I379" t="n">
        <v>0</v>
      </c>
      <c r="J379" t="n">
        <v>0</v>
      </c>
      <c r="K379" t="n">
        <v>0</v>
      </c>
      <c r="L379" t="n">
        <v>0</v>
      </c>
      <c r="M379" t="n">
        <v>0</v>
      </c>
      <c r="N379" t="n">
        <v>0</v>
      </c>
      <c r="O379" t="n">
        <v>0</v>
      </c>
      <c r="P379" t="n">
        <v>0</v>
      </c>
      <c r="Q379" t="n">
        <v>0</v>
      </c>
      <c r="R379" s="2" t="inlineStr"/>
    </row>
    <row r="380" ht="15" customHeight="1">
      <c r="A380" t="inlineStr">
        <is>
          <t>A 68360-2019</t>
        </is>
      </c>
      <c r="B380" s="1" t="n">
        <v>43818</v>
      </c>
      <c r="C380" s="1" t="n">
        <v>45849</v>
      </c>
      <c r="D380" t="inlineStr">
        <is>
          <t>VÄRMLANDS LÄN</t>
        </is>
      </c>
      <c r="E380" t="inlineStr">
        <is>
          <t>TORSBY</t>
        </is>
      </c>
      <c r="G380" t="n">
        <v>9</v>
      </c>
      <c r="H380" t="n">
        <v>0</v>
      </c>
      <c r="I380" t="n">
        <v>0</v>
      </c>
      <c r="J380" t="n">
        <v>0</v>
      </c>
      <c r="K380" t="n">
        <v>0</v>
      </c>
      <c r="L380" t="n">
        <v>0</v>
      </c>
      <c r="M380" t="n">
        <v>0</v>
      </c>
      <c r="N380" t="n">
        <v>0</v>
      </c>
      <c r="O380" t="n">
        <v>0</v>
      </c>
      <c r="P380" t="n">
        <v>0</v>
      </c>
      <c r="Q380" t="n">
        <v>0</v>
      </c>
      <c r="R380" s="2" t="inlineStr"/>
    </row>
    <row r="381" ht="15" customHeight="1">
      <c r="A381" t="inlineStr">
        <is>
          <t>A 68553-2019</t>
        </is>
      </c>
      <c r="B381" s="1" t="n">
        <v>43818</v>
      </c>
      <c r="C381" s="1" t="n">
        <v>45849</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140-2020</t>
        </is>
      </c>
      <c r="B382" s="1" t="n">
        <v>43833</v>
      </c>
      <c r="C382" s="1" t="n">
        <v>45849</v>
      </c>
      <c r="D382" t="inlineStr">
        <is>
          <t>VÄRMLANDS LÄN</t>
        </is>
      </c>
      <c r="E382" t="inlineStr">
        <is>
          <t>TORSBY</t>
        </is>
      </c>
      <c r="G382" t="n">
        <v>2.8</v>
      </c>
      <c r="H382" t="n">
        <v>0</v>
      </c>
      <c r="I382" t="n">
        <v>0</v>
      </c>
      <c r="J382" t="n">
        <v>0</v>
      </c>
      <c r="K382" t="n">
        <v>0</v>
      </c>
      <c r="L382" t="n">
        <v>0</v>
      </c>
      <c r="M382" t="n">
        <v>0</v>
      </c>
      <c r="N382" t="n">
        <v>0</v>
      </c>
      <c r="O382" t="n">
        <v>0</v>
      </c>
      <c r="P382" t="n">
        <v>0</v>
      </c>
      <c r="Q382" t="n">
        <v>0</v>
      </c>
      <c r="R382" s="2" t="inlineStr"/>
    </row>
    <row r="383" ht="15" customHeight="1">
      <c r="A383" t="inlineStr">
        <is>
          <t>A 338-2020</t>
        </is>
      </c>
      <c r="B383" s="1" t="n">
        <v>43837</v>
      </c>
      <c r="C383" s="1" t="n">
        <v>45849</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388-2020</t>
        </is>
      </c>
      <c r="B384" s="1" t="n">
        <v>43837</v>
      </c>
      <c r="C384" s="1" t="n">
        <v>45849</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3263-2020</t>
        </is>
      </c>
      <c r="B385" s="1" t="n">
        <v>43844</v>
      </c>
      <c r="C385" s="1" t="n">
        <v>45849</v>
      </c>
      <c r="D385" t="inlineStr">
        <is>
          <t>VÄRMLANDS LÄN</t>
        </is>
      </c>
      <c r="E385" t="inlineStr">
        <is>
          <t>TORSBY</t>
        </is>
      </c>
      <c r="G385" t="n">
        <v>14.7</v>
      </c>
      <c r="H385" t="n">
        <v>0</v>
      </c>
      <c r="I385" t="n">
        <v>0</v>
      </c>
      <c r="J385" t="n">
        <v>0</v>
      </c>
      <c r="K385" t="n">
        <v>0</v>
      </c>
      <c r="L385" t="n">
        <v>0</v>
      </c>
      <c r="M385" t="n">
        <v>0</v>
      </c>
      <c r="N385" t="n">
        <v>0</v>
      </c>
      <c r="O385" t="n">
        <v>0</v>
      </c>
      <c r="P385" t="n">
        <v>0</v>
      </c>
      <c r="Q385" t="n">
        <v>0</v>
      </c>
      <c r="R385" s="2" t="inlineStr"/>
    </row>
    <row r="386" ht="15" customHeight="1">
      <c r="A386" t="inlineStr">
        <is>
          <t>A 3172-2020</t>
        </is>
      </c>
      <c r="B386" s="1" t="n">
        <v>43844</v>
      </c>
      <c r="C386" s="1" t="n">
        <v>45849</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2082-2020</t>
        </is>
      </c>
      <c r="B387" s="1" t="n">
        <v>43845</v>
      </c>
      <c r="C387" s="1" t="n">
        <v>45849</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1875-2020</t>
        </is>
      </c>
      <c r="B388" s="1" t="n">
        <v>43845</v>
      </c>
      <c r="C388" s="1" t="n">
        <v>45849</v>
      </c>
      <c r="D388" t="inlineStr">
        <is>
          <t>VÄRMLANDS LÄN</t>
        </is>
      </c>
      <c r="E388" t="inlineStr">
        <is>
          <t>TORSBY</t>
        </is>
      </c>
      <c r="G388" t="n">
        <v>3</v>
      </c>
      <c r="H388" t="n">
        <v>0</v>
      </c>
      <c r="I388" t="n">
        <v>0</v>
      </c>
      <c r="J388" t="n">
        <v>0</v>
      </c>
      <c r="K388" t="n">
        <v>0</v>
      </c>
      <c r="L388" t="n">
        <v>0</v>
      </c>
      <c r="M388" t="n">
        <v>0</v>
      </c>
      <c r="N388" t="n">
        <v>0</v>
      </c>
      <c r="O388" t="n">
        <v>0</v>
      </c>
      <c r="P388" t="n">
        <v>0</v>
      </c>
      <c r="Q388" t="n">
        <v>0</v>
      </c>
      <c r="R388" s="2" t="inlineStr"/>
    </row>
    <row r="389" ht="15" customHeight="1">
      <c r="A389" t="inlineStr">
        <is>
          <t>A 2068-2020</t>
        </is>
      </c>
      <c r="B389" s="1" t="n">
        <v>43845</v>
      </c>
      <c r="C389" s="1" t="n">
        <v>45849</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4017-2020</t>
        </is>
      </c>
      <c r="B390" s="1" t="n">
        <v>43846</v>
      </c>
      <c r="C390" s="1" t="n">
        <v>45849</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4753-2020</t>
        </is>
      </c>
      <c r="B391" s="1" t="n">
        <v>43859</v>
      </c>
      <c r="C391" s="1" t="n">
        <v>45849</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5180-2020</t>
        </is>
      </c>
      <c r="B392" s="1" t="n">
        <v>43860</v>
      </c>
      <c r="C392" s="1" t="n">
        <v>45849</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5426-2020</t>
        </is>
      </c>
      <c r="B393" s="1" t="n">
        <v>43861</v>
      </c>
      <c r="C393" s="1" t="n">
        <v>45849</v>
      </c>
      <c r="D393" t="inlineStr">
        <is>
          <t>VÄRMLANDS LÄN</t>
        </is>
      </c>
      <c r="E393" t="inlineStr">
        <is>
          <t>TORSBY</t>
        </is>
      </c>
      <c r="G393" t="n">
        <v>7.2</v>
      </c>
      <c r="H393" t="n">
        <v>0</v>
      </c>
      <c r="I393" t="n">
        <v>0</v>
      </c>
      <c r="J393" t="n">
        <v>0</v>
      </c>
      <c r="K393" t="n">
        <v>0</v>
      </c>
      <c r="L393" t="n">
        <v>0</v>
      </c>
      <c r="M393" t="n">
        <v>0</v>
      </c>
      <c r="N393" t="n">
        <v>0</v>
      </c>
      <c r="O393" t="n">
        <v>0</v>
      </c>
      <c r="P393" t="n">
        <v>0</v>
      </c>
      <c r="Q393" t="n">
        <v>0</v>
      </c>
      <c r="R393" s="2" t="inlineStr"/>
    </row>
    <row r="394" ht="15" customHeight="1">
      <c r="A394" t="inlineStr">
        <is>
          <t>A 5425-2020</t>
        </is>
      </c>
      <c r="B394" s="1" t="n">
        <v>43861</v>
      </c>
      <c r="C394" s="1" t="n">
        <v>45849</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5427-2020</t>
        </is>
      </c>
      <c r="B395" s="1" t="n">
        <v>43861</v>
      </c>
      <c r="C395" s="1" t="n">
        <v>45849</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7000-2020</t>
        </is>
      </c>
      <c r="B396" s="1" t="n">
        <v>43868</v>
      </c>
      <c r="C396" s="1" t="n">
        <v>45849</v>
      </c>
      <c r="D396" t="inlineStr">
        <is>
          <t>VÄRMLANDS LÄN</t>
        </is>
      </c>
      <c r="E396" t="inlineStr">
        <is>
          <t>TORSBY</t>
        </is>
      </c>
      <c r="G396" t="n">
        <v>2.8</v>
      </c>
      <c r="H396" t="n">
        <v>0</v>
      </c>
      <c r="I396" t="n">
        <v>0</v>
      </c>
      <c r="J396" t="n">
        <v>0</v>
      </c>
      <c r="K396" t="n">
        <v>0</v>
      </c>
      <c r="L396" t="n">
        <v>0</v>
      </c>
      <c r="M396" t="n">
        <v>0</v>
      </c>
      <c r="N396" t="n">
        <v>0</v>
      </c>
      <c r="O396" t="n">
        <v>0</v>
      </c>
      <c r="P396" t="n">
        <v>0</v>
      </c>
      <c r="Q396" t="n">
        <v>0</v>
      </c>
      <c r="R396" s="2" t="inlineStr"/>
    </row>
    <row r="397" ht="15" customHeight="1">
      <c r="A397" t="inlineStr">
        <is>
          <t>A 6862-2020</t>
        </is>
      </c>
      <c r="B397" s="1" t="n">
        <v>43868</v>
      </c>
      <c r="C397" s="1" t="n">
        <v>45849</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7153-2020</t>
        </is>
      </c>
      <c r="B398" s="1" t="n">
        <v>43870</v>
      </c>
      <c r="C398" s="1" t="n">
        <v>45849</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7279-2020</t>
        </is>
      </c>
      <c r="B399" s="1" t="n">
        <v>43871</v>
      </c>
      <c r="C399" s="1" t="n">
        <v>45849</v>
      </c>
      <c r="D399" t="inlineStr">
        <is>
          <t>VÄRMLANDS LÄN</t>
        </is>
      </c>
      <c r="E399" t="inlineStr">
        <is>
          <t>TORSBY</t>
        </is>
      </c>
      <c r="G399" t="n">
        <v>6.7</v>
      </c>
      <c r="H399" t="n">
        <v>0</v>
      </c>
      <c r="I399" t="n">
        <v>0</v>
      </c>
      <c r="J399" t="n">
        <v>0</v>
      </c>
      <c r="K399" t="n">
        <v>0</v>
      </c>
      <c r="L399" t="n">
        <v>0</v>
      </c>
      <c r="M399" t="n">
        <v>0</v>
      </c>
      <c r="N399" t="n">
        <v>0</v>
      </c>
      <c r="O399" t="n">
        <v>0</v>
      </c>
      <c r="P399" t="n">
        <v>0</v>
      </c>
      <c r="Q399" t="n">
        <v>0</v>
      </c>
      <c r="R399" s="2" t="inlineStr"/>
    </row>
    <row r="400" ht="15" customHeight="1">
      <c r="A400" t="inlineStr">
        <is>
          <t>A 7526-2020</t>
        </is>
      </c>
      <c r="B400" s="1" t="n">
        <v>43871</v>
      </c>
      <c r="C400" s="1" t="n">
        <v>45849</v>
      </c>
      <c r="D400" t="inlineStr">
        <is>
          <t>VÄRMLANDS LÄN</t>
        </is>
      </c>
      <c r="E400" t="inlineStr">
        <is>
          <t>TORSBY</t>
        </is>
      </c>
      <c r="G400" t="n">
        <v>11.8</v>
      </c>
      <c r="H400" t="n">
        <v>0</v>
      </c>
      <c r="I400" t="n">
        <v>0</v>
      </c>
      <c r="J400" t="n">
        <v>0</v>
      </c>
      <c r="K400" t="n">
        <v>0</v>
      </c>
      <c r="L400" t="n">
        <v>0</v>
      </c>
      <c r="M400" t="n">
        <v>0</v>
      </c>
      <c r="N400" t="n">
        <v>0</v>
      </c>
      <c r="O400" t="n">
        <v>0</v>
      </c>
      <c r="P400" t="n">
        <v>0</v>
      </c>
      <c r="Q400" t="n">
        <v>0</v>
      </c>
      <c r="R400" s="2" t="inlineStr"/>
    </row>
    <row r="401" ht="15" customHeight="1">
      <c r="A401" t="inlineStr">
        <is>
          <t>A 7582-2020</t>
        </is>
      </c>
      <c r="B401" s="1" t="n">
        <v>43871</v>
      </c>
      <c r="C401" s="1" t="n">
        <v>45849</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7749-2020</t>
        </is>
      </c>
      <c r="B402" s="1" t="n">
        <v>43872</v>
      </c>
      <c r="C402" s="1" t="n">
        <v>45849</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7856-2020</t>
        </is>
      </c>
      <c r="B403" s="1" t="n">
        <v>43873</v>
      </c>
      <c r="C403" s="1" t="n">
        <v>45849</v>
      </c>
      <c r="D403" t="inlineStr">
        <is>
          <t>VÄRMLANDS LÄN</t>
        </is>
      </c>
      <c r="E403" t="inlineStr">
        <is>
          <t>TORSBY</t>
        </is>
      </c>
      <c r="G403" t="n">
        <v>4.5</v>
      </c>
      <c r="H403" t="n">
        <v>0</v>
      </c>
      <c r="I403" t="n">
        <v>0</v>
      </c>
      <c r="J403" t="n">
        <v>0</v>
      </c>
      <c r="K403" t="n">
        <v>0</v>
      </c>
      <c r="L403" t="n">
        <v>0</v>
      </c>
      <c r="M403" t="n">
        <v>0</v>
      </c>
      <c r="N403" t="n">
        <v>0</v>
      </c>
      <c r="O403" t="n">
        <v>0</v>
      </c>
      <c r="P403" t="n">
        <v>0</v>
      </c>
      <c r="Q403" t="n">
        <v>0</v>
      </c>
      <c r="R403" s="2" t="inlineStr"/>
    </row>
    <row r="404" ht="15" customHeight="1">
      <c r="A404" t="inlineStr">
        <is>
          <t>A 8631-2020</t>
        </is>
      </c>
      <c r="B404" s="1" t="n">
        <v>43874</v>
      </c>
      <c r="C404" s="1" t="n">
        <v>45849</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8899-2020</t>
        </is>
      </c>
      <c r="B405" s="1" t="n">
        <v>43878</v>
      </c>
      <c r="C405" s="1" t="n">
        <v>45849</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9192-2020</t>
        </is>
      </c>
      <c r="B406" s="1" t="n">
        <v>43879</v>
      </c>
      <c r="C406" s="1" t="n">
        <v>45849</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9766-2020</t>
        </is>
      </c>
      <c r="B407" s="1" t="n">
        <v>43879</v>
      </c>
      <c r="C407" s="1" t="n">
        <v>45849</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9760-2020</t>
        </is>
      </c>
      <c r="B408" s="1" t="n">
        <v>43879</v>
      </c>
      <c r="C408" s="1" t="n">
        <v>45849</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9600-2020</t>
        </is>
      </c>
      <c r="B409" s="1" t="n">
        <v>43881</v>
      </c>
      <c r="C409" s="1" t="n">
        <v>45849</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10899-2020</t>
        </is>
      </c>
      <c r="B410" s="1" t="n">
        <v>43885</v>
      </c>
      <c r="C410" s="1" t="n">
        <v>45849</v>
      </c>
      <c r="D410" t="inlineStr">
        <is>
          <t>VÄRMLANDS LÄN</t>
        </is>
      </c>
      <c r="E410" t="inlineStr">
        <is>
          <t>TORSBY</t>
        </is>
      </c>
      <c r="G410" t="n">
        <v>7.4</v>
      </c>
      <c r="H410" t="n">
        <v>0</v>
      </c>
      <c r="I410" t="n">
        <v>0</v>
      </c>
      <c r="J410" t="n">
        <v>0</v>
      </c>
      <c r="K410" t="n">
        <v>0</v>
      </c>
      <c r="L410" t="n">
        <v>0</v>
      </c>
      <c r="M410" t="n">
        <v>0</v>
      </c>
      <c r="N410" t="n">
        <v>0</v>
      </c>
      <c r="O410" t="n">
        <v>0</v>
      </c>
      <c r="P410" t="n">
        <v>0</v>
      </c>
      <c r="Q410" t="n">
        <v>0</v>
      </c>
      <c r="R410" s="2" t="inlineStr"/>
    </row>
    <row r="411" ht="15" customHeight="1">
      <c r="A411" t="inlineStr">
        <is>
          <t>A 10422-2020</t>
        </is>
      </c>
      <c r="B411" s="1" t="n">
        <v>43886</v>
      </c>
      <c r="C411" s="1" t="n">
        <v>45849</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10449-2020</t>
        </is>
      </c>
      <c r="B412" s="1" t="n">
        <v>43886</v>
      </c>
      <c r="C412" s="1" t="n">
        <v>45849</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11213-2020</t>
        </is>
      </c>
      <c r="B413" s="1" t="n">
        <v>43892</v>
      </c>
      <c r="C413" s="1" t="n">
        <v>45849</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12428-2020</t>
        </is>
      </c>
      <c r="B414" s="1" t="n">
        <v>43896</v>
      </c>
      <c r="C414" s="1" t="n">
        <v>45849</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12855-2020</t>
        </is>
      </c>
      <c r="B415" s="1" t="n">
        <v>43899</v>
      </c>
      <c r="C415" s="1" t="n">
        <v>45849</v>
      </c>
      <c r="D415" t="inlineStr">
        <is>
          <t>VÄRMLANDS LÄN</t>
        </is>
      </c>
      <c r="E415" t="inlineStr">
        <is>
          <t>TORSBY</t>
        </is>
      </c>
      <c r="G415" t="n">
        <v>5.9</v>
      </c>
      <c r="H415" t="n">
        <v>0</v>
      </c>
      <c r="I415" t="n">
        <v>0</v>
      </c>
      <c r="J415" t="n">
        <v>0</v>
      </c>
      <c r="K415" t="n">
        <v>0</v>
      </c>
      <c r="L415" t="n">
        <v>0</v>
      </c>
      <c r="M415" t="n">
        <v>0</v>
      </c>
      <c r="N415" t="n">
        <v>0</v>
      </c>
      <c r="O415" t="n">
        <v>0</v>
      </c>
      <c r="P415" t="n">
        <v>0</v>
      </c>
      <c r="Q415" t="n">
        <v>0</v>
      </c>
      <c r="R415" s="2" t="inlineStr"/>
    </row>
    <row r="416" ht="15" customHeight="1">
      <c r="A416" t="inlineStr">
        <is>
          <t>A 12881-2020</t>
        </is>
      </c>
      <c r="B416" s="1" t="n">
        <v>43900</v>
      </c>
      <c r="C416" s="1" t="n">
        <v>45849</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14246-2020</t>
        </is>
      </c>
      <c r="B417" s="1" t="n">
        <v>43900</v>
      </c>
      <c r="C417" s="1" t="n">
        <v>45849</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13153-2020</t>
        </is>
      </c>
      <c r="B418" s="1" t="n">
        <v>43901</v>
      </c>
      <c r="C418" s="1" t="n">
        <v>45849</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13250-2020</t>
        </is>
      </c>
      <c r="B419" s="1" t="n">
        <v>43901</v>
      </c>
      <c r="C419" s="1" t="n">
        <v>45849</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14695-2020</t>
        </is>
      </c>
      <c r="B420" s="1" t="n">
        <v>43903</v>
      </c>
      <c r="C420" s="1" t="n">
        <v>45849</v>
      </c>
      <c r="D420" t="inlineStr">
        <is>
          <t>VÄRMLANDS LÄN</t>
        </is>
      </c>
      <c r="E420" t="inlineStr">
        <is>
          <t>TORSBY</t>
        </is>
      </c>
      <c r="G420" t="n">
        <v>8</v>
      </c>
      <c r="H420" t="n">
        <v>0</v>
      </c>
      <c r="I420" t="n">
        <v>0</v>
      </c>
      <c r="J420" t="n">
        <v>0</v>
      </c>
      <c r="K420" t="n">
        <v>0</v>
      </c>
      <c r="L420" t="n">
        <v>0</v>
      </c>
      <c r="M420" t="n">
        <v>0</v>
      </c>
      <c r="N420" t="n">
        <v>0</v>
      </c>
      <c r="O420" t="n">
        <v>0</v>
      </c>
      <c r="P420" t="n">
        <v>0</v>
      </c>
      <c r="Q420" t="n">
        <v>0</v>
      </c>
      <c r="R420" s="2" t="inlineStr"/>
    </row>
    <row r="421" ht="15" customHeight="1">
      <c r="A421" t="inlineStr">
        <is>
          <t>A 14693-2020</t>
        </is>
      </c>
      <c r="B421" s="1" t="n">
        <v>43903</v>
      </c>
      <c r="C421" s="1" t="n">
        <v>45849</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14962-2020</t>
        </is>
      </c>
      <c r="B422" s="1" t="n">
        <v>43907</v>
      </c>
      <c r="C422" s="1" t="n">
        <v>45849</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14968-2020</t>
        </is>
      </c>
      <c r="B423" s="1" t="n">
        <v>43907</v>
      </c>
      <c r="C423" s="1" t="n">
        <v>45849</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14702-2020</t>
        </is>
      </c>
      <c r="B424" s="1" t="n">
        <v>43909</v>
      </c>
      <c r="C424" s="1" t="n">
        <v>45849</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14694-2020</t>
        </is>
      </c>
      <c r="B425" s="1" t="n">
        <v>43909</v>
      </c>
      <c r="C425" s="1" t="n">
        <v>45849</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14851-2020</t>
        </is>
      </c>
      <c r="B426" s="1" t="n">
        <v>43909</v>
      </c>
      <c r="C426" s="1" t="n">
        <v>45849</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15161-2020</t>
        </is>
      </c>
      <c r="B427" s="1" t="n">
        <v>43912</v>
      </c>
      <c r="C427" s="1" t="n">
        <v>45849</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15280-2020</t>
        </is>
      </c>
      <c r="B428" s="1" t="n">
        <v>43913</v>
      </c>
      <c r="C428" s="1" t="n">
        <v>45849</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15589-2020</t>
        </is>
      </c>
      <c r="B429" s="1" t="n">
        <v>43914</v>
      </c>
      <c r="C429" s="1" t="n">
        <v>45849</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15701-2020</t>
        </is>
      </c>
      <c r="B430" s="1" t="n">
        <v>43915</v>
      </c>
      <c r="C430" s="1" t="n">
        <v>45849</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15768-2020</t>
        </is>
      </c>
      <c r="B431" s="1" t="n">
        <v>43915</v>
      </c>
      <c r="C431" s="1" t="n">
        <v>45849</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16364-2020</t>
        </is>
      </c>
      <c r="B432" s="1" t="n">
        <v>43917</v>
      </c>
      <c r="C432" s="1" t="n">
        <v>45849</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16437-2020</t>
        </is>
      </c>
      <c r="B433" s="1" t="n">
        <v>43919</v>
      </c>
      <c r="C433" s="1" t="n">
        <v>45849</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17021-2020</t>
        </is>
      </c>
      <c r="B434" s="1" t="n">
        <v>43921</v>
      </c>
      <c r="C434" s="1" t="n">
        <v>45849</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16999-2020</t>
        </is>
      </c>
      <c r="B435" s="1" t="n">
        <v>43921</v>
      </c>
      <c r="C435" s="1" t="n">
        <v>45849</v>
      </c>
      <c r="D435" t="inlineStr">
        <is>
          <t>VÄRMLANDS LÄN</t>
        </is>
      </c>
      <c r="E435" t="inlineStr">
        <is>
          <t>TORSBY</t>
        </is>
      </c>
      <c r="G435" t="n">
        <v>6.6</v>
      </c>
      <c r="H435" t="n">
        <v>0</v>
      </c>
      <c r="I435" t="n">
        <v>0</v>
      </c>
      <c r="J435" t="n">
        <v>0</v>
      </c>
      <c r="K435" t="n">
        <v>0</v>
      </c>
      <c r="L435" t="n">
        <v>0</v>
      </c>
      <c r="M435" t="n">
        <v>0</v>
      </c>
      <c r="N435" t="n">
        <v>0</v>
      </c>
      <c r="O435" t="n">
        <v>0</v>
      </c>
      <c r="P435" t="n">
        <v>0</v>
      </c>
      <c r="Q435" t="n">
        <v>0</v>
      </c>
      <c r="R435" s="2" t="inlineStr"/>
    </row>
    <row r="436" ht="15" customHeight="1">
      <c r="A436" t="inlineStr">
        <is>
          <t>A 17009-2020</t>
        </is>
      </c>
      <c r="B436" s="1" t="n">
        <v>43921</v>
      </c>
      <c r="C436" s="1" t="n">
        <v>45849</v>
      </c>
      <c r="D436" t="inlineStr">
        <is>
          <t>VÄRMLANDS LÄN</t>
        </is>
      </c>
      <c r="E436" t="inlineStr">
        <is>
          <t>TORSBY</t>
        </is>
      </c>
      <c r="G436" t="n">
        <v>3.3</v>
      </c>
      <c r="H436" t="n">
        <v>0</v>
      </c>
      <c r="I436" t="n">
        <v>0</v>
      </c>
      <c r="J436" t="n">
        <v>0</v>
      </c>
      <c r="K436" t="n">
        <v>0</v>
      </c>
      <c r="L436" t="n">
        <v>0</v>
      </c>
      <c r="M436" t="n">
        <v>0</v>
      </c>
      <c r="N436" t="n">
        <v>0</v>
      </c>
      <c r="O436" t="n">
        <v>0</v>
      </c>
      <c r="P436" t="n">
        <v>0</v>
      </c>
      <c r="Q436" t="n">
        <v>0</v>
      </c>
      <c r="R436" s="2" t="inlineStr"/>
    </row>
    <row r="437" ht="15" customHeight="1">
      <c r="A437" t="inlineStr">
        <is>
          <t>A 18155-2020</t>
        </is>
      </c>
      <c r="B437" s="1" t="n">
        <v>43927</v>
      </c>
      <c r="C437" s="1" t="n">
        <v>45849</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18641-2020</t>
        </is>
      </c>
      <c r="B438" s="1" t="n">
        <v>43928</v>
      </c>
      <c r="C438" s="1" t="n">
        <v>45849</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18769-2020</t>
        </is>
      </c>
      <c r="B439" s="1" t="n">
        <v>43930</v>
      </c>
      <c r="C439" s="1" t="n">
        <v>45849</v>
      </c>
      <c r="D439" t="inlineStr">
        <is>
          <t>VÄRMLANDS LÄN</t>
        </is>
      </c>
      <c r="E439" t="inlineStr">
        <is>
          <t>TORSBY</t>
        </is>
      </c>
      <c r="G439" t="n">
        <v>5.2</v>
      </c>
      <c r="H439" t="n">
        <v>0</v>
      </c>
      <c r="I439" t="n">
        <v>0</v>
      </c>
      <c r="J439" t="n">
        <v>0</v>
      </c>
      <c r="K439" t="n">
        <v>0</v>
      </c>
      <c r="L439" t="n">
        <v>0</v>
      </c>
      <c r="M439" t="n">
        <v>0</v>
      </c>
      <c r="N439" t="n">
        <v>0</v>
      </c>
      <c r="O439" t="n">
        <v>0</v>
      </c>
      <c r="P439" t="n">
        <v>0</v>
      </c>
      <c r="Q439" t="n">
        <v>0</v>
      </c>
      <c r="R439" s="2" t="inlineStr"/>
    </row>
    <row r="440" ht="15" customHeight="1">
      <c r="A440" t="inlineStr">
        <is>
          <t>A 18770-2020</t>
        </is>
      </c>
      <c r="B440" s="1" t="n">
        <v>43930</v>
      </c>
      <c r="C440" s="1" t="n">
        <v>45849</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18972-2020</t>
        </is>
      </c>
      <c r="B441" s="1" t="n">
        <v>43935</v>
      </c>
      <c r="C441" s="1" t="n">
        <v>45849</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19032-2020</t>
        </is>
      </c>
      <c r="B442" s="1" t="n">
        <v>43936</v>
      </c>
      <c r="C442" s="1" t="n">
        <v>45849</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19181-2020</t>
        </is>
      </c>
      <c r="B443" s="1" t="n">
        <v>43937</v>
      </c>
      <c r="C443" s="1" t="n">
        <v>45849</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19384-2020</t>
        </is>
      </c>
      <c r="B444" s="1" t="n">
        <v>43938</v>
      </c>
      <c r="C444" s="1" t="n">
        <v>45849</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19963-2020</t>
        </is>
      </c>
      <c r="B445" s="1" t="n">
        <v>43941</v>
      </c>
      <c r="C445" s="1" t="n">
        <v>45849</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20025-2020</t>
        </is>
      </c>
      <c r="B446" s="1" t="n">
        <v>43943</v>
      </c>
      <c r="C446" s="1" t="n">
        <v>45849</v>
      </c>
      <c r="D446" t="inlineStr">
        <is>
          <t>VÄRMLANDS LÄN</t>
        </is>
      </c>
      <c r="E446" t="inlineStr">
        <is>
          <t>TORSBY</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20280-2020</t>
        </is>
      </c>
      <c r="B447" s="1" t="n">
        <v>43945</v>
      </c>
      <c r="C447" s="1" t="n">
        <v>45849</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20464-2020</t>
        </is>
      </c>
      <c r="B448" s="1" t="n">
        <v>43948</v>
      </c>
      <c r="C448" s="1" t="n">
        <v>45849</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21099-2020</t>
        </is>
      </c>
      <c r="B449" s="1" t="n">
        <v>43951</v>
      </c>
      <c r="C449" s="1" t="n">
        <v>45849</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21335-2020</t>
        </is>
      </c>
      <c r="B450" s="1" t="n">
        <v>43951</v>
      </c>
      <c r="C450" s="1" t="n">
        <v>45849</v>
      </c>
      <c r="D450" t="inlineStr">
        <is>
          <t>VÄRMLANDS LÄN</t>
        </is>
      </c>
      <c r="E450" t="inlineStr">
        <is>
          <t>TORSBY</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21369-2020</t>
        </is>
      </c>
      <c r="B451" s="1" t="n">
        <v>43951</v>
      </c>
      <c r="C451" s="1" t="n">
        <v>45849</v>
      </c>
      <c r="D451" t="inlineStr">
        <is>
          <t>VÄRMLANDS LÄN</t>
        </is>
      </c>
      <c r="E451" t="inlineStr">
        <is>
          <t>TORSBY</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21045-2020</t>
        </is>
      </c>
      <c r="B452" s="1" t="n">
        <v>43951</v>
      </c>
      <c r="C452" s="1" t="n">
        <v>45849</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21347-2020</t>
        </is>
      </c>
      <c r="B453" s="1" t="n">
        <v>43951</v>
      </c>
      <c r="C453" s="1" t="n">
        <v>45849</v>
      </c>
      <c r="D453" t="inlineStr">
        <is>
          <t>VÄRMLANDS LÄN</t>
        </is>
      </c>
      <c r="E453" t="inlineStr">
        <is>
          <t>TORSBY</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21900-2020</t>
        </is>
      </c>
      <c r="B454" s="1" t="n">
        <v>43955</v>
      </c>
      <c r="C454" s="1" t="n">
        <v>45849</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21672-2020</t>
        </is>
      </c>
      <c r="B455" s="1" t="n">
        <v>43957</v>
      </c>
      <c r="C455" s="1" t="n">
        <v>45849</v>
      </c>
      <c r="D455" t="inlineStr">
        <is>
          <t>VÄRMLANDS LÄN</t>
        </is>
      </c>
      <c r="E455" t="inlineStr">
        <is>
          <t>TORSBY</t>
        </is>
      </c>
      <c r="F455" t="inlineStr">
        <is>
          <t>Bergvik skog väst AB</t>
        </is>
      </c>
      <c r="G455" t="n">
        <v>44.1</v>
      </c>
      <c r="H455" t="n">
        <v>0</v>
      </c>
      <c r="I455" t="n">
        <v>0</v>
      </c>
      <c r="J455" t="n">
        <v>0</v>
      </c>
      <c r="K455" t="n">
        <v>0</v>
      </c>
      <c r="L455" t="n">
        <v>0</v>
      </c>
      <c r="M455" t="n">
        <v>0</v>
      </c>
      <c r="N455" t="n">
        <v>0</v>
      </c>
      <c r="O455" t="n">
        <v>0</v>
      </c>
      <c r="P455" t="n">
        <v>0</v>
      </c>
      <c r="Q455" t="n">
        <v>0</v>
      </c>
      <c r="R455" s="2" t="inlineStr"/>
    </row>
    <row r="456" ht="15" customHeight="1">
      <c r="A456" t="inlineStr">
        <is>
          <t>A 22194-2020</t>
        </is>
      </c>
      <c r="B456" s="1" t="n">
        <v>43962</v>
      </c>
      <c r="C456" s="1" t="n">
        <v>45849</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22209-2020</t>
        </is>
      </c>
      <c r="B457" s="1" t="n">
        <v>43962</v>
      </c>
      <c r="C457" s="1" t="n">
        <v>45849</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25518-2020</t>
        </is>
      </c>
      <c r="B458" s="1" t="n">
        <v>43983</v>
      </c>
      <c r="C458" s="1" t="n">
        <v>45849</v>
      </c>
      <c r="D458" t="inlineStr">
        <is>
          <t>VÄRMLANDS LÄN</t>
        </is>
      </c>
      <c r="E458" t="inlineStr">
        <is>
          <t>TORSBY</t>
        </is>
      </c>
      <c r="G458" t="n">
        <v>0.2</v>
      </c>
      <c r="H458" t="n">
        <v>0</v>
      </c>
      <c r="I458" t="n">
        <v>0</v>
      </c>
      <c r="J458" t="n">
        <v>0</v>
      </c>
      <c r="K458" t="n">
        <v>0</v>
      </c>
      <c r="L458" t="n">
        <v>0</v>
      </c>
      <c r="M458" t="n">
        <v>0</v>
      </c>
      <c r="N458" t="n">
        <v>0</v>
      </c>
      <c r="O458" t="n">
        <v>0</v>
      </c>
      <c r="P458" t="n">
        <v>0</v>
      </c>
      <c r="Q458" t="n">
        <v>0</v>
      </c>
      <c r="R458" s="2" t="inlineStr"/>
    </row>
    <row r="459" ht="15" customHeight="1">
      <c r="A459" t="inlineStr">
        <is>
          <t>A 26915-2020</t>
        </is>
      </c>
      <c r="B459" s="1" t="n">
        <v>43986</v>
      </c>
      <c r="C459" s="1" t="n">
        <v>45849</v>
      </c>
      <c r="D459" t="inlineStr">
        <is>
          <t>VÄRMLANDS LÄN</t>
        </is>
      </c>
      <c r="E459" t="inlineStr">
        <is>
          <t>TORSBY</t>
        </is>
      </c>
      <c r="G459" t="n">
        <v>0.5</v>
      </c>
      <c r="H459" t="n">
        <v>0</v>
      </c>
      <c r="I459" t="n">
        <v>0</v>
      </c>
      <c r="J459" t="n">
        <v>0</v>
      </c>
      <c r="K459" t="n">
        <v>0</v>
      </c>
      <c r="L459" t="n">
        <v>0</v>
      </c>
      <c r="M459" t="n">
        <v>0</v>
      </c>
      <c r="N459" t="n">
        <v>0</v>
      </c>
      <c r="O459" t="n">
        <v>0</v>
      </c>
      <c r="P459" t="n">
        <v>0</v>
      </c>
      <c r="Q459" t="n">
        <v>0</v>
      </c>
      <c r="R459" s="2" t="inlineStr"/>
    </row>
    <row r="460" ht="15" customHeight="1">
      <c r="A460" t="inlineStr">
        <is>
          <t>A 26926-2020</t>
        </is>
      </c>
      <c r="B460" s="1" t="n">
        <v>43986</v>
      </c>
      <c r="C460" s="1" t="n">
        <v>45849</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26919-2020</t>
        </is>
      </c>
      <c r="B461" s="1" t="n">
        <v>43986</v>
      </c>
      <c r="C461" s="1" t="n">
        <v>45849</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26666-2020</t>
        </is>
      </c>
      <c r="B462" s="1" t="n">
        <v>43989</v>
      </c>
      <c r="C462" s="1" t="n">
        <v>45849</v>
      </c>
      <c r="D462" t="inlineStr">
        <is>
          <t>VÄRMLANDS LÄN</t>
        </is>
      </c>
      <c r="E462" t="inlineStr">
        <is>
          <t>TORSBY</t>
        </is>
      </c>
      <c r="G462" t="n">
        <v>8.4</v>
      </c>
      <c r="H462" t="n">
        <v>0</v>
      </c>
      <c r="I462" t="n">
        <v>0</v>
      </c>
      <c r="J462" t="n">
        <v>0</v>
      </c>
      <c r="K462" t="n">
        <v>0</v>
      </c>
      <c r="L462" t="n">
        <v>0</v>
      </c>
      <c r="M462" t="n">
        <v>0</v>
      </c>
      <c r="N462" t="n">
        <v>0</v>
      </c>
      <c r="O462" t="n">
        <v>0</v>
      </c>
      <c r="P462" t="n">
        <v>0</v>
      </c>
      <c r="Q462" t="n">
        <v>0</v>
      </c>
      <c r="R462" s="2" t="inlineStr"/>
    </row>
    <row r="463" ht="15" customHeight="1">
      <c r="A463" t="inlineStr">
        <is>
          <t>A 27339-2020</t>
        </is>
      </c>
      <c r="B463" s="1" t="n">
        <v>43990</v>
      </c>
      <c r="C463" s="1" t="n">
        <v>45849</v>
      </c>
      <c r="D463" t="inlineStr">
        <is>
          <t>VÄRMLANDS LÄN</t>
        </is>
      </c>
      <c r="E463" t="inlineStr">
        <is>
          <t>TORSBY</t>
        </is>
      </c>
      <c r="G463" t="n">
        <v>4.2</v>
      </c>
      <c r="H463" t="n">
        <v>0</v>
      </c>
      <c r="I463" t="n">
        <v>0</v>
      </c>
      <c r="J463" t="n">
        <v>0</v>
      </c>
      <c r="K463" t="n">
        <v>0</v>
      </c>
      <c r="L463" t="n">
        <v>0</v>
      </c>
      <c r="M463" t="n">
        <v>0</v>
      </c>
      <c r="N463" t="n">
        <v>0</v>
      </c>
      <c r="O463" t="n">
        <v>0</v>
      </c>
      <c r="P463" t="n">
        <v>0</v>
      </c>
      <c r="Q463" t="n">
        <v>0</v>
      </c>
      <c r="R463" s="2" t="inlineStr"/>
    </row>
    <row r="464" ht="15" customHeight="1">
      <c r="A464" t="inlineStr">
        <is>
          <t>A 27009-2020</t>
        </is>
      </c>
      <c r="B464" s="1" t="n">
        <v>43991</v>
      </c>
      <c r="C464" s="1" t="n">
        <v>45849</v>
      </c>
      <c r="D464" t="inlineStr">
        <is>
          <t>VÄRMLANDS LÄN</t>
        </is>
      </c>
      <c r="E464" t="inlineStr">
        <is>
          <t>TORSBY</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28397-2020</t>
        </is>
      </c>
      <c r="B465" s="1" t="n">
        <v>43998</v>
      </c>
      <c r="C465" s="1" t="n">
        <v>45849</v>
      </c>
      <c r="D465" t="inlineStr">
        <is>
          <t>VÄRMLANDS LÄN</t>
        </is>
      </c>
      <c r="E465" t="inlineStr">
        <is>
          <t>TORSBY</t>
        </is>
      </c>
      <c r="G465" t="n">
        <v>7.3</v>
      </c>
      <c r="H465" t="n">
        <v>0</v>
      </c>
      <c r="I465" t="n">
        <v>0</v>
      </c>
      <c r="J465" t="n">
        <v>0</v>
      </c>
      <c r="K465" t="n">
        <v>0</v>
      </c>
      <c r="L465" t="n">
        <v>0</v>
      </c>
      <c r="M465" t="n">
        <v>0</v>
      </c>
      <c r="N465" t="n">
        <v>0</v>
      </c>
      <c r="O465" t="n">
        <v>0</v>
      </c>
      <c r="P465" t="n">
        <v>0</v>
      </c>
      <c r="Q465" t="n">
        <v>0</v>
      </c>
      <c r="R465" s="2" t="inlineStr"/>
    </row>
    <row r="466" ht="15" customHeight="1">
      <c r="A466" t="inlineStr">
        <is>
          <t>A 28416-2020</t>
        </is>
      </c>
      <c r="B466" s="1" t="n">
        <v>43998</v>
      </c>
      <c r="C466" s="1" t="n">
        <v>45849</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28703-2020</t>
        </is>
      </c>
      <c r="B467" s="1" t="n">
        <v>43999</v>
      </c>
      <c r="C467" s="1" t="n">
        <v>45849</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28849-2020</t>
        </is>
      </c>
      <c r="B468" s="1" t="n">
        <v>44000</v>
      </c>
      <c r="C468" s="1" t="n">
        <v>45849</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28897-2020</t>
        </is>
      </c>
      <c r="B469" s="1" t="n">
        <v>44000</v>
      </c>
      <c r="C469" s="1" t="n">
        <v>45849</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28911-2020</t>
        </is>
      </c>
      <c r="B470" s="1" t="n">
        <v>44000</v>
      </c>
      <c r="C470" s="1" t="n">
        <v>45849</v>
      </c>
      <c r="D470" t="inlineStr">
        <is>
          <t>VÄRMLANDS LÄN</t>
        </is>
      </c>
      <c r="E470" t="inlineStr">
        <is>
          <t>TORSBY</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28976-2020</t>
        </is>
      </c>
      <c r="B471" s="1" t="n">
        <v>44000</v>
      </c>
      <c r="C471" s="1" t="n">
        <v>45849</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28987-2020</t>
        </is>
      </c>
      <c r="B472" s="1" t="n">
        <v>44000</v>
      </c>
      <c r="C472" s="1" t="n">
        <v>45849</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29970-2020</t>
        </is>
      </c>
      <c r="B473" s="1" t="n">
        <v>44006</v>
      </c>
      <c r="C473" s="1" t="n">
        <v>45849</v>
      </c>
      <c r="D473" t="inlineStr">
        <is>
          <t>VÄRMLANDS LÄN</t>
        </is>
      </c>
      <c r="E473" t="inlineStr">
        <is>
          <t>TORSBY</t>
        </is>
      </c>
      <c r="F473" t="inlineStr">
        <is>
          <t>Bergvik skog väst AB</t>
        </is>
      </c>
      <c r="G473" t="n">
        <v>7.4</v>
      </c>
      <c r="H473" t="n">
        <v>0</v>
      </c>
      <c r="I473" t="n">
        <v>0</v>
      </c>
      <c r="J473" t="n">
        <v>0</v>
      </c>
      <c r="K473" t="n">
        <v>0</v>
      </c>
      <c r="L473" t="n">
        <v>0</v>
      </c>
      <c r="M473" t="n">
        <v>0</v>
      </c>
      <c r="N473" t="n">
        <v>0</v>
      </c>
      <c r="O473" t="n">
        <v>0</v>
      </c>
      <c r="P473" t="n">
        <v>0</v>
      </c>
      <c r="Q473" t="n">
        <v>0</v>
      </c>
      <c r="R473" s="2" t="inlineStr"/>
    </row>
    <row r="474" ht="15" customHeight="1">
      <c r="A474" t="inlineStr">
        <is>
          <t>A 30572-2020</t>
        </is>
      </c>
      <c r="B474" s="1" t="n">
        <v>44008</v>
      </c>
      <c r="C474" s="1" t="n">
        <v>45849</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30996-2020</t>
        </is>
      </c>
      <c r="B475" s="1" t="n">
        <v>44011</v>
      </c>
      <c r="C475" s="1" t="n">
        <v>45849</v>
      </c>
      <c r="D475" t="inlineStr">
        <is>
          <t>VÄRMLANDS LÄN</t>
        </is>
      </c>
      <c r="E475" t="inlineStr">
        <is>
          <t>TORSBY</t>
        </is>
      </c>
      <c r="G475" t="n">
        <v>0.4</v>
      </c>
      <c r="H475" t="n">
        <v>0</v>
      </c>
      <c r="I475" t="n">
        <v>0</v>
      </c>
      <c r="J475" t="n">
        <v>0</v>
      </c>
      <c r="K475" t="n">
        <v>0</v>
      </c>
      <c r="L475" t="n">
        <v>0</v>
      </c>
      <c r="M475" t="n">
        <v>0</v>
      </c>
      <c r="N475" t="n">
        <v>0</v>
      </c>
      <c r="O475" t="n">
        <v>0</v>
      </c>
      <c r="P475" t="n">
        <v>0</v>
      </c>
      <c r="Q475" t="n">
        <v>0</v>
      </c>
      <c r="R475" s="2" t="inlineStr"/>
    </row>
    <row r="476" ht="15" customHeight="1">
      <c r="A476" t="inlineStr">
        <is>
          <t>A 30930-2020</t>
        </is>
      </c>
      <c r="B476" s="1" t="n">
        <v>44011</v>
      </c>
      <c r="C476" s="1" t="n">
        <v>45849</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31298-2020</t>
        </is>
      </c>
      <c r="B477" s="1" t="n">
        <v>44012</v>
      </c>
      <c r="C477" s="1" t="n">
        <v>45849</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31436-2020</t>
        </is>
      </c>
      <c r="B478" s="1" t="n">
        <v>44013</v>
      </c>
      <c r="C478" s="1" t="n">
        <v>45849</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31577-2020</t>
        </is>
      </c>
      <c r="B479" s="1" t="n">
        <v>44013</v>
      </c>
      <c r="C479" s="1" t="n">
        <v>45849</v>
      </c>
      <c r="D479" t="inlineStr">
        <is>
          <t>VÄRMLANDS LÄN</t>
        </is>
      </c>
      <c r="E479" t="inlineStr">
        <is>
          <t>TORSBY</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31759-2020</t>
        </is>
      </c>
      <c r="B480" s="1" t="n">
        <v>44014</v>
      </c>
      <c r="C480" s="1" t="n">
        <v>45849</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32122-2020</t>
        </is>
      </c>
      <c r="B481" s="1" t="n">
        <v>44015</v>
      </c>
      <c r="C481" s="1" t="n">
        <v>45849</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32623-2020</t>
        </is>
      </c>
      <c r="B482" s="1" t="n">
        <v>44019</v>
      </c>
      <c r="C482" s="1" t="n">
        <v>45849</v>
      </c>
      <c r="D482" t="inlineStr">
        <is>
          <t>VÄRMLANDS LÄN</t>
        </is>
      </c>
      <c r="E482" t="inlineStr">
        <is>
          <t>TORSBY</t>
        </is>
      </c>
      <c r="F482" t="inlineStr">
        <is>
          <t>Kommuner</t>
        </is>
      </c>
      <c r="G482" t="n">
        <v>13.9</v>
      </c>
      <c r="H482" t="n">
        <v>0</v>
      </c>
      <c r="I482" t="n">
        <v>0</v>
      </c>
      <c r="J482" t="n">
        <v>0</v>
      </c>
      <c r="K482" t="n">
        <v>0</v>
      </c>
      <c r="L482" t="n">
        <v>0</v>
      </c>
      <c r="M482" t="n">
        <v>0</v>
      </c>
      <c r="N482" t="n">
        <v>0</v>
      </c>
      <c r="O482" t="n">
        <v>0</v>
      </c>
      <c r="P482" t="n">
        <v>0</v>
      </c>
      <c r="Q482" t="n">
        <v>0</v>
      </c>
      <c r="R482" s="2" t="inlineStr"/>
    </row>
    <row r="483" ht="15" customHeight="1">
      <c r="A483" t="inlineStr">
        <is>
          <t>A 32651-2020</t>
        </is>
      </c>
      <c r="B483" s="1" t="n">
        <v>44019</v>
      </c>
      <c r="C483" s="1" t="n">
        <v>45849</v>
      </c>
      <c r="D483" t="inlineStr">
        <is>
          <t>VÄRMLANDS LÄN</t>
        </is>
      </c>
      <c r="E483" t="inlineStr">
        <is>
          <t>TORSBY</t>
        </is>
      </c>
      <c r="F483" t="inlineStr">
        <is>
          <t>Kommuner</t>
        </is>
      </c>
      <c r="G483" t="n">
        <v>8.6</v>
      </c>
      <c r="H483" t="n">
        <v>0</v>
      </c>
      <c r="I483" t="n">
        <v>0</v>
      </c>
      <c r="J483" t="n">
        <v>0</v>
      </c>
      <c r="K483" t="n">
        <v>0</v>
      </c>
      <c r="L483" t="n">
        <v>0</v>
      </c>
      <c r="M483" t="n">
        <v>0</v>
      </c>
      <c r="N483" t="n">
        <v>0</v>
      </c>
      <c r="O483" t="n">
        <v>0</v>
      </c>
      <c r="P483" t="n">
        <v>0</v>
      </c>
      <c r="Q483" t="n">
        <v>0</v>
      </c>
      <c r="R483" s="2" t="inlineStr"/>
    </row>
    <row r="484" ht="15" customHeight="1">
      <c r="A484" t="inlineStr">
        <is>
          <t>A 33124-2020</t>
        </is>
      </c>
      <c r="B484" s="1" t="n">
        <v>44021</v>
      </c>
      <c r="C484" s="1" t="n">
        <v>45849</v>
      </c>
      <c r="D484" t="inlineStr">
        <is>
          <t>VÄRMLANDS LÄN</t>
        </is>
      </c>
      <c r="E484" t="inlineStr">
        <is>
          <t>TORSBY</t>
        </is>
      </c>
      <c r="G484" t="n">
        <v>1.9</v>
      </c>
      <c r="H484" t="n">
        <v>0</v>
      </c>
      <c r="I484" t="n">
        <v>0</v>
      </c>
      <c r="J484" t="n">
        <v>0</v>
      </c>
      <c r="K484" t="n">
        <v>0</v>
      </c>
      <c r="L484" t="n">
        <v>0</v>
      </c>
      <c r="M484" t="n">
        <v>0</v>
      </c>
      <c r="N484" t="n">
        <v>0</v>
      </c>
      <c r="O484" t="n">
        <v>0</v>
      </c>
      <c r="P484" t="n">
        <v>0</v>
      </c>
      <c r="Q484" t="n">
        <v>0</v>
      </c>
      <c r="R484" s="2" t="inlineStr"/>
    </row>
    <row r="485" ht="15" customHeight="1">
      <c r="A485" t="inlineStr">
        <is>
          <t>A 33095-2020</t>
        </is>
      </c>
      <c r="B485" s="1" t="n">
        <v>44021</v>
      </c>
      <c r="C485" s="1" t="n">
        <v>45849</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33126-2020</t>
        </is>
      </c>
      <c r="B486" s="1" t="n">
        <v>44021</v>
      </c>
      <c r="C486" s="1" t="n">
        <v>45849</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33691-2020</t>
        </is>
      </c>
      <c r="B487" s="1" t="n">
        <v>44022</v>
      </c>
      <c r="C487" s="1" t="n">
        <v>45849</v>
      </c>
      <c r="D487" t="inlineStr">
        <is>
          <t>VÄRMLANDS LÄN</t>
        </is>
      </c>
      <c r="E487" t="inlineStr">
        <is>
          <t>TORSBY</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34901-2020</t>
        </is>
      </c>
      <c r="B488" s="1" t="n">
        <v>44022</v>
      </c>
      <c r="C488" s="1" t="n">
        <v>45849</v>
      </c>
      <c r="D488" t="inlineStr">
        <is>
          <t>VÄRMLANDS LÄN</t>
        </is>
      </c>
      <c r="E488" t="inlineStr">
        <is>
          <t>TORSBY</t>
        </is>
      </c>
      <c r="F488" t="inlineStr">
        <is>
          <t>Övriga Aktiebolag</t>
        </is>
      </c>
      <c r="G488" t="n">
        <v>0.4</v>
      </c>
      <c r="H488" t="n">
        <v>0</v>
      </c>
      <c r="I488" t="n">
        <v>0</v>
      </c>
      <c r="J488" t="n">
        <v>0</v>
      </c>
      <c r="K488" t="n">
        <v>0</v>
      </c>
      <c r="L488" t="n">
        <v>0</v>
      </c>
      <c r="M488" t="n">
        <v>0</v>
      </c>
      <c r="N488" t="n">
        <v>0</v>
      </c>
      <c r="O488" t="n">
        <v>0</v>
      </c>
      <c r="P488" t="n">
        <v>0</v>
      </c>
      <c r="Q488" t="n">
        <v>0</v>
      </c>
      <c r="R488" s="2" t="inlineStr"/>
    </row>
    <row r="489" ht="15" customHeight="1">
      <c r="A489" t="inlineStr">
        <is>
          <t>A 33908-2020</t>
        </is>
      </c>
      <c r="B489" s="1" t="n">
        <v>44027</v>
      </c>
      <c r="C489" s="1" t="n">
        <v>45849</v>
      </c>
      <c r="D489" t="inlineStr">
        <is>
          <t>VÄRMLANDS LÄN</t>
        </is>
      </c>
      <c r="E489" t="inlineStr">
        <is>
          <t>TORSBY</t>
        </is>
      </c>
      <c r="G489" t="n">
        <v>3.6</v>
      </c>
      <c r="H489" t="n">
        <v>0</v>
      </c>
      <c r="I489" t="n">
        <v>0</v>
      </c>
      <c r="J489" t="n">
        <v>0</v>
      </c>
      <c r="K489" t="n">
        <v>0</v>
      </c>
      <c r="L489" t="n">
        <v>0</v>
      </c>
      <c r="M489" t="n">
        <v>0</v>
      </c>
      <c r="N489" t="n">
        <v>0</v>
      </c>
      <c r="O489" t="n">
        <v>0</v>
      </c>
      <c r="P489" t="n">
        <v>0</v>
      </c>
      <c r="Q489" t="n">
        <v>0</v>
      </c>
      <c r="R489" s="2" t="inlineStr"/>
    </row>
    <row r="490" ht="15" customHeight="1">
      <c r="A490" t="inlineStr">
        <is>
          <t>A 33864-2020</t>
        </is>
      </c>
      <c r="B490" s="1" t="n">
        <v>44027</v>
      </c>
      <c r="C490" s="1" t="n">
        <v>45849</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34118-2020</t>
        </is>
      </c>
      <c r="B491" s="1" t="n">
        <v>44028</v>
      </c>
      <c r="C491" s="1" t="n">
        <v>45849</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34247-2020</t>
        </is>
      </c>
      <c r="B492" s="1" t="n">
        <v>44029</v>
      </c>
      <c r="C492" s="1" t="n">
        <v>45849</v>
      </c>
      <c r="D492" t="inlineStr">
        <is>
          <t>VÄRMLANDS LÄN</t>
        </is>
      </c>
      <c r="E492" t="inlineStr">
        <is>
          <t>TORSBY</t>
        </is>
      </c>
      <c r="F492" t="inlineStr">
        <is>
          <t>Kommuner</t>
        </is>
      </c>
      <c r="G492" t="n">
        <v>3.3</v>
      </c>
      <c r="H492" t="n">
        <v>0</v>
      </c>
      <c r="I492" t="n">
        <v>0</v>
      </c>
      <c r="J492" t="n">
        <v>0</v>
      </c>
      <c r="K492" t="n">
        <v>0</v>
      </c>
      <c r="L492" t="n">
        <v>0</v>
      </c>
      <c r="M492" t="n">
        <v>0</v>
      </c>
      <c r="N492" t="n">
        <v>0</v>
      </c>
      <c r="O492" t="n">
        <v>0</v>
      </c>
      <c r="P492" t="n">
        <v>0</v>
      </c>
      <c r="Q492" t="n">
        <v>0</v>
      </c>
      <c r="R492" s="2" t="inlineStr"/>
    </row>
    <row r="493" ht="15" customHeight="1">
      <c r="A493" t="inlineStr">
        <is>
          <t>A 35132-2020</t>
        </is>
      </c>
      <c r="B493" s="1" t="n">
        <v>44040</v>
      </c>
      <c r="C493" s="1" t="n">
        <v>45849</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35174-2020</t>
        </is>
      </c>
      <c r="B494" s="1" t="n">
        <v>44040</v>
      </c>
      <c r="C494" s="1" t="n">
        <v>45849</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35500-2020</t>
        </is>
      </c>
      <c r="B495" s="1" t="n">
        <v>44043</v>
      </c>
      <c r="C495" s="1" t="n">
        <v>45849</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35778-2020</t>
        </is>
      </c>
      <c r="B496" s="1" t="n">
        <v>44046</v>
      </c>
      <c r="C496" s="1" t="n">
        <v>45849</v>
      </c>
      <c r="D496" t="inlineStr">
        <is>
          <t>VÄRMLANDS LÄN</t>
        </is>
      </c>
      <c r="E496" t="inlineStr">
        <is>
          <t>TORSBY</t>
        </is>
      </c>
      <c r="G496" t="n">
        <v>10.2</v>
      </c>
      <c r="H496" t="n">
        <v>0</v>
      </c>
      <c r="I496" t="n">
        <v>0</v>
      </c>
      <c r="J496" t="n">
        <v>0</v>
      </c>
      <c r="K496" t="n">
        <v>0</v>
      </c>
      <c r="L496" t="n">
        <v>0</v>
      </c>
      <c r="M496" t="n">
        <v>0</v>
      </c>
      <c r="N496" t="n">
        <v>0</v>
      </c>
      <c r="O496" t="n">
        <v>0</v>
      </c>
      <c r="P496" t="n">
        <v>0</v>
      </c>
      <c r="Q496" t="n">
        <v>0</v>
      </c>
      <c r="R496" s="2" t="inlineStr"/>
    </row>
    <row r="497" ht="15" customHeight="1">
      <c r="A497" t="inlineStr">
        <is>
          <t>A 35900-2020</t>
        </is>
      </c>
      <c r="B497" s="1" t="n">
        <v>44047</v>
      </c>
      <c r="C497" s="1" t="n">
        <v>45849</v>
      </c>
      <c r="D497" t="inlineStr">
        <is>
          <t>VÄRMLANDS LÄN</t>
        </is>
      </c>
      <c r="E497" t="inlineStr">
        <is>
          <t>TORSBY</t>
        </is>
      </c>
      <c r="G497" t="n">
        <v>7.2</v>
      </c>
      <c r="H497" t="n">
        <v>0</v>
      </c>
      <c r="I497" t="n">
        <v>0</v>
      </c>
      <c r="J497" t="n">
        <v>0</v>
      </c>
      <c r="K497" t="n">
        <v>0</v>
      </c>
      <c r="L497" t="n">
        <v>0</v>
      </c>
      <c r="M497" t="n">
        <v>0</v>
      </c>
      <c r="N497" t="n">
        <v>0</v>
      </c>
      <c r="O497" t="n">
        <v>0</v>
      </c>
      <c r="P497" t="n">
        <v>0</v>
      </c>
      <c r="Q497" t="n">
        <v>0</v>
      </c>
      <c r="R497" s="2" t="inlineStr"/>
    </row>
    <row r="498" ht="15" customHeight="1">
      <c r="A498" t="inlineStr">
        <is>
          <t>A 35955-2020</t>
        </is>
      </c>
      <c r="B498" s="1" t="n">
        <v>44047</v>
      </c>
      <c r="C498" s="1" t="n">
        <v>45849</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35826-2020</t>
        </is>
      </c>
      <c r="B499" s="1" t="n">
        <v>44047</v>
      </c>
      <c r="C499" s="1" t="n">
        <v>45849</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35905-2020</t>
        </is>
      </c>
      <c r="B500" s="1" t="n">
        <v>44047</v>
      </c>
      <c r="C500" s="1" t="n">
        <v>45849</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36482-2020</t>
        </is>
      </c>
      <c r="B501" s="1" t="n">
        <v>44048</v>
      </c>
      <c r="C501" s="1" t="n">
        <v>45849</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36104-2020</t>
        </is>
      </c>
      <c r="B502" s="1" t="n">
        <v>44048</v>
      </c>
      <c r="C502" s="1" t="n">
        <v>45849</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36265-2020</t>
        </is>
      </c>
      <c r="B503" s="1" t="n">
        <v>44049</v>
      </c>
      <c r="C503" s="1" t="n">
        <v>45849</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36396-2020</t>
        </is>
      </c>
      <c r="B504" s="1" t="n">
        <v>44049</v>
      </c>
      <c r="C504" s="1" t="n">
        <v>45849</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36394-2020</t>
        </is>
      </c>
      <c r="B505" s="1" t="n">
        <v>44049</v>
      </c>
      <c r="C505" s="1" t="n">
        <v>45849</v>
      </c>
      <c r="D505" t="inlineStr">
        <is>
          <t>VÄRMLANDS LÄN</t>
        </is>
      </c>
      <c r="E505" t="inlineStr">
        <is>
          <t>TORSBY</t>
        </is>
      </c>
      <c r="G505" t="n">
        <v>7</v>
      </c>
      <c r="H505" t="n">
        <v>0</v>
      </c>
      <c r="I505" t="n">
        <v>0</v>
      </c>
      <c r="J505" t="n">
        <v>0</v>
      </c>
      <c r="K505" t="n">
        <v>0</v>
      </c>
      <c r="L505" t="n">
        <v>0</v>
      </c>
      <c r="M505" t="n">
        <v>0</v>
      </c>
      <c r="N505" t="n">
        <v>0</v>
      </c>
      <c r="O505" t="n">
        <v>0</v>
      </c>
      <c r="P505" t="n">
        <v>0</v>
      </c>
      <c r="Q505" t="n">
        <v>0</v>
      </c>
      <c r="R505" s="2" t="inlineStr"/>
    </row>
    <row r="506" ht="15" customHeight="1">
      <c r="A506" t="inlineStr">
        <is>
          <t>A 36847-2020</t>
        </is>
      </c>
      <c r="B506" s="1" t="n">
        <v>44053</v>
      </c>
      <c r="C506" s="1" t="n">
        <v>45849</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36901-2020</t>
        </is>
      </c>
      <c r="B507" s="1" t="n">
        <v>44053</v>
      </c>
      <c r="C507" s="1" t="n">
        <v>45849</v>
      </c>
      <c r="D507" t="inlineStr">
        <is>
          <t>VÄRMLANDS LÄN</t>
        </is>
      </c>
      <c r="E507" t="inlineStr">
        <is>
          <t>TORSBY</t>
        </is>
      </c>
      <c r="G507" t="n">
        <v>3.1</v>
      </c>
      <c r="H507" t="n">
        <v>0</v>
      </c>
      <c r="I507" t="n">
        <v>0</v>
      </c>
      <c r="J507" t="n">
        <v>0</v>
      </c>
      <c r="K507" t="n">
        <v>0</v>
      </c>
      <c r="L507" t="n">
        <v>0</v>
      </c>
      <c r="M507" t="n">
        <v>0</v>
      </c>
      <c r="N507" t="n">
        <v>0</v>
      </c>
      <c r="O507" t="n">
        <v>0</v>
      </c>
      <c r="P507" t="n">
        <v>0</v>
      </c>
      <c r="Q507" t="n">
        <v>0</v>
      </c>
      <c r="R507" s="2" t="inlineStr"/>
    </row>
    <row r="508" ht="15" customHeight="1">
      <c r="A508" t="inlineStr">
        <is>
          <t>A 37305-2020</t>
        </is>
      </c>
      <c r="B508" s="1" t="n">
        <v>44055</v>
      </c>
      <c r="C508" s="1" t="n">
        <v>45849</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37302-2020</t>
        </is>
      </c>
      <c r="B509" s="1" t="n">
        <v>44055</v>
      </c>
      <c r="C509" s="1" t="n">
        <v>45849</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37307-2020</t>
        </is>
      </c>
      <c r="B510" s="1" t="n">
        <v>44055</v>
      </c>
      <c r="C510" s="1" t="n">
        <v>45849</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37303-2020</t>
        </is>
      </c>
      <c r="B511" s="1" t="n">
        <v>44055</v>
      </c>
      <c r="C511" s="1" t="n">
        <v>45849</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38506-2020</t>
        </is>
      </c>
      <c r="B512" s="1" t="n">
        <v>44061</v>
      </c>
      <c r="C512" s="1" t="n">
        <v>45849</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38978-2020</t>
        </is>
      </c>
      <c r="B513" s="1" t="n">
        <v>44062</v>
      </c>
      <c r="C513" s="1" t="n">
        <v>45849</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40218-2020</t>
        </is>
      </c>
      <c r="B514" s="1" t="n">
        <v>44064</v>
      </c>
      <c r="C514" s="1" t="n">
        <v>45849</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40015-2020</t>
        </is>
      </c>
      <c r="B515" s="1" t="n">
        <v>44067</v>
      </c>
      <c r="C515" s="1" t="n">
        <v>45849</v>
      </c>
      <c r="D515" t="inlineStr">
        <is>
          <t>VÄRMLANDS LÄN</t>
        </is>
      </c>
      <c r="E515" t="inlineStr">
        <is>
          <t>TORSBY</t>
        </is>
      </c>
      <c r="G515" t="n">
        <v>5.7</v>
      </c>
      <c r="H515" t="n">
        <v>0</v>
      </c>
      <c r="I515" t="n">
        <v>0</v>
      </c>
      <c r="J515" t="n">
        <v>0</v>
      </c>
      <c r="K515" t="n">
        <v>0</v>
      </c>
      <c r="L515" t="n">
        <v>0</v>
      </c>
      <c r="M515" t="n">
        <v>0</v>
      </c>
      <c r="N515" t="n">
        <v>0</v>
      </c>
      <c r="O515" t="n">
        <v>0</v>
      </c>
      <c r="P515" t="n">
        <v>0</v>
      </c>
      <c r="Q515" t="n">
        <v>0</v>
      </c>
      <c r="R515" s="2" t="inlineStr"/>
    </row>
    <row r="516" ht="15" customHeight="1">
      <c r="A516" t="inlineStr">
        <is>
          <t>A 40550-2020</t>
        </is>
      </c>
      <c r="B516" s="1" t="n">
        <v>44069</v>
      </c>
      <c r="C516" s="1" t="n">
        <v>45849</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40594-2020</t>
        </is>
      </c>
      <c r="B517" s="1" t="n">
        <v>44069</v>
      </c>
      <c r="C517" s="1" t="n">
        <v>45849</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40509-2020</t>
        </is>
      </c>
      <c r="B518" s="1" t="n">
        <v>44069</v>
      </c>
      <c r="C518" s="1" t="n">
        <v>45849</v>
      </c>
      <c r="D518" t="inlineStr">
        <is>
          <t>VÄRMLANDS LÄN</t>
        </is>
      </c>
      <c r="E518" t="inlineStr">
        <is>
          <t>TORSBY</t>
        </is>
      </c>
      <c r="F518" t="inlineStr">
        <is>
          <t>Naturvårdsverket</t>
        </is>
      </c>
      <c r="G518" t="n">
        <v>57</v>
      </c>
      <c r="H518" t="n">
        <v>0</v>
      </c>
      <c r="I518" t="n">
        <v>0</v>
      </c>
      <c r="J518" t="n">
        <v>0</v>
      </c>
      <c r="K518" t="n">
        <v>0</v>
      </c>
      <c r="L518" t="n">
        <v>0</v>
      </c>
      <c r="M518" t="n">
        <v>0</v>
      </c>
      <c r="N518" t="n">
        <v>0</v>
      </c>
      <c r="O518" t="n">
        <v>0</v>
      </c>
      <c r="P518" t="n">
        <v>0</v>
      </c>
      <c r="Q518" t="n">
        <v>0</v>
      </c>
      <c r="R518" s="2" t="inlineStr"/>
    </row>
    <row r="519" ht="15" customHeight="1">
      <c r="A519" t="inlineStr">
        <is>
          <t>A 40601-2020</t>
        </is>
      </c>
      <c r="B519" s="1" t="n">
        <v>44069</v>
      </c>
      <c r="C519" s="1" t="n">
        <v>45849</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40994-2020</t>
        </is>
      </c>
      <c r="B520" s="1" t="n">
        <v>44070</v>
      </c>
      <c r="C520" s="1" t="n">
        <v>45849</v>
      </c>
      <c r="D520" t="inlineStr">
        <is>
          <t>VÄRMLANDS LÄN</t>
        </is>
      </c>
      <c r="E520" t="inlineStr">
        <is>
          <t>TORSBY</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40987-2020</t>
        </is>
      </c>
      <c r="B521" s="1" t="n">
        <v>44070</v>
      </c>
      <c r="C521" s="1" t="n">
        <v>45849</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40993-2020</t>
        </is>
      </c>
      <c r="B522" s="1" t="n">
        <v>44070</v>
      </c>
      <c r="C522" s="1" t="n">
        <v>45849</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41469-2020</t>
        </is>
      </c>
      <c r="B523" s="1" t="n">
        <v>44074</v>
      </c>
      <c r="C523" s="1" t="n">
        <v>45849</v>
      </c>
      <c r="D523" t="inlineStr">
        <is>
          <t>VÄRMLANDS LÄN</t>
        </is>
      </c>
      <c r="E523" t="inlineStr">
        <is>
          <t>TORSBY</t>
        </is>
      </c>
      <c r="F523" t="inlineStr">
        <is>
          <t>Bergvik skog väst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42391-2020</t>
        </is>
      </c>
      <c r="B524" s="1" t="n">
        <v>44076</v>
      </c>
      <c r="C524" s="1" t="n">
        <v>45849</v>
      </c>
      <c r="D524" t="inlineStr">
        <is>
          <t>VÄRMLANDS LÄN</t>
        </is>
      </c>
      <c r="E524" t="inlineStr">
        <is>
          <t>TORSBY</t>
        </is>
      </c>
      <c r="G524" t="n">
        <v>3.9</v>
      </c>
      <c r="H524" t="n">
        <v>0</v>
      </c>
      <c r="I524" t="n">
        <v>0</v>
      </c>
      <c r="J524" t="n">
        <v>0</v>
      </c>
      <c r="K524" t="n">
        <v>0</v>
      </c>
      <c r="L524" t="n">
        <v>0</v>
      </c>
      <c r="M524" t="n">
        <v>0</v>
      </c>
      <c r="N524" t="n">
        <v>0</v>
      </c>
      <c r="O524" t="n">
        <v>0</v>
      </c>
      <c r="P524" t="n">
        <v>0</v>
      </c>
      <c r="Q524" t="n">
        <v>0</v>
      </c>
      <c r="R524" s="2" t="inlineStr"/>
    </row>
    <row r="525" ht="15" customHeight="1">
      <c r="A525" t="inlineStr">
        <is>
          <t>A 42566-2020</t>
        </is>
      </c>
      <c r="B525" s="1" t="n">
        <v>44077</v>
      </c>
      <c r="C525" s="1" t="n">
        <v>45849</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42982-2020</t>
        </is>
      </c>
      <c r="B526" s="1" t="n">
        <v>44078</v>
      </c>
      <c r="C526" s="1" t="n">
        <v>45849</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44722-2020</t>
        </is>
      </c>
      <c r="B527" s="1" t="n">
        <v>44078</v>
      </c>
      <c r="C527" s="1" t="n">
        <v>45849</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43547-2020</t>
        </is>
      </c>
      <c r="B528" s="1" t="n">
        <v>44078</v>
      </c>
      <c r="C528" s="1" t="n">
        <v>45849</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44715-2020</t>
        </is>
      </c>
      <c r="B529" s="1" t="n">
        <v>44078</v>
      </c>
      <c r="C529" s="1" t="n">
        <v>45849</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44720-2020</t>
        </is>
      </c>
      <c r="B530" s="1" t="n">
        <v>44078</v>
      </c>
      <c r="C530" s="1" t="n">
        <v>45849</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43725-2020</t>
        </is>
      </c>
      <c r="B531" s="1" t="n">
        <v>44082</v>
      </c>
      <c r="C531" s="1" t="n">
        <v>45849</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44666-2020</t>
        </is>
      </c>
      <c r="B532" s="1" t="n">
        <v>44085</v>
      </c>
      <c r="C532" s="1" t="n">
        <v>45849</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46482-2020</t>
        </is>
      </c>
      <c r="B533" s="1" t="n">
        <v>44089</v>
      </c>
      <c r="C533" s="1" t="n">
        <v>45849</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45849</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45872-2020</t>
        </is>
      </c>
      <c r="B535" s="1" t="n">
        <v>44091</v>
      </c>
      <c r="C535" s="1" t="n">
        <v>45849</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45898-2020</t>
        </is>
      </c>
      <c r="B536" s="1" t="n">
        <v>44091</v>
      </c>
      <c r="C536" s="1" t="n">
        <v>45849</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46271-2020</t>
        </is>
      </c>
      <c r="B537" s="1" t="n">
        <v>44092</v>
      </c>
      <c r="C537" s="1" t="n">
        <v>45849</v>
      </c>
      <c r="D537" t="inlineStr">
        <is>
          <t>VÄRMLANDS LÄN</t>
        </is>
      </c>
      <c r="E537" t="inlineStr">
        <is>
          <t>TORSBY</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47707-2020</t>
        </is>
      </c>
      <c r="B538" s="1" t="n">
        <v>44096</v>
      </c>
      <c r="C538" s="1" t="n">
        <v>45849</v>
      </c>
      <c r="D538" t="inlineStr">
        <is>
          <t>VÄRMLANDS LÄN</t>
        </is>
      </c>
      <c r="E538" t="inlineStr">
        <is>
          <t>TORSBY</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47709-2020</t>
        </is>
      </c>
      <c r="B539" s="1" t="n">
        <v>44096</v>
      </c>
      <c r="C539" s="1" t="n">
        <v>45849</v>
      </c>
      <c r="D539" t="inlineStr">
        <is>
          <t>VÄRMLANDS LÄN</t>
        </is>
      </c>
      <c r="E539" t="inlineStr">
        <is>
          <t>TORSBY</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47490-2020</t>
        </is>
      </c>
      <c r="B540" s="1" t="n">
        <v>44098</v>
      </c>
      <c r="C540" s="1" t="n">
        <v>45849</v>
      </c>
      <c r="D540" t="inlineStr">
        <is>
          <t>VÄRMLANDS LÄN</t>
        </is>
      </c>
      <c r="E540" t="inlineStr">
        <is>
          <t>TORSBY</t>
        </is>
      </c>
      <c r="G540" t="n">
        <v>1.1</v>
      </c>
      <c r="H540" t="n">
        <v>0</v>
      </c>
      <c r="I540" t="n">
        <v>0</v>
      </c>
      <c r="J540" t="n">
        <v>0</v>
      </c>
      <c r="K540" t="n">
        <v>0</v>
      </c>
      <c r="L540" t="n">
        <v>0</v>
      </c>
      <c r="M540" t="n">
        <v>0</v>
      </c>
      <c r="N540" t="n">
        <v>0</v>
      </c>
      <c r="O540" t="n">
        <v>0</v>
      </c>
      <c r="P540" t="n">
        <v>0</v>
      </c>
      <c r="Q540" t="n">
        <v>0</v>
      </c>
      <c r="R540" s="2" t="inlineStr"/>
    </row>
    <row r="541" ht="15" customHeight="1">
      <c r="A541" t="inlineStr">
        <is>
          <t>A 48231-2020</t>
        </is>
      </c>
      <c r="B541" s="1" t="n">
        <v>44102</v>
      </c>
      <c r="C541" s="1" t="n">
        <v>45849</v>
      </c>
      <c r="D541" t="inlineStr">
        <is>
          <t>VÄRMLANDS LÄN</t>
        </is>
      </c>
      <c r="E541" t="inlineStr">
        <is>
          <t>TORSBY</t>
        </is>
      </c>
      <c r="G541" t="n">
        <v>1.7</v>
      </c>
      <c r="H541" t="n">
        <v>0</v>
      </c>
      <c r="I541" t="n">
        <v>0</v>
      </c>
      <c r="J541" t="n">
        <v>0</v>
      </c>
      <c r="K541" t="n">
        <v>0</v>
      </c>
      <c r="L541" t="n">
        <v>0</v>
      </c>
      <c r="M541" t="n">
        <v>0</v>
      </c>
      <c r="N541" t="n">
        <v>0</v>
      </c>
      <c r="O541" t="n">
        <v>0</v>
      </c>
      <c r="P541" t="n">
        <v>0</v>
      </c>
      <c r="Q541" t="n">
        <v>0</v>
      </c>
      <c r="R541" s="2" t="inlineStr"/>
    </row>
    <row r="542" ht="15" customHeight="1">
      <c r="A542" t="inlineStr">
        <is>
          <t>A 48383-2020</t>
        </is>
      </c>
      <c r="B542" s="1" t="n">
        <v>44102</v>
      </c>
      <c r="C542" s="1" t="n">
        <v>45849</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48488-2020</t>
        </is>
      </c>
      <c r="B543" s="1" t="n">
        <v>44103</v>
      </c>
      <c r="C543" s="1" t="n">
        <v>45849</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53557-2020</t>
        </is>
      </c>
      <c r="B544" s="1" t="n">
        <v>44104</v>
      </c>
      <c r="C544" s="1" t="n">
        <v>45849</v>
      </c>
      <c r="D544" t="inlineStr">
        <is>
          <t>VÄRMLANDS LÄN</t>
        </is>
      </c>
      <c r="E544" t="inlineStr">
        <is>
          <t>TORSBY</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50084-2020</t>
        </is>
      </c>
      <c r="B545" s="1" t="n">
        <v>44109</v>
      </c>
      <c r="C545" s="1" t="n">
        <v>45849</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50092-2020</t>
        </is>
      </c>
      <c r="B546" s="1" t="n">
        <v>44109</v>
      </c>
      <c r="C546" s="1" t="n">
        <v>45849</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45849</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50096-2020</t>
        </is>
      </c>
      <c r="B548" s="1" t="n">
        <v>44109</v>
      </c>
      <c r="C548" s="1" t="n">
        <v>45849</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50486-2020</t>
        </is>
      </c>
      <c r="B549" s="1" t="n">
        <v>44110</v>
      </c>
      <c r="C549" s="1" t="n">
        <v>45849</v>
      </c>
      <c r="D549" t="inlineStr">
        <is>
          <t>VÄRMLANDS LÄN</t>
        </is>
      </c>
      <c r="E549" t="inlineStr">
        <is>
          <t>TORSBY</t>
        </is>
      </c>
      <c r="G549" t="n">
        <v>2.2</v>
      </c>
      <c r="H549" t="n">
        <v>0</v>
      </c>
      <c r="I549" t="n">
        <v>0</v>
      </c>
      <c r="J549" t="n">
        <v>0</v>
      </c>
      <c r="K549" t="n">
        <v>0</v>
      </c>
      <c r="L549" t="n">
        <v>0</v>
      </c>
      <c r="M549" t="n">
        <v>0</v>
      </c>
      <c r="N549" t="n">
        <v>0</v>
      </c>
      <c r="O549" t="n">
        <v>0</v>
      </c>
      <c r="P549" t="n">
        <v>0</v>
      </c>
      <c r="Q549" t="n">
        <v>0</v>
      </c>
      <c r="R549" s="2" t="inlineStr"/>
    </row>
    <row r="550" ht="15" customHeight="1">
      <c r="A550" t="inlineStr">
        <is>
          <t>A 50943-2020</t>
        </is>
      </c>
      <c r="B550" s="1" t="n">
        <v>44111</v>
      </c>
      <c r="C550" s="1" t="n">
        <v>45849</v>
      </c>
      <c r="D550" t="inlineStr">
        <is>
          <t>VÄRMLANDS LÄN</t>
        </is>
      </c>
      <c r="E550" t="inlineStr">
        <is>
          <t>TORSBY</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51380-2020</t>
        </is>
      </c>
      <c r="B551" s="1" t="n">
        <v>44113</v>
      </c>
      <c r="C551" s="1" t="n">
        <v>45849</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51385-2020</t>
        </is>
      </c>
      <c r="B552" s="1" t="n">
        <v>44113</v>
      </c>
      <c r="C552" s="1" t="n">
        <v>45849</v>
      </c>
      <c r="D552" t="inlineStr">
        <is>
          <t>VÄRMLANDS LÄN</t>
        </is>
      </c>
      <c r="E552" t="inlineStr">
        <is>
          <t>TORSBY</t>
        </is>
      </c>
      <c r="G552" t="n">
        <v>6.8</v>
      </c>
      <c r="H552" t="n">
        <v>0</v>
      </c>
      <c r="I552" t="n">
        <v>0</v>
      </c>
      <c r="J552" t="n">
        <v>0</v>
      </c>
      <c r="K552" t="n">
        <v>0</v>
      </c>
      <c r="L552" t="n">
        <v>0</v>
      </c>
      <c r="M552" t="n">
        <v>0</v>
      </c>
      <c r="N552" t="n">
        <v>0</v>
      </c>
      <c r="O552" t="n">
        <v>0</v>
      </c>
      <c r="P552" t="n">
        <v>0</v>
      </c>
      <c r="Q552" t="n">
        <v>0</v>
      </c>
      <c r="R552" s="2" t="inlineStr"/>
    </row>
    <row r="553" ht="15" customHeight="1">
      <c r="A553" t="inlineStr">
        <is>
          <t>A 51389-2020</t>
        </is>
      </c>
      <c r="B553" s="1" t="n">
        <v>44113</v>
      </c>
      <c r="C553" s="1" t="n">
        <v>45849</v>
      </c>
      <c r="D553" t="inlineStr">
        <is>
          <t>VÄRMLANDS LÄN</t>
        </is>
      </c>
      <c r="E553" t="inlineStr">
        <is>
          <t>TORSBY</t>
        </is>
      </c>
      <c r="G553" t="n">
        <v>15.4</v>
      </c>
      <c r="H553" t="n">
        <v>0</v>
      </c>
      <c r="I553" t="n">
        <v>0</v>
      </c>
      <c r="J553" t="n">
        <v>0</v>
      </c>
      <c r="K553" t="n">
        <v>0</v>
      </c>
      <c r="L553" t="n">
        <v>0</v>
      </c>
      <c r="M553" t="n">
        <v>0</v>
      </c>
      <c r="N553" t="n">
        <v>0</v>
      </c>
      <c r="O553" t="n">
        <v>0</v>
      </c>
      <c r="P553" t="n">
        <v>0</v>
      </c>
      <c r="Q553" t="n">
        <v>0</v>
      </c>
      <c r="R553" s="2" t="inlineStr"/>
    </row>
    <row r="554" ht="15" customHeight="1">
      <c r="A554" t="inlineStr">
        <is>
          <t>A 51382-2020</t>
        </is>
      </c>
      <c r="B554" s="1" t="n">
        <v>44113</v>
      </c>
      <c r="C554" s="1" t="n">
        <v>45849</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51381-2020</t>
        </is>
      </c>
      <c r="B555" s="1" t="n">
        <v>44113</v>
      </c>
      <c r="C555" s="1" t="n">
        <v>45849</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51386-2020</t>
        </is>
      </c>
      <c r="B556" s="1" t="n">
        <v>44113</v>
      </c>
      <c r="C556" s="1" t="n">
        <v>45849</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51635-2020</t>
        </is>
      </c>
      <c r="B557" s="1" t="n">
        <v>44113</v>
      </c>
      <c r="C557" s="1" t="n">
        <v>45849</v>
      </c>
      <c r="D557" t="inlineStr">
        <is>
          <t>VÄRMLANDS LÄN</t>
        </is>
      </c>
      <c r="E557" t="inlineStr">
        <is>
          <t>TORSBY</t>
        </is>
      </c>
      <c r="F557" t="inlineStr">
        <is>
          <t>Bergvik skog väst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51383-2020</t>
        </is>
      </c>
      <c r="B558" s="1" t="n">
        <v>44113</v>
      </c>
      <c r="C558" s="1" t="n">
        <v>45849</v>
      </c>
      <c r="D558" t="inlineStr">
        <is>
          <t>VÄRMLANDS LÄN</t>
        </is>
      </c>
      <c r="E558" t="inlineStr">
        <is>
          <t>TORSBY</t>
        </is>
      </c>
      <c r="G558" t="n">
        <v>3.8</v>
      </c>
      <c r="H558" t="n">
        <v>0</v>
      </c>
      <c r="I558" t="n">
        <v>0</v>
      </c>
      <c r="J558" t="n">
        <v>0</v>
      </c>
      <c r="K558" t="n">
        <v>0</v>
      </c>
      <c r="L558" t="n">
        <v>0</v>
      </c>
      <c r="M558" t="n">
        <v>0</v>
      </c>
      <c r="N558" t="n">
        <v>0</v>
      </c>
      <c r="O558" t="n">
        <v>0</v>
      </c>
      <c r="P558" t="n">
        <v>0</v>
      </c>
      <c r="Q558" t="n">
        <v>0</v>
      </c>
      <c r="R558" s="2" t="inlineStr"/>
    </row>
    <row r="559" ht="15" customHeight="1">
      <c r="A559" t="inlineStr">
        <is>
          <t>A 51838-2020</t>
        </is>
      </c>
      <c r="B559" s="1" t="n">
        <v>44116</v>
      </c>
      <c r="C559" s="1" t="n">
        <v>45849</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52460-2020</t>
        </is>
      </c>
      <c r="B560" s="1" t="n">
        <v>44116</v>
      </c>
      <c r="C560" s="1" t="n">
        <v>45849</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51837-2020</t>
        </is>
      </c>
      <c r="B561" s="1" t="n">
        <v>44116</v>
      </c>
      <c r="C561" s="1" t="n">
        <v>45849</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52141-2020</t>
        </is>
      </c>
      <c r="B562" s="1" t="n">
        <v>44117</v>
      </c>
      <c r="C562" s="1" t="n">
        <v>45849</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52799-2020</t>
        </is>
      </c>
      <c r="B563" s="1" t="n">
        <v>44119</v>
      </c>
      <c r="C563" s="1" t="n">
        <v>45849</v>
      </c>
      <c r="D563" t="inlineStr">
        <is>
          <t>VÄRMLANDS LÄN</t>
        </is>
      </c>
      <c r="E563" t="inlineStr">
        <is>
          <t>TORSBY</t>
        </is>
      </c>
      <c r="G563" t="n">
        <v>6.2</v>
      </c>
      <c r="H563" t="n">
        <v>0</v>
      </c>
      <c r="I563" t="n">
        <v>0</v>
      </c>
      <c r="J563" t="n">
        <v>0</v>
      </c>
      <c r="K563" t="n">
        <v>0</v>
      </c>
      <c r="L563" t="n">
        <v>0</v>
      </c>
      <c r="M563" t="n">
        <v>0</v>
      </c>
      <c r="N563" t="n">
        <v>0</v>
      </c>
      <c r="O563" t="n">
        <v>0</v>
      </c>
      <c r="P563" t="n">
        <v>0</v>
      </c>
      <c r="Q563" t="n">
        <v>0</v>
      </c>
      <c r="R563" s="2" t="inlineStr"/>
    </row>
    <row r="564" ht="15" customHeight="1">
      <c r="A564" t="inlineStr">
        <is>
          <t>A 52979-2020</t>
        </is>
      </c>
      <c r="B564" s="1" t="n">
        <v>44120</v>
      </c>
      <c r="C564" s="1" t="n">
        <v>45849</v>
      </c>
      <c r="D564" t="inlineStr">
        <is>
          <t>VÄRMLANDS LÄN</t>
        </is>
      </c>
      <c r="E564" t="inlineStr">
        <is>
          <t>TORSBY</t>
        </is>
      </c>
      <c r="G564" t="n">
        <v>3.6</v>
      </c>
      <c r="H564" t="n">
        <v>0</v>
      </c>
      <c r="I564" t="n">
        <v>0</v>
      </c>
      <c r="J564" t="n">
        <v>0</v>
      </c>
      <c r="K564" t="n">
        <v>0</v>
      </c>
      <c r="L564" t="n">
        <v>0</v>
      </c>
      <c r="M564" t="n">
        <v>0</v>
      </c>
      <c r="N564" t="n">
        <v>0</v>
      </c>
      <c r="O564" t="n">
        <v>0</v>
      </c>
      <c r="P564" t="n">
        <v>0</v>
      </c>
      <c r="Q564" t="n">
        <v>0</v>
      </c>
      <c r="R564" s="2" t="inlineStr"/>
    </row>
    <row r="565" ht="15" customHeight="1">
      <c r="A565" t="inlineStr">
        <is>
          <t>A 53111-2020</t>
        </is>
      </c>
      <c r="B565" s="1" t="n">
        <v>44120</v>
      </c>
      <c r="C565" s="1" t="n">
        <v>45849</v>
      </c>
      <c r="D565" t="inlineStr">
        <is>
          <t>VÄRMLANDS LÄN</t>
        </is>
      </c>
      <c r="E565" t="inlineStr">
        <is>
          <t>TORSBY</t>
        </is>
      </c>
      <c r="F565" t="inlineStr">
        <is>
          <t>Bergvik skog väst AB</t>
        </is>
      </c>
      <c r="G565" t="n">
        <v>3.4</v>
      </c>
      <c r="H565" t="n">
        <v>0</v>
      </c>
      <c r="I565" t="n">
        <v>0</v>
      </c>
      <c r="J565" t="n">
        <v>0</v>
      </c>
      <c r="K565" t="n">
        <v>0</v>
      </c>
      <c r="L565" t="n">
        <v>0</v>
      </c>
      <c r="M565" t="n">
        <v>0</v>
      </c>
      <c r="N565" t="n">
        <v>0</v>
      </c>
      <c r="O565" t="n">
        <v>0</v>
      </c>
      <c r="P565" t="n">
        <v>0</v>
      </c>
      <c r="Q565" t="n">
        <v>0</v>
      </c>
      <c r="R565" s="2" t="inlineStr"/>
    </row>
    <row r="566" ht="15" customHeight="1">
      <c r="A566" t="inlineStr">
        <is>
          <t>A 53771-2020</t>
        </is>
      </c>
      <c r="B566" s="1" t="n">
        <v>44124</v>
      </c>
      <c r="C566" s="1" t="n">
        <v>45849</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53733-2020</t>
        </is>
      </c>
      <c r="B567" s="1" t="n">
        <v>44124</v>
      </c>
      <c r="C567" s="1" t="n">
        <v>45849</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54331-2020</t>
        </is>
      </c>
      <c r="B568" s="1" t="n">
        <v>44124</v>
      </c>
      <c r="C568" s="1" t="n">
        <v>45849</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54060-2020</t>
        </is>
      </c>
      <c r="B569" s="1" t="n">
        <v>44125</v>
      </c>
      <c r="C569" s="1" t="n">
        <v>45849</v>
      </c>
      <c r="D569" t="inlineStr">
        <is>
          <t>VÄRMLANDS LÄN</t>
        </is>
      </c>
      <c r="E569" t="inlineStr">
        <is>
          <t>TORSBY</t>
        </is>
      </c>
      <c r="G569" t="n">
        <v>3.2</v>
      </c>
      <c r="H569" t="n">
        <v>0</v>
      </c>
      <c r="I569" t="n">
        <v>0</v>
      </c>
      <c r="J569" t="n">
        <v>0</v>
      </c>
      <c r="K569" t="n">
        <v>0</v>
      </c>
      <c r="L569" t="n">
        <v>0</v>
      </c>
      <c r="M569" t="n">
        <v>0</v>
      </c>
      <c r="N569" t="n">
        <v>0</v>
      </c>
      <c r="O569" t="n">
        <v>0</v>
      </c>
      <c r="P569" t="n">
        <v>0</v>
      </c>
      <c r="Q569" t="n">
        <v>0</v>
      </c>
      <c r="R569" s="2" t="inlineStr"/>
    </row>
    <row r="570" ht="15" customHeight="1">
      <c r="A570" t="inlineStr">
        <is>
          <t>A 54072-2020</t>
        </is>
      </c>
      <c r="B570" s="1" t="n">
        <v>44125</v>
      </c>
      <c r="C570" s="1" t="n">
        <v>45849</v>
      </c>
      <c r="D570" t="inlineStr">
        <is>
          <t>VÄRMLANDS LÄN</t>
        </is>
      </c>
      <c r="E570" t="inlineStr">
        <is>
          <t>TORSBY</t>
        </is>
      </c>
      <c r="G570" t="n">
        <v>5</v>
      </c>
      <c r="H570" t="n">
        <v>0</v>
      </c>
      <c r="I570" t="n">
        <v>0</v>
      </c>
      <c r="J570" t="n">
        <v>0</v>
      </c>
      <c r="K570" t="n">
        <v>0</v>
      </c>
      <c r="L570" t="n">
        <v>0</v>
      </c>
      <c r="M570" t="n">
        <v>0</v>
      </c>
      <c r="N570" t="n">
        <v>0</v>
      </c>
      <c r="O570" t="n">
        <v>0</v>
      </c>
      <c r="P570" t="n">
        <v>0</v>
      </c>
      <c r="Q570" t="n">
        <v>0</v>
      </c>
      <c r="R570" s="2" t="inlineStr"/>
    </row>
    <row r="571" ht="15" customHeight="1">
      <c r="A571" t="inlineStr">
        <is>
          <t>A 54916-2020</t>
        </is>
      </c>
      <c r="B571" s="1" t="n">
        <v>44127</v>
      </c>
      <c r="C571" s="1" t="n">
        <v>45849</v>
      </c>
      <c r="D571" t="inlineStr">
        <is>
          <t>VÄRMLANDS LÄN</t>
        </is>
      </c>
      <c r="E571" t="inlineStr">
        <is>
          <t>TORSBY</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54924-2020</t>
        </is>
      </c>
      <c r="B572" s="1" t="n">
        <v>44127</v>
      </c>
      <c r="C572" s="1" t="n">
        <v>45849</v>
      </c>
      <c r="D572" t="inlineStr">
        <is>
          <t>VÄRMLANDS LÄN</t>
        </is>
      </c>
      <c r="E572" t="inlineStr">
        <is>
          <t>TORSBY</t>
        </is>
      </c>
      <c r="G572" t="n">
        <v>2.1</v>
      </c>
      <c r="H572" t="n">
        <v>0</v>
      </c>
      <c r="I572" t="n">
        <v>0</v>
      </c>
      <c r="J572" t="n">
        <v>0</v>
      </c>
      <c r="K572" t="n">
        <v>0</v>
      </c>
      <c r="L572" t="n">
        <v>0</v>
      </c>
      <c r="M572" t="n">
        <v>0</v>
      </c>
      <c r="N572" t="n">
        <v>0</v>
      </c>
      <c r="O572" t="n">
        <v>0</v>
      </c>
      <c r="P572" t="n">
        <v>0</v>
      </c>
      <c r="Q572" t="n">
        <v>0</v>
      </c>
      <c r="R572" s="2" t="inlineStr"/>
    </row>
    <row r="573" ht="15" customHeight="1">
      <c r="A573" t="inlineStr">
        <is>
          <t>A 55058-2020</t>
        </is>
      </c>
      <c r="B573" s="1" t="n">
        <v>44130</v>
      </c>
      <c r="C573" s="1" t="n">
        <v>45849</v>
      </c>
      <c r="D573" t="inlineStr">
        <is>
          <t>VÄRMLANDS LÄN</t>
        </is>
      </c>
      <c r="E573" t="inlineStr">
        <is>
          <t>TORSBY</t>
        </is>
      </c>
      <c r="F573" t="inlineStr">
        <is>
          <t>Bergvik skog väst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55217-2020</t>
        </is>
      </c>
      <c r="B574" s="1" t="n">
        <v>44130</v>
      </c>
      <c r="C574" s="1" t="n">
        <v>45849</v>
      </c>
      <c r="D574" t="inlineStr">
        <is>
          <t>VÄRMLANDS LÄN</t>
        </is>
      </c>
      <c r="E574" t="inlineStr">
        <is>
          <t>TORSBY</t>
        </is>
      </c>
      <c r="G574" t="n">
        <v>4.2</v>
      </c>
      <c r="H574" t="n">
        <v>0</v>
      </c>
      <c r="I574" t="n">
        <v>0</v>
      </c>
      <c r="J574" t="n">
        <v>0</v>
      </c>
      <c r="K574" t="n">
        <v>0</v>
      </c>
      <c r="L574" t="n">
        <v>0</v>
      </c>
      <c r="M574" t="n">
        <v>0</v>
      </c>
      <c r="N574" t="n">
        <v>0</v>
      </c>
      <c r="O574" t="n">
        <v>0</v>
      </c>
      <c r="P574" t="n">
        <v>0</v>
      </c>
      <c r="Q574" t="n">
        <v>0</v>
      </c>
      <c r="R574" s="2" t="inlineStr"/>
    </row>
    <row r="575" ht="15" customHeight="1">
      <c r="A575" t="inlineStr">
        <is>
          <t>A 55401-2020</t>
        </is>
      </c>
      <c r="B575" s="1" t="n">
        <v>44131</v>
      </c>
      <c r="C575" s="1" t="n">
        <v>45849</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56979-2020</t>
        </is>
      </c>
      <c r="B576" s="1" t="n">
        <v>44138</v>
      </c>
      <c r="C576" s="1" t="n">
        <v>45849</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57119-2020</t>
        </is>
      </c>
      <c r="B577" s="1" t="n">
        <v>44139</v>
      </c>
      <c r="C577" s="1" t="n">
        <v>45849</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57896-2020</t>
        </is>
      </c>
      <c r="B578" s="1" t="n">
        <v>44141</v>
      </c>
      <c r="C578" s="1" t="n">
        <v>45849</v>
      </c>
      <c r="D578" t="inlineStr">
        <is>
          <t>VÄRMLANDS LÄN</t>
        </is>
      </c>
      <c r="E578" t="inlineStr">
        <is>
          <t>TORSBY</t>
        </is>
      </c>
      <c r="F578" t="inlineStr">
        <is>
          <t>Bergvik skog väst AB</t>
        </is>
      </c>
      <c r="G578" t="n">
        <v>5.2</v>
      </c>
      <c r="H578" t="n">
        <v>0</v>
      </c>
      <c r="I578" t="n">
        <v>0</v>
      </c>
      <c r="J578" t="n">
        <v>0</v>
      </c>
      <c r="K578" t="n">
        <v>0</v>
      </c>
      <c r="L578" t="n">
        <v>0</v>
      </c>
      <c r="M578" t="n">
        <v>0</v>
      </c>
      <c r="N578" t="n">
        <v>0</v>
      </c>
      <c r="O578" t="n">
        <v>0</v>
      </c>
      <c r="P578" t="n">
        <v>0</v>
      </c>
      <c r="Q578" t="n">
        <v>0</v>
      </c>
      <c r="R578" s="2" t="inlineStr"/>
    </row>
    <row r="579" ht="15" customHeight="1">
      <c r="A579" t="inlineStr">
        <is>
          <t>A 57980-2020</t>
        </is>
      </c>
      <c r="B579" s="1" t="n">
        <v>44143</v>
      </c>
      <c r="C579" s="1" t="n">
        <v>45849</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58078-2020</t>
        </is>
      </c>
      <c r="B580" s="1" t="n">
        <v>44144</v>
      </c>
      <c r="C580" s="1" t="n">
        <v>45849</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58599-2020</t>
        </is>
      </c>
      <c r="B581" s="1" t="n">
        <v>44145</v>
      </c>
      <c r="C581" s="1" t="n">
        <v>45849</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58574-2020</t>
        </is>
      </c>
      <c r="B582" s="1" t="n">
        <v>44145</v>
      </c>
      <c r="C582" s="1" t="n">
        <v>45849</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58643-2020</t>
        </is>
      </c>
      <c r="B583" s="1" t="n">
        <v>44145</v>
      </c>
      <c r="C583" s="1" t="n">
        <v>45849</v>
      </c>
      <c r="D583" t="inlineStr">
        <is>
          <t>VÄRMLANDS LÄN</t>
        </is>
      </c>
      <c r="E583" t="inlineStr">
        <is>
          <t>TORSBY</t>
        </is>
      </c>
      <c r="G583" t="n">
        <v>2.4</v>
      </c>
      <c r="H583" t="n">
        <v>0</v>
      </c>
      <c r="I583" t="n">
        <v>0</v>
      </c>
      <c r="J583" t="n">
        <v>0</v>
      </c>
      <c r="K583" t="n">
        <v>0</v>
      </c>
      <c r="L583" t="n">
        <v>0</v>
      </c>
      <c r="M583" t="n">
        <v>0</v>
      </c>
      <c r="N583" t="n">
        <v>0</v>
      </c>
      <c r="O583" t="n">
        <v>0</v>
      </c>
      <c r="P583" t="n">
        <v>0</v>
      </c>
      <c r="Q583" t="n">
        <v>0</v>
      </c>
      <c r="R583" s="2" t="inlineStr"/>
    </row>
    <row r="584" ht="15" customHeight="1">
      <c r="A584" t="inlineStr">
        <is>
          <t>A 58680-2020</t>
        </is>
      </c>
      <c r="B584" s="1" t="n">
        <v>44146</v>
      </c>
      <c r="C584" s="1" t="n">
        <v>45849</v>
      </c>
      <c r="D584" t="inlineStr">
        <is>
          <t>VÄRMLANDS LÄN</t>
        </is>
      </c>
      <c r="E584" t="inlineStr">
        <is>
          <t>TORSBY</t>
        </is>
      </c>
      <c r="G584" t="n">
        <v>4.7</v>
      </c>
      <c r="H584" t="n">
        <v>0</v>
      </c>
      <c r="I584" t="n">
        <v>0</v>
      </c>
      <c r="J584" t="n">
        <v>0</v>
      </c>
      <c r="K584" t="n">
        <v>0</v>
      </c>
      <c r="L584" t="n">
        <v>0</v>
      </c>
      <c r="M584" t="n">
        <v>0</v>
      </c>
      <c r="N584" t="n">
        <v>0</v>
      </c>
      <c r="O584" t="n">
        <v>0</v>
      </c>
      <c r="P584" t="n">
        <v>0</v>
      </c>
      <c r="Q584" t="n">
        <v>0</v>
      </c>
      <c r="R584" s="2" t="inlineStr"/>
    </row>
    <row r="585" ht="15" customHeight="1">
      <c r="A585" t="inlineStr">
        <is>
          <t>A 58877-2020</t>
        </is>
      </c>
      <c r="B585" s="1" t="n">
        <v>44146</v>
      </c>
      <c r="C585" s="1" t="n">
        <v>45849</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58930-2020</t>
        </is>
      </c>
      <c r="B586" s="1" t="n">
        <v>44146</v>
      </c>
      <c r="C586" s="1" t="n">
        <v>45849</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59800-2020</t>
        </is>
      </c>
      <c r="B587" s="1" t="n">
        <v>44151</v>
      </c>
      <c r="C587" s="1" t="n">
        <v>45849</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60167-2020</t>
        </is>
      </c>
      <c r="B588" s="1" t="n">
        <v>44152</v>
      </c>
      <c r="C588" s="1" t="n">
        <v>45849</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60533-2020</t>
        </is>
      </c>
      <c r="B589" s="1" t="n">
        <v>44153</v>
      </c>
      <c r="C589" s="1" t="n">
        <v>45849</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60719-2020</t>
        </is>
      </c>
      <c r="B590" s="1" t="n">
        <v>44153</v>
      </c>
      <c r="C590" s="1" t="n">
        <v>45849</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60823-2020</t>
        </is>
      </c>
      <c r="B591" s="1" t="n">
        <v>44153</v>
      </c>
      <c r="C591" s="1" t="n">
        <v>45849</v>
      </c>
      <c r="D591" t="inlineStr">
        <is>
          <t>VÄRMLANDS LÄN</t>
        </is>
      </c>
      <c r="E591" t="inlineStr">
        <is>
          <t>TORSBY</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60941-2020</t>
        </is>
      </c>
      <c r="B592" s="1" t="n">
        <v>44154</v>
      </c>
      <c r="C592" s="1" t="n">
        <v>45849</v>
      </c>
      <c r="D592" t="inlineStr">
        <is>
          <t>VÄRMLANDS LÄN</t>
        </is>
      </c>
      <c r="E592" t="inlineStr">
        <is>
          <t>TORSBY</t>
        </is>
      </c>
      <c r="G592" t="n">
        <v>4.1</v>
      </c>
      <c r="H592" t="n">
        <v>0</v>
      </c>
      <c r="I592" t="n">
        <v>0</v>
      </c>
      <c r="J592" t="n">
        <v>0</v>
      </c>
      <c r="K592" t="n">
        <v>0</v>
      </c>
      <c r="L592" t="n">
        <v>0</v>
      </c>
      <c r="M592" t="n">
        <v>0</v>
      </c>
      <c r="N592" t="n">
        <v>0</v>
      </c>
      <c r="O592" t="n">
        <v>0</v>
      </c>
      <c r="P592" t="n">
        <v>0</v>
      </c>
      <c r="Q592" t="n">
        <v>0</v>
      </c>
      <c r="R592" s="2" t="inlineStr"/>
    </row>
    <row r="593" ht="15" customHeight="1">
      <c r="A593" t="inlineStr">
        <is>
          <t>A 61009-2020</t>
        </is>
      </c>
      <c r="B593" s="1" t="n">
        <v>44154</v>
      </c>
      <c r="C593" s="1" t="n">
        <v>45849</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61594-2020</t>
        </is>
      </c>
      <c r="B594" s="1" t="n">
        <v>44154</v>
      </c>
      <c r="C594" s="1" t="n">
        <v>45849</v>
      </c>
      <c r="D594" t="inlineStr">
        <is>
          <t>VÄRMLANDS LÄN</t>
        </is>
      </c>
      <c r="E594" t="inlineStr">
        <is>
          <t>TORSBY</t>
        </is>
      </c>
      <c r="G594" t="n">
        <v>6</v>
      </c>
      <c r="H594" t="n">
        <v>0</v>
      </c>
      <c r="I594" t="n">
        <v>0</v>
      </c>
      <c r="J594" t="n">
        <v>0</v>
      </c>
      <c r="K594" t="n">
        <v>0</v>
      </c>
      <c r="L594" t="n">
        <v>0</v>
      </c>
      <c r="M594" t="n">
        <v>0</v>
      </c>
      <c r="N594" t="n">
        <v>0</v>
      </c>
      <c r="O594" t="n">
        <v>0</v>
      </c>
      <c r="P594" t="n">
        <v>0</v>
      </c>
      <c r="Q594" t="n">
        <v>0</v>
      </c>
      <c r="R594" s="2" t="inlineStr"/>
    </row>
    <row r="595" ht="15" customHeight="1">
      <c r="A595" t="inlineStr">
        <is>
          <t>A 61970-2020</t>
        </is>
      </c>
      <c r="B595" s="1" t="n">
        <v>44155</v>
      </c>
      <c r="C595" s="1" t="n">
        <v>45849</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61738-2020</t>
        </is>
      </c>
      <c r="B596" s="1" t="n">
        <v>44158</v>
      </c>
      <c r="C596" s="1" t="n">
        <v>45849</v>
      </c>
      <c r="D596" t="inlineStr">
        <is>
          <t>VÄRMLANDS LÄN</t>
        </is>
      </c>
      <c r="E596" t="inlineStr">
        <is>
          <t>TORSBY</t>
        </is>
      </c>
      <c r="F596" t="inlineStr">
        <is>
          <t>Kommuner</t>
        </is>
      </c>
      <c r="G596" t="n">
        <v>5.8</v>
      </c>
      <c r="H596" t="n">
        <v>0</v>
      </c>
      <c r="I596" t="n">
        <v>0</v>
      </c>
      <c r="J596" t="n">
        <v>0</v>
      </c>
      <c r="K596" t="n">
        <v>0</v>
      </c>
      <c r="L596" t="n">
        <v>0</v>
      </c>
      <c r="M596" t="n">
        <v>0</v>
      </c>
      <c r="N596" t="n">
        <v>0</v>
      </c>
      <c r="O596" t="n">
        <v>0</v>
      </c>
      <c r="P596" t="n">
        <v>0</v>
      </c>
      <c r="Q596" t="n">
        <v>0</v>
      </c>
      <c r="R596" s="2" t="inlineStr"/>
    </row>
    <row r="597" ht="15" customHeight="1">
      <c r="A597" t="inlineStr">
        <is>
          <t>A 61753-2020</t>
        </is>
      </c>
      <c r="B597" s="1" t="n">
        <v>44158</v>
      </c>
      <c r="C597" s="1" t="n">
        <v>45849</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61998-2020</t>
        </is>
      </c>
      <c r="B598" s="1" t="n">
        <v>44158</v>
      </c>
      <c r="C598" s="1" t="n">
        <v>45849</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61910-2020</t>
        </is>
      </c>
      <c r="B599" s="1" t="n">
        <v>44159</v>
      </c>
      <c r="C599" s="1" t="n">
        <v>45849</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61956-2020</t>
        </is>
      </c>
      <c r="B600" s="1" t="n">
        <v>44159</v>
      </c>
      <c r="C600" s="1" t="n">
        <v>45849</v>
      </c>
      <c r="D600" t="inlineStr">
        <is>
          <t>VÄRMLANDS LÄN</t>
        </is>
      </c>
      <c r="E600" t="inlineStr">
        <is>
          <t>TORSBY</t>
        </is>
      </c>
      <c r="F600" t="inlineStr">
        <is>
          <t>Kommuner</t>
        </is>
      </c>
      <c r="G600" t="n">
        <v>7.5</v>
      </c>
      <c r="H600" t="n">
        <v>0</v>
      </c>
      <c r="I600" t="n">
        <v>0</v>
      </c>
      <c r="J600" t="n">
        <v>0</v>
      </c>
      <c r="K600" t="n">
        <v>0</v>
      </c>
      <c r="L600" t="n">
        <v>0</v>
      </c>
      <c r="M600" t="n">
        <v>0</v>
      </c>
      <c r="N600" t="n">
        <v>0</v>
      </c>
      <c r="O600" t="n">
        <v>0</v>
      </c>
      <c r="P600" t="n">
        <v>0</v>
      </c>
      <c r="Q600" t="n">
        <v>0</v>
      </c>
      <c r="R600" s="2" t="inlineStr"/>
    </row>
    <row r="601" ht="15" customHeight="1">
      <c r="A601" t="inlineStr">
        <is>
          <t>A 62209-2020</t>
        </is>
      </c>
      <c r="B601" s="1" t="n">
        <v>44159</v>
      </c>
      <c r="C601" s="1" t="n">
        <v>45849</v>
      </c>
      <c r="D601" t="inlineStr">
        <is>
          <t>VÄRMLANDS LÄN</t>
        </is>
      </c>
      <c r="E601" t="inlineStr">
        <is>
          <t>TORSBY</t>
        </is>
      </c>
      <c r="F601" t="inlineStr">
        <is>
          <t>Kommuner</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62211-2020</t>
        </is>
      </c>
      <c r="B602" s="1" t="n">
        <v>44159</v>
      </c>
      <c r="C602" s="1" t="n">
        <v>45849</v>
      </c>
      <c r="D602" t="inlineStr">
        <is>
          <t>VÄRMLANDS LÄN</t>
        </is>
      </c>
      <c r="E602" t="inlineStr">
        <is>
          <t>TORSBY</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62915-2020</t>
        </is>
      </c>
      <c r="B603" s="1" t="n">
        <v>44162</v>
      </c>
      <c r="C603" s="1" t="n">
        <v>45849</v>
      </c>
      <c r="D603" t="inlineStr">
        <is>
          <t>VÄRMLANDS LÄN</t>
        </is>
      </c>
      <c r="E603" t="inlineStr">
        <is>
          <t>TORSBY</t>
        </is>
      </c>
      <c r="G603" t="n">
        <v>4.6</v>
      </c>
      <c r="H603" t="n">
        <v>0</v>
      </c>
      <c r="I603" t="n">
        <v>0</v>
      </c>
      <c r="J603" t="n">
        <v>0</v>
      </c>
      <c r="K603" t="n">
        <v>0</v>
      </c>
      <c r="L603" t="n">
        <v>0</v>
      </c>
      <c r="M603" t="n">
        <v>0</v>
      </c>
      <c r="N603" t="n">
        <v>0</v>
      </c>
      <c r="O603" t="n">
        <v>0</v>
      </c>
      <c r="P603" t="n">
        <v>0</v>
      </c>
      <c r="Q603" t="n">
        <v>0</v>
      </c>
      <c r="R603" s="2" t="inlineStr"/>
    </row>
    <row r="604" ht="15" customHeight="1">
      <c r="A604" t="inlineStr">
        <is>
          <t>A 63565-2020</t>
        </is>
      </c>
      <c r="B604" s="1" t="n">
        <v>44165</v>
      </c>
      <c r="C604" s="1" t="n">
        <v>45849</v>
      </c>
      <c r="D604" t="inlineStr">
        <is>
          <t>VÄRMLANDS LÄN</t>
        </is>
      </c>
      <c r="E604" t="inlineStr">
        <is>
          <t>TORSBY</t>
        </is>
      </c>
      <c r="G604" t="n">
        <v>10.3</v>
      </c>
      <c r="H604" t="n">
        <v>0</v>
      </c>
      <c r="I604" t="n">
        <v>0</v>
      </c>
      <c r="J604" t="n">
        <v>0</v>
      </c>
      <c r="K604" t="n">
        <v>0</v>
      </c>
      <c r="L604" t="n">
        <v>0</v>
      </c>
      <c r="M604" t="n">
        <v>0</v>
      </c>
      <c r="N604" t="n">
        <v>0</v>
      </c>
      <c r="O604" t="n">
        <v>0</v>
      </c>
      <c r="P604" t="n">
        <v>0</v>
      </c>
      <c r="Q604" t="n">
        <v>0</v>
      </c>
      <c r="R604" s="2" t="inlineStr"/>
    </row>
    <row r="605" ht="15" customHeight="1">
      <c r="A605" t="inlineStr">
        <is>
          <t>A 64396-2020</t>
        </is>
      </c>
      <c r="B605" s="1" t="n">
        <v>44168</v>
      </c>
      <c r="C605" s="1" t="n">
        <v>45849</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64434-2020</t>
        </is>
      </c>
      <c r="B606" s="1" t="n">
        <v>44168</v>
      </c>
      <c r="C606" s="1" t="n">
        <v>45849</v>
      </c>
      <c r="D606" t="inlineStr">
        <is>
          <t>VÄRMLANDS LÄN</t>
        </is>
      </c>
      <c r="E606" t="inlineStr">
        <is>
          <t>TORSBY</t>
        </is>
      </c>
      <c r="G606" t="n">
        <v>7.7</v>
      </c>
      <c r="H606" t="n">
        <v>0</v>
      </c>
      <c r="I606" t="n">
        <v>0</v>
      </c>
      <c r="J606" t="n">
        <v>0</v>
      </c>
      <c r="K606" t="n">
        <v>0</v>
      </c>
      <c r="L606" t="n">
        <v>0</v>
      </c>
      <c r="M606" t="n">
        <v>0</v>
      </c>
      <c r="N606" t="n">
        <v>0</v>
      </c>
      <c r="O606" t="n">
        <v>0</v>
      </c>
      <c r="P606" t="n">
        <v>0</v>
      </c>
      <c r="Q606" t="n">
        <v>0</v>
      </c>
      <c r="R606" s="2" t="inlineStr"/>
    </row>
    <row r="607" ht="15" customHeight="1">
      <c r="A607" t="inlineStr">
        <is>
          <t>A 65369-2020</t>
        </is>
      </c>
      <c r="B607" s="1" t="n">
        <v>44169</v>
      </c>
      <c r="C607" s="1" t="n">
        <v>45849</v>
      </c>
      <c r="D607" t="inlineStr">
        <is>
          <t>VÄRMLANDS LÄN</t>
        </is>
      </c>
      <c r="E607" t="inlineStr">
        <is>
          <t>TORSBY</t>
        </is>
      </c>
      <c r="G607" t="n">
        <v>32.5</v>
      </c>
      <c r="H607" t="n">
        <v>0</v>
      </c>
      <c r="I607" t="n">
        <v>0</v>
      </c>
      <c r="J607" t="n">
        <v>0</v>
      </c>
      <c r="K607" t="n">
        <v>0</v>
      </c>
      <c r="L607" t="n">
        <v>0</v>
      </c>
      <c r="M607" t="n">
        <v>0</v>
      </c>
      <c r="N607" t="n">
        <v>0</v>
      </c>
      <c r="O607" t="n">
        <v>0</v>
      </c>
      <c r="P607" t="n">
        <v>0</v>
      </c>
      <c r="Q607" t="n">
        <v>0</v>
      </c>
      <c r="R607" s="2" t="inlineStr"/>
    </row>
    <row r="608" ht="15" customHeight="1">
      <c r="A608" t="inlineStr">
        <is>
          <t>A 65482-2020</t>
        </is>
      </c>
      <c r="B608" s="1" t="n">
        <v>44169</v>
      </c>
      <c r="C608" s="1" t="n">
        <v>45849</v>
      </c>
      <c r="D608" t="inlineStr">
        <is>
          <t>VÄRMLANDS LÄN</t>
        </is>
      </c>
      <c r="E608" t="inlineStr">
        <is>
          <t>TORSBY</t>
        </is>
      </c>
      <c r="F608" t="inlineStr">
        <is>
          <t>Kyrkan</t>
        </is>
      </c>
      <c r="G608" t="n">
        <v>21.6</v>
      </c>
      <c r="H608" t="n">
        <v>0</v>
      </c>
      <c r="I608" t="n">
        <v>0</v>
      </c>
      <c r="J608" t="n">
        <v>0</v>
      </c>
      <c r="K608" t="n">
        <v>0</v>
      </c>
      <c r="L608" t="n">
        <v>0</v>
      </c>
      <c r="M608" t="n">
        <v>0</v>
      </c>
      <c r="N608" t="n">
        <v>0</v>
      </c>
      <c r="O608" t="n">
        <v>0</v>
      </c>
      <c r="P608" t="n">
        <v>0</v>
      </c>
      <c r="Q608" t="n">
        <v>0</v>
      </c>
      <c r="R608" s="2" t="inlineStr"/>
    </row>
    <row r="609" ht="15" customHeight="1">
      <c r="A609" t="inlineStr">
        <is>
          <t>A 65398-2020</t>
        </is>
      </c>
      <c r="B609" s="1" t="n">
        <v>44169</v>
      </c>
      <c r="C609" s="1" t="n">
        <v>45849</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65678-2020</t>
        </is>
      </c>
      <c r="B610" s="1" t="n">
        <v>44172</v>
      </c>
      <c r="C610" s="1" t="n">
        <v>45849</v>
      </c>
      <c r="D610" t="inlineStr">
        <is>
          <t>VÄRMLANDS LÄN</t>
        </is>
      </c>
      <c r="E610" t="inlineStr">
        <is>
          <t>TORSBY</t>
        </is>
      </c>
      <c r="G610" t="n">
        <v>3.5</v>
      </c>
      <c r="H610" t="n">
        <v>0</v>
      </c>
      <c r="I610" t="n">
        <v>0</v>
      </c>
      <c r="J610" t="n">
        <v>0</v>
      </c>
      <c r="K610" t="n">
        <v>0</v>
      </c>
      <c r="L610" t="n">
        <v>0</v>
      </c>
      <c r="M610" t="n">
        <v>0</v>
      </c>
      <c r="N610" t="n">
        <v>0</v>
      </c>
      <c r="O610" t="n">
        <v>0</v>
      </c>
      <c r="P610" t="n">
        <v>0</v>
      </c>
      <c r="Q610" t="n">
        <v>0</v>
      </c>
      <c r="R610" s="2" t="inlineStr"/>
    </row>
    <row r="611" ht="15" customHeight="1">
      <c r="A611" t="inlineStr">
        <is>
          <t>A 65827-2020</t>
        </is>
      </c>
      <c r="B611" s="1" t="n">
        <v>44173</v>
      </c>
      <c r="C611" s="1" t="n">
        <v>45849</v>
      </c>
      <c r="D611" t="inlineStr">
        <is>
          <t>VÄRMLANDS LÄN</t>
        </is>
      </c>
      <c r="E611" t="inlineStr">
        <is>
          <t>TORSBY</t>
        </is>
      </c>
      <c r="G611" t="n">
        <v>6.7</v>
      </c>
      <c r="H611" t="n">
        <v>0</v>
      </c>
      <c r="I611" t="n">
        <v>0</v>
      </c>
      <c r="J611" t="n">
        <v>0</v>
      </c>
      <c r="K611" t="n">
        <v>0</v>
      </c>
      <c r="L611" t="n">
        <v>0</v>
      </c>
      <c r="M611" t="n">
        <v>0</v>
      </c>
      <c r="N611" t="n">
        <v>0</v>
      </c>
      <c r="O611" t="n">
        <v>0</v>
      </c>
      <c r="P611" t="n">
        <v>0</v>
      </c>
      <c r="Q611" t="n">
        <v>0</v>
      </c>
      <c r="R611" s="2" t="inlineStr"/>
    </row>
    <row r="612" ht="15" customHeight="1">
      <c r="A612" t="inlineStr">
        <is>
          <t>A 66703-2020</t>
        </is>
      </c>
      <c r="B612" s="1" t="n">
        <v>44174</v>
      </c>
      <c r="C612" s="1" t="n">
        <v>45849</v>
      </c>
      <c r="D612" t="inlineStr">
        <is>
          <t>VÄRMLANDS LÄN</t>
        </is>
      </c>
      <c r="E612" t="inlineStr">
        <is>
          <t>TORSBY</t>
        </is>
      </c>
      <c r="G612" t="n">
        <v>6.3</v>
      </c>
      <c r="H612" t="n">
        <v>0</v>
      </c>
      <c r="I612" t="n">
        <v>0</v>
      </c>
      <c r="J612" t="n">
        <v>0</v>
      </c>
      <c r="K612" t="n">
        <v>0</v>
      </c>
      <c r="L612" t="n">
        <v>0</v>
      </c>
      <c r="M612" t="n">
        <v>0</v>
      </c>
      <c r="N612" t="n">
        <v>0</v>
      </c>
      <c r="O612" t="n">
        <v>0</v>
      </c>
      <c r="P612" t="n">
        <v>0</v>
      </c>
      <c r="Q612" t="n">
        <v>0</v>
      </c>
      <c r="R612" s="2" t="inlineStr"/>
    </row>
    <row r="613" ht="15" customHeight="1">
      <c r="A613" t="inlineStr">
        <is>
          <t>A 66194-2020</t>
        </is>
      </c>
      <c r="B613" s="1" t="n">
        <v>44175</v>
      </c>
      <c r="C613" s="1" t="n">
        <v>45849</v>
      </c>
      <c r="D613" t="inlineStr">
        <is>
          <t>VÄRMLANDS LÄN</t>
        </is>
      </c>
      <c r="E613" t="inlineStr">
        <is>
          <t>TORSBY</t>
        </is>
      </c>
      <c r="F613" t="inlineStr">
        <is>
          <t>Bergvik skog väst AB</t>
        </is>
      </c>
      <c r="G613" t="n">
        <v>18.4</v>
      </c>
      <c r="H613" t="n">
        <v>0</v>
      </c>
      <c r="I613" t="n">
        <v>0</v>
      </c>
      <c r="J613" t="n">
        <v>0</v>
      </c>
      <c r="K613" t="n">
        <v>0</v>
      </c>
      <c r="L613" t="n">
        <v>0</v>
      </c>
      <c r="M613" t="n">
        <v>0</v>
      </c>
      <c r="N613" t="n">
        <v>0</v>
      </c>
      <c r="O613" t="n">
        <v>0</v>
      </c>
      <c r="P613" t="n">
        <v>0</v>
      </c>
      <c r="Q613" t="n">
        <v>0</v>
      </c>
      <c r="R613" s="2" t="inlineStr"/>
    </row>
    <row r="614" ht="15" customHeight="1">
      <c r="A614" t="inlineStr">
        <is>
          <t>A 66326-2020</t>
        </is>
      </c>
      <c r="B614" s="1" t="n">
        <v>44176</v>
      </c>
      <c r="C614" s="1" t="n">
        <v>45849</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67084-2020</t>
        </is>
      </c>
      <c r="B615" s="1" t="n">
        <v>44179</v>
      </c>
      <c r="C615" s="1" t="n">
        <v>45849</v>
      </c>
      <c r="D615" t="inlineStr">
        <is>
          <t>VÄRMLANDS LÄN</t>
        </is>
      </c>
      <c r="E615" t="inlineStr">
        <is>
          <t>TORSBY</t>
        </is>
      </c>
      <c r="G615" t="n">
        <v>1.9</v>
      </c>
      <c r="H615" t="n">
        <v>0</v>
      </c>
      <c r="I615" t="n">
        <v>0</v>
      </c>
      <c r="J615" t="n">
        <v>0</v>
      </c>
      <c r="K615" t="n">
        <v>0</v>
      </c>
      <c r="L615" t="n">
        <v>0</v>
      </c>
      <c r="M615" t="n">
        <v>0</v>
      </c>
      <c r="N615" t="n">
        <v>0</v>
      </c>
      <c r="O615" t="n">
        <v>0</v>
      </c>
      <c r="P615" t="n">
        <v>0</v>
      </c>
      <c r="Q615" t="n">
        <v>0</v>
      </c>
      <c r="R615" s="2" t="inlineStr"/>
    </row>
    <row r="616" ht="15" customHeight="1">
      <c r="A616" t="inlineStr">
        <is>
          <t>A 67547-2020</t>
        </is>
      </c>
      <c r="B616" s="1" t="n">
        <v>44181</v>
      </c>
      <c r="C616" s="1" t="n">
        <v>45849</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67464-2020</t>
        </is>
      </c>
      <c r="B617" s="1" t="n">
        <v>44181</v>
      </c>
      <c r="C617" s="1" t="n">
        <v>45849</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67734-2020</t>
        </is>
      </c>
      <c r="B618" s="1" t="n">
        <v>44182</v>
      </c>
      <c r="C618" s="1" t="n">
        <v>45849</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68220-2020</t>
        </is>
      </c>
      <c r="B619" s="1" t="n">
        <v>44183</v>
      </c>
      <c r="C619" s="1" t="n">
        <v>45849</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68238-2020</t>
        </is>
      </c>
      <c r="B620" s="1" t="n">
        <v>44183</v>
      </c>
      <c r="C620" s="1" t="n">
        <v>45849</v>
      </c>
      <c r="D620" t="inlineStr">
        <is>
          <t>VÄRMLANDS LÄN</t>
        </is>
      </c>
      <c r="E620" t="inlineStr">
        <is>
          <t>TORSBY</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68246-2020</t>
        </is>
      </c>
      <c r="B621" s="1" t="n">
        <v>44183</v>
      </c>
      <c r="C621" s="1" t="n">
        <v>45849</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68603-2020</t>
        </is>
      </c>
      <c r="B622" s="1" t="n">
        <v>44186</v>
      </c>
      <c r="C622" s="1" t="n">
        <v>45849</v>
      </c>
      <c r="D622" t="inlineStr">
        <is>
          <t>VÄRMLANDS LÄN</t>
        </is>
      </c>
      <c r="E622" t="inlineStr">
        <is>
          <t>TORSBY</t>
        </is>
      </c>
      <c r="G622" t="n">
        <v>11.2</v>
      </c>
      <c r="H622" t="n">
        <v>0</v>
      </c>
      <c r="I622" t="n">
        <v>0</v>
      </c>
      <c r="J622" t="n">
        <v>0</v>
      </c>
      <c r="K622" t="n">
        <v>0</v>
      </c>
      <c r="L622" t="n">
        <v>0</v>
      </c>
      <c r="M622" t="n">
        <v>0</v>
      </c>
      <c r="N622" t="n">
        <v>0</v>
      </c>
      <c r="O622" t="n">
        <v>0</v>
      </c>
      <c r="P622" t="n">
        <v>0</v>
      </c>
      <c r="Q622" t="n">
        <v>0</v>
      </c>
      <c r="R622" s="2" t="inlineStr"/>
    </row>
    <row r="623" ht="15" customHeight="1">
      <c r="A623" t="inlineStr">
        <is>
          <t>A 69245-2020</t>
        </is>
      </c>
      <c r="B623" s="1" t="n">
        <v>44192</v>
      </c>
      <c r="C623" s="1" t="n">
        <v>45849</v>
      </c>
      <c r="D623" t="inlineStr">
        <is>
          <t>VÄRMLANDS LÄN</t>
        </is>
      </c>
      <c r="E623" t="inlineStr">
        <is>
          <t>TORSBY</t>
        </is>
      </c>
      <c r="G623" t="n">
        <v>0.2</v>
      </c>
      <c r="H623" t="n">
        <v>0</v>
      </c>
      <c r="I623" t="n">
        <v>0</v>
      </c>
      <c r="J623" t="n">
        <v>0</v>
      </c>
      <c r="K623" t="n">
        <v>0</v>
      </c>
      <c r="L623" t="n">
        <v>0</v>
      </c>
      <c r="M623" t="n">
        <v>0</v>
      </c>
      <c r="N623" t="n">
        <v>0</v>
      </c>
      <c r="O623" t="n">
        <v>0</v>
      </c>
      <c r="P623" t="n">
        <v>0</v>
      </c>
      <c r="Q623" t="n">
        <v>0</v>
      </c>
      <c r="R623" s="2" t="inlineStr"/>
    </row>
    <row r="624" ht="15" customHeight="1">
      <c r="A624" t="inlineStr">
        <is>
          <t>A 69250-2020</t>
        </is>
      </c>
      <c r="B624" s="1" t="n">
        <v>44192</v>
      </c>
      <c r="C624" s="1" t="n">
        <v>45849</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69242-2020</t>
        </is>
      </c>
      <c r="B625" s="1" t="n">
        <v>44192</v>
      </c>
      <c r="C625" s="1" t="n">
        <v>45849</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69247-2020</t>
        </is>
      </c>
      <c r="B626" s="1" t="n">
        <v>44192</v>
      </c>
      <c r="C626" s="1" t="n">
        <v>45849</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69244-2020</t>
        </is>
      </c>
      <c r="B627" s="1" t="n">
        <v>44192</v>
      </c>
      <c r="C627" s="1" t="n">
        <v>45849</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69248-2020</t>
        </is>
      </c>
      <c r="B628" s="1" t="n">
        <v>44192</v>
      </c>
      <c r="C628" s="1" t="n">
        <v>45849</v>
      </c>
      <c r="D628" t="inlineStr">
        <is>
          <t>VÄRMLANDS LÄN</t>
        </is>
      </c>
      <c r="E628" t="inlineStr">
        <is>
          <t>TORSBY</t>
        </is>
      </c>
      <c r="G628" t="n">
        <v>0.4</v>
      </c>
      <c r="H628" t="n">
        <v>0</v>
      </c>
      <c r="I628" t="n">
        <v>0</v>
      </c>
      <c r="J628" t="n">
        <v>0</v>
      </c>
      <c r="K628" t="n">
        <v>0</v>
      </c>
      <c r="L628" t="n">
        <v>0</v>
      </c>
      <c r="M628" t="n">
        <v>0</v>
      </c>
      <c r="N628" t="n">
        <v>0</v>
      </c>
      <c r="O628" t="n">
        <v>0</v>
      </c>
      <c r="P628" t="n">
        <v>0</v>
      </c>
      <c r="Q628" t="n">
        <v>0</v>
      </c>
      <c r="R628" s="2" t="inlineStr"/>
    </row>
    <row r="629" ht="15" customHeight="1">
      <c r="A629" t="inlineStr">
        <is>
          <t>A 69241-2020</t>
        </is>
      </c>
      <c r="B629" s="1" t="n">
        <v>44192</v>
      </c>
      <c r="C629" s="1" t="n">
        <v>45849</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69246-2020</t>
        </is>
      </c>
      <c r="B630" s="1" t="n">
        <v>44192</v>
      </c>
      <c r="C630" s="1" t="n">
        <v>45849</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69434-2020</t>
        </is>
      </c>
      <c r="B631" s="1" t="n">
        <v>44194</v>
      </c>
      <c r="C631" s="1" t="n">
        <v>45849</v>
      </c>
      <c r="D631" t="inlineStr">
        <is>
          <t>VÄRMLANDS LÄN</t>
        </is>
      </c>
      <c r="E631" t="inlineStr">
        <is>
          <t>TORSBY</t>
        </is>
      </c>
      <c r="G631" t="n">
        <v>6.3</v>
      </c>
      <c r="H631" t="n">
        <v>0</v>
      </c>
      <c r="I631" t="n">
        <v>0</v>
      </c>
      <c r="J631" t="n">
        <v>0</v>
      </c>
      <c r="K631" t="n">
        <v>0</v>
      </c>
      <c r="L631" t="n">
        <v>0</v>
      </c>
      <c r="M631" t="n">
        <v>0</v>
      </c>
      <c r="N631" t="n">
        <v>0</v>
      </c>
      <c r="O631" t="n">
        <v>0</v>
      </c>
      <c r="P631" t="n">
        <v>0</v>
      </c>
      <c r="Q631" t="n">
        <v>0</v>
      </c>
      <c r="R631" s="2" t="inlineStr"/>
    </row>
    <row r="632" ht="15" customHeight="1">
      <c r="A632" t="inlineStr">
        <is>
          <t>A 69448-2020</t>
        </is>
      </c>
      <c r="B632" s="1" t="n">
        <v>44194</v>
      </c>
      <c r="C632" s="1" t="n">
        <v>45849</v>
      </c>
      <c r="D632" t="inlineStr">
        <is>
          <t>VÄRMLANDS LÄN</t>
        </is>
      </c>
      <c r="E632" t="inlineStr">
        <is>
          <t>TORSBY</t>
        </is>
      </c>
      <c r="G632" t="n">
        <v>4.8</v>
      </c>
      <c r="H632" t="n">
        <v>0</v>
      </c>
      <c r="I632" t="n">
        <v>0</v>
      </c>
      <c r="J632" t="n">
        <v>0</v>
      </c>
      <c r="K632" t="n">
        <v>0</v>
      </c>
      <c r="L632" t="n">
        <v>0</v>
      </c>
      <c r="M632" t="n">
        <v>0</v>
      </c>
      <c r="N632" t="n">
        <v>0</v>
      </c>
      <c r="O632" t="n">
        <v>0</v>
      </c>
      <c r="P632" t="n">
        <v>0</v>
      </c>
      <c r="Q632" t="n">
        <v>0</v>
      </c>
      <c r="R632" s="2" t="inlineStr"/>
    </row>
    <row r="633" ht="15" customHeight="1">
      <c r="A633" t="inlineStr">
        <is>
          <t>A 69628-2020</t>
        </is>
      </c>
      <c r="B633" s="1" t="n">
        <v>44195</v>
      </c>
      <c r="C633" s="1" t="n">
        <v>45849</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339-2021</t>
        </is>
      </c>
      <c r="B634" s="1" t="n">
        <v>44201</v>
      </c>
      <c r="C634" s="1" t="n">
        <v>45849</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1516-2021</t>
        </is>
      </c>
      <c r="B635" s="1" t="n">
        <v>44209</v>
      </c>
      <c r="C635" s="1" t="n">
        <v>45849</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1526-2021</t>
        </is>
      </c>
      <c r="B636" s="1" t="n">
        <v>44209</v>
      </c>
      <c r="C636" s="1" t="n">
        <v>45849</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1535-2021</t>
        </is>
      </c>
      <c r="B637" s="1" t="n">
        <v>44209</v>
      </c>
      <c r="C637" s="1" t="n">
        <v>45849</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1544-2021</t>
        </is>
      </c>
      <c r="B638" s="1" t="n">
        <v>44209</v>
      </c>
      <c r="C638" s="1" t="n">
        <v>45849</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2321-2021</t>
        </is>
      </c>
      <c r="B639" s="1" t="n">
        <v>44214</v>
      </c>
      <c r="C639" s="1" t="n">
        <v>45849</v>
      </c>
      <c r="D639" t="inlineStr">
        <is>
          <t>VÄRMLANDS LÄN</t>
        </is>
      </c>
      <c r="E639" t="inlineStr">
        <is>
          <t>TORSBY</t>
        </is>
      </c>
      <c r="G639" t="n">
        <v>4.8</v>
      </c>
      <c r="H639" t="n">
        <v>0</v>
      </c>
      <c r="I639" t="n">
        <v>0</v>
      </c>
      <c r="J639" t="n">
        <v>0</v>
      </c>
      <c r="K639" t="n">
        <v>0</v>
      </c>
      <c r="L639" t="n">
        <v>0</v>
      </c>
      <c r="M639" t="n">
        <v>0</v>
      </c>
      <c r="N639" t="n">
        <v>0</v>
      </c>
      <c r="O639" t="n">
        <v>0</v>
      </c>
      <c r="P639" t="n">
        <v>0</v>
      </c>
      <c r="Q639" t="n">
        <v>0</v>
      </c>
      <c r="R639" s="2" t="inlineStr"/>
    </row>
    <row r="640" ht="15" customHeight="1">
      <c r="A640" t="inlineStr">
        <is>
          <t>A 2576-2021</t>
        </is>
      </c>
      <c r="B640" s="1" t="n">
        <v>44214</v>
      </c>
      <c r="C640" s="1" t="n">
        <v>45849</v>
      </c>
      <c r="D640" t="inlineStr">
        <is>
          <t>VÄRMLANDS LÄN</t>
        </is>
      </c>
      <c r="E640" t="inlineStr">
        <is>
          <t>TORSBY</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2758-2021</t>
        </is>
      </c>
      <c r="B641" s="1" t="n">
        <v>44215</v>
      </c>
      <c r="C641" s="1" t="n">
        <v>45849</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3160-2021</t>
        </is>
      </c>
      <c r="B642" s="1" t="n">
        <v>44217</v>
      </c>
      <c r="C642" s="1" t="n">
        <v>45849</v>
      </c>
      <c r="D642" t="inlineStr">
        <is>
          <t>VÄRMLANDS LÄN</t>
        </is>
      </c>
      <c r="E642" t="inlineStr">
        <is>
          <t>TORSBY</t>
        </is>
      </c>
      <c r="G642" t="n">
        <v>4.4</v>
      </c>
      <c r="H642" t="n">
        <v>0</v>
      </c>
      <c r="I642" t="n">
        <v>0</v>
      </c>
      <c r="J642" t="n">
        <v>0</v>
      </c>
      <c r="K642" t="n">
        <v>0</v>
      </c>
      <c r="L642" t="n">
        <v>0</v>
      </c>
      <c r="M642" t="n">
        <v>0</v>
      </c>
      <c r="N642" t="n">
        <v>0</v>
      </c>
      <c r="O642" t="n">
        <v>0</v>
      </c>
      <c r="P642" t="n">
        <v>0</v>
      </c>
      <c r="Q642" t="n">
        <v>0</v>
      </c>
      <c r="R642" s="2" t="inlineStr"/>
    </row>
    <row r="643" ht="15" customHeight="1">
      <c r="A643" t="inlineStr">
        <is>
          <t>A 3336-2021</t>
        </is>
      </c>
      <c r="B643" s="1" t="n">
        <v>44217</v>
      </c>
      <c r="C643" s="1" t="n">
        <v>45849</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4392-2021</t>
        </is>
      </c>
      <c r="B644" s="1" t="n">
        <v>44223</v>
      </c>
      <c r="C644" s="1" t="n">
        <v>45849</v>
      </c>
      <c r="D644" t="inlineStr">
        <is>
          <t>VÄRMLANDS LÄN</t>
        </is>
      </c>
      <c r="E644" t="inlineStr">
        <is>
          <t>TORSBY</t>
        </is>
      </c>
      <c r="G644" t="n">
        <v>3.8</v>
      </c>
      <c r="H644" t="n">
        <v>0</v>
      </c>
      <c r="I644" t="n">
        <v>0</v>
      </c>
      <c r="J644" t="n">
        <v>0</v>
      </c>
      <c r="K644" t="n">
        <v>0</v>
      </c>
      <c r="L644" t="n">
        <v>0</v>
      </c>
      <c r="M644" t="n">
        <v>0</v>
      </c>
      <c r="N644" t="n">
        <v>0</v>
      </c>
      <c r="O644" t="n">
        <v>0</v>
      </c>
      <c r="P644" t="n">
        <v>0</v>
      </c>
      <c r="Q644" t="n">
        <v>0</v>
      </c>
      <c r="R644" s="2" t="inlineStr"/>
    </row>
    <row r="645" ht="15" customHeight="1">
      <c r="A645" t="inlineStr">
        <is>
          <t>A 4558-2021</t>
        </is>
      </c>
      <c r="B645" s="1" t="n">
        <v>44223</v>
      </c>
      <c r="C645" s="1" t="n">
        <v>45849</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4393-2021</t>
        </is>
      </c>
      <c r="B646" s="1" t="n">
        <v>44223</v>
      </c>
      <c r="C646" s="1" t="n">
        <v>45849</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4564-2021</t>
        </is>
      </c>
      <c r="B647" s="1" t="n">
        <v>44223</v>
      </c>
      <c r="C647" s="1" t="n">
        <v>45849</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4479-2021</t>
        </is>
      </c>
      <c r="B648" s="1" t="n">
        <v>44224</v>
      </c>
      <c r="C648" s="1" t="n">
        <v>45849</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4711-2021</t>
        </is>
      </c>
      <c r="B649" s="1" t="n">
        <v>44225</v>
      </c>
      <c r="C649" s="1" t="n">
        <v>45849</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5050-2021</t>
        </is>
      </c>
      <c r="B650" s="1" t="n">
        <v>44228</v>
      </c>
      <c r="C650" s="1" t="n">
        <v>45849</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5105-2021</t>
        </is>
      </c>
      <c r="B651" s="1" t="n">
        <v>44228</v>
      </c>
      <c r="C651" s="1" t="n">
        <v>45849</v>
      </c>
      <c r="D651" t="inlineStr">
        <is>
          <t>VÄRMLANDS LÄN</t>
        </is>
      </c>
      <c r="E651" t="inlineStr">
        <is>
          <t>TORSBY</t>
        </is>
      </c>
      <c r="G651" t="n">
        <v>5.6</v>
      </c>
      <c r="H651" t="n">
        <v>0</v>
      </c>
      <c r="I651" t="n">
        <v>0</v>
      </c>
      <c r="J651" t="n">
        <v>0</v>
      </c>
      <c r="K651" t="n">
        <v>0</v>
      </c>
      <c r="L651" t="n">
        <v>0</v>
      </c>
      <c r="M651" t="n">
        <v>0</v>
      </c>
      <c r="N651" t="n">
        <v>0</v>
      </c>
      <c r="O651" t="n">
        <v>0</v>
      </c>
      <c r="P651" t="n">
        <v>0</v>
      </c>
      <c r="Q651" t="n">
        <v>0</v>
      </c>
      <c r="R651" s="2" t="inlineStr"/>
    </row>
    <row r="652" ht="15" customHeight="1">
      <c r="A652" t="inlineStr">
        <is>
          <t>A 5365-2021</t>
        </is>
      </c>
      <c r="B652" s="1" t="n">
        <v>44229</v>
      </c>
      <c r="C652" s="1" t="n">
        <v>45849</v>
      </c>
      <c r="D652" t="inlineStr">
        <is>
          <t>VÄRMLANDS LÄN</t>
        </is>
      </c>
      <c r="E652" t="inlineStr">
        <is>
          <t>TORSBY</t>
        </is>
      </c>
      <c r="G652" t="n">
        <v>8.1</v>
      </c>
      <c r="H652" t="n">
        <v>0</v>
      </c>
      <c r="I652" t="n">
        <v>0</v>
      </c>
      <c r="J652" t="n">
        <v>0</v>
      </c>
      <c r="K652" t="n">
        <v>0</v>
      </c>
      <c r="L652" t="n">
        <v>0</v>
      </c>
      <c r="M652" t="n">
        <v>0</v>
      </c>
      <c r="N652" t="n">
        <v>0</v>
      </c>
      <c r="O652" t="n">
        <v>0</v>
      </c>
      <c r="P652" t="n">
        <v>0</v>
      </c>
      <c r="Q652" t="n">
        <v>0</v>
      </c>
      <c r="R652" s="2" t="inlineStr"/>
    </row>
    <row r="653" ht="15" customHeight="1">
      <c r="A653" t="inlineStr">
        <is>
          <t>A 5572-2021</t>
        </is>
      </c>
      <c r="B653" s="1" t="n">
        <v>44230</v>
      </c>
      <c r="C653" s="1" t="n">
        <v>45849</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5839-2021</t>
        </is>
      </c>
      <c r="B654" s="1" t="n">
        <v>44231</v>
      </c>
      <c r="C654" s="1" t="n">
        <v>45849</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6063-2021</t>
        </is>
      </c>
      <c r="B655" s="1" t="n">
        <v>44232</v>
      </c>
      <c r="C655" s="1" t="n">
        <v>45849</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6111-2021</t>
        </is>
      </c>
      <c r="B656" s="1" t="n">
        <v>44232</v>
      </c>
      <c r="C656" s="1" t="n">
        <v>45849</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6121-2021</t>
        </is>
      </c>
      <c r="B657" s="1" t="n">
        <v>44232</v>
      </c>
      <c r="C657" s="1" t="n">
        <v>45849</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6068-2021</t>
        </is>
      </c>
      <c r="B658" s="1" t="n">
        <v>44232</v>
      </c>
      <c r="C658" s="1" t="n">
        <v>45849</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6102-2021</t>
        </is>
      </c>
      <c r="B659" s="1" t="n">
        <v>44232</v>
      </c>
      <c r="C659" s="1" t="n">
        <v>45849</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6656-2021</t>
        </is>
      </c>
      <c r="B660" s="1" t="n">
        <v>44236</v>
      </c>
      <c r="C660" s="1" t="n">
        <v>45849</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7661-2021</t>
        </is>
      </c>
      <c r="B661" s="1" t="n">
        <v>44242</v>
      </c>
      <c r="C661" s="1" t="n">
        <v>45849</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8034-2021</t>
        </is>
      </c>
      <c r="B662" s="1" t="n">
        <v>44243</v>
      </c>
      <c r="C662" s="1" t="n">
        <v>45849</v>
      </c>
      <c r="D662" t="inlineStr">
        <is>
          <t>VÄRMLANDS LÄN</t>
        </is>
      </c>
      <c r="E662" t="inlineStr">
        <is>
          <t>TORSBY</t>
        </is>
      </c>
      <c r="G662" t="n">
        <v>15.4</v>
      </c>
      <c r="H662" t="n">
        <v>0</v>
      </c>
      <c r="I662" t="n">
        <v>0</v>
      </c>
      <c r="J662" t="n">
        <v>0</v>
      </c>
      <c r="K662" t="n">
        <v>0</v>
      </c>
      <c r="L662" t="n">
        <v>0</v>
      </c>
      <c r="M662" t="n">
        <v>0</v>
      </c>
      <c r="N662" t="n">
        <v>0</v>
      </c>
      <c r="O662" t="n">
        <v>0</v>
      </c>
      <c r="P662" t="n">
        <v>0</v>
      </c>
      <c r="Q662" t="n">
        <v>0</v>
      </c>
      <c r="R662" s="2" t="inlineStr"/>
    </row>
    <row r="663" ht="15" customHeight="1">
      <c r="A663" t="inlineStr">
        <is>
          <t>A 7898-2021</t>
        </is>
      </c>
      <c r="B663" s="1" t="n">
        <v>44243</v>
      </c>
      <c r="C663" s="1" t="n">
        <v>45849</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8910-2021</t>
        </is>
      </c>
      <c r="B664" s="1" t="n">
        <v>44246</v>
      </c>
      <c r="C664" s="1" t="n">
        <v>45849</v>
      </c>
      <c r="D664" t="inlineStr">
        <is>
          <t>VÄRMLANDS LÄN</t>
        </is>
      </c>
      <c r="E664" t="inlineStr">
        <is>
          <t>TORSBY</t>
        </is>
      </c>
      <c r="G664" t="n">
        <v>3.7</v>
      </c>
      <c r="H664" t="n">
        <v>0</v>
      </c>
      <c r="I664" t="n">
        <v>0</v>
      </c>
      <c r="J664" t="n">
        <v>0</v>
      </c>
      <c r="K664" t="n">
        <v>0</v>
      </c>
      <c r="L664" t="n">
        <v>0</v>
      </c>
      <c r="M664" t="n">
        <v>0</v>
      </c>
      <c r="N664" t="n">
        <v>0</v>
      </c>
      <c r="O664" t="n">
        <v>0</v>
      </c>
      <c r="P664" t="n">
        <v>0</v>
      </c>
      <c r="Q664" t="n">
        <v>0</v>
      </c>
      <c r="R664" s="2" t="inlineStr"/>
    </row>
    <row r="665" ht="15" customHeight="1">
      <c r="A665" t="inlineStr">
        <is>
          <t>A 9775-2021</t>
        </is>
      </c>
      <c r="B665" s="1" t="n">
        <v>44252</v>
      </c>
      <c r="C665" s="1" t="n">
        <v>45849</v>
      </c>
      <c r="D665" t="inlineStr">
        <is>
          <t>VÄRMLANDS LÄN</t>
        </is>
      </c>
      <c r="E665" t="inlineStr">
        <is>
          <t>TORSBY</t>
        </is>
      </c>
      <c r="G665" t="n">
        <v>2.7</v>
      </c>
      <c r="H665" t="n">
        <v>0</v>
      </c>
      <c r="I665" t="n">
        <v>0</v>
      </c>
      <c r="J665" t="n">
        <v>0</v>
      </c>
      <c r="K665" t="n">
        <v>0</v>
      </c>
      <c r="L665" t="n">
        <v>0</v>
      </c>
      <c r="M665" t="n">
        <v>0</v>
      </c>
      <c r="N665" t="n">
        <v>0</v>
      </c>
      <c r="O665" t="n">
        <v>0</v>
      </c>
      <c r="P665" t="n">
        <v>0</v>
      </c>
      <c r="Q665" t="n">
        <v>0</v>
      </c>
      <c r="R665" s="2" t="inlineStr"/>
    </row>
    <row r="666" ht="15" customHeight="1">
      <c r="A666" t="inlineStr">
        <is>
          <t>A 10133-2021</t>
        </is>
      </c>
      <c r="B666" s="1" t="n">
        <v>44256</v>
      </c>
      <c r="C666" s="1" t="n">
        <v>45849</v>
      </c>
      <c r="D666" t="inlineStr">
        <is>
          <t>VÄRMLANDS LÄN</t>
        </is>
      </c>
      <c r="E666" t="inlineStr">
        <is>
          <t>TORSBY</t>
        </is>
      </c>
      <c r="G666" t="n">
        <v>5</v>
      </c>
      <c r="H666" t="n">
        <v>0</v>
      </c>
      <c r="I666" t="n">
        <v>0</v>
      </c>
      <c r="J666" t="n">
        <v>0</v>
      </c>
      <c r="K666" t="n">
        <v>0</v>
      </c>
      <c r="L666" t="n">
        <v>0</v>
      </c>
      <c r="M666" t="n">
        <v>0</v>
      </c>
      <c r="N666" t="n">
        <v>0</v>
      </c>
      <c r="O666" t="n">
        <v>0</v>
      </c>
      <c r="P666" t="n">
        <v>0</v>
      </c>
      <c r="Q666" t="n">
        <v>0</v>
      </c>
      <c r="R666" s="2" t="inlineStr"/>
    </row>
    <row r="667" ht="15" customHeight="1">
      <c r="A667" t="inlineStr">
        <is>
          <t>A 10118-2021</t>
        </is>
      </c>
      <c r="B667" s="1" t="n">
        <v>44256</v>
      </c>
      <c r="C667" s="1" t="n">
        <v>45849</v>
      </c>
      <c r="D667" t="inlineStr">
        <is>
          <t>VÄRMLANDS LÄN</t>
        </is>
      </c>
      <c r="E667" t="inlineStr">
        <is>
          <t>TORSBY</t>
        </is>
      </c>
      <c r="G667" t="n">
        <v>12.5</v>
      </c>
      <c r="H667" t="n">
        <v>0</v>
      </c>
      <c r="I667" t="n">
        <v>0</v>
      </c>
      <c r="J667" t="n">
        <v>0</v>
      </c>
      <c r="K667" t="n">
        <v>0</v>
      </c>
      <c r="L667" t="n">
        <v>0</v>
      </c>
      <c r="M667" t="n">
        <v>0</v>
      </c>
      <c r="N667" t="n">
        <v>0</v>
      </c>
      <c r="O667" t="n">
        <v>0</v>
      </c>
      <c r="P667" t="n">
        <v>0</v>
      </c>
      <c r="Q667" t="n">
        <v>0</v>
      </c>
      <c r="R667" s="2" t="inlineStr"/>
    </row>
    <row r="668" ht="15" customHeight="1">
      <c r="A668" t="inlineStr">
        <is>
          <t>A 10579-2021</t>
        </is>
      </c>
      <c r="B668" s="1" t="n">
        <v>44257</v>
      </c>
      <c r="C668" s="1" t="n">
        <v>45849</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10778-2021</t>
        </is>
      </c>
      <c r="B669" s="1" t="n">
        <v>44259</v>
      </c>
      <c r="C669" s="1" t="n">
        <v>45849</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11695-2021</t>
        </is>
      </c>
      <c r="B670" s="1" t="n">
        <v>44264</v>
      </c>
      <c r="C670" s="1" t="n">
        <v>45849</v>
      </c>
      <c r="D670" t="inlineStr">
        <is>
          <t>VÄRMLANDS LÄN</t>
        </is>
      </c>
      <c r="E670" t="inlineStr">
        <is>
          <t>TORSBY</t>
        </is>
      </c>
      <c r="G670" t="n">
        <v>3</v>
      </c>
      <c r="H670" t="n">
        <v>0</v>
      </c>
      <c r="I670" t="n">
        <v>0</v>
      </c>
      <c r="J670" t="n">
        <v>0</v>
      </c>
      <c r="K670" t="n">
        <v>0</v>
      </c>
      <c r="L670" t="n">
        <v>0</v>
      </c>
      <c r="M670" t="n">
        <v>0</v>
      </c>
      <c r="N670" t="n">
        <v>0</v>
      </c>
      <c r="O670" t="n">
        <v>0</v>
      </c>
      <c r="P670" t="n">
        <v>0</v>
      </c>
      <c r="Q670" t="n">
        <v>0</v>
      </c>
      <c r="R670" s="2" t="inlineStr"/>
    </row>
    <row r="671" ht="15" customHeight="1">
      <c r="A671" t="inlineStr">
        <is>
          <t>A 11947-2021</t>
        </is>
      </c>
      <c r="B671" s="1" t="n">
        <v>44265</v>
      </c>
      <c r="C671" s="1" t="n">
        <v>45849</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13013-2021</t>
        </is>
      </c>
      <c r="B672" s="1" t="n">
        <v>44271</v>
      </c>
      <c r="C672" s="1" t="n">
        <v>45849</v>
      </c>
      <c r="D672" t="inlineStr">
        <is>
          <t>VÄRMLANDS LÄN</t>
        </is>
      </c>
      <c r="E672" t="inlineStr">
        <is>
          <t>TORSBY</t>
        </is>
      </c>
      <c r="G672" t="n">
        <v>7.7</v>
      </c>
      <c r="H672" t="n">
        <v>0</v>
      </c>
      <c r="I672" t="n">
        <v>0</v>
      </c>
      <c r="J672" t="n">
        <v>0</v>
      </c>
      <c r="K672" t="n">
        <v>0</v>
      </c>
      <c r="L672" t="n">
        <v>0</v>
      </c>
      <c r="M672" t="n">
        <v>0</v>
      </c>
      <c r="N672" t="n">
        <v>0</v>
      </c>
      <c r="O672" t="n">
        <v>0</v>
      </c>
      <c r="P672" t="n">
        <v>0</v>
      </c>
      <c r="Q672" t="n">
        <v>0</v>
      </c>
      <c r="R672" s="2" t="inlineStr"/>
    </row>
    <row r="673" ht="15" customHeight="1">
      <c r="A673" t="inlineStr">
        <is>
          <t>A 14942-2021</t>
        </is>
      </c>
      <c r="B673" s="1" t="n">
        <v>44281</v>
      </c>
      <c r="C673" s="1" t="n">
        <v>45849</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15279-2021</t>
        </is>
      </c>
      <c r="B674" s="1" t="n">
        <v>44284</v>
      </c>
      <c r="C674" s="1" t="n">
        <v>45849</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16191-2021</t>
        </is>
      </c>
      <c r="B675" s="1" t="n">
        <v>44285</v>
      </c>
      <c r="C675" s="1" t="n">
        <v>45849</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15854-2021</t>
        </is>
      </c>
      <c r="B676" s="1" t="n">
        <v>44286</v>
      </c>
      <c r="C676" s="1" t="n">
        <v>45849</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15853-2021</t>
        </is>
      </c>
      <c r="B677" s="1" t="n">
        <v>44286</v>
      </c>
      <c r="C677" s="1" t="n">
        <v>45849</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15945-2021</t>
        </is>
      </c>
      <c r="B678" s="1" t="n">
        <v>44287</v>
      </c>
      <c r="C678" s="1" t="n">
        <v>45849</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15939-2021</t>
        </is>
      </c>
      <c r="B679" s="1" t="n">
        <v>44287</v>
      </c>
      <c r="C679" s="1" t="n">
        <v>45849</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16303-2021</t>
        </is>
      </c>
      <c r="B680" s="1" t="n">
        <v>44292</v>
      </c>
      <c r="C680" s="1" t="n">
        <v>45849</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16299-2021</t>
        </is>
      </c>
      <c r="B681" s="1" t="n">
        <v>44292</v>
      </c>
      <c r="C681" s="1" t="n">
        <v>45849</v>
      </c>
      <c r="D681" t="inlineStr">
        <is>
          <t>VÄRMLANDS LÄN</t>
        </is>
      </c>
      <c r="E681" t="inlineStr">
        <is>
          <t>TORSBY</t>
        </is>
      </c>
      <c r="G681" t="n">
        <v>3.4</v>
      </c>
      <c r="H681" t="n">
        <v>0</v>
      </c>
      <c r="I681" t="n">
        <v>0</v>
      </c>
      <c r="J681" t="n">
        <v>0</v>
      </c>
      <c r="K681" t="n">
        <v>0</v>
      </c>
      <c r="L681" t="n">
        <v>0</v>
      </c>
      <c r="M681" t="n">
        <v>0</v>
      </c>
      <c r="N681" t="n">
        <v>0</v>
      </c>
      <c r="O681" t="n">
        <v>0</v>
      </c>
      <c r="P681" t="n">
        <v>0</v>
      </c>
      <c r="Q681" t="n">
        <v>0</v>
      </c>
      <c r="R681" s="2" t="inlineStr"/>
    </row>
    <row r="682" ht="15" customHeight="1">
      <c r="A682" t="inlineStr">
        <is>
          <t>A 16375-2021</t>
        </is>
      </c>
      <c r="B682" s="1" t="n">
        <v>44292</v>
      </c>
      <c r="C682" s="1" t="n">
        <v>45849</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17249-2021</t>
        </is>
      </c>
      <c r="B683" s="1" t="n">
        <v>44298</v>
      </c>
      <c r="C683" s="1" t="n">
        <v>45849</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17941-2021</t>
        </is>
      </c>
      <c r="B684" s="1" t="n">
        <v>44301</v>
      </c>
      <c r="C684" s="1" t="n">
        <v>45849</v>
      </c>
      <c r="D684" t="inlineStr">
        <is>
          <t>VÄRMLANDS LÄN</t>
        </is>
      </c>
      <c r="E684" t="inlineStr">
        <is>
          <t>TORSBY</t>
        </is>
      </c>
      <c r="F684" t="inlineStr">
        <is>
          <t>Kommuner</t>
        </is>
      </c>
      <c r="G684" t="n">
        <v>8</v>
      </c>
      <c r="H684" t="n">
        <v>0</v>
      </c>
      <c r="I684" t="n">
        <v>0</v>
      </c>
      <c r="J684" t="n">
        <v>0</v>
      </c>
      <c r="K684" t="n">
        <v>0</v>
      </c>
      <c r="L684" t="n">
        <v>0</v>
      </c>
      <c r="M684" t="n">
        <v>0</v>
      </c>
      <c r="N684" t="n">
        <v>0</v>
      </c>
      <c r="O684" t="n">
        <v>0</v>
      </c>
      <c r="P684" t="n">
        <v>0</v>
      </c>
      <c r="Q684" t="n">
        <v>0</v>
      </c>
      <c r="R684" s="2" t="inlineStr"/>
    </row>
    <row r="685" ht="15" customHeight="1">
      <c r="A685" t="inlineStr">
        <is>
          <t>A 17962-2021</t>
        </is>
      </c>
      <c r="B685" s="1" t="n">
        <v>44301</v>
      </c>
      <c r="C685" s="1" t="n">
        <v>45849</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17944-2021</t>
        </is>
      </c>
      <c r="B686" s="1" t="n">
        <v>44301</v>
      </c>
      <c r="C686" s="1" t="n">
        <v>45849</v>
      </c>
      <c r="D686" t="inlineStr">
        <is>
          <t>VÄRMLANDS LÄN</t>
        </is>
      </c>
      <c r="E686" t="inlineStr">
        <is>
          <t>TORSBY</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23524-2021</t>
        </is>
      </c>
      <c r="B687" s="1" t="n">
        <v>44301</v>
      </c>
      <c r="C687" s="1" t="n">
        <v>45849</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18174-2021</t>
        </is>
      </c>
      <c r="B688" s="1" t="n">
        <v>44302</v>
      </c>
      <c r="C688" s="1" t="n">
        <v>45849</v>
      </c>
      <c r="D688" t="inlineStr">
        <is>
          <t>VÄRMLANDS LÄN</t>
        </is>
      </c>
      <c r="E688" t="inlineStr">
        <is>
          <t>TORSBY</t>
        </is>
      </c>
      <c r="G688" t="n">
        <v>4.5</v>
      </c>
      <c r="H688" t="n">
        <v>0</v>
      </c>
      <c r="I688" t="n">
        <v>0</v>
      </c>
      <c r="J688" t="n">
        <v>0</v>
      </c>
      <c r="K688" t="n">
        <v>0</v>
      </c>
      <c r="L688" t="n">
        <v>0</v>
      </c>
      <c r="M688" t="n">
        <v>0</v>
      </c>
      <c r="N688" t="n">
        <v>0</v>
      </c>
      <c r="O688" t="n">
        <v>0</v>
      </c>
      <c r="P688" t="n">
        <v>0</v>
      </c>
      <c r="Q688" t="n">
        <v>0</v>
      </c>
      <c r="R688" s="2" t="inlineStr"/>
    </row>
    <row r="689" ht="15" customHeight="1">
      <c r="A689" t="inlineStr">
        <is>
          <t>A 18033-2021</t>
        </is>
      </c>
      <c r="B689" s="1" t="n">
        <v>44302</v>
      </c>
      <c r="C689" s="1" t="n">
        <v>45849</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18354-2021</t>
        </is>
      </c>
      <c r="B690" s="1" t="n">
        <v>44305</v>
      </c>
      <c r="C690" s="1" t="n">
        <v>45849</v>
      </c>
      <c r="D690" t="inlineStr">
        <is>
          <t>VÄRMLANDS LÄN</t>
        </is>
      </c>
      <c r="E690" t="inlineStr">
        <is>
          <t>TORSBY</t>
        </is>
      </c>
      <c r="F690" t="inlineStr">
        <is>
          <t>Kommuner</t>
        </is>
      </c>
      <c r="G690" t="n">
        <v>2.4</v>
      </c>
      <c r="H690" t="n">
        <v>0</v>
      </c>
      <c r="I690" t="n">
        <v>0</v>
      </c>
      <c r="J690" t="n">
        <v>0</v>
      </c>
      <c r="K690" t="n">
        <v>0</v>
      </c>
      <c r="L690" t="n">
        <v>0</v>
      </c>
      <c r="M690" t="n">
        <v>0</v>
      </c>
      <c r="N690" t="n">
        <v>0</v>
      </c>
      <c r="O690" t="n">
        <v>0</v>
      </c>
      <c r="P690" t="n">
        <v>0</v>
      </c>
      <c r="Q690" t="n">
        <v>0</v>
      </c>
      <c r="R690" s="2" t="inlineStr"/>
    </row>
    <row r="691" ht="15" customHeight="1">
      <c r="A691" t="inlineStr">
        <is>
          <t>A 18344-2021</t>
        </is>
      </c>
      <c r="B691" s="1" t="n">
        <v>44305</v>
      </c>
      <c r="C691" s="1" t="n">
        <v>45849</v>
      </c>
      <c r="D691" t="inlineStr">
        <is>
          <t>VÄRMLANDS LÄN</t>
        </is>
      </c>
      <c r="E691" t="inlineStr">
        <is>
          <t>TORSBY</t>
        </is>
      </c>
      <c r="F691" t="inlineStr">
        <is>
          <t>Kommuner</t>
        </is>
      </c>
      <c r="G691" t="n">
        <v>4.3</v>
      </c>
      <c r="H691" t="n">
        <v>0</v>
      </c>
      <c r="I691" t="n">
        <v>0</v>
      </c>
      <c r="J691" t="n">
        <v>0</v>
      </c>
      <c r="K691" t="n">
        <v>0</v>
      </c>
      <c r="L691" t="n">
        <v>0</v>
      </c>
      <c r="M691" t="n">
        <v>0</v>
      </c>
      <c r="N691" t="n">
        <v>0</v>
      </c>
      <c r="O691" t="n">
        <v>0</v>
      </c>
      <c r="P691" t="n">
        <v>0</v>
      </c>
      <c r="Q691" t="n">
        <v>0</v>
      </c>
      <c r="R691" s="2" t="inlineStr"/>
    </row>
    <row r="692" ht="15" customHeight="1">
      <c r="A692" t="inlineStr">
        <is>
          <t>A 18349-2021</t>
        </is>
      </c>
      <c r="B692" s="1" t="n">
        <v>44305</v>
      </c>
      <c r="C692" s="1" t="n">
        <v>45849</v>
      </c>
      <c r="D692" t="inlineStr">
        <is>
          <t>VÄRMLANDS LÄN</t>
        </is>
      </c>
      <c r="E692" t="inlineStr">
        <is>
          <t>TORSBY</t>
        </is>
      </c>
      <c r="G692" t="n">
        <v>3</v>
      </c>
      <c r="H692" t="n">
        <v>0</v>
      </c>
      <c r="I692" t="n">
        <v>0</v>
      </c>
      <c r="J692" t="n">
        <v>0</v>
      </c>
      <c r="K692" t="n">
        <v>0</v>
      </c>
      <c r="L692" t="n">
        <v>0</v>
      </c>
      <c r="M692" t="n">
        <v>0</v>
      </c>
      <c r="N692" t="n">
        <v>0</v>
      </c>
      <c r="O692" t="n">
        <v>0</v>
      </c>
      <c r="P692" t="n">
        <v>0</v>
      </c>
      <c r="Q692" t="n">
        <v>0</v>
      </c>
      <c r="R692" s="2" t="inlineStr"/>
    </row>
    <row r="693" ht="15" customHeight="1">
      <c r="A693" t="inlineStr">
        <is>
          <t>A 18560-2021</t>
        </is>
      </c>
      <c r="B693" s="1" t="n">
        <v>44306</v>
      </c>
      <c r="C693" s="1" t="n">
        <v>45849</v>
      </c>
      <c r="D693" t="inlineStr">
        <is>
          <t>VÄRMLANDS LÄN</t>
        </is>
      </c>
      <c r="E693" t="inlineStr">
        <is>
          <t>TORSBY</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19031-2021</t>
        </is>
      </c>
      <c r="B694" s="1" t="n">
        <v>44308</v>
      </c>
      <c r="C694" s="1" t="n">
        <v>45849</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19338-2021</t>
        </is>
      </c>
      <c r="B695" s="1" t="n">
        <v>44309</v>
      </c>
      <c r="C695" s="1" t="n">
        <v>45849</v>
      </c>
      <c r="D695" t="inlineStr">
        <is>
          <t>VÄRMLANDS LÄN</t>
        </is>
      </c>
      <c r="E695" t="inlineStr">
        <is>
          <t>TORSBY</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19375-2021</t>
        </is>
      </c>
      <c r="B696" s="1" t="n">
        <v>44309</v>
      </c>
      <c r="C696" s="1" t="n">
        <v>45849</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20182-2021</t>
        </is>
      </c>
      <c r="B697" s="1" t="n">
        <v>44312</v>
      </c>
      <c r="C697" s="1" t="n">
        <v>45849</v>
      </c>
      <c r="D697" t="inlineStr">
        <is>
          <t>VÄRMLANDS LÄN</t>
        </is>
      </c>
      <c r="E697" t="inlineStr">
        <is>
          <t>TORSBY</t>
        </is>
      </c>
      <c r="G697" t="n">
        <v>14.4</v>
      </c>
      <c r="H697" t="n">
        <v>0</v>
      </c>
      <c r="I697" t="n">
        <v>0</v>
      </c>
      <c r="J697" t="n">
        <v>0</v>
      </c>
      <c r="K697" t="n">
        <v>0</v>
      </c>
      <c r="L697" t="n">
        <v>0</v>
      </c>
      <c r="M697" t="n">
        <v>0</v>
      </c>
      <c r="N697" t="n">
        <v>0</v>
      </c>
      <c r="O697" t="n">
        <v>0</v>
      </c>
      <c r="P697" t="n">
        <v>0</v>
      </c>
      <c r="Q697" t="n">
        <v>0</v>
      </c>
      <c r="R697" s="2" t="inlineStr"/>
    </row>
    <row r="698" ht="15" customHeight="1">
      <c r="A698" t="inlineStr">
        <is>
          <t>A 20199-2021</t>
        </is>
      </c>
      <c r="B698" s="1" t="n">
        <v>44312</v>
      </c>
      <c r="C698" s="1" t="n">
        <v>45849</v>
      </c>
      <c r="D698" t="inlineStr">
        <is>
          <t>VÄRMLANDS LÄN</t>
        </is>
      </c>
      <c r="E698" t="inlineStr">
        <is>
          <t>TORSBY</t>
        </is>
      </c>
      <c r="G698" t="n">
        <v>11.4</v>
      </c>
      <c r="H698" t="n">
        <v>0</v>
      </c>
      <c r="I698" t="n">
        <v>0</v>
      </c>
      <c r="J698" t="n">
        <v>0</v>
      </c>
      <c r="K698" t="n">
        <v>0</v>
      </c>
      <c r="L698" t="n">
        <v>0</v>
      </c>
      <c r="M698" t="n">
        <v>0</v>
      </c>
      <c r="N698" t="n">
        <v>0</v>
      </c>
      <c r="O698" t="n">
        <v>0</v>
      </c>
      <c r="P698" t="n">
        <v>0</v>
      </c>
      <c r="Q698" t="n">
        <v>0</v>
      </c>
      <c r="R698" s="2" t="inlineStr"/>
    </row>
    <row r="699" ht="15" customHeight="1">
      <c r="A699" t="inlineStr">
        <is>
          <t>A 20170-2021</t>
        </is>
      </c>
      <c r="B699" s="1" t="n">
        <v>44312</v>
      </c>
      <c r="C699" s="1" t="n">
        <v>45849</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19877-2021</t>
        </is>
      </c>
      <c r="B700" s="1" t="n">
        <v>44313</v>
      </c>
      <c r="C700" s="1" t="n">
        <v>45849</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19974-2021</t>
        </is>
      </c>
      <c r="B701" s="1" t="n">
        <v>44313</v>
      </c>
      <c r="C701" s="1" t="n">
        <v>45849</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20122-2021</t>
        </is>
      </c>
      <c r="B702" s="1" t="n">
        <v>44314</v>
      </c>
      <c r="C702" s="1" t="n">
        <v>45849</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21031-2021</t>
        </is>
      </c>
      <c r="B703" s="1" t="n">
        <v>44319</v>
      </c>
      <c r="C703" s="1" t="n">
        <v>45849</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21206-2021</t>
        </is>
      </c>
      <c r="B704" s="1" t="n">
        <v>44320</v>
      </c>
      <c r="C704" s="1" t="n">
        <v>45849</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22038-2021</t>
        </is>
      </c>
      <c r="B705" s="1" t="n">
        <v>44323</v>
      </c>
      <c r="C705" s="1" t="n">
        <v>45849</v>
      </c>
      <c r="D705" t="inlineStr">
        <is>
          <t>VÄRMLANDS LÄN</t>
        </is>
      </c>
      <c r="E705" t="inlineStr">
        <is>
          <t>TORSBY</t>
        </is>
      </c>
      <c r="G705" t="n">
        <v>4</v>
      </c>
      <c r="H705" t="n">
        <v>0</v>
      </c>
      <c r="I705" t="n">
        <v>0</v>
      </c>
      <c r="J705" t="n">
        <v>0</v>
      </c>
      <c r="K705" t="n">
        <v>0</v>
      </c>
      <c r="L705" t="n">
        <v>0</v>
      </c>
      <c r="M705" t="n">
        <v>0</v>
      </c>
      <c r="N705" t="n">
        <v>0</v>
      </c>
      <c r="O705" t="n">
        <v>0</v>
      </c>
      <c r="P705" t="n">
        <v>0</v>
      </c>
      <c r="Q705" t="n">
        <v>0</v>
      </c>
      <c r="R705" s="2" t="inlineStr"/>
    </row>
    <row r="706" ht="15" customHeight="1">
      <c r="A706" t="inlineStr">
        <is>
          <t>A 22113-2021</t>
        </is>
      </c>
      <c r="B706" s="1" t="n">
        <v>44323</v>
      </c>
      <c r="C706" s="1" t="n">
        <v>45849</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22464-2021</t>
        </is>
      </c>
      <c r="B707" s="1" t="n">
        <v>44326</v>
      </c>
      <c r="C707" s="1" t="n">
        <v>45849</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22463-2021</t>
        </is>
      </c>
      <c r="B708" s="1" t="n">
        <v>44326</v>
      </c>
      <c r="C708" s="1" t="n">
        <v>45849</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22671-2021</t>
        </is>
      </c>
      <c r="B709" s="1" t="n">
        <v>44327</v>
      </c>
      <c r="C709" s="1" t="n">
        <v>45849</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22638-2021</t>
        </is>
      </c>
      <c r="B710" s="1" t="n">
        <v>44327</v>
      </c>
      <c r="C710" s="1" t="n">
        <v>45849</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23191-2021</t>
        </is>
      </c>
      <c r="B711" s="1" t="n">
        <v>44328</v>
      </c>
      <c r="C711" s="1" t="n">
        <v>45849</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23194-2021</t>
        </is>
      </c>
      <c r="B712" s="1" t="n">
        <v>44328</v>
      </c>
      <c r="C712" s="1" t="n">
        <v>45849</v>
      </c>
      <c r="D712" t="inlineStr">
        <is>
          <t>VÄRMLANDS LÄN</t>
        </is>
      </c>
      <c r="E712" t="inlineStr">
        <is>
          <t>TORSBY</t>
        </is>
      </c>
      <c r="G712" t="n">
        <v>4.3</v>
      </c>
      <c r="H712" t="n">
        <v>0</v>
      </c>
      <c r="I712" t="n">
        <v>0</v>
      </c>
      <c r="J712" t="n">
        <v>0</v>
      </c>
      <c r="K712" t="n">
        <v>0</v>
      </c>
      <c r="L712" t="n">
        <v>0</v>
      </c>
      <c r="M712" t="n">
        <v>0</v>
      </c>
      <c r="N712" t="n">
        <v>0</v>
      </c>
      <c r="O712" t="n">
        <v>0</v>
      </c>
      <c r="P712" t="n">
        <v>0</v>
      </c>
      <c r="Q712" t="n">
        <v>0</v>
      </c>
      <c r="R712" s="2" t="inlineStr"/>
    </row>
    <row r="713" ht="15" customHeight="1">
      <c r="A713" t="inlineStr">
        <is>
          <t>A 23435-2021</t>
        </is>
      </c>
      <c r="B713" s="1" t="n">
        <v>44333</v>
      </c>
      <c r="C713" s="1" t="n">
        <v>45849</v>
      </c>
      <c r="D713" t="inlineStr">
        <is>
          <t>VÄRMLANDS LÄN</t>
        </is>
      </c>
      <c r="E713" t="inlineStr">
        <is>
          <t>TORSBY</t>
        </is>
      </c>
      <c r="G713" t="n">
        <v>4.9</v>
      </c>
      <c r="H713" t="n">
        <v>0</v>
      </c>
      <c r="I713" t="n">
        <v>0</v>
      </c>
      <c r="J713" t="n">
        <v>0</v>
      </c>
      <c r="K713" t="n">
        <v>0</v>
      </c>
      <c r="L713" t="n">
        <v>0</v>
      </c>
      <c r="M713" t="n">
        <v>0</v>
      </c>
      <c r="N713" t="n">
        <v>0</v>
      </c>
      <c r="O713" t="n">
        <v>0</v>
      </c>
      <c r="P713" t="n">
        <v>0</v>
      </c>
      <c r="Q713" t="n">
        <v>0</v>
      </c>
      <c r="R713" s="2" t="inlineStr"/>
    </row>
    <row r="714" ht="15" customHeight="1">
      <c r="A714" t="inlineStr">
        <is>
          <t>A 23548-2021</t>
        </is>
      </c>
      <c r="B714" s="1" t="n">
        <v>44333</v>
      </c>
      <c r="C714" s="1" t="n">
        <v>45849</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23842-2021</t>
        </is>
      </c>
      <c r="B715" s="1" t="n">
        <v>44335</v>
      </c>
      <c r="C715" s="1" t="n">
        <v>45849</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23823-2021</t>
        </is>
      </c>
      <c r="B716" s="1" t="n">
        <v>44335</v>
      </c>
      <c r="C716" s="1" t="n">
        <v>45849</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24054-2021</t>
        </is>
      </c>
      <c r="B717" s="1" t="n">
        <v>44336</v>
      </c>
      <c r="C717" s="1" t="n">
        <v>45849</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24150-2021</t>
        </is>
      </c>
      <c r="B718" s="1" t="n">
        <v>44336</v>
      </c>
      <c r="C718" s="1" t="n">
        <v>45849</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24165-2021</t>
        </is>
      </c>
      <c r="B719" s="1" t="n">
        <v>44336</v>
      </c>
      <c r="C719" s="1" t="n">
        <v>45849</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25096-2021</t>
        </is>
      </c>
      <c r="B720" s="1" t="n">
        <v>44341</v>
      </c>
      <c r="C720" s="1" t="n">
        <v>45849</v>
      </c>
      <c r="D720" t="inlineStr">
        <is>
          <t>VÄRMLANDS LÄN</t>
        </is>
      </c>
      <c r="E720" t="inlineStr">
        <is>
          <t>TORSBY</t>
        </is>
      </c>
      <c r="F720" t="inlineStr">
        <is>
          <t>Bergvik skog väst AB</t>
        </is>
      </c>
      <c r="G720" t="n">
        <v>14.7</v>
      </c>
      <c r="H720" t="n">
        <v>0</v>
      </c>
      <c r="I720" t="n">
        <v>0</v>
      </c>
      <c r="J720" t="n">
        <v>0</v>
      </c>
      <c r="K720" t="n">
        <v>0</v>
      </c>
      <c r="L720" t="n">
        <v>0</v>
      </c>
      <c r="M720" t="n">
        <v>0</v>
      </c>
      <c r="N720" t="n">
        <v>0</v>
      </c>
      <c r="O720" t="n">
        <v>0</v>
      </c>
      <c r="P720" t="n">
        <v>0</v>
      </c>
      <c r="Q720" t="n">
        <v>0</v>
      </c>
      <c r="R720" s="2" t="inlineStr"/>
    </row>
    <row r="721" ht="15" customHeight="1">
      <c r="A721" t="inlineStr">
        <is>
          <t>A 25247-2021</t>
        </is>
      </c>
      <c r="B721" s="1" t="n">
        <v>44342</v>
      </c>
      <c r="C721" s="1" t="n">
        <v>45849</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25920-2021</t>
        </is>
      </c>
      <c r="B722" s="1" t="n">
        <v>44344</v>
      </c>
      <c r="C722" s="1" t="n">
        <v>45849</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26082-2021</t>
        </is>
      </c>
      <c r="B723" s="1" t="n">
        <v>44344</v>
      </c>
      <c r="C723" s="1" t="n">
        <v>45849</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26223-2021</t>
        </is>
      </c>
      <c r="B724" s="1" t="n">
        <v>44347</v>
      </c>
      <c r="C724" s="1" t="n">
        <v>45849</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26558-2021</t>
        </is>
      </c>
      <c r="B725" s="1" t="n">
        <v>44348</v>
      </c>
      <c r="C725" s="1" t="n">
        <v>45849</v>
      </c>
      <c r="D725" t="inlineStr">
        <is>
          <t>VÄRMLANDS LÄN</t>
        </is>
      </c>
      <c r="E725" t="inlineStr">
        <is>
          <t>TORSBY</t>
        </is>
      </c>
      <c r="G725" t="n">
        <v>19.7</v>
      </c>
      <c r="H725" t="n">
        <v>0</v>
      </c>
      <c r="I725" t="n">
        <v>0</v>
      </c>
      <c r="J725" t="n">
        <v>0</v>
      </c>
      <c r="K725" t="n">
        <v>0</v>
      </c>
      <c r="L725" t="n">
        <v>0</v>
      </c>
      <c r="M725" t="n">
        <v>0</v>
      </c>
      <c r="N725" t="n">
        <v>0</v>
      </c>
      <c r="O725" t="n">
        <v>0</v>
      </c>
      <c r="P725" t="n">
        <v>0</v>
      </c>
      <c r="Q725" t="n">
        <v>0</v>
      </c>
      <c r="R725" s="2" t="inlineStr"/>
    </row>
    <row r="726" ht="15" customHeight="1">
      <c r="A726" t="inlineStr">
        <is>
          <t>A 27446-2021</t>
        </is>
      </c>
      <c r="B726" s="1" t="n">
        <v>44351</v>
      </c>
      <c r="C726" s="1" t="n">
        <v>45849</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27411-2021</t>
        </is>
      </c>
      <c r="B727" s="1" t="n">
        <v>44351</v>
      </c>
      <c r="C727" s="1" t="n">
        <v>45849</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27362-2021</t>
        </is>
      </c>
      <c r="B728" s="1" t="n">
        <v>44351</v>
      </c>
      <c r="C728" s="1" t="n">
        <v>45849</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27932-2021</t>
        </is>
      </c>
      <c r="B729" s="1" t="n">
        <v>44354</v>
      </c>
      <c r="C729" s="1" t="n">
        <v>45849</v>
      </c>
      <c r="D729" t="inlineStr">
        <is>
          <t>VÄRMLANDS LÄN</t>
        </is>
      </c>
      <c r="E729" t="inlineStr">
        <is>
          <t>TORSBY</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28559-2021</t>
        </is>
      </c>
      <c r="B730" s="1" t="n">
        <v>44356</v>
      </c>
      <c r="C730" s="1" t="n">
        <v>45849</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28562-2021</t>
        </is>
      </c>
      <c r="B731" s="1" t="n">
        <v>44356</v>
      </c>
      <c r="C731" s="1" t="n">
        <v>45849</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28940-2021</t>
        </is>
      </c>
      <c r="B732" s="1" t="n">
        <v>44358</v>
      </c>
      <c r="C732" s="1" t="n">
        <v>45849</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29495-2021</t>
        </is>
      </c>
      <c r="B733" s="1" t="n">
        <v>44361</v>
      </c>
      <c r="C733" s="1" t="n">
        <v>45849</v>
      </c>
      <c r="D733" t="inlineStr">
        <is>
          <t>VÄRMLANDS LÄN</t>
        </is>
      </c>
      <c r="E733" t="inlineStr">
        <is>
          <t>TORSBY</t>
        </is>
      </c>
      <c r="F733" t="inlineStr">
        <is>
          <t>Övriga Aktiebolag</t>
        </is>
      </c>
      <c r="G733" t="n">
        <v>38.2</v>
      </c>
      <c r="H733" t="n">
        <v>0</v>
      </c>
      <c r="I733" t="n">
        <v>0</v>
      </c>
      <c r="J733" t="n">
        <v>0</v>
      </c>
      <c r="K733" t="n">
        <v>0</v>
      </c>
      <c r="L733" t="n">
        <v>0</v>
      </c>
      <c r="M733" t="n">
        <v>0</v>
      </c>
      <c r="N733" t="n">
        <v>0</v>
      </c>
      <c r="O733" t="n">
        <v>0</v>
      </c>
      <c r="P733" t="n">
        <v>0</v>
      </c>
      <c r="Q733" t="n">
        <v>0</v>
      </c>
      <c r="R733" s="2" t="inlineStr"/>
    </row>
    <row r="734" ht="15" customHeight="1">
      <c r="A734" t="inlineStr">
        <is>
          <t>A 29457-2021</t>
        </is>
      </c>
      <c r="B734" s="1" t="n">
        <v>44361</v>
      </c>
      <c r="C734" s="1" t="n">
        <v>45849</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29518-2021</t>
        </is>
      </c>
      <c r="B735" s="1" t="n">
        <v>44361</v>
      </c>
      <c r="C735" s="1" t="n">
        <v>45849</v>
      </c>
      <c r="D735" t="inlineStr">
        <is>
          <t>VÄRMLANDS LÄN</t>
        </is>
      </c>
      <c r="E735" t="inlineStr">
        <is>
          <t>TORSBY</t>
        </is>
      </c>
      <c r="F735" t="inlineStr">
        <is>
          <t>Bergvik skog väst AB</t>
        </is>
      </c>
      <c r="G735" t="n">
        <v>16.7</v>
      </c>
      <c r="H735" t="n">
        <v>0</v>
      </c>
      <c r="I735" t="n">
        <v>0</v>
      </c>
      <c r="J735" t="n">
        <v>0</v>
      </c>
      <c r="K735" t="n">
        <v>0</v>
      </c>
      <c r="L735" t="n">
        <v>0</v>
      </c>
      <c r="M735" t="n">
        <v>0</v>
      </c>
      <c r="N735" t="n">
        <v>0</v>
      </c>
      <c r="O735" t="n">
        <v>0</v>
      </c>
      <c r="P735" t="n">
        <v>0</v>
      </c>
      <c r="Q735" t="n">
        <v>0</v>
      </c>
      <c r="R735" s="2" t="inlineStr"/>
    </row>
    <row r="736" ht="15" customHeight="1">
      <c r="A736" t="inlineStr">
        <is>
          <t>A 29746-2021</t>
        </is>
      </c>
      <c r="B736" s="1" t="n">
        <v>44362</v>
      </c>
      <c r="C736" s="1" t="n">
        <v>45849</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30162-2021</t>
        </is>
      </c>
      <c r="B737" s="1" t="n">
        <v>44363</v>
      </c>
      <c r="C737" s="1" t="n">
        <v>45849</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30384-2021</t>
        </is>
      </c>
      <c r="B738" s="1" t="n">
        <v>44364</v>
      </c>
      <c r="C738" s="1" t="n">
        <v>45849</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30802-2021</t>
        </is>
      </c>
      <c r="B739" s="1" t="n">
        <v>44365</v>
      </c>
      <c r="C739" s="1" t="n">
        <v>45849</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31494-2021</t>
        </is>
      </c>
      <c r="B740" s="1" t="n">
        <v>44369</v>
      </c>
      <c r="C740" s="1" t="n">
        <v>45849</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31493-2021</t>
        </is>
      </c>
      <c r="B741" s="1" t="n">
        <v>44369</v>
      </c>
      <c r="C741" s="1" t="n">
        <v>45849</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31511-2021</t>
        </is>
      </c>
      <c r="B742" s="1" t="n">
        <v>44369</v>
      </c>
      <c r="C742" s="1" t="n">
        <v>45849</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v>
      </c>
      <c r="C743" s="1" t="n">
        <v>45849</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31911-2021</t>
        </is>
      </c>
      <c r="B744" s="1" t="n">
        <v>44370</v>
      </c>
      <c r="C744" s="1" t="n">
        <v>45849</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32696-2021</t>
        </is>
      </c>
      <c r="B745" s="1" t="n">
        <v>44375</v>
      </c>
      <c r="C745" s="1" t="n">
        <v>45849</v>
      </c>
      <c r="D745" t="inlineStr">
        <is>
          <t>VÄRMLANDS LÄN</t>
        </is>
      </c>
      <c r="E745" t="inlineStr">
        <is>
          <t>TORSBY</t>
        </is>
      </c>
      <c r="F745" t="inlineStr">
        <is>
          <t>Bergvik skog väst AB</t>
        </is>
      </c>
      <c r="G745" t="n">
        <v>14.8</v>
      </c>
      <c r="H745" t="n">
        <v>0</v>
      </c>
      <c r="I745" t="n">
        <v>0</v>
      </c>
      <c r="J745" t="n">
        <v>0</v>
      </c>
      <c r="K745" t="n">
        <v>0</v>
      </c>
      <c r="L745" t="n">
        <v>0</v>
      </c>
      <c r="M745" t="n">
        <v>0</v>
      </c>
      <c r="N745" t="n">
        <v>0</v>
      </c>
      <c r="O745" t="n">
        <v>0</v>
      </c>
      <c r="P745" t="n">
        <v>0</v>
      </c>
      <c r="Q745" t="n">
        <v>0</v>
      </c>
      <c r="R745" s="2" t="inlineStr"/>
    </row>
    <row r="746" ht="15" customHeight="1">
      <c r="A746" t="inlineStr">
        <is>
          <t>A 32821-2021</t>
        </is>
      </c>
      <c r="B746" s="1" t="n">
        <v>44375</v>
      </c>
      <c r="C746" s="1" t="n">
        <v>45849</v>
      </c>
      <c r="D746" t="inlineStr">
        <is>
          <t>VÄRMLANDS LÄN</t>
        </is>
      </c>
      <c r="E746" t="inlineStr">
        <is>
          <t>TORSBY</t>
        </is>
      </c>
      <c r="G746" t="n">
        <v>3.9</v>
      </c>
      <c r="H746" t="n">
        <v>0</v>
      </c>
      <c r="I746" t="n">
        <v>0</v>
      </c>
      <c r="J746" t="n">
        <v>0</v>
      </c>
      <c r="K746" t="n">
        <v>0</v>
      </c>
      <c r="L746" t="n">
        <v>0</v>
      </c>
      <c r="M746" t="n">
        <v>0</v>
      </c>
      <c r="N746" t="n">
        <v>0</v>
      </c>
      <c r="O746" t="n">
        <v>0</v>
      </c>
      <c r="P746" t="n">
        <v>0</v>
      </c>
      <c r="Q746" t="n">
        <v>0</v>
      </c>
      <c r="R746" s="2" t="inlineStr"/>
    </row>
    <row r="747" ht="15" customHeight="1">
      <c r="A747" t="inlineStr">
        <is>
          <t>A 32747-2021</t>
        </is>
      </c>
      <c r="B747" s="1" t="n">
        <v>44375</v>
      </c>
      <c r="C747" s="1" t="n">
        <v>45849</v>
      </c>
      <c r="D747" t="inlineStr">
        <is>
          <t>VÄRMLANDS LÄN</t>
        </is>
      </c>
      <c r="E747" t="inlineStr">
        <is>
          <t>TORSBY</t>
        </is>
      </c>
      <c r="G747" t="n">
        <v>6.3</v>
      </c>
      <c r="H747" t="n">
        <v>0</v>
      </c>
      <c r="I747" t="n">
        <v>0</v>
      </c>
      <c r="J747" t="n">
        <v>0</v>
      </c>
      <c r="K747" t="n">
        <v>0</v>
      </c>
      <c r="L747" t="n">
        <v>0</v>
      </c>
      <c r="M747" t="n">
        <v>0</v>
      </c>
      <c r="N747" t="n">
        <v>0</v>
      </c>
      <c r="O747" t="n">
        <v>0</v>
      </c>
      <c r="P747" t="n">
        <v>0</v>
      </c>
      <c r="Q747" t="n">
        <v>0</v>
      </c>
      <c r="R747" s="2" t="inlineStr"/>
    </row>
    <row r="748" ht="15" customHeight="1">
      <c r="A748" t="inlineStr">
        <is>
          <t>A 33146-2021</t>
        </is>
      </c>
      <c r="B748" s="1" t="n">
        <v>44376</v>
      </c>
      <c r="C748" s="1" t="n">
        <v>45849</v>
      </c>
      <c r="D748" t="inlineStr">
        <is>
          <t>VÄRMLANDS LÄN</t>
        </is>
      </c>
      <c r="E748" t="inlineStr">
        <is>
          <t>TORSBY</t>
        </is>
      </c>
      <c r="F748" t="inlineStr">
        <is>
          <t>Bergvik skog väst AB</t>
        </is>
      </c>
      <c r="G748" t="n">
        <v>44.5</v>
      </c>
      <c r="H748" t="n">
        <v>0</v>
      </c>
      <c r="I748" t="n">
        <v>0</v>
      </c>
      <c r="J748" t="n">
        <v>0</v>
      </c>
      <c r="K748" t="n">
        <v>0</v>
      </c>
      <c r="L748" t="n">
        <v>0</v>
      </c>
      <c r="M748" t="n">
        <v>0</v>
      </c>
      <c r="N748" t="n">
        <v>0</v>
      </c>
      <c r="O748" t="n">
        <v>0</v>
      </c>
      <c r="P748" t="n">
        <v>0</v>
      </c>
      <c r="Q748" t="n">
        <v>0</v>
      </c>
      <c r="R748" s="2" t="inlineStr"/>
    </row>
    <row r="749" ht="15" customHeight="1">
      <c r="A749" t="inlineStr">
        <is>
          <t>A 33182-2021</t>
        </is>
      </c>
      <c r="B749" s="1" t="n">
        <v>44376</v>
      </c>
      <c r="C749" s="1" t="n">
        <v>45849</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33145-2021</t>
        </is>
      </c>
      <c r="B750" s="1" t="n">
        <v>44376</v>
      </c>
      <c r="C750" s="1" t="n">
        <v>45849</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33149-2021</t>
        </is>
      </c>
      <c r="B751" s="1" t="n">
        <v>44376</v>
      </c>
      <c r="C751" s="1" t="n">
        <v>45849</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33183-2021</t>
        </is>
      </c>
      <c r="B752" s="1" t="n">
        <v>44376</v>
      </c>
      <c r="C752" s="1" t="n">
        <v>45849</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33517-2021</t>
        </is>
      </c>
      <c r="B753" s="1" t="n">
        <v>44377</v>
      </c>
      <c r="C753" s="1" t="n">
        <v>45849</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33515-2021</t>
        </is>
      </c>
      <c r="B754" s="1" t="n">
        <v>44377</v>
      </c>
      <c r="C754" s="1" t="n">
        <v>45849</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33839-2021</t>
        </is>
      </c>
      <c r="B755" s="1" t="n">
        <v>44378</v>
      </c>
      <c r="C755" s="1" t="n">
        <v>45849</v>
      </c>
      <c r="D755" t="inlineStr">
        <is>
          <t>VÄRMLANDS LÄN</t>
        </is>
      </c>
      <c r="E755" t="inlineStr">
        <is>
          <t>TORSBY</t>
        </is>
      </c>
      <c r="F755" t="inlineStr">
        <is>
          <t>Bergvik skog väst AB</t>
        </is>
      </c>
      <c r="G755" t="n">
        <v>2.5</v>
      </c>
      <c r="H755" t="n">
        <v>0</v>
      </c>
      <c r="I755" t="n">
        <v>0</v>
      </c>
      <c r="J755" t="n">
        <v>0</v>
      </c>
      <c r="K755" t="n">
        <v>0</v>
      </c>
      <c r="L755" t="n">
        <v>0</v>
      </c>
      <c r="M755" t="n">
        <v>0</v>
      </c>
      <c r="N755" t="n">
        <v>0</v>
      </c>
      <c r="O755" t="n">
        <v>0</v>
      </c>
      <c r="P755" t="n">
        <v>0</v>
      </c>
      <c r="Q755" t="n">
        <v>0</v>
      </c>
      <c r="R755" s="2" t="inlineStr"/>
    </row>
    <row r="756" ht="15" customHeight="1">
      <c r="A756" t="inlineStr">
        <is>
          <t>A 33853-2021</t>
        </is>
      </c>
      <c r="B756" s="1" t="n">
        <v>44378</v>
      </c>
      <c r="C756" s="1" t="n">
        <v>45849</v>
      </c>
      <c r="D756" t="inlineStr">
        <is>
          <t>VÄRMLANDS LÄN</t>
        </is>
      </c>
      <c r="E756" t="inlineStr">
        <is>
          <t>TORSBY</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33937-2021</t>
        </is>
      </c>
      <c r="B757" s="1" t="n">
        <v>44378</v>
      </c>
      <c r="C757" s="1" t="n">
        <v>45849</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34626-2021</t>
        </is>
      </c>
      <c r="B758" s="1" t="n">
        <v>44382</v>
      </c>
      <c r="C758" s="1" t="n">
        <v>45849</v>
      </c>
      <c r="D758" t="inlineStr">
        <is>
          <t>VÄRMLANDS LÄN</t>
        </is>
      </c>
      <c r="E758" t="inlineStr">
        <is>
          <t>TORSBY</t>
        </is>
      </c>
      <c r="G758" t="n">
        <v>2.1</v>
      </c>
      <c r="H758" t="n">
        <v>0</v>
      </c>
      <c r="I758" t="n">
        <v>0</v>
      </c>
      <c r="J758" t="n">
        <v>0</v>
      </c>
      <c r="K758" t="n">
        <v>0</v>
      </c>
      <c r="L758" t="n">
        <v>0</v>
      </c>
      <c r="M758" t="n">
        <v>0</v>
      </c>
      <c r="N758" t="n">
        <v>0</v>
      </c>
      <c r="O758" t="n">
        <v>0</v>
      </c>
      <c r="P758" t="n">
        <v>0</v>
      </c>
      <c r="Q758" t="n">
        <v>0</v>
      </c>
      <c r="R758" s="2" t="inlineStr"/>
    </row>
    <row r="759" ht="15" customHeight="1">
      <c r="A759" t="inlineStr">
        <is>
          <t>A 34694-2021</t>
        </is>
      </c>
      <c r="B759" s="1" t="n">
        <v>44382</v>
      </c>
      <c r="C759" s="1" t="n">
        <v>45849</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34885-2021</t>
        </is>
      </c>
      <c r="B760" s="1" t="n">
        <v>44383</v>
      </c>
      <c r="C760" s="1" t="n">
        <v>45849</v>
      </c>
      <c r="D760" t="inlineStr">
        <is>
          <t>VÄRMLANDS LÄN</t>
        </is>
      </c>
      <c r="E760" t="inlineStr">
        <is>
          <t>TORSBY</t>
        </is>
      </c>
      <c r="G760" t="n">
        <v>8.9</v>
      </c>
      <c r="H760" t="n">
        <v>0</v>
      </c>
      <c r="I760" t="n">
        <v>0</v>
      </c>
      <c r="J760" t="n">
        <v>0</v>
      </c>
      <c r="K760" t="n">
        <v>0</v>
      </c>
      <c r="L760" t="n">
        <v>0</v>
      </c>
      <c r="M760" t="n">
        <v>0</v>
      </c>
      <c r="N760" t="n">
        <v>0</v>
      </c>
      <c r="O760" t="n">
        <v>0</v>
      </c>
      <c r="P760" t="n">
        <v>0</v>
      </c>
      <c r="Q760" t="n">
        <v>0</v>
      </c>
      <c r="R760" s="2" t="inlineStr"/>
    </row>
    <row r="761" ht="15" customHeight="1">
      <c r="A761" t="inlineStr">
        <is>
          <t>A 35221-2021</t>
        </is>
      </c>
      <c r="B761" s="1" t="n">
        <v>44384</v>
      </c>
      <c r="C761" s="1" t="n">
        <v>45849</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35586-2021</t>
        </is>
      </c>
      <c r="B762" s="1" t="n">
        <v>44386</v>
      </c>
      <c r="C762" s="1" t="n">
        <v>45849</v>
      </c>
      <c r="D762" t="inlineStr">
        <is>
          <t>VÄRMLANDS LÄN</t>
        </is>
      </c>
      <c r="E762" t="inlineStr">
        <is>
          <t>TORSBY</t>
        </is>
      </c>
      <c r="F762" t="inlineStr">
        <is>
          <t>Bergvik skog väst AB</t>
        </is>
      </c>
      <c r="G762" t="n">
        <v>5.1</v>
      </c>
      <c r="H762" t="n">
        <v>0</v>
      </c>
      <c r="I762" t="n">
        <v>0</v>
      </c>
      <c r="J762" t="n">
        <v>0</v>
      </c>
      <c r="K762" t="n">
        <v>0</v>
      </c>
      <c r="L762" t="n">
        <v>0</v>
      </c>
      <c r="M762" t="n">
        <v>0</v>
      </c>
      <c r="N762" t="n">
        <v>0</v>
      </c>
      <c r="O762" t="n">
        <v>0</v>
      </c>
      <c r="P762" t="n">
        <v>0</v>
      </c>
      <c r="Q762" t="n">
        <v>0</v>
      </c>
      <c r="R762" s="2" t="inlineStr"/>
    </row>
    <row r="763" ht="15" customHeight="1">
      <c r="A763" t="inlineStr">
        <is>
          <t>A 35907-2021</t>
        </is>
      </c>
      <c r="B763" s="1" t="n">
        <v>44387</v>
      </c>
      <c r="C763" s="1" t="n">
        <v>45849</v>
      </c>
      <c r="D763" t="inlineStr">
        <is>
          <t>VÄRMLANDS LÄN</t>
        </is>
      </c>
      <c r="E763" t="inlineStr">
        <is>
          <t>TORSBY</t>
        </is>
      </c>
      <c r="G763" t="n">
        <v>3</v>
      </c>
      <c r="H763" t="n">
        <v>0</v>
      </c>
      <c r="I763" t="n">
        <v>0</v>
      </c>
      <c r="J763" t="n">
        <v>0</v>
      </c>
      <c r="K763" t="n">
        <v>0</v>
      </c>
      <c r="L763" t="n">
        <v>0</v>
      </c>
      <c r="M763" t="n">
        <v>0</v>
      </c>
      <c r="N763" t="n">
        <v>0</v>
      </c>
      <c r="O763" t="n">
        <v>0</v>
      </c>
      <c r="P763" t="n">
        <v>0</v>
      </c>
      <c r="Q763" t="n">
        <v>0</v>
      </c>
      <c r="R763" s="2" t="inlineStr"/>
    </row>
    <row r="764" ht="15" customHeight="1">
      <c r="A764" t="inlineStr">
        <is>
          <t>A 35909-2021</t>
        </is>
      </c>
      <c r="B764" s="1" t="n">
        <v>44387</v>
      </c>
      <c r="C764" s="1" t="n">
        <v>45849</v>
      </c>
      <c r="D764" t="inlineStr">
        <is>
          <t>VÄRMLANDS LÄN</t>
        </is>
      </c>
      <c r="E764" t="inlineStr">
        <is>
          <t>TORSBY</t>
        </is>
      </c>
      <c r="G764" t="n">
        <v>3.3</v>
      </c>
      <c r="H764" t="n">
        <v>0</v>
      </c>
      <c r="I764" t="n">
        <v>0</v>
      </c>
      <c r="J764" t="n">
        <v>0</v>
      </c>
      <c r="K764" t="n">
        <v>0</v>
      </c>
      <c r="L764" t="n">
        <v>0</v>
      </c>
      <c r="M764" t="n">
        <v>0</v>
      </c>
      <c r="N764" t="n">
        <v>0</v>
      </c>
      <c r="O764" t="n">
        <v>0</v>
      </c>
      <c r="P764" t="n">
        <v>0</v>
      </c>
      <c r="Q764" t="n">
        <v>0</v>
      </c>
      <c r="R764" s="2" t="inlineStr"/>
    </row>
    <row r="765" ht="15" customHeight="1">
      <c r="A765" t="inlineStr">
        <is>
          <t>A 36189-2021</t>
        </is>
      </c>
      <c r="B765" s="1" t="n">
        <v>44389</v>
      </c>
      <c r="C765" s="1" t="n">
        <v>45849</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36186-2021</t>
        </is>
      </c>
      <c r="B766" s="1" t="n">
        <v>44389</v>
      </c>
      <c r="C766" s="1" t="n">
        <v>45849</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36327-2021</t>
        </is>
      </c>
      <c r="B767" s="1" t="n">
        <v>44390</v>
      </c>
      <c r="C767" s="1" t="n">
        <v>45849</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36589-2021</t>
        </is>
      </c>
      <c r="B768" s="1" t="n">
        <v>44391</v>
      </c>
      <c r="C768" s="1" t="n">
        <v>45849</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36700-2021</t>
        </is>
      </c>
      <c r="B769" s="1" t="n">
        <v>44392</v>
      </c>
      <c r="C769" s="1" t="n">
        <v>45849</v>
      </c>
      <c r="D769" t="inlineStr">
        <is>
          <t>VÄRMLANDS LÄN</t>
        </is>
      </c>
      <c r="E769" t="inlineStr">
        <is>
          <t>TORSBY</t>
        </is>
      </c>
      <c r="F769" t="inlineStr">
        <is>
          <t>Bergvik skog väst AB</t>
        </is>
      </c>
      <c r="G769" t="n">
        <v>9.9</v>
      </c>
      <c r="H769" t="n">
        <v>0</v>
      </c>
      <c r="I769" t="n">
        <v>0</v>
      </c>
      <c r="J769" t="n">
        <v>0</v>
      </c>
      <c r="K769" t="n">
        <v>0</v>
      </c>
      <c r="L769" t="n">
        <v>0</v>
      </c>
      <c r="M769" t="n">
        <v>0</v>
      </c>
      <c r="N769" t="n">
        <v>0</v>
      </c>
      <c r="O769" t="n">
        <v>0</v>
      </c>
      <c r="P769" t="n">
        <v>0</v>
      </c>
      <c r="Q769" t="n">
        <v>0</v>
      </c>
      <c r="R769" s="2" t="inlineStr"/>
    </row>
    <row r="770" ht="15" customHeight="1">
      <c r="A770" t="inlineStr">
        <is>
          <t>A 37074-2021</t>
        </is>
      </c>
      <c r="B770" s="1" t="n">
        <v>44394</v>
      </c>
      <c r="C770" s="1" t="n">
        <v>45849</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37075-2021</t>
        </is>
      </c>
      <c r="B771" s="1" t="n">
        <v>44394</v>
      </c>
      <c r="C771" s="1" t="n">
        <v>45849</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37225-2021</t>
        </is>
      </c>
      <c r="B772" s="1" t="n">
        <v>44396</v>
      </c>
      <c r="C772" s="1" t="n">
        <v>45849</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37609-2021</t>
        </is>
      </c>
      <c r="B773" s="1" t="n">
        <v>44399</v>
      </c>
      <c r="C773" s="1" t="n">
        <v>45849</v>
      </c>
      <c r="D773" t="inlineStr">
        <is>
          <t>VÄRMLANDS LÄN</t>
        </is>
      </c>
      <c r="E773" t="inlineStr">
        <is>
          <t>TORSBY</t>
        </is>
      </c>
      <c r="G773" t="n">
        <v>0.2</v>
      </c>
      <c r="H773" t="n">
        <v>0</v>
      </c>
      <c r="I773" t="n">
        <v>0</v>
      </c>
      <c r="J773" t="n">
        <v>0</v>
      </c>
      <c r="K773" t="n">
        <v>0</v>
      </c>
      <c r="L773" t="n">
        <v>0</v>
      </c>
      <c r="M773" t="n">
        <v>0</v>
      </c>
      <c r="N773" t="n">
        <v>0</v>
      </c>
      <c r="O773" t="n">
        <v>0</v>
      </c>
      <c r="P773" t="n">
        <v>0</v>
      </c>
      <c r="Q773" t="n">
        <v>0</v>
      </c>
      <c r="R773" s="2" t="inlineStr"/>
    </row>
    <row r="774" ht="15" customHeight="1">
      <c r="A774" t="inlineStr">
        <is>
          <t>A 37608-2021</t>
        </is>
      </c>
      <c r="B774" s="1" t="n">
        <v>44399</v>
      </c>
      <c r="C774" s="1" t="n">
        <v>45849</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38467-2021</t>
        </is>
      </c>
      <c r="B775" s="1" t="n">
        <v>44405</v>
      </c>
      <c r="C775" s="1" t="n">
        <v>45849</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38229-2021</t>
        </is>
      </c>
      <c r="B776" s="1" t="n">
        <v>44405</v>
      </c>
      <c r="C776" s="1" t="n">
        <v>45849</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38298-2021</t>
        </is>
      </c>
      <c r="B777" s="1" t="n">
        <v>44406</v>
      </c>
      <c r="C777" s="1" t="n">
        <v>45849</v>
      </c>
      <c r="D777" t="inlineStr">
        <is>
          <t>VÄRMLANDS LÄN</t>
        </is>
      </c>
      <c r="E777" t="inlineStr">
        <is>
          <t>TORSBY</t>
        </is>
      </c>
      <c r="G777" t="n">
        <v>3.3</v>
      </c>
      <c r="H777" t="n">
        <v>0</v>
      </c>
      <c r="I777" t="n">
        <v>0</v>
      </c>
      <c r="J777" t="n">
        <v>0</v>
      </c>
      <c r="K777" t="n">
        <v>0</v>
      </c>
      <c r="L777" t="n">
        <v>0</v>
      </c>
      <c r="M777" t="n">
        <v>0</v>
      </c>
      <c r="N777" t="n">
        <v>0</v>
      </c>
      <c r="O777" t="n">
        <v>0</v>
      </c>
      <c r="P777" t="n">
        <v>0</v>
      </c>
      <c r="Q777" t="n">
        <v>0</v>
      </c>
      <c r="R777" s="2" t="inlineStr"/>
    </row>
    <row r="778" ht="15" customHeight="1">
      <c r="A778" t="inlineStr">
        <is>
          <t>A 38564-2021</t>
        </is>
      </c>
      <c r="B778" s="1" t="n">
        <v>44407</v>
      </c>
      <c r="C778" s="1" t="n">
        <v>45849</v>
      </c>
      <c r="D778" t="inlineStr">
        <is>
          <t>VÄRMLANDS LÄN</t>
        </is>
      </c>
      <c r="E778" t="inlineStr">
        <is>
          <t>TORSBY</t>
        </is>
      </c>
      <c r="F778" t="inlineStr">
        <is>
          <t>Bergvik skog väst AB</t>
        </is>
      </c>
      <c r="G778" t="n">
        <v>15.7</v>
      </c>
      <c r="H778" t="n">
        <v>0</v>
      </c>
      <c r="I778" t="n">
        <v>0</v>
      </c>
      <c r="J778" t="n">
        <v>0</v>
      </c>
      <c r="K778" t="n">
        <v>0</v>
      </c>
      <c r="L778" t="n">
        <v>0</v>
      </c>
      <c r="M778" t="n">
        <v>0</v>
      </c>
      <c r="N778" t="n">
        <v>0</v>
      </c>
      <c r="O778" t="n">
        <v>0</v>
      </c>
      <c r="P778" t="n">
        <v>0</v>
      </c>
      <c r="Q778" t="n">
        <v>0</v>
      </c>
      <c r="R778" s="2" t="inlineStr"/>
    </row>
    <row r="779" ht="15" customHeight="1">
      <c r="A779" t="inlineStr">
        <is>
          <t>A 38528-2021</t>
        </is>
      </c>
      <c r="B779" s="1" t="n">
        <v>44407</v>
      </c>
      <c r="C779" s="1" t="n">
        <v>45849</v>
      </c>
      <c r="D779" t="inlineStr">
        <is>
          <t>VÄRMLANDS LÄN</t>
        </is>
      </c>
      <c r="E779" t="inlineStr">
        <is>
          <t>TORSBY</t>
        </is>
      </c>
      <c r="F779" t="inlineStr">
        <is>
          <t>Bergvik skog väst AB</t>
        </is>
      </c>
      <c r="G779" t="n">
        <v>12.5</v>
      </c>
      <c r="H779" t="n">
        <v>0</v>
      </c>
      <c r="I779" t="n">
        <v>0</v>
      </c>
      <c r="J779" t="n">
        <v>0</v>
      </c>
      <c r="K779" t="n">
        <v>0</v>
      </c>
      <c r="L779" t="n">
        <v>0</v>
      </c>
      <c r="M779" t="n">
        <v>0</v>
      </c>
      <c r="N779" t="n">
        <v>0</v>
      </c>
      <c r="O779" t="n">
        <v>0</v>
      </c>
      <c r="P779" t="n">
        <v>0</v>
      </c>
      <c r="Q779" t="n">
        <v>0</v>
      </c>
      <c r="R779" s="2" t="inlineStr"/>
    </row>
    <row r="780" ht="15" customHeight="1">
      <c r="A780" t="inlineStr">
        <is>
          <t>A 38767-2021</t>
        </is>
      </c>
      <c r="B780" s="1" t="n">
        <v>44410</v>
      </c>
      <c r="C780" s="1" t="n">
        <v>45849</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38841-2021</t>
        </is>
      </c>
      <c r="B781" s="1" t="n">
        <v>44411</v>
      </c>
      <c r="C781" s="1" t="n">
        <v>45849</v>
      </c>
      <c r="D781" t="inlineStr">
        <is>
          <t>VÄRMLANDS LÄN</t>
        </is>
      </c>
      <c r="E781" t="inlineStr">
        <is>
          <t>TORSBY</t>
        </is>
      </c>
      <c r="F781" t="inlineStr">
        <is>
          <t>Bergvik skog väst AB</t>
        </is>
      </c>
      <c r="G781" t="n">
        <v>13.8</v>
      </c>
      <c r="H781" t="n">
        <v>0</v>
      </c>
      <c r="I781" t="n">
        <v>0</v>
      </c>
      <c r="J781" t="n">
        <v>0</v>
      </c>
      <c r="K781" t="n">
        <v>0</v>
      </c>
      <c r="L781" t="n">
        <v>0</v>
      </c>
      <c r="M781" t="n">
        <v>0</v>
      </c>
      <c r="N781" t="n">
        <v>0</v>
      </c>
      <c r="O781" t="n">
        <v>0</v>
      </c>
      <c r="P781" t="n">
        <v>0</v>
      </c>
      <c r="Q781" t="n">
        <v>0</v>
      </c>
      <c r="R781" s="2" t="inlineStr"/>
    </row>
    <row r="782" ht="15" customHeight="1">
      <c r="A782" t="inlineStr">
        <is>
          <t>A 39003-2021</t>
        </is>
      </c>
      <c r="B782" s="1" t="n">
        <v>44412</v>
      </c>
      <c r="C782" s="1" t="n">
        <v>45849</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39260-2021</t>
        </is>
      </c>
      <c r="B783" s="1" t="n">
        <v>44413</v>
      </c>
      <c r="C783" s="1" t="n">
        <v>45849</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39642-2021</t>
        </is>
      </c>
      <c r="B784" s="1" t="n">
        <v>44417</v>
      </c>
      <c r="C784" s="1" t="n">
        <v>45849</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39826-2021</t>
        </is>
      </c>
      <c r="B785" s="1" t="n">
        <v>44417</v>
      </c>
      <c r="C785" s="1" t="n">
        <v>45849</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39967-2021</t>
        </is>
      </c>
      <c r="B786" s="1" t="n">
        <v>44418</v>
      </c>
      <c r="C786" s="1" t="n">
        <v>45849</v>
      </c>
      <c r="D786" t="inlineStr">
        <is>
          <t>VÄRMLANDS LÄN</t>
        </is>
      </c>
      <c r="E786" t="inlineStr">
        <is>
          <t>TORSBY</t>
        </is>
      </c>
      <c r="F786" t="inlineStr">
        <is>
          <t>Bergvik skog väst AB</t>
        </is>
      </c>
      <c r="G786" t="n">
        <v>11.8</v>
      </c>
      <c r="H786" t="n">
        <v>0</v>
      </c>
      <c r="I786" t="n">
        <v>0</v>
      </c>
      <c r="J786" t="n">
        <v>0</v>
      </c>
      <c r="K786" t="n">
        <v>0</v>
      </c>
      <c r="L786" t="n">
        <v>0</v>
      </c>
      <c r="M786" t="n">
        <v>0</v>
      </c>
      <c r="N786" t="n">
        <v>0</v>
      </c>
      <c r="O786" t="n">
        <v>0</v>
      </c>
      <c r="P786" t="n">
        <v>0</v>
      </c>
      <c r="Q786" t="n">
        <v>0</v>
      </c>
      <c r="R786" s="2" t="inlineStr"/>
    </row>
    <row r="787" ht="15" customHeight="1">
      <c r="A787" t="inlineStr">
        <is>
          <t>A 40281-2021</t>
        </is>
      </c>
      <c r="B787" s="1" t="n">
        <v>44419</v>
      </c>
      <c r="C787" s="1" t="n">
        <v>45849</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40276-2021</t>
        </is>
      </c>
      <c r="B788" s="1" t="n">
        <v>44419</v>
      </c>
      <c r="C788" s="1" t="n">
        <v>45849</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40278-2021</t>
        </is>
      </c>
      <c r="B789" s="1" t="n">
        <v>44419</v>
      </c>
      <c r="C789" s="1" t="n">
        <v>45849</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40282-2021</t>
        </is>
      </c>
      <c r="B790" s="1" t="n">
        <v>44419</v>
      </c>
      <c r="C790" s="1" t="n">
        <v>45849</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40590-2021</t>
        </is>
      </c>
      <c r="B791" s="1" t="n">
        <v>44420</v>
      </c>
      <c r="C791" s="1" t="n">
        <v>45849</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40876-2021</t>
        </is>
      </c>
      <c r="B792" s="1" t="n">
        <v>44421</v>
      </c>
      <c r="C792" s="1" t="n">
        <v>45849</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41253-2021</t>
        </is>
      </c>
      <c r="B793" s="1" t="n">
        <v>44424</v>
      </c>
      <c r="C793" s="1" t="n">
        <v>45849</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41377-2021</t>
        </is>
      </c>
      <c r="B794" s="1" t="n">
        <v>44424</v>
      </c>
      <c r="C794" s="1" t="n">
        <v>45849</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41633-2021</t>
        </is>
      </c>
      <c r="B795" s="1" t="n">
        <v>44425</v>
      </c>
      <c r="C795" s="1" t="n">
        <v>45849</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41671-2021</t>
        </is>
      </c>
      <c r="B796" s="1" t="n">
        <v>44425</v>
      </c>
      <c r="C796" s="1" t="n">
        <v>45849</v>
      </c>
      <c r="D796" t="inlineStr">
        <is>
          <t>VÄRMLANDS LÄN</t>
        </is>
      </c>
      <c r="E796" t="inlineStr">
        <is>
          <t>TORSBY</t>
        </is>
      </c>
      <c r="F796" t="inlineStr">
        <is>
          <t>Övriga Aktiebolag</t>
        </is>
      </c>
      <c r="G796" t="n">
        <v>10.1</v>
      </c>
      <c r="H796" t="n">
        <v>0</v>
      </c>
      <c r="I796" t="n">
        <v>0</v>
      </c>
      <c r="J796" t="n">
        <v>0</v>
      </c>
      <c r="K796" t="n">
        <v>0</v>
      </c>
      <c r="L796" t="n">
        <v>0</v>
      </c>
      <c r="M796" t="n">
        <v>0</v>
      </c>
      <c r="N796" t="n">
        <v>0</v>
      </c>
      <c r="O796" t="n">
        <v>0</v>
      </c>
      <c r="P796" t="n">
        <v>0</v>
      </c>
      <c r="Q796" t="n">
        <v>0</v>
      </c>
      <c r="R796" s="2" t="inlineStr"/>
    </row>
    <row r="797" ht="15" customHeight="1">
      <c r="A797" t="inlineStr">
        <is>
          <t>A 41678-2021</t>
        </is>
      </c>
      <c r="B797" s="1" t="n">
        <v>44425</v>
      </c>
      <c r="C797" s="1" t="n">
        <v>45849</v>
      </c>
      <c r="D797" t="inlineStr">
        <is>
          <t>VÄRMLANDS LÄN</t>
        </is>
      </c>
      <c r="E797" t="inlineStr">
        <is>
          <t>TORSBY</t>
        </is>
      </c>
      <c r="G797" t="n">
        <v>4.3</v>
      </c>
      <c r="H797" t="n">
        <v>0</v>
      </c>
      <c r="I797" t="n">
        <v>0</v>
      </c>
      <c r="J797" t="n">
        <v>0</v>
      </c>
      <c r="K797" t="n">
        <v>0</v>
      </c>
      <c r="L797" t="n">
        <v>0</v>
      </c>
      <c r="M797" t="n">
        <v>0</v>
      </c>
      <c r="N797" t="n">
        <v>0</v>
      </c>
      <c r="O797" t="n">
        <v>0</v>
      </c>
      <c r="P797" t="n">
        <v>0</v>
      </c>
      <c r="Q797" t="n">
        <v>0</v>
      </c>
      <c r="R797" s="2" t="inlineStr"/>
    </row>
    <row r="798" ht="15" customHeight="1">
      <c r="A798" t="inlineStr">
        <is>
          <t>A 41808-2021</t>
        </is>
      </c>
      <c r="B798" s="1" t="n">
        <v>44425</v>
      </c>
      <c r="C798" s="1" t="n">
        <v>45849</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45849</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42615-2021</t>
        </is>
      </c>
      <c r="B800" s="1" t="n">
        <v>44428</v>
      </c>
      <c r="C800" s="1" t="n">
        <v>45849</v>
      </c>
      <c r="D800" t="inlineStr">
        <is>
          <t>VÄRMLANDS LÄN</t>
        </is>
      </c>
      <c r="E800" t="inlineStr">
        <is>
          <t>TORSBY</t>
        </is>
      </c>
      <c r="F800" t="inlineStr">
        <is>
          <t>Bergvik skog väst AB</t>
        </is>
      </c>
      <c r="G800" t="n">
        <v>37.2</v>
      </c>
      <c r="H800" t="n">
        <v>0</v>
      </c>
      <c r="I800" t="n">
        <v>0</v>
      </c>
      <c r="J800" t="n">
        <v>0</v>
      </c>
      <c r="K800" t="n">
        <v>0</v>
      </c>
      <c r="L800" t="n">
        <v>0</v>
      </c>
      <c r="M800" t="n">
        <v>0</v>
      </c>
      <c r="N800" t="n">
        <v>0</v>
      </c>
      <c r="O800" t="n">
        <v>0</v>
      </c>
      <c r="P800" t="n">
        <v>0</v>
      </c>
      <c r="Q800" t="n">
        <v>0</v>
      </c>
      <c r="R800" s="2" t="inlineStr"/>
    </row>
    <row r="801" ht="15" customHeight="1">
      <c r="A801" t="inlineStr">
        <is>
          <t>A 42646-2021</t>
        </is>
      </c>
      <c r="B801" s="1" t="n">
        <v>44428</v>
      </c>
      <c r="C801" s="1" t="n">
        <v>45849</v>
      </c>
      <c r="D801" t="inlineStr">
        <is>
          <t>VÄRMLANDS LÄN</t>
        </is>
      </c>
      <c r="E801" t="inlineStr">
        <is>
          <t>TORSBY</t>
        </is>
      </c>
      <c r="F801" t="inlineStr">
        <is>
          <t>Bergvik skog väst AB</t>
        </is>
      </c>
      <c r="G801" t="n">
        <v>21.4</v>
      </c>
      <c r="H801" t="n">
        <v>0</v>
      </c>
      <c r="I801" t="n">
        <v>0</v>
      </c>
      <c r="J801" t="n">
        <v>0</v>
      </c>
      <c r="K801" t="n">
        <v>0</v>
      </c>
      <c r="L801" t="n">
        <v>0</v>
      </c>
      <c r="M801" t="n">
        <v>0</v>
      </c>
      <c r="N801" t="n">
        <v>0</v>
      </c>
      <c r="O801" t="n">
        <v>0</v>
      </c>
      <c r="P801" t="n">
        <v>0</v>
      </c>
      <c r="Q801" t="n">
        <v>0</v>
      </c>
      <c r="R801" s="2" t="inlineStr"/>
    </row>
    <row r="802" ht="15" customHeight="1">
      <c r="A802" t="inlineStr">
        <is>
          <t>A 43052-2021</t>
        </is>
      </c>
      <c r="B802" s="1" t="n">
        <v>44431</v>
      </c>
      <c r="C802" s="1" t="n">
        <v>45849</v>
      </c>
      <c r="D802" t="inlineStr">
        <is>
          <t>VÄRMLANDS LÄN</t>
        </is>
      </c>
      <c r="E802" t="inlineStr">
        <is>
          <t>TORSBY</t>
        </is>
      </c>
      <c r="G802" t="n">
        <v>25.1</v>
      </c>
      <c r="H802" t="n">
        <v>0</v>
      </c>
      <c r="I802" t="n">
        <v>0</v>
      </c>
      <c r="J802" t="n">
        <v>0</v>
      </c>
      <c r="K802" t="n">
        <v>0</v>
      </c>
      <c r="L802" t="n">
        <v>0</v>
      </c>
      <c r="M802" t="n">
        <v>0</v>
      </c>
      <c r="N802" t="n">
        <v>0</v>
      </c>
      <c r="O802" t="n">
        <v>0</v>
      </c>
      <c r="P802" t="n">
        <v>0</v>
      </c>
      <c r="Q802" t="n">
        <v>0</v>
      </c>
      <c r="R802" s="2" t="inlineStr"/>
    </row>
    <row r="803" ht="15" customHeight="1">
      <c r="A803" t="inlineStr">
        <is>
          <t>A 43060-2021</t>
        </is>
      </c>
      <c r="B803" s="1" t="n">
        <v>44431</v>
      </c>
      <c r="C803" s="1" t="n">
        <v>45849</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43128-2021</t>
        </is>
      </c>
      <c r="B804" s="1" t="n">
        <v>44431</v>
      </c>
      <c r="C804" s="1" t="n">
        <v>45849</v>
      </c>
      <c r="D804" t="inlineStr">
        <is>
          <t>VÄRMLANDS LÄN</t>
        </is>
      </c>
      <c r="E804" t="inlineStr">
        <is>
          <t>TORSBY</t>
        </is>
      </c>
      <c r="G804" t="n">
        <v>10.9</v>
      </c>
      <c r="H804" t="n">
        <v>0</v>
      </c>
      <c r="I804" t="n">
        <v>0</v>
      </c>
      <c r="J804" t="n">
        <v>0</v>
      </c>
      <c r="K804" t="n">
        <v>0</v>
      </c>
      <c r="L804" t="n">
        <v>0</v>
      </c>
      <c r="M804" t="n">
        <v>0</v>
      </c>
      <c r="N804" t="n">
        <v>0</v>
      </c>
      <c r="O804" t="n">
        <v>0</v>
      </c>
      <c r="P804" t="n">
        <v>0</v>
      </c>
      <c r="Q804" t="n">
        <v>0</v>
      </c>
      <c r="R804" s="2" t="inlineStr"/>
    </row>
    <row r="805" ht="15" customHeight="1">
      <c r="A805" t="inlineStr">
        <is>
          <t>A 43136-2021</t>
        </is>
      </c>
      <c r="B805" s="1" t="n">
        <v>44431</v>
      </c>
      <c r="C805" s="1" t="n">
        <v>45849</v>
      </c>
      <c r="D805" t="inlineStr">
        <is>
          <t>VÄRMLANDS LÄN</t>
        </is>
      </c>
      <c r="E805" t="inlineStr">
        <is>
          <t>TORSBY</t>
        </is>
      </c>
      <c r="G805" t="n">
        <v>14.4</v>
      </c>
      <c r="H805" t="n">
        <v>0</v>
      </c>
      <c r="I805" t="n">
        <v>0</v>
      </c>
      <c r="J805" t="n">
        <v>0</v>
      </c>
      <c r="K805" t="n">
        <v>0</v>
      </c>
      <c r="L805" t="n">
        <v>0</v>
      </c>
      <c r="M805" t="n">
        <v>0</v>
      </c>
      <c r="N805" t="n">
        <v>0</v>
      </c>
      <c r="O805" t="n">
        <v>0</v>
      </c>
      <c r="P805" t="n">
        <v>0</v>
      </c>
      <c r="Q805" t="n">
        <v>0</v>
      </c>
      <c r="R805" s="2" t="inlineStr"/>
    </row>
    <row r="806" ht="15" customHeight="1">
      <c r="A806" t="inlineStr">
        <is>
          <t>A 43169-2021</t>
        </is>
      </c>
      <c r="B806" s="1" t="n">
        <v>44431</v>
      </c>
      <c r="C806" s="1" t="n">
        <v>45849</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43095-2021</t>
        </is>
      </c>
      <c r="B807" s="1" t="n">
        <v>44431</v>
      </c>
      <c r="C807" s="1" t="n">
        <v>45849</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43157-2021</t>
        </is>
      </c>
      <c r="B808" s="1" t="n">
        <v>44431</v>
      </c>
      <c r="C808" s="1" t="n">
        <v>45849</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43127-2021</t>
        </is>
      </c>
      <c r="B809" s="1" t="n">
        <v>44431</v>
      </c>
      <c r="C809" s="1" t="n">
        <v>45849</v>
      </c>
      <c r="D809" t="inlineStr">
        <is>
          <t>VÄRMLANDS LÄN</t>
        </is>
      </c>
      <c r="E809" t="inlineStr">
        <is>
          <t>TORSBY</t>
        </is>
      </c>
      <c r="G809" t="n">
        <v>23.3</v>
      </c>
      <c r="H809" t="n">
        <v>0</v>
      </c>
      <c r="I809" t="n">
        <v>0</v>
      </c>
      <c r="J809" t="n">
        <v>0</v>
      </c>
      <c r="K809" t="n">
        <v>0</v>
      </c>
      <c r="L809" t="n">
        <v>0</v>
      </c>
      <c r="M809" t="n">
        <v>0</v>
      </c>
      <c r="N809" t="n">
        <v>0</v>
      </c>
      <c r="O809" t="n">
        <v>0</v>
      </c>
      <c r="P809" t="n">
        <v>0</v>
      </c>
      <c r="Q809" t="n">
        <v>0</v>
      </c>
      <c r="R809" s="2" t="inlineStr"/>
    </row>
    <row r="810" ht="15" customHeight="1">
      <c r="A810" t="inlineStr">
        <is>
          <t>A 43161-2021</t>
        </is>
      </c>
      <c r="B810" s="1" t="n">
        <v>44431</v>
      </c>
      <c r="C810" s="1" t="n">
        <v>45849</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44018-2021</t>
        </is>
      </c>
      <c r="B811" s="1" t="n">
        <v>44434</v>
      </c>
      <c r="C811" s="1" t="n">
        <v>45849</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44418-2021</t>
        </is>
      </c>
      <c r="B812" s="1" t="n">
        <v>44435</v>
      </c>
      <c r="C812" s="1" t="n">
        <v>45849</v>
      </c>
      <c r="D812" t="inlineStr">
        <is>
          <t>VÄRMLANDS LÄN</t>
        </is>
      </c>
      <c r="E812" t="inlineStr">
        <is>
          <t>TORSBY</t>
        </is>
      </c>
      <c r="G812" t="n">
        <v>7.5</v>
      </c>
      <c r="H812" t="n">
        <v>0</v>
      </c>
      <c r="I812" t="n">
        <v>0</v>
      </c>
      <c r="J812" t="n">
        <v>0</v>
      </c>
      <c r="K812" t="n">
        <v>0</v>
      </c>
      <c r="L812" t="n">
        <v>0</v>
      </c>
      <c r="M812" t="n">
        <v>0</v>
      </c>
      <c r="N812" t="n">
        <v>0</v>
      </c>
      <c r="O812" t="n">
        <v>0</v>
      </c>
      <c r="P812" t="n">
        <v>0</v>
      </c>
      <c r="Q812" t="n">
        <v>0</v>
      </c>
      <c r="R812" s="2" t="inlineStr"/>
    </row>
    <row r="813" ht="15" customHeight="1">
      <c r="A813" t="inlineStr">
        <is>
          <t>A 44490-2021</t>
        </is>
      </c>
      <c r="B813" s="1" t="n">
        <v>44435</v>
      </c>
      <c r="C813" s="1" t="n">
        <v>45849</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44761-2021</t>
        </is>
      </c>
      <c r="B814" s="1" t="n">
        <v>44438</v>
      </c>
      <c r="C814" s="1" t="n">
        <v>45849</v>
      </c>
      <c r="D814" t="inlineStr">
        <is>
          <t>VÄRMLANDS LÄN</t>
        </is>
      </c>
      <c r="E814" t="inlineStr">
        <is>
          <t>TORSBY</t>
        </is>
      </c>
      <c r="G814" t="n">
        <v>6.5</v>
      </c>
      <c r="H814" t="n">
        <v>0</v>
      </c>
      <c r="I814" t="n">
        <v>0</v>
      </c>
      <c r="J814" t="n">
        <v>0</v>
      </c>
      <c r="K814" t="n">
        <v>0</v>
      </c>
      <c r="L814" t="n">
        <v>0</v>
      </c>
      <c r="M814" t="n">
        <v>0</v>
      </c>
      <c r="N814" t="n">
        <v>0</v>
      </c>
      <c r="O814" t="n">
        <v>0</v>
      </c>
      <c r="P814" t="n">
        <v>0</v>
      </c>
      <c r="Q814" t="n">
        <v>0</v>
      </c>
      <c r="R814" s="2" t="inlineStr"/>
    </row>
    <row r="815" ht="15" customHeight="1">
      <c r="A815" t="inlineStr">
        <is>
          <t>A 44979-2021</t>
        </is>
      </c>
      <c r="B815" s="1" t="n">
        <v>44438</v>
      </c>
      <c r="C815" s="1" t="n">
        <v>45849</v>
      </c>
      <c r="D815" t="inlineStr">
        <is>
          <t>VÄRMLANDS LÄN</t>
        </is>
      </c>
      <c r="E815" t="inlineStr">
        <is>
          <t>TORSBY</t>
        </is>
      </c>
      <c r="F815" t="inlineStr">
        <is>
          <t>Bergvik skog väst AB</t>
        </is>
      </c>
      <c r="G815" t="n">
        <v>22.2</v>
      </c>
      <c r="H815" t="n">
        <v>0</v>
      </c>
      <c r="I815" t="n">
        <v>0</v>
      </c>
      <c r="J815" t="n">
        <v>0</v>
      </c>
      <c r="K815" t="n">
        <v>0</v>
      </c>
      <c r="L815" t="n">
        <v>0</v>
      </c>
      <c r="M815" t="n">
        <v>0</v>
      </c>
      <c r="N815" t="n">
        <v>0</v>
      </c>
      <c r="O815" t="n">
        <v>0</v>
      </c>
      <c r="P815" t="n">
        <v>0</v>
      </c>
      <c r="Q815" t="n">
        <v>0</v>
      </c>
      <c r="R815" s="2" t="inlineStr"/>
    </row>
    <row r="816" ht="15" customHeight="1">
      <c r="A816" t="inlineStr">
        <is>
          <t>A 44923-2021</t>
        </is>
      </c>
      <c r="B816" s="1" t="n">
        <v>44438</v>
      </c>
      <c r="C816" s="1" t="n">
        <v>45849</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45445-2021</t>
        </is>
      </c>
      <c r="B817" s="1" t="n">
        <v>44440</v>
      </c>
      <c r="C817" s="1" t="n">
        <v>45849</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45447-2021</t>
        </is>
      </c>
      <c r="B818" s="1" t="n">
        <v>44440</v>
      </c>
      <c r="C818" s="1" t="n">
        <v>45849</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46302-2021</t>
        </is>
      </c>
      <c r="B819" s="1" t="n">
        <v>44442</v>
      </c>
      <c r="C819" s="1" t="n">
        <v>45849</v>
      </c>
      <c r="D819" t="inlineStr">
        <is>
          <t>VÄRMLANDS LÄN</t>
        </is>
      </c>
      <c r="E819" t="inlineStr">
        <is>
          <t>TORSBY</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46503-2021</t>
        </is>
      </c>
      <c r="B820" s="1" t="n">
        <v>44445</v>
      </c>
      <c r="C820" s="1" t="n">
        <v>45849</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46610-2021</t>
        </is>
      </c>
      <c r="B821" s="1" t="n">
        <v>44445</v>
      </c>
      <c r="C821" s="1" t="n">
        <v>45849</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46795-2021</t>
        </is>
      </c>
      <c r="B822" s="1" t="n">
        <v>44446</v>
      </c>
      <c r="C822" s="1" t="n">
        <v>45849</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46934-2021</t>
        </is>
      </c>
      <c r="B823" s="1" t="n">
        <v>44446</v>
      </c>
      <c r="C823" s="1" t="n">
        <v>45849</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46880-2021</t>
        </is>
      </c>
      <c r="B824" s="1" t="n">
        <v>44446</v>
      </c>
      <c r="C824" s="1" t="n">
        <v>45849</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47083-2021</t>
        </is>
      </c>
      <c r="B825" s="1" t="n">
        <v>44446</v>
      </c>
      <c r="C825" s="1" t="n">
        <v>45849</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47098-2021</t>
        </is>
      </c>
      <c r="B826" s="1" t="n">
        <v>44446</v>
      </c>
      <c r="C826" s="1" t="n">
        <v>45849</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47271-2021</t>
        </is>
      </c>
      <c r="B827" s="1" t="n">
        <v>44447</v>
      </c>
      <c r="C827" s="1" t="n">
        <v>45849</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47299-2021</t>
        </is>
      </c>
      <c r="B828" s="1" t="n">
        <v>44447</v>
      </c>
      <c r="C828" s="1" t="n">
        <v>45849</v>
      </c>
      <c r="D828" t="inlineStr">
        <is>
          <t>VÄRMLANDS LÄN</t>
        </is>
      </c>
      <c r="E828" t="inlineStr">
        <is>
          <t>TORSBY</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47602-2021</t>
        </is>
      </c>
      <c r="B829" s="1" t="n">
        <v>44448</v>
      </c>
      <c r="C829" s="1" t="n">
        <v>45849</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48159-2021</t>
        </is>
      </c>
      <c r="B830" s="1" t="n">
        <v>44449</v>
      </c>
      <c r="C830" s="1" t="n">
        <v>45849</v>
      </c>
      <c r="D830" t="inlineStr">
        <is>
          <t>VÄRMLANDS LÄN</t>
        </is>
      </c>
      <c r="E830" t="inlineStr">
        <is>
          <t>TORSBY</t>
        </is>
      </c>
      <c r="F830" t="inlineStr">
        <is>
          <t>Bergvik skog väst AB</t>
        </is>
      </c>
      <c r="G830" t="n">
        <v>3</v>
      </c>
      <c r="H830" t="n">
        <v>0</v>
      </c>
      <c r="I830" t="n">
        <v>0</v>
      </c>
      <c r="J830" t="n">
        <v>0</v>
      </c>
      <c r="K830" t="n">
        <v>0</v>
      </c>
      <c r="L830" t="n">
        <v>0</v>
      </c>
      <c r="M830" t="n">
        <v>0</v>
      </c>
      <c r="N830" t="n">
        <v>0</v>
      </c>
      <c r="O830" t="n">
        <v>0</v>
      </c>
      <c r="P830" t="n">
        <v>0</v>
      </c>
      <c r="Q830" t="n">
        <v>0</v>
      </c>
      <c r="R830" s="2" t="inlineStr"/>
    </row>
    <row r="831" ht="15" customHeight="1">
      <c r="A831" t="inlineStr">
        <is>
          <t>A 48188-2021</t>
        </is>
      </c>
      <c r="B831" s="1" t="n">
        <v>44449</v>
      </c>
      <c r="C831" s="1" t="n">
        <v>45849</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48324-2021</t>
        </is>
      </c>
      <c r="B832" s="1" t="n">
        <v>44450</v>
      </c>
      <c r="C832" s="1" t="n">
        <v>45849</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48657-2021</t>
        </is>
      </c>
      <c r="B833" s="1" t="n">
        <v>44452</v>
      </c>
      <c r="C833" s="1" t="n">
        <v>45849</v>
      </c>
      <c r="D833" t="inlineStr">
        <is>
          <t>VÄRMLANDS LÄN</t>
        </is>
      </c>
      <c r="E833" t="inlineStr">
        <is>
          <t>TORSBY</t>
        </is>
      </c>
      <c r="F833" t="inlineStr">
        <is>
          <t>Bergvik skog väst AB</t>
        </is>
      </c>
      <c r="G833" t="n">
        <v>7.8</v>
      </c>
      <c r="H833" t="n">
        <v>0</v>
      </c>
      <c r="I833" t="n">
        <v>0</v>
      </c>
      <c r="J833" t="n">
        <v>0</v>
      </c>
      <c r="K833" t="n">
        <v>0</v>
      </c>
      <c r="L833" t="n">
        <v>0</v>
      </c>
      <c r="M833" t="n">
        <v>0</v>
      </c>
      <c r="N833" t="n">
        <v>0</v>
      </c>
      <c r="O833" t="n">
        <v>0</v>
      </c>
      <c r="P833" t="n">
        <v>0</v>
      </c>
      <c r="Q833" t="n">
        <v>0</v>
      </c>
      <c r="R833" s="2" t="inlineStr"/>
    </row>
    <row r="834" ht="15" customHeight="1">
      <c r="A834" t="inlineStr">
        <is>
          <t>A 48771-2021</t>
        </is>
      </c>
      <c r="B834" s="1" t="n">
        <v>44452</v>
      </c>
      <c r="C834" s="1" t="n">
        <v>45849</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49192-2021</t>
        </is>
      </c>
      <c r="B835" s="1" t="n">
        <v>44454</v>
      </c>
      <c r="C835" s="1" t="n">
        <v>45849</v>
      </c>
      <c r="D835" t="inlineStr">
        <is>
          <t>VÄRMLANDS LÄN</t>
        </is>
      </c>
      <c r="E835" t="inlineStr">
        <is>
          <t>TORSBY</t>
        </is>
      </c>
      <c r="F835" t="inlineStr">
        <is>
          <t>Bergvik skog väst AB</t>
        </is>
      </c>
      <c r="G835" t="n">
        <v>2.3</v>
      </c>
      <c r="H835" t="n">
        <v>0</v>
      </c>
      <c r="I835" t="n">
        <v>0</v>
      </c>
      <c r="J835" t="n">
        <v>0</v>
      </c>
      <c r="K835" t="n">
        <v>0</v>
      </c>
      <c r="L835" t="n">
        <v>0</v>
      </c>
      <c r="M835" t="n">
        <v>0</v>
      </c>
      <c r="N835" t="n">
        <v>0</v>
      </c>
      <c r="O835" t="n">
        <v>0</v>
      </c>
      <c r="P835" t="n">
        <v>0</v>
      </c>
      <c r="Q835" t="n">
        <v>0</v>
      </c>
      <c r="R835" s="2" t="inlineStr"/>
    </row>
    <row r="836" ht="15" customHeight="1">
      <c r="A836" t="inlineStr">
        <is>
          <t>A 49900-2021</t>
        </is>
      </c>
      <c r="B836" s="1" t="n">
        <v>44455</v>
      </c>
      <c r="C836" s="1" t="n">
        <v>45849</v>
      </c>
      <c r="D836" t="inlineStr">
        <is>
          <t>VÄRMLANDS LÄN</t>
        </is>
      </c>
      <c r="E836" t="inlineStr">
        <is>
          <t>TORSBY</t>
        </is>
      </c>
      <c r="G836" t="n">
        <v>4.1</v>
      </c>
      <c r="H836" t="n">
        <v>0</v>
      </c>
      <c r="I836" t="n">
        <v>0</v>
      </c>
      <c r="J836" t="n">
        <v>0</v>
      </c>
      <c r="K836" t="n">
        <v>0</v>
      </c>
      <c r="L836" t="n">
        <v>0</v>
      </c>
      <c r="M836" t="n">
        <v>0</v>
      </c>
      <c r="N836" t="n">
        <v>0</v>
      </c>
      <c r="O836" t="n">
        <v>0</v>
      </c>
      <c r="P836" t="n">
        <v>0</v>
      </c>
      <c r="Q836" t="n">
        <v>0</v>
      </c>
      <c r="R836" s="2" t="inlineStr"/>
    </row>
    <row r="837" ht="15" customHeight="1">
      <c r="A837" t="inlineStr">
        <is>
          <t>A 50100-2021</t>
        </is>
      </c>
      <c r="B837" s="1" t="n">
        <v>44456</v>
      </c>
      <c r="C837" s="1" t="n">
        <v>45849</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50596-2021</t>
        </is>
      </c>
      <c r="B838" s="1" t="n">
        <v>44459</v>
      </c>
      <c r="C838" s="1" t="n">
        <v>45849</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50549-2021</t>
        </is>
      </c>
      <c r="B839" s="1" t="n">
        <v>44459</v>
      </c>
      <c r="C839" s="1" t="n">
        <v>45849</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50988-2021</t>
        </is>
      </c>
      <c r="B840" s="1" t="n">
        <v>44460</v>
      </c>
      <c r="C840" s="1" t="n">
        <v>45849</v>
      </c>
      <c r="D840" t="inlineStr">
        <is>
          <t>VÄRMLANDS LÄN</t>
        </is>
      </c>
      <c r="E840" t="inlineStr">
        <is>
          <t>TORSBY</t>
        </is>
      </c>
      <c r="G840" t="n">
        <v>14.3</v>
      </c>
      <c r="H840" t="n">
        <v>0</v>
      </c>
      <c r="I840" t="n">
        <v>0</v>
      </c>
      <c r="J840" t="n">
        <v>0</v>
      </c>
      <c r="K840" t="n">
        <v>0</v>
      </c>
      <c r="L840" t="n">
        <v>0</v>
      </c>
      <c r="M840" t="n">
        <v>0</v>
      </c>
      <c r="N840" t="n">
        <v>0</v>
      </c>
      <c r="O840" t="n">
        <v>0</v>
      </c>
      <c r="P840" t="n">
        <v>0</v>
      </c>
      <c r="Q840" t="n">
        <v>0</v>
      </c>
      <c r="R840" s="2" t="inlineStr"/>
    </row>
    <row r="841" ht="15" customHeight="1">
      <c r="A841" t="inlineStr">
        <is>
          <t>A 51505-2021</t>
        </is>
      </c>
      <c r="B841" s="1" t="n">
        <v>44460</v>
      </c>
      <c r="C841" s="1" t="n">
        <v>45849</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51494-2021</t>
        </is>
      </c>
      <c r="B842" s="1" t="n">
        <v>44460</v>
      </c>
      <c r="C842" s="1" t="n">
        <v>45849</v>
      </c>
      <c r="D842" t="inlineStr">
        <is>
          <t>VÄRMLANDS LÄN</t>
        </is>
      </c>
      <c r="E842" t="inlineStr">
        <is>
          <t>TORSBY</t>
        </is>
      </c>
      <c r="G842" t="n">
        <v>2.2</v>
      </c>
      <c r="H842" t="n">
        <v>0</v>
      </c>
      <c r="I842" t="n">
        <v>0</v>
      </c>
      <c r="J842" t="n">
        <v>0</v>
      </c>
      <c r="K842" t="n">
        <v>0</v>
      </c>
      <c r="L842" t="n">
        <v>0</v>
      </c>
      <c r="M842" t="n">
        <v>0</v>
      </c>
      <c r="N842" t="n">
        <v>0</v>
      </c>
      <c r="O842" t="n">
        <v>0</v>
      </c>
      <c r="P842" t="n">
        <v>0</v>
      </c>
      <c r="Q842" t="n">
        <v>0</v>
      </c>
      <c r="R842" s="2" t="inlineStr"/>
    </row>
    <row r="843" ht="15" customHeight="1">
      <c r="A843" t="inlineStr">
        <is>
          <t>A 51510-2021</t>
        </is>
      </c>
      <c r="B843" s="1" t="n">
        <v>44460</v>
      </c>
      <c r="C843" s="1" t="n">
        <v>45849</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51099-2021</t>
        </is>
      </c>
      <c r="B844" s="1" t="n">
        <v>44461</v>
      </c>
      <c r="C844" s="1" t="n">
        <v>45849</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45849</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51372-2021</t>
        </is>
      </c>
      <c r="B846" s="1" t="n">
        <v>44461</v>
      </c>
      <c r="C846" s="1" t="n">
        <v>45849</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51819-2021</t>
        </is>
      </c>
      <c r="B847" s="1" t="n">
        <v>44462</v>
      </c>
      <c r="C847" s="1" t="n">
        <v>45849</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51522-2021</t>
        </is>
      </c>
      <c r="B848" s="1" t="n">
        <v>44462</v>
      </c>
      <c r="C848" s="1" t="n">
        <v>45849</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45849</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52520-2021</t>
        </is>
      </c>
      <c r="B850" s="1" t="n">
        <v>44466</v>
      </c>
      <c r="C850" s="1" t="n">
        <v>45849</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52728-2021</t>
        </is>
      </c>
      <c r="B851" s="1" t="n">
        <v>44467</v>
      </c>
      <c r="C851" s="1" t="n">
        <v>45849</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52900-2021</t>
        </is>
      </c>
      <c r="B852" s="1" t="n">
        <v>44467</v>
      </c>
      <c r="C852" s="1" t="n">
        <v>45849</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53705-2021</t>
        </is>
      </c>
      <c r="B853" s="1" t="n">
        <v>44469</v>
      </c>
      <c r="C853" s="1" t="n">
        <v>45849</v>
      </c>
      <c r="D853" t="inlineStr">
        <is>
          <t>VÄRMLANDS LÄN</t>
        </is>
      </c>
      <c r="E853" t="inlineStr">
        <is>
          <t>TORSBY</t>
        </is>
      </c>
      <c r="F853" t="inlineStr">
        <is>
          <t>Kyrkan</t>
        </is>
      </c>
      <c r="G853" t="n">
        <v>12.4</v>
      </c>
      <c r="H853" t="n">
        <v>0</v>
      </c>
      <c r="I853" t="n">
        <v>0</v>
      </c>
      <c r="J853" t="n">
        <v>0</v>
      </c>
      <c r="K853" t="n">
        <v>0</v>
      </c>
      <c r="L853" t="n">
        <v>0</v>
      </c>
      <c r="M853" t="n">
        <v>0</v>
      </c>
      <c r="N853" t="n">
        <v>0</v>
      </c>
      <c r="O853" t="n">
        <v>0</v>
      </c>
      <c r="P853" t="n">
        <v>0</v>
      </c>
      <c r="Q853" t="n">
        <v>0</v>
      </c>
      <c r="R853" s="2" t="inlineStr"/>
    </row>
    <row r="854" ht="15" customHeight="1">
      <c r="A854" t="inlineStr">
        <is>
          <t>A 54029-2021</t>
        </is>
      </c>
      <c r="B854" s="1" t="n">
        <v>44470</v>
      </c>
      <c r="C854" s="1" t="n">
        <v>45849</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54033-2021</t>
        </is>
      </c>
      <c r="B855" s="1" t="n">
        <v>44470</v>
      </c>
      <c r="C855" s="1" t="n">
        <v>45849</v>
      </c>
      <c r="D855" t="inlineStr">
        <is>
          <t>VÄRMLANDS LÄN</t>
        </is>
      </c>
      <c r="E855" t="inlineStr">
        <is>
          <t>TORSBY</t>
        </is>
      </c>
      <c r="G855" t="n">
        <v>6</v>
      </c>
      <c r="H855" t="n">
        <v>0</v>
      </c>
      <c r="I855" t="n">
        <v>0</v>
      </c>
      <c r="J855" t="n">
        <v>0</v>
      </c>
      <c r="K855" t="n">
        <v>0</v>
      </c>
      <c r="L855" t="n">
        <v>0</v>
      </c>
      <c r="M855" t="n">
        <v>0</v>
      </c>
      <c r="N855" t="n">
        <v>0</v>
      </c>
      <c r="O855" t="n">
        <v>0</v>
      </c>
      <c r="P855" t="n">
        <v>0</v>
      </c>
      <c r="Q855" t="n">
        <v>0</v>
      </c>
      <c r="R855" s="2" t="inlineStr"/>
    </row>
    <row r="856" ht="15" customHeight="1">
      <c r="A856" t="inlineStr">
        <is>
          <t>A 55794-2021</t>
        </is>
      </c>
      <c r="B856" s="1" t="n">
        <v>44476</v>
      </c>
      <c r="C856" s="1" t="n">
        <v>45849</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55811-2021</t>
        </is>
      </c>
      <c r="B857" s="1" t="n">
        <v>44476</v>
      </c>
      <c r="C857" s="1" t="n">
        <v>45849</v>
      </c>
      <c r="D857" t="inlineStr">
        <is>
          <t>VÄRMLANDS LÄN</t>
        </is>
      </c>
      <c r="E857" t="inlineStr">
        <is>
          <t>TORSBY</t>
        </is>
      </c>
      <c r="G857" t="n">
        <v>3.7</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45849</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56037-2021</t>
        </is>
      </c>
      <c r="B859" s="1" t="n">
        <v>44477</v>
      </c>
      <c r="C859" s="1" t="n">
        <v>45849</v>
      </c>
      <c r="D859" t="inlineStr">
        <is>
          <t>VÄRMLANDS LÄN</t>
        </is>
      </c>
      <c r="E859" t="inlineStr">
        <is>
          <t>TORSBY</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56062-2021</t>
        </is>
      </c>
      <c r="B860" s="1" t="n">
        <v>44477</v>
      </c>
      <c r="C860" s="1" t="n">
        <v>45849</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56981-2021</t>
        </is>
      </c>
      <c r="B861" s="1" t="n">
        <v>44482</v>
      </c>
      <c r="C861" s="1" t="n">
        <v>45849</v>
      </c>
      <c r="D861" t="inlineStr">
        <is>
          <t>VÄRMLANDS LÄN</t>
        </is>
      </c>
      <c r="E861" t="inlineStr">
        <is>
          <t>TORSBY</t>
        </is>
      </c>
      <c r="G861" t="n">
        <v>2.2</v>
      </c>
      <c r="H861" t="n">
        <v>0</v>
      </c>
      <c r="I861" t="n">
        <v>0</v>
      </c>
      <c r="J861" t="n">
        <v>0</v>
      </c>
      <c r="K861" t="n">
        <v>0</v>
      </c>
      <c r="L861" t="n">
        <v>0</v>
      </c>
      <c r="M861" t="n">
        <v>0</v>
      </c>
      <c r="N861" t="n">
        <v>0</v>
      </c>
      <c r="O861" t="n">
        <v>0</v>
      </c>
      <c r="P861" t="n">
        <v>0</v>
      </c>
      <c r="Q861" t="n">
        <v>0</v>
      </c>
      <c r="R861" s="2" t="inlineStr"/>
    </row>
    <row r="862" ht="15" customHeight="1">
      <c r="A862" t="inlineStr">
        <is>
          <t>A 57287-2021</t>
        </is>
      </c>
      <c r="B862" s="1" t="n">
        <v>44482</v>
      </c>
      <c r="C862" s="1" t="n">
        <v>45849</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58062-2021</t>
        </is>
      </c>
      <c r="B863" s="1" t="n">
        <v>44487</v>
      </c>
      <c r="C863" s="1" t="n">
        <v>45849</v>
      </c>
      <c r="D863" t="inlineStr">
        <is>
          <t>VÄRMLANDS LÄN</t>
        </is>
      </c>
      <c r="E863" t="inlineStr">
        <is>
          <t>TORSBY</t>
        </is>
      </c>
      <c r="G863" t="n">
        <v>6</v>
      </c>
      <c r="H863" t="n">
        <v>0</v>
      </c>
      <c r="I863" t="n">
        <v>0</v>
      </c>
      <c r="J863" t="n">
        <v>0</v>
      </c>
      <c r="K863" t="n">
        <v>0</v>
      </c>
      <c r="L863" t="n">
        <v>0</v>
      </c>
      <c r="M863" t="n">
        <v>0</v>
      </c>
      <c r="N863" t="n">
        <v>0</v>
      </c>
      <c r="O863" t="n">
        <v>0</v>
      </c>
      <c r="P863" t="n">
        <v>0</v>
      </c>
      <c r="Q863" t="n">
        <v>0</v>
      </c>
      <c r="R863" s="2" t="inlineStr"/>
    </row>
    <row r="864" ht="15" customHeight="1">
      <c r="A864" t="inlineStr">
        <is>
          <t>A 58479-2021</t>
        </is>
      </c>
      <c r="B864" s="1" t="n">
        <v>44488</v>
      </c>
      <c r="C864" s="1" t="n">
        <v>45849</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58476-2021</t>
        </is>
      </c>
      <c r="B865" s="1" t="n">
        <v>44488</v>
      </c>
      <c r="C865" s="1" t="n">
        <v>45849</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58543-2021</t>
        </is>
      </c>
      <c r="B866" s="1" t="n">
        <v>44488</v>
      </c>
      <c r="C866" s="1" t="n">
        <v>45849</v>
      </c>
      <c r="D866" t="inlineStr">
        <is>
          <t>VÄRMLANDS LÄN</t>
        </is>
      </c>
      <c r="E866" t="inlineStr">
        <is>
          <t>TORSBY</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58728-2021</t>
        </is>
      </c>
      <c r="B867" s="1" t="n">
        <v>44489</v>
      </c>
      <c r="C867" s="1" t="n">
        <v>45849</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59425-2021</t>
        </is>
      </c>
      <c r="B868" s="1" t="n">
        <v>44491</v>
      </c>
      <c r="C868" s="1" t="n">
        <v>45849</v>
      </c>
      <c r="D868" t="inlineStr">
        <is>
          <t>VÄRMLANDS LÄN</t>
        </is>
      </c>
      <c r="E868" t="inlineStr">
        <is>
          <t>TORSBY</t>
        </is>
      </c>
      <c r="F868" t="inlineStr">
        <is>
          <t>Bergvik skog väst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60428-2021</t>
        </is>
      </c>
      <c r="B869" s="1" t="n">
        <v>44496</v>
      </c>
      <c r="C869" s="1" t="n">
        <v>45849</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60430-2021</t>
        </is>
      </c>
      <c r="B870" s="1" t="n">
        <v>44496</v>
      </c>
      <c r="C870" s="1" t="n">
        <v>45849</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60698-2021</t>
        </is>
      </c>
      <c r="B871" s="1" t="n">
        <v>44496</v>
      </c>
      <c r="C871" s="1" t="n">
        <v>45849</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61231-2021</t>
        </is>
      </c>
      <c r="B872" s="1" t="n">
        <v>44496</v>
      </c>
      <c r="C872" s="1" t="n">
        <v>45849</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61812-2021</t>
        </is>
      </c>
      <c r="B873" s="1" t="n">
        <v>44501</v>
      </c>
      <c r="C873" s="1" t="n">
        <v>45849</v>
      </c>
      <c r="D873" t="inlineStr">
        <is>
          <t>VÄRMLANDS LÄN</t>
        </is>
      </c>
      <c r="E873" t="inlineStr">
        <is>
          <t>TORSBY</t>
        </is>
      </c>
      <c r="G873" t="n">
        <v>5.3</v>
      </c>
      <c r="H873" t="n">
        <v>0</v>
      </c>
      <c r="I873" t="n">
        <v>0</v>
      </c>
      <c r="J873" t="n">
        <v>0</v>
      </c>
      <c r="K873" t="n">
        <v>0</v>
      </c>
      <c r="L873" t="n">
        <v>0</v>
      </c>
      <c r="M873" t="n">
        <v>0</v>
      </c>
      <c r="N873" t="n">
        <v>0</v>
      </c>
      <c r="O873" t="n">
        <v>0</v>
      </c>
      <c r="P873" t="n">
        <v>0</v>
      </c>
      <c r="Q873" t="n">
        <v>0</v>
      </c>
      <c r="R873" s="2" t="inlineStr"/>
    </row>
    <row r="874" ht="15" customHeight="1">
      <c r="A874" t="inlineStr">
        <is>
          <t>A 61809-2021</t>
        </is>
      </c>
      <c r="B874" s="1" t="n">
        <v>44501</v>
      </c>
      <c r="C874" s="1" t="n">
        <v>45849</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62045-2021</t>
        </is>
      </c>
      <c r="B875" s="1" t="n">
        <v>44502</v>
      </c>
      <c r="C875" s="1" t="n">
        <v>45849</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62039-2021</t>
        </is>
      </c>
      <c r="B876" s="1" t="n">
        <v>44502</v>
      </c>
      <c r="C876" s="1" t="n">
        <v>45849</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62576-2021</t>
        </is>
      </c>
      <c r="B877" s="1" t="n">
        <v>44502</v>
      </c>
      <c r="C877" s="1" t="n">
        <v>45849</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62845-2021</t>
        </is>
      </c>
      <c r="B878" s="1" t="n">
        <v>44504</v>
      </c>
      <c r="C878" s="1" t="n">
        <v>45849</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63251-2021</t>
        </is>
      </c>
      <c r="B879" s="1" t="n">
        <v>44508</v>
      </c>
      <c r="C879" s="1" t="n">
        <v>45849</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v>
      </c>
      <c r="C880" s="1" t="n">
        <v>45849</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64780-2021</t>
        </is>
      </c>
      <c r="B881" s="1" t="n">
        <v>44512</v>
      </c>
      <c r="C881" s="1" t="n">
        <v>45849</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64902-2021</t>
        </is>
      </c>
      <c r="B882" s="1" t="n">
        <v>44512</v>
      </c>
      <c r="C882" s="1" t="n">
        <v>45849</v>
      </c>
      <c r="D882" t="inlineStr">
        <is>
          <t>VÄRMLANDS LÄN</t>
        </is>
      </c>
      <c r="E882" t="inlineStr">
        <is>
          <t>TORSBY</t>
        </is>
      </c>
      <c r="G882" t="n">
        <v>6.1</v>
      </c>
      <c r="H882" t="n">
        <v>0</v>
      </c>
      <c r="I882" t="n">
        <v>0</v>
      </c>
      <c r="J882" t="n">
        <v>0</v>
      </c>
      <c r="K882" t="n">
        <v>0</v>
      </c>
      <c r="L882" t="n">
        <v>0</v>
      </c>
      <c r="M882" t="n">
        <v>0</v>
      </c>
      <c r="N882" t="n">
        <v>0</v>
      </c>
      <c r="O882" t="n">
        <v>0</v>
      </c>
      <c r="P882" t="n">
        <v>0</v>
      </c>
      <c r="Q882" t="n">
        <v>0</v>
      </c>
      <c r="R882" s="2" t="inlineStr"/>
    </row>
    <row r="883" ht="15" customHeight="1">
      <c r="A883" t="inlineStr">
        <is>
          <t>A 65182-2021</t>
        </is>
      </c>
      <c r="B883" s="1" t="n">
        <v>44515</v>
      </c>
      <c r="C883" s="1" t="n">
        <v>45849</v>
      </c>
      <c r="D883" t="inlineStr">
        <is>
          <t>VÄRMLANDS LÄN</t>
        </is>
      </c>
      <c r="E883" t="inlineStr">
        <is>
          <t>TORSBY</t>
        </is>
      </c>
      <c r="G883" t="n">
        <v>5.9</v>
      </c>
      <c r="H883" t="n">
        <v>0</v>
      </c>
      <c r="I883" t="n">
        <v>0</v>
      </c>
      <c r="J883" t="n">
        <v>0</v>
      </c>
      <c r="K883" t="n">
        <v>0</v>
      </c>
      <c r="L883" t="n">
        <v>0</v>
      </c>
      <c r="M883" t="n">
        <v>0</v>
      </c>
      <c r="N883" t="n">
        <v>0</v>
      </c>
      <c r="O883" t="n">
        <v>0</v>
      </c>
      <c r="P883" t="n">
        <v>0</v>
      </c>
      <c r="Q883" t="n">
        <v>0</v>
      </c>
      <c r="R883" s="2" t="inlineStr"/>
    </row>
    <row r="884" ht="15" customHeight="1">
      <c r="A884" t="inlineStr">
        <is>
          <t>A 65301-2021</t>
        </is>
      </c>
      <c r="B884" s="1" t="n">
        <v>44515</v>
      </c>
      <c r="C884" s="1" t="n">
        <v>45849</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65537-2021</t>
        </is>
      </c>
      <c r="B885" s="1" t="n">
        <v>44516</v>
      </c>
      <c r="C885" s="1" t="n">
        <v>45849</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65713-2021</t>
        </is>
      </c>
      <c r="B886" s="1" t="n">
        <v>44516</v>
      </c>
      <c r="C886" s="1" t="n">
        <v>45849</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65705-2021</t>
        </is>
      </c>
      <c r="B887" s="1" t="n">
        <v>44516</v>
      </c>
      <c r="C887" s="1" t="n">
        <v>45849</v>
      </c>
      <c r="D887" t="inlineStr">
        <is>
          <t>VÄRMLANDS LÄN</t>
        </is>
      </c>
      <c r="E887" t="inlineStr">
        <is>
          <t>TORSBY</t>
        </is>
      </c>
      <c r="G887" t="n">
        <v>4.5</v>
      </c>
      <c r="H887" t="n">
        <v>0</v>
      </c>
      <c r="I887" t="n">
        <v>0</v>
      </c>
      <c r="J887" t="n">
        <v>0</v>
      </c>
      <c r="K887" t="n">
        <v>0</v>
      </c>
      <c r="L887" t="n">
        <v>0</v>
      </c>
      <c r="M887" t="n">
        <v>0</v>
      </c>
      <c r="N887" t="n">
        <v>0</v>
      </c>
      <c r="O887" t="n">
        <v>0</v>
      </c>
      <c r="P887" t="n">
        <v>0</v>
      </c>
      <c r="Q887" t="n">
        <v>0</v>
      </c>
      <c r="R887" s="2" t="inlineStr"/>
    </row>
    <row r="888" ht="15" customHeight="1">
      <c r="A888" t="inlineStr">
        <is>
          <t>A 65959-2021</t>
        </is>
      </c>
      <c r="B888" s="1" t="n">
        <v>44517</v>
      </c>
      <c r="C888" s="1" t="n">
        <v>45849</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65998-2021</t>
        </is>
      </c>
      <c r="B889" s="1" t="n">
        <v>44517</v>
      </c>
      <c r="C889" s="1" t="n">
        <v>45849</v>
      </c>
      <c r="D889" t="inlineStr">
        <is>
          <t>VÄRMLANDS LÄN</t>
        </is>
      </c>
      <c r="E889" t="inlineStr">
        <is>
          <t>TORSBY</t>
        </is>
      </c>
      <c r="G889" t="n">
        <v>0.7</v>
      </c>
      <c r="H889" t="n">
        <v>0</v>
      </c>
      <c r="I889" t="n">
        <v>0</v>
      </c>
      <c r="J889" t="n">
        <v>0</v>
      </c>
      <c r="K889" t="n">
        <v>0</v>
      </c>
      <c r="L889" t="n">
        <v>0</v>
      </c>
      <c r="M889" t="n">
        <v>0</v>
      </c>
      <c r="N889" t="n">
        <v>0</v>
      </c>
      <c r="O889" t="n">
        <v>0</v>
      </c>
      <c r="P889" t="n">
        <v>0</v>
      </c>
      <c r="Q889" t="n">
        <v>0</v>
      </c>
      <c r="R889" s="2" t="inlineStr"/>
    </row>
    <row r="890" ht="15" customHeight="1">
      <c r="A890" t="inlineStr">
        <is>
          <t>A 66103-2021</t>
        </is>
      </c>
      <c r="B890" s="1" t="n">
        <v>44517</v>
      </c>
      <c r="C890" s="1" t="n">
        <v>45849</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66133-2021</t>
        </is>
      </c>
      <c r="B891" s="1" t="n">
        <v>44517</v>
      </c>
      <c r="C891" s="1" t="n">
        <v>45849</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66978-2021</t>
        </is>
      </c>
      <c r="B892" s="1" t="n">
        <v>44522</v>
      </c>
      <c r="C892" s="1" t="n">
        <v>45849</v>
      </c>
      <c r="D892" t="inlineStr">
        <is>
          <t>VÄRMLANDS LÄN</t>
        </is>
      </c>
      <c r="E892" t="inlineStr">
        <is>
          <t>TORSBY</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67006-2021</t>
        </is>
      </c>
      <c r="B893" s="1" t="n">
        <v>44522</v>
      </c>
      <c r="C893" s="1" t="n">
        <v>45849</v>
      </c>
      <c r="D893" t="inlineStr">
        <is>
          <t>VÄRMLANDS LÄN</t>
        </is>
      </c>
      <c r="E893" t="inlineStr">
        <is>
          <t>TORSBY</t>
        </is>
      </c>
      <c r="F893" t="inlineStr">
        <is>
          <t>Kommuner</t>
        </is>
      </c>
      <c r="G893" t="n">
        <v>4.4</v>
      </c>
      <c r="H893" t="n">
        <v>0</v>
      </c>
      <c r="I893" t="n">
        <v>0</v>
      </c>
      <c r="J893" t="n">
        <v>0</v>
      </c>
      <c r="K893" t="n">
        <v>0</v>
      </c>
      <c r="L893" t="n">
        <v>0</v>
      </c>
      <c r="M893" t="n">
        <v>0</v>
      </c>
      <c r="N893" t="n">
        <v>0</v>
      </c>
      <c r="O893" t="n">
        <v>0</v>
      </c>
      <c r="P893" t="n">
        <v>0</v>
      </c>
      <c r="Q893" t="n">
        <v>0</v>
      </c>
      <c r="R893" s="2" t="inlineStr"/>
    </row>
    <row r="894" ht="15" customHeight="1">
      <c r="A894" t="inlineStr">
        <is>
          <t>A 67147-2021</t>
        </is>
      </c>
      <c r="B894" s="1" t="n">
        <v>44523</v>
      </c>
      <c r="C894" s="1" t="n">
        <v>45849</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67172-2021</t>
        </is>
      </c>
      <c r="B895" s="1" t="n">
        <v>44523</v>
      </c>
      <c r="C895" s="1" t="n">
        <v>45849</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67567-2021</t>
        </is>
      </c>
      <c r="B896" s="1" t="n">
        <v>44524</v>
      </c>
      <c r="C896" s="1" t="n">
        <v>45849</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67457-2021</t>
        </is>
      </c>
      <c r="B897" s="1" t="n">
        <v>44524</v>
      </c>
      <c r="C897" s="1" t="n">
        <v>45849</v>
      </c>
      <c r="D897" t="inlineStr">
        <is>
          <t>VÄRMLANDS LÄN</t>
        </is>
      </c>
      <c r="E897" t="inlineStr">
        <is>
          <t>TORSBY</t>
        </is>
      </c>
      <c r="G897" t="n">
        <v>7.6</v>
      </c>
      <c r="H897" t="n">
        <v>0</v>
      </c>
      <c r="I897" t="n">
        <v>0</v>
      </c>
      <c r="J897" t="n">
        <v>0</v>
      </c>
      <c r="K897" t="n">
        <v>0</v>
      </c>
      <c r="L897" t="n">
        <v>0</v>
      </c>
      <c r="M897" t="n">
        <v>0</v>
      </c>
      <c r="N897" t="n">
        <v>0</v>
      </c>
      <c r="O897" t="n">
        <v>0</v>
      </c>
      <c r="P897" t="n">
        <v>0</v>
      </c>
      <c r="Q897" t="n">
        <v>0</v>
      </c>
      <c r="R897" s="2" t="inlineStr"/>
    </row>
    <row r="898" ht="15" customHeight="1">
      <c r="A898" t="inlineStr">
        <is>
          <t>A 67933-2021</t>
        </is>
      </c>
      <c r="B898" s="1" t="n">
        <v>44525</v>
      </c>
      <c r="C898" s="1" t="n">
        <v>45849</v>
      </c>
      <c r="D898" t="inlineStr">
        <is>
          <t>VÄRMLANDS LÄN</t>
        </is>
      </c>
      <c r="E898" t="inlineStr">
        <is>
          <t>TORSBY</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67913-2021</t>
        </is>
      </c>
      <c r="B899" s="1" t="n">
        <v>44525</v>
      </c>
      <c r="C899" s="1" t="n">
        <v>45849</v>
      </c>
      <c r="D899" t="inlineStr">
        <is>
          <t>VÄRMLANDS LÄN</t>
        </is>
      </c>
      <c r="E899" t="inlineStr">
        <is>
          <t>TORSBY</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69279-2021</t>
        </is>
      </c>
      <c r="B900" s="1" t="n">
        <v>44526</v>
      </c>
      <c r="C900" s="1" t="n">
        <v>45849</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69265-2021</t>
        </is>
      </c>
      <c r="B901" s="1" t="n">
        <v>44526</v>
      </c>
      <c r="C901" s="1" t="n">
        <v>45849</v>
      </c>
      <c r="D901" t="inlineStr">
        <is>
          <t>VÄRMLANDS LÄN</t>
        </is>
      </c>
      <c r="E901" t="inlineStr">
        <is>
          <t>TORSBY</t>
        </is>
      </c>
      <c r="G901" t="n">
        <v>11.1</v>
      </c>
      <c r="H901" t="n">
        <v>0</v>
      </c>
      <c r="I901" t="n">
        <v>0</v>
      </c>
      <c r="J901" t="n">
        <v>0</v>
      </c>
      <c r="K901" t="n">
        <v>0</v>
      </c>
      <c r="L901" t="n">
        <v>0</v>
      </c>
      <c r="M901" t="n">
        <v>0</v>
      </c>
      <c r="N901" t="n">
        <v>0</v>
      </c>
      <c r="O901" t="n">
        <v>0</v>
      </c>
      <c r="P901" t="n">
        <v>0</v>
      </c>
      <c r="Q901" t="n">
        <v>0</v>
      </c>
      <c r="R901" s="2" t="inlineStr"/>
    </row>
    <row r="902" ht="15" customHeight="1">
      <c r="A902" t="inlineStr">
        <is>
          <t>A 69275-2021</t>
        </is>
      </c>
      <c r="B902" s="1" t="n">
        <v>44526</v>
      </c>
      <c r="C902" s="1" t="n">
        <v>45849</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68153-2021</t>
        </is>
      </c>
      <c r="B903" s="1" t="n">
        <v>44526</v>
      </c>
      <c r="C903" s="1" t="n">
        <v>45849</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69281-2021</t>
        </is>
      </c>
      <c r="B904" s="1" t="n">
        <v>44526</v>
      </c>
      <c r="C904" s="1" t="n">
        <v>45849</v>
      </c>
      <c r="D904" t="inlineStr">
        <is>
          <t>VÄRMLANDS LÄN</t>
        </is>
      </c>
      <c r="E904" t="inlineStr">
        <is>
          <t>TORSBY</t>
        </is>
      </c>
      <c r="G904" t="n">
        <v>7.5</v>
      </c>
      <c r="H904" t="n">
        <v>0</v>
      </c>
      <c r="I904" t="n">
        <v>0</v>
      </c>
      <c r="J904" t="n">
        <v>0</v>
      </c>
      <c r="K904" t="n">
        <v>0</v>
      </c>
      <c r="L904" t="n">
        <v>0</v>
      </c>
      <c r="M904" t="n">
        <v>0</v>
      </c>
      <c r="N904" t="n">
        <v>0</v>
      </c>
      <c r="O904" t="n">
        <v>0</v>
      </c>
      <c r="P904" t="n">
        <v>0</v>
      </c>
      <c r="Q904" t="n">
        <v>0</v>
      </c>
      <c r="R904" s="2" t="inlineStr"/>
    </row>
    <row r="905" ht="15" customHeight="1">
      <c r="A905" t="inlineStr">
        <is>
          <t>A 68266-2021</t>
        </is>
      </c>
      <c r="B905" s="1" t="n">
        <v>44526</v>
      </c>
      <c r="C905" s="1" t="n">
        <v>45849</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68136-2021</t>
        </is>
      </c>
      <c r="B906" s="1" t="n">
        <v>44526</v>
      </c>
      <c r="C906" s="1" t="n">
        <v>45849</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68650-2021</t>
        </is>
      </c>
      <c r="B907" s="1" t="n">
        <v>44529</v>
      </c>
      <c r="C907" s="1" t="n">
        <v>45849</v>
      </c>
      <c r="D907" t="inlineStr">
        <is>
          <t>VÄRMLANDS LÄN</t>
        </is>
      </c>
      <c r="E907" t="inlineStr">
        <is>
          <t>TORSBY</t>
        </is>
      </c>
      <c r="F907" t="inlineStr">
        <is>
          <t>Bergvik skog väst AB</t>
        </is>
      </c>
      <c r="G907" t="n">
        <v>8.6</v>
      </c>
      <c r="H907" t="n">
        <v>0</v>
      </c>
      <c r="I907" t="n">
        <v>0</v>
      </c>
      <c r="J907" t="n">
        <v>0</v>
      </c>
      <c r="K907" t="n">
        <v>0</v>
      </c>
      <c r="L907" t="n">
        <v>0</v>
      </c>
      <c r="M907" t="n">
        <v>0</v>
      </c>
      <c r="N907" t="n">
        <v>0</v>
      </c>
      <c r="O907" t="n">
        <v>0</v>
      </c>
      <c r="P907" t="n">
        <v>0</v>
      </c>
      <c r="Q907" t="n">
        <v>0</v>
      </c>
      <c r="R907" s="2" t="inlineStr"/>
    </row>
    <row r="908" ht="15" customHeight="1">
      <c r="A908" t="inlineStr">
        <is>
          <t>A 68850-2021</t>
        </is>
      </c>
      <c r="B908" s="1" t="n">
        <v>44530</v>
      </c>
      <c r="C908" s="1" t="n">
        <v>45849</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68855-2021</t>
        </is>
      </c>
      <c r="B909" s="1" t="n">
        <v>44530</v>
      </c>
      <c r="C909" s="1" t="n">
        <v>45849</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69026-2021</t>
        </is>
      </c>
      <c r="B910" s="1" t="n">
        <v>44530</v>
      </c>
      <c r="C910" s="1" t="n">
        <v>45849</v>
      </c>
      <c r="D910" t="inlineStr">
        <is>
          <t>VÄRMLANDS LÄN</t>
        </is>
      </c>
      <c r="E910" t="inlineStr">
        <is>
          <t>TORSBY</t>
        </is>
      </c>
      <c r="F910" t="inlineStr">
        <is>
          <t>Bergvik skog väst AB</t>
        </is>
      </c>
      <c r="G910" t="n">
        <v>11.3</v>
      </c>
      <c r="H910" t="n">
        <v>0</v>
      </c>
      <c r="I910" t="n">
        <v>0</v>
      </c>
      <c r="J910" t="n">
        <v>0</v>
      </c>
      <c r="K910" t="n">
        <v>0</v>
      </c>
      <c r="L910" t="n">
        <v>0</v>
      </c>
      <c r="M910" t="n">
        <v>0</v>
      </c>
      <c r="N910" t="n">
        <v>0</v>
      </c>
      <c r="O910" t="n">
        <v>0</v>
      </c>
      <c r="P910" t="n">
        <v>0</v>
      </c>
      <c r="Q910" t="n">
        <v>0</v>
      </c>
      <c r="R910" s="2" t="inlineStr"/>
    </row>
    <row r="911" ht="15" customHeight="1">
      <c r="A911" t="inlineStr">
        <is>
          <t>A 69086-2021</t>
        </is>
      </c>
      <c r="B911" s="1" t="n">
        <v>44530</v>
      </c>
      <c r="C911" s="1" t="n">
        <v>45849</v>
      </c>
      <c r="D911" t="inlineStr">
        <is>
          <t>VÄRMLANDS LÄN</t>
        </is>
      </c>
      <c r="E911" t="inlineStr">
        <is>
          <t>TORSBY</t>
        </is>
      </c>
      <c r="F911" t="inlineStr">
        <is>
          <t>Bergvik skog väst AB</t>
        </is>
      </c>
      <c r="G911" t="n">
        <v>3.3</v>
      </c>
      <c r="H911" t="n">
        <v>0</v>
      </c>
      <c r="I911" t="n">
        <v>0</v>
      </c>
      <c r="J911" t="n">
        <v>0</v>
      </c>
      <c r="K911" t="n">
        <v>0</v>
      </c>
      <c r="L911" t="n">
        <v>0</v>
      </c>
      <c r="M911" t="n">
        <v>0</v>
      </c>
      <c r="N911" t="n">
        <v>0</v>
      </c>
      <c r="O911" t="n">
        <v>0</v>
      </c>
      <c r="P911" t="n">
        <v>0</v>
      </c>
      <c r="Q911" t="n">
        <v>0</v>
      </c>
      <c r="R911" s="2" t="inlineStr"/>
    </row>
    <row r="912" ht="15" customHeight="1">
      <c r="A912" t="inlineStr">
        <is>
          <t>A 69877-2021</t>
        </is>
      </c>
      <c r="B912" s="1" t="n">
        <v>44532</v>
      </c>
      <c r="C912" s="1" t="n">
        <v>45849</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69878-2021</t>
        </is>
      </c>
      <c r="B913" s="1" t="n">
        <v>44532</v>
      </c>
      <c r="C913" s="1" t="n">
        <v>45849</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70166-2021</t>
        </is>
      </c>
      <c r="B914" s="1" t="n">
        <v>44533</v>
      </c>
      <c r="C914" s="1" t="n">
        <v>45849</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69974-2021</t>
        </is>
      </c>
      <c r="B915" s="1" t="n">
        <v>44533</v>
      </c>
      <c r="C915" s="1" t="n">
        <v>45849</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70241-2021</t>
        </is>
      </c>
      <c r="B916" s="1" t="n">
        <v>44536</v>
      </c>
      <c r="C916" s="1" t="n">
        <v>45849</v>
      </c>
      <c r="D916" t="inlineStr">
        <is>
          <t>VÄRMLANDS LÄN</t>
        </is>
      </c>
      <c r="E916" t="inlineStr">
        <is>
          <t>TORSBY</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70253-2021</t>
        </is>
      </c>
      <c r="B917" s="1" t="n">
        <v>44536</v>
      </c>
      <c r="C917" s="1" t="n">
        <v>45849</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70658-2021</t>
        </is>
      </c>
      <c r="B918" s="1" t="n">
        <v>44537</v>
      </c>
      <c r="C918" s="1" t="n">
        <v>45849</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70787-2021</t>
        </is>
      </c>
      <c r="B919" s="1" t="n">
        <v>44537</v>
      </c>
      <c r="C919" s="1" t="n">
        <v>45849</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70775-2021</t>
        </is>
      </c>
      <c r="B920" s="1" t="n">
        <v>44537</v>
      </c>
      <c r="C920" s="1" t="n">
        <v>45849</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70785-2021</t>
        </is>
      </c>
      <c r="B921" s="1" t="n">
        <v>44537</v>
      </c>
      <c r="C921" s="1" t="n">
        <v>45849</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70978-2021</t>
        </is>
      </c>
      <c r="B922" s="1" t="n">
        <v>44537</v>
      </c>
      <c r="C922" s="1" t="n">
        <v>45849</v>
      </c>
      <c r="D922" t="inlineStr">
        <is>
          <t>VÄRMLANDS LÄN</t>
        </is>
      </c>
      <c r="E922" t="inlineStr">
        <is>
          <t>TORSBY</t>
        </is>
      </c>
      <c r="G922" t="n">
        <v>12.6</v>
      </c>
      <c r="H922" t="n">
        <v>0</v>
      </c>
      <c r="I922" t="n">
        <v>0</v>
      </c>
      <c r="J922" t="n">
        <v>0</v>
      </c>
      <c r="K922" t="n">
        <v>0</v>
      </c>
      <c r="L922" t="n">
        <v>0</v>
      </c>
      <c r="M922" t="n">
        <v>0</v>
      </c>
      <c r="N922" t="n">
        <v>0</v>
      </c>
      <c r="O922" t="n">
        <v>0</v>
      </c>
      <c r="P922" t="n">
        <v>0</v>
      </c>
      <c r="Q922" t="n">
        <v>0</v>
      </c>
      <c r="R922" s="2" t="inlineStr"/>
    </row>
    <row r="923" ht="15" customHeight="1">
      <c r="A923" t="inlineStr">
        <is>
          <t>A 70926-2021</t>
        </is>
      </c>
      <c r="B923" s="1" t="n">
        <v>44538</v>
      </c>
      <c r="C923" s="1" t="n">
        <v>45849</v>
      </c>
      <c r="D923" t="inlineStr">
        <is>
          <t>VÄRMLANDS LÄN</t>
        </is>
      </c>
      <c r="E923" t="inlineStr">
        <is>
          <t>TORSBY</t>
        </is>
      </c>
      <c r="G923" t="n">
        <v>6.5</v>
      </c>
      <c r="H923" t="n">
        <v>0</v>
      </c>
      <c r="I923" t="n">
        <v>0</v>
      </c>
      <c r="J923" t="n">
        <v>0</v>
      </c>
      <c r="K923" t="n">
        <v>0</v>
      </c>
      <c r="L923" t="n">
        <v>0</v>
      </c>
      <c r="M923" t="n">
        <v>0</v>
      </c>
      <c r="N923" t="n">
        <v>0</v>
      </c>
      <c r="O923" t="n">
        <v>0</v>
      </c>
      <c r="P923" t="n">
        <v>0</v>
      </c>
      <c r="Q923" t="n">
        <v>0</v>
      </c>
      <c r="R923" s="2" t="inlineStr"/>
    </row>
    <row r="924" ht="15" customHeight="1">
      <c r="A924" t="inlineStr">
        <is>
          <t>A 70924-2021</t>
        </is>
      </c>
      <c r="B924" s="1" t="n">
        <v>44538</v>
      </c>
      <c r="C924" s="1" t="n">
        <v>45849</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71255-2021</t>
        </is>
      </c>
      <c r="B925" s="1" t="n">
        <v>44538</v>
      </c>
      <c r="C925" s="1" t="n">
        <v>45849</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71084-2021</t>
        </is>
      </c>
      <c r="B926" s="1" t="n">
        <v>44539</v>
      </c>
      <c r="C926" s="1" t="n">
        <v>45849</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71469-2021</t>
        </is>
      </c>
      <c r="B927" s="1" t="n">
        <v>44540</v>
      </c>
      <c r="C927" s="1" t="n">
        <v>45849</v>
      </c>
      <c r="D927" t="inlineStr">
        <is>
          <t>VÄRMLANDS LÄN</t>
        </is>
      </c>
      <c r="E927" t="inlineStr">
        <is>
          <t>TORSBY</t>
        </is>
      </c>
      <c r="F927" t="inlineStr">
        <is>
          <t>Övriga Aktiebolag</t>
        </is>
      </c>
      <c r="G927" t="n">
        <v>4.1</v>
      </c>
      <c r="H927" t="n">
        <v>0</v>
      </c>
      <c r="I927" t="n">
        <v>0</v>
      </c>
      <c r="J927" t="n">
        <v>0</v>
      </c>
      <c r="K927" t="n">
        <v>0</v>
      </c>
      <c r="L927" t="n">
        <v>0</v>
      </c>
      <c r="M927" t="n">
        <v>0</v>
      </c>
      <c r="N927" t="n">
        <v>0</v>
      </c>
      <c r="O927" t="n">
        <v>0</v>
      </c>
      <c r="P927" t="n">
        <v>0</v>
      </c>
      <c r="Q927" t="n">
        <v>0</v>
      </c>
      <c r="R927" s="2" t="inlineStr"/>
    </row>
    <row r="928" ht="15" customHeight="1">
      <c r="A928" t="inlineStr">
        <is>
          <t>A 71679-2021</t>
        </is>
      </c>
      <c r="B928" s="1" t="n">
        <v>44543</v>
      </c>
      <c r="C928" s="1" t="n">
        <v>45849</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71990-2021</t>
        </is>
      </c>
      <c r="B929" s="1" t="n">
        <v>44544</v>
      </c>
      <c r="C929" s="1" t="n">
        <v>45849</v>
      </c>
      <c r="D929" t="inlineStr">
        <is>
          <t>VÄRMLANDS LÄN</t>
        </is>
      </c>
      <c r="E929" t="inlineStr">
        <is>
          <t>TORSBY</t>
        </is>
      </c>
      <c r="G929" t="n">
        <v>4.6</v>
      </c>
      <c r="H929" t="n">
        <v>0</v>
      </c>
      <c r="I929" t="n">
        <v>0</v>
      </c>
      <c r="J929" t="n">
        <v>0</v>
      </c>
      <c r="K929" t="n">
        <v>0</v>
      </c>
      <c r="L929" t="n">
        <v>0</v>
      </c>
      <c r="M929" t="n">
        <v>0</v>
      </c>
      <c r="N929" t="n">
        <v>0</v>
      </c>
      <c r="O929" t="n">
        <v>0</v>
      </c>
      <c r="P929" t="n">
        <v>0</v>
      </c>
      <c r="Q929" t="n">
        <v>0</v>
      </c>
      <c r="R929" s="2" t="inlineStr"/>
    </row>
    <row r="930" ht="15" customHeight="1">
      <c r="A930" t="inlineStr">
        <is>
          <t>A 72200-2021</t>
        </is>
      </c>
      <c r="B930" s="1" t="n">
        <v>44544</v>
      </c>
      <c r="C930" s="1" t="n">
        <v>45849</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72250-2021</t>
        </is>
      </c>
      <c r="B931" s="1" t="n">
        <v>44544</v>
      </c>
      <c r="C931" s="1" t="n">
        <v>45849</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73055-2021</t>
        </is>
      </c>
      <c r="B932" s="1" t="n">
        <v>44550</v>
      </c>
      <c r="C932" s="1" t="n">
        <v>45849</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73324-2021</t>
        </is>
      </c>
      <c r="B933" s="1" t="n">
        <v>44550</v>
      </c>
      <c r="C933" s="1" t="n">
        <v>45849</v>
      </c>
      <c r="D933" t="inlineStr">
        <is>
          <t>VÄRMLANDS LÄN</t>
        </is>
      </c>
      <c r="E933" t="inlineStr">
        <is>
          <t>TORSBY</t>
        </is>
      </c>
      <c r="G933" t="n">
        <v>9.9</v>
      </c>
      <c r="H933" t="n">
        <v>0</v>
      </c>
      <c r="I933" t="n">
        <v>0</v>
      </c>
      <c r="J933" t="n">
        <v>0</v>
      </c>
      <c r="K933" t="n">
        <v>0</v>
      </c>
      <c r="L933" t="n">
        <v>0</v>
      </c>
      <c r="M933" t="n">
        <v>0</v>
      </c>
      <c r="N933" t="n">
        <v>0</v>
      </c>
      <c r="O933" t="n">
        <v>0</v>
      </c>
      <c r="P933" t="n">
        <v>0</v>
      </c>
      <c r="Q933" t="n">
        <v>0</v>
      </c>
      <c r="R933" s="2" t="inlineStr"/>
    </row>
    <row r="934" ht="15" customHeight="1">
      <c r="A934" t="inlineStr">
        <is>
          <t>A 73165-2021</t>
        </is>
      </c>
      <c r="B934" s="1" t="n">
        <v>44550</v>
      </c>
      <c r="C934" s="1" t="n">
        <v>45849</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73442-2021</t>
        </is>
      </c>
      <c r="B935" s="1" t="n">
        <v>44551</v>
      </c>
      <c r="C935" s="1" t="n">
        <v>45849</v>
      </c>
      <c r="D935" t="inlineStr">
        <is>
          <t>VÄRMLANDS LÄN</t>
        </is>
      </c>
      <c r="E935" t="inlineStr">
        <is>
          <t>TORSBY</t>
        </is>
      </c>
      <c r="F935" t="inlineStr">
        <is>
          <t>Bergvik skog väst AB</t>
        </is>
      </c>
      <c r="G935" t="n">
        <v>4.1</v>
      </c>
      <c r="H935" t="n">
        <v>0</v>
      </c>
      <c r="I935" t="n">
        <v>0</v>
      </c>
      <c r="J935" t="n">
        <v>0</v>
      </c>
      <c r="K935" t="n">
        <v>0</v>
      </c>
      <c r="L935" t="n">
        <v>0</v>
      </c>
      <c r="M935" t="n">
        <v>0</v>
      </c>
      <c r="N935" t="n">
        <v>0</v>
      </c>
      <c r="O935" t="n">
        <v>0</v>
      </c>
      <c r="P935" t="n">
        <v>0</v>
      </c>
      <c r="Q935" t="n">
        <v>0</v>
      </c>
      <c r="R935" s="2" t="inlineStr"/>
    </row>
    <row r="936" ht="15" customHeight="1">
      <c r="A936" t="inlineStr">
        <is>
          <t>A 73553-2021</t>
        </is>
      </c>
      <c r="B936" s="1" t="n">
        <v>44551</v>
      </c>
      <c r="C936" s="1" t="n">
        <v>45849</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73521-2021</t>
        </is>
      </c>
      <c r="B937" s="1" t="n">
        <v>44551</v>
      </c>
      <c r="C937" s="1" t="n">
        <v>45849</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73882-2021</t>
        </is>
      </c>
      <c r="B938" s="1" t="n">
        <v>44553</v>
      </c>
      <c r="C938" s="1" t="n">
        <v>45849</v>
      </c>
      <c r="D938" t="inlineStr">
        <is>
          <t>VÄRMLANDS LÄN</t>
        </is>
      </c>
      <c r="E938" t="inlineStr">
        <is>
          <t>TORSBY</t>
        </is>
      </c>
      <c r="F938" t="inlineStr">
        <is>
          <t>Kyrkan</t>
        </is>
      </c>
      <c r="G938" t="n">
        <v>0.5</v>
      </c>
      <c r="H938" t="n">
        <v>0</v>
      </c>
      <c r="I938" t="n">
        <v>0</v>
      </c>
      <c r="J938" t="n">
        <v>0</v>
      </c>
      <c r="K938" t="n">
        <v>0</v>
      </c>
      <c r="L938" t="n">
        <v>0</v>
      </c>
      <c r="M938" t="n">
        <v>0</v>
      </c>
      <c r="N938" t="n">
        <v>0</v>
      </c>
      <c r="O938" t="n">
        <v>0</v>
      </c>
      <c r="P938" t="n">
        <v>0</v>
      </c>
      <c r="Q938" t="n">
        <v>0</v>
      </c>
      <c r="R938" s="2" t="inlineStr"/>
    </row>
    <row r="939" ht="15" customHeight="1">
      <c r="A939" t="inlineStr">
        <is>
          <t>A 73874-2021</t>
        </is>
      </c>
      <c r="B939" s="1" t="n">
        <v>44553</v>
      </c>
      <c r="C939" s="1" t="n">
        <v>45849</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74012-2021</t>
        </is>
      </c>
      <c r="B940" s="1" t="n">
        <v>44553</v>
      </c>
      <c r="C940" s="1" t="n">
        <v>45849</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74079-2021</t>
        </is>
      </c>
      <c r="B941" s="1" t="n">
        <v>44557</v>
      </c>
      <c r="C941" s="1" t="n">
        <v>45849</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74375-2021</t>
        </is>
      </c>
      <c r="B942" s="1" t="n">
        <v>44559</v>
      </c>
      <c r="C942" s="1" t="n">
        <v>45849</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74374-2021</t>
        </is>
      </c>
      <c r="B943" s="1" t="n">
        <v>44559</v>
      </c>
      <c r="C943" s="1" t="n">
        <v>45849</v>
      </c>
      <c r="D943" t="inlineStr">
        <is>
          <t>VÄRMLANDS LÄN</t>
        </is>
      </c>
      <c r="E943" t="inlineStr">
        <is>
          <t>TORSBY</t>
        </is>
      </c>
      <c r="G943" t="n">
        <v>4.8</v>
      </c>
      <c r="H943" t="n">
        <v>0</v>
      </c>
      <c r="I943" t="n">
        <v>0</v>
      </c>
      <c r="J943" t="n">
        <v>0</v>
      </c>
      <c r="K943" t="n">
        <v>0</v>
      </c>
      <c r="L943" t="n">
        <v>0</v>
      </c>
      <c r="M943" t="n">
        <v>0</v>
      </c>
      <c r="N943" t="n">
        <v>0</v>
      </c>
      <c r="O943" t="n">
        <v>0</v>
      </c>
      <c r="P943" t="n">
        <v>0</v>
      </c>
      <c r="Q943" t="n">
        <v>0</v>
      </c>
      <c r="R943" s="2" t="inlineStr"/>
    </row>
    <row r="944" ht="15" customHeight="1">
      <c r="A944" t="inlineStr">
        <is>
          <t>A 74351-2021</t>
        </is>
      </c>
      <c r="B944" s="1" t="n">
        <v>44559</v>
      </c>
      <c r="C944" s="1" t="n">
        <v>45849</v>
      </c>
      <c r="D944" t="inlineStr">
        <is>
          <t>VÄRMLANDS LÄN</t>
        </is>
      </c>
      <c r="E944" t="inlineStr">
        <is>
          <t>TORSBY</t>
        </is>
      </c>
      <c r="F944" t="inlineStr">
        <is>
          <t>Bergvik skog väst AB</t>
        </is>
      </c>
      <c r="G944" t="n">
        <v>9.1</v>
      </c>
      <c r="H944" t="n">
        <v>0</v>
      </c>
      <c r="I944" t="n">
        <v>0</v>
      </c>
      <c r="J944" t="n">
        <v>0</v>
      </c>
      <c r="K944" t="n">
        <v>0</v>
      </c>
      <c r="L944" t="n">
        <v>0</v>
      </c>
      <c r="M944" t="n">
        <v>0</v>
      </c>
      <c r="N944" t="n">
        <v>0</v>
      </c>
      <c r="O944" t="n">
        <v>0</v>
      </c>
      <c r="P944" t="n">
        <v>0</v>
      </c>
      <c r="Q944" t="n">
        <v>0</v>
      </c>
      <c r="R944" s="2" t="inlineStr"/>
    </row>
    <row r="945" ht="15" customHeight="1">
      <c r="A945" t="inlineStr">
        <is>
          <t>A 361-2022</t>
        </is>
      </c>
      <c r="B945" s="1" t="n">
        <v>44565</v>
      </c>
      <c r="C945" s="1" t="n">
        <v>45849</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739-2022</t>
        </is>
      </c>
      <c r="B946" s="1" t="n">
        <v>44568</v>
      </c>
      <c r="C946" s="1" t="n">
        <v>45849</v>
      </c>
      <c r="D946" t="inlineStr">
        <is>
          <t>VÄRMLANDS LÄN</t>
        </is>
      </c>
      <c r="E946" t="inlineStr">
        <is>
          <t>TORSBY</t>
        </is>
      </c>
      <c r="G946" t="n">
        <v>3.3</v>
      </c>
      <c r="H946" t="n">
        <v>0</v>
      </c>
      <c r="I946" t="n">
        <v>0</v>
      </c>
      <c r="J946" t="n">
        <v>0</v>
      </c>
      <c r="K946" t="n">
        <v>0</v>
      </c>
      <c r="L946" t="n">
        <v>0</v>
      </c>
      <c r="M946" t="n">
        <v>0</v>
      </c>
      <c r="N946" t="n">
        <v>0</v>
      </c>
      <c r="O946" t="n">
        <v>0</v>
      </c>
      <c r="P946" t="n">
        <v>0</v>
      </c>
      <c r="Q946" t="n">
        <v>0</v>
      </c>
      <c r="R946" s="2" t="inlineStr"/>
    </row>
    <row r="947" ht="15" customHeight="1">
      <c r="A947" t="inlineStr">
        <is>
          <t>A 997-2022</t>
        </is>
      </c>
      <c r="B947" s="1" t="n">
        <v>44571</v>
      </c>
      <c r="C947" s="1" t="n">
        <v>45849</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1839-2022</t>
        </is>
      </c>
      <c r="B948" s="1" t="n">
        <v>44574</v>
      </c>
      <c r="C948" s="1" t="n">
        <v>45849</v>
      </c>
      <c r="D948" t="inlineStr">
        <is>
          <t>VÄRMLANDS LÄN</t>
        </is>
      </c>
      <c r="E948" t="inlineStr">
        <is>
          <t>TORSBY</t>
        </is>
      </c>
      <c r="G948" t="n">
        <v>5.3</v>
      </c>
      <c r="H948" t="n">
        <v>0</v>
      </c>
      <c r="I948" t="n">
        <v>0</v>
      </c>
      <c r="J948" t="n">
        <v>0</v>
      </c>
      <c r="K948" t="n">
        <v>0</v>
      </c>
      <c r="L948" t="n">
        <v>0</v>
      </c>
      <c r="M948" t="n">
        <v>0</v>
      </c>
      <c r="N948" t="n">
        <v>0</v>
      </c>
      <c r="O948" t="n">
        <v>0</v>
      </c>
      <c r="P948" t="n">
        <v>0</v>
      </c>
      <c r="Q948" t="n">
        <v>0</v>
      </c>
      <c r="R948" s="2" t="inlineStr"/>
    </row>
    <row r="949" ht="15" customHeight="1">
      <c r="A949" t="inlineStr">
        <is>
          <t>A 1911-2022</t>
        </is>
      </c>
      <c r="B949" s="1" t="n">
        <v>44575</v>
      </c>
      <c r="C949" s="1" t="n">
        <v>45849</v>
      </c>
      <c r="D949" t="inlineStr">
        <is>
          <t>VÄRMLANDS LÄN</t>
        </is>
      </c>
      <c r="E949" t="inlineStr">
        <is>
          <t>TORSBY</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2414-2022</t>
        </is>
      </c>
      <c r="B950" s="1" t="n">
        <v>44579</v>
      </c>
      <c r="C950" s="1" t="n">
        <v>45849</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2421-2022</t>
        </is>
      </c>
      <c r="B951" s="1" t="n">
        <v>44579</v>
      </c>
      <c r="C951" s="1" t="n">
        <v>45849</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2699-2022</t>
        </is>
      </c>
      <c r="B952" s="1" t="n">
        <v>44580</v>
      </c>
      <c r="C952" s="1" t="n">
        <v>45849</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3071-2022</t>
        </is>
      </c>
      <c r="B953" s="1" t="n">
        <v>44582</v>
      </c>
      <c r="C953" s="1" t="n">
        <v>45849</v>
      </c>
      <c r="D953" t="inlineStr">
        <is>
          <t>VÄRMLANDS LÄN</t>
        </is>
      </c>
      <c r="E953" t="inlineStr">
        <is>
          <t>TORSBY</t>
        </is>
      </c>
      <c r="G953" t="n">
        <v>7.9</v>
      </c>
      <c r="H953" t="n">
        <v>0</v>
      </c>
      <c r="I953" t="n">
        <v>0</v>
      </c>
      <c r="J953" t="n">
        <v>0</v>
      </c>
      <c r="K953" t="n">
        <v>0</v>
      </c>
      <c r="L953" t="n">
        <v>0</v>
      </c>
      <c r="M953" t="n">
        <v>0</v>
      </c>
      <c r="N953" t="n">
        <v>0</v>
      </c>
      <c r="O953" t="n">
        <v>0</v>
      </c>
      <c r="P953" t="n">
        <v>0</v>
      </c>
      <c r="Q953" t="n">
        <v>0</v>
      </c>
      <c r="R953" s="2" t="inlineStr"/>
    </row>
    <row r="954" ht="15" customHeight="1">
      <c r="A954" t="inlineStr">
        <is>
          <t>A 3369-2022</t>
        </is>
      </c>
      <c r="B954" s="1" t="n">
        <v>44585</v>
      </c>
      <c r="C954" s="1" t="n">
        <v>45849</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3385-2022</t>
        </is>
      </c>
      <c r="B955" s="1" t="n">
        <v>44585</v>
      </c>
      <c r="C955" s="1" t="n">
        <v>45849</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3397-2022</t>
        </is>
      </c>
      <c r="B956" s="1" t="n">
        <v>44585</v>
      </c>
      <c r="C956" s="1" t="n">
        <v>45849</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3387-2022</t>
        </is>
      </c>
      <c r="B957" s="1" t="n">
        <v>44585</v>
      </c>
      <c r="C957" s="1" t="n">
        <v>45849</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3382-2022</t>
        </is>
      </c>
      <c r="B958" s="1" t="n">
        <v>44585</v>
      </c>
      <c r="C958" s="1" t="n">
        <v>45849</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3390-2022</t>
        </is>
      </c>
      <c r="B959" s="1" t="n">
        <v>44585</v>
      </c>
      <c r="C959" s="1" t="n">
        <v>45849</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3393-2022</t>
        </is>
      </c>
      <c r="B960" s="1" t="n">
        <v>44585</v>
      </c>
      <c r="C960" s="1" t="n">
        <v>45849</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3749-2022</t>
        </is>
      </c>
      <c r="B961" s="1" t="n">
        <v>44586</v>
      </c>
      <c r="C961" s="1" t="n">
        <v>45849</v>
      </c>
      <c r="D961" t="inlineStr">
        <is>
          <t>VÄRMLANDS LÄN</t>
        </is>
      </c>
      <c r="E961" t="inlineStr">
        <is>
          <t>TORSBY</t>
        </is>
      </c>
      <c r="G961" t="n">
        <v>6.3</v>
      </c>
      <c r="H961" t="n">
        <v>0</v>
      </c>
      <c r="I961" t="n">
        <v>0</v>
      </c>
      <c r="J961" t="n">
        <v>0</v>
      </c>
      <c r="K961" t="n">
        <v>0</v>
      </c>
      <c r="L961" t="n">
        <v>0</v>
      </c>
      <c r="M961" t="n">
        <v>0</v>
      </c>
      <c r="N961" t="n">
        <v>0</v>
      </c>
      <c r="O961" t="n">
        <v>0</v>
      </c>
      <c r="P961" t="n">
        <v>0</v>
      </c>
      <c r="Q961" t="n">
        <v>0</v>
      </c>
      <c r="R961" s="2" t="inlineStr"/>
    </row>
    <row r="962" ht="15" customHeight="1">
      <c r="A962" t="inlineStr">
        <is>
          <t>A 3841-2022</t>
        </is>
      </c>
      <c r="B962" s="1" t="n">
        <v>44587</v>
      </c>
      <c r="C962" s="1" t="n">
        <v>45849</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3887-2022</t>
        </is>
      </c>
      <c r="B963" s="1" t="n">
        <v>44587</v>
      </c>
      <c r="C963" s="1" t="n">
        <v>45849</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4172-2022</t>
        </is>
      </c>
      <c r="B964" s="1" t="n">
        <v>44588</v>
      </c>
      <c r="C964" s="1" t="n">
        <v>45849</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4557-2022</t>
        </is>
      </c>
      <c r="B965" s="1" t="n">
        <v>44591</v>
      </c>
      <c r="C965" s="1" t="n">
        <v>45849</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4640-2022</t>
        </is>
      </c>
      <c r="B966" s="1" t="n">
        <v>44592</v>
      </c>
      <c r="C966" s="1" t="n">
        <v>45849</v>
      </c>
      <c r="D966" t="inlineStr">
        <is>
          <t>VÄRMLANDS LÄN</t>
        </is>
      </c>
      <c r="E966" t="inlineStr">
        <is>
          <t>TORSBY</t>
        </is>
      </c>
      <c r="G966" t="n">
        <v>9</v>
      </c>
      <c r="H966" t="n">
        <v>0</v>
      </c>
      <c r="I966" t="n">
        <v>0</v>
      </c>
      <c r="J966" t="n">
        <v>0</v>
      </c>
      <c r="K966" t="n">
        <v>0</v>
      </c>
      <c r="L966" t="n">
        <v>0</v>
      </c>
      <c r="M966" t="n">
        <v>0</v>
      </c>
      <c r="N966" t="n">
        <v>0</v>
      </c>
      <c r="O966" t="n">
        <v>0</v>
      </c>
      <c r="P966" t="n">
        <v>0</v>
      </c>
      <c r="Q966" t="n">
        <v>0</v>
      </c>
      <c r="R966" s="2" t="inlineStr"/>
    </row>
    <row r="967" ht="15" customHeight="1">
      <c r="A967" t="inlineStr">
        <is>
          <t>A 4967-2022</t>
        </is>
      </c>
      <c r="B967" s="1" t="n">
        <v>44593</v>
      </c>
      <c r="C967" s="1" t="n">
        <v>45849</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4960-2022</t>
        </is>
      </c>
      <c r="B968" s="1" t="n">
        <v>44593</v>
      </c>
      <c r="C968" s="1" t="n">
        <v>45849</v>
      </c>
      <c r="D968" t="inlineStr">
        <is>
          <t>VÄRMLANDS LÄN</t>
        </is>
      </c>
      <c r="E968" t="inlineStr">
        <is>
          <t>TORSBY</t>
        </is>
      </c>
      <c r="G968" t="n">
        <v>4.8</v>
      </c>
      <c r="H968" t="n">
        <v>0</v>
      </c>
      <c r="I968" t="n">
        <v>0</v>
      </c>
      <c r="J968" t="n">
        <v>0</v>
      </c>
      <c r="K968" t="n">
        <v>0</v>
      </c>
      <c r="L968" t="n">
        <v>0</v>
      </c>
      <c r="M968" t="n">
        <v>0</v>
      </c>
      <c r="N968" t="n">
        <v>0</v>
      </c>
      <c r="O968" t="n">
        <v>0</v>
      </c>
      <c r="P968" t="n">
        <v>0</v>
      </c>
      <c r="Q968" t="n">
        <v>0</v>
      </c>
      <c r="R968" s="2" t="inlineStr"/>
    </row>
    <row r="969" ht="15" customHeight="1">
      <c r="A969" t="inlineStr">
        <is>
          <t>A 5040-2022</t>
        </is>
      </c>
      <c r="B969" s="1" t="n">
        <v>44593</v>
      </c>
      <c r="C969" s="1" t="n">
        <v>45849</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5015-2022</t>
        </is>
      </c>
      <c r="B970" s="1" t="n">
        <v>44593</v>
      </c>
      <c r="C970" s="1" t="n">
        <v>45849</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5289-2022</t>
        </is>
      </c>
      <c r="B971" s="1" t="n">
        <v>44594</v>
      </c>
      <c r="C971" s="1" t="n">
        <v>45849</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6438-2022</t>
        </is>
      </c>
      <c r="B972" s="1" t="n">
        <v>44601</v>
      </c>
      <c r="C972" s="1" t="n">
        <v>45849</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7091-2022</t>
        </is>
      </c>
      <c r="B973" s="1" t="n">
        <v>44603</v>
      </c>
      <c r="C973" s="1" t="n">
        <v>45849</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7069-2022</t>
        </is>
      </c>
      <c r="B974" s="1" t="n">
        <v>44603</v>
      </c>
      <c r="C974" s="1" t="n">
        <v>45849</v>
      </c>
      <c r="D974" t="inlineStr">
        <is>
          <t>VÄRMLANDS LÄN</t>
        </is>
      </c>
      <c r="E974" t="inlineStr">
        <is>
          <t>TORSBY</t>
        </is>
      </c>
      <c r="G974" t="n">
        <v>1.6</v>
      </c>
      <c r="H974" t="n">
        <v>0</v>
      </c>
      <c r="I974" t="n">
        <v>0</v>
      </c>
      <c r="J974" t="n">
        <v>0</v>
      </c>
      <c r="K974" t="n">
        <v>0</v>
      </c>
      <c r="L974" t="n">
        <v>0</v>
      </c>
      <c r="M974" t="n">
        <v>0</v>
      </c>
      <c r="N974" t="n">
        <v>0</v>
      </c>
      <c r="O974" t="n">
        <v>0</v>
      </c>
      <c r="P974" t="n">
        <v>0</v>
      </c>
      <c r="Q974" t="n">
        <v>0</v>
      </c>
      <c r="R974" s="2" t="inlineStr"/>
    </row>
    <row r="975" ht="15" customHeight="1">
      <c r="A975" t="inlineStr">
        <is>
          <t>A 7544-2022</t>
        </is>
      </c>
      <c r="B975" s="1" t="n">
        <v>44607</v>
      </c>
      <c r="C975" s="1" t="n">
        <v>45849</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7543-2022</t>
        </is>
      </c>
      <c r="B976" s="1" t="n">
        <v>44607</v>
      </c>
      <c r="C976" s="1" t="n">
        <v>45849</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7921-2022</t>
        </is>
      </c>
      <c r="B977" s="1" t="n">
        <v>44608</v>
      </c>
      <c r="C977" s="1" t="n">
        <v>45849</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8048-2022</t>
        </is>
      </c>
      <c r="B978" s="1" t="n">
        <v>44609</v>
      </c>
      <c r="C978" s="1" t="n">
        <v>45849</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8054-2022</t>
        </is>
      </c>
      <c r="B979" s="1" t="n">
        <v>44609</v>
      </c>
      <c r="C979" s="1" t="n">
        <v>45849</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8033-2022</t>
        </is>
      </c>
      <c r="B980" s="1" t="n">
        <v>44609</v>
      </c>
      <c r="C980" s="1" t="n">
        <v>45849</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8739-2022</t>
        </is>
      </c>
      <c r="B981" s="1" t="n">
        <v>44615</v>
      </c>
      <c r="C981" s="1" t="n">
        <v>45849</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9057-2022</t>
        </is>
      </c>
      <c r="B982" s="1" t="n">
        <v>44615</v>
      </c>
      <c r="C982" s="1" t="n">
        <v>45849</v>
      </c>
      <c r="D982" t="inlineStr">
        <is>
          <t>VÄRMLANDS LÄN</t>
        </is>
      </c>
      <c r="E982" t="inlineStr">
        <is>
          <t>TORSBY</t>
        </is>
      </c>
      <c r="G982" t="n">
        <v>2.9</v>
      </c>
      <c r="H982" t="n">
        <v>0</v>
      </c>
      <c r="I982" t="n">
        <v>0</v>
      </c>
      <c r="J982" t="n">
        <v>0</v>
      </c>
      <c r="K982" t="n">
        <v>0</v>
      </c>
      <c r="L982" t="n">
        <v>0</v>
      </c>
      <c r="M982" t="n">
        <v>0</v>
      </c>
      <c r="N982" t="n">
        <v>0</v>
      </c>
      <c r="O982" t="n">
        <v>0</v>
      </c>
      <c r="P982" t="n">
        <v>0</v>
      </c>
      <c r="Q982" t="n">
        <v>0</v>
      </c>
      <c r="R982" s="2" t="inlineStr"/>
    </row>
    <row r="983" ht="15" customHeight="1">
      <c r="A983" t="inlineStr">
        <is>
          <t>A 10608-2022</t>
        </is>
      </c>
      <c r="B983" s="1" t="n">
        <v>44624</v>
      </c>
      <c r="C983" s="1" t="n">
        <v>45849</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11050-2022</t>
        </is>
      </c>
      <c r="B984" s="1" t="n">
        <v>44628</v>
      </c>
      <c r="C984" s="1" t="n">
        <v>45849</v>
      </c>
      <c r="D984" t="inlineStr">
        <is>
          <t>VÄRMLANDS LÄN</t>
        </is>
      </c>
      <c r="E984" t="inlineStr">
        <is>
          <t>TORSBY</t>
        </is>
      </c>
      <c r="G984" t="n">
        <v>4.9</v>
      </c>
      <c r="H984" t="n">
        <v>0</v>
      </c>
      <c r="I984" t="n">
        <v>0</v>
      </c>
      <c r="J984" t="n">
        <v>0</v>
      </c>
      <c r="K984" t="n">
        <v>0</v>
      </c>
      <c r="L984" t="n">
        <v>0</v>
      </c>
      <c r="M984" t="n">
        <v>0</v>
      </c>
      <c r="N984" t="n">
        <v>0</v>
      </c>
      <c r="O984" t="n">
        <v>0</v>
      </c>
      <c r="P984" t="n">
        <v>0</v>
      </c>
      <c r="Q984" t="n">
        <v>0</v>
      </c>
      <c r="R984" s="2" t="inlineStr"/>
    </row>
    <row r="985" ht="15" customHeight="1">
      <c r="A985" t="inlineStr">
        <is>
          <t>A 11447-2022</t>
        </is>
      </c>
      <c r="B985" s="1" t="n">
        <v>44630</v>
      </c>
      <c r="C985" s="1" t="n">
        <v>45849</v>
      </c>
      <c r="D985" t="inlineStr">
        <is>
          <t>VÄRMLANDS LÄN</t>
        </is>
      </c>
      <c r="E985" t="inlineStr">
        <is>
          <t>TORSBY</t>
        </is>
      </c>
      <c r="G985" t="n">
        <v>2.4</v>
      </c>
      <c r="H985" t="n">
        <v>0</v>
      </c>
      <c r="I985" t="n">
        <v>0</v>
      </c>
      <c r="J985" t="n">
        <v>0</v>
      </c>
      <c r="K985" t="n">
        <v>0</v>
      </c>
      <c r="L985" t="n">
        <v>0</v>
      </c>
      <c r="M985" t="n">
        <v>0</v>
      </c>
      <c r="N985" t="n">
        <v>0</v>
      </c>
      <c r="O985" t="n">
        <v>0</v>
      </c>
      <c r="P985" t="n">
        <v>0</v>
      </c>
      <c r="Q985" t="n">
        <v>0</v>
      </c>
      <c r="R985" s="2" t="inlineStr"/>
    </row>
    <row r="986" ht="15" customHeight="1">
      <c r="A986" t="inlineStr">
        <is>
          <t>A 11665-2022</t>
        </is>
      </c>
      <c r="B986" s="1" t="n">
        <v>44632</v>
      </c>
      <c r="C986" s="1" t="n">
        <v>45849</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11667-2022</t>
        </is>
      </c>
      <c r="B987" s="1" t="n">
        <v>44632</v>
      </c>
      <c r="C987" s="1" t="n">
        <v>45849</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11664-2022</t>
        </is>
      </c>
      <c r="B988" s="1" t="n">
        <v>44632</v>
      </c>
      <c r="C988" s="1" t="n">
        <v>45849</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11666-2022</t>
        </is>
      </c>
      <c r="B989" s="1" t="n">
        <v>44632</v>
      </c>
      <c r="C989" s="1" t="n">
        <v>45849</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11922-2022</t>
        </is>
      </c>
      <c r="B990" s="1" t="n">
        <v>44635</v>
      </c>
      <c r="C990" s="1" t="n">
        <v>45849</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11918-2022</t>
        </is>
      </c>
      <c r="B991" s="1" t="n">
        <v>44635</v>
      </c>
      <c r="C991" s="1" t="n">
        <v>45849</v>
      </c>
      <c r="D991" t="inlineStr">
        <is>
          <t>VÄRMLANDS LÄN</t>
        </is>
      </c>
      <c r="E991" t="inlineStr">
        <is>
          <t>TORSBY</t>
        </is>
      </c>
      <c r="G991" t="n">
        <v>6.4</v>
      </c>
      <c r="H991" t="n">
        <v>0</v>
      </c>
      <c r="I991" t="n">
        <v>0</v>
      </c>
      <c r="J991" t="n">
        <v>0</v>
      </c>
      <c r="K991" t="n">
        <v>0</v>
      </c>
      <c r="L991" t="n">
        <v>0</v>
      </c>
      <c r="M991" t="n">
        <v>0</v>
      </c>
      <c r="N991" t="n">
        <v>0</v>
      </c>
      <c r="O991" t="n">
        <v>0</v>
      </c>
      <c r="P991" t="n">
        <v>0</v>
      </c>
      <c r="Q991" t="n">
        <v>0</v>
      </c>
      <c r="R991" s="2" t="inlineStr"/>
    </row>
    <row r="992" ht="15" customHeight="1">
      <c r="A992" t="inlineStr">
        <is>
          <t>A 12310-2022</t>
        </is>
      </c>
      <c r="B992" s="1" t="n">
        <v>44636</v>
      </c>
      <c r="C992" s="1" t="n">
        <v>45849</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12365-2022</t>
        </is>
      </c>
      <c r="B993" s="1" t="n">
        <v>44637</v>
      </c>
      <c r="C993" s="1" t="n">
        <v>45849</v>
      </c>
      <c r="D993" t="inlineStr">
        <is>
          <t>VÄRMLANDS LÄN</t>
        </is>
      </c>
      <c r="E993" t="inlineStr">
        <is>
          <t>TORSBY</t>
        </is>
      </c>
      <c r="G993" t="n">
        <v>3.5</v>
      </c>
      <c r="H993" t="n">
        <v>0</v>
      </c>
      <c r="I993" t="n">
        <v>0</v>
      </c>
      <c r="J993" t="n">
        <v>0</v>
      </c>
      <c r="K993" t="n">
        <v>0</v>
      </c>
      <c r="L993" t="n">
        <v>0</v>
      </c>
      <c r="M993" t="n">
        <v>0</v>
      </c>
      <c r="N993" t="n">
        <v>0</v>
      </c>
      <c r="O993" t="n">
        <v>0</v>
      </c>
      <c r="P993" t="n">
        <v>0</v>
      </c>
      <c r="Q993" t="n">
        <v>0</v>
      </c>
      <c r="R993" s="2" t="inlineStr"/>
    </row>
    <row r="994" ht="15" customHeight="1">
      <c r="A994" t="inlineStr">
        <is>
          <t>A 13207-2022</t>
        </is>
      </c>
      <c r="B994" s="1" t="n">
        <v>44644</v>
      </c>
      <c r="C994" s="1" t="n">
        <v>45849</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13698-2022</t>
        </is>
      </c>
      <c r="B995" s="1" t="n">
        <v>44648</v>
      </c>
      <c r="C995" s="1" t="n">
        <v>45849</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13896-2022</t>
        </is>
      </c>
      <c r="B996" s="1" t="n">
        <v>44650</v>
      </c>
      <c r="C996" s="1" t="n">
        <v>45849</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14145-2022</t>
        </is>
      </c>
      <c r="B997" s="1" t="n">
        <v>44651</v>
      </c>
      <c r="C997" s="1" t="n">
        <v>45849</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14168-2022</t>
        </is>
      </c>
      <c r="B998" s="1" t="n">
        <v>44651</v>
      </c>
      <c r="C998" s="1" t="n">
        <v>45849</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14320-2022</t>
        </is>
      </c>
      <c r="B999" s="1" t="n">
        <v>44652</v>
      </c>
      <c r="C999" s="1" t="n">
        <v>45849</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15461-2022</t>
        </is>
      </c>
      <c r="B1000" s="1" t="n">
        <v>44661</v>
      </c>
      <c r="C1000" s="1" t="n">
        <v>45849</v>
      </c>
      <c r="D1000" t="inlineStr">
        <is>
          <t>VÄRMLANDS LÄN</t>
        </is>
      </c>
      <c r="E1000" t="inlineStr">
        <is>
          <t>TORSBY</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15460-2022</t>
        </is>
      </c>
      <c r="B1001" s="1" t="n">
        <v>44661</v>
      </c>
      <c r="C1001" s="1" t="n">
        <v>45849</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16080-2022</t>
        </is>
      </c>
      <c r="B1002" s="1" t="n">
        <v>44665</v>
      </c>
      <c r="C1002" s="1" t="n">
        <v>45849</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16010-2022</t>
        </is>
      </c>
      <c r="B1003" s="1" t="n">
        <v>44665</v>
      </c>
      <c r="C1003" s="1" t="n">
        <v>45849</v>
      </c>
      <c r="D1003" t="inlineStr">
        <is>
          <t>VÄRMLANDS LÄN</t>
        </is>
      </c>
      <c r="E1003" t="inlineStr">
        <is>
          <t>TORSBY</t>
        </is>
      </c>
      <c r="F1003" t="inlineStr">
        <is>
          <t>Bergvik skog väst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16425-2022</t>
        </is>
      </c>
      <c r="B1004" s="1" t="n">
        <v>44671</v>
      </c>
      <c r="C1004" s="1" t="n">
        <v>45849</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16498-2022</t>
        </is>
      </c>
      <c r="B1005" s="1" t="n">
        <v>44671</v>
      </c>
      <c r="C1005" s="1" t="n">
        <v>45849</v>
      </c>
      <c r="D1005" t="inlineStr">
        <is>
          <t>VÄRMLANDS LÄN</t>
        </is>
      </c>
      <c r="E1005" t="inlineStr">
        <is>
          <t>TORSBY</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17765-2022</t>
        </is>
      </c>
      <c r="B1006" s="1" t="n">
        <v>44681</v>
      </c>
      <c r="C1006" s="1" t="n">
        <v>45849</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18101-2022</t>
        </is>
      </c>
      <c r="B1007" s="1" t="n">
        <v>44684</v>
      </c>
      <c r="C1007" s="1" t="n">
        <v>45849</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18105-2022</t>
        </is>
      </c>
      <c r="B1008" s="1" t="n">
        <v>44684</v>
      </c>
      <c r="C1008" s="1" t="n">
        <v>45849</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18099-2022</t>
        </is>
      </c>
      <c r="B1009" s="1" t="n">
        <v>44684</v>
      </c>
      <c r="C1009" s="1" t="n">
        <v>45849</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18347-2022</t>
        </is>
      </c>
      <c r="B1010" s="1" t="n">
        <v>44685</v>
      </c>
      <c r="C1010" s="1" t="n">
        <v>45849</v>
      </c>
      <c r="D1010" t="inlineStr">
        <is>
          <t>VÄRMLANDS LÄN</t>
        </is>
      </c>
      <c r="E1010" t="inlineStr">
        <is>
          <t>TORSBY</t>
        </is>
      </c>
      <c r="F1010" t="inlineStr">
        <is>
          <t>Bergvik skog väst AB</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18628-2022</t>
        </is>
      </c>
      <c r="B1011" s="1" t="n">
        <v>44687</v>
      </c>
      <c r="C1011" s="1" t="n">
        <v>45849</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18779-2022</t>
        </is>
      </c>
      <c r="B1012" s="1" t="n">
        <v>44689</v>
      </c>
      <c r="C1012" s="1" t="n">
        <v>45849</v>
      </c>
      <c r="D1012" t="inlineStr">
        <is>
          <t>VÄRMLANDS LÄN</t>
        </is>
      </c>
      <c r="E1012" t="inlineStr">
        <is>
          <t>TORSBY</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18897-2022</t>
        </is>
      </c>
      <c r="B1013" s="1" t="n">
        <v>44690</v>
      </c>
      <c r="C1013" s="1" t="n">
        <v>45849</v>
      </c>
      <c r="D1013" t="inlineStr">
        <is>
          <t>VÄRMLANDS LÄN</t>
        </is>
      </c>
      <c r="E1013" t="inlineStr">
        <is>
          <t>TORSBY</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18877-2022</t>
        </is>
      </c>
      <c r="B1014" s="1" t="n">
        <v>44690</v>
      </c>
      <c r="C1014" s="1" t="n">
        <v>45849</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18903-2022</t>
        </is>
      </c>
      <c r="B1015" s="1" t="n">
        <v>44690</v>
      </c>
      <c r="C1015" s="1" t="n">
        <v>45849</v>
      </c>
      <c r="D1015" t="inlineStr">
        <is>
          <t>VÄRMLANDS LÄN</t>
        </is>
      </c>
      <c r="E1015" t="inlineStr">
        <is>
          <t>TORSBY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19171-2022</t>
        </is>
      </c>
      <c r="B1016" s="1" t="n">
        <v>44691</v>
      </c>
      <c r="C1016" s="1" t="n">
        <v>45849</v>
      </c>
      <c r="D1016" t="inlineStr">
        <is>
          <t>VÄRMLANDS LÄN</t>
        </is>
      </c>
      <c r="E1016" t="inlineStr">
        <is>
          <t>TORSBY</t>
        </is>
      </c>
      <c r="F1016" t="inlineStr">
        <is>
          <t>Bergvik skog väst AB</t>
        </is>
      </c>
      <c r="G1016" t="n">
        <v>23.3</v>
      </c>
      <c r="H1016" t="n">
        <v>0</v>
      </c>
      <c r="I1016" t="n">
        <v>0</v>
      </c>
      <c r="J1016" t="n">
        <v>0</v>
      </c>
      <c r="K1016" t="n">
        <v>0</v>
      </c>
      <c r="L1016" t="n">
        <v>0</v>
      </c>
      <c r="M1016" t="n">
        <v>0</v>
      </c>
      <c r="N1016" t="n">
        <v>0</v>
      </c>
      <c r="O1016" t="n">
        <v>0</v>
      </c>
      <c r="P1016" t="n">
        <v>0</v>
      </c>
      <c r="Q1016" t="n">
        <v>0</v>
      </c>
      <c r="R1016" s="2" t="inlineStr"/>
    </row>
    <row r="1017" ht="15" customHeight="1">
      <c r="A1017" t="inlineStr">
        <is>
          <t>A 19307-2022</t>
        </is>
      </c>
      <c r="B1017" s="1" t="n">
        <v>44692</v>
      </c>
      <c r="C1017" s="1" t="n">
        <v>45849</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19489-2022</t>
        </is>
      </c>
      <c r="B1018" s="1" t="n">
        <v>44693</v>
      </c>
      <c r="C1018" s="1" t="n">
        <v>45849</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19632-2022</t>
        </is>
      </c>
      <c r="B1019" s="1" t="n">
        <v>44694</v>
      </c>
      <c r="C1019" s="1" t="n">
        <v>45849</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45849</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20045-2022</t>
        </is>
      </c>
      <c r="B1021" s="1" t="n">
        <v>44697</v>
      </c>
      <c r="C1021" s="1" t="n">
        <v>45849</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20046-2022</t>
        </is>
      </c>
      <c r="B1022" s="1" t="n">
        <v>44697</v>
      </c>
      <c r="C1022" s="1" t="n">
        <v>45849</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45849</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20168-2022</t>
        </is>
      </c>
      <c r="B1024" s="1" t="n">
        <v>44698</v>
      </c>
      <c r="C1024" s="1" t="n">
        <v>45849</v>
      </c>
      <c r="D1024" t="inlineStr">
        <is>
          <t>VÄRMLANDS LÄN</t>
        </is>
      </c>
      <c r="E1024" t="inlineStr">
        <is>
          <t>TORSBY</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20175-2022</t>
        </is>
      </c>
      <c r="B1025" s="1" t="n">
        <v>44698</v>
      </c>
      <c r="C1025" s="1" t="n">
        <v>45849</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45849</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20382-2022</t>
        </is>
      </c>
      <c r="B1027" s="1" t="n">
        <v>44699</v>
      </c>
      <c r="C1027" s="1" t="n">
        <v>45849</v>
      </c>
      <c r="D1027" t="inlineStr">
        <is>
          <t>VÄRMLANDS LÄN</t>
        </is>
      </c>
      <c r="E1027" t="inlineStr">
        <is>
          <t>TORSBY</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20819-2022</t>
        </is>
      </c>
      <c r="B1028" s="1" t="n">
        <v>44699</v>
      </c>
      <c r="C1028" s="1" t="n">
        <v>45849</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20881-2022</t>
        </is>
      </c>
      <c r="B1029" s="1" t="n">
        <v>44701</v>
      </c>
      <c r="C1029" s="1" t="n">
        <v>45849</v>
      </c>
      <c r="D1029" t="inlineStr">
        <is>
          <t>VÄRMLANDS LÄN</t>
        </is>
      </c>
      <c r="E1029" t="inlineStr">
        <is>
          <t>TORSBY</t>
        </is>
      </c>
      <c r="F1029" t="inlineStr">
        <is>
          <t>Bergvik skog väst AB</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20907-2022</t>
        </is>
      </c>
      <c r="B1030" s="1" t="n">
        <v>44701</v>
      </c>
      <c r="C1030" s="1" t="n">
        <v>45849</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20899-2022</t>
        </is>
      </c>
      <c r="B1031" s="1" t="n">
        <v>44701</v>
      </c>
      <c r="C1031" s="1" t="n">
        <v>45849</v>
      </c>
      <c r="D1031" t="inlineStr">
        <is>
          <t>VÄRMLANDS LÄN</t>
        </is>
      </c>
      <c r="E1031" t="inlineStr">
        <is>
          <t>TORSBY</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21094-2022</t>
        </is>
      </c>
      <c r="B1032" s="1" t="n">
        <v>44704</v>
      </c>
      <c r="C1032" s="1" t="n">
        <v>45849</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21070-2022</t>
        </is>
      </c>
      <c r="B1033" s="1" t="n">
        <v>44704</v>
      </c>
      <c r="C1033" s="1" t="n">
        <v>45849</v>
      </c>
      <c r="D1033" t="inlineStr">
        <is>
          <t>VÄRMLANDS LÄN</t>
        </is>
      </c>
      <c r="E1033" t="inlineStr">
        <is>
          <t>TORSBY</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21089-2022</t>
        </is>
      </c>
      <c r="B1034" s="1" t="n">
        <v>44704</v>
      </c>
      <c r="C1034" s="1" t="n">
        <v>45849</v>
      </c>
      <c r="D1034" t="inlineStr">
        <is>
          <t>VÄRMLANDS LÄN</t>
        </is>
      </c>
      <c r="E1034" t="inlineStr">
        <is>
          <t>TORSBY</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21516-2022</t>
        </is>
      </c>
      <c r="B1035" s="1" t="n">
        <v>44706</v>
      </c>
      <c r="C1035" s="1" t="n">
        <v>45849</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21465-2022</t>
        </is>
      </c>
      <c r="B1036" s="1" t="n">
        <v>44706</v>
      </c>
      <c r="C1036" s="1" t="n">
        <v>45849</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21521-2022</t>
        </is>
      </c>
      <c r="B1037" s="1" t="n">
        <v>44706</v>
      </c>
      <c r="C1037" s="1" t="n">
        <v>45849</v>
      </c>
      <c r="D1037" t="inlineStr">
        <is>
          <t>VÄRMLANDS LÄN</t>
        </is>
      </c>
      <c r="E1037" t="inlineStr">
        <is>
          <t>TORSBY</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22158-2022</t>
        </is>
      </c>
      <c r="B1038" s="1" t="n">
        <v>44708</v>
      </c>
      <c r="C1038" s="1" t="n">
        <v>45849</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22124-2022</t>
        </is>
      </c>
      <c r="B1039" s="1" t="n">
        <v>44712</v>
      </c>
      <c r="C1039" s="1" t="n">
        <v>45849</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22635-2022</t>
        </is>
      </c>
      <c r="B1040" s="1" t="n">
        <v>44714</v>
      </c>
      <c r="C1040" s="1" t="n">
        <v>45849</v>
      </c>
      <c r="D1040" t="inlineStr">
        <is>
          <t>VÄRMLANDS LÄN</t>
        </is>
      </c>
      <c r="E1040" t="inlineStr">
        <is>
          <t>TORSBY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22662-2022</t>
        </is>
      </c>
      <c r="B1041" s="1" t="n">
        <v>44714</v>
      </c>
      <c r="C1041" s="1" t="n">
        <v>45849</v>
      </c>
      <c r="D1041" t="inlineStr">
        <is>
          <t>VÄRMLANDS LÄN</t>
        </is>
      </c>
      <c r="E1041" t="inlineStr">
        <is>
          <t>TORSBY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22826-2022</t>
        </is>
      </c>
      <c r="B1042" s="1" t="n">
        <v>44714</v>
      </c>
      <c r="C1042" s="1" t="n">
        <v>45849</v>
      </c>
      <c r="D1042" t="inlineStr">
        <is>
          <t>VÄRMLANDS LÄN</t>
        </is>
      </c>
      <c r="E1042" t="inlineStr">
        <is>
          <t>TORSBY</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22823-2022</t>
        </is>
      </c>
      <c r="B1043" s="1" t="n">
        <v>44714</v>
      </c>
      <c r="C1043" s="1" t="n">
        <v>45849</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23185-2022</t>
        </is>
      </c>
      <c r="B1044" s="1" t="n">
        <v>44719</v>
      </c>
      <c r="C1044" s="1" t="n">
        <v>45849</v>
      </c>
      <c r="D1044" t="inlineStr">
        <is>
          <t>VÄRMLANDS LÄN</t>
        </is>
      </c>
      <c r="E1044" t="inlineStr">
        <is>
          <t>TORSBY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23011-2022</t>
        </is>
      </c>
      <c r="B1045" s="1" t="n">
        <v>44719</v>
      </c>
      <c r="C1045" s="1" t="n">
        <v>45849</v>
      </c>
      <c r="D1045" t="inlineStr">
        <is>
          <t>VÄRMLANDS LÄN</t>
        </is>
      </c>
      <c r="E1045" t="inlineStr">
        <is>
          <t>TORSBY</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23264-2022</t>
        </is>
      </c>
      <c r="B1046" s="1" t="n">
        <v>44720</v>
      </c>
      <c r="C1046" s="1" t="n">
        <v>45849</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23343-2022</t>
        </is>
      </c>
      <c r="B1047" s="1" t="n">
        <v>44720</v>
      </c>
      <c r="C1047" s="1" t="n">
        <v>45849</v>
      </c>
      <c r="D1047" t="inlineStr">
        <is>
          <t>VÄRMLANDS LÄN</t>
        </is>
      </c>
      <c r="E1047" t="inlineStr">
        <is>
          <t>TORSBY</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23401-2022</t>
        </is>
      </c>
      <c r="B1048" s="1" t="n">
        <v>44720</v>
      </c>
      <c r="C1048" s="1" t="n">
        <v>45849</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23405-2022</t>
        </is>
      </c>
      <c r="B1049" s="1" t="n">
        <v>44720</v>
      </c>
      <c r="C1049" s="1" t="n">
        <v>45849</v>
      </c>
      <c r="D1049" t="inlineStr">
        <is>
          <t>VÄRMLANDS LÄN</t>
        </is>
      </c>
      <c r="E1049" t="inlineStr">
        <is>
          <t>TORSBY</t>
        </is>
      </c>
      <c r="F1049" t="inlineStr">
        <is>
          <t>Bergvik skog väst AB</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23803-2022</t>
        </is>
      </c>
      <c r="B1050" s="1" t="n">
        <v>44720</v>
      </c>
      <c r="C1050" s="1" t="n">
        <v>45849</v>
      </c>
      <c r="D1050" t="inlineStr">
        <is>
          <t>VÄRMLANDS LÄN</t>
        </is>
      </c>
      <c r="E1050" t="inlineStr">
        <is>
          <t>TORSBY</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23804-2022</t>
        </is>
      </c>
      <c r="B1051" s="1" t="n">
        <v>44722</v>
      </c>
      <c r="C1051" s="1" t="n">
        <v>45849</v>
      </c>
      <c r="D1051" t="inlineStr">
        <is>
          <t>VÄRMLANDS LÄN</t>
        </is>
      </c>
      <c r="E1051" t="inlineStr">
        <is>
          <t>TORSBY</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23823-2022</t>
        </is>
      </c>
      <c r="B1052" s="1" t="n">
        <v>44722</v>
      </c>
      <c r="C1052" s="1" t="n">
        <v>45849</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23735-2022</t>
        </is>
      </c>
      <c r="B1053" s="1" t="n">
        <v>44722</v>
      </c>
      <c r="C1053" s="1" t="n">
        <v>45849</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23818-2022</t>
        </is>
      </c>
      <c r="B1054" s="1" t="n">
        <v>44722</v>
      </c>
      <c r="C1054" s="1" t="n">
        <v>45849</v>
      </c>
      <c r="D1054" t="inlineStr">
        <is>
          <t>VÄRMLANDS LÄN</t>
        </is>
      </c>
      <c r="E1054" t="inlineStr">
        <is>
          <t>TORSBY</t>
        </is>
      </c>
      <c r="G1054" t="n">
        <v>23.5</v>
      </c>
      <c r="H1054" t="n">
        <v>0</v>
      </c>
      <c r="I1054" t="n">
        <v>0</v>
      </c>
      <c r="J1054" t="n">
        <v>0</v>
      </c>
      <c r="K1054" t="n">
        <v>0</v>
      </c>
      <c r="L1054" t="n">
        <v>0</v>
      </c>
      <c r="M1054" t="n">
        <v>0</v>
      </c>
      <c r="N1054" t="n">
        <v>0</v>
      </c>
      <c r="O1054" t="n">
        <v>0</v>
      </c>
      <c r="P1054" t="n">
        <v>0</v>
      </c>
      <c r="Q1054" t="n">
        <v>0</v>
      </c>
      <c r="R1054" s="2" t="inlineStr"/>
    </row>
    <row r="1055" ht="15" customHeight="1">
      <c r="A1055" t="inlineStr">
        <is>
          <t>A 23732-2022</t>
        </is>
      </c>
      <c r="B1055" s="1" t="n">
        <v>44722</v>
      </c>
      <c r="C1055" s="1" t="n">
        <v>45849</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23746-2022</t>
        </is>
      </c>
      <c r="B1056" s="1" t="n">
        <v>44722</v>
      </c>
      <c r="C1056" s="1" t="n">
        <v>45849</v>
      </c>
      <c r="D1056" t="inlineStr">
        <is>
          <t>VÄRMLANDS LÄN</t>
        </is>
      </c>
      <c r="E1056" t="inlineStr">
        <is>
          <t>TORSBY</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45849</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24960-2022</t>
        </is>
      </c>
      <c r="B1058" s="1" t="n">
        <v>44728</v>
      </c>
      <c r="C1058" s="1" t="n">
        <v>45849</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25537-2022</t>
        </is>
      </c>
      <c r="B1059" s="1" t="n">
        <v>44732</v>
      </c>
      <c r="C1059" s="1" t="n">
        <v>45849</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26686-2022</t>
        </is>
      </c>
      <c r="B1060" s="1" t="n">
        <v>44739</v>
      </c>
      <c r="C1060" s="1" t="n">
        <v>45849</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26842-2022</t>
        </is>
      </c>
      <c r="B1061" s="1" t="n">
        <v>44740</v>
      </c>
      <c r="C1061" s="1" t="n">
        <v>45849</v>
      </c>
      <c r="D1061" t="inlineStr">
        <is>
          <t>VÄRMLANDS LÄN</t>
        </is>
      </c>
      <c r="E1061" t="inlineStr">
        <is>
          <t>TORSBY</t>
        </is>
      </c>
      <c r="F1061" t="inlineStr">
        <is>
          <t>Bergvik skog väst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26988-2022</t>
        </is>
      </c>
      <c r="B1062" s="1" t="n">
        <v>44740</v>
      </c>
      <c r="C1062" s="1" t="n">
        <v>45849</v>
      </c>
      <c r="D1062" t="inlineStr">
        <is>
          <t>VÄRMLANDS LÄN</t>
        </is>
      </c>
      <c r="E1062" t="inlineStr">
        <is>
          <t>TORSBY</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27223-2022</t>
        </is>
      </c>
      <c r="B1063" s="1" t="n">
        <v>44741</v>
      </c>
      <c r="C1063" s="1" t="n">
        <v>45849</v>
      </c>
      <c r="D1063" t="inlineStr">
        <is>
          <t>VÄRMLANDS LÄN</t>
        </is>
      </c>
      <c r="E1063" t="inlineStr">
        <is>
          <t>TORSBY</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27686-2022</t>
        </is>
      </c>
      <c r="B1064" s="1" t="n">
        <v>44743</v>
      </c>
      <c r="C1064" s="1" t="n">
        <v>45849</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28008-2022</t>
        </is>
      </c>
      <c r="B1065" s="1" t="n">
        <v>44746</v>
      </c>
      <c r="C1065" s="1" t="n">
        <v>45849</v>
      </c>
      <c r="D1065" t="inlineStr">
        <is>
          <t>VÄRMLANDS LÄN</t>
        </is>
      </c>
      <c r="E1065" t="inlineStr">
        <is>
          <t>TORSBY</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28016-2022</t>
        </is>
      </c>
      <c r="B1066" s="1" t="n">
        <v>44746</v>
      </c>
      <c r="C1066" s="1" t="n">
        <v>45849</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28113-2022</t>
        </is>
      </c>
      <c r="B1067" s="1" t="n">
        <v>44746</v>
      </c>
      <c r="C1067" s="1" t="n">
        <v>45849</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28172-2022</t>
        </is>
      </c>
      <c r="B1068" s="1" t="n">
        <v>44746</v>
      </c>
      <c r="C1068" s="1" t="n">
        <v>45849</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28471-2022</t>
        </is>
      </c>
      <c r="B1069" s="1" t="n">
        <v>44747</v>
      </c>
      <c r="C1069" s="1" t="n">
        <v>45849</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28955-2022</t>
        </is>
      </c>
      <c r="B1070" s="1" t="n">
        <v>44749</v>
      </c>
      <c r="C1070" s="1" t="n">
        <v>45849</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29142-2022</t>
        </is>
      </c>
      <c r="B1071" s="1" t="n">
        <v>44750</v>
      </c>
      <c r="C1071" s="1" t="n">
        <v>45849</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29509-2022</t>
        </is>
      </c>
      <c r="B1072" s="1" t="n">
        <v>44753</v>
      </c>
      <c r="C1072" s="1" t="n">
        <v>45849</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29596-2022</t>
        </is>
      </c>
      <c r="B1073" s="1" t="n">
        <v>44754</v>
      </c>
      <c r="C1073" s="1" t="n">
        <v>45849</v>
      </c>
      <c r="D1073" t="inlineStr">
        <is>
          <t>VÄRMLANDS LÄN</t>
        </is>
      </c>
      <c r="E1073" t="inlineStr">
        <is>
          <t>TORSBY</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29717-2022</t>
        </is>
      </c>
      <c r="B1074" s="1" t="n">
        <v>44755</v>
      </c>
      <c r="C1074" s="1" t="n">
        <v>45849</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29720-2022</t>
        </is>
      </c>
      <c r="B1075" s="1" t="n">
        <v>44755</v>
      </c>
      <c r="C1075" s="1" t="n">
        <v>45849</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29721-2022</t>
        </is>
      </c>
      <c r="B1076" s="1" t="n">
        <v>44755</v>
      </c>
      <c r="C1076" s="1" t="n">
        <v>45849</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29901-2022</t>
        </is>
      </c>
      <c r="B1077" s="1" t="n">
        <v>44756</v>
      </c>
      <c r="C1077" s="1" t="n">
        <v>45849</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29908-2022</t>
        </is>
      </c>
      <c r="B1078" s="1" t="n">
        <v>44756</v>
      </c>
      <c r="C1078" s="1" t="n">
        <v>45849</v>
      </c>
      <c r="D1078" t="inlineStr">
        <is>
          <t>VÄRMLANDS LÄN</t>
        </is>
      </c>
      <c r="E1078" t="inlineStr">
        <is>
          <t>TORSBY</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29921-2022</t>
        </is>
      </c>
      <c r="B1079" s="1" t="n">
        <v>44756</v>
      </c>
      <c r="C1079" s="1" t="n">
        <v>45849</v>
      </c>
      <c r="D1079" t="inlineStr">
        <is>
          <t>VÄRMLANDS LÄN</t>
        </is>
      </c>
      <c r="E1079" t="inlineStr">
        <is>
          <t>TORSBY</t>
        </is>
      </c>
      <c r="F1079" t="inlineStr">
        <is>
          <t>Kommuner</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29990-2022</t>
        </is>
      </c>
      <c r="B1080" s="1" t="n">
        <v>44756</v>
      </c>
      <c r="C1080" s="1" t="n">
        <v>45849</v>
      </c>
      <c r="D1080" t="inlineStr">
        <is>
          <t>VÄRMLANDS LÄN</t>
        </is>
      </c>
      <c r="E1080" t="inlineStr">
        <is>
          <t>TORSBY</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30326-2022</t>
        </is>
      </c>
      <c r="B1081" s="1" t="n">
        <v>44760</v>
      </c>
      <c r="C1081" s="1" t="n">
        <v>45849</v>
      </c>
      <c r="D1081" t="inlineStr">
        <is>
          <t>VÄRMLANDS LÄN</t>
        </is>
      </c>
      <c r="E1081" t="inlineStr">
        <is>
          <t>TORSBY</t>
        </is>
      </c>
      <c r="F1081" t="inlineStr">
        <is>
          <t>Kommuner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30612-2022</t>
        </is>
      </c>
      <c r="B1082" s="1" t="n">
        <v>44763</v>
      </c>
      <c r="C1082" s="1" t="n">
        <v>45849</v>
      </c>
      <c r="D1082" t="inlineStr">
        <is>
          <t>VÄRMLANDS LÄN</t>
        </is>
      </c>
      <c r="E1082" t="inlineStr">
        <is>
          <t>TORSBY</t>
        </is>
      </c>
      <c r="F1082" t="inlineStr">
        <is>
          <t>Kommuner</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32003-2022</t>
        </is>
      </c>
      <c r="B1083" s="1" t="n">
        <v>44778</v>
      </c>
      <c r="C1083" s="1" t="n">
        <v>45849</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32438-2022</t>
        </is>
      </c>
      <c r="B1084" s="1" t="n">
        <v>44782</v>
      </c>
      <c r="C1084" s="1" t="n">
        <v>45849</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32444-2022</t>
        </is>
      </c>
      <c r="B1085" s="1" t="n">
        <v>44782</v>
      </c>
      <c r="C1085" s="1" t="n">
        <v>45849</v>
      </c>
      <c r="D1085" t="inlineStr">
        <is>
          <t>VÄRMLANDS LÄN</t>
        </is>
      </c>
      <c r="E1085" t="inlineStr">
        <is>
          <t>TORSBY</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32400-2022</t>
        </is>
      </c>
      <c r="B1086" s="1" t="n">
        <v>44782</v>
      </c>
      <c r="C1086" s="1" t="n">
        <v>45849</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32496-2022</t>
        </is>
      </c>
      <c r="B1087" s="1" t="n">
        <v>44782</v>
      </c>
      <c r="C1087" s="1" t="n">
        <v>45849</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33069-2022</t>
        </is>
      </c>
      <c r="B1088" s="1" t="n">
        <v>44785</v>
      </c>
      <c r="C1088" s="1" t="n">
        <v>45849</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33181-2022</t>
        </is>
      </c>
      <c r="B1089" s="1" t="n">
        <v>44785</v>
      </c>
      <c r="C1089" s="1" t="n">
        <v>45849</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33254-2022</t>
        </is>
      </c>
      <c r="B1090" s="1" t="n">
        <v>44787</v>
      </c>
      <c r="C1090" s="1" t="n">
        <v>45849</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33251-2022</t>
        </is>
      </c>
      <c r="B1091" s="1" t="n">
        <v>44787</v>
      </c>
      <c r="C1091" s="1" t="n">
        <v>45849</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33579-2022</t>
        </is>
      </c>
      <c r="B1092" s="1" t="n">
        <v>44789</v>
      </c>
      <c r="C1092" s="1" t="n">
        <v>45849</v>
      </c>
      <c r="D1092" t="inlineStr">
        <is>
          <t>VÄRMLANDS LÄN</t>
        </is>
      </c>
      <c r="E1092" t="inlineStr">
        <is>
          <t>TORSBY</t>
        </is>
      </c>
      <c r="F1092" t="inlineStr">
        <is>
          <t>Bergvik skog väst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33802-2022</t>
        </is>
      </c>
      <c r="B1093" s="1" t="n">
        <v>44790</v>
      </c>
      <c r="C1093" s="1" t="n">
        <v>45849</v>
      </c>
      <c r="D1093" t="inlineStr">
        <is>
          <t>VÄRMLANDS LÄN</t>
        </is>
      </c>
      <c r="E1093" t="inlineStr">
        <is>
          <t>TORSBY</t>
        </is>
      </c>
      <c r="F1093" t="inlineStr">
        <is>
          <t>Bergvik skog väst AB</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33960-2022</t>
        </is>
      </c>
      <c r="B1094" s="1" t="n">
        <v>44790</v>
      </c>
      <c r="C1094" s="1" t="n">
        <v>45849</v>
      </c>
      <c r="D1094" t="inlineStr">
        <is>
          <t>VÄRMLANDS LÄN</t>
        </is>
      </c>
      <c r="E1094" t="inlineStr">
        <is>
          <t>TORSBY</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33958-2022</t>
        </is>
      </c>
      <c r="B1095" s="1" t="n">
        <v>44790</v>
      </c>
      <c r="C1095" s="1" t="n">
        <v>45849</v>
      </c>
      <c r="D1095" t="inlineStr">
        <is>
          <t>VÄRMLANDS LÄN</t>
        </is>
      </c>
      <c r="E1095" t="inlineStr">
        <is>
          <t>TORSBY</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33943-2022</t>
        </is>
      </c>
      <c r="B1096" s="1" t="n">
        <v>44790</v>
      </c>
      <c r="C1096" s="1" t="n">
        <v>45849</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33959-2022</t>
        </is>
      </c>
      <c r="B1097" s="1" t="n">
        <v>44790</v>
      </c>
      <c r="C1097" s="1" t="n">
        <v>45849</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34371-2022</t>
        </is>
      </c>
      <c r="B1098" s="1" t="n">
        <v>44792</v>
      </c>
      <c r="C1098" s="1" t="n">
        <v>45849</v>
      </c>
      <c r="D1098" t="inlineStr">
        <is>
          <t>VÄRMLANDS LÄN</t>
        </is>
      </c>
      <c r="E1098" t="inlineStr">
        <is>
          <t>TORSBY</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34378-2022</t>
        </is>
      </c>
      <c r="B1099" s="1" t="n">
        <v>44792</v>
      </c>
      <c r="C1099" s="1" t="n">
        <v>45849</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34434-2022</t>
        </is>
      </c>
      <c r="B1100" s="1" t="n">
        <v>44792</v>
      </c>
      <c r="C1100" s="1" t="n">
        <v>45849</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34440-2022</t>
        </is>
      </c>
      <c r="B1101" s="1" t="n">
        <v>44792</v>
      </c>
      <c r="C1101" s="1" t="n">
        <v>45849</v>
      </c>
      <c r="D1101" t="inlineStr">
        <is>
          <t>VÄRMLANDS LÄN</t>
        </is>
      </c>
      <c r="E1101" t="inlineStr">
        <is>
          <t>TORSBY</t>
        </is>
      </c>
      <c r="F1101" t="inlineStr">
        <is>
          <t>Bergvik skog väst AB</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34581-2022</t>
        </is>
      </c>
      <c r="B1102" s="1" t="n">
        <v>44792</v>
      </c>
      <c r="C1102" s="1" t="n">
        <v>45849</v>
      </c>
      <c r="D1102" t="inlineStr">
        <is>
          <t>VÄRMLANDS LÄN</t>
        </is>
      </c>
      <c r="E1102" t="inlineStr">
        <is>
          <t>TORSBY</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34568-2022</t>
        </is>
      </c>
      <c r="B1103" s="1" t="n">
        <v>44795</v>
      </c>
      <c r="C1103" s="1" t="n">
        <v>45849</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34662-2022</t>
        </is>
      </c>
      <c r="B1104" s="1" t="n">
        <v>44795</v>
      </c>
      <c r="C1104" s="1" t="n">
        <v>45849</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34667-2022</t>
        </is>
      </c>
      <c r="B1105" s="1" t="n">
        <v>44795</v>
      </c>
      <c r="C1105" s="1" t="n">
        <v>45849</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34655-2022</t>
        </is>
      </c>
      <c r="B1106" s="1" t="n">
        <v>44795</v>
      </c>
      <c r="C1106" s="1" t="n">
        <v>45849</v>
      </c>
      <c r="D1106" t="inlineStr">
        <is>
          <t>VÄRMLANDS LÄN</t>
        </is>
      </c>
      <c r="E1106" t="inlineStr">
        <is>
          <t>TORSBY</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34908-2022</t>
        </is>
      </c>
      <c r="B1107" s="1" t="n">
        <v>44796</v>
      </c>
      <c r="C1107" s="1" t="n">
        <v>45849</v>
      </c>
      <c r="D1107" t="inlineStr">
        <is>
          <t>VÄRMLANDS LÄN</t>
        </is>
      </c>
      <c r="E1107" t="inlineStr">
        <is>
          <t>TORSBY</t>
        </is>
      </c>
      <c r="F1107" t="inlineStr">
        <is>
          <t>Bergvik skog väst AB</t>
        </is>
      </c>
      <c r="G1107" t="n">
        <v>33.4</v>
      </c>
      <c r="H1107" t="n">
        <v>0</v>
      </c>
      <c r="I1107" t="n">
        <v>0</v>
      </c>
      <c r="J1107" t="n">
        <v>0</v>
      </c>
      <c r="K1107" t="n">
        <v>0</v>
      </c>
      <c r="L1107" t="n">
        <v>0</v>
      </c>
      <c r="M1107" t="n">
        <v>0</v>
      </c>
      <c r="N1107" t="n">
        <v>0</v>
      </c>
      <c r="O1107" t="n">
        <v>0</v>
      </c>
      <c r="P1107" t="n">
        <v>0</v>
      </c>
      <c r="Q1107" t="n">
        <v>0</v>
      </c>
      <c r="R1107" s="2" t="inlineStr"/>
    </row>
    <row r="1108" ht="15" customHeight="1">
      <c r="A1108" t="inlineStr">
        <is>
          <t>A 35134-2022</t>
        </is>
      </c>
      <c r="B1108" s="1" t="n">
        <v>44797</v>
      </c>
      <c r="C1108" s="1" t="n">
        <v>45849</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35132-2022</t>
        </is>
      </c>
      <c r="B1109" s="1" t="n">
        <v>44797</v>
      </c>
      <c r="C1109" s="1" t="n">
        <v>45849</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35606-2022</t>
        </is>
      </c>
      <c r="B1110" s="1" t="n">
        <v>44799</v>
      </c>
      <c r="C1110" s="1" t="n">
        <v>45849</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35595-2022</t>
        </is>
      </c>
      <c r="B1111" s="1" t="n">
        <v>44799</v>
      </c>
      <c r="C1111" s="1" t="n">
        <v>45849</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35724-2022</t>
        </is>
      </c>
      <c r="B1112" s="1" t="n">
        <v>44799</v>
      </c>
      <c r="C1112" s="1" t="n">
        <v>45849</v>
      </c>
      <c r="D1112" t="inlineStr">
        <is>
          <t>VÄRMLANDS LÄN</t>
        </is>
      </c>
      <c r="E1112" t="inlineStr">
        <is>
          <t>TORSBY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35711-2022</t>
        </is>
      </c>
      <c r="B1113" s="1" t="n">
        <v>44799</v>
      </c>
      <c r="C1113" s="1" t="n">
        <v>45849</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35851-2022</t>
        </is>
      </c>
      <c r="B1114" s="1" t="n">
        <v>44802</v>
      </c>
      <c r="C1114" s="1" t="n">
        <v>45849</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36290-2022</t>
        </is>
      </c>
      <c r="B1115" s="1" t="n">
        <v>44803</v>
      </c>
      <c r="C1115" s="1" t="n">
        <v>45849</v>
      </c>
      <c r="D1115" t="inlineStr">
        <is>
          <t>VÄRMLANDS LÄN</t>
        </is>
      </c>
      <c r="E1115" t="inlineStr">
        <is>
          <t>TORSBY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36318-2022</t>
        </is>
      </c>
      <c r="B1116" s="1" t="n">
        <v>44803</v>
      </c>
      <c r="C1116" s="1" t="n">
        <v>45849</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36514-2022</t>
        </is>
      </c>
      <c r="B1117" s="1" t="n">
        <v>44804</v>
      </c>
      <c r="C1117" s="1" t="n">
        <v>45849</v>
      </c>
      <c r="D1117" t="inlineStr">
        <is>
          <t>VÄRMLANDS LÄN</t>
        </is>
      </c>
      <c r="E1117" t="inlineStr">
        <is>
          <t>TORSBY</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36547-2022</t>
        </is>
      </c>
      <c r="B1118" s="1" t="n">
        <v>44804</v>
      </c>
      <c r="C1118" s="1" t="n">
        <v>45849</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36545-2022</t>
        </is>
      </c>
      <c r="B1119" s="1" t="n">
        <v>44804</v>
      </c>
      <c r="C1119" s="1" t="n">
        <v>45849</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36527-2022</t>
        </is>
      </c>
      <c r="B1120" s="1" t="n">
        <v>44804</v>
      </c>
      <c r="C1120" s="1" t="n">
        <v>45849</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36537-2022</t>
        </is>
      </c>
      <c r="B1121" s="1" t="n">
        <v>44804</v>
      </c>
      <c r="C1121" s="1" t="n">
        <v>45849</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36582-2022</t>
        </is>
      </c>
      <c r="B1122" s="1" t="n">
        <v>44804</v>
      </c>
      <c r="C1122" s="1" t="n">
        <v>45849</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36562-2022</t>
        </is>
      </c>
      <c r="B1123" s="1" t="n">
        <v>44804</v>
      </c>
      <c r="C1123" s="1" t="n">
        <v>45849</v>
      </c>
      <c r="D1123" t="inlineStr">
        <is>
          <t>VÄRMLANDS LÄN</t>
        </is>
      </c>
      <c r="E1123" t="inlineStr">
        <is>
          <t>TORSBY</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36572-2022</t>
        </is>
      </c>
      <c r="B1124" s="1" t="n">
        <v>44804</v>
      </c>
      <c r="C1124" s="1" t="n">
        <v>45849</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36587-2022</t>
        </is>
      </c>
      <c r="B1125" s="1" t="n">
        <v>44804</v>
      </c>
      <c r="C1125" s="1" t="n">
        <v>45849</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37148-2022</t>
        </is>
      </c>
      <c r="B1126" s="1" t="n">
        <v>44806</v>
      </c>
      <c r="C1126" s="1" t="n">
        <v>45849</v>
      </c>
      <c r="D1126" t="inlineStr">
        <is>
          <t>VÄRMLANDS LÄN</t>
        </is>
      </c>
      <c r="E1126" t="inlineStr">
        <is>
          <t>TORSBY</t>
        </is>
      </c>
      <c r="F1126" t="inlineStr">
        <is>
          <t>Kommuner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37279-2022</t>
        </is>
      </c>
      <c r="B1127" s="1" t="n">
        <v>44807</v>
      </c>
      <c r="C1127" s="1" t="n">
        <v>45849</v>
      </c>
      <c r="D1127" t="inlineStr">
        <is>
          <t>VÄRMLANDS LÄN</t>
        </is>
      </c>
      <c r="E1127" t="inlineStr">
        <is>
          <t>TORSBY</t>
        </is>
      </c>
      <c r="G1127" t="n">
        <v>18.2</v>
      </c>
      <c r="H1127" t="n">
        <v>0</v>
      </c>
      <c r="I1127" t="n">
        <v>0</v>
      </c>
      <c r="J1127" t="n">
        <v>0</v>
      </c>
      <c r="K1127" t="n">
        <v>0</v>
      </c>
      <c r="L1127" t="n">
        <v>0</v>
      </c>
      <c r="M1127" t="n">
        <v>0</v>
      </c>
      <c r="N1127" t="n">
        <v>0</v>
      </c>
      <c r="O1127" t="n">
        <v>0</v>
      </c>
      <c r="P1127" t="n">
        <v>0</v>
      </c>
      <c r="Q1127" t="n">
        <v>0</v>
      </c>
      <c r="R1127" s="2" t="inlineStr"/>
    </row>
    <row r="1128" ht="15" customHeight="1">
      <c r="A1128" t="inlineStr">
        <is>
          <t>A 37401-2022</t>
        </is>
      </c>
      <c r="B1128" s="1" t="n">
        <v>44809</v>
      </c>
      <c r="C1128" s="1" t="n">
        <v>45849</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37449-2022</t>
        </is>
      </c>
      <c r="B1129" s="1" t="n">
        <v>44809</v>
      </c>
      <c r="C1129" s="1" t="n">
        <v>45849</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37340-2022</t>
        </is>
      </c>
      <c r="B1130" s="1" t="n">
        <v>44809</v>
      </c>
      <c r="C1130" s="1" t="n">
        <v>45849</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37752-2022</t>
        </is>
      </c>
      <c r="B1131" s="1" t="n">
        <v>44810</v>
      </c>
      <c r="C1131" s="1" t="n">
        <v>45849</v>
      </c>
      <c r="D1131" t="inlineStr">
        <is>
          <t>VÄRMLANDS LÄN</t>
        </is>
      </c>
      <c r="E1131" t="inlineStr">
        <is>
          <t>TORSBY</t>
        </is>
      </c>
      <c r="F1131" t="inlineStr">
        <is>
          <t>Kyrkan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37814-2022</t>
        </is>
      </c>
      <c r="B1132" s="1" t="n">
        <v>44810</v>
      </c>
      <c r="C1132" s="1" t="n">
        <v>45849</v>
      </c>
      <c r="D1132" t="inlineStr">
        <is>
          <t>VÄRMLANDS LÄN</t>
        </is>
      </c>
      <c r="E1132" t="inlineStr">
        <is>
          <t>TORSBY</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37754-2022</t>
        </is>
      </c>
      <c r="B1133" s="1" t="n">
        <v>44810</v>
      </c>
      <c r="C1133" s="1" t="n">
        <v>45849</v>
      </c>
      <c r="D1133" t="inlineStr">
        <is>
          <t>VÄRMLANDS LÄN</t>
        </is>
      </c>
      <c r="E1133" t="inlineStr">
        <is>
          <t>TORSBY</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37913-2022</t>
        </is>
      </c>
      <c r="B1134" s="1" t="n">
        <v>44811</v>
      </c>
      <c r="C1134" s="1" t="n">
        <v>45849</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37929-2022</t>
        </is>
      </c>
      <c r="B1135" s="1" t="n">
        <v>44811</v>
      </c>
      <c r="C1135" s="1" t="n">
        <v>45849</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37917-2022</t>
        </is>
      </c>
      <c r="B1136" s="1" t="n">
        <v>44811</v>
      </c>
      <c r="C1136" s="1" t="n">
        <v>45849</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37937-2022</t>
        </is>
      </c>
      <c r="B1137" s="1" t="n">
        <v>44811</v>
      </c>
      <c r="C1137" s="1" t="n">
        <v>45849</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37985-2022</t>
        </is>
      </c>
      <c r="B1138" s="1" t="n">
        <v>44811</v>
      </c>
      <c r="C1138" s="1" t="n">
        <v>45849</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38033-2022</t>
        </is>
      </c>
      <c r="B1139" s="1" t="n">
        <v>44811</v>
      </c>
      <c r="C1139" s="1" t="n">
        <v>45849</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38200-2022</t>
        </is>
      </c>
      <c r="B1140" s="1" t="n">
        <v>44812</v>
      </c>
      <c r="C1140" s="1" t="n">
        <v>45849</v>
      </c>
      <c r="D1140" t="inlineStr">
        <is>
          <t>VÄRMLANDS LÄN</t>
        </is>
      </c>
      <c r="E1140" t="inlineStr">
        <is>
          <t>TORSBY</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38179-2022</t>
        </is>
      </c>
      <c r="B1141" s="1" t="n">
        <v>44812</v>
      </c>
      <c r="C1141" s="1" t="n">
        <v>45849</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38378-2022</t>
        </is>
      </c>
      <c r="B1142" s="1" t="n">
        <v>44812</v>
      </c>
      <c r="C1142" s="1" t="n">
        <v>45849</v>
      </c>
      <c r="D1142" t="inlineStr">
        <is>
          <t>VÄRMLANDS LÄN</t>
        </is>
      </c>
      <c r="E1142" t="inlineStr">
        <is>
          <t>TORSBY</t>
        </is>
      </c>
      <c r="F1142" t="inlineStr">
        <is>
          <t>Bergvik skog väst AB</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38486-2022</t>
        </is>
      </c>
      <c r="B1143" s="1" t="n">
        <v>44813</v>
      </c>
      <c r="C1143" s="1" t="n">
        <v>45849</v>
      </c>
      <c r="D1143" t="inlineStr">
        <is>
          <t>VÄRMLANDS LÄN</t>
        </is>
      </c>
      <c r="E1143" t="inlineStr">
        <is>
          <t>TORSBY</t>
        </is>
      </c>
      <c r="F1143" t="inlineStr">
        <is>
          <t>Bergvik skog väst AB</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38699-2022</t>
        </is>
      </c>
      <c r="B1144" s="1" t="n">
        <v>44814</v>
      </c>
      <c r="C1144" s="1" t="n">
        <v>45849</v>
      </c>
      <c r="D1144" t="inlineStr">
        <is>
          <t>VÄRMLANDS LÄN</t>
        </is>
      </c>
      <c r="E1144" t="inlineStr">
        <is>
          <t>TORSBY</t>
        </is>
      </c>
      <c r="F1144" t="inlineStr">
        <is>
          <t>Bergvik skog väst AB</t>
        </is>
      </c>
      <c r="G1144" t="n">
        <v>22.6</v>
      </c>
      <c r="H1144" t="n">
        <v>0</v>
      </c>
      <c r="I1144" t="n">
        <v>0</v>
      </c>
      <c r="J1144" t="n">
        <v>0</v>
      </c>
      <c r="K1144" t="n">
        <v>0</v>
      </c>
      <c r="L1144" t="n">
        <v>0</v>
      </c>
      <c r="M1144" t="n">
        <v>0</v>
      </c>
      <c r="N1144" t="n">
        <v>0</v>
      </c>
      <c r="O1144" t="n">
        <v>0</v>
      </c>
      <c r="P1144" t="n">
        <v>0</v>
      </c>
      <c r="Q1144" t="n">
        <v>0</v>
      </c>
      <c r="R1144" s="2" t="inlineStr"/>
    </row>
    <row r="1145" ht="15" customHeight="1">
      <c r="A1145" t="inlineStr">
        <is>
          <t>A 38882-2022</t>
        </is>
      </c>
      <c r="B1145" s="1" t="n">
        <v>44816</v>
      </c>
      <c r="C1145" s="1" t="n">
        <v>45849</v>
      </c>
      <c r="D1145" t="inlineStr">
        <is>
          <t>VÄRMLANDS LÄN</t>
        </is>
      </c>
      <c r="E1145" t="inlineStr">
        <is>
          <t>TORSBY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38914-2022</t>
        </is>
      </c>
      <c r="B1146" s="1" t="n">
        <v>44816</v>
      </c>
      <c r="C1146" s="1" t="n">
        <v>45849</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39069-2022</t>
        </is>
      </c>
      <c r="B1147" s="1" t="n">
        <v>44816</v>
      </c>
      <c r="C1147" s="1" t="n">
        <v>45849</v>
      </c>
      <c r="D1147" t="inlineStr">
        <is>
          <t>VÄRMLANDS LÄN</t>
        </is>
      </c>
      <c r="E1147" t="inlineStr">
        <is>
          <t>TORSBY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39186-2022</t>
        </is>
      </c>
      <c r="B1148" s="1" t="n">
        <v>44817</v>
      </c>
      <c r="C1148" s="1" t="n">
        <v>45849</v>
      </c>
      <c r="D1148" t="inlineStr">
        <is>
          <t>VÄRMLANDS LÄN</t>
        </is>
      </c>
      <c r="E1148" t="inlineStr">
        <is>
          <t>TORSBY</t>
        </is>
      </c>
      <c r="F1148" t="inlineStr">
        <is>
          <t>Bergvik skog väst AB</t>
        </is>
      </c>
      <c r="G1148" t="n">
        <v>20.3</v>
      </c>
      <c r="H1148" t="n">
        <v>0</v>
      </c>
      <c r="I1148" t="n">
        <v>0</v>
      </c>
      <c r="J1148" t="n">
        <v>0</v>
      </c>
      <c r="K1148" t="n">
        <v>0</v>
      </c>
      <c r="L1148" t="n">
        <v>0</v>
      </c>
      <c r="M1148" t="n">
        <v>0</v>
      </c>
      <c r="N1148" t="n">
        <v>0</v>
      </c>
      <c r="O1148" t="n">
        <v>0</v>
      </c>
      <c r="P1148" t="n">
        <v>0</v>
      </c>
      <c r="Q1148" t="n">
        <v>0</v>
      </c>
      <c r="R1148" s="2" t="inlineStr"/>
    </row>
    <row r="1149" ht="15" customHeight="1">
      <c r="A1149" t="inlineStr">
        <is>
          <t>A 39216-2022</t>
        </is>
      </c>
      <c r="B1149" s="1" t="n">
        <v>44817</v>
      </c>
      <c r="C1149" s="1" t="n">
        <v>45849</v>
      </c>
      <c r="D1149" t="inlineStr">
        <is>
          <t>VÄRMLANDS LÄN</t>
        </is>
      </c>
      <c r="E1149" t="inlineStr">
        <is>
          <t>TORSBY</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39215-2022</t>
        </is>
      </c>
      <c r="B1150" s="1" t="n">
        <v>44817</v>
      </c>
      <c r="C1150" s="1" t="n">
        <v>45849</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39221-2022</t>
        </is>
      </c>
      <c r="B1151" s="1" t="n">
        <v>44817</v>
      </c>
      <c r="C1151" s="1" t="n">
        <v>45849</v>
      </c>
      <c r="D1151" t="inlineStr">
        <is>
          <t>VÄRMLANDS LÄN</t>
        </is>
      </c>
      <c r="E1151" t="inlineStr">
        <is>
          <t>TORSBY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39217-2022</t>
        </is>
      </c>
      <c r="B1152" s="1" t="n">
        <v>44817</v>
      </c>
      <c r="C1152" s="1" t="n">
        <v>45849</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39781-2022</t>
        </is>
      </c>
      <c r="B1153" s="1" t="n">
        <v>44819</v>
      </c>
      <c r="C1153" s="1" t="n">
        <v>45849</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39780-2022</t>
        </is>
      </c>
      <c r="B1154" s="1" t="n">
        <v>44819</v>
      </c>
      <c r="C1154" s="1" t="n">
        <v>45849</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40009-2022</t>
        </is>
      </c>
      <c r="B1155" s="1" t="n">
        <v>44820</v>
      </c>
      <c r="C1155" s="1" t="n">
        <v>45849</v>
      </c>
      <c r="D1155" t="inlineStr">
        <is>
          <t>VÄRMLANDS LÄN</t>
        </is>
      </c>
      <c r="E1155" t="inlineStr">
        <is>
          <t>TORSBY</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40036-2022</t>
        </is>
      </c>
      <c r="B1156" s="1" t="n">
        <v>44820</v>
      </c>
      <c r="C1156" s="1" t="n">
        <v>45849</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40221-2022</t>
        </is>
      </c>
      <c r="B1157" s="1" t="n">
        <v>44820</v>
      </c>
      <c r="C1157" s="1" t="n">
        <v>45849</v>
      </c>
      <c r="D1157" t="inlineStr">
        <is>
          <t>VÄRMLANDS LÄN</t>
        </is>
      </c>
      <c r="E1157" t="inlineStr">
        <is>
          <t>TORSBY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40353-2022</t>
        </is>
      </c>
      <c r="B1158" s="1" t="n">
        <v>44823</v>
      </c>
      <c r="C1158" s="1" t="n">
        <v>45849</v>
      </c>
      <c r="D1158" t="inlineStr">
        <is>
          <t>VÄRMLANDS LÄN</t>
        </is>
      </c>
      <c r="E1158" t="inlineStr">
        <is>
          <t>TORSBY</t>
        </is>
      </c>
      <c r="F1158" t="inlineStr">
        <is>
          <t>Bergvik skog väst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41264-2022</t>
        </is>
      </c>
      <c r="B1159" s="1" t="n">
        <v>44823</v>
      </c>
      <c r="C1159" s="1" t="n">
        <v>45849</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41295-2022</t>
        </is>
      </c>
      <c r="B1160" s="1" t="n">
        <v>44823</v>
      </c>
      <c r="C1160" s="1" t="n">
        <v>45849</v>
      </c>
      <c r="D1160" t="inlineStr">
        <is>
          <t>VÄRMLANDS LÄN</t>
        </is>
      </c>
      <c r="E1160" t="inlineStr">
        <is>
          <t>TORSBY</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40718-2022</t>
        </is>
      </c>
      <c r="B1161" s="1" t="n">
        <v>44824</v>
      </c>
      <c r="C1161" s="1" t="n">
        <v>45849</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40788-2022</t>
        </is>
      </c>
      <c r="B1162" s="1" t="n">
        <v>44824</v>
      </c>
      <c r="C1162" s="1" t="n">
        <v>45849</v>
      </c>
      <c r="D1162" t="inlineStr">
        <is>
          <t>VÄRMLANDS LÄN</t>
        </is>
      </c>
      <c r="E1162" t="inlineStr">
        <is>
          <t>TORSBY</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40997-2022</t>
        </is>
      </c>
      <c r="B1163" s="1" t="n">
        <v>44825</v>
      </c>
      <c r="C1163" s="1" t="n">
        <v>45849</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41065-2022</t>
        </is>
      </c>
      <c r="B1164" s="1" t="n">
        <v>44825</v>
      </c>
      <c r="C1164" s="1" t="n">
        <v>45849</v>
      </c>
      <c r="D1164" t="inlineStr">
        <is>
          <t>VÄRMLANDS LÄN</t>
        </is>
      </c>
      <c r="E1164" t="inlineStr">
        <is>
          <t>TORSBY</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41130-2022</t>
        </is>
      </c>
      <c r="B1165" s="1" t="n">
        <v>44825</v>
      </c>
      <c r="C1165" s="1" t="n">
        <v>45849</v>
      </c>
      <c r="D1165" t="inlineStr">
        <is>
          <t>VÄRMLANDS LÄN</t>
        </is>
      </c>
      <c r="E1165" t="inlineStr">
        <is>
          <t>TORSBY</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41315-2022</t>
        </is>
      </c>
      <c r="B1166" s="1" t="n">
        <v>44826</v>
      </c>
      <c r="C1166" s="1" t="n">
        <v>45849</v>
      </c>
      <c r="D1166" t="inlineStr">
        <is>
          <t>VÄRMLANDS LÄN</t>
        </is>
      </c>
      <c r="E1166" t="inlineStr">
        <is>
          <t>TORSBY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41322-2022</t>
        </is>
      </c>
      <c r="B1167" s="1" t="n">
        <v>44826</v>
      </c>
      <c r="C1167" s="1" t="n">
        <v>45849</v>
      </c>
      <c r="D1167" t="inlineStr">
        <is>
          <t>VÄRMLANDS LÄN</t>
        </is>
      </c>
      <c r="E1167" t="inlineStr">
        <is>
          <t>TORSBY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41781-2022</t>
        </is>
      </c>
      <c r="B1168" s="1" t="n">
        <v>44827</v>
      </c>
      <c r="C1168" s="1" t="n">
        <v>45849</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41675-2022</t>
        </is>
      </c>
      <c r="B1169" s="1" t="n">
        <v>44827</v>
      </c>
      <c r="C1169" s="1" t="n">
        <v>45849</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41590-2022</t>
        </is>
      </c>
      <c r="B1170" s="1" t="n">
        <v>44827</v>
      </c>
      <c r="C1170" s="1" t="n">
        <v>45849</v>
      </c>
      <c r="D1170" t="inlineStr">
        <is>
          <t>VÄRMLANDS LÄN</t>
        </is>
      </c>
      <c r="E1170" t="inlineStr">
        <is>
          <t>TORSBY</t>
        </is>
      </c>
      <c r="F1170" t="inlineStr">
        <is>
          <t>Bergvik skog väst AB</t>
        </is>
      </c>
      <c r="G1170" t="n">
        <v>42.5</v>
      </c>
      <c r="H1170" t="n">
        <v>0</v>
      </c>
      <c r="I1170" t="n">
        <v>0</v>
      </c>
      <c r="J1170" t="n">
        <v>0</v>
      </c>
      <c r="K1170" t="n">
        <v>0</v>
      </c>
      <c r="L1170" t="n">
        <v>0</v>
      </c>
      <c r="M1170" t="n">
        <v>0</v>
      </c>
      <c r="N1170" t="n">
        <v>0</v>
      </c>
      <c r="O1170" t="n">
        <v>0</v>
      </c>
      <c r="P1170" t="n">
        <v>0</v>
      </c>
      <c r="Q1170" t="n">
        <v>0</v>
      </c>
      <c r="R1170" s="2" t="inlineStr"/>
    </row>
    <row r="1171" ht="15" customHeight="1">
      <c r="A1171" t="inlineStr">
        <is>
          <t>A 41995-2022</t>
        </is>
      </c>
      <c r="B1171" s="1" t="n">
        <v>44830</v>
      </c>
      <c r="C1171" s="1" t="n">
        <v>45849</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42588-2022</t>
        </is>
      </c>
      <c r="B1172" s="1" t="n">
        <v>44831</v>
      </c>
      <c r="C1172" s="1" t="n">
        <v>45849</v>
      </c>
      <c r="D1172" t="inlineStr">
        <is>
          <t>VÄRMLANDS LÄN</t>
        </is>
      </c>
      <c r="E1172" t="inlineStr">
        <is>
          <t>TORSBY</t>
        </is>
      </c>
      <c r="F1172" t="inlineStr">
        <is>
          <t>Bergvik skog väst AB</t>
        </is>
      </c>
      <c r="G1172" t="n">
        <v>41.4</v>
      </c>
      <c r="H1172" t="n">
        <v>0</v>
      </c>
      <c r="I1172" t="n">
        <v>0</v>
      </c>
      <c r="J1172" t="n">
        <v>0</v>
      </c>
      <c r="K1172" t="n">
        <v>0</v>
      </c>
      <c r="L1172" t="n">
        <v>0</v>
      </c>
      <c r="M1172" t="n">
        <v>0</v>
      </c>
      <c r="N1172" t="n">
        <v>0</v>
      </c>
      <c r="O1172" t="n">
        <v>0</v>
      </c>
      <c r="P1172" t="n">
        <v>0</v>
      </c>
      <c r="Q1172" t="n">
        <v>0</v>
      </c>
      <c r="R1172" s="2" t="inlineStr"/>
    </row>
    <row r="1173" ht="15" customHeight="1">
      <c r="A1173" t="inlineStr">
        <is>
          <t>A 42784-2022</t>
        </is>
      </c>
      <c r="B1173" s="1" t="n">
        <v>44832</v>
      </c>
      <c r="C1173" s="1" t="n">
        <v>45849</v>
      </c>
      <c r="D1173" t="inlineStr">
        <is>
          <t>VÄRMLANDS LÄN</t>
        </is>
      </c>
      <c r="E1173" t="inlineStr">
        <is>
          <t>TORSBY</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42701-2022</t>
        </is>
      </c>
      <c r="B1174" s="1" t="n">
        <v>44832</v>
      </c>
      <c r="C1174" s="1" t="n">
        <v>45849</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43022-2022</t>
        </is>
      </c>
      <c r="B1175" s="1" t="n">
        <v>44833</v>
      </c>
      <c r="C1175" s="1" t="n">
        <v>45849</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43111-2022</t>
        </is>
      </c>
      <c r="B1176" s="1" t="n">
        <v>44833</v>
      </c>
      <c r="C1176" s="1" t="n">
        <v>45849</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43248-2022</t>
        </is>
      </c>
      <c r="B1177" s="1" t="n">
        <v>44834</v>
      </c>
      <c r="C1177" s="1" t="n">
        <v>45849</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43289-2022</t>
        </is>
      </c>
      <c r="B1178" s="1" t="n">
        <v>44834</v>
      </c>
      <c r="C1178" s="1" t="n">
        <v>45849</v>
      </c>
      <c r="D1178" t="inlineStr">
        <is>
          <t>VÄRMLANDS LÄN</t>
        </is>
      </c>
      <c r="E1178" t="inlineStr">
        <is>
          <t>TORSBY</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43465-2022</t>
        </is>
      </c>
      <c r="B1179" s="1" t="n">
        <v>44836</v>
      </c>
      <c r="C1179" s="1" t="n">
        <v>45849</v>
      </c>
      <c r="D1179" t="inlineStr">
        <is>
          <t>VÄRMLANDS LÄN</t>
        </is>
      </c>
      <c r="E1179" t="inlineStr">
        <is>
          <t>TORSBY</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43943-2022</t>
        </is>
      </c>
      <c r="B1180" s="1" t="n">
        <v>44838</v>
      </c>
      <c r="C1180" s="1" t="n">
        <v>45849</v>
      </c>
      <c r="D1180" t="inlineStr">
        <is>
          <t>VÄRMLANDS LÄN</t>
        </is>
      </c>
      <c r="E1180" t="inlineStr">
        <is>
          <t>TORSBY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43989-2022</t>
        </is>
      </c>
      <c r="B1181" s="1" t="n">
        <v>44838</v>
      </c>
      <c r="C1181" s="1" t="n">
        <v>45849</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44214-2022</t>
        </is>
      </c>
      <c r="B1182" s="1" t="n">
        <v>44838</v>
      </c>
      <c r="C1182" s="1" t="n">
        <v>45849</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44340-2022</t>
        </is>
      </c>
      <c r="B1183" s="1" t="n">
        <v>44838</v>
      </c>
      <c r="C1183" s="1" t="n">
        <v>45849</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44170-2022</t>
        </is>
      </c>
      <c r="B1184" s="1" t="n">
        <v>44838</v>
      </c>
      <c r="C1184" s="1" t="n">
        <v>45849</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44149-2022</t>
        </is>
      </c>
      <c r="B1185" s="1" t="n">
        <v>44839</v>
      </c>
      <c r="C1185" s="1" t="n">
        <v>45849</v>
      </c>
      <c r="D1185" t="inlineStr">
        <is>
          <t>VÄRMLANDS LÄN</t>
        </is>
      </c>
      <c r="E1185" t="inlineStr">
        <is>
          <t>TORSBY</t>
        </is>
      </c>
      <c r="F1185" t="inlineStr">
        <is>
          <t>Bergvik skog väst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44196-2022</t>
        </is>
      </c>
      <c r="B1186" s="1" t="n">
        <v>44839</v>
      </c>
      <c r="C1186" s="1" t="n">
        <v>45849</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44327-2022</t>
        </is>
      </c>
      <c r="B1187" s="1" t="n">
        <v>44839</v>
      </c>
      <c r="C1187" s="1" t="n">
        <v>45849</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44841-2022</t>
        </is>
      </c>
      <c r="B1188" s="1" t="n">
        <v>44839</v>
      </c>
      <c r="C1188" s="1" t="n">
        <v>45849</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44879-2022</t>
        </is>
      </c>
      <c r="B1189" s="1" t="n">
        <v>44839</v>
      </c>
      <c r="C1189" s="1" t="n">
        <v>45849</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44498-2022</t>
        </is>
      </c>
      <c r="B1190" s="1" t="n">
        <v>44840</v>
      </c>
      <c r="C1190" s="1" t="n">
        <v>45849</v>
      </c>
      <c r="D1190" t="inlineStr">
        <is>
          <t>VÄRMLANDS LÄN</t>
        </is>
      </c>
      <c r="E1190" t="inlineStr">
        <is>
          <t>TORSBY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44516-2022</t>
        </is>
      </c>
      <c r="B1191" s="1" t="n">
        <v>44840</v>
      </c>
      <c r="C1191" s="1" t="n">
        <v>45849</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44517-2022</t>
        </is>
      </c>
      <c r="B1192" s="1" t="n">
        <v>44840</v>
      </c>
      <c r="C1192" s="1" t="n">
        <v>45849</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44532-2022</t>
        </is>
      </c>
      <c r="B1193" s="1" t="n">
        <v>44840</v>
      </c>
      <c r="C1193" s="1" t="n">
        <v>45849</v>
      </c>
      <c r="D1193" t="inlineStr">
        <is>
          <t>VÄRMLANDS LÄN</t>
        </is>
      </c>
      <c r="E1193" t="inlineStr">
        <is>
          <t>TORSBY</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44708-2022</t>
        </is>
      </c>
      <c r="B1194" s="1" t="n">
        <v>44840</v>
      </c>
      <c r="C1194" s="1" t="n">
        <v>45849</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45056-2022</t>
        </is>
      </c>
      <c r="B1195" s="1" t="n">
        <v>44841</v>
      </c>
      <c r="C1195" s="1" t="n">
        <v>45849</v>
      </c>
      <c r="D1195" t="inlineStr">
        <is>
          <t>VÄRMLANDS LÄN</t>
        </is>
      </c>
      <c r="E1195" t="inlineStr">
        <is>
          <t>TORSBY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45303-2022</t>
        </is>
      </c>
      <c r="B1196" s="1" t="n">
        <v>44844</v>
      </c>
      <c r="C1196" s="1" t="n">
        <v>45849</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45368-2022</t>
        </is>
      </c>
      <c r="B1197" s="1" t="n">
        <v>44844</v>
      </c>
      <c r="C1197" s="1" t="n">
        <v>45849</v>
      </c>
      <c r="D1197" t="inlineStr">
        <is>
          <t>VÄRMLANDS LÄN</t>
        </is>
      </c>
      <c r="E1197" t="inlineStr">
        <is>
          <t>TORSBY</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45328-2022</t>
        </is>
      </c>
      <c r="B1198" s="1" t="n">
        <v>44844</v>
      </c>
      <c r="C1198" s="1" t="n">
        <v>45849</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45325-2022</t>
        </is>
      </c>
      <c r="B1199" s="1" t="n">
        <v>44844</v>
      </c>
      <c r="C1199" s="1" t="n">
        <v>45849</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45369-2022</t>
        </is>
      </c>
      <c r="B1200" s="1" t="n">
        <v>44844</v>
      </c>
      <c r="C1200" s="1" t="n">
        <v>45849</v>
      </c>
      <c r="D1200" t="inlineStr">
        <is>
          <t>VÄRMLANDS LÄN</t>
        </is>
      </c>
      <c r="E1200" t="inlineStr">
        <is>
          <t>TORSBY</t>
        </is>
      </c>
      <c r="F1200" t="inlineStr">
        <is>
          <t>Bergvik skog väst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45809-2022</t>
        </is>
      </c>
      <c r="B1201" s="1" t="n">
        <v>44844</v>
      </c>
      <c r="C1201" s="1" t="n">
        <v>45849</v>
      </c>
      <c r="D1201" t="inlineStr">
        <is>
          <t>VÄRMLANDS LÄN</t>
        </is>
      </c>
      <c r="E1201" t="inlineStr">
        <is>
          <t>TORSBY</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45666-2022</t>
        </is>
      </c>
      <c r="B1202" s="1" t="n">
        <v>44845</v>
      </c>
      <c r="C1202" s="1" t="n">
        <v>45849</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46551-2022</t>
        </is>
      </c>
      <c r="B1203" s="1" t="n">
        <v>44848</v>
      </c>
      <c r="C1203" s="1" t="n">
        <v>45849</v>
      </c>
      <c r="D1203" t="inlineStr">
        <is>
          <t>VÄRMLANDS LÄN</t>
        </is>
      </c>
      <c r="E1203" t="inlineStr">
        <is>
          <t>TORSBY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47167-2022</t>
        </is>
      </c>
      <c r="B1204" s="1" t="n">
        <v>44852</v>
      </c>
      <c r="C1204" s="1" t="n">
        <v>45849</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47141-2022</t>
        </is>
      </c>
      <c r="B1205" s="1" t="n">
        <v>44852</v>
      </c>
      <c r="C1205" s="1" t="n">
        <v>45849</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47206-2022</t>
        </is>
      </c>
      <c r="B1206" s="1" t="n">
        <v>44852</v>
      </c>
      <c r="C1206" s="1" t="n">
        <v>45849</v>
      </c>
      <c r="D1206" t="inlineStr">
        <is>
          <t>VÄRMLANDS LÄN</t>
        </is>
      </c>
      <c r="E1206" t="inlineStr">
        <is>
          <t>TORSBY</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47466-2022</t>
        </is>
      </c>
      <c r="B1207" s="1" t="n">
        <v>44852</v>
      </c>
      <c r="C1207" s="1" t="n">
        <v>45849</v>
      </c>
      <c r="D1207" t="inlineStr">
        <is>
          <t>VÄRMLANDS LÄN</t>
        </is>
      </c>
      <c r="E1207" t="inlineStr">
        <is>
          <t>TORSBY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48328-2022</t>
        </is>
      </c>
      <c r="B1208" s="1" t="n">
        <v>44853</v>
      </c>
      <c r="C1208" s="1" t="n">
        <v>45849</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48356-2022</t>
        </is>
      </c>
      <c r="B1209" s="1" t="n">
        <v>44853</v>
      </c>
      <c r="C1209" s="1" t="n">
        <v>45849</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48320-2022</t>
        </is>
      </c>
      <c r="B1210" s="1" t="n">
        <v>44853</v>
      </c>
      <c r="C1210" s="1" t="n">
        <v>45849</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47694-2022</t>
        </is>
      </c>
      <c r="B1211" s="1" t="n">
        <v>44854</v>
      </c>
      <c r="C1211" s="1" t="n">
        <v>45849</v>
      </c>
      <c r="D1211" t="inlineStr">
        <is>
          <t>VÄRMLANDS LÄN</t>
        </is>
      </c>
      <c r="E1211" t="inlineStr">
        <is>
          <t>TORSBY</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48239-2022</t>
        </is>
      </c>
      <c r="B1212" s="1" t="n">
        <v>44858</v>
      </c>
      <c r="C1212" s="1" t="n">
        <v>45849</v>
      </c>
      <c r="D1212" t="inlineStr">
        <is>
          <t>VÄRMLANDS LÄN</t>
        </is>
      </c>
      <c r="E1212" t="inlineStr">
        <is>
          <t>TORSBY</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48712-2022</t>
        </is>
      </c>
      <c r="B1213" s="1" t="n">
        <v>44859</v>
      </c>
      <c r="C1213" s="1" t="n">
        <v>45849</v>
      </c>
      <c r="D1213" t="inlineStr">
        <is>
          <t>VÄRMLANDS LÄN</t>
        </is>
      </c>
      <c r="E1213" t="inlineStr">
        <is>
          <t>TORSBY</t>
        </is>
      </c>
      <c r="F1213" t="inlineStr">
        <is>
          <t>Bergvik skog väst AB</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49699-2022</t>
        </is>
      </c>
      <c r="B1214" s="1" t="n">
        <v>44859</v>
      </c>
      <c r="C1214" s="1" t="n">
        <v>45849</v>
      </c>
      <c r="D1214" t="inlineStr">
        <is>
          <t>VÄRMLANDS LÄN</t>
        </is>
      </c>
      <c r="E1214" t="inlineStr">
        <is>
          <t>TORSBY</t>
        </is>
      </c>
      <c r="F1214" t="inlineStr">
        <is>
          <t>Kyrkan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49814-2022</t>
        </is>
      </c>
      <c r="B1215" s="1" t="n">
        <v>44859</v>
      </c>
      <c r="C1215" s="1" t="n">
        <v>45849</v>
      </c>
      <c r="D1215" t="inlineStr">
        <is>
          <t>VÄRMLANDS LÄN</t>
        </is>
      </c>
      <c r="E1215" t="inlineStr">
        <is>
          <t>TORSBY</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49608-2022</t>
        </is>
      </c>
      <c r="B1216" s="1" t="n">
        <v>44859</v>
      </c>
      <c r="C1216" s="1" t="n">
        <v>45849</v>
      </c>
      <c r="D1216" t="inlineStr">
        <is>
          <t>VÄRMLANDS LÄN</t>
        </is>
      </c>
      <c r="E1216" t="inlineStr">
        <is>
          <t>TORSBY</t>
        </is>
      </c>
      <c r="F1216" t="inlineStr">
        <is>
          <t>Kyrkan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49073-2022</t>
        </is>
      </c>
      <c r="B1217" s="1" t="n">
        <v>44860</v>
      </c>
      <c r="C1217" s="1" t="n">
        <v>45849</v>
      </c>
      <c r="D1217" t="inlineStr">
        <is>
          <t>VÄRMLANDS LÄN</t>
        </is>
      </c>
      <c r="E1217" t="inlineStr">
        <is>
          <t>TORSBY</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49206-2022</t>
        </is>
      </c>
      <c r="B1218" s="1" t="n">
        <v>44861</v>
      </c>
      <c r="C1218" s="1" t="n">
        <v>45849</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49346-2022</t>
        </is>
      </c>
      <c r="B1219" s="1" t="n">
        <v>44861</v>
      </c>
      <c r="C1219" s="1" t="n">
        <v>45849</v>
      </c>
      <c r="D1219" t="inlineStr">
        <is>
          <t>VÄRMLANDS LÄN</t>
        </is>
      </c>
      <c r="E1219" t="inlineStr">
        <is>
          <t>TORSBY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50390-2022</t>
        </is>
      </c>
      <c r="B1220" s="1" t="n">
        <v>44861</v>
      </c>
      <c r="C1220" s="1" t="n">
        <v>45849</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49795-2022</t>
        </is>
      </c>
      <c r="B1221" s="1" t="n">
        <v>44862</v>
      </c>
      <c r="C1221" s="1" t="n">
        <v>45849</v>
      </c>
      <c r="D1221" t="inlineStr">
        <is>
          <t>VÄRMLANDS LÄN</t>
        </is>
      </c>
      <c r="E1221" t="inlineStr">
        <is>
          <t>TORSBY</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49810-2022</t>
        </is>
      </c>
      <c r="B1222" s="1" t="n">
        <v>44862</v>
      </c>
      <c r="C1222" s="1" t="n">
        <v>45849</v>
      </c>
      <c r="D1222" t="inlineStr">
        <is>
          <t>VÄRMLANDS LÄN</t>
        </is>
      </c>
      <c r="E1222" t="inlineStr">
        <is>
          <t>TORSBY</t>
        </is>
      </c>
      <c r="F1222" t="inlineStr">
        <is>
          <t>Bergvik skog väst AB</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49957-2022</t>
        </is>
      </c>
      <c r="B1223" s="1" t="n">
        <v>44865</v>
      </c>
      <c r="C1223" s="1" t="n">
        <v>45849</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49983-2022</t>
        </is>
      </c>
      <c r="B1224" s="1" t="n">
        <v>44865</v>
      </c>
      <c r="C1224" s="1" t="n">
        <v>45849</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49970-2022</t>
        </is>
      </c>
      <c r="B1225" s="1" t="n">
        <v>44865</v>
      </c>
      <c r="C1225" s="1" t="n">
        <v>45849</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49959-2022</t>
        </is>
      </c>
      <c r="B1226" s="1" t="n">
        <v>44865</v>
      </c>
      <c r="C1226" s="1" t="n">
        <v>45849</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50280-2022</t>
        </is>
      </c>
      <c r="B1227" s="1" t="n">
        <v>44865</v>
      </c>
      <c r="C1227" s="1" t="n">
        <v>45849</v>
      </c>
      <c r="D1227" t="inlineStr">
        <is>
          <t>VÄRMLANDS LÄN</t>
        </is>
      </c>
      <c r="E1227" t="inlineStr">
        <is>
          <t>TORSBY</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50417-2022</t>
        </is>
      </c>
      <c r="B1228" s="1" t="n">
        <v>44866</v>
      </c>
      <c r="C1228" s="1" t="n">
        <v>45849</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50436-2022</t>
        </is>
      </c>
      <c r="B1229" s="1" t="n">
        <v>44866</v>
      </c>
      <c r="C1229" s="1" t="n">
        <v>45849</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50434-2022</t>
        </is>
      </c>
      <c r="B1230" s="1" t="n">
        <v>44866</v>
      </c>
      <c r="C1230" s="1" t="n">
        <v>45849</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50953-2022</t>
        </is>
      </c>
      <c r="B1231" s="1" t="n">
        <v>44866</v>
      </c>
      <c r="C1231" s="1" t="n">
        <v>45849</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50789-2022</t>
        </is>
      </c>
      <c r="B1232" s="1" t="n">
        <v>44867</v>
      </c>
      <c r="C1232" s="1" t="n">
        <v>45849</v>
      </c>
      <c r="D1232" t="inlineStr">
        <is>
          <t>VÄRMLANDS LÄN</t>
        </is>
      </c>
      <c r="E1232" t="inlineStr">
        <is>
          <t>TORSBY</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51124-2022</t>
        </is>
      </c>
      <c r="B1233" s="1" t="n">
        <v>44868</v>
      </c>
      <c r="C1233" s="1" t="n">
        <v>45849</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51439-2022</t>
        </is>
      </c>
      <c r="B1234" s="1" t="n">
        <v>44869</v>
      </c>
      <c r="C1234" s="1" t="n">
        <v>45849</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51490-2022</t>
        </is>
      </c>
      <c r="B1235" s="1" t="n">
        <v>44869</v>
      </c>
      <c r="C1235" s="1" t="n">
        <v>45849</v>
      </c>
      <c r="D1235" t="inlineStr">
        <is>
          <t>VÄRMLANDS LÄN</t>
        </is>
      </c>
      <c r="E1235" t="inlineStr">
        <is>
          <t>TORSBY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51489-2022</t>
        </is>
      </c>
      <c r="B1236" s="1" t="n">
        <v>44869</v>
      </c>
      <c r="C1236" s="1" t="n">
        <v>45849</v>
      </c>
      <c r="D1236" t="inlineStr">
        <is>
          <t>VÄRMLANDS LÄN</t>
        </is>
      </c>
      <c r="E1236" t="inlineStr">
        <is>
          <t>TORSBY</t>
        </is>
      </c>
      <c r="F1236" t="inlineStr">
        <is>
          <t>Bergvik skog väst AB</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51847-2022</t>
        </is>
      </c>
      <c r="B1237" s="1" t="n">
        <v>44872</v>
      </c>
      <c r="C1237" s="1" t="n">
        <v>45849</v>
      </c>
      <c r="D1237" t="inlineStr">
        <is>
          <t>VÄRMLANDS LÄN</t>
        </is>
      </c>
      <c r="E1237" t="inlineStr">
        <is>
          <t>TORSBY</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51843-2022</t>
        </is>
      </c>
      <c r="B1238" s="1" t="n">
        <v>44872</v>
      </c>
      <c r="C1238" s="1" t="n">
        <v>45849</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51911-2022</t>
        </is>
      </c>
      <c r="B1239" s="1" t="n">
        <v>44872</v>
      </c>
      <c r="C1239" s="1" t="n">
        <v>45849</v>
      </c>
      <c r="D1239" t="inlineStr">
        <is>
          <t>VÄRMLANDS LÄN</t>
        </is>
      </c>
      <c r="E1239" t="inlineStr">
        <is>
          <t>TORSBY</t>
        </is>
      </c>
      <c r="F1239" t="inlineStr">
        <is>
          <t>Bergvik skog väst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52921-2022</t>
        </is>
      </c>
      <c r="B1240" s="1" t="n">
        <v>44872</v>
      </c>
      <c r="C1240" s="1" t="n">
        <v>45849</v>
      </c>
      <c r="D1240" t="inlineStr">
        <is>
          <t>VÄRMLANDS LÄN</t>
        </is>
      </c>
      <c r="E1240" t="inlineStr">
        <is>
          <t>TORSBY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52901-2022</t>
        </is>
      </c>
      <c r="B1241" s="1" t="n">
        <v>44872</v>
      </c>
      <c r="C1241" s="1" t="n">
        <v>45849</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52286-2022</t>
        </is>
      </c>
      <c r="B1242" s="1" t="n">
        <v>44873</v>
      </c>
      <c r="C1242" s="1" t="n">
        <v>45849</v>
      </c>
      <c r="D1242" t="inlineStr">
        <is>
          <t>VÄRMLANDS LÄN</t>
        </is>
      </c>
      <c r="E1242" t="inlineStr">
        <is>
          <t>TORSBY</t>
        </is>
      </c>
      <c r="F1242" t="inlineStr">
        <is>
          <t>Bergvik skog väst AB</t>
        </is>
      </c>
      <c r="G1242" t="n">
        <v>51.4</v>
      </c>
      <c r="H1242" t="n">
        <v>0</v>
      </c>
      <c r="I1242" t="n">
        <v>0</v>
      </c>
      <c r="J1242" t="n">
        <v>0</v>
      </c>
      <c r="K1242" t="n">
        <v>0</v>
      </c>
      <c r="L1242" t="n">
        <v>0</v>
      </c>
      <c r="M1242" t="n">
        <v>0</v>
      </c>
      <c r="N1242" t="n">
        <v>0</v>
      </c>
      <c r="O1242" t="n">
        <v>0</v>
      </c>
      <c r="P1242" t="n">
        <v>0</v>
      </c>
      <c r="Q1242" t="n">
        <v>0</v>
      </c>
      <c r="R1242" s="2" t="inlineStr"/>
    </row>
    <row r="1243" ht="15" customHeight="1">
      <c r="A1243" t="inlineStr">
        <is>
          <t>A 52393-2022</t>
        </is>
      </c>
      <c r="B1243" s="1" t="n">
        <v>44874</v>
      </c>
      <c r="C1243" s="1" t="n">
        <v>45849</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52546-2022</t>
        </is>
      </c>
      <c r="B1244" s="1" t="n">
        <v>44874</v>
      </c>
      <c r="C1244" s="1" t="n">
        <v>45849</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52386-2022</t>
        </is>
      </c>
      <c r="B1245" s="1" t="n">
        <v>44874</v>
      </c>
      <c r="C1245" s="1" t="n">
        <v>45849</v>
      </c>
      <c r="D1245" t="inlineStr">
        <is>
          <t>VÄRMLANDS LÄN</t>
        </is>
      </c>
      <c r="E1245" t="inlineStr">
        <is>
          <t>TORSBY</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45849</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52447-2022</t>
        </is>
      </c>
      <c r="B1247" s="1" t="n">
        <v>44874</v>
      </c>
      <c r="C1247" s="1" t="n">
        <v>45849</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52483-2022</t>
        </is>
      </c>
      <c r="B1248" s="1" t="n">
        <v>44874</v>
      </c>
      <c r="C1248" s="1" t="n">
        <v>45849</v>
      </c>
      <c r="D1248" t="inlineStr">
        <is>
          <t>VÄRMLANDS LÄN</t>
        </is>
      </c>
      <c r="E1248" t="inlineStr">
        <is>
          <t>TORSBY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52913-2022</t>
        </is>
      </c>
      <c r="B1249" s="1" t="n">
        <v>44875</v>
      </c>
      <c r="C1249" s="1" t="n">
        <v>45849</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52919-2022</t>
        </is>
      </c>
      <c r="B1250" s="1" t="n">
        <v>44875</v>
      </c>
      <c r="C1250" s="1" t="n">
        <v>45849</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53044-2022</t>
        </is>
      </c>
      <c r="B1251" s="1" t="n">
        <v>44876</v>
      </c>
      <c r="C1251" s="1" t="n">
        <v>45849</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53076-2022</t>
        </is>
      </c>
      <c r="B1252" s="1" t="n">
        <v>44876</v>
      </c>
      <c r="C1252" s="1" t="n">
        <v>45849</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53988-2022</t>
        </is>
      </c>
      <c r="B1253" s="1" t="n">
        <v>44876</v>
      </c>
      <c r="C1253" s="1" t="n">
        <v>45849</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53381-2022</t>
        </is>
      </c>
      <c r="B1254" s="1" t="n">
        <v>44879</v>
      </c>
      <c r="C1254" s="1" t="n">
        <v>45849</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53492-2022</t>
        </is>
      </c>
      <c r="B1255" s="1" t="n">
        <v>44879</v>
      </c>
      <c r="C1255" s="1" t="n">
        <v>45849</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53781-2022</t>
        </is>
      </c>
      <c r="B1256" s="1" t="n">
        <v>44880</v>
      </c>
      <c r="C1256" s="1" t="n">
        <v>45849</v>
      </c>
      <c r="D1256" t="inlineStr">
        <is>
          <t>VÄRMLANDS LÄN</t>
        </is>
      </c>
      <c r="E1256" t="inlineStr">
        <is>
          <t>TORSBY</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45849</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54452-2022</t>
        </is>
      </c>
      <c r="B1258" s="1" t="n">
        <v>44880</v>
      </c>
      <c r="C1258" s="1" t="n">
        <v>45849</v>
      </c>
      <c r="D1258" t="inlineStr">
        <is>
          <t>VÄRMLANDS LÄN</t>
        </is>
      </c>
      <c r="E1258" t="inlineStr">
        <is>
          <t>TORSBY</t>
        </is>
      </c>
      <c r="F1258" t="inlineStr">
        <is>
          <t>Kyrkan</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54028-2022</t>
        </is>
      </c>
      <c r="B1259" s="1" t="n">
        <v>44881</v>
      </c>
      <c r="C1259" s="1" t="n">
        <v>45849</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54143-2022</t>
        </is>
      </c>
      <c r="B1260" s="1" t="n">
        <v>44881</v>
      </c>
      <c r="C1260" s="1" t="n">
        <v>45849</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54160-2022</t>
        </is>
      </c>
      <c r="B1261" s="1" t="n">
        <v>44881</v>
      </c>
      <c r="C1261" s="1" t="n">
        <v>45849</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v>
      </c>
      <c r="C1262" s="1" t="n">
        <v>45849</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54865-2022</t>
        </is>
      </c>
      <c r="B1263" s="1" t="n">
        <v>44884</v>
      </c>
      <c r="C1263" s="1" t="n">
        <v>45849</v>
      </c>
      <c r="D1263" t="inlineStr">
        <is>
          <t>VÄRMLANDS LÄN</t>
        </is>
      </c>
      <c r="E1263" t="inlineStr">
        <is>
          <t>TORSBY</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54885-2022</t>
        </is>
      </c>
      <c r="B1264" s="1" t="n">
        <v>44886</v>
      </c>
      <c r="C1264" s="1" t="n">
        <v>45849</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55068-2022</t>
        </is>
      </c>
      <c r="B1265" s="1" t="n">
        <v>44886</v>
      </c>
      <c r="C1265" s="1" t="n">
        <v>45849</v>
      </c>
      <c r="D1265" t="inlineStr">
        <is>
          <t>VÄRMLANDS LÄN</t>
        </is>
      </c>
      <c r="E1265" t="inlineStr">
        <is>
          <t>TORSBY</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55092-2022</t>
        </is>
      </c>
      <c r="B1266" s="1" t="n">
        <v>44886</v>
      </c>
      <c r="C1266" s="1" t="n">
        <v>45849</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55104-2022</t>
        </is>
      </c>
      <c r="B1267" s="1" t="n">
        <v>44886</v>
      </c>
      <c r="C1267" s="1" t="n">
        <v>45849</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55428-2022</t>
        </is>
      </c>
      <c r="B1268" s="1" t="n">
        <v>44887</v>
      </c>
      <c r="C1268" s="1" t="n">
        <v>45849</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55475-2022</t>
        </is>
      </c>
      <c r="B1269" s="1" t="n">
        <v>44887</v>
      </c>
      <c r="C1269" s="1" t="n">
        <v>45849</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55436-2022</t>
        </is>
      </c>
      <c r="B1270" s="1" t="n">
        <v>44887</v>
      </c>
      <c r="C1270" s="1" t="n">
        <v>45849</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55575-2022</t>
        </is>
      </c>
      <c r="B1271" s="1" t="n">
        <v>44888</v>
      </c>
      <c r="C1271" s="1" t="n">
        <v>45849</v>
      </c>
      <c r="D1271" t="inlineStr">
        <is>
          <t>VÄRMLANDS LÄN</t>
        </is>
      </c>
      <c r="E1271" t="inlineStr">
        <is>
          <t>TORSBY</t>
        </is>
      </c>
      <c r="F1271" t="inlineStr">
        <is>
          <t>Bergvik skog väst AB</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55981-2022</t>
        </is>
      </c>
      <c r="B1272" s="1" t="n">
        <v>44889</v>
      </c>
      <c r="C1272" s="1" t="n">
        <v>45849</v>
      </c>
      <c r="D1272" t="inlineStr">
        <is>
          <t>VÄRMLANDS LÄN</t>
        </is>
      </c>
      <c r="E1272" t="inlineStr">
        <is>
          <t>TORSBY</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55939-2022</t>
        </is>
      </c>
      <c r="B1273" s="1" t="n">
        <v>44889</v>
      </c>
      <c r="C1273" s="1" t="n">
        <v>45849</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55947-2022</t>
        </is>
      </c>
      <c r="B1274" s="1" t="n">
        <v>44889</v>
      </c>
      <c r="C1274" s="1" t="n">
        <v>45849</v>
      </c>
      <c r="D1274" t="inlineStr">
        <is>
          <t>VÄRMLANDS LÄN</t>
        </is>
      </c>
      <c r="E1274" t="inlineStr">
        <is>
          <t>TORSBY</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56281-2022</t>
        </is>
      </c>
      <c r="B1275" s="1" t="n">
        <v>44890</v>
      </c>
      <c r="C1275" s="1" t="n">
        <v>45849</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56361-2022</t>
        </is>
      </c>
      <c r="B1276" s="1" t="n">
        <v>44890</v>
      </c>
      <c r="C1276" s="1" t="n">
        <v>45849</v>
      </c>
      <c r="D1276" t="inlineStr">
        <is>
          <t>VÄRMLANDS LÄN</t>
        </is>
      </c>
      <c r="E1276" t="inlineStr">
        <is>
          <t>TORSBY</t>
        </is>
      </c>
      <c r="F1276" t="inlineStr">
        <is>
          <t>Bergvik skog väst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56432-2022</t>
        </is>
      </c>
      <c r="B1277" s="1" t="n">
        <v>44891</v>
      </c>
      <c r="C1277" s="1" t="n">
        <v>45849</v>
      </c>
      <c r="D1277" t="inlineStr">
        <is>
          <t>VÄRMLANDS LÄN</t>
        </is>
      </c>
      <c r="E1277" t="inlineStr">
        <is>
          <t>TORSBY</t>
        </is>
      </c>
      <c r="F1277" t="inlineStr">
        <is>
          <t>Bergvik skog väst AB</t>
        </is>
      </c>
      <c r="G1277" t="n">
        <v>37.4</v>
      </c>
      <c r="H1277" t="n">
        <v>0</v>
      </c>
      <c r="I1277" t="n">
        <v>0</v>
      </c>
      <c r="J1277" t="n">
        <v>0</v>
      </c>
      <c r="K1277" t="n">
        <v>0</v>
      </c>
      <c r="L1277" t="n">
        <v>0</v>
      </c>
      <c r="M1277" t="n">
        <v>0</v>
      </c>
      <c r="N1277" t="n">
        <v>0</v>
      </c>
      <c r="O1277" t="n">
        <v>0</v>
      </c>
      <c r="P1277" t="n">
        <v>0</v>
      </c>
      <c r="Q1277" t="n">
        <v>0</v>
      </c>
      <c r="R1277" s="2" t="inlineStr"/>
    </row>
    <row r="1278" ht="15" customHeight="1">
      <c r="A1278" t="inlineStr">
        <is>
          <t>A 56434-2022</t>
        </is>
      </c>
      <c r="B1278" s="1" t="n">
        <v>44891</v>
      </c>
      <c r="C1278" s="1" t="n">
        <v>45849</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56473-2022</t>
        </is>
      </c>
      <c r="B1279" s="1" t="n">
        <v>44893</v>
      </c>
      <c r="C1279" s="1" t="n">
        <v>45849</v>
      </c>
      <c r="D1279" t="inlineStr">
        <is>
          <t>VÄRMLANDS LÄN</t>
        </is>
      </c>
      <c r="E1279" t="inlineStr">
        <is>
          <t>TORSBY</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57072-2022</t>
        </is>
      </c>
      <c r="B1280" s="1" t="n">
        <v>44895</v>
      </c>
      <c r="C1280" s="1" t="n">
        <v>45849</v>
      </c>
      <c r="D1280" t="inlineStr">
        <is>
          <t>VÄRMLANDS LÄN</t>
        </is>
      </c>
      <c r="E1280" t="inlineStr">
        <is>
          <t>TORSBY</t>
        </is>
      </c>
      <c r="F1280" t="inlineStr">
        <is>
          <t>Övriga statliga verk och myndigheter</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57176-2022</t>
        </is>
      </c>
      <c r="B1281" s="1" t="n">
        <v>44895</v>
      </c>
      <c r="C1281" s="1" t="n">
        <v>45849</v>
      </c>
      <c r="D1281" t="inlineStr">
        <is>
          <t>VÄRMLANDS LÄN</t>
        </is>
      </c>
      <c r="E1281" t="inlineStr">
        <is>
          <t>TORSBY</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v>
      </c>
      <c r="C1282" s="1" t="n">
        <v>45849</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57172-2022</t>
        </is>
      </c>
      <c r="B1283" s="1" t="n">
        <v>44895</v>
      </c>
      <c r="C1283" s="1" t="n">
        <v>45849</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57408-2022</t>
        </is>
      </c>
      <c r="B1284" s="1" t="n">
        <v>44896</v>
      </c>
      <c r="C1284" s="1" t="n">
        <v>45849</v>
      </c>
      <c r="D1284" t="inlineStr">
        <is>
          <t>VÄRMLANDS LÄN</t>
        </is>
      </c>
      <c r="E1284" t="inlineStr">
        <is>
          <t>TORSBY</t>
        </is>
      </c>
      <c r="F1284" t="inlineStr">
        <is>
          <t>Bergvik skog väst AB</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57418-2022</t>
        </is>
      </c>
      <c r="B1285" s="1" t="n">
        <v>44896</v>
      </c>
      <c r="C1285" s="1" t="n">
        <v>45849</v>
      </c>
      <c r="D1285" t="inlineStr">
        <is>
          <t>VÄRMLANDS LÄN</t>
        </is>
      </c>
      <c r="E1285" t="inlineStr">
        <is>
          <t>TORSBY</t>
        </is>
      </c>
      <c r="F1285" t="inlineStr">
        <is>
          <t>Bergvik skog väst AB</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57393-2022</t>
        </is>
      </c>
      <c r="B1286" s="1" t="n">
        <v>44896</v>
      </c>
      <c r="C1286" s="1" t="n">
        <v>45849</v>
      </c>
      <c r="D1286" t="inlineStr">
        <is>
          <t>VÄRMLANDS LÄN</t>
        </is>
      </c>
      <c r="E1286" t="inlineStr">
        <is>
          <t>TORSBY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57452-2022</t>
        </is>
      </c>
      <c r="B1287" s="1" t="n">
        <v>44896</v>
      </c>
      <c r="C1287" s="1" t="n">
        <v>45849</v>
      </c>
      <c r="D1287" t="inlineStr">
        <is>
          <t>VÄRMLANDS LÄN</t>
        </is>
      </c>
      <c r="E1287" t="inlineStr">
        <is>
          <t>TORSBY</t>
        </is>
      </c>
      <c r="F1287" t="inlineStr">
        <is>
          <t>Bergvik skog väst AB</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57708-2022</t>
        </is>
      </c>
      <c r="B1288" s="1" t="n">
        <v>44897</v>
      </c>
      <c r="C1288" s="1" t="n">
        <v>45849</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57726-2022</t>
        </is>
      </c>
      <c r="B1289" s="1" t="n">
        <v>44897</v>
      </c>
      <c r="C1289" s="1" t="n">
        <v>45849</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57721-2022</t>
        </is>
      </c>
      <c r="B1290" s="1" t="n">
        <v>44897</v>
      </c>
      <c r="C1290" s="1" t="n">
        <v>45849</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57867-2022</t>
        </is>
      </c>
      <c r="B1291" s="1" t="n">
        <v>44899</v>
      </c>
      <c r="C1291" s="1" t="n">
        <v>45849</v>
      </c>
      <c r="D1291" t="inlineStr">
        <is>
          <t>VÄRMLANDS LÄN</t>
        </is>
      </c>
      <c r="E1291" t="inlineStr">
        <is>
          <t>TORSBY</t>
        </is>
      </c>
      <c r="F1291" t="inlineStr">
        <is>
          <t>Bergvik skog väst AB</t>
        </is>
      </c>
      <c r="G1291" t="n">
        <v>21.8</v>
      </c>
      <c r="H1291" t="n">
        <v>0</v>
      </c>
      <c r="I1291" t="n">
        <v>0</v>
      </c>
      <c r="J1291" t="n">
        <v>0</v>
      </c>
      <c r="K1291" t="n">
        <v>0</v>
      </c>
      <c r="L1291" t="n">
        <v>0</v>
      </c>
      <c r="M1291" t="n">
        <v>0</v>
      </c>
      <c r="N1291" t="n">
        <v>0</v>
      </c>
      <c r="O1291" t="n">
        <v>0</v>
      </c>
      <c r="P1291" t="n">
        <v>0</v>
      </c>
      <c r="Q1291" t="n">
        <v>0</v>
      </c>
      <c r="R1291" s="2" t="inlineStr"/>
    </row>
    <row r="1292" ht="15" customHeight="1">
      <c r="A1292" t="inlineStr">
        <is>
          <t>A 57937-2022</t>
        </is>
      </c>
      <c r="B1292" s="1" t="n">
        <v>44900</v>
      </c>
      <c r="C1292" s="1" t="n">
        <v>45849</v>
      </c>
      <c r="D1292" t="inlineStr">
        <is>
          <t>VÄRMLANDS LÄN</t>
        </is>
      </c>
      <c r="E1292" t="inlineStr">
        <is>
          <t>TORSBY</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58225-2022</t>
        </is>
      </c>
      <c r="B1293" s="1" t="n">
        <v>44901</v>
      </c>
      <c r="C1293" s="1" t="n">
        <v>45849</v>
      </c>
      <c r="D1293" t="inlineStr">
        <is>
          <t>VÄRMLANDS LÄN</t>
        </is>
      </c>
      <c r="E1293" t="inlineStr">
        <is>
          <t>TORSBY</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58276-2022</t>
        </is>
      </c>
      <c r="B1294" s="1" t="n">
        <v>44901</v>
      </c>
      <c r="C1294" s="1" t="n">
        <v>45849</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v>
      </c>
      <c r="C1295" s="1" t="n">
        <v>45849</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58869-2022</t>
        </is>
      </c>
      <c r="B1296" s="1" t="n">
        <v>44903</v>
      </c>
      <c r="C1296" s="1" t="n">
        <v>45849</v>
      </c>
      <c r="D1296" t="inlineStr">
        <is>
          <t>VÄRMLANDS LÄN</t>
        </is>
      </c>
      <c r="E1296" t="inlineStr">
        <is>
          <t>TORSBY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58951-2022</t>
        </is>
      </c>
      <c r="B1297" s="1" t="n">
        <v>44903</v>
      </c>
      <c r="C1297" s="1" t="n">
        <v>45849</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59097-2022</t>
        </is>
      </c>
      <c r="B1298" s="1" t="n">
        <v>44904</v>
      </c>
      <c r="C1298" s="1" t="n">
        <v>45849</v>
      </c>
      <c r="D1298" t="inlineStr">
        <is>
          <t>VÄRMLANDS LÄN</t>
        </is>
      </c>
      <c r="E1298" t="inlineStr">
        <is>
          <t>TORSBY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59096-2022</t>
        </is>
      </c>
      <c r="B1299" s="1" t="n">
        <v>44904</v>
      </c>
      <c r="C1299" s="1" t="n">
        <v>45849</v>
      </c>
      <c r="D1299" t="inlineStr">
        <is>
          <t>VÄRMLANDS LÄN</t>
        </is>
      </c>
      <c r="E1299" t="inlineStr">
        <is>
          <t>TORSBY</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59778-2022</t>
        </is>
      </c>
      <c r="B1300" s="1" t="n">
        <v>44908</v>
      </c>
      <c r="C1300" s="1" t="n">
        <v>45849</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60240-2022</t>
        </is>
      </c>
      <c r="B1301" s="1" t="n">
        <v>44910</v>
      </c>
      <c r="C1301" s="1" t="n">
        <v>45849</v>
      </c>
      <c r="D1301" t="inlineStr">
        <is>
          <t>VÄRMLANDS LÄN</t>
        </is>
      </c>
      <c r="E1301" t="inlineStr">
        <is>
          <t>TORSBY</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61432-2022</t>
        </is>
      </c>
      <c r="B1302" s="1" t="n">
        <v>44910</v>
      </c>
      <c r="C1302" s="1" t="n">
        <v>45849</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61428-2022</t>
        </is>
      </c>
      <c r="B1303" s="1" t="n">
        <v>44910</v>
      </c>
      <c r="C1303" s="1" t="n">
        <v>45849</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60737-2022</t>
        </is>
      </c>
      <c r="B1304" s="1" t="n">
        <v>44913</v>
      </c>
      <c r="C1304" s="1" t="n">
        <v>45849</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60823-2022</t>
        </is>
      </c>
      <c r="B1305" s="1" t="n">
        <v>44914</v>
      </c>
      <c r="C1305" s="1" t="n">
        <v>45849</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61128-2022</t>
        </is>
      </c>
      <c r="B1306" s="1" t="n">
        <v>44915</v>
      </c>
      <c r="C1306" s="1" t="n">
        <v>45849</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61151-2022</t>
        </is>
      </c>
      <c r="B1307" s="1" t="n">
        <v>44915</v>
      </c>
      <c r="C1307" s="1" t="n">
        <v>45849</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61286-2022</t>
        </is>
      </c>
      <c r="B1308" s="1" t="n">
        <v>44915</v>
      </c>
      <c r="C1308" s="1" t="n">
        <v>45849</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61321-2022</t>
        </is>
      </c>
      <c r="B1309" s="1" t="n">
        <v>44915</v>
      </c>
      <c r="C1309" s="1" t="n">
        <v>45849</v>
      </c>
      <c r="D1309" t="inlineStr">
        <is>
          <t>VÄRMLANDS LÄN</t>
        </is>
      </c>
      <c r="E1309" t="inlineStr">
        <is>
          <t>TORSBY</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61138-2022</t>
        </is>
      </c>
      <c r="B1310" s="1" t="n">
        <v>44915</v>
      </c>
      <c r="C1310" s="1" t="n">
        <v>45849</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61143-2022</t>
        </is>
      </c>
      <c r="B1311" s="1" t="n">
        <v>44915</v>
      </c>
      <c r="C1311" s="1" t="n">
        <v>45849</v>
      </c>
      <c r="D1311" t="inlineStr">
        <is>
          <t>VÄRMLANDS LÄN</t>
        </is>
      </c>
      <c r="E1311" t="inlineStr">
        <is>
          <t>TORSBY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61290-2022</t>
        </is>
      </c>
      <c r="B1312" s="1" t="n">
        <v>44915</v>
      </c>
      <c r="C1312" s="1" t="n">
        <v>45849</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61367-2022</t>
        </is>
      </c>
      <c r="B1313" s="1" t="n">
        <v>44915</v>
      </c>
      <c r="C1313" s="1" t="n">
        <v>45849</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61135-2022</t>
        </is>
      </c>
      <c r="B1314" s="1" t="n">
        <v>44915</v>
      </c>
      <c r="C1314" s="1" t="n">
        <v>45849</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61510-2022</t>
        </is>
      </c>
      <c r="B1315" s="1" t="n">
        <v>44916</v>
      </c>
      <c r="C1315" s="1" t="n">
        <v>45849</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62006-2022</t>
        </is>
      </c>
      <c r="B1316" s="1" t="n">
        <v>44918</v>
      </c>
      <c r="C1316" s="1" t="n">
        <v>45849</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80-2023</t>
        </is>
      </c>
      <c r="B1317" s="1" t="n">
        <v>44918</v>
      </c>
      <c r="C1317" s="1" t="n">
        <v>45849</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345-2023</t>
        </is>
      </c>
      <c r="B1318" s="1" t="n">
        <v>44923</v>
      </c>
      <c r="C1318" s="1" t="n">
        <v>45849</v>
      </c>
      <c r="D1318" t="inlineStr">
        <is>
          <t>VÄRMLANDS LÄN</t>
        </is>
      </c>
      <c r="E1318" t="inlineStr">
        <is>
          <t>TORSBY</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363-2023</t>
        </is>
      </c>
      <c r="B1319" s="1" t="n">
        <v>44923</v>
      </c>
      <c r="C1319" s="1" t="n">
        <v>45849</v>
      </c>
      <c r="D1319" t="inlineStr">
        <is>
          <t>VÄRMLANDS LÄN</t>
        </is>
      </c>
      <c r="E1319" t="inlineStr">
        <is>
          <t>TORSBY</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62574-2022</t>
        </is>
      </c>
      <c r="B1320" s="1" t="n">
        <v>44924</v>
      </c>
      <c r="C1320" s="1" t="n">
        <v>45849</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522-2023</t>
        </is>
      </c>
      <c r="B1321" s="1" t="n">
        <v>44930</v>
      </c>
      <c r="C1321" s="1" t="n">
        <v>45849</v>
      </c>
      <c r="D1321" t="inlineStr">
        <is>
          <t>VÄRMLANDS LÄN</t>
        </is>
      </c>
      <c r="E1321" t="inlineStr">
        <is>
          <t>TORSBY</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1003-2023</t>
        </is>
      </c>
      <c r="B1322" s="1" t="n">
        <v>44935</v>
      </c>
      <c r="C1322" s="1" t="n">
        <v>45849</v>
      </c>
      <c r="D1322" t="inlineStr">
        <is>
          <t>VÄRMLANDS LÄN</t>
        </is>
      </c>
      <c r="E1322" t="inlineStr">
        <is>
          <t>TORSBY</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1120-2023</t>
        </is>
      </c>
      <c r="B1323" s="1" t="n">
        <v>44935</v>
      </c>
      <c r="C1323" s="1" t="n">
        <v>45849</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1166-2023</t>
        </is>
      </c>
      <c r="B1324" s="1" t="n">
        <v>44935</v>
      </c>
      <c r="C1324" s="1" t="n">
        <v>45849</v>
      </c>
      <c r="D1324" t="inlineStr">
        <is>
          <t>VÄRMLANDS LÄN</t>
        </is>
      </c>
      <c r="E1324" t="inlineStr">
        <is>
          <t>TORSBY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1123-2023</t>
        </is>
      </c>
      <c r="B1325" s="1" t="n">
        <v>44935</v>
      </c>
      <c r="C1325" s="1" t="n">
        <v>45849</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1386-2023</t>
        </is>
      </c>
      <c r="B1326" s="1" t="n">
        <v>44936</v>
      </c>
      <c r="C1326" s="1" t="n">
        <v>45849</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1947-2023</t>
        </is>
      </c>
      <c r="B1327" s="1" t="n">
        <v>44939</v>
      </c>
      <c r="C1327" s="1" t="n">
        <v>45849</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1979-2023</t>
        </is>
      </c>
      <c r="B1328" s="1" t="n">
        <v>44939</v>
      </c>
      <c r="C1328" s="1" t="n">
        <v>45849</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2471-2023</t>
        </is>
      </c>
      <c r="B1329" s="1" t="n">
        <v>44943</v>
      </c>
      <c r="C1329" s="1" t="n">
        <v>45849</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2512-2023</t>
        </is>
      </c>
      <c r="B1330" s="1" t="n">
        <v>44943</v>
      </c>
      <c r="C1330" s="1" t="n">
        <v>45849</v>
      </c>
      <c r="D1330" t="inlineStr">
        <is>
          <t>VÄRMLANDS LÄN</t>
        </is>
      </c>
      <c r="E1330" t="inlineStr">
        <is>
          <t>TORSBY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3098-2023</t>
        </is>
      </c>
      <c r="B1331" s="1" t="n">
        <v>44946</v>
      </c>
      <c r="C1331" s="1" t="n">
        <v>45849</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3103-2023</t>
        </is>
      </c>
      <c r="B1332" s="1" t="n">
        <v>44946</v>
      </c>
      <c r="C1332" s="1" t="n">
        <v>45849</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3256-2023</t>
        </is>
      </c>
      <c r="B1333" s="1" t="n">
        <v>44948</v>
      </c>
      <c r="C1333" s="1" t="n">
        <v>45849</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3421-2023</t>
        </is>
      </c>
      <c r="B1334" s="1" t="n">
        <v>44949</v>
      </c>
      <c r="C1334" s="1" t="n">
        <v>45849</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3489-2023</t>
        </is>
      </c>
      <c r="B1335" s="1" t="n">
        <v>44949</v>
      </c>
      <c r="C1335" s="1" t="n">
        <v>45849</v>
      </c>
      <c r="D1335" t="inlineStr">
        <is>
          <t>VÄRMLANDS LÄN</t>
        </is>
      </c>
      <c r="E1335" t="inlineStr">
        <is>
          <t>TORSBY</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3491-2023</t>
        </is>
      </c>
      <c r="B1336" s="1" t="n">
        <v>44949</v>
      </c>
      <c r="C1336" s="1" t="n">
        <v>45849</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3542-2023</t>
        </is>
      </c>
      <c r="B1337" s="1" t="n">
        <v>44950</v>
      </c>
      <c r="C1337" s="1" t="n">
        <v>45849</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3666-2023</t>
        </is>
      </c>
      <c r="B1338" s="1" t="n">
        <v>44950</v>
      </c>
      <c r="C1338" s="1" t="n">
        <v>45849</v>
      </c>
      <c r="D1338" t="inlineStr">
        <is>
          <t>VÄRMLANDS LÄN</t>
        </is>
      </c>
      <c r="E1338" t="inlineStr">
        <is>
          <t>TORSBY</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3670-2023</t>
        </is>
      </c>
      <c r="B1339" s="1" t="n">
        <v>44950</v>
      </c>
      <c r="C1339" s="1" t="n">
        <v>45849</v>
      </c>
      <c r="D1339" t="inlineStr">
        <is>
          <t>VÄRMLANDS LÄN</t>
        </is>
      </c>
      <c r="E1339" t="inlineStr">
        <is>
          <t>TORSBY</t>
        </is>
      </c>
      <c r="G1339" t="n">
        <v>15.4</v>
      </c>
      <c r="H1339" t="n">
        <v>0</v>
      </c>
      <c r="I1339" t="n">
        <v>0</v>
      </c>
      <c r="J1339" t="n">
        <v>0</v>
      </c>
      <c r="K1339" t="n">
        <v>0</v>
      </c>
      <c r="L1339" t="n">
        <v>0</v>
      </c>
      <c r="M1339" t="n">
        <v>0</v>
      </c>
      <c r="N1339" t="n">
        <v>0</v>
      </c>
      <c r="O1339" t="n">
        <v>0</v>
      </c>
      <c r="P1339" t="n">
        <v>0</v>
      </c>
      <c r="Q1339" t="n">
        <v>0</v>
      </c>
      <c r="R1339" s="2" t="inlineStr"/>
    </row>
    <row r="1340" ht="15" customHeight="1">
      <c r="A1340" t="inlineStr">
        <is>
          <t>A 3667-2023</t>
        </is>
      </c>
      <c r="B1340" s="1" t="n">
        <v>44950</v>
      </c>
      <c r="C1340" s="1" t="n">
        <v>45849</v>
      </c>
      <c r="D1340" t="inlineStr">
        <is>
          <t>VÄRMLANDS LÄN</t>
        </is>
      </c>
      <c r="E1340" t="inlineStr">
        <is>
          <t>TORSBY</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3672-2023</t>
        </is>
      </c>
      <c r="B1341" s="1" t="n">
        <v>44950</v>
      </c>
      <c r="C1341" s="1" t="n">
        <v>45849</v>
      </c>
      <c r="D1341" t="inlineStr">
        <is>
          <t>VÄRMLANDS LÄN</t>
        </is>
      </c>
      <c r="E1341" t="inlineStr">
        <is>
          <t>TORSBY</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3881-2023</t>
        </is>
      </c>
      <c r="B1342" s="1" t="n">
        <v>44951</v>
      </c>
      <c r="C1342" s="1" t="n">
        <v>45849</v>
      </c>
      <c r="D1342" t="inlineStr">
        <is>
          <t>VÄRMLANDS LÄN</t>
        </is>
      </c>
      <c r="E1342" t="inlineStr">
        <is>
          <t>TORSBY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4250-2023</t>
        </is>
      </c>
      <c r="B1343" s="1" t="n">
        <v>44953</v>
      </c>
      <c r="C1343" s="1" t="n">
        <v>45849</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4236-2023</t>
        </is>
      </c>
      <c r="B1344" s="1" t="n">
        <v>44953</v>
      </c>
      <c r="C1344" s="1" t="n">
        <v>45849</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4433-2023</t>
        </is>
      </c>
      <c r="B1345" s="1" t="n">
        <v>44956</v>
      </c>
      <c r="C1345" s="1" t="n">
        <v>45849</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4510-2023</t>
        </is>
      </c>
      <c r="B1346" s="1" t="n">
        <v>44956</v>
      </c>
      <c r="C1346" s="1" t="n">
        <v>45849</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4568-2023</t>
        </is>
      </c>
      <c r="B1347" s="1" t="n">
        <v>44956</v>
      </c>
      <c r="C1347" s="1" t="n">
        <v>45849</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4585-2023</t>
        </is>
      </c>
      <c r="B1348" s="1" t="n">
        <v>44956</v>
      </c>
      <c r="C1348" s="1" t="n">
        <v>45849</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4707-2023</t>
        </is>
      </c>
      <c r="B1349" s="1" t="n">
        <v>44957</v>
      </c>
      <c r="C1349" s="1" t="n">
        <v>45849</v>
      </c>
      <c r="D1349" t="inlineStr">
        <is>
          <t>VÄRMLANDS LÄN</t>
        </is>
      </c>
      <c r="E1349" t="inlineStr">
        <is>
          <t>TORSBY</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5216-2023</t>
        </is>
      </c>
      <c r="B1350" s="1" t="n">
        <v>44959</v>
      </c>
      <c r="C1350" s="1" t="n">
        <v>45849</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5492-2023</t>
        </is>
      </c>
      <c r="B1351" s="1" t="n">
        <v>44959</v>
      </c>
      <c r="C1351" s="1" t="n">
        <v>45849</v>
      </c>
      <c r="D1351" t="inlineStr">
        <is>
          <t>VÄRMLANDS LÄN</t>
        </is>
      </c>
      <c r="E1351" t="inlineStr">
        <is>
          <t>TORSBY</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6708-2023</t>
        </is>
      </c>
      <c r="B1352" s="1" t="n">
        <v>44960</v>
      </c>
      <c r="C1352" s="1" t="n">
        <v>45849</v>
      </c>
      <c r="D1352" t="inlineStr">
        <is>
          <t>VÄRMLANDS LÄN</t>
        </is>
      </c>
      <c r="E1352" t="inlineStr">
        <is>
          <t>TORSBY</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6702-2023</t>
        </is>
      </c>
      <c r="B1353" s="1" t="n">
        <v>44960</v>
      </c>
      <c r="C1353" s="1" t="n">
        <v>45849</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6715-2023</t>
        </is>
      </c>
      <c r="B1354" s="1" t="n">
        <v>44960</v>
      </c>
      <c r="C1354" s="1" t="n">
        <v>45849</v>
      </c>
      <c r="D1354" t="inlineStr">
        <is>
          <t>VÄRMLANDS LÄN</t>
        </is>
      </c>
      <c r="E1354" t="inlineStr">
        <is>
          <t>TORSBY</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6711-2023</t>
        </is>
      </c>
      <c r="B1355" s="1" t="n">
        <v>44960</v>
      </c>
      <c r="C1355" s="1" t="n">
        <v>45849</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6713-2023</t>
        </is>
      </c>
      <c r="B1356" s="1" t="n">
        <v>44960</v>
      </c>
      <c r="C1356" s="1" t="n">
        <v>45849</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5830-2023</t>
        </is>
      </c>
      <c r="B1357" s="1" t="n">
        <v>44963</v>
      </c>
      <c r="C1357" s="1" t="n">
        <v>45849</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5763-2023</t>
        </is>
      </c>
      <c r="B1358" s="1" t="n">
        <v>44963</v>
      </c>
      <c r="C1358" s="1" t="n">
        <v>45849</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6863-2023</t>
        </is>
      </c>
      <c r="B1359" s="1" t="n">
        <v>44964</v>
      </c>
      <c r="C1359" s="1" t="n">
        <v>45849</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7283-2023</t>
        </is>
      </c>
      <c r="B1360" s="1" t="n">
        <v>44970</v>
      </c>
      <c r="C1360" s="1" t="n">
        <v>45849</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7127-2023</t>
        </is>
      </c>
      <c r="B1361" s="1" t="n">
        <v>44970</v>
      </c>
      <c r="C1361" s="1" t="n">
        <v>45849</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7133-2023</t>
        </is>
      </c>
      <c r="B1362" s="1" t="n">
        <v>44970</v>
      </c>
      <c r="C1362" s="1" t="n">
        <v>45849</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7405-2023</t>
        </is>
      </c>
      <c r="B1363" s="1" t="n">
        <v>44971</v>
      </c>
      <c r="C1363" s="1" t="n">
        <v>45849</v>
      </c>
      <c r="D1363" t="inlineStr">
        <is>
          <t>VÄRMLANDS LÄN</t>
        </is>
      </c>
      <c r="E1363" t="inlineStr">
        <is>
          <t>TORSBY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8194-2023</t>
        </is>
      </c>
      <c r="B1364" s="1" t="n">
        <v>44971</v>
      </c>
      <c r="C1364" s="1" t="n">
        <v>45849</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8192-2023</t>
        </is>
      </c>
      <c r="B1365" s="1" t="n">
        <v>44971</v>
      </c>
      <c r="C1365" s="1" t="n">
        <v>45849</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7745-2023</t>
        </is>
      </c>
      <c r="B1366" s="1" t="n">
        <v>44973</v>
      </c>
      <c r="C1366" s="1" t="n">
        <v>45849</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7753-2023</t>
        </is>
      </c>
      <c r="B1367" s="1" t="n">
        <v>44973</v>
      </c>
      <c r="C1367" s="1" t="n">
        <v>45849</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8016-2023</t>
        </is>
      </c>
      <c r="B1368" s="1" t="n">
        <v>44973</v>
      </c>
      <c r="C1368" s="1" t="n">
        <v>45849</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8910-2023</t>
        </is>
      </c>
      <c r="B1369" s="1" t="n">
        <v>44973</v>
      </c>
      <c r="C1369" s="1" t="n">
        <v>45849</v>
      </c>
      <c r="D1369" t="inlineStr">
        <is>
          <t>VÄRMLANDS LÄN</t>
        </is>
      </c>
      <c r="E1369" t="inlineStr">
        <is>
          <t>TORSBY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8012-2023</t>
        </is>
      </c>
      <c r="B1370" s="1" t="n">
        <v>44973</v>
      </c>
      <c r="C1370" s="1" t="n">
        <v>45849</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8284-2023</t>
        </is>
      </c>
      <c r="B1371" s="1" t="n">
        <v>44974</v>
      </c>
      <c r="C1371" s="1" t="n">
        <v>45849</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8281-2023</t>
        </is>
      </c>
      <c r="B1372" s="1" t="n">
        <v>44974</v>
      </c>
      <c r="C1372" s="1" t="n">
        <v>45849</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8287-2023</t>
        </is>
      </c>
      <c r="B1373" s="1" t="n">
        <v>44974</v>
      </c>
      <c r="C1373" s="1" t="n">
        <v>45849</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8931-2023</t>
        </is>
      </c>
      <c r="B1374" s="1" t="n">
        <v>44974</v>
      </c>
      <c r="C1374" s="1" t="n">
        <v>45849</v>
      </c>
      <c r="D1374" t="inlineStr">
        <is>
          <t>VÄRMLANDS LÄN</t>
        </is>
      </c>
      <c r="E1374" t="inlineStr">
        <is>
          <t>TORSBY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8928-2023</t>
        </is>
      </c>
      <c r="B1375" s="1" t="n">
        <v>44974</v>
      </c>
      <c r="C1375" s="1" t="n">
        <v>45849</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8447-2023</t>
        </is>
      </c>
      <c r="B1376" s="1" t="n">
        <v>44977</v>
      </c>
      <c r="C1376" s="1" t="n">
        <v>45849</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9453-2023</t>
        </is>
      </c>
      <c r="B1377" s="1" t="n">
        <v>44977</v>
      </c>
      <c r="C1377" s="1" t="n">
        <v>45849</v>
      </c>
      <c r="D1377" t="inlineStr">
        <is>
          <t>VÄRMLANDS LÄN</t>
        </is>
      </c>
      <c r="E1377" t="inlineStr">
        <is>
          <t>TORSBY</t>
        </is>
      </c>
      <c r="F1377" t="inlineStr">
        <is>
          <t>Kyrkan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8819-2023</t>
        </is>
      </c>
      <c r="B1378" s="1" t="n">
        <v>44978</v>
      </c>
      <c r="C1378" s="1" t="n">
        <v>45849</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9067-2023</t>
        </is>
      </c>
      <c r="B1379" s="1" t="n">
        <v>44979</v>
      </c>
      <c r="C1379" s="1" t="n">
        <v>45849</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9056-2023</t>
        </is>
      </c>
      <c r="B1380" s="1" t="n">
        <v>44979</v>
      </c>
      <c r="C1380" s="1" t="n">
        <v>45849</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10027-2023</t>
        </is>
      </c>
      <c r="B1381" s="1" t="n">
        <v>44979</v>
      </c>
      <c r="C1381" s="1" t="n">
        <v>45849</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10033-2023</t>
        </is>
      </c>
      <c r="B1382" s="1" t="n">
        <v>44979</v>
      </c>
      <c r="C1382" s="1" t="n">
        <v>45849</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10024-2023</t>
        </is>
      </c>
      <c r="B1383" s="1" t="n">
        <v>44979</v>
      </c>
      <c r="C1383" s="1" t="n">
        <v>45849</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9327-2023</t>
        </is>
      </c>
      <c r="B1384" s="1" t="n">
        <v>44980</v>
      </c>
      <c r="C1384" s="1" t="n">
        <v>45849</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10479-2023</t>
        </is>
      </c>
      <c r="B1385" s="1" t="n">
        <v>44981</v>
      </c>
      <c r="C1385" s="1" t="n">
        <v>45849</v>
      </c>
      <c r="D1385" t="inlineStr">
        <is>
          <t>VÄRMLANDS LÄN</t>
        </is>
      </c>
      <c r="E1385" t="inlineStr">
        <is>
          <t>TORSBY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45849</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10471-2023</t>
        </is>
      </c>
      <c r="B1387" s="1" t="n">
        <v>44981</v>
      </c>
      <c r="C1387" s="1" t="n">
        <v>45849</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9575-2023</t>
        </is>
      </c>
      <c r="B1388" s="1" t="n">
        <v>44982</v>
      </c>
      <c r="C1388" s="1" t="n">
        <v>45849</v>
      </c>
      <c r="D1388" t="inlineStr">
        <is>
          <t>VÄRMLANDS LÄN</t>
        </is>
      </c>
      <c r="E1388" t="inlineStr">
        <is>
          <t>TORSBY</t>
        </is>
      </c>
      <c r="F1388" t="inlineStr">
        <is>
          <t>Övriga statliga verk och myndigheter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9574-2023</t>
        </is>
      </c>
      <c r="B1389" s="1" t="n">
        <v>44982</v>
      </c>
      <c r="C1389" s="1" t="n">
        <v>45849</v>
      </c>
      <c r="D1389" t="inlineStr">
        <is>
          <t>VÄRMLANDS LÄN</t>
        </is>
      </c>
      <c r="E1389" t="inlineStr">
        <is>
          <t>TORSBY</t>
        </is>
      </c>
      <c r="F1389" t="inlineStr">
        <is>
          <t>Övriga statliga verk och myndigheter</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9578-2023</t>
        </is>
      </c>
      <c r="B1390" s="1" t="n">
        <v>44982</v>
      </c>
      <c r="C1390" s="1" t="n">
        <v>45849</v>
      </c>
      <c r="D1390" t="inlineStr">
        <is>
          <t>VÄRMLANDS LÄN</t>
        </is>
      </c>
      <c r="E1390" t="inlineStr">
        <is>
          <t>TORSBY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10888-2023</t>
        </is>
      </c>
      <c r="B1391" s="1" t="n">
        <v>44985</v>
      </c>
      <c r="C1391" s="1" t="n">
        <v>45849</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10155-2023</t>
        </is>
      </c>
      <c r="B1392" s="1" t="n">
        <v>44986</v>
      </c>
      <c r="C1392" s="1" t="n">
        <v>45849</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10218-2023</t>
        </is>
      </c>
      <c r="B1393" s="1" t="n">
        <v>44986</v>
      </c>
      <c r="C1393" s="1" t="n">
        <v>45849</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10228-2023</t>
        </is>
      </c>
      <c r="B1394" s="1" t="n">
        <v>44986</v>
      </c>
      <c r="C1394" s="1" t="n">
        <v>45849</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10662-2023</t>
        </is>
      </c>
      <c r="B1395" s="1" t="n">
        <v>44988</v>
      </c>
      <c r="C1395" s="1" t="n">
        <v>45849</v>
      </c>
      <c r="D1395" t="inlineStr">
        <is>
          <t>VÄRMLANDS LÄN</t>
        </is>
      </c>
      <c r="E1395" t="inlineStr">
        <is>
          <t>TORSBY</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10583-2023</t>
        </is>
      </c>
      <c r="B1396" s="1" t="n">
        <v>44988</v>
      </c>
      <c r="C1396" s="1" t="n">
        <v>45849</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10666-2023</t>
        </is>
      </c>
      <c r="B1397" s="1" t="n">
        <v>44988</v>
      </c>
      <c r="C1397" s="1" t="n">
        <v>45849</v>
      </c>
      <c r="D1397" t="inlineStr">
        <is>
          <t>VÄRMLANDS LÄN</t>
        </is>
      </c>
      <c r="E1397" t="inlineStr">
        <is>
          <t>TORSBY</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10698-2023</t>
        </is>
      </c>
      <c r="B1398" s="1" t="n">
        <v>44988</v>
      </c>
      <c r="C1398" s="1" t="n">
        <v>45849</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11364-2023</t>
        </is>
      </c>
      <c r="B1399" s="1" t="n">
        <v>44993</v>
      </c>
      <c r="C1399" s="1" t="n">
        <v>45849</v>
      </c>
      <c r="D1399" t="inlineStr">
        <is>
          <t>VÄRMLANDS LÄN</t>
        </is>
      </c>
      <c r="E1399" t="inlineStr">
        <is>
          <t>TORSBY</t>
        </is>
      </c>
      <c r="G1399" t="n">
        <v>31.9</v>
      </c>
      <c r="H1399" t="n">
        <v>0</v>
      </c>
      <c r="I1399" t="n">
        <v>0</v>
      </c>
      <c r="J1399" t="n">
        <v>0</v>
      </c>
      <c r="K1399" t="n">
        <v>0</v>
      </c>
      <c r="L1399" t="n">
        <v>0</v>
      </c>
      <c r="M1399" t="n">
        <v>0</v>
      </c>
      <c r="N1399" t="n">
        <v>0</v>
      </c>
      <c r="O1399" t="n">
        <v>0</v>
      </c>
      <c r="P1399" t="n">
        <v>0</v>
      </c>
      <c r="Q1399" t="n">
        <v>0</v>
      </c>
      <c r="R1399" s="2" t="inlineStr"/>
    </row>
    <row r="1400" ht="15" customHeight="1">
      <c r="A1400" t="inlineStr">
        <is>
          <t>A 11366-2023</t>
        </is>
      </c>
      <c r="B1400" s="1" t="n">
        <v>44993</v>
      </c>
      <c r="C1400" s="1" t="n">
        <v>45849</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12441-2023</t>
        </is>
      </c>
      <c r="B1401" s="1" t="n">
        <v>44999</v>
      </c>
      <c r="C1401" s="1" t="n">
        <v>45849</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12453-2023</t>
        </is>
      </c>
      <c r="B1402" s="1" t="n">
        <v>44999</v>
      </c>
      <c r="C1402" s="1" t="n">
        <v>45849</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12458-2023</t>
        </is>
      </c>
      <c r="B1403" s="1" t="n">
        <v>44999</v>
      </c>
      <c r="C1403" s="1" t="n">
        <v>45849</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12467-2023</t>
        </is>
      </c>
      <c r="B1404" s="1" t="n">
        <v>44999</v>
      </c>
      <c r="C1404" s="1" t="n">
        <v>45849</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12689-2023</t>
        </is>
      </c>
      <c r="B1405" s="1" t="n">
        <v>45000</v>
      </c>
      <c r="C1405" s="1" t="n">
        <v>45849</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12637-2023</t>
        </is>
      </c>
      <c r="B1406" s="1" t="n">
        <v>45000</v>
      </c>
      <c r="C1406" s="1" t="n">
        <v>45849</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12670-2023</t>
        </is>
      </c>
      <c r="B1407" s="1" t="n">
        <v>45000</v>
      </c>
      <c r="C1407" s="1" t="n">
        <v>45849</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12933-2023</t>
        </is>
      </c>
      <c r="B1408" s="1" t="n">
        <v>45001</v>
      </c>
      <c r="C1408" s="1" t="n">
        <v>45849</v>
      </c>
      <c r="D1408" t="inlineStr">
        <is>
          <t>VÄRMLANDS LÄN</t>
        </is>
      </c>
      <c r="E1408" t="inlineStr">
        <is>
          <t>TORSBY</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13054-2023</t>
        </is>
      </c>
      <c r="B1409" s="1" t="n">
        <v>45001</v>
      </c>
      <c r="C1409" s="1" t="n">
        <v>45849</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13048-2023</t>
        </is>
      </c>
      <c r="B1410" s="1" t="n">
        <v>45001</v>
      </c>
      <c r="C1410" s="1" t="n">
        <v>45849</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12968-2023</t>
        </is>
      </c>
      <c r="B1411" s="1" t="n">
        <v>45001</v>
      </c>
      <c r="C1411" s="1" t="n">
        <v>45849</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13791-2023</t>
        </is>
      </c>
      <c r="B1412" s="1" t="n">
        <v>45005</v>
      </c>
      <c r="C1412" s="1" t="n">
        <v>45849</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13561-2023</t>
        </is>
      </c>
      <c r="B1413" s="1" t="n">
        <v>45006</v>
      </c>
      <c r="C1413" s="1" t="n">
        <v>45849</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13586-2023</t>
        </is>
      </c>
      <c r="B1414" s="1" t="n">
        <v>45006</v>
      </c>
      <c r="C1414" s="1" t="n">
        <v>45849</v>
      </c>
      <c r="D1414" t="inlineStr">
        <is>
          <t>VÄRMLANDS LÄN</t>
        </is>
      </c>
      <c r="E1414" t="inlineStr">
        <is>
          <t>TORSBY</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13785-2023</t>
        </is>
      </c>
      <c r="B1415" s="1" t="n">
        <v>45007</v>
      </c>
      <c r="C1415" s="1" t="n">
        <v>45849</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13723-2023</t>
        </is>
      </c>
      <c r="B1416" s="1" t="n">
        <v>45007</v>
      </c>
      <c r="C1416" s="1" t="n">
        <v>45849</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14293-2023</t>
        </is>
      </c>
      <c r="B1417" s="1" t="n">
        <v>45011</v>
      </c>
      <c r="C1417" s="1" t="n">
        <v>45849</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14304-2023</t>
        </is>
      </c>
      <c r="B1418" s="1" t="n">
        <v>45011</v>
      </c>
      <c r="C1418" s="1" t="n">
        <v>45849</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14303-2023</t>
        </is>
      </c>
      <c r="B1419" s="1" t="n">
        <v>45011</v>
      </c>
      <c r="C1419" s="1" t="n">
        <v>45849</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14292-2023</t>
        </is>
      </c>
      <c r="B1420" s="1" t="n">
        <v>45011</v>
      </c>
      <c r="C1420" s="1" t="n">
        <v>45849</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14592-2023</t>
        </is>
      </c>
      <c r="B1421" s="1" t="n">
        <v>45013</v>
      </c>
      <c r="C1421" s="1" t="n">
        <v>45849</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14581-2023</t>
        </is>
      </c>
      <c r="B1422" s="1" t="n">
        <v>45013</v>
      </c>
      <c r="C1422" s="1" t="n">
        <v>45849</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14624-2023</t>
        </is>
      </c>
      <c r="B1423" s="1" t="n">
        <v>45013</v>
      </c>
      <c r="C1423" s="1" t="n">
        <v>45849</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14709-2023</t>
        </is>
      </c>
      <c r="B1424" s="1" t="n">
        <v>45014</v>
      </c>
      <c r="C1424" s="1" t="n">
        <v>45849</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14945-2023</t>
        </is>
      </c>
      <c r="B1425" s="1" t="n">
        <v>45014</v>
      </c>
      <c r="C1425" s="1" t="n">
        <v>45849</v>
      </c>
      <c r="D1425" t="inlineStr">
        <is>
          <t>VÄRMLANDS LÄN</t>
        </is>
      </c>
      <c r="E1425" t="inlineStr">
        <is>
          <t>TORSBY</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14917-2023</t>
        </is>
      </c>
      <c r="B1426" s="1" t="n">
        <v>45015</v>
      </c>
      <c r="C1426" s="1" t="n">
        <v>45849</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15085-2023</t>
        </is>
      </c>
      <c r="B1427" s="1" t="n">
        <v>45016</v>
      </c>
      <c r="C1427" s="1" t="n">
        <v>45849</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15087-2023</t>
        </is>
      </c>
      <c r="B1428" s="1" t="n">
        <v>45016</v>
      </c>
      <c r="C1428" s="1" t="n">
        <v>45849</v>
      </c>
      <c r="D1428" t="inlineStr">
        <is>
          <t>VÄRMLANDS LÄN</t>
        </is>
      </c>
      <c r="E1428" t="inlineStr">
        <is>
          <t>TORSBY</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15413-2023</t>
        </is>
      </c>
      <c r="B1429" s="1" t="n">
        <v>45019</v>
      </c>
      <c r="C1429" s="1" t="n">
        <v>45849</v>
      </c>
      <c r="D1429" t="inlineStr">
        <is>
          <t>VÄRMLANDS LÄN</t>
        </is>
      </c>
      <c r="E1429" t="inlineStr">
        <is>
          <t>TORSBY</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15450-2023</t>
        </is>
      </c>
      <c r="B1430" s="1" t="n">
        <v>45020</v>
      </c>
      <c r="C1430" s="1" t="n">
        <v>45849</v>
      </c>
      <c r="D1430" t="inlineStr">
        <is>
          <t>VÄRMLANDS LÄN</t>
        </is>
      </c>
      <c r="E1430" t="inlineStr">
        <is>
          <t>TORSBY</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15488-2023</t>
        </is>
      </c>
      <c r="B1431" s="1" t="n">
        <v>45020</v>
      </c>
      <c r="C1431" s="1" t="n">
        <v>45849</v>
      </c>
      <c r="D1431" t="inlineStr">
        <is>
          <t>VÄRMLANDS LÄN</t>
        </is>
      </c>
      <c r="E1431" t="inlineStr">
        <is>
          <t>TORSBY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15773-2023</t>
        </is>
      </c>
      <c r="B1432" s="1" t="n">
        <v>45021</v>
      </c>
      <c r="C1432" s="1" t="n">
        <v>45849</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16093-2023</t>
        </is>
      </c>
      <c r="B1433" s="1" t="n">
        <v>45021</v>
      </c>
      <c r="C1433" s="1" t="n">
        <v>45849</v>
      </c>
      <c r="D1433" t="inlineStr">
        <is>
          <t>VÄRMLANDS LÄN</t>
        </is>
      </c>
      <c r="E1433" t="inlineStr">
        <is>
          <t>TORSBY</t>
        </is>
      </c>
      <c r="F1433" t="inlineStr">
        <is>
          <t>Övriga statliga verk och myndigheter</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16121-2023</t>
        </is>
      </c>
      <c r="B1434" s="1" t="n">
        <v>45022</v>
      </c>
      <c r="C1434" s="1" t="n">
        <v>45849</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16416-2023</t>
        </is>
      </c>
      <c r="B1435" s="1" t="n">
        <v>45022</v>
      </c>
      <c r="C1435" s="1" t="n">
        <v>45849</v>
      </c>
      <c r="D1435" t="inlineStr">
        <is>
          <t>VÄRMLANDS LÄN</t>
        </is>
      </c>
      <c r="E1435" t="inlineStr">
        <is>
          <t>TORSBY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16433-2023</t>
        </is>
      </c>
      <c r="B1436" s="1" t="n">
        <v>45022</v>
      </c>
      <c r="C1436" s="1" t="n">
        <v>45849</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16427-2023</t>
        </is>
      </c>
      <c r="B1437" s="1" t="n">
        <v>45022</v>
      </c>
      <c r="C1437" s="1" t="n">
        <v>45849</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15992-2023</t>
        </is>
      </c>
      <c r="B1438" s="1" t="n">
        <v>45023</v>
      </c>
      <c r="C1438" s="1" t="n">
        <v>45849</v>
      </c>
      <c r="D1438" t="inlineStr">
        <is>
          <t>VÄRMLANDS LÄN</t>
        </is>
      </c>
      <c r="E1438" t="inlineStr">
        <is>
          <t>TORSBY</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16044-2023</t>
        </is>
      </c>
      <c r="B1439" s="1" t="n">
        <v>45027</v>
      </c>
      <c r="C1439" s="1" t="n">
        <v>45849</v>
      </c>
      <c r="D1439" t="inlineStr">
        <is>
          <t>VÄRMLANDS LÄN</t>
        </is>
      </c>
      <c r="E1439" t="inlineStr">
        <is>
          <t>TORSBY</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16309-2023</t>
        </is>
      </c>
      <c r="B1440" s="1" t="n">
        <v>45028</v>
      </c>
      <c r="C1440" s="1" t="n">
        <v>45849</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16313-2023</t>
        </is>
      </c>
      <c r="B1441" s="1" t="n">
        <v>45028</v>
      </c>
      <c r="C1441" s="1" t="n">
        <v>45849</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16317-2023</t>
        </is>
      </c>
      <c r="B1442" s="1" t="n">
        <v>45028</v>
      </c>
      <c r="C1442" s="1" t="n">
        <v>45849</v>
      </c>
      <c r="D1442" t="inlineStr">
        <is>
          <t>VÄRMLANDS LÄN</t>
        </is>
      </c>
      <c r="E1442" t="inlineStr">
        <is>
          <t>TORSBY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16919-2023</t>
        </is>
      </c>
      <c r="B1443" s="1" t="n">
        <v>45033</v>
      </c>
      <c r="C1443" s="1" t="n">
        <v>45849</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16945-2023</t>
        </is>
      </c>
      <c r="B1444" s="1" t="n">
        <v>45033</v>
      </c>
      <c r="C1444" s="1" t="n">
        <v>45849</v>
      </c>
      <c r="D1444" t="inlineStr">
        <is>
          <t>VÄRMLANDS LÄN</t>
        </is>
      </c>
      <c r="E1444" t="inlineStr">
        <is>
          <t>TORSBY</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16943-2023</t>
        </is>
      </c>
      <c r="B1445" s="1" t="n">
        <v>45033</v>
      </c>
      <c r="C1445" s="1" t="n">
        <v>45849</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17184-2023</t>
        </is>
      </c>
      <c r="B1446" s="1" t="n">
        <v>45034</v>
      </c>
      <c r="C1446" s="1" t="n">
        <v>45849</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17188-2023</t>
        </is>
      </c>
      <c r="B1447" s="1" t="n">
        <v>45034</v>
      </c>
      <c r="C1447" s="1" t="n">
        <v>45849</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17554-2023</t>
        </is>
      </c>
      <c r="B1448" s="1" t="n">
        <v>45034</v>
      </c>
      <c r="C1448" s="1" t="n">
        <v>45849</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17300-2023</t>
        </is>
      </c>
      <c r="B1449" s="1" t="n">
        <v>45035</v>
      </c>
      <c r="C1449" s="1" t="n">
        <v>45849</v>
      </c>
      <c r="D1449" t="inlineStr">
        <is>
          <t>VÄRMLANDS LÄN</t>
        </is>
      </c>
      <c r="E1449" t="inlineStr">
        <is>
          <t>TORSBY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17322-2023</t>
        </is>
      </c>
      <c r="B1450" s="1" t="n">
        <v>45035</v>
      </c>
      <c r="C1450" s="1" t="n">
        <v>45849</v>
      </c>
      <c r="D1450" t="inlineStr">
        <is>
          <t>VÄRMLANDS LÄN</t>
        </is>
      </c>
      <c r="E1450" t="inlineStr">
        <is>
          <t>TORSBY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17328-2023</t>
        </is>
      </c>
      <c r="B1451" s="1" t="n">
        <v>45035</v>
      </c>
      <c r="C1451" s="1" t="n">
        <v>45849</v>
      </c>
      <c r="D1451" t="inlineStr">
        <is>
          <t>VÄRMLANDS LÄN</t>
        </is>
      </c>
      <c r="E1451" t="inlineStr">
        <is>
          <t>TORSBY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17548-2023</t>
        </is>
      </c>
      <c r="B1452" s="1" t="n">
        <v>45036</v>
      </c>
      <c r="C1452" s="1" t="n">
        <v>45849</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17488-2023</t>
        </is>
      </c>
      <c r="B1453" s="1" t="n">
        <v>45036</v>
      </c>
      <c r="C1453" s="1" t="n">
        <v>45849</v>
      </c>
      <c r="D1453" t="inlineStr">
        <is>
          <t>VÄRMLANDS LÄN</t>
        </is>
      </c>
      <c r="E1453" t="inlineStr">
        <is>
          <t>TORSBY</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17546-2023</t>
        </is>
      </c>
      <c r="B1454" s="1" t="n">
        <v>45036</v>
      </c>
      <c r="C1454" s="1" t="n">
        <v>45849</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17898-2023</t>
        </is>
      </c>
      <c r="B1455" s="1" t="n">
        <v>45039</v>
      </c>
      <c r="C1455" s="1" t="n">
        <v>45849</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17897-2023</t>
        </is>
      </c>
      <c r="B1456" s="1" t="n">
        <v>45039</v>
      </c>
      <c r="C1456" s="1" t="n">
        <v>45849</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18244-2023</t>
        </is>
      </c>
      <c r="B1457" s="1" t="n">
        <v>45041</v>
      </c>
      <c r="C1457" s="1" t="n">
        <v>45849</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18338-2023</t>
        </is>
      </c>
      <c r="B1458" s="1" t="n">
        <v>45041</v>
      </c>
      <c r="C1458" s="1" t="n">
        <v>45849</v>
      </c>
      <c r="D1458" t="inlineStr">
        <is>
          <t>VÄRMLANDS LÄN</t>
        </is>
      </c>
      <c r="E1458" t="inlineStr">
        <is>
          <t>TORSBY</t>
        </is>
      </c>
      <c r="F1458" t="inlineStr">
        <is>
          <t>Bergvik skog väst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18544-2023</t>
        </is>
      </c>
      <c r="B1459" s="1" t="n">
        <v>45041</v>
      </c>
      <c r="C1459" s="1" t="n">
        <v>45849</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18411-2023</t>
        </is>
      </c>
      <c r="B1460" s="1" t="n">
        <v>45042</v>
      </c>
      <c r="C1460" s="1" t="n">
        <v>45849</v>
      </c>
      <c r="D1460" t="inlineStr">
        <is>
          <t>VÄRMLANDS LÄN</t>
        </is>
      </c>
      <c r="E1460" t="inlineStr">
        <is>
          <t>TORSBY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18621-2023</t>
        </is>
      </c>
      <c r="B1461" s="1" t="n">
        <v>45043</v>
      </c>
      <c r="C1461" s="1" t="n">
        <v>45849</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18675-2023</t>
        </is>
      </c>
      <c r="B1462" s="1" t="n">
        <v>45043</v>
      </c>
      <c r="C1462" s="1" t="n">
        <v>45849</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18876-2023</t>
        </is>
      </c>
      <c r="B1463" s="1" t="n">
        <v>45044</v>
      </c>
      <c r="C1463" s="1" t="n">
        <v>45849</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19042-2023</t>
        </is>
      </c>
      <c r="B1464" s="1" t="n">
        <v>45047</v>
      </c>
      <c r="C1464" s="1" t="n">
        <v>45849</v>
      </c>
      <c r="D1464" t="inlineStr">
        <is>
          <t>VÄRMLANDS LÄN</t>
        </is>
      </c>
      <c r="E1464" t="inlineStr">
        <is>
          <t>TORSBY</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19527-2023</t>
        </is>
      </c>
      <c r="B1465" s="1" t="n">
        <v>45050</v>
      </c>
      <c r="C1465" s="1" t="n">
        <v>45849</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19675-2023</t>
        </is>
      </c>
      <c r="B1466" s="1" t="n">
        <v>45051</v>
      </c>
      <c r="C1466" s="1" t="n">
        <v>45849</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19714-2023</t>
        </is>
      </c>
      <c r="B1467" s="1" t="n">
        <v>45051</v>
      </c>
      <c r="C1467" s="1" t="n">
        <v>45849</v>
      </c>
      <c r="D1467" t="inlineStr">
        <is>
          <t>VÄRMLANDS LÄN</t>
        </is>
      </c>
      <c r="E1467" t="inlineStr">
        <is>
          <t>TORSBY</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19998-2023</t>
        </is>
      </c>
      <c r="B1468" s="1" t="n">
        <v>45054</v>
      </c>
      <c r="C1468" s="1" t="n">
        <v>45849</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20130-2023</t>
        </is>
      </c>
      <c r="B1469" s="1" t="n">
        <v>45055</v>
      </c>
      <c r="C1469" s="1" t="n">
        <v>45849</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20107-2023</t>
        </is>
      </c>
      <c r="B1470" s="1" t="n">
        <v>45055</v>
      </c>
      <c r="C1470" s="1" t="n">
        <v>45849</v>
      </c>
      <c r="D1470" t="inlineStr">
        <is>
          <t>VÄRMLANDS LÄN</t>
        </is>
      </c>
      <c r="E1470" t="inlineStr">
        <is>
          <t>TORSBY</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20120-2023</t>
        </is>
      </c>
      <c r="B1471" s="1" t="n">
        <v>45055</v>
      </c>
      <c r="C1471" s="1" t="n">
        <v>45849</v>
      </c>
      <c r="D1471" t="inlineStr">
        <is>
          <t>VÄRMLANDS LÄN</t>
        </is>
      </c>
      <c r="E1471" t="inlineStr">
        <is>
          <t>TORSBY</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20127-2023</t>
        </is>
      </c>
      <c r="B1472" s="1" t="n">
        <v>45055</v>
      </c>
      <c r="C1472" s="1" t="n">
        <v>45849</v>
      </c>
      <c r="D1472" t="inlineStr">
        <is>
          <t>VÄRMLANDS LÄN</t>
        </is>
      </c>
      <c r="E1472" t="inlineStr">
        <is>
          <t>TORSBY</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20805-2023</t>
        </is>
      </c>
      <c r="B1473" s="1" t="n">
        <v>45055</v>
      </c>
      <c r="C1473" s="1" t="n">
        <v>45849</v>
      </c>
      <c r="D1473" t="inlineStr">
        <is>
          <t>VÄRMLANDS LÄN</t>
        </is>
      </c>
      <c r="E1473" t="inlineStr">
        <is>
          <t>TORSBY</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20293-2023</t>
        </is>
      </c>
      <c r="B1474" s="1" t="n">
        <v>45056</v>
      </c>
      <c r="C1474" s="1" t="n">
        <v>45849</v>
      </c>
      <c r="D1474" t="inlineStr">
        <is>
          <t>VÄRMLANDS LÄN</t>
        </is>
      </c>
      <c r="E1474" t="inlineStr">
        <is>
          <t>TORSBY</t>
        </is>
      </c>
      <c r="F1474" t="inlineStr">
        <is>
          <t>Kyrkan</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20321-2023</t>
        </is>
      </c>
      <c r="B1475" s="1" t="n">
        <v>45056</v>
      </c>
      <c r="C1475" s="1" t="n">
        <v>45849</v>
      </c>
      <c r="D1475" t="inlineStr">
        <is>
          <t>VÄRMLANDS LÄN</t>
        </is>
      </c>
      <c r="E1475" t="inlineStr">
        <is>
          <t>TORSBY</t>
        </is>
      </c>
      <c r="F1475" t="inlineStr">
        <is>
          <t>Kyrkan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20393-2023</t>
        </is>
      </c>
      <c r="B1476" s="1" t="n">
        <v>45056</v>
      </c>
      <c r="C1476" s="1" t="n">
        <v>45849</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20298-2023</t>
        </is>
      </c>
      <c r="B1477" s="1" t="n">
        <v>45056</v>
      </c>
      <c r="C1477" s="1" t="n">
        <v>45849</v>
      </c>
      <c r="D1477" t="inlineStr">
        <is>
          <t>VÄRMLANDS LÄN</t>
        </is>
      </c>
      <c r="E1477" t="inlineStr">
        <is>
          <t>TORSBY</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20847-2023</t>
        </is>
      </c>
      <c r="B1478" s="1" t="n">
        <v>45056</v>
      </c>
      <c r="C1478" s="1" t="n">
        <v>45849</v>
      </c>
      <c r="D1478" t="inlineStr">
        <is>
          <t>VÄRMLANDS LÄN</t>
        </is>
      </c>
      <c r="E1478" t="inlineStr">
        <is>
          <t>TORSBY</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20528-2023</t>
        </is>
      </c>
      <c r="B1479" s="1" t="n">
        <v>45057</v>
      </c>
      <c r="C1479" s="1" t="n">
        <v>45849</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20757-2023</t>
        </is>
      </c>
      <c r="B1480" s="1" t="n">
        <v>45058</v>
      </c>
      <c r="C1480" s="1" t="n">
        <v>45849</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20831-2023</t>
        </is>
      </c>
      <c r="B1481" s="1" t="n">
        <v>45058</v>
      </c>
      <c r="C1481" s="1" t="n">
        <v>45849</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20648-2023</t>
        </is>
      </c>
      <c r="B1482" s="1" t="n">
        <v>45058</v>
      </c>
      <c r="C1482" s="1" t="n">
        <v>45849</v>
      </c>
      <c r="D1482" t="inlineStr">
        <is>
          <t>VÄRMLANDS LÄN</t>
        </is>
      </c>
      <c r="E1482" t="inlineStr">
        <is>
          <t>TORSBY</t>
        </is>
      </c>
      <c r="F1482" t="inlineStr">
        <is>
          <t>Kyrkan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20740-2023</t>
        </is>
      </c>
      <c r="B1483" s="1" t="n">
        <v>45058</v>
      </c>
      <c r="C1483" s="1" t="n">
        <v>45849</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20737-2023</t>
        </is>
      </c>
      <c r="B1484" s="1" t="n">
        <v>45058</v>
      </c>
      <c r="C1484" s="1" t="n">
        <v>45849</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20829-2023</t>
        </is>
      </c>
      <c r="B1485" s="1" t="n">
        <v>45058</v>
      </c>
      <c r="C1485" s="1" t="n">
        <v>45849</v>
      </c>
      <c r="D1485" t="inlineStr">
        <is>
          <t>VÄRMLANDS LÄN</t>
        </is>
      </c>
      <c r="E1485" t="inlineStr">
        <is>
          <t>TORSBY</t>
        </is>
      </c>
      <c r="F1485" t="inlineStr">
        <is>
          <t>Bergvik skog väst AB</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20830-2023</t>
        </is>
      </c>
      <c r="B1486" s="1" t="n">
        <v>45058</v>
      </c>
      <c r="C1486" s="1" t="n">
        <v>45849</v>
      </c>
      <c r="D1486" t="inlineStr">
        <is>
          <t>VÄRMLANDS LÄN</t>
        </is>
      </c>
      <c r="E1486" t="inlineStr">
        <is>
          <t>TORSBY</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20679-2023</t>
        </is>
      </c>
      <c r="B1487" s="1" t="n">
        <v>45058</v>
      </c>
      <c r="C1487" s="1" t="n">
        <v>45849</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20721-2023</t>
        </is>
      </c>
      <c r="B1488" s="1" t="n">
        <v>45058</v>
      </c>
      <c r="C1488" s="1" t="n">
        <v>45849</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20733-2023</t>
        </is>
      </c>
      <c r="B1489" s="1" t="n">
        <v>45058</v>
      </c>
      <c r="C1489" s="1" t="n">
        <v>45849</v>
      </c>
      <c r="D1489" t="inlineStr">
        <is>
          <t>VÄRMLANDS LÄN</t>
        </is>
      </c>
      <c r="E1489" t="inlineStr">
        <is>
          <t>TORSBY</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20745-2023</t>
        </is>
      </c>
      <c r="B1490" s="1" t="n">
        <v>45058</v>
      </c>
      <c r="C1490" s="1" t="n">
        <v>45849</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21258-2023</t>
        </is>
      </c>
      <c r="B1491" s="1" t="n">
        <v>45058</v>
      </c>
      <c r="C1491" s="1" t="n">
        <v>45849</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21255-2023</t>
        </is>
      </c>
      <c r="B1492" s="1" t="n">
        <v>45058</v>
      </c>
      <c r="C1492" s="1" t="n">
        <v>45849</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20898-2023</t>
        </is>
      </c>
      <c r="B1493" s="1" t="n">
        <v>45059</v>
      </c>
      <c r="C1493" s="1" t="n">
        <v>45849</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21076-2023</t>
        </is>
      </c>
      <c r="B1494" s="1" t="n">
        <v>45061</v>
      </c>
      <c r="C1494" s="1" t="n">
        <v>45849</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21033-2023</t>
        </is>
      </c>
      <c r="B1495" s="1" t="n">
        <v>45061</v>
      </c>
      <c r="C1495" s="1" t="n">
        <v>45849</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21078-2023</t>
        </is>
      </c>
      <c r="B1496" s="1" t="n">
        <v>45061</v>
      </c>
      <c r="C1496" s="1" t="n">
        <v>45849</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21158-2023</t>
        </is>
      </c>
      <c r="B1497" s="1" t="n">
        <v>45062</v>
      </c>
      <c r="C1497" s="1" t="n">
        <v>45849</v>
      </c>
      <c r="D1497" t="inlineStr">
        <is>
          <t>VÄRMLANDS LÄN</t>
        </is>
      </c>
      <c r="E1497" t="inlineStr">
        <is>
          <t>TORSBY</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21189-2023</t>
        </is>
      </c>
      <c r="B1498" s="1" t="n">
        <v>45062</v>
      </c>
      <c r="C1498" s="1" t="n">
        <v>45849</v>
      </c>
      <c r="D1498" t="inlineStr">
        <is>
          <t>VÄRMLANDS LÄN</t>
        </is>
      </c>
      <c r="E1498" t="inlineStr">
        <is>
          <t>TORSBY</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21154-2023</t>
        </is>
      </c>
      <c r="B1499" s="1" t="n">
        <v>45062</v>
      </c>
      <c r="C1499" s="1" t="n">
        <v>45849</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21409-2023</t>
        </is>
      </c>
      <c r="B1500" s="1" t="n">
        <v>45063</v>
      </c>
      <c r="C1500" s="1" t="n">
        <v>45849</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21365-2023</t>
        </is>
      </c>
      <c r="B1501" s="1" t="n">
        <v>45063</v>
      </c>
      <c r="C1501" s="1" t="n">
        <v>45849</v>
      </c>
      <c r="D1501" t="inlineStr">
        <is>
          <t>VÄRMLANDS LÄN</t>
        </is>
      </c>
      <c r="E1501" t="inlineStr">
        <is>
          <t>TORSBY</t>
        </is>
      </c>
      <c r="F1501" t="inlineStr">
        <is>
          <t>Kyrkan</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21390-2023</t>
        </is>
      </c>
      <c r="B1502" s="1" t="n">
        <v>45063</v>
      </c>
      <c r="C1502" s="1" t="n">
        <v>45849</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21411-2023</t>
        </is>
      </c>
      <c r="B1503" s="1" t="n">
        <v>45063</v>
      </c>
      <c r="C1503" s="1" t="n">
        <v>45849</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21786-2023</t>
        </is>
      </c>
      <c r="B1504" s="1" t="n">
        <v>45066</v>
      </c>
      <c r="C1504" s="1" t="n">
        <v>45849</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21790-2023</t>
        </is>
      </c>
      <c r="B1505" s="1" t="n">
        <v>45067</v>
      </c>
      <c r="C1505" s="1" t="n">
        <v>45849</v>
      </c>
      <c r="D1505" t="inlineStr">
        <is>
          <t>VÄRMLANDS LÄN</t>
        </is>
      </c>
      <c r="E1505" t="inlineStr">
        <is>
          <t>TORSBY</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21839-2023</t>
        </is>
      </c>
      <c r="B1506" s="1" t="n">
        <v>45068</v>
      </c>
      <c r="C1506" s="1" t="n">
        <v>45849</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21847-2023</t>
        </is>
      </c>
      <c r="B1507" s="1" t="n">
        <v>45068</v>
      </c>
      <c r="C1507" s="1" t="n">
        <v>45849</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21988-2023</t>
        </is>
      </c>
      <c r="B1508" s="1" t="n">
        <v>45068</v>
      </c>
      <c r="C1508" s="1" t="n">
        <v>45849</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21912-2023</t>
        </is>
      </c>
      <c r="B1509" s="1" t="n">
        <v>45068</v>
      </c>
      <c r="C1509" s="1" t="n">
        <v>45849</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22089-2023</t>
        </is>
      </c>
      <c r="B1510" s="1" t="n">
        <v>45069</v>
      </c>
      <c r="C1510" s="1" t="n">
        <v>45849</v>
      </c>
      <c r="D1510" t="inlineStr">
        <is>
          <t>VÄRMLANDS LÄN</t>
        </is>
      </c>
      <c r="E1510" t="inlineStr">
        <is>
          <t>TORSBY</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22030-2023</t>
        </is>
      </c>
      <c r="B1511" s="1" t="n">
        <v>45069</v>
      </c>
      <c r="C1511" s="1" t="n">
        <v>45849</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22038-2023</t>
        </is>
      </c>
      <c r="B1512" s="1" t="n">
        <v>45069</v>
      </c>
      <c r="C1512" s="1" t="n">
        <v>45849</v>
      </c>
      <c r="D1512" t="inlineStr">
        <is>
          <t>VÄRMLANDS LÄN</t>
        </is>
      </c>
      <c r="E1512" t="inlineStr">
        <is>
          <t>TORSBY</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22033-2023</t>
        </is>
      </c>
      <c r="B1513" s="1" t="n">
        <v>45069</v>
      </c>
      <c r="C1513" s="1" t="n">
        <v>45849</v>
      </c>
      <c r="D1513" t="inlineStr">
        <is>
          <t>VÄRMLANDS LÄN</t>
        </is>
      </c>
      <c r="E1513" t="inlineStr">
        <is>
          <t>TORSBY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22386-2023</t>
        </is>
      </c>
      <c r="B1514" s="1" t="n">
        <v>45070</v>
      </c>
      <c r="C1514" s="1" t="n">
        <v>45849</v>
      </c>
      <c r="D1514" t="inlineStr">
        <is>
          <t>VÄRMLANDS LÄN</t>
        </is>
      </c>
      <c r="E1514" t="inlineStr">
        <is>
          <t>TORSBY</t>
        </is>
      </c>
      <c r="F1514" t="inlineStr">
        <is>
          <t>Bergvik skog väst AB</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22301-2023</t>
        </is>
      </c>
      <c r="B1515" s="1" t="n">
        <v>45070</v>
      </c>
      <c r="C1515" s="1" t="n">
        <v>45849</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23073-2023</t>
        </is>
      </c>
      <c r="B1516" s="1" t="n">
        <v>45070</v>
      </c>
      <c r="C1516" s="1" t="n">
        <v>45849</v>
      </c>
      <c r="D1516" t="inlineStr">
        <is>
          <t>VÄRMLANDS LÄN</t>
        </is>
      </c>
      <c r="E1516" t="inlineStr">
        <is>
          <t>TORSBY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22920-2023</t>
        </is>
      </c>
      <c r="B1517" s="1" t="n">
        <v>45070</v>
      </c>
      <c r="C1517" s="1" t="n">
        <v>45849</v>
      </c>
      <c r="D1517" t="inlineStr">
        <is>
          <t>VÄRMLANDS LÄN</t>
        </is>
      </c>
      <c r="E1517" t="inlineStr">
        <is>
          <t>TORSBY</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22494-2023</t>
        </is>
      </c>
      <c r="B1518" s="1" t="n">
        <v>45071</v>
      </c>
      <c r="C1518" s="1" t="n">
        <v>45849</v>
      </c>
      <c r="D1518" t="inlineStr">
        <is>
          <t>VÄRMLANDS LÄN</t>
        </is>
      </c>
      <c r="E1518" t="inlineStr">
        <is>
          <t>TORSBY</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22524-2023</t>
        </is>
      </c>
      <c r="B1519" s="1" t="n">
        <v>45071</v>
      </c>
      <c r="C1519" s="1" t="n">
        <v>45849</v>
      </c>
      <c r="D1519" t="inlineStr">
        <is>
          <t>VÄRMLANDS LÄN</t>
        </is>
      </c>
      <c r="E1519" t="inlineStr">
        <is>
          <t>TORSBY</t>
        </is>
      </c>
      <c r="F1519" t="inlineStr">
        <is>
          <t>Bergvik skog väst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22587-2023</t>
        </is>
      </c>
      <c r="B1520" s="1" t="n">
        <v>45071</v>
      </c>
      <c r="C1520" s="1" t="n">
        <v>45849</v>
      </c>
      <c r="D1520" t="inlineStr">
        <is>
          <t>VÄRMLANDS LÄN</t>
        </is>
      </c>
      <c r="E1520" t="inlineStr">
        <is>
          <t>TORSBY</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22618-2023</t>
        </is>
      </c>
      <c r="B1521" s="1" t="n">
        <v>45071</v>
      </c>
      <c r="C1521" s="1" t="n">
        <v>45849</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22655-2023</t>
        </is>
      </c>
      <c r="B1522" s="1" t="n">
        <v>45071</v>
      </c>
      <c r="C1522" s="1" t="n">
        <v>45849</v>
      </c>
      <c r="D1522" t="inlineStr">
        <is>
          <t>VÄRMLANDS LÄN</t>
        </is>
      </c>
      <c r="E1522" t="inlineStr">
        <is>
          <t>TORSBY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22705-2023</t>
        </is>
      </c>
      <c r="B1523" s="1" t="n">
        <v>45071</v>
      </c>
      <c r="C1523" s="1" t="n">
        <v>45849</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22687-2023</t>
        </is>
      </c>
      <c r="B1524" s="1" t="n">
        <v>45071</v>
      </c>
      <c r="C1524" s="1" t="n">
        <v>45849</v>
      </c>
      <c r="D1524" t="inlineStr">
        <is>
          <t>VÄRMLANDS LÄN</t>
        </is>
      </c>
      <c r="E1524" t="inlineStr">
        <is>
          <t>TORSBY</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22634-2023</t>
        </is>
      </c>
      <c r="B1525" s="1" t="n">
        <v>45071</v>
      </c>
      <c r="C1525" s="1" t="n">
        <v>45849</v>
      </c>
      <c r="D1525" t="inlineStr">
        <is>
          <t>VÄRMLANDS LÄN</t>
        </is>
      </c>
      <c r="E1525" t="inlineStr">
        <is>
          <t>TORSBY</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22675-2023</t>
        </is>
      </c>
      <c r="B1526" s="1" t="n">
        <v>45071</v>
      </c>
      <c r="C1526" s="1" t="n">
        <v>45849</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22702-2023</t>
        </is>
      </c>
      <c r="B1527" s="1" t="n">
        <v>45071</v>
      </c>
      <c r="C1527" s="1" t="n">
        <v>45849</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22939-2023</t>
        </is>
      </c>
      <c r="B1528" s="1" t="n">
        <v>45072</v>
      </c>
      <c r="C1528" s="1" t="n">
        <v>45849</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22943-2023</t>
        </is>
      </c>
      <c r="B1529" s="1" t="n">
        <v>45072</v>
      </c>
      <c r="C1529" s="1" t="n">
        <v>45849</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23572-2023</t>
        </is>
      </c>
      <c r="B1530" s="1" t="n">
        <v>45077</v>
      </c>
      <c r="C1530" s="1" t="n">
        <v>45849</v>
      </c>
      <c r="D1530" t="inlineStr">
        <is>
          <t>VÄRMLANDS LÄN</t>
        </is>
      </c>
      <c r="E1530" t="inlineStr">
        <is>
          <t>TORSBY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23624-2023</t>
        </is>
      </c>
      <c r="B1531" s="1" t="n">
        <v>45077</v>
      </c>
      <c r="C1531" s="1" t="n">
        <v>45849</v>
      </c>
      <c r="D1531" t="inlineStr">
        <is>
          <t>VÄRMLANDS LÄN</t>
        </is>
      </c>
      <c r="E1531" t="inlineStr">
        <is>
          <t>TORSBY</t>
        </is>
      </c>
      <c r="F1531" t="inlineStr">
        <is>
          <t>Bergvik skog väst AB</t>
        </is>
      </c>
      <c r="G1531" t="n">
        <v>27.9</v>
      </c>
      <c r="H1531" t="n">
        <v>0</v>
      </c>
      <c r="I1531" t="n">
        <v>0</v>
      </c>
      <c r="J1531" t="n">
        <v>0</v>
      </c>
      <c r="K1531" t="n">
        <v>0</v>
      </c>
      <c r="L1531" t="n">
        <v>0</v>
      </c>
      <c r="M1531" t="n">
        <v>0</v>
      </c>
      <c r="N1531" t="n">
        <v>0</v>
      </c>
      <c r="O1531" t="n">
        <v>0</v>
      </c>
      <c r="P1531" t="n">
        <v>0</v>
      </c>
      <c r="Q1531" t="n">
        <v>0</v>
      </c>
      <c r="R1531" s="2" t="inlineStr"/>
    </row>
    <row r="1532" ht="15" customHeight="1">
      <c r="A1532" t="inlineStr">
        <is>
          <t>A 23894-2023</t>
        </is>
      </c>
      <c r="B1532" s="1" t="n">
        <v>45078</v>
      </c>
      <c r="C1532" s="1" t="n">
        <v>45849</v>
      </c>
      <c r="D1532" t="inlineStr">
        <is>
          <t>VÄRMLANDS LÄN</t>
        </is>
      </c>
      <c r="E1532" t="inlineStr">
        <is>
          <t>TORSBY</t>
        </is>
      </c>
      <c r="F1532" t="inlineStr">
        <is>
          <t>Bergvik skog väst AB</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23912-2023</t>
        </is>
      </c>
      <c r="B1533" s="1" t="n">
        <v>45078</v>
      </c>
      <c r="C1533" s="1" t="n">
        <v>45849</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24244-2023</t>
        </is>
      </c>
      <c r="B1534" s="1" t="n">
        <v>45079</v>
      </c>
      <c r="C1534" s="1" t="n">
        <v>45849</v>
      </c>
      <c r="D1534" t="inlineStr">
        <is>
          <t>VÄRMLANDS LÄN</t>
        </is>
      </c>
      <c r="E1534" t="inlineStr">
        <is>
          <t>TORSBY</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24170-2023</t>
        </is>
      </c>
      <c r="B1535" s="1" t="n">
        <v>45079</v>
      </c>
      <c r="C1535" s="1" t="n">
        <v>45849</v>
      </c>
      <c r="D1535" t="inlineStr">
        <is>
          <t>VÄRMLANDS LÄN</t>
        </is>
      </c>
      <c r="E1535" t="inlineStr">
        <is>
          <t>TORSBY</t>
        </is>
      </c>
      <c r="F1535" t="inlineStr">
        <is>
          <t>Bergvik skog väst AB</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24101-2023</t>
        </is>
      </c>
      <c r="B1536" s="1" t="n">
        <v>45079</v>
      </c>
      <c r="C1536" s="1" t="n">
        <v>45849</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24196-2023</t>
        </is>
      </c>
      <c r="B1537" s="1" t="n">
        <v>45079</v>
      </c>
      <c r="C1537" s="1" t="n">
        <v>45849</v>
      </c>
      <c r="D1537" t="inlineStr">
        <is>
          <t>VÄRMLANDS LÄN</t>
        </is>
      </c>
      <c r="E1537" t="inlineStr">
        <is>
          <t>TORSBY</t>
        </is>
      </c>
      <c r="F1537" t="inlineStr">
        <is>
          <t>Bergvik skog väst AB</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24518-2023</t>
        </is>
      </c>
      <c r="B1538" s="1" t="n">
        <v>45082</v>
      </c>
      <c r="C1538" s="1" t="n">
        <v>45849</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24696-2023</t>
        </is>
      </c>
      <c r="B1539" s="1" t="n">
        <v>45084</v>
      </c>
      <c r="C1539" s="1" t="n">
        <v>45849</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24639-2023</t>
        </is>
      </c>
      <c r="B1540" s="1" t="n">
        <v>45084</v>
      </c>
      <c r="C1540" s="1" t="n">
        <v>45849</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24643-2023</t>
        </is>
      </c>
      <c r="B1541" s="1" t="n">
        <v>45084</v>
      </c>
      <c r="C1541" s="1" t="n">
        <v>45849</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24703-2023</t>
        </is>
      </c>
      <c r="B1542" s="1" t="n">
        <v>45084</v>
      </c>
      <c r="C1542" s="1" t="n">
        <v>45849</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24849-2023</t>
        </is>
      </c>
      <c r="B1543" s="1" t="n">
        <v>45085</v>
      </c>
      <c r="C1543" s="1" t="n">
        <v>45849</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24896-2023</t>
        </is>
      </c>
      <c r="B1544" s="1" t="n">
        <v>45085</v>
      </c>
      <c r="C1544" s="1" t="n">
        <v>45849</v>
      </c>
      <c r="D1544" t="inlineStr">
        <is>
          <t>VÄRMLANDS LÄN</t>
        </is>
      </c>
      <c r="E1544" t="inlineStr">
        <is>
          <t>TORSBY</t>
        </is>
      </c>
      <c r="F1544" t="inlineStr">
        <is>
          <t>Bergvik skog väst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24876-2023</t>
        </is>
      </c>
      <c r="B1545" s="1" t="n">
        <v>45085</v>
      </c>
      <c r="C1545" s="1" t="n">
        <v>45849</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24909-2023</t>
        </is>
      </c>
      <c r="B1546" s="1" t="n">
        <v>45085</v>
      </c>
      <c r="C1546" s="1" t="n">
        <v>45849</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24897-2023</t>
        </is>
      </c>
      <c r="B1547" s="1" t="n">
        <v>45085</v>
      </c>
      <c r="C1547" s="1" t="n">
        <v>45849</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24847-2023</t>
        </is>
      </c>
      <c r="B1548" s="1" t="n">
        <v>45085</v>
      </c>
      <c r="C1548" s="1" t="n">
        <v>45849</v>
      </c>
      <c r="D1548" t="inlineStr">
        <is>
          <t>VÄRMLANDS LÄN</t>
        </is>
      </c>
      <c r="E1548" t="inlineStr">
        <is>
          <t>TORSBY</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24965-2023</t>
        </is>
      </c>
      <c r="B1549" s="1" t="n">
        <v>45085</v>
      </c>
      <c r="C1549" s="1" t="n">
        <v>45849</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24969-2023</t>
        </is>
      </c>
      <c r="B1550" s="1" t="n">
        <v>45085</v>
      </c>
      <c r="C1550" s="1" t="n">
        <v>45849</v>
      </c>
      <c r="D1550" t="inlineStr">
        <is>
          <t>VÄRMLANDS LÄN</t>
        </is>
      </c>
      <c r="E1550" t="inlineStr">
        <is>
          <t>TORSBY</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25001-2023</t>
        </is>
      </c>
      <c r="B1551" s="1" t="n">
        <v>45085</v>
      </c>
      <c r="C1551" s="1" t="n">
        <v>45849</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25068-2023</t>
        </is>
      </c>
      <c r="B1552" s="1" t="n">
        <v>45085</v>
      </c>
      <c r="C1552" s="1" t="n">
        <v>45849</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25163-2023</t>
        </is>
      </c>
      <c r="B1553" s="1" t="n">
        <v>45086</v>
      </c>
      <c r="C1553" s="1" t="n">
        <v>45849</v>
      </c>
      <c r="D1553" t="inlineStr">
        <is>
          <t>VÄRMLANDS LÄN</t>
        </is>
      </c>
      <c r="E1553" t="inlineStr">
        <is>
          <t>TORSBY</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25088-2023</t>
        </is>
      </c>
      <c r="B1554" s="1" t="n">
        <v>45086</v>
      </c>
      <c r="C1554" s="1" t="n">
        <v>45849</v>
      </c>
      <c r="D1554" t="inlineStr">
        <is>
          <t>VÄRMLANDS LÄN</t>
        </is>
      </c>
      <c r="E1554" t="inlineStr">
        <is>
          <t>TORSBY</t>
        </is>
      </c>
      <c r="F1554" t="inlineStr">
        <is>
          <t>Bergvik skog väst AB</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25090-2023</t>
        </is>
      </c>
      <c r="B1555" s="1" t="n">
        <v>45086</v>
      </c>
      <c r="C1555" s="1" t="n">
        <v>45849</v>
      </c>
      <c r="D1555" t="inlineStr">
        <is>
          <t>VÄRMLANDS LÄN</t>
        </is>
      </c>
      <c r="E1555" t="inlineStr">
        <is>
          <t>TORSBY</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25261-2023</t>
        </is>
      </c>
      <c r="B1556" s="1" t="n">
        <v>45086</v>
      </c>
      <c r="C1556" s="1" t="n">
        <v>45849</v>
      </c>
      <c r="D1556" t="inlineStr">
        <is>
          <t>VÄRMLANDS LÄN</t>
        </is>
      </c>
      <c r="E1556" t="inlineStr">
        <is>
          <t>TORSBY</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25344-2023</t>
        </is>
      </c>
      <c r="B1557" s="1" t="n">
        <v>45087</v>
      </c>
      <c r="C1557" s="1" t="n">
        <v>45849</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25579-2023</t>
        </is>
      </c>
      <c r="B1558" s="1" t="n">
        <v>45089</v>
      </c>
      <c r="C1558" s="1" t="n">
        <v>45849</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26466-2023</t>
        </is>
      </c>
      <c r="B1559" s="1" t="n">
        <v>45089</v>
      </c>
      <c r="C1559" s="1" t="n">
        <v>45849</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26340-2023</t>
        </is>
      </c>
      <c r="B1560" s="1" t="n">
        <v>45091</v>
      </c>
      <c r="C1560" s="1" t="n">
        <v>45849</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26343-2023</t>
        </is>
      </c>
      <c r="B1561" s="1" t="n">
        <v>45091</v>
      </c>
      <c r="C1561" s="1" t="n">
        <v>45849</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26327-2023</t>
        </is>
      </c>
      <c r="B1562" s="1" t="n">
        <v>45091</v>
      </c>
      <c r="C1562" s="1" t="n">
        <v>45849</v>
      </c>
      <c r="D1562" t="inlineStr">
        <is>
          <t>VÄRMLANDS LÄN</t>
        </is>
      </c>
      <c r="E1562" t="inlineStr">
        <is>
          <t>TORSBY</t>
        </is>
      </c>
      <c r="F1562" t="inlineStr">
        <is>
          <t>Bergvik skog väst AB</t>
        </is>
      </c>
      <c r="G1562" t="n">
        <v>33.4</v>
      </c>
      <c r="H1562" t="n">
        <v>0</v>
      </c>
      <c r="I1562" t="n">
        <v>0</v>
      </c>
      <c r="J1562" t="n">
        <v>0</v>
      </c>
      <c r="K1562" t="n">
        <v>0</v>
      </c>
      <c r="L1562" t="n">
        <v>0</v>
      </c>
      <c r="M1562" t="n">
        <v>0</v>
      </c>
      <c r="N1562" t="n">
        <v>0</v>
      </c>
      <c r="O1562" t="n">
        <v>0</v>
      </c>
      <c r="P1562" t="n">
        <v>0</v>
      </c>
      <c r="Q1562" t="n">
        <v>0</v>
      </c>
      <c r="R1562" s="2" t="inlineStr"/>
    </row>
    <row r="1563" ht="15" customHeight="1">
      <c r="A1563" t="inlineStr">
        <is>
          <t>A 26080-2023</t>
        </is>
      </c>
      <c r="B1563" s="1" t="n">
        <v>45091</v>
      </c>
      <c r="C1563" s="1" t="n">
        <v>45849</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26092-2023</t>
        </is>
      </c>
      <c r="B1564" s="1" t="n">
        <v>45091</v>
      </c>
      <c r="C1564" s="1" t="n">
        <v>45849</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26979-2023</t>
        </is>
      </c>
      <c r="B1565" s="1" t="n">
        <v>45091</v>
      </c>
      <c r="C1565" s="1" t="n">
        <v>45849</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26376-2023</t>
        </is>
      </c>
      <c r="B1566" s="1" t="n">
        <v>45092</v>
      </c>
      <c r="C1566" s="1" t="n">
        <v>45849</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26616-2023</t>
        </is>
      </c>
      <c r="B1567" s="1" t="n">
        <v>45092</v>
      </c>
      <c r="C1567" s="1" t="n">
        <v>45849</v>
      </c>
      <c r="D1567" t="inlineStr">
        <is>
          <t>VÄRMLANDS LÄN</t>
        </is>
      </c>
      <c r="E1567" t="inlineStr">
        <is>
          <t>TORSBY</t>
        </is>
      </c>
      <c r="F1567" t="inlineStr">
        <is>
          <t>Bergvik skog väst AB</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26814-2023</t>
        </is>
      </c>
      <c r="B1568" s="1" t="n">
        <v>45093</v>
      </c>
      <c r="C1568" s="1" t="n">
        <v>45849</v>
      </c>
      <c r="D1568" t="inlineStr">
        <is>
          <t>VÄRMLANDS LÄN</t>
        </is>
      </c>
      <c r="E1568" t="inlineStr">
        <is>
          <t>TORSBY</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26753-2023</t>
        </is>
      </c>
      <c r="B1569" s="1" t="n">
        <v>45093</v>
      </c>
      <c r="C1569" s="1" t="n">
        <v>45849</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26855-2023</t>
        </is>
      </c>
      <c r="B1570" s="1" t="n">
        <v>45093</v>
      </c>
      <c r="C1570" s="1" t="n">
        <v>45849</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27195-2023</t>
        </is>
      </c>
      <c r="B1571" s="1" t="n">
        <v>45096</v>
      </c>
      <c r="C1571" s="1" t="n">
        <v>45849</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27332-2023</t>
        </is>
      </c>
      <c r="B1572" s="1" t="n">
        <v>45096</v>
      </c>
      <c r="C1572" s="1" t="n">
        <v>45849</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27472-2023</t>
        </is>
      </c>
      <c r="B1573" s="1" t="n">
        <v>45097</v>
      </c>
      <c r="C1573" s="1" t="n">
        <v>45849</v>
      </c>
      <c r="D1573" t="inlineStr">
        <is>
          <t>VÄRMLANDS LÄN</t>
        </is>
      </c>
      <c r="E1573" t="inlineStr">
        <is>
          <t>TORSBY</t>
        </is>
      </c>
      <c r="F1573" t="inlineStr">
        <is>
          <t>Övriga Aktiebolag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27594-2023</t>
        </is>
      </c>
      <c r="B1574" s="1" t="n">
        <v>45097</v>
      </c>
      <c r="C1574" s="1" t="n">
        <v>45849</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27458-2023</t>
        </is>
      </c>
      <c r="B1575" s="1" t="n">
        <v>45097</v>
      </c>
      <c r="C1575" s="1" t="n">
        <v>45849</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27787-2023</t>
        </is>
      </c>
      <c r="B1576" s="1" t="n">
        <v>45098</v>
      </c>
      <c r="C1576" s="1" t="n">
        <v>45849</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27837-2023</t>
        </is>
      </c>
      <c r="B1577" s="1" t="n">
        <v>45098</v>
      </c>
      <c r="C1577" s="1" t="n">
        <v>45849</v>
      </c>
      <c r="D1577" t="inlineStr">
        <is>
          <t>VÄRMLANDS LÄN</t>
        </is>
      </c>
      <c r="E1577" t="inlineStr">
        <is>
          <t>TORSBY</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27851-2023</t>
        </is>
      </c>
      <c r="B1578" s="1" t="n">
        <v>45098</v>
      </c>
      <c r="C1578" s="1" t="n">
        <v>45849</v>
      </c>
      <c r="D1578" t="inlineStr">
        <is>
          <t>VÄRMLANDS LÄN</t>
        </is>
      </c>
      <c r="E1578" t="inlineStr">
        <is>
          <t>TORSBY</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27920-2023</t>
        </is>
      </c>
      <c r="B1579" s="1" t="n">
        <v>45098</v>
      </c>
      <c r="C1579" s="1" t="n">
        <v>45849</v>
      </c>
      <c r="D1579" t="inlineStr">
        <is>
          <t>VÄRMLANDS LÄN</t>
        </is>
      </c>
      <c r="E1579" t="inlineStr">
        <is>
          <t>TORSBY</t>
        </is>
      </c>
      <c r="F1579" t="inlineStr">
        <is>
          <t>Kyrkan</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28045-2023</t>
        </is>
      </c>
      <c r="B1580" s="1" t="n">
        <v>45099</v>
      </c>
      <c r="C1580" s="1" t="n">
        <v>45849</v>
      </c>
      <c r="D1580" t="inlineStr">
        <is>
          <t>VÄRMLANDS LÄN</t>
        </is>
      </c>
      <c r="E1580" t="inlineStr">
        <is>
          <t>TORSBY</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28074-2023</t>
        </is>
      </c>
      <c r="B1581" s="1" t="n">
        <v>45099</v>
      </c>
      <c r="C1581" s="1" t="n">
        <v>45849</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28092-2023</t>
        </is>
      </c>
      <c r="B1582" s="1" t="n">
        <v>45099</v>
      </c>
      <c r="C1582" s="1" t="n">
        <v>45849</v>
      </c>
      <c r="D1582" t="inlineStr">
        <is>
          <t>VÄRMLANDS LÄN</t>
        </is>
      </c>
      <c r="E1582" t="inlineStr">
        <is>
          <t>TORSBY</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28251-2023</t>
        </is>
      </c>
      <c r="B1583" s="1" t="n">
        <v>45099</v>
      </c>
      <c r="C1583" s="1" t="n">
        <v>45849</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30142-2023</t>
        </is>
      </c>
      <c r="B1584" s="1" t="n">
        <v>45099</v>
      </c>
      <c r="C1584" s="1" t="n">
        <v>45849</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30148-2023</t>
        </is>
      </c>
      <c r="B1585" s="1" t="n">
        <v>45099</v>
      </c>
      <c r="C1585" s="1" t="n">
        <v>45849</v>
      </c>
      <c r="D1585" t="inlineStr">
        <is>
          <t>VÄRMLANDS LÄN</t>
        </is>
      </c>
      <c r="E1585" t="inlineStr">
        <is>
          <t>TORSBY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30151-2023</t>
        </is>
      </c>
      <c r="B1586" s="1" t="n">
        <v>45099</v>
      </c>
      <c r="C1586" s="1" t="n">
        <v>45849</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28598-2023</t>
        </is>
      </c>
      <c r="B1587" s="1" t="n">
        <v>45103</v>
      </c>
      <c r="C1587" s="1" t="n">
        <v>45849</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28652-2023</t>
        </is>
      </c>
      <c r="B1588" s="1" t="n">
        <v>45103</v>
      </c>
      <c r="C1588" s="1" t="n">
        <v>45849</v>
      </c>
      <c r="D1588" t="inlineStr">
        <is>
          <t>VÄRMLANDS LÄN</t>
        </is>
      </c>
      <c r="E1588" t="inlineStr">
        <is>
          <t>TORSBY</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28818-2023</t>
        </is>
      </c>
      <c r="B1589" s="1" t="n">
        <v>45104</v>
      </c>
      <c r="C1589" s="1" t="n">
        <v>45849</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28869-2023</t>
        </is>
      </c>
      <c r="B1590" s="1" t="n">
        <v>45104</v>
      </c>
      <c r="C1590" s="1" t="n">
        <v>45849</v>
      </c>
      <c r="D1590" t="inlineStr">
        <is>
          <t>VÄRMLANDS LÄN</t>
        </is>
      </c>
      <c r="E1590" t="inlineStr">
        <is>
          <t>TORSBY</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28948-2023</t>
        </is>
      </c>
      <c r="B1591" s="1" t="n">
        <v>45104</v>
      </c>
      <c r="C1591" s="1" t="n">
        <v>45849</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28814-2023</t>
        </is>
      </c>
      <c r="B1592" s="1" t="n">
        <v>45104</v>
      </c>
      <c r="C1592" s="1" t="n">
        <v>45849</v>
      </c>
      <c r="D1592" t="inlineStr">
        <is>
          <t>VÄRMLANDS LÄN</t>
        </is>
      </c>
      <c r="E1592" t="inlineStr">
        <is>
          <t>TORSBY</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29043-2023</t>
        </is>
      </c>
      <c r="B1593" s="1" t="n">
        <v>45104</v>
      </c>
      <c r="C1593" s="1" t="n">
        <v>45849</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29042-2023</t>
        </is>
      </c>
      <c r="B1594" s="1" t="n">
        <v>45104</v>
      </c>
      <c r="C1594" s="1" t="n">
        <v>45849</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29137-2023</t>
        </is>
      </c>
      <c r="B1595" s="1" t="n">
        <v>45105</v>
      </c>
      <c r="C1595" s="1" t="n">
        <v>45849</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29256-2023</t>
        </is>
      </c>
      <c r="B1596" s="1" t="n">
        <v>45105</v>
      </c>
      <c r="C1596" s="1" t="n">
        <v>45849</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29506-2023</t>
        </is>
      </c>
      <c r="B1597" s="1" t="n">
        <v>45106</v>
      </c>
      <c r="C1597" s="1" t="n">
        <v>45849</v>
      </c>
      <c r="D1597" t="inlineStr">
        <is>
          <t>VÄRMLANDS LÄN</t>
        </is>
      </c>
      <c r="E1597" t="inlineStr">
        <is>
          <t>TORSBY</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29581-2023</t>
        </is>
      </c>
      <c r="B1598" s="1" t="n">
        <v>45106</v>
      </c>
      <c r="C1598" s="1" t="n">
        <v>45849</v>
      </c>
      <c r="D1598" t="inlineStr">
        <is>
          <t>VÄRMLANDS LÄN</t>
        </is>
      </c>
      <c r="E1598" t="inlineStr">
        <is>
          <t>TORSBY</t>
        </is>
      </c>
      <c r="F1598" t="inlineStr">
        <is>
          <t>Bergvik skog väst AB</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29594-2023</t>
        </is>
      </c>
      <c r="B1599" s="1" t="n">
        <v>45107</v>
      </c>
      <c r="C1599" s="1" t="n">
        <v>45849</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29545-2023</t>
        </is>
      </c>
      <c r="B1600" s="1" t="n">
        <v>45106</v>
      </c>
      <c r="C1600" s="1" t="n">
        <v>45849</v>
      </c>
      <c r="D1600" t="inlineStr">
        <is>
          <t>VÄRMLANDS LÄN</t>
        </is>
      </c>
      <c r="E1600" t="inlineStr">
        <is>
          <t>TORSBY</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31858-2023</t>
        </is>
      </c>
      <c r="B1601" s="1" t="n">
        <v>45106</v>
      </c>
      <c r="C1601" s="1" t="n">
        <v>45849</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29792-2023</t>
        </is>
      </c>
      <c r="B1602" s="1" t="n">
        <v>45107</v>
      </c>
      <c r="C1602" s="1" t="n">
        <v>45849</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29796-2023</t>
        </is>
      </c>
      <c r="B1603" s="1" t="n">
        <v>45107</v>
      </c>
      <c r="C1603" s="1" t="n">
        <v>45849</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29795-2023</t>
        </is>
      </c>
      <c r="B1604" s="1" t="n">
        <v>45107</v>
      </c>
      <c r="C1604" s="1" t="n">
        <v>45849</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31936-2023</t>
        </is>
      </c>
      <c r="B1605" s="1" t="n">
        <v>45107</v>
      </c>
      <c r="C1605" s="1" t="n">
        <v>45849</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30208-2023</t>
        </is>
      </c>
      <c r="B1606" s="1" t="n">
        <v>45110</v>
      </c>
      <c r="C1606" s="1" t="n">
        <v>45849</v>
      </c>
      <c r="D1606" t="inlineStr">
        <is>
          <t>VÄRMLANDS LÄN</t>
        </is>
      </c>
      <c r="E1606" t="inlineStr">
        <is>
          <t>TORSBY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30213-2023</t>
        </is>
      </c>
      <c r="B1607" s="1" t="n">
        <v>45110</v>
      </c>
      <c r="C1607" s="1" t="n">
        <v>45849</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30267-2023</t>
        </is>
      </c>
      <c r="B1608" s="1" t="n">
        <v>45110</v>
      </c>
      <c r="C1608" s="1" t="n">
        <v>45849</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30104-2023</t>
        </is>
      </c>
      <c r="B1609" s="1" t="n">
        <v>45110</v>
      </c>
      <c r="C1609" s="1" t="n">
        <v>45849</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32332-2023</t>
        </is>
      </c>
      <c r="B1610" s="1" t="n">
        <v>45110</v>
      </c>
      <c r="C1610" s="1" t="n">
        <v>45849</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30160-2023</t>
        </is>
      </c>
      <c r="B1611" s="1" t="n">
        <v>45110</v>
      </c>
      <c r="C1611" s="1" t="n">
        <v>45849</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30269-2023</t>
        </is>
      </c>
      <c r="B1612" s="1" t="n">
        <v>45110</v>
      </c>
      <c r="C1612" s="1" t="n">
        <v>45849</v>
      </c>
      <c r="D1612" t="inlineStr">
        <is>
          <t>VÄRMLANDS LÄN</t>
        </is>
      </c>
      <c r="E1612" t="inlineStr">
        <is>
          <t>TORSBY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30110-2023</t>
        </is>
      </c>
      <c r="B1613" s="1" t="n">
        <v>45110</v>
      </c>
      <c r="C1613" s="1" t="n">
        <v>45849</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30530-2023</t>
        </is>
      </c>
      <c r="B1614" s="1" t="n">
        <v>45111</v>
      </c>
      <c r="C1614" s="1" t="n">
        <v>45849</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30455-2023</t>
        </is>
      </c>
      <c r="B1615" s="1" t="n">
        <v>45111</v>
      </c>
      <c r="C1615" s="1" t="n">
        <v>45849</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30370-2023</t>
        </is>
      </c>
      <c r="B1616" s="1" t="n">
        <v>45111</v>
      </c>
      <c r="C1616" s="1" t="n">
        <v>45849</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30531-2023</t>
        </is>
      </c>
      <c r="B1617" s="1" t="n">
        <v>45111</v>
      </c>
      <c r="C1617" s="1" t="n">
        <v>45849</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30344-2023</t>
        </is>
      </c>
      <c r="B1618" s="1" t="n">
        <v>45111</v>
      </c>
      <c r="C1618" s="1" t="n">
        <v>45849</v>
      </c>
      <c r="D1618" t="inlineStr">
        <is>
          <t>VÄRMLANDS LÄN</t>
        </is>
      </c>
      <c r="E1618" t="inlineStr">
        <is>
          <t>TORSBY</t>
        </is>
      </c>
      <c r="F1618" t="inlineStr">
        <is>
          <t>Bergvik skog väst AB</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30670-2023</t>
        </is>
      </c>
      <c r="B1619" s="1" t="n">
        <v>45112</v>
      </c>
      <c r="C1619" s="1" t="n">
        <v>45849</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30624-2023</t>
        </is>
      </c>
      <c r="B1620" s="1" t="n">
        <v>45112</v>
      </c>
      <c r="C1620" s="1" t="n">
        <v>45849</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30741-2023</t>
        </is>
      </c>
      <c r="B1621" s="1" t="n">
        <v>45112</v>
      </c>
      <c r="C1621" s="1" t="n">
        <v>45849</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31052-2023</t>
        </is>
      </c>
      <c r="B1622" s="1" t="n">
        <v>45113</v>
      </c>
      <c r="C1622" s="1" t="n">
        <v>45849</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31112-2023</t>
        </is>
      </c>
      <c r="B1623" s="1" t="n">
        <v>45113</v>
      </c>
      <c r="C1623" s="1" t="n">
        <v>45849</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31465-2023</t>
        </is>
      </c>
      <c r="B1624" s="1" t="n">
        <v>45114</v>
      </c>
      <c r="C1624" s="1" t="n">
        <v>45849</v>
      </c>
      <c r="D1624" t="inlineStr">
        <is>
          <t>VÄRMLANDS LÄN</t>
        </is>
      </c>
      <c r="E1624" t="inlineStr">
        <is>
          <t>TORSBY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31547-2023</t>
        </is>
      </c>
      <c r="B1625" s="1" t="n">
        <v>45117</v>
      </c>
      <c r="C1625" s="1" t="n">
        <v>45849</v>
      </c>
      <c r="D1625" t="inlineStr">
        <is>
          <t>VÄRMLANDS LÄN</t>
        </is>
      </c>
      <c r="E1625" t="inlineStr">
        <is>
          <t>TORSBY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31548-2023</t>
        </is>
      </c>
      <c r="B1626" s="1" t="n">
        <v>45117</v>
      </c>
      <c r="C1626" s="1" t="n">
        <v>45849</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33741-2023</t>
        </is>
      </c>
      <c r="B1627" s="1" t="n">
        <v>45119</v>
      </c>
      <c r="C1627" s="1" t="n">
        <v>45849</v>
      </c>
      <c r="D1627" t="inlineStr">
        <is>
          <t>VÄRMLANDS LÄN</t>
        </is>
      </c>
      <c r="E1627" t="inlineStr">
        <is>
          <t>TORSBY</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33738-2023</t>
        </is>
      </c>
      <c r="B1628" s="1" t="n">
        <v>45119</v>
      </c>
      <c r="C1628" s="1" t="n">
        <v>45849</v>
      </c>
      <c r="D1628" t="inlineStr">
        <is>
          <t>VÄRMLANDS LÄN</t>
        </is>
      </c>
      <c r="E1628" t="inlineStr">
        <is>
          <t>TORSBY</t>
        </is>
      </c>
      <c r="F1628" t="inlineStr">
        <is>
          <t>Övriga Aktiebolag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33740-2023</t>
        </is>
      </c>
      <c r="B1629" s="1" t="n">
        <v>45119</v>
      </c>
      <c r="C1629" s="1" t="n">
        <v>45849</v>
      </c>
      <c r="D1629" t="inlineStr">
        <is>
          <t>VÄRMLANDS LÄN</t>
        </is>
      </c>
      <c r="E1629" t="inlineStr">
        <is>
          <t>TORSBY</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33782-2023</t>
        </is>
      </c>
      <c r="B1630" s="1" t="n">
        <v>45120</v>
      </c>
      <c r="C1630" s="1" t="n">
        <v>45849</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32576-2023</t>
        </is>
      </c>
      <c r="B1631" s="1" t="n">
        <v>45121</v>
      </c>
      <c r="C1631" s="1" t="n">
        <v>45849</v>
      </c>
      <c r="D1631" t="inlineStr">
        <is>
          <t>VÄRMLANDS LÄN</t>
        </is>
      </c>
      <c r="E1631" t="inlineStr">
        <is>
          <t>TORSBY</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32584-2023</t>
        </is>
      </c>
      <c r="B1632" s="1" t="n">
        <v>45121</v>
      </c>
      <c r="C1632" s="1" t="n">
        <v>45849</v>
      </c>
      <c r="D1632" t="inlineStr">
        <is>
          <t>VÄRMLANDS LÄN</t>
        </is>
      </c>
      <c r="E1632" t="inlineStr">
        <is>
          <t>TORSBY</t>
        </is>
      </c>
      <c r="F1632" t="inlineStr">
        <is>
          <t>Bergvik skog väst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32805-2023</t>
        </is>
      </c>
      <c r="B1633" s="1" t="n">
        <v>45124</v>
      </c>
      <c r="C1633" s="1" t="n">
        <v>45849</v>
      </c>
      <c r="D1633" t="inlineStr">
        <is>
          <t>VÄRMLANDS LÄN</t>
        </is>
      </c>
      <c r="E1633" t="inlineStr">
        <is>
          <t>TORSBY</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32819-2023</t>
        </is>
      </c>
      <c r="B1634" s="1" t="n">
        <v>45124</v>
      </c>
      <c r="C1634" s="1" t="n">
        <v>45849</v>
      </c>
      <c r="D1634" t="inlineStr">
        <is>
          <t>VÄRMLANDS LÄN</t>
        </is>
      </c>
      <c r="E1634" t="inlineStr">
        <is>
          <t>TORSBY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32787-2023</t>
        </is>
      </c>
      <c r="B1635" s="1" t="n">
        <v>45124</v>
      </c>
      <c r="C1635" s="1" t="n">
        <v>45849</v>
      </c>
      <c r="D1635" t="inlineStr">
        <is>
          <t>VÄRMLANDS LÄN</t>
        </is>
      </c>
      <c r="E1635" t="inlineStr">
        <is>
          <t>TORSBY</t>
        </is>
      </c>
      <c r="F1635" t="inlineStr">
        <is>
          <t>Bergvik skog väst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32815-2023</t>
        </is>
      </c>
      <c r="B1636" s="1" t="n">
        <v>45124</v>
      </c>
      <c r="C1636" s="1" t="n">
        <v>45849</v>
      </c>
      <c r="D1636" t="inlineStr">
        <is>
          <t>VÄRMLANDS LÄN</t>
        </is>
      </c>
      <c r="E1636" t="inlineStr">
        <is>
          <t>TORSBY</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33758-2023</t>
        </is>
      </c>
      <c r="B1637" s="1" t="n">
        <v>45125</v>
      </c>
      <c r="C1637" s="1" t="n">
        <v>45849</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33072-2023</t>
        </is>
      </c>
      <c r="B1638" s="1" t="n">
        <v>45126</v>
      </c>
      <c r="C1638" s="1" t="n">
        <v>45849</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34097-2023</t>
        </is>
      </c>
      <c r="B1639" s="1" t="n">
        <v>45126</v>
      </c>
      <c r="C1639" s="1" t="n">
        <v>45849</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34104-2023</t>
        </is>
      </c>
      <c r="B1640" s="1" t="n">
        <v>45126</v>
      </c>
      <c r="C1640" s="1" t="n">
        <v>45849</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34105-2023</t>
        </is>
      </c>
      <c r="B1641" s="1" t="n">
        <v>45126</v>
      </c>
      <c r="C1641" s="1" t="n">
        <v>45849</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33263-2023</t>
        </is>
      </c>
      <c r="B1642" s="1" t="n">
        <v>45127</v>
      </c>
      <c r="C1642" s="1" t="n">
        <v>45849</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33249-2023</t>
        </is>
      </c>
      <c r="B1643" s="1" t="n">
        <v>45127</v>
      </c>
      <c r="C1643" s="1" t="n">
        <v>45849</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33253-2023</t>
        </is>
      </c>
      <c r="B1644" s="1" t="n">
        <v>45127</v>
      </c>
      <c r="C1644" s="1" t="n">
        <v>45849</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33264-2023</t>
        </is>
      </c>
      <c r="B1645" s="1" t="n">
        <v>45127</v>
      </c>
      <c r="C1645" s="1" t="n">
        <v>45849</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33268-2023</t>
        </is>
      </c>
      <c r="B1646" s="1" t="n">
        <v>45127</v>
      </c>
      <c r="C1646" s="1" t="n">
        <v>45849</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33574-2023</t>
        </is>
      </c>
      <c r="B1647" s="1" t="n">
        <v>45131</v>
      </c>
      <c r="C1647" s="1" t="n">
        <v>45849</v>
      </c>
      <c r="D1647" t="inlineStr">
        <is>
          <t>VÄRMLANDS LÄN</t>
        </is>
      </c>
      <c r="E1647" t="inlineStr">
        <is>
          <t>TORSBY</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33645-2023</t>
        </is>
      </c>
      <c r="B1648" s="1" t="n">
        <v>45132</v>
      </c>
      <c r="C1648" s="1" t="n">
        <v>45849</v>
      </c>
      <c r="D1648" t="inlineStr">
        <is>
          <t>VÄRMLANDS LÄN</t>
        </is>
      </c>
      <c r="E1648" t="inlineStr">
        <is>
          <t>TORSBY</t>
        </is>
      </c>
      <c r="F1648" t="inlineStr">
        <is>
          <t>Bergvik skog väst AB</t>
        </is>
      </c>
      <c r="G1648" t="n">
        <v>12.4</v>
      </c>
      <c r="H1648" t="n">
        <v>0</v>
      </c>
      <c r="I1648" t="n">
        <v>0</v>
      </c>
      <c r="J1648" t="n">
        <v>0</v>
      </c>
      <c r="K1648" t="n">
        <v>0</v>
      </c>
      <c r="L1648" t="n">
        <v>0</v>
      </c>
      <c r="M1648" t="n">
        <v>0</v>
      </c>
      <c r="N1648" t="n">
        <v>0</v>
      </c>
      <c r="O1648" t="n">
        <v>0</v>
      </c>
      <c r="P1648" t="n">
        <v>0</v>
      </c>
      <c r="Q1648" t="n">
        <v>0</v>
      </c>
      <c r="R1648" s="2" t="inlineStr"/>
    </row>
    <row r="1649" ht="15" customHeight="1">
      <c r="A1649" t="inlineStr">
        <is>
          <t>A 33656-2023</t>
        </is>
      </c>
      <c r="B1649" s="1" t="n">
        <v>45132</v>
      </c>
      <c r="C1649" s="1" t="n">
        <v>45849</v>
      </c>
      <c r="D1649" t="inlineStr">
        <is>
          <t>VÄRMLANDS LÄN</t>
        </is>
      </c>
      <c r="E1649" t="inlineStr">
        <is>
          <t>TORSBY</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33813-2023</t>
        </is>
      </c>
      <c r="B1650" s="1" t="n">
        <v>45133</v>
      </c>
      <c r="C1650" s="1" t="n">
        <v>45849</v>
      </c>
      <c r="D1650" t="inlineStr">
        <is>
          <t>VÄRMLANDS LÄN</t>
        </is>
      </c>
      <c r="E1650" t="inlineStr">
        <is>
          <t>TORSBY</t>
        </is>
      </c>
      <c r="F1650" t="inlineStr">
        <is>
          <t>Bergvik skog väst AB</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33839-2023</t>
        </is>
      </c>
      <c r="B1651" s="1" t="n">
        <v>45133</v>
      </c>
      <c r="C1651" s="1" t="n">
        <v>45849</v>
      </c>
      <c r="D1651" t="inlineStr">
        <is>
          <t>VÄRMLANDS LÄN</t>
        </is>
      </c>
      <c r="E1651" t="inlineStr">
        <is>
          <t>TORSBY</t>
        </is>
      </c>
      <c r="F1651" t="inlineStr">
        <is>
          <t>Bergvik skog väst AB</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33848-2023</t>
        </is>
      </c>
      <c r="B1652" s="1" t="n">
        <v>45133</v>
      </c>
      <c r="C1652" s="1" t="n">
        <v>45849</v>
      </c>
      <c r="D1652" t="inlineStr">
        <is>
          <t>VÄRMLANDS LÄN</t>
        </is>
      </c>
      <c r="E1652" t="inlineStr">
        <is>
          <t>TORSBY</t>
        </is>
      </c>
      <c r="F1652" t="inlineStr">
        <is>
          <t>Bergvik skog väst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34405-2023</t>
        </is>
      </c>
      <c r="B1653" s="1" t="n">
        <v>45139</v>
      </c>
      <c r="C1653" s="1" t="n">
        <v>45849</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34427-2023</t>
        </is>
      </c>
      <c r="B1654" s="1" t="n">
        <v>45139</v>
      </c>
      <c r="C1654" s="1" t="n">
        <v>45849</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34469-2023</t>
        </is>
      </c>
      <c r="B1655" s="1" t="n">
        <v>45139</v>
      </c>
      <c r="C1655" s="1" t="n">
        <v>45849</v>
      </c>
      <c r="D1655" t="inlineStr">
        <is>
          <t>VÄRMLANDS LÄN</t>
        </is>
      </c>
      <c r="E1655" t="inlineStr">
        <is>
          <t>TORSBY</t>
        </is>
      </c>
      <c r="F1655" t="inlineStr">
        <is>
          <t>Bergvik skog väst AB</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34430-2023</t>
        </is>
      </c>
      <c r="B1656" s="1" t="n">
        <v>45139</v>
      </c>
      <c r="C1656" s="1" t="n">
        <v>45849</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34658-2023</t>
        </is>
      </c>
      <c r="B1657" s="1" t="n">
        <v>45140</v>
      </c>
      <c r="C1657" s="1" t="n">
        <v>45849</v>
      </c>
      <c r="D1657" t="inlineStr">
        <is>
          <t>VÄRMLANDS LÄN</t>
        </is>
      </c>
      <c r="E1657" t="inlineStr">
        <is>
          <t>TORSBY</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34955-2023</t>
        </is>
      </c>
      <c r="B1658" s="1" t="n">
        <v>45142</v>
      </c>
      <c r="C1658" s="1" t="n">
        <v>45849</v>
      </c>
      <c r="D1658" t="inlineStr">
        <is>
          <t>VÄRMLANDS LÄN</t>
        </is>
      </c>
      <c r="E1658" t="inlineStr">
        <is>
          <t>TORSBY</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35055-2023</t>
        </is>
      </c>
      <c r="B1659" s="1" t="n">
        <v>45145</v>
      </c>
      <c r="C1659" s="1" t="n">
        <v>45849</v>
      </c>
      <c r="D1659" t="inlineStr">
        <is>
          <t>VÄRMLANDS LÄN</t>
        </is>
      </c>
      <c r="E1659" t="inlineStr">
        <is>
          <t>TORSBY</t>
        </is>
      </c>
      <c r="F1659" t="inlineStr">
        <is>
          <t>Bergvik skog väst AB</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35057-2023</t>
        </is>
      </c>
      <c r="B1660" s="1" t="n">
        <v>45145</v>
      </c>
      <c r="C1660" s="1" t="n">
        <v>45849</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35186-2023</t>
        </is>
      </c>
      <c r="B1661" s="1" t="n">
        <v>45145</v>
      </c>
      <c r="C1661" s="1" t="n">
        <v>45849</v>
      </c>
      <c r="D1661" t="inlineStr">
        <is>
          <t>VÄRMLANDS LÄN</t>
        </is>
      </c>
      <c r="E1661" t="inlineStr">
        <is>
          <t>TORSBY</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35115-2023</t>
        </is>
      </c>
      <c r="B1662" s="1" t="n">
        <v>45145</v>
      </c>
      <c r="C1662" s="1" t="n">
        <v>45849</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35120-2023</t>
        </is>
      </c>
      <c r="B1663" s="1" t="n">
        <v>45145</v>
      </c>
      <c r="C1663" s="1" t="n">
        <v>45849</v>
      </c>
      <c r="D1663" t="inlineStr">
        <is>
          <t>VÄRMLANDS LÄN</t>
        </is>
      </c>
      <c r="E1663" t="inlineStr">
        <is>
          <t>TORSBY</t>
        </is>
      </c>
      <c r="G1663" t="n">
        <v>16.9</v>
      </c>
      <c r="H1663" t="n">
        <v>0</v>
      </c>
      <c r="I1663" t="n">
        <v>0</v>
      </c>
      <c r="J1663" t="n">
        <v>0</v>
      </c>
      <c r="K1663" t="n">
        <v>0</v>
      </c>
      <c r="L1663" t="n">
        <v>0</v>
      </c>
      <c r="M1663" t="n">
        <v>0</v>
      </c>
      <c r="N1663" t="n">
        <v>0</v>
      </c>
      <c r="O1663" t="n">
        <v>0</v>
      </c>
      <c r="P1663" t="n">
        <v>0</v>
      </c>
      <c r="Q1663" t="n">
        <v>0</v>
      </c>
      <c r="R1663" s="2" t="inlineStr"/>
    </row>
    <row r="1664" ht="15" customHeight="1">
      <c r="A1664" t="inlineStr">
        <is>
          <t>A 35415-2023</t>
        </is>
      </c>
      <c r="B1664" s="1" t="n">
        <v>45146</v>
      </c>
      <c r="C1664" s="1" t="n">
        <v>45849</v>
      </c>
      <c r="D1664" t="inlineStr">
        <is>
          <t>VÄRMLANDS LÄN</t>
        </is>
      </c>
      <c r="E1664" t="inlineStr">
        <is>
          <t>TORSBY</t>
        </is>
      </c>
      <c r="F1664" t="inlineStr">
        <is>
          <t>Bergvik skog väst AB</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35629-2023</t>
        </is>
      </c>
      <c r="B1665" s="1" t="n">
        <v>45147</v>
      </c>
      <c r="C1665" s="1" t="n">
        <v>45849</v>
      </c>
      <c r="D1665" t="inlineStr">
        <is>
          <t>VÄRMLANDS LÄN</t>
        </is>
      </c>
      <c r="E1665" t="inlineStr">
        <is>
          <t>TORSBY</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35674-2023</t>
        </is>
      </c>
      <c r="B1666" s="1" t="n">
        <v>45147</v>
      </c>
      <c r="C1666" s="1" t="n">
        <v>45849</v>
      </c>
      <c r="D1666" t="inlineStr">
        <is>
          <t>VÄRMLANDS LÄN</t>
        </is>
      </c>
      <c r="E1666" t="inlineStr">
        <is>
          <t>TORSBY</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35553-2023</t>
        </is>
      </c>
      <c r="B1667" s="1" t="n">
        <v>45147</v>
      </c>
      <c r="C1667" s="1" t="n">
        <v>45849</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35934-2023</t>
        </is>
      </c>
      <c r="B1668" s="1" t="n">
        <v>45148</v>
      </c>
      <c r="C1668" s="1" t="n">
        <v>45849</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35938-2023</t>
        </is>
      </c>
      <c r="B1669" s="1" t="n">
        <v>45148</v>
      </c>
      <c r="C1669" s="1" t="n">
        <v>45849</v>
      </c>
      <c r="D1669" t="inlineStr">
        <is>
          <t>VÄRMLANDS LÄN</t>
        </is>
      </c>
      <c r="E1669" t="inlineStr">
        <is>
          <t>TORSBY</t>
        </is>
      </c>
      <c r="F1669" t="inlineStr">
        <is>
          <t>Bergvik skog väst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36043-2023</t>
        </is>
      </c>
      <c r="B1670" s="1" t="n">
        <v>45148</v>
      </c>
      <c r="C1670" s="1" t="n">
        <v>45849</v>
      </c>
      <c r="D1670" t="inlineStr">
        <is>
          <t>VÄRMLANDS LÄN</t>
        </is>
      </c>
      <c r="E1670" t="inlineStr">
        <is>
          <t>TORSBY</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36050-2023</t>
        </is>
      </c>
      <c r="B1671" s="1" t="n">
        <v>45149</v>
      </c>
      <c r="C1671" s="1" t="n">
        <v>45849</v>
      </c>
      <c r="D1671" t="inlineStr">
        <is>
          <t>VÄRMLANDS LÄN</t>
        </is>
      </c>
      <c r="E1671" t="inlineStr">
        <is>
          <t>TORSBY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36062-2023</t>
        </is>
      </c>
      <c r="B1672" s="1" t="n">
        <v>45149</v>
      </c>
      <c r="C1672" s="1" t="n">
        <v>45849</v>
      </c>
      <c r="D1672" t="inlineStr">
        <is>
          <t>VÄRMLANDS LÄN</t>
        </is>
      </c>
      <c r="E1672" t="inlineStr">
        <is>
          <t>TORSBY</t>
        </is>
      </c>
      <c r="F1672" t="inlineStr">
        <is>
          <t>Bergvik skog väst AB</t>
        </is>
      </c>
      <c r="G1672" t="n">
        <v>21.3</v>
      </c>
      <c r="H1672" t="n">
        <v>0</v>
      </c>
      <c r="I1672" t="n">
        <v>0</v>
      </c>
      <c r="J1672" t="n">
        <v>0</v>
      </c>
      <c r="K1672" t="n">
        <v>0</v>
      </c>
      <c r="L1672" t="n">
        <v>0</v>
      </c>
      <c r="M1672" t="n">
        <v>0</v>
      </c>
      <c r="N1672" t="n">
        <v>0</v>
      </c>
      <c r="O1672" t="n">
        <v>0</v>
      </c>
      <c r="P1672" t="n">
        <v>0</v>
      </c>
      <c r="Q1672" t="n">
        <v>0</v>
      </c>
      <c r="R1672" s="2" t="inlineStr"/>
    </row>
    <row r="1673" ht="15" customHeight="1">
      <c r="A1673" t="inlineStr">
        <is>
          <t>A 36239-2023</t>
        </is>
      </c>
      <c r="B1673" s="1" t="n">
        <v>45150</v>
      </c>
      <c r="C1673" s="1" t="n">
        <v>45849</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36462-2023</t>
        </is>
      </c>
      <c r="B1674" s="1" t="n">
        <v>45152</v>
      </c>
      <c r="C1674" s="1" t="n">
        <v>45849</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36582-2023</t>
        </is>
      </c>
      <c r="B1675" s="1" t="n">
        <v>45153</v>
      </c>
      <c r="C1675" s="1" t="n">
        <v>45849</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36598-2023</t>
        </is>
      </c>
      <c r="B1676" s="1" t="n">
        <v>45153</v>
      </c>
      <c r="C1676" s="1" t="n">
        <v>45849</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36552-2023</t>
        </is>
      </c>
      <c r="B1677" s="1" t="n">
        <v>45153</v>
      </c>
      <c r="C1677" s="1" t="n">
        <v>45849</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36674-2023</t>
        </is>
      </c>
      <c r="B1678" s="1" t="n">
        <v>45153</v>
      </c>
      <c r="C1678" s="1" t="n">
        <v>45849</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36736-2023</t>
        </is>
      </c>
      <c r="B1679" s="1" t="n">
        <v>45153</v>
      </c>
      <c r="C1679" s="1" t="n">
        <v>45849</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36729-2023</t>
        </is>
      </c>
      <c r="B1680" s="1" t="n">
        <v>45153</v>
      </c>
      <c r="C1680" s="1" t="n">
        <v>45849</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36827-2023</t>
        </is>
      </c>
      <c r="B1681" s="1" t="n">
        <v>45154</v>
      </c>
      <c r="C1681" s="1" t="n">
        <v>45849</v>
      </c>
      <c r="D1681" t="inlineStr">
        <is>
          <t>VÄRMLANDS LÄN</t>
        </is>
      </c>
      <c r="E1681" t="inlineStr">
        <is>
          <t>TORSBY</t>
        </is>
      </c>
      <c r="F1681" t="inlineStr">
        <is>
          <t>Bergvik skog väst AB</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36897-2023</t>
        </is>
      </c>
      <c r="B1682" s="1" t="n">
        <v>45154</v>
      </c>
      <c r="C1682" s="1" t="n">
        <v>45849</v>
      </c>
      <c r="D1682" t="inlineStr">
        <is>
          <t>VÄRMLANDS LÄN</t>
        </is>
      </c>
      <c r="E1682" t="inlineStr">
        <is>
          <t>TORSBY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36947-2023</t>
        </is>
      </c>
      <c r="B1683" s="1" t="n">
        <v>45154</v>
      </c>
      <c r="C1683" s="1" t="n">
        <v>45849</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37081-2023</t>
        </is>
      </c>
      <c r="B1684" s="1" t="n">
        <v>45155</v>
      </c>
      <c r="C1684" s="1" t="n">
        <v>45849</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37188-2023</t>
        </is>
      </c>
      <c r="B1685" s="1" t="n">
        <v>45155</v>
      </c>
      <c r="C1685" s="1" t="n">
        <v>45849</v>
      </c>
      <c r="D1685" t="inlineStr">
        <is>
          <t>VÄRMLANDS LÄN</t>
        </is>
      </c>
      <c r="E1685" t="inlineStr">
        <is>
          <t>TORSBY</t>
        </is>
      </c>
      <c r="F1685" t="inlineStr">
        <is>
          <t>Bergvik skog väst AB</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37346-2023</t>
        </is>
      </c>
      <c r="B1686" s="1" t="n">
        <v>45156</v>
      </c>
      <c r="C1686" s="1" t="n">
        <v>45849</v>
      </c>
      <c r="D1686" t="inlineStr">
        <is>
          <t>VÄRMLANDS LÄN</t>
        </is>
      </c>
      <c r="E1686" t="inlineStr">
        <is>
          <t>TORSBY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37357-2023</t>
        </is>
      </c>
      <c r="B1687" s="1" t="n">
        <v>45156</v>
      </c>
      <c r="C1687" s="1" t="n">
        <v>45849</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37305-2023</t>
        </is>
      </c>
      <c r="B1688" s="1" t="n">
        <v>45156</v>
      </c>
      <c r="C1688" s="1" t="n">
        <v>45849</v>
      </c>
      <c r="D1688" t="inlineStr">
        <is>
          <t>VÄRMLANDS LÄN</t>
        </is>
      </c>
      <c r="E1688" t="inlineStr">
        <is>
          <t>TORSBY</t>
        </is>
      </c>
      <c r="F1688" t="inlineStr">
        <is>
          <t>Bergvik skog väst AB</t>
        </is>
      </c>
      <c r="G1688" t="n">
        <v>28.8</v>
      </c>
      <c r="H1688" t="n">
        <v>0</v>
      </c>
      <c r="I1688" t="n">
        <v>0</v>
      </c>
      <c r="J1688" t="n">
        <v>0</v>
      </c>
      <c r="K1688" t="n">
        <v>0</v>
      </c>
      <c r="L1688" t="n">
        <v>0</v>
      </c>
      <c r="M1688" t="n">
        <v>0</v>
      </c>
      <c r="N1688" t="n">
        <v>0</v>
      </c>
      <c r="O1688" t="n">
        <v>0</v>
      </c>
      <c r="P1688" t="n">
        <v>0</v>
      </c>
      <c r="Q1688" t="n">
        <v>0</v>
      </c>
      <c r="R1688" s="2" t="inlineStr"/>
    </row>
    <row r="1689" ht="15" customHeight="1">
      <c r="A1689" t="inlineStr">
        <is>
          <t>A 37314-2023</t>
        </is>
      </c>
      <c r="B1689" s="1" t="n">
        <v>45156</v>
      </c>
      <c r="C1689" s="1" t="n">
        <v>45849</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37359-2023</t>
        </is>
      </c>
      <c r="B1690" s="1" t="n">
        <v>45156</v>
      </c>
      <c r="C1690" s="1" t="n">
        <v>45849</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37705-2023</t>
        </is>
      </c>
      <c r="B1691" s="1" t="n">
        <v>45159</v>
      </c>
      <c r="C1691" s="1" t="n">
        <v>45849</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37604-2023</t>
        </is>
      </c>
      <c r="B1692" s="1" t="n">
        <v>45159</v>
      </c>
      <c r="C1692" s="1" t="n">
        <v>45849</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37623-2023</t>
        </is>
      </c>
      <c r="B1693" s="1" t="n">
        <v>45159</v>
      </c>
      <c r="C1693" s="1" t="n">
        <v>45849</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37822-2023</t>
        </is>
      </c>
      <c r="B1694" s="1" t="n">
        <v>45160</v>
      </c>
      <c r="C1694" s="1" t="n">
        <v>45849</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38085-2023</t>
        </is>
      </c>
      <c r="B1695" s="1" t="n">
        <v>45160</v>
      </c>
      <c r="C1695" s="1" t="n">
        <v>45849</v>
      </c>
      <c r="D1695" t="inlineStr">
        <is>
          <t>VÄRMLANDS LÄN</t>
        </is>
      </c>
      <c r="E1695" t="inlineStr">
        <is>
          <t>TORSBY</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37936-2023</t>
        </is>
      </c>
      <c r="B1696" s="1" t="n">
        <v>45160</v>
      </c>
      <c r="C1696" s="1" t="n">
        <v>45849</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38084-2023</t>
        </is>
      </c>
      <c r="B1697" s="1" t="n">
        <v>45160</v>
      </c>
      <c r="C1697" s="1" t="n">
        <v>45849</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38044-2023</t>
        </is>
      </c>
      <c r="B1698" s="1" t="n">
        <v>45160</v>
      </c>
      <c r="C1698" s="1" t="n">
        <v>45849</v>
      </c>
      <c r="D1698" t="inlineStr">
        <is>
          <t>VÄRMLANDS LÄN</t>
        </is>
      </c>
      <c r="E1698" t="inlineStr">
        <is>
          <t>TORSBY</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38086-2023</t>
        </is>
      </c>
      <c r="B1699" s="1" t="n">
        <v>45160</v>
      </c>
      <c r="C1699" s="1" t="n">
        <v>45849</v>
      </c>
      <c r="D1699" t="inlineStr">
        <is>
          <t>VÄRMLANDS LÄN</t>
        </is>
      </c>
      <c r="E1699" t="inlineStr">
        <is>
          <t>TORSBY</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38252-2023</t>
        </is>
      </c>
      <c r="B1700" s="1" t="n">
        <v>45161</v>
      </c>
      <c r="C1700" s="1" t="n">
        <v>45849</v>
      </c>
      <c r="D1700" t="inlineStr">
        <is>
          <t>VÄRMLANDS LÄN</t>
        </is>
      </c>
      <c r="E1700" t="inlineStr">
        <is>
          <t>TORSBY</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38232-2023</t>
        </is>
      </c>
      <c r="B1701" s="1" t="n">
        <v>45161</v>
      </c>
      <c r="C1701" s="1" t="n">
        <v>45849</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38257-2023</t>
        </is>
      </c>
      <c r="B1702" s="1" t="n">
        <v>45161</v>
      </c>
      <c r="C1702" s="1" t="n">
        <v>45849</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38263-2023</t>
        </is>
      </c>
      <c r="B1703" s="1" t="n">
        <v>45161</v>
      </c>
      <c r="C1703" s="1" t="n">
        <v>45849</v>
      </c>
      <c r="D1703" t="inlineStr">
        <is>
          <t>VÄRMLANDS LÄN</t>
        </is>
      </c>
      <c r="E1703" t="inlineStr">
        <is>
          <t>TORSBY</t>
        </is>
      </c>
      <c r="F1703" t="inlineStr">
        <is>
          <t>Kyrkan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38286-2023</t>
        </is>
      </c>
      <c r="B1704" s="1" t="n">
        <v>45161</v>
      </c>
      <c r="C1704" s="1" t="n">
        <v>45849</v>
      </c>
      <c r="D1704" t="inlineStr">
        <is>
          <t>VÄRMLANDS LÄN</t>
        </is>
      </c>
      <c r="E1704" t="inlineStr">
        <is>
          <t>TORSBY</t>
        </is>
      </c>
      <c r="F1704" t="inlineStr">
        <is>
          <t>Kyrkan</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38541-2023</t>
        </is>
      </c>
      <c r="B1705" s="1" t="n">
        <v>45162</v>
      </c>
      <c r="C1705" s="1" t="n">
        <v>45849</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38641-2023</t>
        </is>
      </c>
      <c r="B1706" s="1" t="n">
        <v>45162</v>
      </c>
      <c r="C1706" s="1" t="n">
        <v>45849</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38637-2023</t>
        </is>
      </c>
      <c r="B1707" s="1" t="n">
        <v>45162</v>
      </c>
      <c r="C1707" s="1" t="n">
        <v>45849</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38668-2023</t>
        </is>
      </c>
      <c r="B1708" s="1" t="n">
        <v>45162</v>
      </c>
      <c r="C1708" s="1" t="n">
        <v>45849</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39408-2023</t>
        </is>
      </c>
      <c r="B1709" s="1" t="n">
        <v>45163</v>
      </c>
      <c r="C1709" s="1" t="n">
        <v>45849</v>
      </c>
      <c r="D1709" t="inlineStr">
        <is>
          <t>VÄRMLANDS LÄN</t>
        </is>
      </c>
      <c r="E1709" t="inlineStr">
        <is>
          <t>TORSBY</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38991-2023</t>
        </is>
      </c>
      <c r="B1710" s="1" t="n">
        <v>45163</v>
      </c>
      <c r="C1710" s="1" t="n">
        <v>45849</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38722-2023</t>
        </is>
      </c>
      <c r="B1711" s="1" t="n">
        <v>45163</v>
      </c>
      <c r="C1711" s="1" t="n">
        <v>45849</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38979-2023</t>
        </is>
      </c>
      <c r="B1712" s="1" t="n">
        <v>45163</v>
      </c>
      <c r="C1712" s="1" t="n">
        <v>45849</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39131-2023</t>
        </is>
      </c>
      <c r="B1713" s="1" t="n">
        <v>45165</v>
      </c>
      <c r="C1713" s="1" t="n">
        <v>45849</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39134-2023</t>
        </is>
      </c>
      <c r="B1714" s="1" t="n">
        <v>45165</v>
      </c>
      <c r="C1714" s="1" t="n">
        <v>45849</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39390-2023</t>
        </is>
      </c>
      <c r="B1715" s="1" t="n">
        <v>45166</v>
      </c>
      <c r="C1715" s="1" t="n">
        <v>45849</v>
      </c>
      <c r="D1715" t="inlineStr">
        <is>
          <t>VÄRMLANDS LÄN</t>
        </is>
      </c>
      <c r="E1715" t="inlineStr">
        <is>
          <t>TORSBY</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39339-2023</t>
        </is>
      </c>
      <c r="B1716" s="1" t="n">
        <v>45166</v>
      </c>
      <c r="C1716" s="1" t="n">
        <v>45849</v>
      </c>
      <c r="D1716" t="inlineStr">
        <is>
          <t>VÄRMLANDS LÄN</t>
        </is>
      </c>
      <c r="E1716" t="inlineStr">
        <is>
          <t>TORSBY</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39374-2023</t>
        </is>
      </c>
      <c r="B1717" s="1" t="n">
        <v>45166</v>
      </c>
      <c r="C1717" s="1" t="n">
        <v>45849</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39677-2023</t>
        </is>
      </c>
      <c r="B1718" s="1" t="n">
        <v>45166</v>
      </c>
      <c r="C1718" s="1" t="n">
        <v>45849</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39648-2023</t>
        </is>
      </c>
      <c r="B1719" s="1" t="n">
        <v>45167</v>
      </c>
      <c r="C1719" s="1" t="n">
        <v>45849</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39732-2023</t>
        </is>
      </c>
      <c r="B1720" s="1" t="n">
        <v>45167</v>
      </c>
      <c r="C1720" s="1" t="n">
        <v>45849</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39921-2023</t>
        </is>
      </c>
      <c r="B1721" s="1" t="n">
        <v>45168</v>
      </c>
      <c r="C1721" s="1" t="n">
        <v>45849</v>
      </c>
      <c r="D1721" t="inlineStr">
        <is>
          <t>VÄRMLANDS LÄN</t>
        </is>
      </c>
      <c r="E1721" t="inlineStr">
        <is>
          <t>TORSBY</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39910-2023</t>
        </is>
      </c>
      <c r="B1722" s="1" t="n">
        <v>45168</v>
      </c>
      <c r="C1722" s="1" t="n">
        <v>45849</v>
      </c>
      <c r="D1722" t="inlineStr">
        <is>
          <t>VÄRMLANDS LÄN</t>
        </is>
      </c>
      <c r="E1722" t="inlineStr">
        <is>
          <t>TORSBY</t>
        </is>
      </c>
      <c r="F1722" t="inlineStr">
        <is>
          <t>Kyrkan</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40007-2023</t>
        </is>
      </c>
      <c r="B1723" s="1" t="n">
        <v>45168</v>
      </c>
      <c r="C1723" s="1" t="n">
        <v>45849</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39969-2023</t>
        </is>
      </c>
      <c r="B1724" s="1" t="n">
        <v>45168</v>
      </c>
      <c r="C1724" s="1" t="n">
        <v>45849</v>
      </c>
      <c r="D1724" t="inlineStr">
        <is>
          <t>VÄRMLANDS LÄN</t>
        </is>
      </c>
      <c r="E1724" t="inlineStr">
        <is>
          <t>TORSBY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40207-2023</t>
        </is>
      </c>
      <c r="B1725" s="1" t="n">
        <v>45169</v>
      </c>
      <c r="C1725" s="1" t="n">
        <v>45849</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40228-2023</t>
        </is>
      </c>
      <c r="B1726" s="1" t="n">
        <v>45169</v>
      </c>
      <c r="C1726" s="1" t="n">
        <v>45849</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40222-2023</t>
        </is>
      </c>
      <c r="B1727" s="1" t="n">
        <v>45169</v>
      </c>
      <c r="C1727" s="1" t="n">
        <v>45849</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40468-2023</t>
        </is>
      </c>
      <c r="B1728" s="1" t="n">
        <v>45170</v>
      </c>
      <c r="C1728" s="1" t="n">
        <v>45849</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40512-2023</t>
        </is>
      </c>
      <c r="B1729" s="1" t="n">
        <v>45170</v>
      </c>
      <c r="C1729" s="1" t="n">
        <v>45849</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40470-2023</t>
        </is>
      </c>
      <c r="B1730" s="1" t="n">
        <v>45170</v>
      </c>
      <c r="C1730" s="1" t="n">
        <v>45849</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40538-2023</t>
        </is>
      </c>
      <c r="B1731" s="1" t="n">
        <v>45170</v>
      </c>
      <c r="C1731" s="1" t="n">
        <v>45849</v>
      </c>
      <c r="D1731" t="inlineStr">
        <is>
          <t>VÄRMLANDS LÄN</t>
        </is>
      </c>
      <c r="E1731" t="inlineStr">
        <is>
          <t>TORSBY</t>
        </is>
      </c>
      <c r="F1731" t="inlineStr">
        <is>
          <t>Bergvik skog väst AB</t>
        </is>
      </c>
      <c r="G1731" t="n">
        <v>31.4</v>
      </c>
      <c r="H1731" t="n">
        <v>0</v>
      </c>
      <c r="I1731" t="n">
        <v>0</v>
      </c>
      <c r="J1731" t="n">
        <v>0</v>
      </c>
      <c r="K1731" t="n">
        <v>0</v>
      </c>
      <c r="L1731" t="n">
        <v>0</v>
      </c>
      <c r="M1731" t="n">
        <v>0</v>
      </c>
      <c r="N1731" t="n">
        <v>0</v>
      </c>
      <c r="O1731" t="n">
        <v>0</v>
      </c>
      <c r="P1731" t="n">
        <v>0</v>
      </c>
      <c r="Q1731" t="n">
        <v>0</v>
      </c>
      <c r="R1731" s="2" t="inlineStr"/>
    </row>
    <row r="1732" ht="15" customHeight="1">
      <c r="A1732" t="inlineStr">
        <is>
          <t>A 41469-2023</t>
        </is>
      </c>
      <c r="B1732" s="1" t="n">
        <v>45170</v>
      </c>
      <c r="C1732" s="1" t="n">
        <v>45849</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40858-2023</t>
        </is>
      </c>
      <c r="B1733" s="1" t="n">
        <v>45173</v>
      </c>
      <c r="C1733" s="1" t="n">
        <v>45849</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40971-2023</t>
        </is>
      </c>
      <c r="B1734" s="1" t="n">
        <v>45173</v>
      </c>
      <c r="C1734" s="1" t="n">
        <v>45849</v>
      </c>
      <c r="D1734" t="inlineStr">
        <is>
          <t>VÄRMLANDS LÄN</t>
        </is>
      </c>
      <c r="E1734" t="inlineStr">
        <is>
          <t>TORSBY</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41096-2023</t>
        </is>
      </c>
      <c r="B1735" s="1" t="n">
        <v>45173</v>
      </c>
      <c r="C1735" s="1" t="n">
        <v>45849</v>
      </c>
      <c r="D1735" t="inlineStr">
        <is>
          <t>VÄRMLANDS LÄN</t>
        </is>
      </c>
      <c r="E1735" t="inlineStr">
        <is>
          <t>TORSBY</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41056-2023</t>
        </is>
      </c>
      <c r="B1736" s="1" t="n">
        <v>45173</v>
      </c>
      <c r="C1736" s="1" t="n">
        <v>45849</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41022-2023</t>
        </is>
      </c>
      <c r="B1737" s="1" t="n">
        <v>45173</v>
      </c>
      <c r="C1737" s="1" t="n">
        <v>45849</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41050-2023</t>
        </is>
      </c>
      <c r="B1738" s="1" t="n">
        <v>45173</v>
      </c>
      <c r="C1738" s="1" t="n">
        <v>45849</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41059-2023</t>
        </is>
      </c>
      <c r="B1739" s="1" t="n">
        <v>45173</v>
      </c>
      <c r="C1739" s="1" t="n">
        <v>45849</v>
      </c>
      <c r="D1739" t="inlineStr">
        <is>
          <t>VÄRMLANDS LÄN</t>
        </is>
      </c>
      <c r="E1739" t="inlineStr">
        <is>
          <t>TORSBY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41156-2023</t>
        </is>
      </c>
      <c r="B1740" s="1" t="n">
        <v>45174</v>
      </c>
      <c r="C1740" s="1" t="n">
        <v>45849</v>
      </c>
      <c r="D1740" t="inlineStr">
        <is>
          <t>VÄRMLANDS LÄN</t>
        </is>
      </c>
      <c r="E1740" t="inlineStr">
        <is>
          <t>TORSBY</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41160-2023</t>
        </is>
      </c>
      <c r="B1741" s="1" t="n">
        <v>45174</v>
      </c>
      <c r="C1741" s="1" t="n">
        <v>45849</v>
      </c>
      <c r="D1741" t="inlineStr">
        <is>
          <t>VÄRMLANDS LÄN</t>
        </is>
      </c>
      <c r="E1741" t="inlineStr">
        <is>
          <t>TORSBY</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41246-2023</t>
        </is>
      </c>
      <c r="B1742" s="1" t="n">
        <v>45174</v>
      </c>
      <c r="C1742" s="1" t="n">
        <v>45849</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41270-2023</t>
        </is>
      </c>
      <c r="B1743" s="1" t="n">
        <v>45174</v>
      </c>
      <c r="C1743" s="1" t="n">
        <v>45849</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42069-2023</t>
        </is>
      </c>
      <c r="B1744" s="1" t="n">
        <v>45174</v>
      </c>
      <c r="C1744" s="1" t="n">
        <v>45849</v>
      </c>
      <c r="D1744" t="inlineStr">
        <is>
          <t>VÄRMLANDS LÄN</t>
        </is>
      </c>
      <c r="E1744" t="inlineStr">
        <is>
          <t>TORSBY</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42060-2023</t>
        </is>
      </c>
      <c r="B1745" s="1" t="n">
        <v>45174</v>
      </c>
      <c r="C1745" s="1" t="n">
        <v>45849</v>
      </c>
      <c r="D1745" t="inlineStr">
        <is>
          <t>VÄRMLANDS LÄN</t>
        </is>
      </c>
      <c r="E1745" t="inlineStr">
        <is>
          <t>TORSBY</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41488-2023</t>
        </is>
      </c>
      <c r="B1746" s="1" t="n">
        <v>45175</v>
      </c>
      <c r="C1746" s="1" t="n">
        <v>45849</v>
      </c>
      <c r="D1746" t="inlineStr">
        <is>
          <t>VÄRMLANDS LÄN</t>
        </is>
      </c>
      <c r="E1746" t="inlineStr">
        <is>
          <t>TORSBY</t>
        </is>
      </c>
      <c r="F1746" t="inlineStr">
        <is>
          <t>Kyrkan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41438-2023</t>
        </is>
      </c>
      <c r="B1747" s="1" t="n">
        <v>45175</v>
      </c>
      <c r="C1747" s="1" t="n">
        <v>45849</v>
      </c>
      <c r="D1747" t="inlineStr">
        <is>
          <t>VÄRMLANDS LÄN</t>
        </is>
      </c>
      <c r="E1747" t="inlineStr">
        <is>
          <t>TORSBY</t>
        </is>
      </c>
      <c r="F1747" t="inlineStr">
        <is>
          <t>Kyrkan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41431-2023</t>
        </is>
      </c>
      <c r="B1748" s="1" t="n">
        <v>45175</v>
      </c>
      <c r="C1748" s="1" t="n">
        <v>45849</v>
      </c>
      <c r="D1748" t="inlineStr">
        <is>
          <t>VÄRMLANDS LÄN</t>
        </is>
      </c>
      <c r="E1748" t="inlineStr">
        <is>
          <t>TORSBY</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41867-2023</t>
        </is>
      </c>
      <c r="B1749" s="1" t="n">
        <v>45176</v>
      </c>
      <c r="C1749" s="1" t="n">
        <v>45849</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41833-2023</t>
        </is>
      </c>
      <c r="B1750" s="1" t="n">
        <v>45176</v>
      </c>
      <c r="C1750" s="1" t="n">
        <v>45849</v>
      </c>
      <c r="D1750" t="inlineStr">
        <is>
          <t>VÄRMLANDS LÄN</t>
        </is>
      </c>
      <c r="E1750" t="inlineStr">
        <is>
          <t>TORSBY</t>
        </is>
      </c>
      <c r="F1750" t="inlineStr">
        <is>
          <t>Bergvik skog väst AB</t>
        </is>
      </c>
      <c r="G1750" t="n">
        <v>21.7</v>
      </c>
      <c r="H1750" t="n">
        <v>0</v>
      </c>
      <c r="I1750" t="n">
        <v>0</v>
      </c>
      <c r="J1750" t="n">
        <v>0</v>
      </c>
      <c r="K1750" t="n">
        <v>0</v>
      </c>
      <c r="L1750" t="n">
        <v>0</v>
      </c>
      <c r="M1750" t="n">
        <v>0</v>
      </c>
      <c r="N1750" t="n">
        <v>0</v>
      </c>
      <c r="O1750" t="n">
        <v>0</v>
      </c>
      <c r="P1750" t="n">
        <v>0</v>
      </c>
      <c r="Q1750" t="n">
        <v>0</v>
      </c>
      <c r="R1750" s="2" t="inlineStr"/>
    </row>
    <row r="1751" ht="15" customHeight="1">
      <c r="A1751" t="inlineStr">
        <is>
          <t>A 41841-2023</t>
        </is>
      </c>
      <c r="B1751" s="1" t="n">
        <v>45176</v>
      </c>
      <c r="C1751" s="1" t="n">
        <v>45849</v>
      </c>
      <c r="D1751" t="inlineStr">
        <is>
          <t>VÄRMLANDS LÄN</t>
        </is>
      </c>
      <c r="E1751" t="inlineStr">
        <is>
          <t>TORSBY</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41885-2023</t>
        </is>
      </c>
      <c r="B1752" s="1" t="n">
        <v>45176</v>
      </c>
      <c r="C1752" s="1" t="n">
        <v>45849</v>
      </c>
      <c r="D1752" t="inlineStr">
        <is>
          <t>VÄRMLANDS LÄN</t>
        </is>
      </c>
      <c r="E1752" t="inlineStr">
        <is>
          <t>TORSBY</t>
        </is>
      </c>
      <c r="F1752" t="inlineStr">
        <is>
          <t>Bergvik skog väst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41843-2023</t>
        </is>
      </c>
      <c r="B1753" s="1" t="n">
        <v>45176</v>
      </c>
      <c r="C1753" s="1" t="n">
        <v>45849</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41868-2023</t>
        </is>
      </c>
      <c r="B1754" s="1" t="n">
        <v>45176</v>
      </c>
      <c r="C1754" s="1" t="n">
        <v>45849</v>
      </c>
      <c r="D1754" t="inlineStr">
        <is>
          <t>VÄRMLANDS LÄN</t>
        </is>
      </c>
      <c r="E1754" t="inlineStr">
        <is>
          <t>TORSBY</t>
        </is>
      </c>
      <c r="F1754" t="inlineStr">
        <is>
          <t>Bergvik skog väst AB</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42062-2023</t>
        </is>
      </c>
      <c r="B1755" s="1" t="n">
        <v>45177</v>
      </c>
      <c r="C1755" s="1" t="n">
        <v>45849</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42245-2023</t>
        </is>
      </c>
      <c r="B1756" s="1" t="n">
        <v>45180</v>
      </c>
      <c r="C1756" s="1" t="n">
        <v>45849</v>
      </c>
      <c r="D1756" t="inlineStr">
        <is>
          <t>VÄRMLANDS LÄN</t>
        </is>
      </c>
      <c r="E1756" t="inlineStr">
        <is>
          <t>TORSBY</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42473-2023</t>
        </is>
      </c>
      <c r="B1757" s="1" t="n">
        <v>45180</v>
      </c>
      <c r="C1757" s="1" t="n">
        <v>45849</v>
      </c>
      <c r="D1757" t="inlineStr">
        <is>
          <t>VÄRMLANDS LÄN</t>
        </is>
      </c>
      <c r="E1757" t="inlineStr">
        <is>
          <t>TORSBY</t>
        </is>
      </c>
      <c r="F1757" t="inlineStr">
        <is>
          <t>Bergvik skog väst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42403-2023</t>
        </is>
      </c>
      <c r="B1758" s="1" t="n">
        <v>45180</v>
      </c>
      <c r="C1758" s="1" t="n">
        <v>45849</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42420-2023</t>
        </is>
      </c>
      <c r="B1759" s="1" t="n">
        <v>45180</v>
      </c>
      <c r="C1759" s="1" t="n">
        <v>45849</v>
      </c>
      <c r="D1759" t="inlineStr">
        <is>
          <t>VÄRMLANDS LÄN</t>
        </is>
      </c>
      <c r="E1759" t="inlineStr">
        <is>
          <t>TORSBY</t>
        </is>
      </c>
      <c r="F1759" t="inlineStr">
        <is>
          <t>Bergvik skog väst AB</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43532-2023</t>
        </is>
      </c>
      <c r="B1760" s="1" t="n">
        <v>45181</v>
      </c>
      <c r="C1760" s="1" t="n">
        <v>45849</v>
      </c>
      <c r="D1760" t="inlineStr">
        <is>
          <t>VÄRMLANDS LÄN</t>
        </is>
      </c>
      <c r="E1760" t="inlineStr">
        <is>
          <t>TORSBY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43529-2023</t>
        </is>
      </c>
      <c r="B1761" s="1" t="n">
        <v>45181</v>
      </c>
      <c r="C1761" s="1" t="n">
        <v>45849</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43527-2023</t>
        </is>
      </c>
      <c r="B1762" s="1" t="n">
        <v>45181</v>
      </c>
      <c r="C1762" s="1" t="n">
        <v>45849</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43536-2023</t>
        </is>
      </c>
      <c r="B1763" s="1" t="n">
        <v>45181</v>
      </c>
      <c r="C1763" s="1" t="n">
        <v>45849</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43528-2023</t>
        </is>
      </c>
      <c r="B1764" s="1" t="n">
        <v>45181</v>
      </c>
      <c r="C1764" s="1" t="n">
        <v>45849</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42645-2023</t>
        </is>
      </c>
      <c r="B1765" s="1" t="n">
        <v>45181</v>
      </c>
      <c r="C1765" s="1" t="n">
        <v>45849</v>
      </c>
      <c r="D1765" t="inlineStr">
        <is>
          <t>VÄRMLANDS LÄN</t>
        </is>
      </c>
      <c r="E1765" t="inlineStr">
        <is>
          <t>TORSBY</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42652-2023</t>
        </is>
      </c>
      <c r="B1766" s="1" t="n">
        <v>45181</v>
      </c>
      <c r="C1766" s="1" t="n">
        <v>45849</v>
      </c>
      <c r="D1766" t="inlineStr">
        <is>
          <t>VÄRMLANDS LÄN</t>
        </is>
      </c>
      <c r="E1766" t="inlineStr">
        <is>
          <t>TORSBY</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42656-2023</t>
        </is>
      </c>
      <c r="B1767" s="1" t="n">
        <v>45181</v>
      </c>
      <c r="C1767" s="1" t="n">
        <v>45849</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42581-2023</t>
        </is>
      </c>
      <c r="B1768" s="1" t="n">
        <v>45181</v>
      </c>
      <c r="C1768" s="1" t="n">
        <v>45849</v>
      </c>
      <c r="D1768" t="inlineStr">
        <is>
          <t>VÄRMLANDS LÄN</t>
        </is>
      </c>
      <c r="E1768" t="inlineStr">
        <is>
          <t>TORSBY</t>
        </is>
      </c>
      <c r="G1768" t="n">
        <v>17.6</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45849</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42635-2023</t>
        </is>
      </c>
      <c r="B1770" s="1" t="n">
        <v>45181</v>
      </c>
      <c r="C1770" s="1" t="n">
        <v>45849</v>
      </c>
      <c r="D1770" t="inlineStr">
        <is>
          <t>VÄRMLANDS LÄN</t>
        </is>
      </c>
      <c r="E1770" t="inlineStr">
        <is>
          <t>TORSBY</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42658-2023</t>
        </is>
      </c>
      <c r="B1771" s="1" t="n">
        <v>45181</v>
      </c>
      <c r="C1771" s="1" t="n">
        <v>45849</v>
      </c>
      <c r="D1771" t="inlineStr">
        <is>
          <t>VÄRMLANDS LÄN</t>
        </is>
      </c>
      <c r="E1771" t="inlineStr">
        <is>
          <t>TORSBY</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42710-2023</t>
        </is>
      </c>
      <c r="B1772" s="1" t="n">
        <v>45181</v>
      </c>
      <c r="C1772" s="1" t="n">
        <v>45849</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42632-2023</t>
        </is>
      </c>
      <c r="B1773" s="1" t="n">
        <v>45181</v>
      </c>
      <c r="C1773" s="1" t="n">
        <v>45849</v>
      </c>
      <c r="D1773" t="inlineStr">
        <is>
          <t>VÄRMLANDS LÄN</t>
        </is>
      </c>
      <c r="E1773" t="inlineStr">
        <is>
          <t>TORSBY</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42944-2023</t>
        </is>
      </c>
      <c r="B1774" s="1" t="n">
        <v>45182</v>
      </c>
      <c r="C1774" s="1" t="n">
        <v>45849</v>
      </c>
      <c r="D1774" t="inlineStr">
        <is>
          <t>VÄRMLANDS LÄN</t>
        </is>
      </c>
      <c r="E1774" t="inlineStr">
        <is>
          <t>TORSBY</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43084-2023</t>
        </is>
      </c>
      <c r="B1775" s="1" t="n">
        <v>45182</v>
      </c>
      <c r="C1775" s="1" t="n">
        <v>45849</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44083-2023</t>
        </is>
      </c>
      <c r="B1776" s="1" t="n">
        <v>45182</v>
      </c>
      <c r="C1776" s="1" t="n">
        <v>45849</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44094-2023</t>
        </is>
      </c>
      <c r="B1777" s="1" t="n">
        <v>45182</v>
      </c>
      <c r="C1777" s="1" t="n">
        <v>45849</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43179-2023</t>
        </is>
      </c>
      <c r="B1778" s="1" t="n">
        <v>45183</v>
      </c>
      <c r="C1778" s="1" t="n">
        <v>45849</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43361-2023</t>
        </is>
      </c>
      <c r="B1779" s="1" t="n">
        <v>45183</v>
      </c>
      <c r="C1779" s="1" t="n">
        <v>45849</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43540-2023</t>
        </is>
      </c>
      <c r="B1780" s="1" t="n">
        <v>45184</v>
      </c>
      <c r="C1780" s="1" t="n">
        <v>45849</v>
      </c>
      <c r="D1780" t="inlineStr">
        <is>
          <t>VÄRMLANDS LÄN</t>
        </is>
      </c>
      <c r="E1780" t="inlineStr">
        <is>
          <t>TORSBY</t>
        </is>
      </c>
      <c r="F1780" t="inlineStr">
        <is>
          <t>Bergvik skog väst AB</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43562-2023</t>
        </is>
      </c>
      <c r="B1781" s="1" t="n">
        <v>45184</v>
      </c>
      <c r="C1781" s="1" t="n">
        <v>45849</v>
      </c>
      <c r="D1781" t="inlineStr">
        <is>
          <t>VÄRMLANDS LÄN</t>
        </is>
      </c>
      <c r="E1781" t="inlineStr">
        <is>
          <t>TORSBY</t>
        </is>
      </c>
      <c r="F1781" t="inlineStr">
        <is>
          <t>Kommuner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43599-2023</t>
        </is>
      </c>
      <c r="B1782" s="1" t="n">
        <v>45184</v>
      </c>
      <c r="C1782" s="1" t="n">
        <v>45849</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43663-2023</t>
        </is>
      </c>
      <c r="B1783" s="1" t="n">
        <v>45187</v>
      </c>
      <c r="C1783" s="1" t="n">
        <v>45849</v>
      </c>
      <c r="D1783" t="inlineStr">
        <is>
          <t>VÄRMLANDS LÄN</t>
        </is>
      </c>
      <c r="E1783" t="inlineStr">
        <is>
          <t>TORSBY</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43670-2023</t>
        </is>
      </c>
      <c r="B1784" s="1" t="n">
        <v>45187</v>
      </c>
      <c r="C1784" s="1" t="n">
        <v>45849</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44047-2023</t>
        </is>
      </c>
      <c r="B1785" s="1" t="n">
        <v>45188</v>
      </c>
      <c r="C1785" s="1" t="n">
        <v>45849</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44150-2023</t>
        </is>
      </c>
      <c r="B1786" s="1" t="n">
        <v>45188</v>
      </c>
      <c r="C1786" s="1" t="n">
        <v>45849</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44044-2023</t>
        </is>
      </c>
      <c r="B1787" s="1" t="n">
        <v>45188</v>
      </c>
      <c r="C1787" s="1" t="n">
        <v>45849</v>
      </c>
      <c r="D1787" t="inlineStr">
        <is>
          <t>VÄRMLANDS LÄN</t>
        </is>
      </c>
      <c r="E1787" t="inlineStr">
        <is>
          <t>TORSBY</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44127-2023</t>
        </is>
      </c>
      <c r="B1788" s="1" t="n">
        <v>45188</v>
      </c>
      <c r="C1788" s="1" t="n">
        <v>45849</v>
      </c>
      <c r="D1788" t="inlineStr">
        <is>
          <t>VÄRMLANDS LÄN</t>
        </is>
      </c>
      <c r="E1788" t="inlineStr">
        <is>
          <t>TORSBY</t>
        </is>
      </c>
      <c r="F1788" t="inlineStr">
        <is>
          <t>Bergvik skog väst AB</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44262-2023</t>
        </is>
      </c>
      <c r="B1789" s="1" t="n">
        <v>45188</v>
      </c>
      <c r="C1789" s="1" t="n">
        <v>45849</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44113-2023</t>
        </is>
      </c>
      <c r="B1790" s="1" t="n">
        <v>45188</v>
      </c>
      <c r="C1790" s="1" t="n">
        <v>45849</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44424-2023</t>
        </is>
      </c>
      <c r="B1791" s="1" t="n">
        <v>45189</v>
      </c>
      <c r="C1791" s="1" t="n">
        <v>45849</v>
      </c>
      <c r="D1791" t="inlineStr">
        <is>
          <t>VÄRMLANDS LÄN</t>
        </is>
      </c>
      <c r="E1791" t="inlineStr">
        <is>
          <t>TORSBY</t>
        </is>
      </c>
      <c r="F1791" t="inlineStr">
        <is>
          <t>Kyrkan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44497-2023</t>
        </is>
      </c>
      <c r="B1792" s="1" t="n">
        <v>45189</v>
      </c>
      <c r="C1792" s="1" t="n">
        <v>45849</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44641-2023</t>
        </is>
      </c>
      <c r="B1793" s="1" t="n">
        <v>45189</v>
      </c>
      <c r="C1793" s="1" t="n">
        <v>45849</v>
      </c>
      <c r="D1793" t="inlineStr">
        <is>
          <t>VÄRMLANDS LÄN</t>
        </is>
      </c>
      <c r="E1793" t="inlineStr">
        <is>
          <t>TORSBY</t>
        </is>
      </c>
      <c r="F1793" t="inlineStr">
        <is>
          <t>Bergvik skog väst AB</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44645-2023</t>
        </is>
      </c>
      <c r="B1794" s="1" t="n">
        <v>45189</v>
      </c>
      <c r="C1794" s="1" t="n">
        <v>45849</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44670-2023</t>
        </is>
      </c>
      <c r="B1795" s="1" t="n">
        <v>45189</v>
      </c>
      <c r="C1795" s="1" t="n">
        <v>45849</v>
      </c>
      <c r="D1795" t="inlineStr">
        <is>
          <t>VÄRMLANDS LÄN</t>
        </is>
      </c>
      <c r="E1795" t="inlineStr">
        <is>
          <t>TORSBY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44710-2023</t>
        </is>
      </c>
      <c r="B1796" s="1" t="n">
        <v>45190</v>
      </c>
      <c r="C1796" s="1" t="n">
        <v>45849</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44730-2023</t>
        </is>
      </c>
      <c r="B1797" s="1" t="n">
        <v>45190</v>
      </c>
      <c r="C1797" s="1" t="n">
        <v>45849</v>
      </c>
      <c r="D1797" t="inlineStr">
        <is>
          <t>VÄRMLANDS LÄN</t>
        </is>
      </c>
      <c r="E1797" t="inlineStr">
        <is>
          <t>TORSBY</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45224-2023</t>
        </is>
      </c>
      <c r="B1798" s="1" t="n">
        <v>45191</v>
      </c>
      <c r="C1798" s="1" t="n">
        <v>45849</v>
      </c>
      <c r="D1798" t="inlineStr">
        <is>
          <t>VÄRMLANDS LÄN</t>
        </is>
      </c>
      <c r="E1798" t="inlineStr">
        <is>
          <t>TORSBY</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45041-2023</t>
        </is>
      </c>
      <c r="B1799" s="1" t="n">
        <v>45191</v>
      </c>
      <c r="C1799" s="1" t="n">
        <v>45849</v>
      </c>
      <c r="D1799" t="inlineStr">
        <is>
          <t>VÄRMLANDS LÄN</t>
        </is>
      </c>
      <c r="E1799" t="inlineStr">
        <is>
          <t>TORSBY</t>
        </is>
      </c>
      <c r="F1799" t="inlineStr">
        <is>
          <t>Kyrkan</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45152-2023</t>
        </is>
      </c>
      <c r="B1800" s="1" t="n">
        <v>45191</v>
      </c>
      <c r="C1800" s="1" t="n">
        <v>45849</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45169-2023</t>
        </is>
      </c>
      <c r="B1801" s="1" t="n">
        <v>45191</v>
      </c>
      <c r="C1801" s="1" t="n">
        <v>45849</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45231-2023</t>
        </is>
      </c>
      <c r="B1802" s="1" t="n">
        <v>45191</v>
      </c>
      <c r="C1802" s="1" t="n">
        <v>45849</v>
      </c>
      <c r="D1802" t="inlineStr">
        <is>
          <t>VÄRMLANDS LÄN</t>
        </is>
      </c>
      <c r="E1802" t="inlineStr">
        <is>
          <t>TORSBY</t>
        </is>
      </c>
      <c r="F1802" t="inlineStr">
        <is>
          <t>Bergvik skog väst AB</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45228-2023</t>
        </is>
      </c>
      <c r="B1803" s="1" t="n">
        <v>45191</v>
      </c>
      <c r="C1803" s="1" t="n">
        <v>45849</v>
      </c>
      <c r="D1803" t="inlineStr">
        <is>
          <t>VÄRMLANDS LÄN</t>
        </is>
      </c>
      <c r="E1803" t="inlineStr">
        <is>
          <t>TORSBY</t>
        </is>
      </c>
      <c r="F1803" t="inlineStr">
        <is>
          <t>Bergvik skog väst AB</t>
        </is>
      </c>
      <c r="G1803" t="n">
        <v>26.8</v>
      </c>
      <c r="H1803" t="n">
        <v>0</v>
      </c>
      <c r="I1803" t="n">
        <v>0</v>
      </c>
      <c r="J1803" t="n">
        <v>0</v>
      </c>
      <c r="K1803" t="n">
        <v>0</v>
      </c>
      <c r="L1803" t="n">
        <v>0</v>
      </c>
      <c r="M1803" t="n">
        <v>0</v>
      </c>
      <c r="N1803" t="n">
        <v>0</v>
      </c>
      <c r="O1803" t="n">
        <v>0</v>
      </c>
      <c r="P1803" t="n">
        <v>0</v>
      </c>
      <c r="Q1803" t="n">
        <v>0</v>
      </c>
      <c r="R1803" s="2" t="inlineStr"/>
    </row>
    <row r="1804" ht="15" customHeight="1">
      <c r="A1804" t="inlineStr">
        <is>
          <t>A 45587-2023</t>
        </is>
      </c>
      <c r="B1804" s="1" t="n">
        <v>45194</v>
      </c>
      <c r="C1804" s="1" t="n">
        <v>45849</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45399-2023</t>
        </is>
      </c>
      <c r="B1805" s="1" t="n">
        <v>45194</v>
      </c>
      <c r="C1805" s="1" t="n">
        <v>45849</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45563-2023</t>
        </is>
      </c>
      <c r="B1806" s="1" t="n">
        <v>45194</v>
      </c>
      <c r="C1806" s="1" t="n">
        <v>45849</v>
      </c>
      <c r="D1806" t="inlineStr">
        <is>
          <t>VÄRMLANDS LÄN</t>
        </is>
      </c>
      <c r="E1806" t="inlineStr">
        <is>
          <t>TORSBY</t>
        </is>
      </c>
      <c r="F1806" t="inlineStr">
        <is>
          <t>Bergvik skog väst AB</t>
        </is>
      </c>
      <c r="G1806" t="n">
        <v>22.6</v>
      </c>
      <c r="H1806" t="n">
        <v>0</v>
      </c>
      <c r="I1806" t="n">
        <v>0</v>
      </c>
      <c r="J1806" t="n">
        <v>0</v>
      </c>
      <c r="K1806" t="n">
        <v>0</v>
      </c>
      <c r="L1806" t="n">
        <v>0</v>
      </c>
      <c r="M1806" t="n">
        <v>0</v>
      </c>
      <c r="N1806" t="n">
        <v>0</v>
      </c>
      <c r="O1806" t="n">
        <v>0</v>
      </c>
      <c r="P1806" t="n">
        <v>0</v>
      </c>
      <c r="Q1806" t="n">
        <v>0</v>
      </c>
      <c r="R1806" s="2" t="inlineStr"/>
    </row>
    <row r="1807" ht="15" customHeight="1">
      <c r="A1807" t="inlineStr">
        <is>
          <t>A 45765-2023</t>
        </is>
      </c>
      <c r="B1807" s="1" t="n">
        <v>45195</v>
      </c>
      <c r="C1807" s="1" t="n">
        <v>45849</v>
      </c>
      <c r="D1807" t="inlineStr">
        <is>
          <t>VÄRMLANDS LÄN</t>
        </is>
      </c>
      <c r="E1807" t="inlineStr">
        <is>
          <t>TORSBY</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45872-2023</t>
        </is>
      </c>
      <c r="B1808" s="1" t="n">
        <v>45195</v>
      </c>
      <c r="C1808" s="1" t="n">
        <v>45849</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45775-2023</t>
        </is>
      </c>
      <c r="B1809" s="1" t="n">
        <v>45195</v>
      </c>
      <c r="C1809" s="1" t="n">
        <v>45849</v>
      </c>
      <c r="D1809" t="inlineStr">
        <is>
          <t>VÄRMLANDS LÄN</t>
        </is>
      </c>
      <c r="E1809" t="inlineStr">
        <is>
          <t>TORSBY</t>
        </is>
      </c>
      <c r="F1809" t="inlineStr">
        <is>
          <t>Bergvik skog väst AB</t>
        </is>
      </c>
      <c r="G1809" t="n">
        <v>34.2</v>
      </c>
      <c r="H1809" t="n">
        <v>0</v>
      </c>
      <c r="I1809" t="n">
        <v>0</v>
      </c>
      <c r="J1809" t="n">
        <v>0</v>
      </c>
      <c r="K1809" t="n">
        <v>0</v>
      </c>
      <c r="L1809" t="n">
        <v>0</v>
      </c>
      <c r="M1809" t="n">
        <v>0</v>
      </c>
      <c r="N1809" t="n">
        <v>0</v>
      </c>
      <c r="O1809" t="n">
        <v>0</v>
      </c>
      <c r="P1809" t="n">
        <v>0</v>
      </c>
      <c r="Q1809" t="n">
        <v>0</v>
      </c>
      <c r="R1809" s="2" t="inlineStr"/>
    </row>
    <row r="1810" ht="15" customHeight="1">
      <c r="A1810" t="inlineStr">
        <is>
          <t>A 46003-2023</t>
        </is>
      </c>
      <c r="B1810" s="1" t="n">
        <v>45196</v>
      </c>
      <c r="C1810" s="1" t="n">
        <v>45849</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46048-2023</t>
        </is>
      </c>
      <c r="B1811" s="1" t="n">
        <v>45196</v>
      </c>
      <c r="C1811" s="1" t="n">
        <v>45849</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46001-2023</t>
        </is>
      </c>
      <c r="B1812" s="1" t="n">
        <v>45196</v>
      </c>
      <c r="C1812" s="1" t="n">
        <v>45849</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46202-2023</t>
        </is>
      </c>
      <c r="B1813" s="1" t="n">
        <v>45196</v>
      </c>
      <c r="C1813" s="1" t="n">
        <v>45849</v>
      </c>
      <c r="D1813" t="inlineStr">
        <is>
          <t>VÄRMLANDS LÄN</t>
        </is>
      </c>
      <c r="E1813" t="inlineStr">
        <is>
          <t>TORSBY</t>
        </is>
      </c>
      <c r="F1813" t="inlineStr">
        <is>
          <t>Bergvik skog väst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46233-2023</t>
        </is>
      </c>
      <c r="B1814" s="1" t="n">
        <v>45196</v>
      </c>
      <c r="C1814" s="1" t="n">
        <v>45849</v>
      </c>
      <c r="D1814" t="inlineStr">
        <is>
          <t>VÄRMLANDS LÄN</t>
        </is>
      </c>
      <c r="E1814" t="inlineStr">
        <is>
          <t>TORSBY</t>
        </is>
      </c>
      <c r="F1814" t="inlineStr">
        <is>
          <t>Kyrkan</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46127-2023</t>
        </is>
      </c>
      <c r="B1815" s="1" t="n">
        <v>45196</v>
      </c>
      <c r="C1815" s="1" t="n">
        <v>45849</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46199-2023</t>
        </is>
      </c>
      <c r="B1816" s="1" t="n">
        <v>45196</v>
      </c>
      <c r="C1816" s="1" t="n">
        <v>45849</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46220-2023</t>
        </is>
      </c>
      <c r="B1817" s="1" t="n">
        <v>45196</v>
      </c>
      <c r="C1817" s="1" t="n">
        <v>45849</v>
      </c>
      <c r="D1817" t="inlineStr">
        <is>
          <t>VÄRMLANDS LÄN</t>
        </is>
      </c>
      <c r="E1817" t="inlineStr">
        <is>
          <t>TORSBY</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46156-2023</t>
        </is>
      </c>
      <c r="B1818" s="1" t="n">
        <v>45196</v>
      </c>
      <c r="C1818" s="1" t="n">
        <v>45849</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46180-2023</t>
        </is>
      </c>
      <c r="B1819" s="1" t="n">
        <v>45196</v>
      </c>
      <c r="C1819" s="1" t="n">
        <v>45849</v>
      </c>
      <c r="D1819" t="inlineStr">
        <is>
          <t>VÄRMLANDS LÄN</t>
        </is>
      </c>
      <c r="E1819" t="inlineStr">
        <is>
          <t>TORSBY</t>
        </is>
      </c>
      <c r="F1819" t="inlineStr">
        <is>
          <t>Bergvik skog väst AB</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46195-2023</t>
        </is>
      </c>
      <c r="B1820" s="1" t="n">
        <v>45196</v>
      </c>
      <c r="C1820" s="1" t="n">
        <v>45849</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46221-2023</t>
        </is>
      </c>
      <c r="B1821" s="1" t="n">
        <v>45196</v>
      </c>
      <c r="C1821" s="1" t="n">
        <v>45849</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47227-2023</t>
        </is>
      </c>
      <c r="B1822" s="1" t="n">
        <v>45196</v>
      </c>
      <c r="C1822" s="1" t="n">
        <v>45849</v>
      </c>
      <c r="D1822" t="inlineStr">
        <is>
          <t>VÄRMLANDS LÄN</t>
        </is>
      </c>
      <c r="E1822" t="inlineStr">
        <is>
          <t>TORSBY</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46424-2023</t>
        </is>
      </c>
      <c r="B1823" s="1" t="n">
        <v>45197</v>
      </c>
      <c r="C1823" s="1" t="n">
        <v>45849</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46449-2023</t>
        </is>
      </c>
      <c r="B1824" s="1" t="n">
        <v>45197</v>
      </c>
      <c r="C1824" s="1" t="n">
        <v>45849</v>
      </c>
      <c r="D1824" t="inlineStr">
        <is>
          <t>VÄRMLANDS LÄN</t>
        </is>
      </c>
      <c r="E1824" t="inlineStr">
        <is>
          <t>TORSBY</t>
        </is>
      </c>
      <c r="F1824" t="inlineStr">
        <is>
          <t>Bergvik skog väst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46509-2023</t>
        </is>
      </c>
      <c r="B1825" s="1" t="n">
        <v>45197</v>
      </c>
      <c r="C1825" s="1" t="n">
        <v>45849</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46489-2023</t>
        </is>
      </c>
      <c r="B1826" s="1" t="n">
        <v>45197</v>
      </c>
      <c r="C1826" s="1" t="n">
        <v>45849</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47119-2023</t>
        </is>
      </c>
      <c r="B1827" s="1" t="n">
        <v>45201</v>
      </c>
      <c r="C1827" s="1" t="n">
        <v>45849</v>
      </c>
      <c r="D1827" t="inlineStr">
        <is>
          <t>VÄRMLANDS LÄN</t>
        </is>
      </c>
      <c r="E1827" t="inlineStr">
        <is>
          <t>TORSBY</t>
        </is>
      </c>
      <c r="F1827" t="inlineStr">
        <is>
          <t>Bergvik skog väst AB</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46880-2023</t>
        </is>
      </c>
      <c r="B1828" s="1" t="n">
        <v>45201</v>
      </c>
      <c r="C1828" s="1" t="n">
        <v>45849</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46938-2023</t>
        </is>
      </c>
      <c r="B1829" s="1" t="n">
        <v>45201</v>
      </c>
      <c r="C1829" s="1" t="n">
        <v>45849</v>
      </c>
      <c r="D1829" t="inlineStr">
        <is>
          <t>VÄRMLANDS LÄN</t>
        </is>
      </c>
      <c r="E1829" t="inlineStr">
        <is>
          <t>TORSBY</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47077-2023</t>
        </is>
      </c>
      <c r="B1830" s="1" t="n">
        <v>45201</v>
      </c>
      <c r="C1830" s="1" t="n">
        <v>45849</v>
      </c>
      <c r="D1830" t="inlineStr">
        <is>
          <t>VÄRMLANDS LÄN</t>
        </is>
      </c>
      <c r="E1830" t="inlineStr">
        <is>
          <t>TORSBY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47275-2023</t>
        </is>
      </c>
      <c r="B1831" s="1" t="n">
        <v>45202</v>
      </c>
      <c r="C1831" s="1" t="n">
        <v>45849</v>
      </c>
      <c r="D1831" t="inlineStr">
        <is>
          <t>VÄRMLANDS LÄN</t>
        </is>
      </c>
      <c r="E1831" t="inlineStr">
        <is>
          <t>TORSBY</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47241-2023</t>
        </is>
      </c>
      <c r="B1832" s="1" t="n">
        <v>45202</v>
      </c>
      <c r="C1832" s="1" t="n">
        <v>45849</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47355-2023</t>
        </is>
      </c>
      <c r="B1833" s="1" t="n">
        <v>45202</v>
      </c>
      <c r="C1833" s="1" t="n">
        <v>45849</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47401-2023</t>
        </is>
      </c>
      <c r="B1834" s="1" t="n">
        <v>45202</v>
      </c>
      <c r="C1834" s="1" t="n">
        <v>45849</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47737-2023</t>
        </is>
      </c>
      <c r="B1835" s="1" t="n">
        <v>45203</v>
      </c>
      <c r="C1835" s="1" t="n">
        <v>45849</v>
      </c>
      <c r="D1835" t="inlineStr">
        <is>
          <t>VÄRMLANDS LÄN</t>
        </is>
      </c>
      <c r="E1835" t="inlineStr">
        <is>
          <t>TORSBY</t>
        </is>
      </c>
      <c r="F1835" t="inlineStr">
        <is>
          <t>Bergvik skog väst AB</t>
        </is>
      </c>
      <c r="G1835" t="n">
        <v>24.4</v>
      </c>
      <c r="H1835" t="n">
        <v>0</v>
      </c>
      <c r="I1835" t="n">
        <v>0</v>
      </c>
      <c r="J1835" t="n">
        <v>0</v>
      </c>
      <c r="K1835" t="n">
        <v>0</v>
      </c>
      <c r="L1835" t="n">
        <v>0</v>
      </c>
      <c r="M1835" t="n">
        <v>0</v>
      </c>
      <c r="N1835" t="n">
        <v>0</v>
      </c>
      <c r="O1835" t="n">
        <v>0</v>
      </c>
      <c r="P1835" t="n">
        <v>0</v>
      </c>
      <c r="Q1835" t="n">
        <v>0</v>
      </c>
      <c r="R1835" s="2" t="inlineStr"/>
    </row>
    <row r="1836" ht="15" customHeight="1">
      <c r="A1836" t="inlineStr">
        <is>
          <t>A 47615-2023</t>
        </is>
      </c>
      <c r="B1836" s="1" t="n">
        <v>45203</v>
      </c>
      <c r="C1836" s="1" t="n">
        <v>45849</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47730-2023</t>
        </is>
      </c>
      <c r="B1837" s="1" t="n">
        <v>45203</v>
      </c>
      <c r="C1837" s="1" t="n">
        <v>45849</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47734-2023</t>
        </is>
      </c>
      <c r="B1838" s="1" t="n">
        <v>45203</v>
      </c>
      <c r="C1838" s="1" t="n">
        <v>45849</v>
      </c>
      <c r="D1838" t="inlineStr">
        <is>
          <t>VÄRMLANDS LÄN</t>
        </is>
      </c>
      <c r="E1838" t="inlineStr">
        <is>
          <t>TORSBY</t>
        </is>
      </c>
      <c r="F1838" t="inlineStr">
        <is>
          <t>Bergvik skog väst AB</t>
        </is>
      </c>
      <c r="G1838" t="n">
        <v>23.3</v>
      </c>
      <c r="H1838" t="n">
        <v>0</v>
      </c>
      <c r="I1838" t="n">
        <v>0</v>
      </c>
      <c r="J1838" t="n">
        <v>0</v>
      </c>
      <c r="K1838" t="n">
        <v>0</v>
      </c>
      <c r="L1838" t="n">
        <v>0</v>
      </c>
      <c r="M1838" t="n">
        <v>0</v>
      </c>
      <c r="N1838" t="n">
        <v>0</v>
      </c>
      <c r="O1838" t="n">
        <v>0</v>
      </c>
      <c r="P1838" t="n">
        <v>0</v>
      </c>
      <c r="Q1838" t="n">
        <v>0</v>
      </c>
      <c r="R1838" s="2" t="inlineStr"/>
    </row>
    <row r="1839" ht="15" customHeight="1">
      <c r="A1839" t="inlineStr">
        <is>
          <t>A 48724-2023</t>
        </is>
      </c>
      <c r="B1839" s="1" t="n">
        <v>45203</v>
      </c>
      <c r="C1839" s="1" t="n">
        <v>45849</v>
      </c>
      <c r="D1839" t="inlineStr">
        <is>
          <t>VÄRMLANDS LÄN</t>
        </is>
      </c>
      <c r="E1839" t="inlineStr">
        <is>
          <t>TORSBY</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47842-2023</t>
        </is>
      </c>
      <c r="B1840" s="1" t="n">
        <v>45204</v>
      </c>
      <c r="C1840" s="1" t="n">
        <v>45849</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48106-2023</t>
        </is>
      </c>
      <c r="B1841" s="1" t="n">
        <v>45205</v>
      </c>
      <c r="C1841" s="1" t="n">
        <v>45849</v>
      </c>
      <c r="D1841" t="inlineStr">
        <is>
          <t>VÄRMLANDS LÄN</t>
        </is>
      </c>
      <c r="E1841" t="inlineStr">
        <is>
          <t>TORSBY</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48145-2023</t>
        </is>
      </c>
      <c r="B1842" s="1" t="n">
        <v>45205</v>
      </c>
      <c r="C1842" s="1" t="n">
        <v>45849</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48236-2023</t>
        </is>
      </c>
      <c r="B1843" s="1" t="n">
        <v>45205</v>
      </c>
      <c r="C1843" s="1" t="n">
        <v>45849</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48155-2023</t>
        </is>
      </c>
      <c r="B1844" s="1" t="n">
        <v>45205</v>
      </c>
      <c r="C1844" s="1" t="n">
        <v>45849</v>
      </c>
      <c r="D1844" t="inlineStr">
        <is>
          <t>VÄRMLANDS LÄN</t>
        </is>
      </c>
      <c r="E1844" t="inlineStr">
        <is>
          <t>TORSBY</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48170-2023</t>
        </is>
      </c>
      <c r="B1845" s="1" t="n">
        <v>45205</v>
      </c>
      <c r="C1845" s="1" t="n">
        <v>45849</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48324-2023</t>
        </is>
      </c>
      <c r="B1846" s="1" t="n">
        <v>45205</v>
      </c>
      <c r="C1846" s="1" t="n">
        <v>45849</v>
      </c>
      <c r="D1846" t="inlineStr">
        <is>
          <t>VÄRMLANDS LÄN</t>
        </is>
      </c>
      <c r="E1846" t="inlineStr">
        <is>
          <t>TORSBY</t>
        </is>
      </c>
      <c r="F1846" t="inlineStr">
        <is>
          <t>Bergvik skog väst AB</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48381-2023</t>
        </is>
      </c>
      <c r="B1847" s="1" t="n">
        <v>45205</v>
      </c>
      <c r="C1847" s="1" t="n">
        <v>45849</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48384-2023</t>
        </is>
      </c>
      <c r="B1848" s="1" t="n">
        <v>45205</v>
      </c>
      <c r="C1848" s="1" t="n">
        <v>45849</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48383-2023</t>
        </is>
      </c>
      <c r="B1849" s="1" t="n">
        <v>45205</v>
      </c>
      <c r="C1849" s="1" t="n">
        <v>45849</v>
      </c>
      <c r="D1849" t="inlineStr">
        <is>
          <t>VÄRMLANDS LÄN</t>
        </is>
      </c>
      <c r="E1849" t="inlineStr">
        <is>
          <t>TORSBY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48456-2023</t>
        </is>
      </c>
      <c r="B1850" s="1" t="n">
        <v>45206</v>
      </c>
      <c r="C1850" s="1" t="n">
        <v>45849</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48625-2023</t>
        </is>
      </c>
      <c r="B1851" s="1" t="n">
        <v>45208</v>
      </c>
      <c r="C1851" s="1" t="n">
        <v>45849</v>
      </c>
      <c r="D1851" t="inlineStr">
        <is>
          <t>VÄRMLANDS LÄN</t>
        </is>
      </c>
      <c r="E1851" t="inlineStr">
        <is>
          <t>TORSBY</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48727-2023</t>
        </is>
      </c>
      <c r="B1852" s="1" t="n">
        <v>45208</v>
      </c>
      <c r="C1852" s="1" t="n">
        <v>45849</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48753-2023</t>
        </is>
      </c>
      <c r="B1853" s="1" t="n">
        <v>45208</v>
      </c>
      <c r="C1853" s="1" t="n">
        <v>45849</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48762-2023</t>
        </is>
      </c>
      <c r="B1854" s="1" t="n">
        <v>45208</v>
      </c>
      <c r="C1854" s="1" t="n">
        <v>45849</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49717-2023</t>
        </is>
      </c>
      <c r="B1855" s="1" t="n">
        <v>45208</v>
      </c>
      <c r="C1855" s="1" t="n">
        <v>45849</v>
      </c>
      <c r="D1855" t="inlineStr">
        <is>
          <t>VÄRMLANDS LÄN</t>
        </is>
      </c>
      <c r="E1855" t="inlineStr">
        <is>
          <t>TORSBY</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50166-2023</t>
        </is>
      </c>
      <c r="B1856" s="1" t="n">
        <v>45208</v>
      </c>
      <c r="C1856" s="1" t="n">
        <v>45849</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50149-2023</t>
        </is>
      </c>
      <c r="B1857" s="1" t="n">
        <v>45208</v>
      </c>
      <c r="C1857" s="1" t="n">
        <v>45849</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48805-2023</t>
        </is>
      </c>
      <c r="B1858" s="1" t="n">
        <v>45209</v>
      </c>
      <c r="C1858" s="1" t="n">
        <v>45849</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48842-2023</t>
        </is>
      </c>
      <c r="B1859" s="1" t="n">
        <v>45209</v>
      </c>
      <c r="C1859" s="1" t="n">
        <v>45849</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49170-2023</t>
        </is>
      </c>
      <c r="B1860" s="1" t="n">
        <v>45210</v>
      </c>
      <c r="C1860" s="1" t="n">
        <v>45849</v>
      </c>
      <c r="D1860" t="inlineStr">
        <is>
          <t>VÄRMLANDS LÄN</t>
        </is>
      </c>
      <c r="E1860" t="inlineStr">
        <is>
          <t>TORSBY</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49179-2023</t>
        </is>
      </c>
      <c r="B1861" s="1" t="n">
        <v>45210</v>
      </c>
      <c r="C1861" s="1" t="n">
        <v>45849</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49296-2023</t>
        </is>
      </c>
      <c r="B1862" s="1" t="n">
        <v>45210</v>
      </c>
      <c r="C1862" s="1" t="n">
        <v>45849</v>
      </c>
      <c r="D1862" t="inlineStr">
        <is>
          <t>VÄRMLANDS LÄN</t>
        </is>
      </c>
      <c r="E1862" t="inlineStr">
        <is>
          <t>TORSBY</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51079-2023</t>
        </is>
      </c>
      <c r="B1863" s="1" t="n">
        <v>45211</v>
      </c>
      <c r="C1863" s="1" t="n">
        <v>45849</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49755-2023</t>
        </is>
      </c>
      <c r="B1864" s="1" t="n">
        <v>45212</v>
      </c>
      <c r="C1864" s="1" t="n">
        <v>45849</v>
      </c>
      <c r="D1864" t="inlineStr">
        <is>
          <t>VÄRMLANDS LÄN</t>
        </is>
      </c>
      <c r="E1864" t="inlineStr">
        <is>
          <t>TORSBY</t>
        </is>
      </c>
      <c r="F1864" t="inlineStr">
        <is>
          <t>Bergvik skog väst AB</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49777-2023</t>
        </is>
      </c>
      <c r="B1865" s="1" t="n">
        <v>45212</v>
      </c>
      <c r="C1865" s="1" t="n">
        <v>45849</v>
      </c>
      <c r="D1865" t="inlineStr">
        <is>
          <t>VÄRMLANDS LÄN</t>
        </is>
      </c>
      <c r="E1865" t="inlineStr">
        <is>
          <t>TORSBY</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49815-2023</t>
        </is>
      </c>
      <c r="B1866" s="1" t="n">
        <v>45212</v>
      </c>
      <c r="C1866" s="1" t="n">
        <v>45849</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49745-2023</t>
        </is>
      </c>
      <c r="B1867" s="1" t="n">
        <v>45212</v>
      </c>
      <c r="C1867" s="1" t="n">
        <v>45849</v>
      </c>
      <c r="D1867" t="inlineStr">
        <is>
          <t>VÄRMLANDS LÄN</t>
        </is>
      </c>
      <c r="E1867" t="inlineStr">
        <is>
          <t>TORSBY</t>
        </is>
      </c>
      <c r="F1867" t="inlineStr">
        <is>
          <t>Bergvik skog väst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51144-2023</t>
        </is>
      </c>
      <c r="B1868" s="1" t="n">
        <v>45212</v>
      </c>
      <c r="C1868" s="1" t="n">
        <v>45849</v>
      </c>
      <c r="D1868" t="inlineStr">
        <is>
          <t>VÄRMLANDS LÄN</t>
        </is>
      </c>
      <c r="E1868" t="inlineStr">
        <is>
          <t>TORSBY</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49982-2023</t>
        </is>
      </c>
      <c r="B1869" s="1" t="n">
        <v>45215</v>
      </c>
      <c r="C1869" s="1" t="n">
        <v>45849</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50147-2023</t>
        </is>
      </c>
      <c r="B1870" s="1" t="n">
        <v>45215</v>
      </c>
      <c r="C1870" s="1" t="n">
        <v>45849</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50138-2023</t>
        </is>
      </c>
      <c r="B1871" s="1" t="n">
        <v>45215</v>
      </c>
      <c r="C1871" s="1" t="n">
        <v>45849</v>
      </c>
      <c r="D1871" t="inlineStr">
        <is>
          <t>VÄRMLANDS LÄN</t>
        </is>
      </c>
      <c r="E1871" t="inlineStr">
        <is>
          <t>TORSBY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50144-2023</t>
        </is>
      </c>
      <c r="B1872" s="1" t="n">
        <v>45215</v>
      </c>
      <c r="C1872" s="1" t="n">
        <v>45849</v>
      </c>
      <c r="D1872" t="inlineStr">
        <is>
          <t>VÄRMLANDS LÄN</t>
        </is>
      </c>
      <c r="E1872" t="inlineStr">
        <is>
          <t>TORSBY</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50171-2023</t>
        </is>
      </c>
      <c r="B1873" s="1" t="n">
        <v>45215</v>
      </c>
      <c r="C1873" s="1" t="n">
        <v>45849</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50445-2023</t>
        </is>
      </c>
      <c r="B1874" s="1" t="n">
        <v>45216</v>
      </c>
      <c r="C1874" s="1" t="n">
        <v>45849</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50429-2023</t>
        </is>
      </c>
      <c r="B1875" s="1" t="n">
        <v>45216</v>
      </c>
      <c r="C1875" s="1" t="n">
        <v>45849</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50439-2023</t>
        </is>
      </c>
      <c r="B1876" s="1" t="n">
        <v>45216</v>
      </c>
      <c r="C1876" s="1" t="n">
        <v>45849</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50660-2023</t>
        </is>
      </c>
      <c r="B1877" s="1" t="n">
        <v>45217</v>
      </c>
      <c r="C1877" s="1" t="n">
        <v>45849</v>
      </c>
      <c r="D1877" t="inlineStr">
        <is>
          <t>VÄRMLANDS LÄN</t>
        </is>
      </c>
      <c r="E1877" t="inlineStr">
        <is>
          <t>TORSBY</t>
        </is>
      </c>
      <c r="F1877" t="inlineStr">
        <is>
          <t>Bergvik skog väst AB</t>
        </is>
      </c>
      <c r="G1877" t="n">
        <v>26.5</v>
      </c>
      <c r="H1877" t="n">
        <v>0</v>
      </c>
      <c r="I1877" t="n">
        <v>0</v>
      </c>
      <c r="J1877" t="n">
        <v>0</v>
      </c>
      <c r="K1877" t="n">
        <v>0</v>
      </c>
      <c r="L1877" t="n">
        <v>0</v>
      </c>
      <c r="M1877" t="n">
        <v>0</v>
      </c>
      <c r="N1877" t="n">
        <v>0</v>
      </c>
      <c r="O1877" t="n">
        <v>0</v>
      </c>
      <c r="P1877" t="n">
        <v>0</v>
      </c>
      <c r="Q1877" t="n">
        <v>0</v>
      </c>
      <c r="R1877" s="2" t="inlineStr"/>
    </row>
    <row r="1878" ht="15" customHeight="1">
      <c r="A1878" t="inlineStr">
        <is>
          <t>A 50523-2023</t>
        </is>
      </c>
      <c r="B1878" s="1" t="n">
        <v>45217</v>
      </c>
      <c r="C1878" s="1" t="n">
        <v>45849</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50608-2023</t>
        </is>
      </c>
      <c r="B1879" s="1" t="n">
        <v>45217</v>
      </c>
      <c r="C1879" s="1" t="n">
        <v>45849</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50680-2023</t>
        </is>
      </c>
      <c r="B1880" s="1" t="n">
        <v>45217</v>
      </c>
      <c r="C1880" s="1" t="n">
        <v>45849</v>
      </c>
      <c r="D1880" t="inlineStr">
        <is>
          <t>VÄRMLANDS LÄN</t>
        </is>
      </c>
      <c r="E1880" t="inlineStr">
        <is>
          <t>TORSBY</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50852-2023</t>
        </is>
      </c>
      <c r="B1881" s="1" t="n">
        <v>45218</v>
      </c>
      <c r="C1881" s="1" t="n">
        <v>45849</v>
      </c>
      <c r="D1881" t="inlineStr">
        <is>
          <t>VÄRMLANDS LÄN</t>
        </is>
      </c>
      <c r="E1881" t="inlineStr">
        <is>
          <t>TORSBY</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50973-2023</t>
        </is>
      </c>
      <c r="B1882" s="1" t="n">
        <v>45218</v>
      </c>
      <c r="C1882" s="1" t="n">
        <v>45849</v>
      </c>
      <c r="D1882" t="inlineStr">
        <is>
          <t>VÄRMLANDS LÄN</t>
        </is>
      </c>
      <c r="E1882" t="inlineStr">
        <is>
          <t>TORSBY</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51199-2023</t>
        </is>
      </c>
      <c r="B1883" s="1" t="n">
        <v>45219</v>
      </c>
      <c r="C1883" s="1" t="n">
        <v>45849</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51215-2023</t>
        </is>
      </c>
      <c r="B1884" s="1" t="n">
        <v>45219</v>
      </c>
      <c r="C1884" s="1" t="n">
        <v>45849</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51343-2023</t>
        </is>
      </c>
      <c r="B1885" s="1" t="n">
        <v>45219</v>
      </c>
      <c r="C1885" s="1" t="n">
        <v>45849</v>
      </c>
      <c r="D1885" t="inlineStr">
        <is>
          <t>VÄRMLANDS LÄN</t>
        </is>
      </c>
      <c r="E1885" t="inlineStr">
        <is>
          <t>TORSBY</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51386-2023</t>
        </is>
      </c>
      <c r="B1886" s="1" t="n">
        <v>45219</v>
      </c>
      <c r="C1886" s="1" t="n">
        <v>45849</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51309-2023</t>
        </is>
      </c>
      <c r="B1887" s="1" t="n">
        <v>45219</v>
      </c>
      <c r="C1887" s="1" t="n">
        <v>45849</v>
      </c>
      <c r="D1887" t="inlineStr">
        <is>
          <t>VÄRMLANDS LÄN</t>
        </is>
      </c>
      <c r="E1887" t="inlineStr">
        <is>
          <t>TORSBY</t>
        </is>
      </c>
      <c r="F1887" t="inlineStr">
        <is>
          <t>Bergvik skog väst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51751-2023</t>
        </is>
      </c>
      <c r="B1888" s="1" t="n">
        <v>45222</v>
      </c>
      <c r="C1888" s="1" t="n">
        <v>45849</v>
      </c>
      <c r="D1888" t="inlineStr">
        <is>
          <t>VÄRMLANDS LÄN</t>
        </is>
      </c>
      <c r="E1888" t="inlineStr">
        <is>
          <t>TORSBY</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51788-2023</t>
        </is>
      </c>
      <c r="B1889" s="1" t="n">
        <v>45222</v>
      </c>
      <c r="C1889" s="1" t="n">
        <v>45849</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51753-2023</t>
        </is>
      </c>
      <c r="B1890" s="1" t="n">
        <v>45222</v>
      </c>
      <c r="C1890" s="1" t="n">
        <v>45849</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52078-2023</t>
        </is>
      </c>
      <c r="B1891" s="1" t="n">
        <v>45223</v>
      </c>
      <c r="C1891" s="1" t="n">
        <v>45849</v>
      </c>
      <c r="D1891" t="inlineStr">
        <is>
          <t>VÄRMLANDS LÄN</t>
        </is>
      </c>
      <c r="E1891" t="inlineStr">
        <is>
          <t>TORSBY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52050-2023</t>
        </is>
      </c>
      <c r="B1892" s="1" t="n">
        <v>45223</v>
      </c>
      <c r="C1892" s="1" t="n">
        <v>45849</v>
      </c>
      <c r="D1892" t="inlineStr">
        <is>
          <t>VÄRMLANDS LÄN</t>
        </is>
      </c>
      <c r="E1892" t="inlineStr">
        <is>
          <t>TORSBY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52067-2023</t>
        </is>
      </c>
      <c r="B1893" s="1" t="n">
        <v>45223</v>
      </c>
      <c r="C1893" s="1" t="n">
        <v>45849</v>
      </c>
      <c r="D1893" t="inlineStr">
        <is>
          <t>VÄRMLANDS LÄN</t>
        </is>
      </c>
      <c r="E1893" t="inlineStr">
        <is>
          <t>TORSBY</t>
        </is>
      </c>
      <c r="F1893" t="inlineStr">
        <is>
          <t>Bergvik skog väst AB</t>
        </is>
      </c>
      <c r="G1893" t="n">
        <v>40.4</v>
      </c>
      <c r="H1893" t="n">
        <v>0</v>
      </c>
      <c r="I1893" t="n">
        <v>0</v>
      </c>
      <c r="J1893" t="n">
        <v>0</v>
      </c>
      <c r="K1893" t="n">
        <v>0</v>
      </c>
      <c r="L1893" t="n">
        <v>0</v>
      </c>
      <c r="M1893" t="n">
        <v>0</v>
      </c>
      <c r="N1893" t="n">
        <v>0</v>
      </c>
      <c r="O1893" t="n">
        <v>0</v>
      </c>
      <c r="P1893" t="n">
        <v>0</v>
      </c>
      <c r="Q1893" t="n">
        <v>0</v>
      </c>
      <c r="R1893" s="2" t="inlineStr"/>
    </row>
    <row r="1894" ht="15" customHeight="1">
      <c r="A1894" t="inlineStr">
        <is>
          <t>A 53499-2023</t>
        </is>
      </c>
      <c r="B1894" s="1" t="n">
        <v>45223</v>
      </c>
      <c r="C1894" s="1" t="n">
        <v>45849</v>
      </c>
      <c r="D1894" t="inlineStr">
        <is>
          <t>VÄRMLANDS LÄN</t>
        </is>
      </c>
      <c r="E1894" t="inlineStr">
        <is>
          <t>TORSBY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52275-2023</t>
        </is>
      </c>
      <c r="B1895" s="1" t="n">
        <v>45224</v>
      </c>
      <c r="C1895" s="1" t="n">
        <v>45849</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52385-2023</t>
        </is>
      </c>
      <c r="B1896" s="1" t="n">
        <v>45224</v>
      </c>
      <c r="C1896" s="1" t="n">
        <v>45849</v>
      </c>
      <c r="D1896" t="inlineStr">
        <is>
          <t>VÄRMLANDS LÄN</t>
        </is>
      </c>
      <c r="E1896" t="inlineStr">
        <is>
          <t>TORSBY</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53652-2023</t>
        </is>
      </c>
      <c r="B1897" s="1" t="n">
        <v>45224</v>
      </c>
      <c r="C1897" s="1" t="n">
        <v>45849</v>
      </c>
      <c r="D1897" t="inlineStr">
        <is>
          <t>VÄRMLANDS LÄN</t>
        </is>
      </c>
      <c r="E1897" t="inlineStr">
        <is>
          <t>TORSBY</t>
        </is>
      </c>
      <c r="F1897" t="inlineStr">
        <is>
          <t>Övriga statliga verk och myndigheter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52541-2023</t>
        </is>
      </c>
      <c r="B1898" s="1" t="n">
        <v>45225</v>
      </c>
      <c r="C1898" s="1" t="n">
        <v>45849</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52580-2023</t>
        </is>
      </c>
      <c r="B1899" s="1" t="n">
        <v>45225</v>
      </c>
      <c r="C1899" s="1" t="n">
        <v>45849</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52555-2023</t>
        </is>
      </c>
      <c r="B1900" s="1" t="n">
        <v>45225</v>
      </c>
      <c r="C1900" s="1" t="n">
        <v>45849</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52532-2023</t>
        </is>
      </c>
      <c r="B1901" s="1" t="n">
        <v>45225</v>
      </c>
      <c r="C1901" s="1" t="n">
        <v>45849</v>
      </c>
      <c r="D1901" t="inlineStr">
        <is>
          <t>VÄRMLANDS LÄN</t>
        </is>
      </c>
      <c r="E1901" t="inlineStr">
        <is>
          <t>TORSBY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52591-2023</t>
        </is>
      </c>
      <c r="B1902" s="1" t="n">
        <v>45225</v>
      </c>
      <c r="C1902" s="1" t="n">
        <v>45849</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52984-2023</t>
        </is>
      </c>
      <c r="B1903" s="1" t="n">
        <v>45226</v>
      </c>
      <c r="C1903" s="1" t="n">
        <v>45849</v>
      </c>
      <c r="D1903" t="inlineStr">
        <is>
          <t>VÄRMLANDS LÄN</t>
        </is>
      </c>
      <c r="E1903" t="inlineStr">
        <is>
          <t>TORSBY</t>
        </is>
      </c>
      <c r="F1903" t="inlineStr">
        <is>
          <t>Bergvik skog väst AB</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52982-2023</t>
        </is>
      </c>
      <c r="B1904" s="1" t="n">
        <v>45226</v>
      </c>
      <c r="C1904" s="1" t="n">
        <v>45849</v>
      </c>
      <c r="D1904" t="inlineStr">
        <is>
          <t>VÄRMLANDS LÄN</t>
        </is>
      </c>
      <c r="E1904" t="inlineStr">
        <is>
          <t>TORSBY</t>
        </is>
      </c>
      <c r="G1904" t="n">
        <v>35.5</v>
      </c>
      <c r="H1904" t="n">
        <v>0</v>
      </c>
      <c r="I1904" t="n">
        <v>0</v>
      </c>
      <c r="J1904" t="n">
        <v>0</v>
      </c>
      <c r="K1904" t="n">
        <v>0</v>
      </c>
      <c r="L1904" t="n">
        <v>0</v>
      </c>
      <c r="M1904" t="n">
        <v>0</v>
      </c>
      <c r="N1904" t="n">
        <v>0</v>
      </c>
      <c r="O1904" t="n">
        <v>0</v>
      </c>
      <c r="P1904" t="n">
        <v>0</v>
      </c>
      <c r="Q1904" t="n">
        <v>0</v>
      </c>
      <c r="R1904" s="2" t="inlineStr"/>
    </row>
    <row r="1905" ht="15" customHeight="1">
      <c r="A1905" t="inlineStr">
        <is>
          <t>A 52810-2023</t>
        </is>
      </c>
      <c r="B1905" s="1" t="n">
        <v>45226</v>
      </c>
      <c r="C1905" s="1" t="n">
        <v>45849</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53103-2023</t>
        </is>
      </c>
      <c r="B1906" s="1" t="n">
        <v>45228</v>
      </c>
      <c r="C1906" s="1" t="n">
        <v>45849</v>
      </c>
      <c r="D1906" t="inlineStr">
        <is>
          <t>VÄRMLANDS LÄN</t>
        </is>
      </c>
      <c r="E1906" t="inlineStr">
        <is>
          <t>TORSBY</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53116-2023</t>
        </is>
      </c>
      <c r="B1907" s="1" t="n">
        <v>45228</v>
      </c>
      <c r="C1907" s="1" t="n">
        <v>45849</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53346-2023</t>
        </is>
      </c>
      <c r="B1908" s="1" t="n">
        <v>45229</v>
      </c>
      <c r="C1908" s="1" t="n">
        <v>45849</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54879-2023</t>
        </is>
      </c>
      <c r="B1909" s="1" t="n">
        <v>45229</v>
      </c>
      <c r="C1909" s="1" t="n">
        <v>45849</v>
      </c>
      <c r="D1909" t="inlineStr">
        <is>
          <t>VÄRMLANDS LÄN</t>
        </is>
      </c>
      <c r="E1909" t="inlineStr">
        <is>
          <t>TORSBY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54822-2023</t>
        </is>
      </c>
      <c r="B1910" s="1" t="n">
        <v>45229</v>
      </c>
      <c r="C1910" s="1" t="n">
        <v>45849</v>
      </c>
      <c r="D1910" t="inlineStr">
        <is>
          <t>VÄRMLANDS LÄN</t>
        </is>
      </c>
      <c r="E1910" t="inlineStr">
        <is>
          <t>TORSBY</t>
        </is>
      </c>
      <c r="F1910" t="inlineStr">
        <is>
          <t>Övriga Aktiebolag</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53557-2023</t>
        </is>
      </c>
      <c r="B1911" s="1" t="n">
        <v>45230</v>
      </c>
      <c r="C1911" s="1" t="n">
        <v>45849</v>
      </c>
      <c r="D1911" t="inlineStr">
        <is>
          <t>VÄRMLANDS LÄN</t>
        </is>
      </c>
      <c r="E1911" t="inlineStr">
        <is>
          <t>TORSBY</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53495-2023</t>
        </is>
      </c>
      <c r="B1912" s="1" t="n">
        <v>45230</v>
      </c>
      <c r="C1912" s="1" t="n">
        <v>45849</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53794-2023</t>
        </is>
      </c>
      <c r="B1913" s="1" t="n">
        <v>45231</v>
      </c>
      <c r="C1913" s="1" t="n">
        <v>45849</v>
      </c>
      <c r="D1913" t="inlineStr">
        <is>
          <t>VÄRMLANDS LÄN</t>
        </is>
      </c>
      <c r="E1913" t="inlineStr">
        <is>
          <t>TORSBY</t>
        </is>
      </c>
      <c r="G1913" t="n">
        <v>17.3</v>
      </c>
      <c r="H1913" t="n">
        <v>0</v>
      </c>
      <c r="I1913" t="n">
        <v>0</v>
      </c>
      <c r="J1913" t="n">
        <v>0</v>
      </c>
      <c r="K1913" t="n">
        <v>0</v>
      </c>
      <c r="L1913" t="n">
        <v>0</v>
      </c>
      <c r="M1913" t="n">
        <v>0</v>
      </c>
      <c r="N1913" t="n">
        <v>0</v>
      </c>
      <c r="O1913" t="n">
        <v>0</v>
      </c>
      <c r="P1913" t="n">
        <v>0</v>
      </c>
      <c r="Q1913" t="n">
        <v>0</v>
      </c>
      <c r="R1913" s="2" t="inlineStr"/>
    </row>
    <row r="1914" ht="15" customHeight="1">
      <c r="A1914" t="inlineStr">
        <is>
          <t>A 53921-2023</t>
        </is>
      </c>
      <c r="B1914" s="1" t="n">
        <v>45231</v>
      </c>
      <c r="C1914" s="1" t="n">
        <v>45849</v>
      </c>
      <c r="D1914" t="inlineStr">
        <is>
          <t>VÄRMLANDS LÄN</t>
        </is>
      </c>
      <c r="E1914" t="inlineStr">
        <is>
          <t>TORSBY</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53945-2023</t>
        </is>
      </c>
      <c r="B1915" s="1" t="n">
        <v>45231</v>
      </c>
      <c r="C1915" s="1" t="n">
        <v>45849</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53922-2023</t>
        </is>
      </c>
      <c r="B1916" s="1" t="n">
        <v>45231</v>
      </c>
      <c r="C1916" s="1" t="n">
        <v>45849</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54162-2023</t>
        </is>
      </c>
      <c r="B1917" s="1" t="n">
        <v>45232</v>
      </c>
      <c r="C1917" s="1" t="n">
        <v>45849</v>
      </c>
      <c r="D1917" t="inlineStr">
        <is>
          <t>VÄRMLANDS LÄN</t>
        </is>
      </c>
      <c r="E1917" t="inlineStr">
        <is>
          <t>TORSBY</t>
        </is>
      </c>
      <c r="F1917" t="inlineStr">
        <is>
          <t>Bergvik skog väst AB</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54262-2023</t>
        </is>
      </c>
      <c r="B1918" s="1" t="n">
        <v>45232</v>
      </c>
      <c r="C1918" s="1" t="n">
        <v>45849</v>
      </c>
      <c r="D1918" t="inlineStr">
        <is>
          <t>VÄRMLANDS LÄN</t>
        </is>
      </c>
      <c r="E1918" t="inlineStr">
        <is>
          <t>TORSBY</t>
        </is>
      </c>
      <c r="F1918" t="inlineStr">
        <is>
          <t>Bergvik skog väst AB</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54223-2023</t>
        </is>
      </c>
      <c r="B1919" s="1" t="n">
        <v>45232</v>
      </c>
      <c r="C1919" s="1" t="n">
        <v>45849</v>
      </c>
      <c r="D1919" t="inlineStr">
        <is>
          <t>VÄRMLANDS LÄN</t>
        </is>
      </c>
      <c r="E1919" t="inlineStr">
        <is>
          <t>TORSBY</t>
        </is>
      </c>
      <c r="F1919" t="inlineStr">
        <is>
          <t>Bergvik skog väst AB</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54191-2023</t>
        </is>
      </c>
      <c r="B1920" s="1" t="n">
        <v>45232</v>
      </c>
      <c r="C1920" s="1" t="n">
        <v>45849</v>
      </c>
      <c r="D1920" t="inlineStr">
        <is>
          <t>VÄRMLANDS LÄN</t>
        </is>
      </c>
      <c r="E1920" t="inlineStr">
        <is>
          <t>TORSBY</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54204-2023</t>
        </is>
      </c>
      <c r="B1921" s="1" t="n">
        <v>45232</v>
      </c>
      <c r="C1921" s="1" t="n">
        <v>45849</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54556-2023</t>
        </is>
      </c>
      <c r="B1922" s="1" t="n">
        <v>45233</v>
      </c>
      <c r="C1922" s="1" t="n">
        <v>45849</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54551-2023</t>
        </is>
      </c>
      <c r="B1923" s="1" t="n">
        <v>45233</v>
      </c>
      <c r="C1923" s="1" t="n">
        <v>45849</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54442-2023</t>
        </is>
      </c>
      <c r="B1924" s="1" t="n">
        <v>45233</v>
      </c>
      <c r="C1924" s="1" t="n">
        <v>45849</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54386-2023</t>
        </is>
      </c>
      <c r="B1925" s="1" t="n">
        <v>45233</v>
      </c>
      <c r="C1925" s="1" t="n">
        <v>45849</v>
      </c>
      <c r="D1925" t="inlineStr">
        <is>
          <t>VÄRMLANDS LÄN</t>
        </is>
      </c>
      <c r="E1925" t="inlineStr">
        <is>
          <t>TORSBY</t>
        </is>
      </c>
      <c r="F1925" t="inlineStr">
        <is>
          <t>Bergvik skog väst AB</t>
        </is>
      </c>
      <c r="G1925" t="n">
        <v>12.6</v>
      </c>
      <c r="H1925" t="n">
        <v>0</v>
      </c>
      <c r="I1925" t="n">
        <v>0</v>
      </c>
      <c r="J1925" t="n">
        <v>0</v>
      </c>
      <c r="K1925" t="n">
        <v>0</v>
      </c>
      <c r="L1925" t="n">
        <v>0</v>
      </c>
      <c r="M1925" t="n">
        <v>0</v>
      </c>
      <c r="N1925" t="n">
        <v>0</v>
      </c>
      <c r="O1925" t="n">
        <v>0</v>
      </c>
      <c r="P1925" t="n">
        <v>0</v>
      </c>
      <c r="Q1925" t="n">
        <v>0</v>
      </c>
      <c r="R1925" s="2" t="inlineStr"/>
    </row>
    <row r="1926" ht="15" customHeight="1">
      <c r="A1926" t="inlineStr">
        <is>
          <t>A 54528-2023</t>
        </is>
      </c>
      <c r="B1926" s="1" t="n">
        <v>45233</v>
      </c>
      <c r="C1926" s="1" t="n">
        <v>45849</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54562-2023</t>
        </is>
      </c>
      <c r="B1927" s="1" t="n">
        <v>45233</v>
      </c>
      <c r="C1927" s="1" t="n">
        <v>45849</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54532-2023</t>
        </is>
      </c>
      <c r="B1928" s="1" t="n">
        <v>45233</v>
      </c>
      <c r="C1928" s="1" t="n">
        <v>45849</v>
      </c>
      <c r="D1928" t="inlineStr">
        <is>
          <t>VÄRMLANDS LÄN</t>
        </is>
      </c>
      <c r="E1928" t="inlineStr">
        <is>
          <t>TORSBY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54525-2023</t>
        </is>
      </c>
      <c r="B1929" s="1" t="n">
        <v>45233</v>
      </c>
      <c r="C1929" s="1" t="n">
        <v>45849</v>
      </c>
      <c r="D1929" t="inlineStr">
        <is>
          <t>VÄRMLANDS LÄN</t>
        </is>
      </c>
      <c r="E1929" t="inlineStr">
        <is>
          <t>TORSBY</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54487-2023</t>
        </is>
      </c>
      <c r="B1930" s="1" t="n">
        <v>45233</v>
      </c>
      <c r="C1930" s="1" t="n">
        <v>45849</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54409-2023</t>
        </is>
      </c>
      <c r="B1931" s="1" t="n">
        <v>45233</v>
      </c>
      <c r="C1931" s="1" t="n">
        <v>45849</v>
      </c>
      <c r="D1931" t="inlineStr">
        <is>
          <t>VÄRMLANDS LÄN</t>
        </is>
      </c>
      <c r="E1931" t="inlineStr">
        <is>
          <t>TORSBY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54714-2023</t>
        </is>
      </c>
      <c r="B1932" s="1" t="n">
        <v>45236</v>
      </c>
      <c r="C1932" s="1" t="n">
        <v>45849</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54766-2023</t>
        </is>
      </c>
      <c r="B1933" s="1" t="n">
        <v>45236</v>
      </c>
      <c r="C1933" s="1" t="n">
        <v>45849</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54777-2023</t>
        </is>
      </c>
      <c r="B1934" s="1" t="n">
        <v>45236</v>
      </c>
      <c r="C1934" s="1" t="n">
        <v>45849</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54876-2023</t>
        </is>
      </c>
      <c r="B1935" s="1" t="n">
        <v>45236</v>
      </c>
      <c r="C1935" s="1" t="n">
        <v>45849</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54708-2023</t>
        </is>
      </c>
      <c r="B1936" s="1" t="n">
        <v>45236</v>
      </c>
      <c r="C1936" s="1" t="n">
        <v>45849</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55031-2023</t>
        </is>
      </c>
      <c r="B1937" s="1" t="n">
        <v>45237</v>
      </c>
      <c r="C1937" s="1" t="n">
        <v>45849</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55100-2023</t>
        </is>
      </c>
      <c r="B1938" s="1" t="n">
        <v>45237</v>
      </c>
      <c r="C1938" s="1" t="n">
        <v>45849</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55401-2023</t>
        </is>
      </c>
      <c r="B1939" s="1" t="n">
        <v>45238</v>
      </c>
      <c r="C1939" s="1" t="n">
        <v>45849</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55461-2023</t>
        </is>
      </c>
      <c r="B1940" s="1" t="n">
        <v>45238</v>
      </c>
      <c r="C1940" s="1" t="n">
        <v>45849</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55480-2023</t>
        </is>
      </c>
      <c r="B1941" s="1" t="n">
        <v>45238</v>
      </c>
      <c r="C1941" s="1" t="n">
        <v>45849</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55485-2023</t>
        </is>
      </c>
      <c r="B1942" s="1" t="n">
        <v>45238</v>
      </c>
      <c r="C1942" s="1" t="n">
        <v>45849</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55478-2023</t>
        </is>
      </c>
      <c r="B1943" s="1" t="n">
        <v>45238</v>
      </c>
      <c r="C1943" s="1" t="n">
        <v>45849</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55522-2023</t>
        </is>
      </c>
      <c r="B1944" s="1" t="n">
        <v>45238</v>
      </c>
      <c r="C1944" s="1" t="n">
        <v>45849</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55527-2023</t>
        </is>
      </c>
      <c r="B1945" s="1" t="n">
        <v>45238</v>
      </c>
      <c r="C1945" s="1" t="n">
        <v>45849</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56716-2023</t>
        </is>
      </c>
      <c r="B1946" s="1" t="n">
        <v>45238</v>
      </c>
      <c r="C1946" s="1" t="n">
        <v>45849</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56712-2023</t>
        </is>
      </c>
      <c r="B1947" s="1" t="n">
        <v>45238</v>
      </c>
      <c r="C1947" s="1" t="n">
        <v>45849</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55447-2023</t>
        </is>
      </c>
      <c r="B1948" s="1" t="n">
        <v>45238</v>
      </c>
      <c r="C1948" s="1" t="n">
        <v>45849</v>
      </c>
      <c r="D1948" t="inlineStr">
        <is>
          <t>VÄRMLANDS LÄN</t>
        </is>
      </c>
      <c r="E1948" t="inlineStr">
        <is>
          <t>TORSBY</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56714-2023</t>
        </is>
      </c>
      <c r="B1949" s="1" t="n">
        <v>45238</v>
      </c>
      <c r="C1949" s="1" t="n">
        <v>45849</v>
      </c>
      <c r="D1949" t="inlineStr">
        <is>
          <t>VÄRMLANDS LÄN</t>
        </is>
      </c>
      <c r="E1949" t="inlineStr">
        <is>
          <t>TORSBY</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55759-2023</t>
        </is>
      </c>
      <c r="B1950" s="1" t="n">
        <v>45239</v>
      </c>
      <c r="C1950" s="1" t="n">
        <v>45849</v>
      </c>
      <c r="D1950" t="inlineStr">
        <is>
          <t>VÄRMLANDS LÄN</t>
        </is>
      </c>
      <c r="E1950" t="inlineStr">
        <is>
          <t>TORSBY</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57092-2023</t>
        </is>
      </c>
      <c r="B1951" s="1" t="n">
        <v>45239</v>
      </c>
      <c r="C1951" s="1" t="n">
        <v>45849</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57091-2023</t>
        </is>
      </c>
      <c r="B1952" s="1" t="n">
        <v>45239</v>
      </c>
      <c r="C1952" s="1" t="n">
        <v>45849</v>
      </c>
      <c r="D1952" t="inlineStr">
        <is>
          <t>VÄRMLANDS LÄN</t>
        </is>
      </c>
      <c r="E1952" t="inlineStr">
        <is>
          <t>TORSBY</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56889-2023</t>
        </is>
      </c>
      <c r="B1953" s="1" t="n">
        <v>45239</v>
      </c>
      <c r="C1953" s="1" t="n">
        <v>45849</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55727-2023</t>
        </is>
      </c>
      <c r="B1954" s="1" t="n">
        <v>45239</v>
      </c>
      <c r="C1954" s="1" t="n">
        <v>45849</v>
      </c>
      <c r="D1954" t="inlineStr">
        <is>
          <t>VÄRMLANDS LÄN</t>
        </is>
      </c>
      <c r="E1954" t="inlineStr">
        <is>
          <t>TORSBY</t>
        </is>
      </c>
      <c r="F1954" t="inlineStr">
        <is>
          <t>Bergvik skog väst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56164-2023</t>
        </is>
      </c>
      <c r="B1955" s="1" t="n">
        <v>45240</v>
      </c>
      <c r="C1955" s="1" t="n">
        <v>45849</v>
      </c>
      <c r="D1955" t="inlineStr">
        <is>
          <t>VÄRMLANDS LÄN</t>
        </is>
      </c>
      <c r="E1955" t="inlineStr">
        <is>
          <t>TORSBY</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56170-2023</t>
        </is>
      </c>
      <c r="B1956" s="1" t="n">
        <v>45240</v>
      </c>
      <c r="C1956" s="1" t="n">
        <v>45849</v>
      </c>
      <c r="D1956" t="inlineStr">
        <is>
          <t>VÄRMLANDS LÄN</t>
        </is>
      </c>
      <c r="E1956" t="inlineStr">
        <is>
          <t>TORSBY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56116-2023</t>
        </is>
      </c>
      <c r="B1957" s="1" t="n">
        <v>45240</v>
      </c>
      <c r="C1957" s="1" t="n">
        <v>45849</v>
      </c>
      <c r="D1957" t="inlineStr">
        <is>
          <t>VÄRMLANDS LÄN</t>
        </is>
      </c>
      <c r="E1957" t="inlineStr">
        <is>
          <t>TORSBY</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56021-2023</t>
        </is>
      </c>
      <c r="B1958" s="1" t="n">
        <v>45240</v>
      </c>
      <c r="C1958" s="1" t="n">
        <v>45849</v>
      </c>
      <c r="D1958" t="inlineStr">
        <is>
          <t>VÄRMLANDS LÄN</t>
        </is>
      </c>
      <c r="E1958" t="inlineStr">
        <is>
          <t>TORSBY</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56426-2023</t>
        </is>
      </c>
      <c r="B1959" s="1" t="n">
        <v>45243</v>
      </c>
      <c r="C1959" s="1" t="n">
        <v>45849</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56724-2023</t>
        </is>
      </c>
      <c r="B1960" s="1" t="n">
        <v>45244</v>
      </c>
      <c r="C1960" s="1" t="n">
        <v>45849</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56880-2023</t>
        </is>
      </c>
      <c r="B1961" s="1" t="n">
        <v>45244</v>
      </c>
      <c r="C1961" s="1" t="n">
        <v>45849</v>
      </c>
      <c r="D1961" t="inlineStr">
        <is>
          <t>VÄRMLANDS LÄN</t>
        </is>
      </c>
      <c r="E1961" t="inlineStr">
        <is>
          <t>TORSBY</t>
        </is>
      </c>
      <c r="F1961" t="inlineStr">
        <is>
          <t>Övriga Aktiebolag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56881-2023</t>
        </is>
      </c>
      <c r="B1962" s="1" t="n">
        <v>45244</v>
      </c>
      <c r="C1962" s="1" t="n">
        <v>45849</v>
      </c>
      <c r="D1962" t="inlineStr">
        <is>
          <t>VÄRMLANDS LÄN</t>
        </is>
      </c>
      <c r="E1962" t="inlineStr">
        <is>
          <t>TORSBY</t>
        </is>
      </c>
      <c r="F1962" t="inlineStr">
        <is>
          <t>Övriga Aktiebolag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56875-2023</t>
        </is>
      </c>
      <c r="B1963" s="1" t="n">
        <v>45244</v>
      </c>
      <c r="C1963" s="1" t="n">
        <v>45849</v>
      </c>
      <c r="D1963" t="inlineStr">
        <is>
          <t>VÄRMLANDS LÄN</t>
        </is>
      </c>
      <c r="E1963" t="inlineStr">
        <is>
          <t>TORSBY</t>
        </is>
      </c>
      <c r="F1963" t="inlineStr">
        <is>
          <t>Övriga Aktiebolag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56811-2023</t>
        </is>
      </c>
      <c r="B1964" s="1" t="n">
        <v>45244</v>
      </c>
      <c r="C1964" s="1" t="n">
        <v>45849</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56815-2023</t>
        </is>
      </c>
      <c r="B1965" s="1" t="n">
        <v>45244</v>
      </c>
      <c r="C1965" s="1" t="n">
        <v>45849</v>
      </c>
      <c r="D1965" t="inlineStr">
        <is>
          <t>VÄRMLANDS LÄN</t>
        </is>
      </c>
      <c r="E1965" t="inlineStr">
        <is>
          <t>TORSBY</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56902-2023</t>
        </is>
      </c>
      <c r="B1966" s="1" t="n">
        <v>45244</v>
      </c>
      <c r="C1966" s="1" t="n">
        <v>45849</v>
      </c>
      <c r="D1966" t="inlineStr">
        <is>
          <t>VÄRMLANDS LÄN</t>
        </is>
      </c>
      <c r="E1966" t="inlineStr">
        <is>
          <t>TORSBY</t>
        </is>
      </c>
      <c r="G1966" t="n">
        <v>17.4</v>
      </c>
      <c r="H1966" t="n">
        <v>0</v>
      </c>
      <c r="I1966" t="n">
        <v>0</v>
      </c>
      <c r="J1966" t="n">
        <v>0</v>
      </c>
      <c r="K1966" t="n">
        <v>0</v>
      </c>
      <c r="L1966" t="n">
        <v>0</v>
      </c>
      <c r="M1966" t="n">
        <v>0</v>
      </c>
      <c r="N1966" t="n">
        <v>0</v>
      </c>
      <c r="O1966" t="n">
        <v>0</v>
      </c>
      <c r="P1966" t="n">
        <v>0</v>
      </c>
      <c r="Q1966" t="n">
        <v>0</v>
      </c>
      <c r="R1966" s="2" t="inlineStr"/>
    </row>
    <row r="1967" ht="15" customHeight="1">
      <c r="A1967" t="inlineStr">
        <is>
          <t>A 56970-2023</t>
        </is>
      </c>
      <c r="B1967" s="1" t="n">
        <v>45244</v>
      </c>
      <c r="C1967" s="1" t="n">
        <v>45849</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57017-2023</t>
        </is>
      </c>
      <c r="B1968" s="1" t="n">
        <v>45244</v>
      </c>
      <c r="C1968" s="1" t="n">
        <v>45849</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57117-2023</t>
        </is>
      </c>
      <c r="B1969" s="1" t="n">
        <v>45245</v>
      </c>
      <c r="C1969" s="1" t="n">
        <v>45849</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57143-2023</t>
        </is>
      </c>
      <c r="B1970" s="1" t="n">
        <v>45245</v>
      </c>
      <c r="C1970" s="1" t="n">
        <v>45849</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57345-2023</t>
        </is>
      </c>
      <c r="B1971" s="1" t="n">
        <v>45245</v>
      </c>
      <c r="C1971" s="1" t="n">
        <v>45849</v>
      </c>
      <c r="D1971" t="inlineStr">
        <is>
          <t>VÄRMLANDS LÄN</t>
        </is>
      </c>
      <c r="E1971" t="inlineStr">
        <is>
          <t>TORSBY</t>
        </is>
      </c>
      <c r="F1971" t="inlineStr">
        <is>
          <t>Bergvik skog väst AB</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57135-2023</t>
        </is>
      </c>
      <c r="B1972" s="1" t="n">
        <v>45245</v>
      </c>
      <c r="C1972" s="1" t="n">
        <v>45849</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57216-2023</t>
        </is>
      </c>
      <c r="B1973" s="1" t="n">
        <v>45245</v>
      </c>
      <c r="C1973" s="1" t="n">
        <v>45849</v>
      </c>
      <c r="D1973" t="inlineStr">
        <is>
          <t>VÄRMLANDS LÄN</t>
        </is>
      </c>
      <c r="E1973" t="inlineStr">
        <is>
          <t>TORSBY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57538-2023</t>
        </is>
      </c>
      <c r="B1974" s="1" t="n">
        <v>45246</v>
      </c>
      <c r="C1974" s="1" t="n">
        <v>45849</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57547-2023</t>
        </is>
      </c>
      <c r="B1975" s="1" t="n">
        <v>45246</v>
      </c>
      <c r="C1975" s="1" t="n">
        <v>45849</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57569-2023</t>
        </is>
      </c>
      <c r="B1976" s="1" t="n">
        <v>45246</v>
      </c>
      <c r="C1976" s="1" t="n">
        <v>45849</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57647-2023</t>
        </is>
      </c>
      <c r="B1977" s="1" t="n">
        <v>45246</v>
      </c>
      <c r="C1977" s="1" t="n">
        <v>45849</v>
      </c>
      <c r="D1977" t="inlineStr">
        <is>
          <t>VÄRMLANDS LÄN</t>
        </is>
      </c>
      <c r="E1977" t="inlineStr">
        <is>
          <t>TORSBY</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57642-2023</t>
        </is>
      </c>
      <c r="B1978" s="1" t="n">
        <v>45246</v>
      </c>
      <c r="C1978" s="1" t="n">
        <v>45849</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57921-2023</t>
        </is>
      </c>
      <c r="B1979" s="1" t="n">
        <v>45247</v>
      </c>
      <c r="C1979" s="1" t="n">
        <v>45849</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58013-2023</t>
        </is>
      </c>
      <c r="B1980" s="1" t="n">
        <v>45247</v>
      </c>
      <c r="C1980" s="1" t="n">
        <v>45849</v>
      </c>
      <c r="D1980" t="inlineStr">
        <is>
          <t>VÄRMLANDS LÄN</t>
        </is>
      </c>
      <c r="E1980" t="inlineStr">
        <is>
          <t>TORSBY</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57980-2023</t>
        </is>
      </c>
      <c r="B1981" s="1" t="n">
        <v>45247</v>
      </c>
      <c r="C1981" s="1" t="n">
        <v>45849</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57990-2023</t>
        </is>
      </c>
      <c r="B1982" s="1" t="n">
        <v>45247</v>
      </c>
      <c r="C1982" s="1" t="n">
        <v>45849</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58037-2023</t>
        </is>
      </c>
      <c r="B1983" s="1" t="n">
        <v>45247</v>
      </c>
      <c r="C1983" s="1" t="n">
        <v>45849</v>
      </c>
      <c r="D1983" t="inlineStr">
        <is>
          <t>VÄRMLANDS LÄN</t>
        </is>
      </c>
      <c r="E1983" t="inlineStr">
        <is>
          <t>TORSBY</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58600-2023</t>
        </is>
      </c>
      <c r="B1984" s="1" t="n">
        <v>45247</v>
      </c>
      <c r="C1984" s="1" t="n">
        <v>45849</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58185-2023</t>
        </is>
      </c>
      <c r="B1985" s="1" t="n">
        <v>45250</v>
      </c>
      <c r="C1985" s="1" t="n">
        <v>45849</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58386-2023</t>
        </is>
      </c>
      <c r="B1986" s="1" t="n">
        <v>45250</v>
      </c>
      <c r="C1986" s="1" t="n">
        <v>45849</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58430-2023</t>
        </is>
      </c>
      <c r="B1987" s="1" t="n">
        <v>45250</v>
      </c>
      <c r="C1987" s="1" t="n">
        <v>45849</v>
      </c>
      <c r="D1987" t="inlineStr">
        <is>
          <t>VÄRMLANDS LÄN</t>
        </is>
      </c>
      <c r="E1987" t="inlineStr">
        <is>
          <t>TORSBY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58438-2023</t>
        </is>
      </c>
      <c r="B1988" s="1" t="n">
        <v>45250</v>
      </c>
      <c r="C1988" s="1" t="n">
        <v>45849</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58394-2023</t>
        </is>
      </c>
      <c r="B1989" s="1" t="n">
        <v>45250</v>
      </c>
      <c r="C1989" s="1" t="n">
        <v>45849</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58235-2023</t>
        </is>
      </c>
      <c r="B1990" s="1" t="n">
        <v>45250</v>
      </c>
      <c r="C1990" s="1" t="n">
        <v>45849</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58429-2023</t>
        </is>
      </c>
      <c r="B1991" s="1" t="n">
        <v>45250</v>
      </c>
      <c r="C1991" s="1" t="n">
        <v>45849</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58378-2023</t>
        </is>
      </c>
      <c r="B1992" s="1" t="n">
        <v>45250</v>
      </c>
      <c r="C1992" s="1" t="n">
        <v>45849</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58383-2023</t>
        </is>
      </c>
      <c r="B1993" s="1" t="n">
        <v>45250</v>
      </c>
      <c r="C1993" s="1" t="n">
        <v>45849</v>
      </c>
      <c r="D1993" t="inlineStr">
        <is>
          <t>VÄRMLANDS LÄN</t>
        </is>
      </c>
      <c r="E1993" t="inlineStr">
        <is>
          <t>TORSBY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59256-2023</t>
        </is>
      </c>
      <c r="B1994" s="1" t="n">
        <v>45251</v>
      </c>
      <c r="C1994" s="1" t="n">
        <v>45849</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59239-2023</t>
        </is>
      </c>
      <c r="B1995" s="1" t="n">
        <v>45253</v>
      </c>
      <c r="C1995" s="1" t="n">
        <v>45849</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59236-2023</t>
        </is>
      </c>
      <c r="B1996" s="1" t="n">
        <v>45253</v>
      </c>
      <c r="C1996" s="1" t="n">
        <v>45849</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59488-2023</t>
        </is>
      </c>
      <c r="B1997" s="1" t="n">
        <v>45254</v>
      </c>
      <c r="C1997" s="1" t="n">
        <v>45849</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59781-2023</t>
        </is>
      </c>
      <c r="B1998" s="1" t="n">
        <v>45257</v>
      </c>
      <c r="C1998" s="1" t="n">
        <v>45849</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59941-2023</t>
        </is>
      </c>
      <c r="B1999" s="1" t="n">
        <v>45257</v>
      </c>
      <c r="C1999" s="1" t="n">
        <v>45849</v>
      </c>
      <c r="D1999" t="inlineStr">
        <is>
          <t>VÄRMLANDS LÄN</t>
        </is>
      </c>
      <c r="E1999" t="inlineStr">
        <is>
          <t>TORSBY</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59872-2023</t>
        </is>
      </c>
      <c r="B2000" s="1" t="n">
        <v>45257</v>
      </c>
      <c r="C2000" s="1" t="n">
        <v>45849</v>
      </c>
      <c r="D2000" t="inlineStr">
        <is>
          <t>VÄRMLANDS LÄN</t>
        </is>
      </c>
      <c r="E2000" t="inlineStr">
        <is>
          <t>TORSBY</t>
        </is>
      </c>
      <c r="F2000" t="inlineStr">
        <is>
          <t>Bergvik skog väst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60058-2023</t>
        </is>
      </c>
      <c r="B2001" s="1" t="n">
        <v>45258</v>
      </c>
      <c r="C2001" s="1" t="n">
        <v>45849</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60046-2023</t>
        </is>
      </c>
      <c r="B2002" s="1" t="n">
        <v>45258</v>
      </c>
      <c r="C2002" s="1" t="n">
        <v>45849</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60100-2023</t>
        </is>
      </c>
      <c r="B2003" s="1" t="n">
        <v>45258</v>
      </c>
      <c r="C2003" s="1" t="n">
        <v>45849</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60088-2023</t>
        </is>
      </c>
      <c r="B2004" s="1" t="n">
        <v>45258</v>
      </c>
      <c r="C2004" s="1" t="n">
        <v>45849</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60133-2023</t>
        </is>
      </c>
      <c r="B2005" s="1" t="n">
        <v>45258</v>
      </c>
      <c r="C2005" s="1" t="n">
        <v>45849</v>
      </c>
      <c r="D2005" t="inlineStr">
        <is>
          <t>VÄRMLANDS LÄN</t>
        </is>
      </c>
      <c r="E2005" t="inlineStr">
        <is>
          <t>TORSBY</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60314-2023</t>
        </is>
      </c>
      <c r="B2006" s="1" t="n">
        <v>45258</v>
      </c>
      <c r="C2006" s="1" t="n">
        <v>45849</v>
      </c>
      <c r="D2006" t="inlineStr">
        <is>
          <t>VÄRMLANDS LÄN</t>
        </is>
      </c>
      <c r="E2006" t="inlineStr">
        <is>
          <t>TORSBY</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60523-2023</t>
        </is>
      </c>
      <c r="B2007" s="1" t="n">
        <v>45259</v>
      </c>
      <c r="C2007" s="1" t="n">
        <v>45849</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60486-2023</t>
        </is>
      </c>
      <c r="B2008" s="1" t="n">
        <v>45259</v>
      </c>
      <c r="C2008" s="1" t="n">
        <v>45849</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60525-2023</t>
        </is>
      </c>
      <c r="B2009" s="1" t="n">
        <v>45259</v>
      </c>
      <c r="C2009" s="1" t="n">
        <v>45849</v>
      </c>
      <c r="D2009" t="inlineStr">
        <is>
          <t>VÄRMLANDS LÄN</t>
        </is>
      </c>
      <c r="E2009" t="inlineStr">
        <is>
          <t>TORSBY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61157-2023</t>
        </is>
      </c>
      <c r="B2010" s="1" t="n">
        <v>45262</v>
      </c>
      <c r="C2010" s="1" t="n">
        <v>45849</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61164-2023</t>
        </is>
      </c>
      <c r="B2011" s="1" t="n">
        <v>45262</v>
      </c>
      <c r="C2011" s="1" t="n">
        <v>45849</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61229-2023</t>
        </is>
      </c>
      <c r="B2012" s="1" t="n">
        <v>45264</v>
      </c>
      <c r="C2012" s="1" t="n">
        <v>45849</v>
      </c>
      <c r="D2012" t="inlineStr">
        <is>
          <t>VÄRMLANDS LÄN</t>
        </is>
      </c>
      <c r="E2012" t="inlineStr">
        <is>
          <t>TORSBY</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61256-2023</t>
        </is>
      </c>
      <c r="B2013" s="1" t="n">
        <v>45264</v>
      </c>
      <c r="C2013" s="1" t="n">
        <v>45849</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61370-2023</t>
        </is>
      </c>
      <c r="B2014" s="1" t="n">
        <v>45264</v>
      </c>
      <c r="C2014" s="1" t="n">
        <v>45849</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61923-2023</t>
        </is>
      </c>
      <c r="B2015" s="1" t="n">
        <v>45266</v>
      </c>
      <c r="C2015" s="1" t="n">
        <v>45849</v>
      </c>
      <c r="D2015" t="inlineStr">
        <is>
          <t>VÄRMLANDS LÄN</t>
        </is>
      </c>
      <c r="E2015" t="inlineStr">
        <is>
          <t>TORSBY</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61921-2023</t>
        </is>
      </c>
      <c r="B2016" s="1" t="n">
        <v>45266</v>
      </c>
      <c r="C2016" s="1" t="n">
        <v>45849</v>
      </c>
      <c r="D2016" t="inlineStr">
        <is>
          <t>VÄRMLANDS LÄN</t>
        </is>
      </c>
      <c r="E2016" t="inlineStr">
        <is>
          <t>TORSBY</t>
        </is>
      </c>
      <c r="F2016" t="inlineStr">
        <is>
          <t>Kommuner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62037-2023</t>
        </is>
      </c>
      <c r="B2017" s="1" t="n">
        <v>45266</v>
      </c>
      <c r="C2017" s="1" t="n">
        <v>45849</v>
      </c>
      <c r="D2017" t="inlineStr">
        <is>
          <t>VÄRMLANDS LÄN</t>
        </is>
      </c>
      <c r="E2017" t="inlineStr">
        <is>
          <t>TORSBY</t>
        </is>
      </c>
      <c r="F2017" t="inlineStr">
        <is>
          <t>Bergvik skog väst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62258-2023</t>
        </is>
      </c>
      <c r="B2018" s="1" t="n">
        <v>45266</v>
      </c>
      <c r="C2018" s="1" t="n">
        <v>45849</v>
      </c>
      <c r="D2018" t="inlineStr">
        <is>
          <t>VÄRMLANDS LÄN</t>
        </is>
      </c>
      <c r="E2018" t="inlineStr">
        <is>
          <t>TORSBY</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62250-2023</t>
        </is>
      </c>
      <c r="B2019" s="1" t="n">
        <v>45266</v>
      </c>
      <c r="C2019" s="1" t="n">
        <v>45849</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62274-2023</t>
        </is>
      </c>
      <c r="B2020" s="1" t="n">
        <v>45267</v>
      </c>
      <c r="C2020" s="1" t="n">
        <v>45849</v>
      </c>
      <c r="D2020" t="inlineStr">
        <is>
          <t>VÄRMLANDS LÄN</t>
        </is>
      </c>
      <c r="E2020" t="inlineStr">
        <is>
          <t>TORSBY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62168-2023</t>
        </is>
      </c>
      <c r="B2021" s="1" t="n">
        <v>45267</v>
      </c>
      <c r="C2021" s="1" t="n">
        <v>45849</v>
      </c>
      <c r="D2021" t="inlineStr">
        <is>
          <t>VÄRMLANDS LÄN</t>
        </is>
      </c>
      <c r="E2021" t="inlineStr">
        <is>
          <t>TORSBY</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62210-2023</t>
        </is>
      </c>
      <c r="B2022" s="1" t="n">
        <v>45267</v>
      </c>
      <c r="C2022" s="1" t="n">
        <v>45849</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62236-2023</t>
        </is>
      </c>
      <c r="B2023" s="1" t="n">
        <v>45267</v>
      </c>
      <c r="C2023" s="1" t="n">
        <v>45849</v>
      </c>
      <c r="D2023" t="inlineStr">
        <is>
          <t>VÄRMLANDS LÄN</t>
        </is>
      </c>
      <c r="E2023" t="inlineStr">
        <is>
          <t>TORSBY</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62240-2023</t>
        </is>
      </c>
      <c r="B2024" s="1" t="n">
        <v>45267</v>
      </c>
      <c r="C2024" s="1" t="n">
        <v>45849</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62317-2023</t>
        </is>
      </c>
      <c r="B2025" s="1" t="n">
        <v>45267</v>
      </c>
      <c r="C2025" s="1" t="n">
        <v>45849</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62507-2023</t>
        </is>
      </c>
      <c r="B2026" s="1" t="n">
        <v>45267</v>
      </c>
      <c r="C2026" s="1" t="n">
        <v>45849</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62387-2023</t>
        </is>
      </c>
      <c r="B2027" s="1" t="n">
        <v>45268</v>
      </c>
      <c r="C2027" s="1" t="n">
        <v>45849</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62445-2023</t>
        </is>
      </c>
      <c r="B2028" s="1" t="n">
        <v>45268</v>
      </c>
      <c r="C2028" s="1" t="n">
        <v>45849</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62510-2023</t>
        </is>
      </c>
      <c r="B2029" s="1" t="n">
        <v>45268</v>
      </c>
      <c r="C2029" s="1" t="n">
        <v>45849</v>
      </c>
      <c r="D2029" t="inlineStr">
        <is>
          <t>VÄRMLANDS LÄN</t>
        </is>
      </c>
      <c r="E2029" t="inlineStr">
        <is>
          <t>TORSBY</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62618-2023</t>
        </is>
      </c>
      <c r="B2030" s="1" t="n">
        <v>45271</v>
      </c>
      <c r="C2030" s="1" t="n">
        <v>45849</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62957-2023</t>
        </is>
      </c>
      <c r="B2031" s="1" t="n">
        <v>45271</v>
      </c>
      <c r="C2031" s="1" t="n">
        <v>45849</v>
      </c>
      <c r="D2031" t="inlineStr">
        <is>
          <t>VÄRMLANDS LÄN</t>
        </is>
      </c>
      <c r="E2031" t="inlineStr">
        <is>
          <t>TORSBY</t>
        </is>
      </c>
      <c r="F2031" t="inlineStr">
        <is>
          <t>Övriga statliga verk och myndigheter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62950-2023</t>
        </is>
      </c>
      <c r="B2032" s="1" t="n">
        <v>45271</v>
      </c>
      <c r="C2032" s="1" t="n">
        <v>45849</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63030-2023</t>
        </is>
      </c>
      <c r="B2033" s="1" t="n">
        <v>45272</v>
      </c>
      <c r="C2033" s="1" t="n">
        <v>45849</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63031-2023</t>
        </is>
      </c>
      <c r="B2034" s="1" t="n">
        <v>45272</v>
      </c>
      <c r="C2034" s="1" t="n">
        <v>45849</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63028-2023</t>
        </is>
      </c>
      <c r="B2035" s="1" t="n">
        <v>45272</v>
      </c>
      <c r="C2035" s="1" t="n">
        <v>45849</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63032-2023</t>
        </is>
      </c>
      <c r="B2036" s="1" t="n">
        <v>45272</v>
      </c>
      <c r="C2036" s="1" t="n">
        <v>45849</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63177-2023</t>
        </is>
      </c>
      <c r="B2037" s="1" t="n">
        <v>45272</v>
      </c>
      <c r="C2037" s="1" t="n">
        <v>45849</v>
      </c>
      <c r="D2037" t="inlineStr">
        <is>
          <t>VÄRMLANDS LÄN</t>
        </is>
      </c>
      <c r="E2037" t="inlineStr">
        <is>
          <t>TORSBY</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63160-2023</t>
        </is>
      </c>
      <c r="B2038" s="1" t="n">
        <v>45273</v>
      </c>
      <c r="C2038" s="1" t="n">
        <v>45849</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63146-2023</t>
        </is>
      </c>
      <c r="B2039" s="1" t="n">
        <v>45273</v>
      </c>
      <c r="C2039" s="1" t="n">
        <v>45849</v>
      </c>
      <c r="D2039" t="inlineStr">
        <is>
          <t>VÄRMLANDS LÄN</t>
        </is>
      </c>
      <c r="E2039" t="inlineStr">
        <is>
          <t>TORSBY</t>
        </is>
      </c>
      <c r="F2039" t="inlineStr">
        <is>
          <t>Bergvik skog väst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v>
      </c>
      <c r="C2040" s="1" t="n">
        <v>45849</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63083-2023</t>
        </is>
      </c>
      <c r="B2041" s="1" t="n">
        <v>45273</v>
      </c>
      <c r="C2041" s="1" t="n">
        <v>45849</v>
      </c>
      <c r="D2041" t="inlineStr">
        <is>
          <t>VÄRMLANDS LÄN</t>
        </is>
      </c>
      <c r="E2041" t="inlineStr">
        <is>
          <t>TORSBY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63244-2023</t>
        </is>
      </c>
      <c r="B2042" s="1" t="n">
        <v>45273</v>
      </c>
      <c r="C2042" s="1" t="n">
        <v>45849</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63158-2023</t>
        </is>
      </c>
      <c r="B2043" s="1" t="n">
        <v>45273</v>
      </c>
      <c r="C2043" s="1" t="n">
        <v>45849</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63363-2023</t>
        </is>
      </c>
      <c r="B2044" s="1" t="n">
        <v>45273</v>
      </c>
      <c r="C2044" s="1" t="n">
        <v>45849</v>
      </c>
      <c r="D2044" t="inlineStr">
        <is>
          <t>VÄRMLANDS LÄN</t>
        </is>
      </c>
      <c r="E2044" t="inlineStr">
        <is>
          <t>TORSBY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63399-2023</t>
        </is>
      </c>
      <c r="B2045" s="1" t="n">
        <v>45274</v>
      </c>
      <c r="C2045" s="1" t="n">
        <v>45849</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63409-2023</t>
        </is>
      </c>
      <c r="B2046" s="1" t="n">
        <v>45274</v>
      </c>
      <c r="C2046" s="1" t="n">
        <v>45849</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63821-2023</t>
        </is>
      </c>
      <c r="B2047" s="1" t="n">
        <v>45275</v>
      </c>
      <c r="C2047" s="1" t="n">
        <v>45849</v>
      </c>
      <c r="D2047" t="inlineStr">
        <is>
          <t>VÄRMLANDS LÄN</t>
        </is>
      </c>
      <c r="E2047" t="inlineStr">
        <is>
          <t>TORSBY</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63820-2023</t>
        </is>
      </c>
      <c r="B2048" s="1" t="n">
        <v>45278</v>
      </c>
      <c r="C2048" s="1" t="n">
        <v>45849</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63866-2023</t>
        </is>
      </c>
      <c r="B2049" s="1" t="n">
        <v>45278</v>
      </c>
      <c r="C2049" s="1" t="n">
        <v>45849</v>
      </c>
      <c r="D2049" t="inlineStr">
        <is>
          <t>VÄRMLANDS LÄN</t>
        </is>
      </c>
      <c r="E2049" t="inlineStr">
        <is>
          <t>TORSBY</t>
        </is>
      </c>
      <c r="F2049" t="inlineStr">
        <is>
          <t>Bergvik skog väst AB</t>
        </is>
      </c>
      <c r="G2049" t="n">
        <v>58.2</v>
      </c>
      <c r="H2049" t="n">
        <v>0</v>
      </c>
      <c r="I2049" t="n">
        <v>0</v>
      </c>
      <c r="J2049" t="n">
        <v>0</v>
      </c>
      <c r="K2049" t="n">
        <v>0</v>
      </c>
      <c r="L2049" t="n">
        <v>0</v>
      </c>
      <c r="M2049" t="n">
        <v>0</v>
      </c>
      <c r="N2049" t="n">
        <v>0</v>
      </c>
      <c r="O2049" t="n">
        <v>0</v>
      </c>
      <c r="P2049" t="n">
        <v>0</v>
      </c>
      <c r="Q2049" t="n">
        <v>0</v>
      </c>
      <c r="R2049" s="2" t="inlineStr"/>
    </row>
    <row r="2050" ht="15" customHeight="1">
      <c r="A2050" t="inlineStr">
        <is>
          <t>A 63955-2023</t>
        </is>
      </c>
      <c r="B2050" s="1" t="n">
        <v>45278</v>
      </c>
      <c r="C2050" s="1" t="n">
        <v>45849</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63967-2023</t>
        </is>
      </c>
      <c r="B2051" s="1" t="n">
        <v>45278</v>
      </c>
      <c r="C2051" s="1" t="n">
        <v>45849</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64162-2023</t>
        </is>
      </c>
      <c r="B2052" s="1" t="n">
        <v>45279</v>
      </c>
      <c r="C2052" s="1" t="n">
        <v>45849</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64432-2023</t>
        </is>
      </c>
      <c r="B2053" s="1" t="n">
        <v>45280</v>
      </c>
      <c r="C2053" s="1" t="n">
        <v>45849</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64389-2023</t>
        </is>
      </c>
      <c r="B2054" s="1" t="n">
        <v>45280</v>
      </c>
      <c r="C2054" s="1" t="n">
        <v>45849</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64454-2023</t>
        </is>
      </c>
      <c r="B2055" s="1" t="n">
        <v>45280</v>
      </c>
      <c r="C2055" s="1" t="n">
        <v>45849</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64395-2023</t>
        </is>
      </c>
      <c r="B2056" s="1" t="n">
        <v>45280</v>
      </c>
      <c r="C2056" s="1" t="n">
        <v>45849</v>
      </c>
      <c r="D2056" t="inlineStr">
        <is>
          <t>VÄRMLANDS LÄN</t>
        </is>
      </c>
      <c r="E2056" t="inlineStr">
        <is>
          <t>TORSBY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64400-2023</t>
        </is>
      </c>
      <c r="B2057" s="1" t="n">
        <v>45280</v>
      </c>
      <c r="C2057" s="1" t="n">
        <v>45849</v>
      </c>
      <c r="D2057" t="inlineStr">
        <is>
          <t>VÄRMLANDS LÄN</t>
        </is>
      </c>
      <c r="E2057" t="inlineStr">
        <is>
          <t>TORSBY</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64429-2023</t>
        </is>
      </c>
      <c r="B2058" s="1" t="n">
        <v>45280</v>
      </c>
      <c r="C2058" s="1" t="n">
        <v>45849</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64590-2023</t>
        </is>
      </c>
      <c r="B2059" s="1" t="n">
        <v>45281</v>
      </c>
      <c r="C2059" s="1" t="n">
        <v>45849</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64602-2023</t>
        </is>
      </c>
      <c r="B2060" s="1" t="n">
        <v>45281</v>
      </c>
      <c r="C2060" s="1" t="n">
        <v>45849</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64641-2023</t>
        </is>
      </c>
      <c r="B2061" s="1" t="n">
        <v>45281</v>
      </c>
      <c r="C2061" s="1" t="n">
        <v>45849</v>
      </c>
      <c r="D2061" t="inlineStr">
        <is>
          <t>VÄRMLANDS LÄN</t>
        </is>
      </c>
      <c r="E2061" t="inlineStr">
        <is>
          <t>TORSBY</t>
        </is>
      </c>
      <c r="F2061" t="inlineStr">
        <is>
          <t>Bergvik skog väst AB</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64671-2023</t>
        </is>
      </c>
      <c r="B2062" s="1" t="n">
        <v>45281</v>
      </c>
      <c r="C2062" s="1" t="n">
        <v>45849</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64664-2023</t>
        </is>
      </c>
      <c r="B2063" s="1" t="n">
        <v>45281</v>
      </c>
      <c r="C2063" s="1" t="n">
        <v>45849</v>
      </c>
      <c r="D2063" t="inlineStr">
        <is>
          <t>VÄRMLANDS LÄN</t>
        </is>
      </c>
      <c r="E2063" t="inlineStr">
        <is>
          <t>TORSBY</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v>
      </c>
      <c r="C2064" s="1" t="n">
        <v>45849</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64640-2023</t>
        </is>
      </c>
      <c r="B2065" s="1" t="n">
        <v>45281</v>
      </c>
      <c r="C2065" s="1" t="n">
        <v>45849</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65081-2023</t>
        </is>
      </c>
      <c r="B2066" s="1" t="n">
        <v>45288</v>
      </c>
      <c r="C2066" s="1" t="n">
        <v>45849</v>
      </c>
      <c r="D2066" t="inlineStr">
        <is>
          <t>VÄRMLANDS LÄN</t>
        </is>
      </c>
      <c r="E2066" t="inlineStr">
        <is>
          <t>TORSBY</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65134-2023</t>
        </is>
      </c>
      <c r="B2067" s="1" t="n">
        <v>45288</v>
      </c>
      <c r="C2067" s="1" t="n">
        <v>45849</v>
      </c>
      <c r="D2067" t="inlineStr">
        <is>
          <t>VÄRMLANDS LÄN</t>
        </is>
      </c>
      <c r="E2067" t="inlineStr">
        <is>
          <t>TORSBY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65204-2023</t>
        </is>
      </c>
      <c r="B2068" s="1" t="n">
        <v>45289</v>
      </c>
      <c r="C2068" s="1" t="n">
        <v>45849</v>
      </c>
      <c r="D2068" t="inlineStr">
        <is>
          <t>VÄRMLANDS LÄN</t>
        </is>
      </c>
      <c r="E2068" t="inlineStr">
        <is>
          <t>TORSBY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173-2024</t>
        </is>
      </c>
      <c r="B2069" s="1" t="n">
        <v>45294</v>
      </c>
      <c r="C2069" s="1" t="n">
        <v>45849</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119-2024</t>
        </is>
      </c>
      <c r="B2070" s="1" t="n">
        <v>45294</v>
      </c>
      <c r="C2070" s="1" t="n">
        <v>45849</v>
      </c>
      <c r="D2070" t="inlineStr">
        <is>
          <t>VÄRMLANDS LÄN</t>
        </is>
      </c>
      <c r="E2070" t="inlineStr">
        <is>
          <t>TORSBY</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144-2024</t>
        </is>
      </c>
      <c r="B2071" s="1" t="n">
        <v>45294</v>
      </c>
      <c r="C2071" s="1" t="n">
        <v>45849</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234-2024</t>
        </is>
      </c>
      <c r="B2072" s="1" t="n">
        <v>45294</v>
      </c>
      <c r="C2072" s="1" t="n">
        <v>45849</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176-2024</t>
        </is>
      </c>
      <c r="B2073" s="1" t="n">
        <v>45294</v>
      </c>
      <c r="C2073" s="1" t="n">
        <v>45849</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235-2024</t>
        </is>
      </c>
      <c r="B2074" s="1" t="n">
        <v>45294</v>
      </c>
      <c r="C2074" s="1" t="n">
        <v>45849</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236-2024</t>
        </is>
      </c>
      <c r="B2075" s="1" t="n">
        <v>45294</v>
      </c>
      <c r="C2075" s="1" t="n">
        <v>45849</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266-2024</t>
        </is>
      </c>
      <c r="B2076" s="1" t="n">
        <v>45295</v>
      </c>
      <c r="C2076" s="1" t="n">
        <v>45849</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276-2024</t>
        </is>
      </c>
      <c r="B2077" s="1" t="n">
        <v>45295</v>
      </c>
      <c r="C2077" s="1" t="n">
        <v>45849</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324-2024</t>
        </is>
      </c>
      <c r="B2078" s="1" t="n">
        <v>45295</v>
      </c>
      <c r="C2078" s="1" t="n">
        <v>45849</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423-2024</t>
        </is>
      </c>
      <c r="B2079" s="1" t="n">
        <v>45296</v>
      </c>
      <c r="C2079" s="1" t="n">
        <v>45849</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502-2024</t>
        </is>
      </c>
      <c r="B2080" s="1" t="n">
        <v>45299</v>
      </c>
      <c r="C2080" s="1" t="n">
        <v>45849</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737-2024</t>
        </is>
      </c>
      <c r="B2081" s="1" t="n">
        <v>45300</v>
      </c>
      <c r="C2081" s="1" t="n">
        <v>45849</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714-2024</t>
        </is>
      </c>
      <c r="B2082" s="1" t="n">
        <v>45300</v>
      </c>
      <c r="C2082" s="1" t="n">
        <v>45849</v>
      </c>
      <c r="D2082" t="inlineStr">
        <is>
          <t>VÄRMLANDS LÄN</t>
        </is>
      </c>
      <c r="E2082" t="inlineStr">
        <is>
          <t>TORSBY</t>
        </is>
      </c>
      <c r="G2082" t="n">
        <v>18.1</v>
      </c>
      <c r="H2082" t="n">
        <v>0</v>
      </c>
      <c r="I2082" t="n">
        <v>0</v>
      </c>
      <c r="J2082" t="n">
        <v>0</v>
      </c>
      <c r="K2082" t="n">
        <v>0</v>
      </c>
      <c r="L2082" t="n">
        <v>0</v>
      </c>
      <c r="M2082" t="n">
        <v>0</v>
      </c>
      <c r="N2082" t="n">
        <v>0</v>
      </c>
      <c r="O2082" t="n">
        <v>0</v>
      </c>
      <c r="P2082" t="n">
        <v>0</v>
      </c>
      <c r="Q2082" t="n">
        <v>0</v>
      </c>
      <c r="R2082" s="2" t="inlineStr"/>
    </row>
    <row r="2083" ht="15" customHeight="1">
      <c r="A2083" t="inlineStr">
        <is>
          <t>A 731-2024</t>
        </is>
      </c>
      <c r="B2083" s="1" t="n">
        <v>45300</v>
      </c>
      <c r="C2083" s="1" t="n">
        <v>45849</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924-2024</t>
        </is>
      </c>
      <c r="B2084" s="1" t="n">
        <v>45301</v>
      </c>
      <c r="C2084" s="1" t="n">
        <v>45849</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869-2024</t>
        </is>
      </c>
      <c r="B2085" s="1" t="n">
        <v>45301</v>
      </c>
      <c r="C2085" s="1" t="n">
        <v>45849</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877-2024</t>
        </is>
      </c>
      <c r="B2086" s="1" t="n">
        <v>45301</v>
      </c>
      <c r="C2086" s="1" t="n">
        <v>45849</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1001-2024</t>
        </is>
      </c>
      <c r="B2087" s="1" t="n">
        <v>45301</v>
      </c>
      <c r="C2087" s="1" t="n">
        <v>45849</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894-2024</t>
        </is>
      </c>
      <c r="B2088" s="1" t="n">
        <v>45301</v>
      </c>
      <c r="C2088" s="1" t="n">
        <v>45849</v>
      </c>
      <c r="D2088" t="inlineStr">
        <is>
          <t>VÄRMLANDS LÄN</t>
        </is>
      </c>
      <c r="E2088" t="inlineStr">
        <is>
          <t>TORSBY</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1042-2024</t>
        </is>
      </c>
      <c r="B2089" s="1" t="n">
        <v>45301</v>
      </c>
      <c r="C2089" s="1" t="n">
        <v>45849</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1046-2024</t>
        </is>
      </c>
      <c r="B2090" s="1" t="n">
        <v>45301</v>
      </c>
      <c r="C2090" s="1" t="n">
        <v>45849</v>
      </c>
      <c r="D2090" t="inlineStr">
        <is>
          <t>VÄRMLANDS LÄN</t>
        </is>
      </c>
      <c r="E2090" t="inlineStr">
        <is>
          <t>TORSBY</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1041-2024</t>
        </is>
      </c>
      <c r="B2091" s="1" t="n">
        <v>45301</v>
      </c>
      <c r="C2091" s="1" t="n">
        <v>45849</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1040-2024</t>
        </is>
      </c>
      <c r="B2092" s="1" t="n">
        <v>45301</v>
      </c>
      <c r="C2092" s="1" t="n">
        <v>45849</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1080-2024</t>
        </is>
      </c>
      <c r="B2093" s="1" t="n">
        <v>45302</v>
      </c>
      <c r="C2093" s="1" t="n">
        <v>45849</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1086-2024</t>
        </is>
      </c>
      <c r="B2094" s="1" t="n">
        <v>45302</v>
      </c>
      <c r="C2094" s="1" t="n">
        <v>45849</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1091-2024</t>
        </is>
      </c>
      <c r="B2095" s="1" t="n">
        <v>45302</v>
      </c>
      <c r="C2095" s="1" t="n">
        <v>45849</v>
      </c>
      <c r="D2095" t="inlineStr">
        <is>
          <t>VÄRMLANDS LÄN</t>
        </is>
      </c>
      <c r="E2095" t="inlineStr">
        <is>
          <t>TORSBY</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1243-2024</t>
        </is>
      </c>
      <c r="B2096" s="1" t="n">
        <v>45302</v>
      </c>
      <c r="C2096" s="1" t="n">
        <v>45849</v>
      </c>
      <c r="D2096" t="inlineStr">
        <is>
          <t>VÄRMLANDS LÄN</t>
        </is>
      </c>
      <c r="E2096" t="inlineStr">
        <is>
          <t>TORSBY</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1154-2024</t>
        </is>
      </c>
      <c r="B2097" s="1" t="n">
        <v>45302</v>
      </c>
      <c r="C2097" s="1" t="n">
        <v>45849</v>
      </c>
      <c r="D2097" t="inlineStr">
        <is>
          <t>VÄRMLANDS LÄN</t>
        </is>
      </c>
      <c r="E2097" t="inlineStr">
        <is>
          <t>TORSBY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1090-2024</t>
        </is>
      </c>
      <c r="B2098" s="1" t="n">
        <v>45302</v>
      </c>
      <c r="C2098" s="1" t="n">
        <v>45849</v>
      </c>
      <c r="D2098" t="inlineStr">
        <is>
          <t>VÄRMLANDS LÄN</t>
        </is>
      </c>
      <c r="E2098" t="inlineStr">
        <is>
          <t>TORSBY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1094-2024</t>
        </is>
      </c>
      <c r="B2099" s="1" t="n">
        <v>45302</v>
      </c>
      <c r="C2099" s="1" t="n">
        <v>45849</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1232-2024</t>
        </is>
      </c>
      <c r="B2100" s="1" t="n">
        <v>45302</v>
      </c>
      <c r="C2100" s="1" t="n">
        <v>45849</v>
      </c>
      <c r="D2100" t="inlineStr">
        <is>
          <t>VÄRMLANDS LÄN</t>
        </is>
      </c>
      <c r="E2100" t="inlineStr">
        <is>
          <t>TORSBY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1236-2024</t>
        </is>
      </c>
      <c r="B2101" s="1" t="n">
        <v>45302</v>
      </c>
      <c r="C2101" s="1" t="n">
        <v>45849</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1275-2024</t>
        </is>
      </c>
      <c r="B2102" s="1" t="n">
        <v>45302</v>
      </c>
      <c r="C2102" s="1" t="n">
        <v>45849</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1363-2024</t>
        </is>
      </c>
      <c r="B2103" s="1" t="n">
        <v>45303</v>
      </c>
      <c r="C2103" s="1" t="n">
        <v>45849</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1527-2024</t>
        </is>
      </c>
      <c r="B2104" s="1" t="n">
        <v>45306</v>
      </c>
      <c r="C2104" s="1" t="n">
        <v>45849</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1522-2024</t>
        </is>
      </c>
      <c r="B2105" s="1" t="n">
        <v>45306</v>
      </c>
      <c r="C2105" s="1" t="n">
        <v>45849</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1547-2024</t>
        </is>
      </c>
      <c r="B2106" s="1" t="n">
        <v>45306</v>
      </c>
      <c r="C2106" s="1" t="n">
        <v>45849</v>
      </c>
      <c r="D2106" t="inlineStr">
        <is>
          <t>VÄRMLANDS LÄN</t>
        </is>
      </c>
      <c r="E2106" t="inlineStr">
        <is>
          <t>TORSBY</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1528-2024</t>
        </is>
      </c>
      <c r="B2107" s="1" t="n">
        <v>45306</v>
      </c>
      <c r="C2107" s="1" t="n">
        <v>45849</v>
      </c>
      <c r="D2107" t="inlineStr">
        <is>
          <t>VÄRMLANDS LÄN</t>
        </is>
      </c>
      <c r="E2107" t="inlineStr">
        <is>
          <t>TORSBY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1637-2024</t>
        </is>
      </c>
      <c r="B2108" s="1" t="n">
        <v>45306</v>
      </c>
      <c r="C2108" s="1" t="n">
        <v>45849</v>
      </c>
      <c r="D2108" t="inlineStr">
        <is>
          <t>VÄRMLANDS LÄN</t>
        </is>
      </c>
      <c r="E2108" t="inlineStr">
        <is>
          <t>TORSBY</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1608-2024</t>
        </is>
      </c>
      <c r="B2109" s="1" t="n">
        <v>45306</v>
      </c>
      <c r="C2109" s="1" t="n">
        <v>45849</v>
      </c>
      <c r="D2109" t="inlineStr">
        <is>
          <t>VÄRMLANDS LÄN</t>
        </is>
      </c>
      <c r="E2109" t="inlineStr">
        <is>
          <t>TORSBY</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1700-2024</t>
        </is>
      </c>
      <c r="B2110" s="1" t="n">
        <v>45307</v>
      </c>
      <c r="C2110" s="1" t="n">
        <v>45849</v>
      </c>
      <c r="D2110" t="inlineStr">
        <is>
          <t>VÄRMLANDS LÄN</t>
        </is>
      </c>
      <c r="E2110" t="inlineStr">
        <is>
          <t>TORSBY</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1803-2024</t>
        </is>
      </c>
      <c r="B2111" s="1" t="n">
        <v>45307</v>
      </c>
      <c r="C2111" s="1" t="n">
        <v>45849</v>
      </c>
      <c r="D2111" t="inlineStr">
        <is>
          <t>VÄRMLANDS LÄN</t>
        </is>
      </c>
      <c r="E2111" t="inlineStr">
        <is>
          <t>TORSBY</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1757-2024</t>
        </is>
      </c>
      <c r="B2112" s="1" t="n">
        <v>45307</v>
      </c>
      <c r="C2112" s="1" t="n">
        <v>45849</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1970-2024</t>
        </is>
      </c>
      <c r="B2113" s="1" t="n">
        <v>45308</v>
      </c>
      <c r="C2113" s="1" t="n">
        <v>45849</v>
      </c>
      <c r="D2113" t="inlineStr">
        <is>
          <t>VÄRMLANDS LÄN</t>
        </is>
      </c>
      <c r="E2113" t="inlineStr">
        <is>
          <t>TORSBY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2155-2024</t>
        </is>
      </c>
      <c r="B2114" s="1" t="n">
        <v>45309</v>
      </c>
      <c r="C2114" s="1" t="n">
        <v>45849</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2130-2024</t>
        </is>
      </c>
      <c r="B2115" s="1" t="n">
        <v>45309</v>
      </c>
      <c r="C2115" s="1" t="n">
        <v>45849</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2308-2024</t>
        </is>
      </c>
      <c r="B2116" s="1" t="n">
        <v>45310</v>
      </c>
      <c r="C2116" s="1" t="n">
        <v>45849</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2328-2024</t>
        </is>
      </c>
      <c r="B2117" s="1" t="n">
        <v>45310</v>
      </c>
      <c r="C2117" s="1" t="n">
        <v>45849</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2466-2024</t>
        </is>
      </c>
      <c r="B2118" s="1" t="n">
        <v>45313</v>
      </c>
      <c r="C2118" s="1" t="n">
        <v>45849</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2689-2024</t>
        </is>
      </c>
      <c r="B2119" s="1" t="n">
        <v>45314</v>
      </c>
      <c r="C2119" s="1" t="n">
        <v>45849</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2784-2024</t>
        </is>
      </c>
      <c r="B2120" s="1" t="n">
        <v>45314</v>
      </c>
      <c r="C2120" s="1" t="n">
        <v>45849</v>
      </c>
      <c r="D2120" t="inlineStr">
        <is>
          <t>VÄRMLANDS LÄN</t>
        </is>
      </c>
      <c r="E2120" t="inlineStr">
        <is>
          <t>TORSBY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2662-2024</t>
        </is>
      </c>
      <c r="B2121" s="1" t="n">
        <v>45314</v>
      </c>
      <c r="C2121" s="1" t="n">
        <v>45849</v>
      </c>
      <c r="D2121" t="inlineStr">
        <is>
          <t>VÄRMLANDS LÄN</t>
        </is>
      </c>
      <c r="E2121" t="inlineStr">
        <is>
          <t>TORSBY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2870-2024</t>
        </is>
      </c>
      <c r="B2122" s="1" t="n">
        <v>45315</v>
      </c>
      <c r="C2122" s="1" t="n">
        <v>45849</v>
      </c>
      <c r="D2122" t="inlineStr">
        <is>
          <t>VÄRMLANDS LÄN</t>
        </is>
      </c>
      <c r="E2122" t="inlineStr">
        <is>
          <t>TORSBY</t>
        </is>
      </c>
      <c r="F2122" t="inlineStr">
        <is>
          <t>Bergvik skog väst AB</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3106-2024</t>
        </is>
      </c>
      <c r="B2123" s="1" t="n">
        <v>45316</v>
      </c>
      <c r="C2123" s="1" t="n">
        <v>45849</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3069-2024</t>
        </is>
      </c>
      <c r="B2124" s="1" t="n">
        <v>45316</v>
      </c>
      <c r="C2124" s="1" t="n">
        <v>45849</v>
      </c>
      <c r="D2124" t="inlineStr">
        <is>
          <t>VÄRMLANDS LÄN</t>
        </is>
      </c>
      <c r="E2124" t="inlineStr">
        <is>
          <t>TORSBY</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3326-2024</t>
        </is>
      </c>
      <c r="B2125" s="1" t="n">
        <v>45317</v>
      </c>
      <c r="C2125" s="1" t="n">
        <v>45849</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3298-2024</t>
        </is>
      </c>
      <c r="B2126" s="1" t="n">
        <v>45317</v>
      </c>
      <c r="C2126" s="1" t="n">
        <v>45849</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3331-2024</t>
        </is>
      </c>
      <c r="B2127" s="1" t="n">
        <v>45317</v>
      </c>
      <c r="C2127" s="1" t="n">
        <v>45849</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3591-2024</t>
        </is>
      </c>
      <c r="B2128" s="1" t="n">
        <v>45320</v>
      </c>
      <c r="C2128" s="1" t="n">
        <v>45849</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3479-2024</t>
        </is>
      </c>
      <c r="B2129" s="1" t="n">
        <v>45320</v>
      </c>
      <c r="C2129" s="1" t="n">
        <v>45849</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3536-2024</t>
        </is>
      </c>
      <c r="B2130" s="1" t="n">
        <v>45320</v>
      </c>
      <c r="C2130" s="1" t="n">
        <v>45849</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3590-2024</t>
        </is>
      </c>
      <c r="B2131" s="1" t="n">
        <v>45320</v>
      </c>
      <c r="C2131" s="1" t="n">
        <v>45849</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3608-2024</t>
        </is>
      </c>
      <c r="B2132" s="1" t="n">
        <v>45320</v>
      </c>
      <c r="C2132" s="1" t="n">
        <v>45849</v>
      </c>
      <c r="D2132" t="inlineStr">
        <is>
          <t>VÄRMLANDS LÄN</t>
        </is>
      </c>
      <c r="E2132" t="inlineStr">
        <is>
          <t>TORSBY</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3678-2024</t>
        </is>
      </c>
      <c r="B2133" s="1" t="n">
        <v>45321</v>
      </c>
      <c r="C2133" s="1" t="n">
        <v>45849</v>
      </c>
      <c r="D2133" t="inlineStr">
        <is>
          <t>VÄRMLANDS LÄN</t>
        </is>
      </c>
      <c r="E2133" t="inlineStr">
        <is>
          <t>TORSBY</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3672-2024</t>
        </is>
      </c>
      <c r="B2134" s="1" t="n">
        <v>45321</v>
      </c>
      <c r="C2134" s="1" t="n">
        <v>45849</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3720-2024</t>
        </is>
      </c>
      <c r="B2135" s="1" t="n">
        <v>45321</v>
      </c>
      <c r="C2135" s="1" t="n">
        <v>45849</v>
      </c>
      <c r="D2135" t="inlineStr">
        <is>
          <t>VÄRMLANDS LÄN</t>
        </is>
      </c>
      <c r="E2135" t="inlineStr">
        <is>
          <t>TORSBY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3724-2024</t>
        </is>
      </c>
      <c r="B2136" s="1" t="n">
        <v>45321</v>
      </c>
      <c r="C2136" s="1" t="n">
        <v>45849</v>
      </c>
      <c r="D2136" t="inlineStr">
        <is>
          <t>VÄRMLANDS LÄN</t>
        </is>
      </c>
      <c r="E2136" t="inlineStr">
        <is>
          <t>TORSBY</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3673-2024</t>
        </is>
      </c>
      <c r="B2137" s="1" t="n">
        <v>45321</v>
      </c>
      <c r="C2137" s="1" t="n">
        <v>45849</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3750-2024</t>
        </is>
      </c>
      <c r="B2138" s="1" t="n">
        <v>45321</v>
      </c>
      <c r="C2138" s="1" t="n">
        <v>45849</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3734-2024</t>
        </is>
      </c>
      <c r="B2139" s="1" t="n">
        <v>45321</v>
      </c>
      <c r="C2139" s="1" t="n">
        <v>45849</v>
      </c>
      <c r="D2139" t="inlineStr">
        <is>
          <t>VÄRMLANDS LÄN</t>
        </is>
      </c>
      <c r="E2139" t="inlineStr">
        <is>
          <t>TORSBY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3822-2024</t>
        </is>
      </c>
      <c r="B2140" s="1" t="n">
        <v>45321</v>
      </c>
      <c r="C2140" s="1" t="n">
        <v>45849</v>
      </c>
      <c r="D2140" t="inlineStr">
        <is>
          <t>VÄRMLANDS LÄN</t>
        </is>
      </c>
      <c r="E2140" t="inlineStr">
        <is>
          <t>TORSBY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3922-2024</t>
        </is>
      </c>
      <c r="B2141" s="1" t="n">
        <v>45322</v>
      </c>
      <c r="C2141" s="1" t="n">
        <v>45849</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4030-2024</t>
        </is>
      </c>
      <c r="B2142" s="1" t="n">
        <v>45323</v>
      </c>
      <c r="C2142" s="1" t="n">
        <v>45849</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4070-2024</t>
        </is>
      </c>
      <c r="B2143" s="1" t="n">
        <v>45323</v>
      </c>
      <c r="C2143" s="1" t="n">
        <v>45849</v>
      </c>
      <c r="D2143" t="inlineStr">
        <is>
          <t>VÄRMLANDS LÄN</t>
        </is>
      </c>
      <c r="E2143" t="inlineStr">
        <is>
          <t>TORSBY</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4078-2024</t>
        </is>
      </c>
      <c r="B2144" s="1" t="n">
        <v>45323</v>
      </c>
      <c r="C2144" s="1" t="n">
        <v>45849</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4231-2024</t>
        </is>
      </c>
      <c r="B2145" s="1" t="n">
        <v>45324</v>
      </c>
      <c r="C2145" s="1" t="n">
        <v>45849</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4219-2024</t>
        </is>
      </c>
      <c r="B2146" s="1" t="n">
        <v>45324</v>
      </c>
      <c r="C2146" s="1" t="n">
        <v>45849</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4908-2024</t>
        </is>
      </c>
      <c r="B2147" s="1" t="n">
        <v>45329</v>
      </c>
      <c r="C2147" s="1" t="n">
        <v>45849</v>
      </c>
      <c r="D2147" t="inlineStr">
        <is>
          <t>VÄRMLANDS LÄN</t>
        </is>
      </c>
      <c r="E2147" t="inlineStr">
        <is>
          <t>TORSBY</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4918-2024</t>
        </is>
      </c>
      <c r="B2148" s="1" t="n">
        <v>45329</v>
      </c>
      <c r="C2148" s="1" t="n">
        <v>45849</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4920-2024</t>
        </is>
      </c>
      <c r="B2149" s="1" t="n">
        <v>45329</v>
      </c>
      <c r="C2149" s="1" t="n">
        <v>45849</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4913-2024</t>
        </is>
      </c>
      <c r="B2150" s="1" t="n">
        <v>45329</v>
      </c>
      <c r="C2150" s="1" t="n">
        <v>45849</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5115-2024</t>
        </is>
      </c>
      <c r="B2151" s="1" t="n">
        <v>45330</v>
      </c>
      <c r="C2151" s="1" t="n">
        <v>45849</v>
      </c>
      <c r="D2151" t="inlineStr">
        <is>
          <t>VÄRMLANDS LÄN</t>
        </is>
      </c>
      <c r="E2151" t="inlineStr">
        <is>
          <t>TORSBY</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5351-2024</t>
        </is>
      </c>
      <c r="B2152" s="1" t="n">
        <v>45331</v>
      </c>
      <c r="C2152" s="1" t="n">
        <v>45849</v>
      </c>
      <c r="D2152" t="inlineStr">
        <is>
          <t>VÄRMLANDS LÄN</t>
        </is>
      </c>
      <c r="E2152" t="inlineStr">
        <is>
          <t>TORSBY</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5509-2024</t>
        </is>
      </c>
      <c r="B2153" s="1" t="n">
        <v>45334</v>
      </c>
      <c r="C2153" s="1" t="n">
        <v>45849</v>
      </c>
      <c r="D2153" t="inlineStr">
        <is>
          <t>VÄRMLANDS LÄN</t>
        </is>
      </c>
      <c r="E2153" t="inlineStr">
        <is>
          <t>TORSBY</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5814-2024</t>
        </is>
      </c>
      <c r="B2154" s="1" t="n">
        <v>45335</v>
      </c>
      <c r="C2154" s="1" t="n">
        <v>45849</v>
      </c>
      <c r="D2154" t="inlineStr">
        <is>
          <t>VÄRMLANDS LÄN</t>
        </is>
      </c>
      <c r="E2154" t="inlineStr">
        <is>
          <t>TORSBY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5863-2024</t>
        </is>
      </c>
      <c r="B2155" s="1" t="n">
        <v>45335</v>
      </c>
      <c r="C2155" s="1" t="n">
        <v>45849</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5948-2024</t>
        </is>
      </c>
      <c r="B2156" s="1" t="n">
        <v>45336</v>
      </c>
      <c r="C2156" s="1" t="n">
        <v>45849</v>
      </c>
      <c r="D2156" t="inlineStr">
        <is>
          <t>VÄRMLANDS LÄN</t>
        </is>
      </c>
      <c r="E2156" t="inlineStr">
        <is>
          <t>TORSBY</t>
        </is>
      </c>
      <c r="F2156" t="inlineStr">
        <is>
          <t>Bergvik skog väst AB</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6013-2024</t>
        </is>
      </c>
      <c r="B2157" s="1" t="n">
        <v>45336</v>
      </c>
      <c r="C2157" s="1" t="n">
        <v>45849</v>
      </c>
      <c r="D2157" t="inlineStr">
        <is>
          <t>VÄRMLANDS LÄN</t>
        </is>
      </c>
      <c r="E2157" t="inlineStr">
        <is>
          <t>TORSBY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6371-2024</t>
        </is>
      </c>
      <c r="B2158" s="1" t="n">
        <v>45338</v>
      </c>
      <c r="C2158" s="1" t="n">
        <v>45849</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6648-2024</t>
        </is>
      </c>
      <c r="B2159" s="1" t="n">
        <v>45341</v>
      </c>
      <c r="C2159" s="1" t="n">
        <v>45849</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6646-2024</t>
        </is>
      </c>
      <c r="B2160" s="1" t="n">
        <v>45341</v>
      </c>
      <c r="C2160" s="1" t="n">
        <v>45849</v>
      </c>
      <c r="D2160" t="inlineStr">
        <is>
          <t>VÄRMLANDS LÄN</t>
        </is>
      </c>
      <c r="E2160" t="inlineStr">
        <is>
          <t>TORSBY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6675-2024</t>
        </is>
      </c>
      <c r="B2161" s="1" t="n">
        <v>45341</v>
      </c>
      <c r="C2161" s="1" t="n">
        <v>45849</v>
      </c>
      <c r="D2161" t="inlineStr">
        <is>
          <t>VÄRMLANDS LÄN</t>
        </is>
      </c>
      <c r="E2161" t="inlineStr">
        <is>
          <t>TORSBY</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6828-2024</t>
        </is>
      </c>
      <c r="B2162" s="1" t="n">
        <v>45342</v>
      </c>
      <c r="C2162" s="1" t="n">
        <v>45849</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6943-2024</t>
        </is>
      </c>
      <c r="B2163" s="1" t="n">
        <v>45343</v>
      </c>
      <c r="C2163" s="1" t="n">
        <v>45849</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6942-2024</t>
        </is>
      </c>
      <c r="B2164" s="1" t="n">
        <v>45343</v>
      </c>
      <c r="C2164" s="1" t="n">
        <v>45849</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7221-2024</t>
        </is>
      </c>
      <c r="B2165" s="1" t="n">
        <v>45344</v>
      </c>
      <c r="C2165" s="1" t="n">
        <v>45849</v>
      </c>
      <c r="D2165" t="inlineStr">
        <is>
          <t>VÄRMLANDS LÄN</t>
        </is>
      </c>
      <c r="E2165" t="inlineStr">
        <is>
          <t>TORSBY</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7490-2024</t>
        </is>
      </c>
      <c r="B2166" s="1" t="n">
        <v>45346</v>
      </c>
      <c r="C2166" s="1" t="n">
        <v>45849</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7494-2024</t>
        </is>
      </c>
      <c r="B2167" s="1" t="n">
        <v>45346</v>
      </c>
      <c r="C2167" s="1" t="n">
        <v>45849</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7487-2024</t>
        </is>
      </c>
      <c r="B2168" s="1" t="n">
        <v>45346</v>
      </c>
      <c r="C2168" s="1" t="n">
        <v>45849</v>
      </c>
      <c r="D2168" t="inlineStr">
        <is>
          <t>VÄRMLANDS LÄN</t>
        </is>
      </c>
      <c r="E2168" t="inlineStr">
        <is>
          <t>TORSBY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7491-2024</t>
        </is>
      </c>
      <c r="B2169" s="1" t="n">
        <v>45346</v>
      </c>
      <c r="C2169" s="1" t="n">
        <v>45849</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7489-2024</t>
        </is>
      </c>
      <c r="B2170" s="1" t="n">
        <v>45346</v>
      </c>
      <c r="C2170" s="1" t="n">
        <v>45849</v>
      </c>
      <c r="D2170" t="inlineStr">
        <is>
          <t>VÄRMLANDS LÄN</t>
        </is>
      </c>
      <c r="E2170" t="inlineStr">
        <is>
          <t>TORSBY</t>
        </is>
      </c>
      <c r="G2170" t="n">
        <v>13.2</v>
      </c>
      <c r="H2170" t="n">
        <v>0</v>
      </c>
      <c r="I2170" t="n">
        <v>0</v>
      </c>
      <c r="J2170" t="n">
        <v>0</v>
      </c>
      <c r="K2170" t="n">
        <v>0</v>
      </c>
      <c r="L2170" t="n">
        <v>0</v>
      </c>
      <c r="M2170" t="n">
        <v>0</v>
      </c>
      <c r="N2170" t="n">
        <v>0</v>
      </c>
      <c r="O2170" t="n">
        <v>0</v>
      </c>
      <c r="P2170" t="n">
        <v>0</v>
      </c>
      <c r="Q2170" t="n">
        <v>0</v>
      </c>
      <c r="R2170" s="2" t="inlineStr"/>
    </row>
    <row r="2171" ht="15" customHeight="1">
      <c r="A2171" t="inlineStr">
        <is>
          <t>A 7493-2024</t>
        </is>
      </c>
      <c r="B2171" s="1" t="n">
        <v>45346</v>
      </c>
      <c r="C2171" s="1" t="n">
        <v>45849</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7488-2024</t>
        </is>
      </c>
      <c r="B2172" s="1" t="n">
        <v>45346</v>
      </c>
      <c r="C2172" s="1" t="n">
        <v>45849</v>
      </c>
      <c r="D2172" t="inlineStr">
        <is>
          <t>VÄRMLANDS LÄN</t>
        </is>
      </c>
      <c r="E2172" t="inlineStr">
        <is>
          <t>TORSBY</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7500-2024</t>
        </is>
      </c>
      <c r="B2173" s="1" t="n">
        <v>45347</v>
      </c>
      <c r="C2173" s="1" t="n">
        <v>45849</v>
      </c>
      <c r="D2173" t="inlineStr">
        <is>
          <t>VÄRMLANDS LÄN</t>
        </is>
      </c>
      <c r="E2173" t="inlineStr">
        <is>
          <t>TORSBY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7651-2024</t>
        </is>
      </c>
      <c r="B2174" s="1" t="n">
        <v>45348</v>
      </c>
      <c r="C2174" s="1" t="n">
        <v>45849</v>
      </c>
      <c r="D2174" t="inlineStr">
        <is>
          <t>VÄRMLANDS LÄN</t>
        </is>
      </c>
      <c r="E2174" t="inlineStr">
        <is>
          <t>TORSBY</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7636-2024</t>
        </is>
      </c>
      <c r="B2175" s="1" t="n">
        <v>45348</v>
      </c>
      <c r="C2175" s="1" t="n">
        <v>45849</v>
      </c>
      <c r="D2175" t="inlineStr">
        <is>
          <t>VÄRMLANDS LÄN</t>
        </is>
      </c>
      <c r="E2175" t="inlineStr">
        <is>
          <t>TORSBY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7676-2024</t>
        </is>
      </c>
      <c r="B2176" s="1" t="n">
        <v>45348</v>
      </c>
      <c r="C2176" s="1" t="n">
        <v>45849</v>
      </c>
      <c r="D2176" t="inlineStr">
        <is>
          <t>VÄRMLANDS LÄN</t>
        </is>
      </c>
      <c r="E2176" t="inlineStr">
        <is>
          <t>TORSBY</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7677-2024</t>
        </is>
      </c>
      <c r="B2177" s="1" t="n">
        <v>45348</v>
      </c>
      <c r="C2177" s="1" t="n">
        <v>45849</v>
      </c>
      <c r="D2177" t="inlineStr">
        <is>
          <t>VÄRMLANDS LÄN</t>
        </is>
      </c>
      <c r="E2177" t="inlineStr">
        <is>
          <t>TORSBY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7757-2024</t>
        </is>
      </c>
      <c r="B2178" s="1" t="n">
        <v>45349</v>
      </c>
      <c r="C2178" s="1" t="n">
        <v>45849</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7927-2024</t>
        </is>
      </c>
      <c r="B2179" s="1" t="n">
        <v>45350</v>
      </c>
      <c r="C2179" s="1" t="n">
        <v>45849</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8012-2024</t>
        </is>
      </c>
      <c r="B2180" s="1" t="n">
        <v>45350</v>
      </c>
      <c r="C2180" s="1" t="n">
        <v>45849</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8625-2024</t>
        </is>
      </c>
      <c r="B2181" s="1" t="n">
        <v>45355</v>
      </c>
      <c r="C2181" s="1" t="n">
        <v>45849</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8728-2024</t>
        </is>
      </c>
      <c r="B2182" s="1" t="n">
        <v>45356</v>
      </c>
      <c r="C2182" s="1" t="n">
        <v>45849</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8720-2024</t>
        </is>
      </c>
      <c r="B2183" s="1" t="n">
        <v>45356</v>
      </c>
      <c r="C2183" s="1" t="n">
        <v>45849</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8725-2024</t>
        </is>
      </c>
      <c r="B2184" s="1" t="n">
        <v>45356</v>
      </c>
      <c r="C2184" s="1" t="n">
        <v>45849</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8719-2024</t>
        </is>
      </c>
      <c r="B2185" s="1" t="n">
        <v>45356</v>
      </c>
      <c r="C2185" s="1" t="n">
        <v>45849</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9203-2024</t>
        </is>
      </c>
      <c r="B2186" s="1" t="n">
        <v>45358</v>
      </c>
      <c r="C2186" s="1" t="n">
        <v>45849</v>
      </c>
      <c r="D2186" t="inlineStr">
        <is>
          <t>VÄRMLANDS LÄN</t>
        </is>
      </c>
      <c r="E2186" t="inlineStr">
        <is>
          <t>TORSBY</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9381-2024</t>
        </is>
      </c>
      <c r="B2187" s="1" t="n">
        <v>45359</v>
      </c>
      <c r="C2187" s="1" t="n">
        <v>45849</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9764-2024</t>
        </is>
      </c>
      <c r="B2188" s="1" t="n">
        <v>45362</v>
      </c>
      <c r="C2188" s="1" t="n">
        <v>45849</v>
      </c>
      <c r="D2188" t="inlineStr">
        <is>
          <t>VÄRMLANDS LÄN</t>
        </is>
      </c>
      <c r="E2188" t="inlineStr">
        <is>
          <t>TORSBY</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9799-2024</t>
        </is>
      </c>
      <c r="B2189" s="1" t="n">
        <v>45362</v>
      </c>
      <c r="C2189" s="1" t="n">
        <v>45849</v>
      </c>
      <c r="D2189" t="inlineStr">
        <is>
          <t>VÄRMLANDS LÄN</t>
        </is>
      </c>
      <c r="E2189" t="inlineStr">
        <is>
          <t>TORSBY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9793-2024</t>
        </is>
      </c>
      <c r="B2190" s="1" t="n">
        <v>45362</v>
      </c>
      <c r="C2190" s="1" t="n">
        <v>45849</v>
      </c>
      <c r="D2190" t="inlineStr">
        <is>
          <t>VÄRMLANDS LÄN</t>
        </is>
      </c>
      <c r="E2190" t="inlineStr">
        <is>
          <t>TORSBY</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9797-2024</t>
        </is>
      </c>
      <c r="B2191" s="1" t="n">
        <v>45362</v>
      </c>
      <c r="C2191" s="1" t="n">
        <v>45849</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9902-2024</t>
        </is>
      </c>
      <c r="B2192" s="1" t="n">
        <v>45363</v>
      </c>
      <c r="C2192" s="1" t="n">
        <v>45849</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9900-2024</t>
        </is>
      </c>
      <c r="B2193" s="1" t="n">
        <v>45363</v>
      </c>
      <c r="C2193" s="1" t="n">
        <v>45849</v>
      </c>
      <c r="D2193" t="inlineStr">
        <is>
          <t>VÄRMLANDS LÄN</t>
        </is>
      </c>
      <c r="E2193" t="inlineStr">
        <is>
          <t>TORSBY</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9904-2024</t>
        </is>
      </c>
      <c r="B2194" s="1" t="n">
        <v>45363</v>
      </c>
      <c r="C2194" s="1" t="n">
        <v>45849</v>
      </c>
      <c r="D2194" t="inlineStr">
        <is>
          <t>VÄRMLANDS LÄN</t>
        </is>
      </c>
      <c r="E2194" t="inlineStr">
        <is>
          <t>TORSBY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9908-2024</t>
        </is>
      </c>
      <c r="B2195" s="1" t="n">
        <v>45363</v>
      </c>
      <c r="C2195" s="1" t="n">
        <v>45849</v>
      </c>
      <c r="D2195" t="inlineStr">
        <is>
          <t>VÄRMLANDS LÄN</t>
        </is>
      </c>
      <c r="E2195" t="inlineStr">
        <is>
          <t>TORSBY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9912-2024</t>
        </is>
      </c>
      <c r="B2196" s="1" t="n">
        <v>45363</v>
      </c>
      <c r="C2196" s="1" t="n">
        <v>45849</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9871-2024</t>
        </is>
      </c>
      <c r="B2197" s="1" t="n">
        <v>45363</v>
      </c>
      <c r="C2197" s="1" t="n">
        <v>45849</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10011-2024</t>
        </is>
      </c>
      <c r="B2198" s="1" t="n">
        <v>45363</v>
      </c>
      <c r="C2198" s="1" t="n">
        <v>45849</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10304-2024</t>
        </is>
      </c>
      <c r="B2199" s="1" t="n">
        <v>45365</v>
      </c>
      <c r="C2199" s="1" t="n">
        <v>45849</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10372-2024</t>
        </is>
      </c>
      <c r="B2200" s="1" t="n">
        <v>45365</v>
      </c>
      <c r="C2200" s="1" t="n">
        <v>45849</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10380-2024</t>
        </is>
      </c>
      <c r="B2201" s="1" t="n">
        <v>45365</v>
      </c>
      <c r="C2201" s="1" t="n">
        <v>45849</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10466-2024</t>
        </is>
      </c>
      <c r="B2202" s="1" t="n">
        <v>45366</v>
      </c>
      <c r="C2202" s="1" t="n">
        <v>45849</v>
      </c>
      <c r="D2202" t="inlineStr">
        <is>
          <t>VÄRMLANDS LÄN</t>
        </is>
      </c>
      <c r="E2202" t="inlineStr">
        <is>
          <t>TORSBY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10589-2024</t>
        </is>
      </c>
      <c r="B2203" s="1" t="n">
        <v>45366</v>
      </c>
      <c r="C2203" s="1" t="n">
        <v>45849</v>
      </c>
      <c r="D2203" t="inlineStr">
        <is>
          <t>VÄRMLANDS LÄN</t>
        </is>
      </c>
      <c r="E2203" t="inlineStr">
        <is>
          <t>TORSBY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10587-2024</t>
        </is>
      </c>
      <c r="B2204" s="1" t="n">
        <v>45366</v>
      </c>
      <c r="C2204" s="1" t="n">
        <v>45849</v>
      </c>
      <c r="D2204" t="inlineStr">
        <is>
          <t>VÄRMLANDS LÄN</t>
        </is>
      </c>
      <c r="E2204" t="inlineStr">
        <is>
          <t>TORSBY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10684-2024</t>
        </is>
      </c>
      <c r="B2205" s="1" t="n">
        <v>45369</v>
      </c>
      <c r="C2205" s="1" t="n">
        <v>45849</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10895-2024</t>
        </is>
      </c>
      <c r="B2206" s="1" t="n">
        <v>45370</v>
      </c>
      <c r="C2206" s="1" t="n">
        <v>45849</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11121-2024</t>
        </is>
      </c>
      <c r="B2207" s="1" t="n">
        <v>45371</v>
      </c>
      <c r="C2207" s="1" t="n">
        <v>45849</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11153-2024</t>
        </is>
      </c>
      <c r="B2208" s="1" t="n">
        <v>45371</v>
      </c>
      <c r="C2208" s="1" t="n">
        <v>45849</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11135-2024</t>
        </is>
      </c>
      <c r="B2209" s="1" t="n">
        <v>45371</v>
      </c>
      <c r="C2209" s="1" t="n">
        <v>45849</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11143-2024</t>
        </is>
      </c>
      <c r="B2210" s="1" t="n">
        <v>45371</v>
      </c>
      <c r="C2210" s="1" t="n">
        <v>45849</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11187-2024</t>
        </is>
      </c>
      <c r="B2211" s="1" t="n">
        <v>45371</v>
      </c>
      <c r="C2211" s="1" t="n">
        <v>45849</v>
      </c>
      <c r="D2211" t="inlineStr">
        <is>
          <t>VÄRMLANDS LÄN</t>
        </is>
      </c>
      <c r="E2211" t="inlineStr">
        <is>
          <t>TORSBY</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11211-2024</t>
        </is>
      </c>
      <c r="B2212" s="1" t="n">
        <v>45371</v>
      </c>
      <c r="C2212" s="1" t="n">
        <v>45849</v>
      </c>
      <c r="D2212" t="inlineStr">
        <is>
          <t>VÄRMLANDS LÄN</t>
        </is>
      </c>
      <c r="E2212" t="inlineStr">
        <is>
          <t>TORSBY</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11227-2024</t>
        </is>
      </c>
      <c r="B2213" s="1" t="n">
        <v>45371</v>
      </c>
      <c r="C2213" s="1" t="n">
        <v>45849</v>
      </c>
      <c r="D2213" t="inlineStr">
        <is>
          <t>VÄRMLANDS LÄN</t>
        </is>
      </c>
      <c r="E2213" t="inlineStr">
        <is>
          <t>TORSBY</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11235-2024</t>
        </is>
      </c>
      <c r="B2214" s="1" t="n">
        <v>45371</v>
      </c>
      <c r="C2214" s="1" t="n">
        <v>45849</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11214-2024</t>
        </is>
      </c>
      <c r="B2215" s="1" t="n">
        <v>45371</v>
      </c>
      <c r="C2215" s="1" t="n">
        <v>45849</v>
      </c>
      <c r="D2215" t="inlineStr">
        <is>
          <t>VÄRMLANDS LÄN</t>
        </is>
      </c>
      <c r="E2215" t="inlineStr">
        <is>
          <t>TORSBY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11222-2024</t>
        </is>
      </c>
      <c r="B2216" s="1" t="n">
        <v>45371</v>
      </c>
      <c r="C2216" s="1" t="n">
        <v>45849</v>
      </c>
      <c r="D2216" t="inlineStr">
        <is>
          <t>VÄRMLANDS LÄN</t>
        </is>
      </c>
      <c r="E2216" t="inlineStr">
        <is>
          <t>TORSBY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11242-2024</t>
        </is>
      </c>
      <c r="B2217" s="1" t="n">
        <v>45371</v>
      </c>
      <c r="C2217" s="1" t="n">
        <v>45849</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11253-2024</t>
        </is>
      </c>
      <c r="B2218" s="1" t="n">
        <v>45371</v>
      </c>
      <c r="C2218" s="1" t="n">
        <v>45849</v>
      </c>
      <c r="D2218" t="inlineStr">
        <is>
          <t>VÄRMLANDS LÄN</t>
        </is>
      </c>
      <c r="E2218" t="inlineStr">
        <is>
          <t>TORSBY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11259-2024</t>
        </is>
      </c>
      <c r="B2219" s="1" t="n">
        <v>45371</v>
      </c>
      <c r="C2219" s="1" t="n">
        <v>45849</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11172-2024</t>
        </is>
      </c>
      <c r="B2220" s="1" t="n">
        <v>45371</v>
      </c>
      <c r="C2220" s="1" t="n">
        <v>45849</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11380-2024</t>
        </is>
      </c>
      <c r="B2221" s="1" t="n">
        <v>45372</v>
      </c>
      <c r="C2221" s="1" t="n">
        <v>45849</v>
      </c>
      <c r="D2221" t="inlineStr">
        <is>
          <t>VÄRMLANDS LÄN</t>
        </is>
      </c>
      <c r="E2221" t="inlineStr">
        <is>
          <t>TORSBY</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11575-2024</t>
        </is>
      </c>
      <c r="B2222" s="1" t="n">
        <v>45373</v>
      </c>
      <c r="C2222" s="1" t="n">
        <v>45849</v>
      </c>
      <c r="D2222" t="inlineStr">
        <is>
          <t>VÄRMLANDS LÄN</t>
        </is>
      </c>
      <c r="E2222" t="inlineStr">
        <is>
          <t>TORSBY</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11706-2024</t>
        </is>
      </c>
      <c r="B2223" s="1" t="n">
        <v>45373</v>
      </c>
      <c r="C2223" s="1" t="n">
        <v>45849</v>
      </c>
      <c r="D2223" t="inlineStr">
        <is>
          <t>VÄRMLANDS LÄN</t>
        </is>
      </c>
      <c r="E2223" t="inlineStr">
        <is>
          <t>TORSBY</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11776-2024</t>
        </is>
      </c>
      <c r="B2224" s="1" t="n">
        <v>45374</v>
      </c>
      <c r="C2224" s="1" t="n">
        <v>45849</v>
      </c>
      <c r="D2224" t="inlineStr">
        <is>
          <t>VÄRMLANDS LÄN</t>
        </is>
      </c>
      <c r="E2224" t="inlineStr">
        <is>
          <t>TORSBY</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11814-2024</t>
        </is>
      </c>
      <c r="B2225" s="1" t="n">
        <v>45376</v>
      </c>
      <c r="C2225" s="1" t="n">
        <v>45849</v>
      </c>
      <c r="D2225" t="inlineStr">
        <is>
          <t>VÄRMLANDS LÄN</t>
        </is>
      </c>
      <c r="E2225" t="inlineStr">
        <is>
          <t>TORSBY</t>
        </is>
      </c>
      <c r="F2225" t="inlineStr">
        <is>
          <t>Bergvik skog väst AB</t>
        </is>
      </c>
      <c r="G2225" t="n">
        <v>19.9</v>
      </c>
      <c r="H2225" t="n">
        <v>0</v>
      </c>
      <c r="I2225" t="n">
        <v>0</v>
      </c>
      <c r="J2225" t="n">
        <v>0</v>
      </c>
      <c r="K2225" t="n">
        <v>0</v>
      </c>
      <c r="L2225" t="n">
        <v>0</v>
      </c>
      <c r="M2225" t="n">
        <v>0</v>
      </c>
      <c r="N2225" t="n">
        <v>0</v>
      </c>
      <c r="O2225" t="n">
        <v>0</v>
      </c>
      <c r="P2225" t="n">
        <v>0</v>
      </c>
      <c r="Q2225" t="n">
        <v>0</v>
      </c>
      <c r="R2225" s="2" t="inlineStr"/>
    </row>
    <row r="2226" ht="15" customHeight="1">
      <c r="A2226" t="inlineStr">
        <is>
          <t>A 11850-2024</t>
        </is>
      </c>
      <c r="B2226" s="1" t="n">
        <v>45376</v>
      </c>
      <c r="C2226" s="1" t="n">
        <v>45849</v>
      </c>
      <c r="D2226" t="inlineStr">
        <is>
          <t>VÄRMLANDS LÄN</t>
        </is>
      </c>
      <c r="E2226" t="inlineStr">
        <is>
          <t>TORSBY</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11878-2024</t>
        </is>
      </c>
      <c r="B2227" s="1" t="n">
        <v>45376</v>
      </c>
      <c r="C2227" s="1" t="n">
        <v>45849</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12104-2024</t>
        </is>
      </c>
      <c r="B2228" s="1" t="n">
        <v>45377</v>
      </c>
      <c r="C2228" s="1" t="n">
        <v>45849</v>
      </c>
      <c r="D2228" t="inlineStr">
        <is>
          <t>VÄRMLANDS LÄN</t>
        </is>
      </c>
      <c r="E2228" t="inlineStr">
        <is>
          <t>TORSBY</t>
        </is>
      </c>
      <c r="F2228" t="inlineStr">
        <is>
          <t>Bergvik skog väst AB</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12107-2024</t>
        </is>
      </c>
      <c r="B2229" s="1" t="n">
        <v>45377</v>
      </c>
      <c r="C2229" s="1" t="n">
        <v>45849</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12051-2024</t>
        </is>
      </c>
      <c r="B2230" s="1" t="n">
        <v>45377</v>
      </c>
      <c r="C2230" s="1" t="n">
        <v>45849</v>
      </c>
      <c r="D2230" t="inlineStr">
        <is>
          <t>VÄRMLANDS LÄN</t>
        </is>
      </c>
      <c r="E2230" t="inlineStr">
        <is>
          <t>TORSBY</t>
        </is>
      </c>
      <c r="F2230" t="inlineStr">
        <is>
          <t>Bergvik skog väst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12509-2024</t>
        </is>
      </c>
      <c r="B2231" s="1" t="n">
        <v>45379</v>
      </c>
      <c r="C2231" s="1" t="n">
        <v>45849</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12503-2024</t>
        </is>
      </c>
      <c r="B2232" s="1" t="n">
        <v>45379</v>
      </c>
      <c r="C2232" s="1" t="n">
        <v>45849</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12684-2024</t>
        </is>
      </c>
      <c r="B2233" s="1" t="n">
        <v>45384</v>
      </c>
      <c r="C2233" s="1" t="n">
        <v>45849</v>
      </c>
      <c r="D2233" t="inlineStr">
        <is>
          <t>VÄRMLANDS LÄN</t>
        </is>
      </c>
      <c r="E2233" t="inlineStr">
        <is>
          <t>TORSBY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12701-2024</t>
        </is>
      </c>
      <c r="B2234" s="1" t="n">
        <v>45384</v>
      </c>
      <c r="C2234" s="1" t="n">
        <v>45849</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12989-2024</t>
        </is>
      </c>
      <c r="B2235" s="1" t="n">
        <v>45385</v>
      </c>
      <c r="C2235" s="1" t="n">
        <v>45849</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13211-2024</t>
        </is>
      </c>
      <c r="B2236" s="1" t="n">
        <v>45386</v>
      </c>
      <c r="C2236" s="1" t="n">
        <v>45849</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13262-2024</t>
        </is>
      </c>
      <c r="B2237" s="1" t="n">
        <v>45386</v>
      </c>
      <c r="C2237" s="1" t="n">
        <v>45849</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13186-2024</t>
        </is>
      </c>
      <c r="B2238" s="1" t="n">
        <v>45386</v>
      </c>
      <c r="C2238" s="1" t="n">
        <v>45849</v>
      </c>
      <c r="D2238" t="inlineStr">
        <is>
          <t>VÄRMLANDS LÄN</t>
        </is>
      </c>
      <c r="E2238" t="inlineStr">
        <is>
          <t>TORSBY</t>
        </is>
      </c>
      <c r="F2238" t="inlineStr">
        <is>
          <t>Bergvik skog väst AB</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13206-2024</t>
        </is>
      </c>
      <c r="B2239" s="1" t="n">
        <v>45386</v>
      </c>
      <c r="C2239" s="1" t="n">
        <v>45849</v>
      </c>
      <c r="D2239" t="inlineStr">
        <is>
          <t>VÄRMLANDS LÄN</t>
        </is>
      </c>
      <c r="E2239" t="inlineStr">
        <is>
          <t>TORSBY</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13435-2024</t>
        </is>
      </c>
      <c r="B2240" s="1" t="n">
        <v>45387</v>
      </c>
      <c r="C2240" s="1" t="n">
        <v>45849</v>
      </c>
      <c r="D2240" t="inlineStr">
        <is>
          <t>VÄRMLANDS LÄN</t>
        </is>
      </c>
      <c r="E2240" t="inlineStr">
        <is>
          <t>TORSBY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13619-2024</t>
        </is>
      </c>
      <c r="B2241" s="1" t="n">
        <v>45390</v>
      </c>
      <c r="C2241" s="1" t="n">
        <v>45849</v>
      </c>
      <c r="D2241" t="inlineStr">
        <is>
          <t>VÄRMLANDS LÄN</t>
        </is>
      </c>
      <c r="E2241" t="inlineStr">
        <is>
          <t>TORSBY</t>
        </is>
      </c>
      <c r="F2241" t="inlineStr">
        <is>
          <t>Bergvik skog väst AB</t>
        </is>
      </c>
      <c r="G2241" t="n">
        <v>25.7</v>
      </c>
      <c r="H2241" t="n">
        <v>0</v>
      </c>
      <c r="I2241" t="n">
        <v>0</v>
      </c>
      <c r="J2241" t="n">
        <v>0</v>
      </c>
      <c r="K2241" t="n">
        <v>0</v>
      </c>
      <c r="L2241" t="n">
        <v>0</v>
      </c>
      <c r="M2241" t="n">
        <v>0</v>
      </c>
      <c r="N2241" t="n">
        <v>0</v>
      </c>
      <c r="O2241" t="n">
        <v>0</v>
      </c>
      <c r="P2241" t="n">
        <v>0</v>
      </c>
      <c r="Q2241" t="n">
        <v>0</v>
      </c>
      <c r="R2241" s="2" t="inlineStr"/>
    </row>
    <row r="2242" ht="15" customHeight="1">
      <c r="A2242" t="inlineStr">
        <is>
          <t>A 13848-2024</t>
        </is>
      </c>
      <c r="B2242" s="1" t="n">
        <v>45390</v>
      </c>
      <c r="C2242" s="1" t="n">
        <v>45849</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13847-2024</t>
        </is>
      </c>
      <c r="B2243" s="1" t="n">
        <v>45390</v>
      </c>
      <c r="C2243" s="1" t="n">
        <v>45849</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13797-2024</t>
        </is>
      </c>
      <c r="B2244" s="1" t="n">
        <v>45391</v>
      </c>
      <c r="C2244" s="1" t="n">
        <v>45849</v>
      </c>
      <c r="D2244" t="inlineStr">
        <is>
          <t>VÄRMLANDS LÄN</t>
        </is>
      </c>
      <c r="E2244" t="inlineStr">
        <is>
          <t>TORSBY</t>
        </is>
      </c>
      <c r="F2244" t="inlineStr">
        <is>
          <t>Bergvik skog väst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14023-2024</t>
        </is>
      </c>
      <c r="B2245" s="1" t="n">
        <v>45392</v>
      </c>
      <c r="C2245" s="1" t="n">
        <v>45849</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13965-2024</t>
        </is>
      </c>
      <c r="B2246" s="1" t="n">
        <v>45392</v>
      </c>
      <c r="C2246" s="1" t="n">
        <v>45849</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14052-2024</t>
        </is>
      </c>
      <c r="B2247" s="1" t="n">
        <v>45392</v>
      </c>
      <c r="C2247" s="1" t="n">
        <v>45849</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14063-2024</t>
        </is>
      </c>
      <c r="B2248" s="1" t="n">
        <v>45392</v>
      </c>
      <c r="C2248" s="1" t="n">
        <v>45849</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14283-2024</t>
        </is>
      </c>
      <c r="B2249" s="1" t="n">
        <v>45393</v>
      </c>
      <c r="C2249" s="1" t="n">
        <v>45849</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14440-2024</t>
        </is>
      </c>
      <c r="B2250" s="1" t="n">
        <v>45394</v>
      </c>
      <c r="C2250" s="1" t="n">
        <v>45849</v>
      </c>
      <c r="D2250" t="inlineStr">
        <is>
          <t>VÄRMLANDS LÄN</t>
        </is>
      </c>
      <c r="E2250" t="inlineStr">
        <is>
          <t>TORSBY</t>
        </is>
      </c>
      <c r="F2250" t="inlineStr">
        <is>
          <t>Bergvik skog väst AB</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14393-2024</t>
        </is>
      </c>
      <c r="B2251" s="1" t="n">
        <v>45394</v>
      </c>
      <c r="C2251" s="1" t="n">
        <v>45849</v>
      </c>
      <c r="D2251" t="inlineStr">
        <is>
          <t>VÄRMLANDS LÄN</t>
        </is>
      </c>
      <c r="E2251" t="inlineStr">
        <is>
          <t>TORSBY</t>
        </is>
      </c>
      <c r="F2251" t="inlineStr">
        <is>
          <t>Bergvik skog väst AB</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14453-2024</t>
        </is>
      </c>
      <c r="B2252" s="1" t="n">
        <v>45394</v>
      </c>
      <c r="C2252" s="1" t="n">
        <v>45849</v>
      </c>
      <c r="D2252" t="inlineStr">
        <is>
          <t>VÄRMLANDS LÄN</t>
        </is>
      </c>
      <c r="E2252" t="inlineStr">
        <is>
          <t>TORSBY</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14730-2024</t>
        </is>
      </c>
      <c r="B2253" s="1" t="n">
        <v>45397</v>
      </c>
      <c r="C2253" s="1" t="n">
        <v>45849</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14763-2024</t>
        </is>
      </c>
      <c r="B2254" s="1" t="n">
        <v>45397</v>
      </c>
      <c r="C2254" s="1" t="n">
        <v>45849</v>
      </c>
      <c r="D2254" t="inlineStr">
        <is>
          <t>VÄRMLANDS LÄN</t>
        </is>
      </c>
      <c r="E2254" t="inlineStr">
        <is>
          <t>TORSBY</t>
        </is>
      </c>
      <c r="F2254" t="inlineStr">
        <is>
          <t>Bergvik skog väst AB</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14872-2024</t>
        </is>
      </c>
      <c r="B2255" s="1" t="n">
        <v>45398</v>
      </c>
      <c r="C2255" s="1" t="n">
        <v>45849</v>
      </c>
      <c r="D2255" t="inlineStr">
        <is>
          <t>VÄRMLANDS LÄN</t>
        </is>
      </c>
      <c r="E2255" t="inlineStr">
        <is>
          <t>TORSBY</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14831-2024</t>
        </is>
      </c>
      <c r="B2256" s="1" t="n">
        <v>45398</v>
      </c>
      <c r="C2256" s="1" t="n">
        <v>45849</v>
      </c>
      <c r="D2256" t="inlineStr">
        <is>
          <t>VÄRMLANDS LÄN</t>
        </is>
      </c>
      <c r="E2256" t="inlineStr">
        <is>
          <t>TORSBY</t>
        </is>
      </c>
      <c r="F2256" t="inlineStr">
        <is>
          <t>Bergvik skog väst AB</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14949-2024</t>
        </is>
      </c>
      <c r="B2257" s="1" t="n">
        <v>45398</v>
      </c>
      <c r="C2257" s="1" t="n">
        <v>45849</v>
      </c>
      <c r="D2257" t="inlineStr">
        <is>
          <t>VÄRMLANDS LÄN</t>
        </is>
      </c>
      <c r="E2257" t="inlineStr">
        <is>
          <t>TORSBY</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14882-2024</t>
        </is>
      </c>
      <c r="B2258" s="1" t="n">
        <v>45398</v>
      </c>
      <c r="C2258" s="1" t="n">
        <v>45849</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14860-2024</t>
        </is>
      </c>
      <c r="B2259" s="1" t="n">
        <v>45398</v>
      </c>
      <c r="C2259" s="1" t="n">
        <v>45849</v>
      </c>
      <c r="D2259" t="inlineStr">
        <is>
          <t>VÄRMLANDS LÄN</t>
        </is>
      </c>
      <c r="E2259" t="inlineStr">
        <is>
          <t>TORSBY</t>
        </is>
      </c>
      <c r="F2259" t="inlineStr">
        <is>
          <t>Kyrkan</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15083-2024</t>
        </is>
      </c>
      <c r="B2260" s="1" t="n">
        <v>45399</v>
      </c>
      <c r="C2260" s="1" t="n">
        <v>45849</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15052-2024</t>
        </is>
      </c>
      <c r="B2261" s="1" t="n">
        <v>45399</v>
      </c>
      <c r="C2261" s="1" t="n">
        <v>45849</v>
      </c>
      <c r="D2261" t="inlineStr">
        <is>
          <t>VÄRMLANDS LÄN</t>
        </is>
      </c>
      <c r="E2261" t="inlineStr">
        <is>
          <t>TORSBY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15064-2024</t>
        </is>
      </c>
      <c r="B2262" s="1" t="n">
        <v>45399</v>
      </c>
      <c r="C2262" s="1" t="n">
        <v>45849</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15101-2024</t>
        </is>
      </c>
      <c r="B2263" s="1" t="n">
        <v>45399</v>
      </c>
      <c r="C2263" s="1" t="n">
        <v>45849</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15061-2024</t>
        </is>
      </c>
      <c r="B2264" s="1" t="n">
        <v>45399</v>
      </c>
      <c r="C2264" s="1" t="n">
        <v>45849</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15126-2024</t>
        </is>
      </c>
      <c r="B2265" s="1" t="n">
        <v>45399</v>
      </c>
      <c r="C2265" s="1" t="n">
        <v>45849</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15127-2024</t>
        </is>
      </c>
      <c r="B2266" s="1" t="n">
        <v>45399</v>
      </c>
      <c r="C2266" s="1" t="n">
        <v>45849</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15182-2024</t>
        </is>
      </c>
      <c r="B2267" s="1" t="n">
        <v>45400</v>
      </c>
      <c r="C2267" s="1" t="n">
        <v>45849</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15180-2024</t>
        </is>
      </c>
      <c r="B2268" s="1" t="n">
        <v>45400</v>
      </c>
      <c r="C2268" s="1" t="n">
        <v>45849</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15222-2024</t>
        </is>
      </c>
      <c r="B2269" s="1" t="n">
        <v>45400</v>
      </c>
      <c r="C2269" s="1" t="n">
        <v>45849</v>
      </c>
      <c r="D2269" t="inlineStr">
        <is>
          <t>VÄRMLANDS LÄN</t>
        </is>
      </c>
      <c r="E2269" t="inlineStr">
        <is>
          <t>TORSBY</t>
        </is>
      </c>
      <c r="F2269" t="inlineStr">
        <is>
          <t>Bergvik skog väst AB</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15274-2024</t>
        </is>
      </c>
      <c r="B2270" s="1" t="n">
        <v>45400</v>
      </c>
      <c r="C2270" s="1" t="n">
        <v>45849</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15293-2024</t>
        </is>
      </c>
      <c r="B2271" s="1" t="n">
        <v>45400</v>
      </c>
      <c r="C2271" s="1" t="n">
        <v>45849</v>
      </c>
      <c r="D2271" t="inlineStr">
        <is>
          <t>VÄRMLANDS LÄN</t>
        </is>
      </c>
      <c r="E2271" t="inlineStr">
        <is>
          <t>TORSBY</t>
        </is>
      </c>
      <c r="F2271" t="inlineStr">
        <is>
          <t>Bergvik skog väst AB</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15175-2024</t>
        </is>
      </c>
      <c r="B2272" s="1" t="n">
        <v>45400</v>
      </c>
      <c r="C2272" s="1" t="n">
        <v>45849</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15315-2024</t>
        </is>
      </c>
      <c r="B2273" s="1" t="n">
        <v>45400</v>
      </c>
      <c r="C2273" s="1" t="n">
        <v>45849</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15320-2024</t>
        </is>
      </c>
      <c r="B2274" s="1" t="n">
        <v>45400</v>
      </c>
      <c r="C2274" s="1" t="n">
        <v>45849</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15425-2024</t>
        </is>
      </c>
      <c r="B2275" s="1" t="n">
        <v>45401</v>
      </c>
      <c r="C2275" s="1" t="n">
        <v>45849</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15503-2024</t>
        </is>
      </c>
      <c r="B2276" s="1" t="n">
        <v>45401</v>
      </c>
      <c r="C2276" s="1" t="n">
        <v>45849</v>
      </c>
      <c r="D2276" t="inlineStr">
        <is>
          <t>VÄRMLANDS LÄN</t>
        </is>
      </c>
      <c r="E2276" t="inlineStr">
        <is>
          <t>TORSBY</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15465-2024</t>
        </is>
      </c>
      <c r="B2277" s="1" t="n">
        <v>45401</v>
      </c>
      <c r="C2277" s="1" t="n">
        <v>45849</v>
      </c>
      <c r="D2277" t="inlineStr">
        <is>
          <t>VÄRMLANDS LÄN</t>
        </is>
      </c>
      <c r="E2277" t="inlineStr">
        <is>
          <t>TORSBY</t>
        </is>
      </c>
      <c r="F2277" t="inlineStr">
        <is>
          <t>Bergvik skog väst AB</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15730-2024</t>
        </is>
      </c>
      <c r="B2278" s="1" t="n">
        <v>45404</v>
      </c>
      <c r="C2278" s="1" t="n">
        <v>45849</v>
      </c>
      <c r="D2278" t="inlineStr">
        <is>
          <t>VÄRMLANDS LÄN</t>
        </is>
      </c>
      <c r="E2278" t="inlineStr">
        <is>
          <t>TORSBY</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15758-2024</t>
        </is>
      </c>
      <c r="B2279" s="1" t="n">
        <v>45404</v>
      </c>
      <c r="C2279" s="1" t="n">
        <v>45849</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15943-2024</t>
        </is>
      </c>
      <c r="B2280" s="1" t="n">
        <v>45405</v>
      </c>
      <c r="C2280" s="1" t="n">
        <v>45849</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15896-2024</t>
        </is>
      </c>
      <c r="B2281" s="1" t="n">
        <v>45405</v>
      </c>
      <c r="C2281" s="1" t="n">
        <v>45849</v>
      </c>
      <c r="D2281" t="inlineStr">
        <is>
          <t>VÄRMLANDS LÄN</t>
        </is>
      </c>
      <c r="E2281" t="inlineStr">
        <is>
          <t>TORSBY</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15892-2024</t>
        </is>
      </c>
      <c r="B2282" s="1" t="n">
        <v>45405</v>
      </c>
      <c r="C2282" s="1" t="n">
        <v>45849</v>
      </c>
      <c r="D2282" t="inlineStr">
        <is>
          <t>VÄRMLANDS LÄN</t>
        </is>
      </c>
      <c r="E2282" t="inlineStr">
        <is>
          <t>TORSBY</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15899-2024</t>
        </is>
      </c>
      <c r="B2283" s="1" t="n">
        <v>45405</v>
      </c>
      <c r="C2283" s="1" t="n">
        <v>45849</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15874-2024</t>
        </is>
      </c>
      <c r="B2284" s="1" t="n">
        <v>45405</v>
      </c>
      <c r="C2284" s="1" t="n">
        <v>45849</v>
      </c>
      <c r="D2284" t="inlineStr">
        <is>
          <t>VÄRMLANDS LÄN</t>
        </is>
      </c>
      <c r="E2284" t="inlineStr">
        <is>
          <t>TORSBY</t>
        </is>
      </c>
      <c r="F2284" t="inlineStr">
        <is>
          <t>Bergvik skog väst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16073-2024</t>
        </is>
      </c>
      <c r="B2285" s="1" t="n">
        <v>45406</v>
      </c>
      <c r="C2285" s="1" t="n">
        <v>45849</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16369-2024</t>
        </is>
      </c>
      <c r="B2286" s="1" t="n">
        <v>45407</v>
      </c>
      <c r="C2286" s="1" t="n">
        <v>45849</v>
      </c>
      <c r="D2286" t="inlineStr">
        <is>
          <t>VÄRMLANDS LÄN</t>
        </is>
      </c>
      <c r="E2286" t="inlineStr">
        <is>
          <t>TORSBY</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16517-2024</t>
        </is>
      </c>
      <c r="B2287" s="1" t="n">
        <v>45408</v>
      </c>
      <c r="C2287" s="1" t="n">
        <v>45849</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16585-2024</t>
        </is>
      </c>
      <c r="B2288" s="1" t="n">
        <v>45408</v>
      </c>
      <c r="C2288" s="1" t="n">
        <v>45849</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16654-2024</t>
        </is>
      </c>
      <c r="B2289" s="1" t="n">
        <v>45408</v>
      </c>
      <c r="C2289" s="1" t="n">
        <v>45849</v>
      </c>
      <c r="D2289" t="inlineStr">
        <is>
          <t>VÄRMLANDS LÄN</t>
        </is>
      </c>
      <c r="E2289" t="inlineStr">
        <is>
          <t>TORSBY</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16488-2024</t>
        </is>
      </c>
      <c r="B2290" s="1" t="n">
        <v>45408</v>
      </c>
      <c r="C2290" s="1" t="n">
        <v>45849</v>
      </c>
      <c r="D2290" t="inlineStr">
        <is>
          <t>VÄRMLANDS LÄN</t>
        </is>
      </c>
      <c r="E2290" t="inlineStr">
        <is>
          <t>TORSBY</t>
        </is>
      </c>
      <c r="F2290" t="inlineStr">
        <is>
          <t>Bergvik skog väst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16544-2024</t>
        </is>
      </c>
      <c r="B2291" s="1" t="n">
        <v>45408</v>
      </c>
      <c r="C2291" s="1" t="n">
        <v>45849</v>
      </c>
      <c r="D2291" t="inlineStr">
        <is>
          <t>VÄRMLANDS LÄN</t>
        </is>
      </c>
      <c r="E2291" t="inlineStr">
        <is>
          <t>TORSBY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16592-2024</t>
        </is>
      </c>
      <c r="B2292" s="1" t="n">
        <v>45408</v>
      </c>
      <c r="C2292" s="1" t="n">
        <v>45849</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16583-2024</t>
        </is>
      </c>
      <c r="B2293" s="1" t="n">
        <v>45408</v>
      </c>
      <c r="C2293" s="1" t="n">
        <v>45849</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16591-2024</t>
        </is>
      </c>
      <c r="B2294" s="1" t="n">
        <v>45408</v>
      </c>
      <c r="C2294" s="1" t="n">
        <v>45849</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16586-2024</t>
        </is>
      </c>
      <c r="B2295" s="1" t="n">
        <v>45408</v>
      </c>
      <c r="C2295" s="1" t="n">
        <v>45849</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16730-2024</t>
        </is>
      </c>
      <c r="B2296" s="1" t="n">
        <v>45410</v>
      </c>
      <c r="C2296" s="1" t="n">
        <v>45849</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16891-2024</t>
        </is>
      </c>
      <c r="B2297" s="1" t="n">
        <v>45411</v>
      </c>
      <c r="C2297" s="1" t="n">
        <v>45849</v>
      </c>
      <c r="D2297" t="inlineStr">
        <is>
          <t>VÄRMLANDS LÄN</t>
        </is>
      </c>
      <c r="E2297" t="inlineStr">
        <is>
          <t>TORSBY</t>
        </is>
      </c>
      <c r="F2297" t="inlineStr">
        <is>
          <t>Bergvik skog väst AB</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16961-2024</t>
        </is>
      </c>
      <c r="B2298" s="1" t="n">
        <v>45412</v>
      </c>
      <c r="C2298" s="1" t="n">
        <v>45849</v>
      </c>
      <c r="D2298" t="inlineStr">
        <is>
          <t>VÄRMLANDS LÄN</t>
        </is>
      </c>
      <c r="E2298" t="inlineStr">
        <is>
          <t>TORSBY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16841-2024</t>
        </is>
      </c>
      <c r="B2299" s="1" t="n">
        <v>45411</v>
      </c>
      <c r="C2299" s="1" t="n">
        <v>45849</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16780-2024</t>
        </is>
      </c>
      <c r="B2300" s="1" t="n">
        <v>45411</v>
      </c>
      <c r="C2300" s="1" t="n">
        <v>45849</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45849</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17008-2024</t>
        </is>
      </c>
      <c r="B2302" s="1" t="n">
        <v>45412</v>
      </c>
      <c r="C2302" s="1" t="n">
        <v>45849</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17001-2024</t>
        </is>
      </c>
      <c r="B2303" s="1" t="n">
        <v>45412</v>
      </c>
      <c r="C2303" s="1" t="n">
        <v>45849</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17083-2024</t>
        </is>
      </c>
      <c r="B2304" s="1" t="n">
        <v>45412</v>
      </c>
      <c r="C2304" s="1" t="n">
        <v>45849</v>
      </c>
      <c r="D2304" t="inlineStr">
        <is>
          <t>VÄRMLANDS LÄN</t>
        </is>
      </c>
      <c r="E2304" t="inlineStr">
        <is>
          <t>TORSBY</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17024-2024</t>
        </is>
      </c>
      <c r="B2305" s="1" t="n">
        <v>45412</v>
      </c>
      <c r="C2305" s="1" t="n">
        <v>45849</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17017-2024</t>
        </is>
      </c>
      <c r="B2306" s="1" t="n">
        <v>45412</v>
      </c>
      <c r="C2306" s="1" t="n">
        <v>45849</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17047-2024</t>
        </is>
      </c>
      <c r="B2307" s="1" t="n">
        <v>45412</v>
      </c>
      <c r="C2307" s="1" t="n">
        <v>45849</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17265-2024</t>
        </is>
      </c>
      <c r="B2308" s="1" t="n">
        <v>45414</v>
      </c>
      <c r="C2308" s="1" t="n">
        <v>45849</v>
      </c>
      <c r="D2308" t="inlineStr">
        <is>
          <t>VÄRMLANDS LÄN</t>
        </is>
      </c>
      <c r="E2308" t="inlineStr">
        <is>
          <t>TORSBY</t>
        </is>
      </c>
      <c r="F2308" t="inlineStr">
        <is>
          <t>Bergvik skog väst AB</t>
        </is>
      </c>
      <c r="G2308" t="n">
        <v>23.9</v>
      </c>
      <c r="H2308" t="n">
        <v>0</v>
      </c>
      <c r="I2308" t="n">
        <v>0</v>
      </c>
      <c r="J2308" t="n">
        <v>0</v>
      </c>
      <c r="K2308" t="n">
        <v>0</v>
      </c>
      <c r="L2308" t="n">
        <v>0</v>
      </c>
      <c r="M2308" t="n">
        <v>0</v>
      </c>
      <c r="N2308" t="n">
        <v>0</v>
      </c>
      <c r="O2308" t="n">
        <v>0</v>
      </c>
      <c r="P2308" t="n">
        <v>0</v>
      </c>
      <c r="Q2308" t="n">
        <v>0</v>
      </c>
      <c r="R2308" s="2" t="inlineStr"/>
    </row>
    <row r="2309" ht="15" customHeight="1">
      <c r="A2309" t="inlineStr">
        <is>
          <t>A 17285-2024</t>
        </is>
      </c>
      <c r="B2309" s="1" t="n">
        <v>45414</v>
      </c>
      <c r="C2309" s="1" t="n">
        <v>45849</v>
      </c>
      <c r="D2309" t="inlineStr">
        <is>
          <t>VÄRMLANDS LÄN</t>
        </is>
      </c>
      <c r="E2309" t="inlineStr">
        <is>
          <t>TORSBY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17233-2024</t>
        </is>
      </c>
      <c r="B2310" s="1" t="n">
        <v>45414</v>
      </c>
      <c r="C2310" s="1" t="n">
        <v>45849</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17390-2024</t>
        </is>
      </c>
      <c r="B2311" s="1" t="n">
        <v>45414</v>
      </c>
      <c r="C2311" s="1" t="n">
        <v>45849</v>
      </c>
      <c r="D2311" t="inlineStr">
        <is>
          <t>VÄRMLANDS LÄN</t>
        </is>
      </c>
      <c r="E2311" t="inlineStr">
        <is>
          <t>TORSBY</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17364-2024</t>
        </is>
      </c>
      <c r="B2312" s="1" t="n">
        <v>45414</v>
      </c>
      <c r="C2312" s="1" t="n">
        <v>45849</v>
      </c>
      <c r="D2312" t="inlineStr">
        <is>
          <t>VÄRMLANDS LÄN</t>
        </is>
      </c>
      <c r="E2312" t="inlineStr">
        <is>
          <t>TORSBY</t>
        </is>
      </c>
      <c r="F2312" t="inlineStr">
        <is>
          <t>Bergvik skog väst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17556-2024</t>
        </is>
      </c>
      <c r="B2313" s="1" t="n">
        <v>45415</v>
      </c>
      <c r="C2313" s="1" t="n">
        <v>45849</v>
      </c>
      <c r="D2313" t="inlineStr">
        <is>
          <t>VÄRMLANDS LÄN</t>
        </is>
      </c>
      <c r="E2313" t="inlineStr">
        <is>
          <t>TORSBY</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17525-2024</t>
        </is>
      </c>
      <c r="B2314" s="1" t="n">
        <v>45415</v>
      </c>
      <c r="C2314" s="1" t="n">
        <v>45849</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17562-2024</t>
        </is>
      </c>
      <c r="B2315" s="1" t="n">
        <v>45415</v>
      </c>
      <c r="C2315" s="1" t="n">
        <v>45849</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17450-2024</t>
        </is>
      </c>
      <c r="B2316" s="1" t="n">
        <v>45415</v>
      </c>
      <c r="C2316" s="1" t="n">
        <v>45849</v>
      </c>
      <c r="D2316" t="inlineStr">
        <is>
          <t>VÄRMLANDS LÄN</t>
        </is>
      </c>
      <c r="E2316" t="inlineStr">
        <is>
          <t>TORSBY</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17530-2024</t>
        </is>
      </c>
      <c r="B2317" s="1" t="n">
        <v>45415</v>
      </c>
      <c r="C2317" s="1" t="n">
        <v>45849</v>
      </c>
      <c r="D2317" t="inlineStr">
        <is>
          <t>VÄRMLANDS LÄN</t>
        </is>
      </c>
      <c r="E2317" t="inlineStr">
        <is>
          <t>TORSBY</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17687-2024</t>
        </is>
      </c>
      <c r="B2318" s="1" t="n">
        <v>45418</v>
      </c>
      <c r="C2318" s="1" t="n">
        <v>45849</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17717-2024</t>
        </is>
      </c>
      <c r="B2319" s="1" t="n">
        <v>45418</v>
      </c>
      <c r="C2319" s="1" t="n">
        <v>45849</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17959-2024</t>
        </is>
      </c>
      <c r="B2320" s="1" t="n">
        <v>45419</v>
      </c>
      <c r="C2320" s="1" t="n">
        <v>45849</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17921-2024</t>
        </is>
      </c>
      <c r="B2321" s="1" t="n">
        <v>45419</v>
      </c>
      <c r="C2321" s="1" t="n">
        <v>45849</v>
      </c>
      <c r="D2321" t="inlineStr">
        <is>
          <t>VÄRMLANDS LÄN</t>
        </is>
      </c>
      <c r="E2321" t="inlineStr">
        <is>
          <t>TORSBY</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17837-2024</t>
        </is>
      </c>
      <c r="B2322" s="1" t="n">
        <v>45419</v>
      </c>
      <c r="C2322" s="1" t="n">
        <v>45849</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17879-2024</t>
        </is>
      </c>
      <c r="B2323" s="1" t="n">
        <v>45419</v>
      </c>
      <c r="C2323" s="1" t="n">
        <v>45849</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17931-2024</t>
        </is>
      </c>
      <c r="B2324" s="1" t="n">
        <v>45419</v>
      </c>
      <c r="C2324" s="1" t="n">
        <v>45849</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18125-2024</t>
        </is>
      </c>
      <c r="B2325" s="1" t="n">
        <v>45420</v>
      </c>
      <c r="C2325" s="1" t="n">
        <v>45849</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18155-2024</t>
        </is>
      </c>
      <c r="B2326" s="1" t="n">
        <v>45420</v>
      </c>
      <c r="C2326" s="1" t="n">
        <v>45849</v>
      </c>
      <c r="D2326" t="inlineStr">
        <is>
          <t>VÄRMLANDS LÄN</t>
        </is>
      </c>
      <c r="E2326" t="inlineStr">
        <is>
          <t>TORSBY</t>
        </is>
      </c>
      <c r="F2326" t="inlineStr">
        <is>
          <t>Bergvik skog väst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18339-2024</t>
        </is>
      </c>
      <c r="B2327" s="1" t="n">
        <v>45422</v>
      </c>
      <c r="C2327" s="1" t="n">
        <v>45849</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18330-2024</t>
        </is>
      </c>
      <c r="B2328" s="1" t="n">
        <v>45422</v>
      </c>
      <c r="C2328" s="1" t="n">
        <v>45849</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18308-2024</t>
        </is>
      </c>
      <c r="B2329" s="1" t="n">
        <v>45422</v>
      </c>
      <c r="C2329" s="1" t="n">
        <v>45849</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18337-2024</t>
        </is>
      </c>
      <c r="B2330" s="1" t="n">
        <v>45422</v>
      </c>
      <c r="C2330" s="1" t="n">
        <v>45849</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18422-2024</t>
        </is>
      </c>
      <c r="B2331" s="1" t="n">
        <v>45425</v>
      </c>
      <c r="C2331" s="1" t="n">
        <v>45849</v>
      </c>
      <c r="D2331" t="inlineStr">
        <is>
          <t>VÄRMLANDS LÄN</t>
        </is>
      </c>
      <c r="E2331" t="inlineStr">
        <is>
          <t>TORSBY</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18682-2024</t>
        </is>
      </c>
      <c r="B2332" s="1" t="n">
        <v>45426</v>
      </c>
      <c r="C2332" s="1" t="n">
        <v>45849</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18883-2024</t>
        </is>
      </c>
      <c r="B2333" s="1" t="n">
        <v>45426</v>
      </c>
      <c r="C2333" s="1" t="n">
        <v>45849</v>
      </c>
      <c r="D2333" t="inlineStr">
        <is>
          <t>VÄRMLANDS LÄN</t>
        </is>
      </c>
      <c r="E2333" t="inlineStr">
        <is>
          <t>TORSBY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18855-2024</t>
        </is>
      </c>
      <c r="B2334" s="1" t="n">
        <v>45426</v>
      </c>
      <c r="C2334" s="1" t="n">
        <v>45849</v>
      </c>
      <c r="D2334" t="inlineStr">
        <is>
          <t>VÄRMLANDS LÄN</t>
        </is>
      </c>
      <c r="E2334" t="inlineStr">
        <is>
          <t>TORSBY</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18890-2024</t>
        </is>
      </c>
      <c r="B2335" s="1" t="n">
        <v>45427</v>
      </c>
      <c r="C2335" s="1" t="n">
        <v>45849</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18953-2024</t>
        </is>
      </c>
      <c r="B2336" s="1" t="n">
        <v>45427</v>
      </c>
      <c r="C2336" s="1" t="n">
        <v>45849</v>
      </c>
      <c r="D2336" t="inlineStr">
        <is>
          <t>VÄRMLANDS LÄN</t>
        </is>
      </c>
      <c r="E2336" t="inlineStr">
        <is>
          <t>TORSBY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18959-2024</t>
        </is>
      </c>
      <c r="B2337" s="1" t="n">
        <v>45427</v>
      </c>
      <c r="C2337" s="1" t="n">
        <v>45849</v>
      </c>
      <c r="D2337" t="inlineStr">
        <is>
          <t>VÄRMLANDS LÄN</t>
        </is>
      </c>
      <c r="E2337" t="inlineStr">
        <is>
          <t>TORSBY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18955-2024</t>
        </is>
      </c>
      <c r="B2338" s="1" t="n">
        <v>45427</v>
      </c>
      <c r="C2338" s="1" t="n">
        <v>45849</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18897-2024</t>
        </is>
      </c>
      <c r="B2339" s="1" t="n">
        <v>45427</v>
      </c>
      <c r="C2339" s="1" t="n">
        <v>45849</v>
      </c>
      <c r="D2339" t="inlineStr">
        <is>
          <t>VÄRMLANDS LÄN</t>
        </is>
      </c>
      <c r="E2339" t="inlineStr">
        <is>
          <t>TORSBY</t>
        </is>
      </c>
      <c r="F2339" t="inlineStr">
        <is>
          <t>Övriga statliga verk och myndigheter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19029-2024</t>
        </is>
      </c>
      <c r="B2340" s="1" t="n">
        <v>45427</v>
      </c>
      <c r="C2340" s="1" t="n">
        <v>45849</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19136-2024</t>
        </is>
      </c>
      <c r="B2341" s="1" t="n">
        <v>45428</v>
      </c>
      <c r="C2341" s="1" t="n">
        <v>45849</v>
      </c>
      <c r="D2341" t="inlineStr">
        <is>
          <t>VÄRMLANDS LÄN</t>
        </is>
      </c>
      <c r="E2341" t="inlineStr">
        <is>
          <t>TORSBY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19251-2024</t>
        </is>
      </c>
      <c r="B2342" s="1" t="n">
        <v>45428</v>
      </c>
      <c r="C2342" s="1" t="n">
        <v>45849</v>
      </c>
      <c r="D2342" t="inlineStr">
        <is>
          <t>VÄRMLANDS LÄN</t>
        </is>
      </c>
      <c r="E2342" t="inlineStr">
        <is>
          <t>TORSBY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19215-2024</t>
        </is>
      </c>
      <c r="B2343" s="1" t="n">
        <v>45428</v>
      </c>
      <c r="C2343" s="1" t="n">
        <v>45849</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19665-2024</t>
        </is>
      </c>
      <c r="B2344" s="1" t="n">
        <v>45432</v>
      </c>
      <c r="C2344" s="1" t="n">
        <v>45849</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19887-2024</t>
        </is>
      </c>
      <c r="B2345" s="1" t="n">
        <v>45433</v>
      </c>
      <c r="C2345" s="1" t="n">
        <v>45849</v>
      </c>
      <c r="D2345" t="inlineStr">
        <is>
          <t>VÄRMLANDS LÄN</t>
        </is>
      </c>
      <c r="E2345" t="inlineStr">
        <is>
          <t>TORSBY</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20440-2024</t>
        </is>
      </c>
      <c r="B2346" s="1" t="n">
        <v>45435</v>
      </c>
      <c r="C2346" s="1" t="n">
        <v>45849</v>
      </c>
      <c r="D2346" t="inlineStr">
        <is>
          <t>VÄRMLANDS LÄN</t>
        </is>
      </c>
      <c r="E2346" t="inlineStr">
        <is>
          <t>TORSBY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20472-2024</t>
        </is>
      </c>
      <c r="B2347" s="1" t="n">
        <v>45435</v>
      </c>
      <c r="C2347" s="1" t="n">
        <v>45849</v>
      </c>
      <c r="D2347" t="inlineStr">
        <is>
          <t>VÄRMLANDS LÄN</t>
        </is>
      </c>
      <c r="E2347" t="inlineStr">
        <is>
          <t>TORSBY</t>
        </is>
      </c>
      <c r="F2347" t="inlineStr">
        <is>
          <t>Bergvik skog väst AB</t>
        </is>
      </c>
      <c r="G2347" t="n">
        <v>46.1</v>
      </c>
      <c r="H2347" t="n">
        <v>0</v>
      </c>
      <c r="I2347" t="n">
        <v>0</v>
      </c>
      <c r="J2347" t="n">
        <v>0</v>
      </c>
      <c r="K2347" t="n">
        <v>0</v>
      </c>
      <c r="L2347" t="n">
        <v>0</v>
      </c>
      <c r="M2347" t="n">
        <v>0</v>
      </c>
      <c r="N2347" t="n">
        <v>0</v>
      </c>
      <c r="O2347" t="n">
        <v>0</v>
      </c>
      <c r="P2347" t="n">
        <v>0</v>
      </c>
      <c r="Q2347" t="n">
        <v>0</v>
      </c>
      <c r="R2347" s="2" t="inlineStr"/>
    </row>
    <row r="2348" ht="15" customHeight="1">
      <c r="A2348" t="inlineStr">
        <is>
          <t>A 20645-2024</t>
        </is>
      </c>
      <c r="B2348" s="1" t="n">
        <v>45436</v>
      </c>
      <c r="C2348" s="1" t="n">
        <v>45849</v>
      </c>
      <c r="D2348" t="inlineStr">
        <is>
          <t>VÄRMLANDS LÄN</t>
        </is>
      </c>
      <c r="E2348" t="inlineStr">
        <is>
          <t>TORSBY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20725-2024</t>
        </is>
      </c>
      <c r="B2349" s="1" t="n">
        <v>45436</v>
      </c>
      <c r="C2349" s="1" t="n">
        <v>45849</v>
      </c>
      <c r="D2349" t="inlineStr">
        <is>
          <t>VÄRMLANDS LÄN</t>
        </is>
      </c>
      <c r="E2349" t="inlineStr">
        <is>
          <t>TORSBY</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20633-2024</t>
        </is>
      </c>
      <c r="B2350" s="1" t="n">
        <v>45436</v>
      </c>
      <c r="C2350" s="1" t="n">
        <v>45849</v>
      </c>
      <c r="D2350" t="inlineStr">
        <is>
          <t>VÄRMLANDS LÄN</t>
        </is>
      </c>
      <c r="E2350" t="inlineStr">
        <is>
          <t>TORSBY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20537-2024</t>
        </is>
      </c>
      <c r="B2351" s="1" t="n">
        <v>45436</v>
      </c>
      <c r="C2351" s="1" t="n">
        <v>45849</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20647-2024</t>
        </is>
      </c>
      <c r="B2352" s="1" t="n">
        <v>45436</v>
      </c>
      <c r="C2352" s="1" t="n">
        <v>45849</v>
      </c>
      <c r="D2352" t="inlineStr">
        <is>
          <t>VÄRMLANDS LÄN</t>
        </is>
      </c>
      <c r="E2352" t="inlineStr">
        <is>
          <t>TORSBY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20872-2024</t>
        </is>
      </c>
      <c r="B2353" s="1" t="n">
        <v>45439</v>
      </c>
      <c r="C2353" s="1" t="n">
        <v>45849</v>
      </c>
      <c r="D2353" t="inlineStr">
        <is>
          <t>VÄRMLANDS LÄN</t>
        </is>
      </c>
      <c r="E2353" t="inlineStr">
        <is>
          <t>TORSBY</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21013-2024</t>
        </is>
      </c>
      <c r="B2354" s="1" t="n">
        <v>45439</v>
      </c>
      <c r="C2354" s="1" t="n">
        <v>45849</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20982-2024</t>
        </is>
      </c>
      <c r="B2355" s="1" t="n">
        <v>45439</v>
      </c>
      <c r="C2355" s="1" t="n">
        <v>45849</v>
      </c>
      <c r="D2355" t="inlineStr">
        <is>
          <t>VÄRMLANDS LÄN</t>
        </is>
      </c>
      <c r="E2355" t="inlineStr">
        <is>
          <t>TORSBY</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20985-2024</t>
        </is>
      </c>
      <c r="B2356" s="1" t="n">
        <v>45439</v>
      </c>
      <c r="C2356" s="1" t="n">
        <v>45849</v>
      </c>
      <c r="D2356" t="inlineStr">
        <is>
          <t>VÄRMLANDS LÄN</t>
        </is>
      </c>
      <c r="E2356" t="inlineStr">
        <is>
          <t>TORSBY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20968-2024</t>
        </is>
      </c>
      <c r="B2357" s="1" t="n">
        <v>45439</v>
      </c>
      <c r="C2357" s="1" t="n">
        <v>45849</v>
      </c>
      <c r="D2357" t="inlineStr">
        <is>
          <t>VÄRMLANDS LÄN</t>
        </is>
      </c>
      <c r="E2357" t="inlineStr">
        <is>
          <t>TORSBY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21280-2024</t>
        </is>
      </c>
      <c r="B2358" s="1" t="n">
        <v>45440</v>
      </c>
      <c r="C2358" s="1" t="n">
        <v>45849</v>
      </c>
      <c r="D2358" t="inlineStr">
        <is>
          <t>VÄRMLANDS LÄN</t>
        </is>
      </c>
      <c r="E2358" t="inlineStr">
        <is>
          <t>TORSBY</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21297-2024</t>
        </is>
      </c>
      <c r="B2359" s="1" t="n">
        <v>45440</v>
      </c>
      <c r="C2359" s="1" t="n">
        <v>45849</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21308-2024</t>
        </is>
      </c>
      <c r="B2360" s="1" t="n">
        <v>45440</v>
      </c>
      <c r="C2360" s="1" t="n">
        <v>45849</v>
      </c>
      <c r="D2360" t="inlineStr">
        <is>
          <t>VÄRMLANDS LÄN</t>
        </is>
      </c>
      <c r="E2360" t="inlineStr">
        <is>
          <t>TORSBY</t>
        </is>
      </c>
      <c r="G2360" t="n">
        <v>18.9</v>
      </c>
      <c r="H2360" t="n">
        <v>0</v>
      </c>
      <c r="I2360" t="n">
        <v>0</v>
      </c>
      <c r="J2360" t="n">
        <v>0</v>
      </c>
      <c r="K2360" t="n">
        <v>0</v>
      </c>
      <c r="L2360" t="n">
        <v>0</v>
      </c>
      <c r="M2360" t="n">
        <v>0</v>
      </c>
      <c r="N2360" t="n">
        <v>0</v>
      </c>
      <c r="O2360" t="n">
        <v>0</v>
      </c>
      <c r="P2360" t="n">
        <v>0</v>
      </c>
      <c r="Q2360" t="n">
        <v>0</v>
      </c>
      <c r="R2360" s="2" t="inlineStr"/>
    </row>
    <row r="2361" ht="15" customHeight="1">
      <c r="A2361" t="inlineStr">
        <is>
          <t>A 21518-2024</t>
        </is>
      </c>
      <c r="B2361" s="1" t="n">
        <v>45441</v>
      </c>
      <c r="C2361" s="1" t="n">
        <v>45849</v>
      </c>
      <c r="D2361" t="inlineStr">
        <is>
          <t>VÄRMLANDS LÄN</t>
        </is>
      </c>
      <c r="E2361" t="inlineStr">
        <is>
          <t>TORSBY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21542-2024</t>
        </is>
      </c>
      <c r="B2362" s="1" t="n">
        <v>45441</v>
      </c>
      <c r="C2362" s="1" t="n">
        <v>45849</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21580-2024</t>
        </is>
      </c>
      <c r="B2363" s="1" t="n">
        <v>45441</v>
      </c>
      <c r="C2363" s="1" t="n">
        <v>45849</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21586-2024</t>
        </is>
      </c>
      <c r="B2364" s="1" t="n">
        <v>45441</v>
      </c>
      <c r="C2364" s="1" t="n">
        <v>45849</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21581-2024</t>
        </is>
      </c>
      <c r="B2365" s="1" t="n">
        <v>45441</v>
      </c>
      <c r="C2365" s="1" t="n">
        <v>45849</v>
      </c>
      <c r="D2365" t="inlineStr">
        <is>
          <t>VÄRMLANDS LÄN</t>
        </is>
      </c>
      <c r="E2365" t="inlineStr">
        <is>
          <t>TORSBY</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21585-2024</t>
        </is>
      </c>
      <c r="B2366" s="1" t="n">
        <v>45441</v>
      </c>
      <c r="C2366" s="1" t="n">
        <v>45849</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21587-2024</t>
        </is>
      </c>
      <c r="B2367" s="1" t="n">
        <v>45441</v>
      </c>
      <c r="C2367" s="1" t="n">
        <v>45849</v>
      </c>
      <c r="D2367" t="inlineStr">
        <is>
          <t>VÄRMLANDS LÄN</t>
        </is>
      </c>
      <c r="E2367" t="inlineStr">
        <is>
          <t>TORSBY</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21757-2024</t>
        </is>
      </c>
      <c r="B2368" s="1" t="n">
        <v>45442</v>
      </c>
      <c r="C2368" s="1" t="n">
        <v>45849</v>
      </c>
      <c r="D2368" t="inlineStr">
        <is>
          <t>VÄRMLANDS LÄN</t>
        </is>
      </c>
      <c r="E2368" t="inlineStr">
        <is>
          <t>TORSBY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21825-2024</t>
        </is>
      </c>
      <c r="B2369" s="1" t="n">
        <v>45442</v>
      </c>
      <c r="C2369" s="1" t="n">
        <v>45849</v>
      </c>
      <c r="D2369" t="inlineStr">
        <is>
          <t>VÄRMLANDS LÄN</t>
        </is>
      </c>
      <c r="E2369" t="inlineStr">
        <is>
          <t>TORSBY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21829-2024</t>
        </is>
      </c>
      <c r="B2370" s="1" t="n">
        <v>45442</v>
      </c>
      <c r="C2370" s="1" t="n">
        <v>45849</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21744-2024</t>
        </is>
      </c>
      <c r="B2371" s="1" t="n">
        <v>45442</v>
      </c>
      <c r="C2371" s="1" t="n">
        <v>45849</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21828-2024</t>
        </is>
      </c>
      <c r="B2372" s="1" t="n">
        <v>45442</v>
      </c>
      <c r="C2372" s="1" t="n">
        <v>45849</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21930-2024</t>
        </is>
      </c>
      <c r="B2373" s="1" t="n">
        <v>45443</v>
      </c>
      <c r="C2373" s="1" t="n">
        <v>45849</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22216-2024</t>
        </is>
      </c>
      <c r="B2374" s="1" t="n">
        <v>45446</v>
      </c>
      <c r="C2374" s="1" t="n">
        <v>45849</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22483-2024</t>
        </is>
      </c>
      <c r="B2375" s="1" t="n">
        <v>45446</v>
      </c>
      <c r="C2375" s="1" t="n">
        <v>45849</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22421-2024</t>
        </is>
      </c>
      <c r="B2376" s="1" t="n">
        <v>45446</v>
      </c>
      <c r="C2376" s="1" t="n">
        <v>45849</v>
      </c>
      <c r="D2376" t="inlineStr">
        <is>
          <t>VÄRMLANDS LÄN</t>
        </is>
      </c>
      <c r="E2376" t="inlineStr">
        <is>
          <t>TORSBY</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22426-2024</t>
        </is>
      </c>
      <c r="B2377" s="1" t="n">
        <v>45446</v>
      </c>
      <c r="C2377" s="1" t="n">
        <v>45849</v>
      </c>
      <c r="D2377" t="inlineStr">
        <is>
          <t>VÄRMLANDS LÄN</t>
        </is>
      </c>
      <c r="E2377" t="inlineStr">
        <is>
          <t>TORSBY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22525-2024</t>
        </is>
      </c>
      <c r="B2378" s="1" t="n">
        <v>45447</v>
      </c>
      <c r="C2378" s="1" t="n">
        <v>45849</v>
      </c>
      <c r="D2378" t="inlineStr">
        <is>
          <t>VÄRMLANDS LÄN</t>
        </is>
      </c>
      <c r="E2378" t="inlineStr">
        <is>
          <t>TORSBY</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22565-2024</t>
        </is>
      </c>
      <c r="B2379" s="1" t="n">
        <v>45447</v>
      </c>
      <c r="C2379" s="1" t="n">
        <v>45849</v>
      </c>
      <c r="D2379" t="inlineStr">
        <is>
          <t>VÄRMLANDS LÄN</t>
        </is>
      </c>
      <c r="E2379" t="inlineStr">
        <is>
          <t>TORSBY</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22536-2024</t>
        </is>
      </c>
      <c r="B2380" s="1" t="n">
        <v>45447</v>
      </c>
      <c r="C2380" s="1" t="n">
        <v>45849</v>
      </c>
      <c r="D2380" t="inlineStr">
        <is>
          <t>VÄRMLANDS LÄN</t>
        </is>
      </c>
      <c r="E2380" t="inlineStr">
        <is>
          <t>TORSBY</t>
        </is>
      </c>
      <c r="G2380" t="n">
        <v>25.2</v>
      </c>
      <c r="H2380" t="n">
        <v>0</v>
      </c>
      <c r="I2380" t="n">
        <v>0</v>
      </c>
      <c r="J2380" t="n">
        <v>0</v>
      </c>
      <c r="K2380" t="n">
        <v>0</v>
      </c>
      <c r="L2380" t="n">
        <v>0</v>
      </c>
      <c r="M2380" t="n">
        <v>0</v>
      </c>
      <c r="N2380" t="n">
        <v>0</v>
      </c>
      <c r="O2380" t="n">
        <v>0</v>
      </c>
      <c r="P2380" t="n">
        <v>0</v>
      </c>
      <c r="Q2380" t="n">
        <v>0</v>
      </c>
      <c r="R2380" s="2" t="inlineStr"/>
    </row>
    <row r="2381" ht="15" customHeight="1">
      <c r="A2381" t="inlineStr">
        <is>
          <t>A 22844-2024</t>
        </is>
      </c>
      <c r="B2381" s="1" t="n">
        <v>45448</v>
      </c>
      <c r="C2381" s="1" t="n">
        <v>45849</v>
      </c>
      <c r="D2381" t="inlineStr">
        <is>
          <t>VÄRMLANDS LÄN</t>
        </is>
      </c>
      <c r="E2381" t="inlineStr">
        <is>
          <t>TORSBY</t>
        </is>
      </c>
      <c r="F2381" t="inlineStr">
        <is>
          <t>Bergvik skog väst AB</t>
        </is>
      </c>
      <c r="G2381" t="n">
        <v>16.3</v>
      </c>
      <c r="H2381" t="n">
        <v>0</v>
      </c>
      <c r="I2381" t="n">
        <v>0</v>
      </c>
      <c r="J2381" t="n">
        <v>0</v>
      </c>
      <c r="K2381" t="n">
        <v>0</v>
      </c>
      <c r="L2381" t="n">
        <v>0</v>
      </c>
      <c r="M2381" t="n">
        <v>0</v>
      </c>
      <c r="N2381" t="n">
        <v>0</v>
      </c>
      <c r="O2381" t="n">
        <v>0</v>
      </c>
      <c r="P2381" t="n">
        <v>0</v>
      </c>
      <c r="Q2381" t="n">
        <v>0</v>
      </c>
      <c r="R2381" s="2" t="inlineStr"/>
    </row>
    <row r="2382" ht="15" customHeight="1">
      <c r="A2382" t="inlineStr">
        <is>
          <t>A 22729-2024</t>
        </is>
      </c>
      <c r="B2382" s="1" t="n">
        <v>45448</v>
      </c>
      <c r="C2382" s="1" t="n">
        <v>45849</v>
      </c>
      <c r="D2382" t="inlineStr">
        <is>
          <t>VÄRMLANDS LÄN</t>
        </is>
      </c>
      <c r="E2382" t="inlineStr">
        <is>
          <t>TORSBY</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22843-2024</t>
        </is>
      </c>
      <c r="B2383" s="1" t="n">
        <v>45448</v>
      </c>
      <c r="C2383" s="1" t="n">
        <v>45849</v>
      </c>
      <c r="D2383" t="inlineStr">
        <is>
          <t>VÄRMLANDS LÄN</t>
        </is>
      </c>
      <c r="E2383" t="inlineStr">
        <is>
          <t>TORSBY</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22973-2024</t>
        </is>
      </c>
      <c r="B2384" s="1" t="n">
        <v>45449</v>
      </c>
      <c r="C2384" s="1" t="n">
        <v>45849</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23042-2024</t>
        </is>
      </c>
      <c r="B2385" s="1" t="n">
        <v>45450</v>
      </c>
      <c r="C2385" s="1" t="n">
        <v>45849</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23133-2024</t>
        </is>
      </c>
      <c r="B2386" s="1" t="n">
        <v>45450</v>
      </c>
      <c r="C2386" s="1" t="n">
        <v>45849</v>
      </c>
      <c r="D2386" t="inlineStr">
        <is>
          <t>VÄRMLANDS LÄN</t>
        </is>
      </c>
      <c r="E2386" t="inlineStr">
        <is>
          <t>TORSBY</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23108-2024</t>
        </is>
      </c>
      <c r="B2387" s="1" t="n">
        <v>45450</v>
      </c>
      <c r="C2387" s="1" t="n">
        <v>45849</v>
      </c>
      <c r="D2387" t="inlineStr">
        <is>
          <t>VÄRMLANDS LÄN</t>
        </is>
      </c>
      <c r="E2387" t="inlineStr">
        <is>
          <t>TORSBY</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23044-2024</t>
        </is>
      </c>
      <c r="B2388" s="1" t="n">
        <v>45450</v>
      </c>
      <c r="C2388" s="1" t="n">
        <v>45849</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23106-2024</t>
        </is>
      </c>
      <c r="B2389" s="1" t="n">
        <v>45450</v>
      </c>
      <c r="C2389" s="1" t="n">
        <v>45849</v>
      </c>
      <c r="D2389" t="inlineStr">
        <is>
          <t>VÄRMLANDS LÄN</t>
        </is>
      </c>
      <c r="E2389" t="inlineStr">
        <is>
          <t>TORSBY</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23423-2024</t>
        </is>
      </c>
      <c r="B2390" s="1" t="n">
        <v>45453</v>
      </c>
      <c r="C2390" s="1" t="n">
        <v>45849</v>
      </c>
      <c r="D2390" t="inlineStr">
        <is>
          <t>VÄRMLANDS LÄN</t>
        </is>
      </c>
      <c r="E2390" t="inlineStr">
        <is>
          <t>TORSBY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23678-2024</t>
        </is>
      </c>
      <c r="B2391" s="1" t="n">
        <v>45454</v>
      </c>
      <c r="C2391" s="1" t="n">
        <v>45849</v>
      </c>
      <c r="D2391" t="inlineStr">
        <is>
          <t>VÄRMLANDS LÄN</t>
        </is>
      </c>
      <c r="E2391" t="inlineStr">
        <is>
          <t>TORSBY</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23719-2024</t>
        </is>
      </c>
      <c r="B2392" s="1" t="n">
        <v>45454</v>
      </c>
      <c r="C2392" s="1" t="n">
        <v>45849</v>
      </c>
      <c r="D2392" t="inlineStr">
        <is>
          <t>VÄRMLANDS LÄN</t>
        </is>
      </c>
      <c r="E2392" t="inlineStr">
        <is>
          <t>TORSBY</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23746-2024</t>
        </is>
      </c>
      <c r="B2393" s="1" t="n">
        <v>45454</v>
      </c>
      <c r="C2393" s="1" t="n">
        <v>45849</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23820-2024</t>
        </is>
      </c>
      <c r="B2394" s="1" t="n">
        <v>45455</v>
      </c>
      <c r="C2394" s="1" t="n">
        <v>45849</v>
      </c>
      <c r="D2394" t="inlineStr">
        <is>
          <t>VÄRMLANDS LÄN</t>
        </is>
      </c>
      <c r="E2394" t="inlineStr">
        <is>
          <t>TORSBY</t>
        </is>
      </c>
      <c r="F2394" t="inlineStr">
        <is>
          <t>Kyrkan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23846-2024</t>
        </is>
      </c>
      <c r="B2395" s="1" t="n">
        <v>45455</v>
      </c>
      <c r="C2395" s="1" t="n">
        <v>45849</v>
      </c>
      <c r="D2395" t="inlineStr">
        <is>
          <t>VÄRMLANDS LÄN</t>
        </is>
      </c>
      <c r="E2395" t="inlineStr">
        <is>
          <t>TORSBY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23824-2024</t>
        </is>
      </c>
      <c r="B2396" s="1" t="n">
        <v>45455</v>
      </c>
      <c r="C2396" s="1" t="n">
        <v>45849</v>
      </c>
      <c r="D2396" t="inlineStr">
        <is>
          <t>VÄRMLANDS LÄN</t>
        </is>
      </c>
      <c r="E2396" t="inlineStr">
        <is>
          <t>TORSBY</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23845-2024</t>
        </is>
      </c>
      <c r="B2397" s="1" t="n">
        <v>45455</v>
      </c>
      <c r="C2397" s="1" t="n">
        <v>45849</v>
      </c>
      <c r="D2397" t="inlineStr">
        <is>
          <t>VÄRMLANDS LÄN</t>
        </is>
      </c>
      <c r="E2397" t="inlineStr">
        <is>
          <t>TORSBY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23843-2024</t>
        </is>
      </c>
      <c r="B2398" s="1" t="n">
        <v>45455</v>
      </c>
      <c r="C2398" s="1" t="n">
        <v>45849</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23835-2024</t>
        </is>
      </c>
      <c r="B2399" s="1" t="n">
        <v>45455</v>
      </c>
      <c r="C2399" s="1" t="n">
        <v>45849</v>
      </c>
      <c r="D2399" t="inlineStr">
        <is>
          <t>VÄRMLANDS LÄN</t>
        </is>
      </c>
      <c r="E2399" t="inlineStr">
        <is>
          <t>TORSBY</t>
        </is>
      </c>
      <c r="F2399" t="inlineStr">
        <is>
          <t>Bergvik skog väst AB</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24020-2024</t>
        </is>
      </c>
      <c r="B2400" s="1" t="n">
        <v>45456</v>
      </c>
      <c r="C2400" s="1" t="n">
        <v>45849</v>
      </c>
      <c r="D2400" t="inlineStr">
        <is>
          <t>VÄRMLANDS LÄN</t>
        </is>
      </c>
      <c r="E2400" t="inlineStr">
        <is>
          <t>TORSBY</t>
        </is>
      </c>
      <c r="F2400" t="inlineStr">
        <is>
          <t>Bergvik skog väst AB</t>
        </is>
      </c>
      <c r="G2400" t="n">
        <v>19.4</v>
      </c>
      <c r="H2400" t="n">
        <v>0</v>
      </c>
      <c r="I2400" t="n">
        <v>0</v>
      </c>
      <c r="J2400" t="n">
        <v>0</v>
      </c>
      <c r="K2400" t="n">
        <v>0</v>
      </c>
      <c r="L2400" t="n">
        <v>0</v>
      </c>
      <c r="M2400" t="n">
        <v>0</v>
      </c>
      <c r="N2400" t="n">
        <v>0</v>
      </c>
      <c r="O2400" t="n">
        <v>0</v>
      </c>
      <c r="P2400" t="n">
        <v>0</v>
      </c>
      <c r="Q2400" t="n">
        <v>0</v>
      </c>
      <c r="R2400" s="2" t="inlineStr"/>
    </row>
    <row r="2401" ht="15" customHeight="1">
      <c r="A2401" t="inlineStr">
        <is>
          <t>A 23996-2024</t>
        </is>
      </c>
      <c r="B2401" s="1" t="n">
        <v>45456</v>
      </c>
      <c r="C2401" s="1" t="n">
        <v>45849</v>
      </c>
      <c r="D2401" t="inlineStr">
        <is>
          <t>VÄRMLANDS LÄN</t>
        </is>
      </c>
      <c r="E2401" t="inlineStr">
        <is>
          <t>TORSBY</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24004-2024</t>
        </is>
      </c>
      <c r="B2402" s="1" t="n">
        <v>45456</v>
      </c>
      <c r="C2402" s="1" t="n">
        <v>45849</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24148-2024</t>
        </is>
      </c>
      <c r="B2403" s="1" t="n">
        <v>45456</v>
      </c>
      <c r="C2403" s="1" t="n">
        <v>45849</v>
      </c>
      <c r="D2403" t="inlineStr">
        <is>
          <t>VÄRMLANDS LÄN</t>
        </is>
      </c>
      <c r="E2403" t="inlineStr">
        <is>
          <t>TORSBY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24182-2024</t>
        </is>
      </c>
      <c r="B2404" s="1" t="n">
        <v>45456</v>
      </c>
      <c r="C2404" s="1" t="n">
        <v>45849</v>
      </c>
      <c r="D2404" t="inlineStr">
        <is>
          <t>VÄRMLANDS LÄN</t>
        </is>
      </c>
      <c r="E2404" t="inlineStr">
        <is>
          <t>TORSBY</t>
        </is>
      </c>
      <c r="F2404" t="inlineStr">
        <is>
          <t>Bergvik skog väst AB</t>
        </is>
      </c>
      <c r="G2404" t="n">
        <v>28.9</v>
      </c>
      <c r="H2404" t="n">
        <v>0</v>
      </c>
      <c r="I2404" t="n">
        <v>0</v>
      </c>
      <c r="J2404" t="n">
        <v>0</v>
      </c>
      <c r="K2404" t="n">
        <v>0</v>
      </c>
      <c r="L2404" t="n">
        <v>0</v>
      </c>
      <c r="M2404" t="n">
        <v>0</v>
      </c>
      <c r="N2404" t="n">
        <v>0</v>
      </c>
      <c r="O2404" t="n">
        <v>0</v>
      </c>
      <c r="P2404" t="n">
        <v>0</v>
      </c>
      <c r="Q2404" t="n">
        <v>0</v>
      </c>
      <c r="R2404" s="2" t="inlineStr"/>
    </row>
    <row r="2405" ht="15" customHeight="1">
      <c r="A2405" t="inlineStr">
        <is>
          <t>A 24087-2024</t>
        </is>
      </c>
      <c r="B2405" s="1" t="n">
        <v>45456</v>
      </c>
      <c r="C2405" s="1" t="n">
        <v>45849</v>
      </c>
      <c r="D2405" t="inlineStr">
        <is>
          <t>VÄRMLANDS LÄN</t>
        </is>
      </c>
      <c r="E2405" t="inlineStr">
        <is>
          <t>TORSBY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24113-2024</t>
        </is>
      </c>
      <c r="B2406" s="1" t="n">
        <v>45456</v>
      </c>
      <c r="C2406" s="1" t="n">
        <v>45849</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24242-2024</t>
        </is>
      </c>
      <c r="B2407" s="1" t="n">
        <v>45457</v>
      </c>
      <c r="C2407" s="1" t="n">
        <v>45849</v>
      </c>
      <c r="D2407" t="inlineStr">
        <is>
          <t>VÄRMLANDS LÄN</t>
        </is>
      </c>
      <c r="E2407" t="inlineStr">
        <is>
          <t>TORSBY</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24261-2024</t>
        </is>
      </c>
      <c r="B2408" s="1" t="n">
        <v>45457</v>
      </c>
      <c r="C2408" s="1" t="n">
        <v>45849</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24267-2024</t>
        </is>
      </c>
      <c r="B2409" s="1" t="n">
        <v>45457</v>
      </c>
      <c r="C2409" s="1" t="n">
        <v>45849</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24493-2024</t>
        </is>
      </c>
      <c r="B2410" s="1" t="n">
        <v>45459</v>
      </c>
      <c r="C2410" s="1" t="n">
        <v>45849</v>
      </c>
      <c r="D2410" t="inlineStr">
        <is>
          <t>VÄRMLANDS LÄN</t>
        </is>
      </c>
      <c r="E2410" t="inlineStr">
        <is>
          <t>TORSBY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24490-2024</t>
        </is>
      </c>
      <c r="B2411" s="1" t="n">
        <v>45459</v>
      </c>
      <c r="C2411" s="1" t="n">
        <v>45849</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24708-2024</t>
        </is>
      </c>
      <c r="B2412" s="1" t="n">
        <v>45460</v>
      </c>
      <c r="C2412" s="1" t="n">
        <v>45849</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24723-2024</t>
        </is>
      </c>
      <c r="B2413" s="1" t="n">
        <v>45460</v>
      </c>
      <c r="C2413" s="1" t="n">
        <v>45849</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24717-2024</t>
        </is>
      </c>
      <c r="B2414" s="1" t="n">
        <v>45460</v>
      </c>
      <c r="C2414" s="1" t="n">
        <v>45849</v>
      </c>
      <c r="D2414" t="inlineStr">
        <is>
          <t>VÄRMLANDS LÄN</t>
        </is>
      </c>
      <c r="E2414" t="inlineStr">
        <is>
          <t>TORSBY</t>
        </is>
      </c>
      <c r="F2414" t="inlineStr">
        <is>
          <t>Övriga statliga verk och myndigheter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24636-2024</t>
        </is>
      </c>
      <c r="B2415" s="1" t="n">
        <v>45460</v>
      </c>
      <c r="C2415" s="1" t="n">
        <v>45849</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24630-2024</t>
        </is>
      </c>
      <c r="B2416" s="1" t="n">
        <v>45460</v>
      </c>
      <c r="C2416" s="1" t="n">
        <v>45849</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24657-2024</t>
        </is>
      </c>
      <c r="B2417" s="1" t="n">
        <v>45460</v>
      </c>
      <c r="C2417" s="1" t="n">
        <v>45849</v>
      </c>
      <c r="D2417" t="inlineStr">
        <is>
          <t>VÄRMLANDS LÄN</t>
        </is>
      </c>
      <c r="E2417" t="inlineStr">
        <is>
          <t>TORSBY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24995-2024</t>
        </is>
      </c>
      <c r="B2418" s="1" t="n">
        <v>45461</v>
      </c>
      <c r="C2418" s="1" t="n">
        <v>45849</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24851-2024</t>
        </is>
      </c>
      <c r="B2419" s="1" t="n">
        <v>45461</v>
      </c>
      <c r="C2419" s="1" t="n">
        <v>45849</v>
      </c>
      <c r="D2419" t="inlineStr">
        <is>
          <t>VÄRMLANDS LÄN</t>
        </is>
      </c>
      <c r="E2419" t="inlineStr">
        <is>
          <t>TORSBY</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25355-2024</t>
        </is>
      </c>
      <c r="B2420" s="1" t="n">
        <v>45463</v>
      </c>
      <c r="C2420" s="1" t="n">
        <v>45849</v>
      </c>
      <c r="D2420" t="inlineStr">
        <is>
          <t>VÄRMLANDS LÄN</t>
        </is>
      </c>
      <c r="E2420" t="inlineStr">
        <is>
          <t>TORSBY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25313-2024</t>
        </is>
      </c>
      <c r="B2421" s="1" t="n">
        <v>45462</v>
      </c>
      <c r="C2421" s="1" t="n">
        <v>45849</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25090-2024</t>
        </is>
      </c>
      <c r="B2422" s="1" t="n">
        <v>45462</v>
      </c>
      <c r="C2422" s="1" t="n">
        <v>45849</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25264-2024</t>
        </is>
      </c>
      <c r="B2423" s="1" t="n">
        <v>45462</v>
      </c>
      <c r="C2423" s="1" t="n">
        <v>45849</v>
      </c>
      <c r="D2423" t="inlineStr">
        <is>
          <t>VÄRMLANDS LÄN</t>
        </is>
      </c>
      <c r="E2423" t="inlineStr">
        <is>
          <t>TORSBY</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25194-2024</t>
        </is>
      </c>
      <c r="B2424" s="1" t="n">
        <v>45462</v>
      </c>
      <c r="C2424" s="1" t="n">
        <v>45849</v>
      </c>
      <c r="D2424" t="inlineStr">
        <is>
          <t>VÄRMLANDS LÄN</t>
        </is>
      </c>
      <c r="E2424" t="inlineStr">
        <is>
          <t>TORSBY</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25316-2024</t>
        </is>
      </c>
      <c r="B2425" s="1" t="n">
        <v>45462</v>
      </c>
      <c r="C2425" s="1" t="n">
        <v>45849</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25629-2024</t>
        </is>
      </c>
      <c r="B2426" s="1" t="n">
        <v>45463</v>
      </c>
      <c r="C2426" s="1" t="n">
        <v>45849</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25504-2024</t>
        </is>
      </c>
      <c r="B2427" s="1" t="n">
        <v>45463</v>
      </c>
      <c r="C2427" s="1" t="n">
        <v>45849</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25827-2024</t>
        </is>
      </c>
      <c r="B2428" s="1" t="n">
        <v>45467</v>
      </c>
      <c r="C2428" s="1" t="n">
        <v>45849</v>
      </c>
      <c r="D2428" t="inlineStr">
        <is>
          <t>VÄRMLANDS LÄN</t>
        </is>
      </c>
      <c r="E2428" t="inlineStr">
        <is>
          <t>TORSBY</t>
        </is>
      </c>
      <c r="G2428" t="n">
        <v>20.5</v>
      </c>
      <c r="H2428" t="n">
        <v>0</v>
      </c>
      <c r="I2428" t="n">
        <v>0</v>
      </c>
      <c r="J2428" t="n">
        <v>0</v>
      </c>
      <c r="K2428" t="n">
        <v>0</v>
      </c>
      <c r="L2428" t="n">
        <v>0</v>
      </c>
      <c r="M2428" t="n">
        <v>0</v>
      </c>
      <c r="N2428" t="n">
        <v>0</v>
      </c>
      <c r="O2428" t="n">
        <v>0</v>
      </c>
      <c r="P2428" t="n">
        <v>0</v>
      </c>
      <c r="Q2428" t="n">
        <v>0</v>
      </c>
      <c r="R2428" s="2" t="inlineStr"/>
    </row>
    <row r="2429" ht="15" customHeight="1">
      <c r="A2429" t="inlineStr">
        <is>
          <t>A 25898-2024</t>
        </is>
      </c>
      <c r="B2429" s="1" t="n">
        <v>45467</v>
      </c>
      <c r="C2429" s="1" t="n">
        <v>45849</v>
      </c>
      <c r="D2429" t="inlineStr">
        <is>
          <t>VÄRMLANDS LÄN</t>
        </is>
      </c>
      <c r="E2429" t="inlineStr">
        <is>
          <t>TORSBY</t>
        </is>
      </c>
      <c r="G2429" t="n">
        <v>27.6</v>
      </c>
      <c r="H2429" t="n">
        <v>0</v>
      </c>
      <c r="I2429" t="n">
        <v>0</v>
      </c>
      <c r="J2429" t="n">
        <v>0</v>
      </c>
      <c r="K2429" t="n">
        <v>0</v>
      </c>
      <c r="L2429" t="n">
        <v>0</v>
      </c>
      <c r="M2429" t="n">
        <v>0</v>
      </c>
      <c r="N2429" t="n">
        <v>0</v>
      </c>
      <c r="O2429" t="n">
        <v>0</v>
      </c>
      <c r="P2429" t="n">
        <v>0</v>
      </c>
      <c r="Q2429" t="n">
        <v>0</v>
      </c>
      <c r="R2429" s="2" t="inlineStr"/>
    </row>
    <row r="2430" ht="15" customHeight="1">
      <c r="A2430" t="inlineStr">
        <is>
          <t>A 25932-2024</t>
        </is>
      </c>
      <c r="B2430" s="1" t="n">
        <v>45467</v>
      </c>
      <c r="C2430" s="1" t="n">
        <v>45849</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25933-2024</t>
        </is>
      </c>
      <c r="B2431" s="1" t="n">
        <v>45467</v>
      </c>
      <c r="C2431" s="1" t="n">
        <v>45849</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25949-2024</t>
        </is>
      </c>
      <c r="B2432" s="1" t="n">
        <v>45467</v>
      </c>
      <c r="C2432" s="1" t="n">
        <v>45849</v>
      </c>
      <c r="D2432" t="inlineStr">
        <is>
          <t>VÄRMLANDS LÄN</t>
        </is>
      </c>
      <c r="E2432" t="inlineStr">
        <is>
          <t>TORSBY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26186-2024</t>
        </is>
      </c>
      <c r="B2433" s="1" t="n">
        <v>45468</v>
      </c>
      <c r="C2433" s="1" t="n">
        <v>45849</v>
      </c>
      <c r="D2433" t="inlineStr">
        <is>
          <t>VÄRMLANDS LÄN</t>
        </is>
      </c>
      <c r="E2433" t="inlineStr">
        <is>
          <t>TORSBY</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26166-2024</t>
        </is>
      </c>
      <c r="B2434" s="1" t="n">
        <v>45468</v>
      </c>
      <c r="C2434" s="1" t="n">
        <v>45849</v>
      </c>
      <c r="D2434" t="inlineStr">
        <is>
          <t>VÄRMLANDS LÄN</t>
        </is>
      </c>
      <c r="E2434" t="inlineStr">
        <is>
          <t>TORSBY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26124-2024</t>
        </is>
      </c>
      <c r="B2435" s="1" t="n">
        <v>45468</v>
      </c>
      <c r="C2435" s="1" t="n">
        <v>45849</v>
      </c>
      <c r="D2435" t="inlineStr">
        <is>
          <t>VÄRMLANDS LÄN</t>
        </is>
      </c>
      <c r="E2435" t="inlineStr">
        <is>
          <t>TORSBY</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26086-2024</t>
        </is>
      </c>
      <c r="B2436" s="1" t="n">
        <v>45468</v>
      </c>
      <c r="C2436" s="1" t="n">
        <v>45849</v>
      </c>
      <c r="D2436" t="inlineStr">
        <is>
          <t>VÄRMLANDS LÄN</t>
        </is>
      </c>
      <c r="E2436" t="inlineStr">
        <is>
          <t>TORSBY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26042-2024</t>
        </is>
      </c>
      <c r="B2437" s="1" t="n">
        <v>45468</v>
      </c>
      <c r="C2437" s="1" t="n">
        <v>45849</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26634-2024</t>
        </is>
      </c>
      <c r="B2438" s="1" t="n">
        <v>45469</v>
      </c>
      <c r="C2438" s="1" t="n">
        <v>45849</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26876-2024</t>
        </is>
      </c>
      <c r="B2439" s="1" t="n">
        <v>45470</v>
      </c>
      <c r="C2439" s="1" t="n">
        <v>45849</v>
      </c>
      <c r="D2439" t="inlineStr">
        <is>
          <t>VÄRMLANDS LÄN</t>
        </is>
      </c>
      <c r="E2439" t="inlineStr">
        <is>
          <t>TORSBY</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26887-2024</t>
        </is>
      </c>
      <c r="B2440" s="1" t="n">
        <v>45470</v>
      </c>
      <c r="C2440" s="1" t="n">
        <v>45849</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26807-2024</t>
        </is>
      </c>
      <c r="B2441" s="1" t="n">
        <v>45470</v>
      </c>
      <c r="C2441" s="1" t="n">
        <v>45849</v>
      </c>
      <c r="D2441" t="inlineStr">
        <is>
          <t>VÄRMLANDS LÄN</t>
        </is>
      </c>
      <c r="E2441" t="inlineStr">
        <is>
          <t>TORSBY</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26799-2024</t>
        </is>
      </c>
      <c r="B2442" s="1" t="n">
        <v>45470</v>
      </c>
      <c r="C2442" s="1" t="n">
        <v>45849</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27045-2024</t>
        </is>
      </c>
      <c r="B2443" s="1" t="n">
        <v>45471</v>
      </c>
      <c r="C2443" s="1" t="n">
        <v>45849</v>
      </c>
      <c r="D2443" t="inlineStr">
        <is>
          <t>VÄRMLANDS LÄN</t>
        </is>
      </c>
      <c r="E2443" t="inlineStr">
        <is>
          <t>TORSBY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27187-2024</t>
        </is>
      </c>
      <c r="B2444" s="1" t="n">
        <v>45471</v>
      </c>
      <c r="C2444" s="1" t="n">
        <v>45849</v>
      </c>
      <c r="D2444" t="inlineStr">
        <is>
          <t>VÄRMLANDS LÄN</t>
        </is>
      </c>
      <c r="E2444" t="inlineStr">
        <is>
          <t>TORSBY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27111-2024</t>
        </is>
      </c>
      <c r="B2445" s="1" t="n">
        <v>45471</v>
      </c>
      <c r="C2445" s="1" t="n">
        <v>45849</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27115-2024</t>
        </is>
      </c>
      <c r="B2446" s="1" t="n">
        <v>45471</v>
      </c>
      <c r="C2446" s="1" t="n">
        <v>45849</v>
      </c>
      <c r="D2446" t="inlineStr">
        <is>
          <t>VÄRMLANDS LÄN</t>
        </is>
      </c>
      <c r="E2446" t="inlineStr">
        <is>
          <t>TORSBY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27116-2024</t>
        </is>
      </c>
      <c r="B2447" s="1" t="n">
        <v>45471</v>
      </c>
      <c r="C2447" s="1" t="n">
        <v>45849</v>
      </c>
      <c r="D2447" t="inlineStr">
        <is>
          <t>VÄRMLANDS LÄN</t>
        </is>
      </c>
      <c r="E2447" t="inlineStr">
        <is>
          <t>TORSBY</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27120-2024</t>
        </is>
      </c>
      <c r="B2448" s="1" t="n">
        <v>45471</v>
      </c>
      <c r="C2448" s="1" t="n">
        <v>45849</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27124-2024</t>
        </is>
      </c>
      <c r="B2449" s="1" t="n">
        <v>45471</v>
      </c>
      <c r="C2449" s="1" t="n">
        <v>45849</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27144-2024</t>
        </is>
      </c>
      <c r="B2450" s="1" t="n">
        <v>45471</v>
      </c>
      <c r="C2450" s="1" t="n">
        <v>45849</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27101-2024</t>
        </is>
      </c>
      <c r="B2451" s="1" t="n">
        <v>45471</v>
      </c>
      <c r="C2451" s="1" t="n">
        <v>45849</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27090-2024</t>
        </is>
      </c>
      <c r="B2452" s="1" t="n">
        <v>45471</v>
      </c>
      <c r="C2452" s="1" t="n">
        <v>45849</v>
      </c>
      <c r="D2452" t="inlineStr">
        <is>
          <t>VÄRMLANDS LÄN</t>
        </is>
      </c>
      <c r="E2452" t="inlineStr">
        <is>
          <t>TORSBY</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27086-2024</t>
        </is>
      </c>
      <c r="B2453" s="1" t="n">
        <v>45471</v>
      </c>
      <c r="C2453" s="1" t="n">
        <v>45849</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27078-2024</t>
        </is>
      </c>
      <c r="B2454" s="1" t="n">
        <v>45471</v>
      </c>
      <c r="C2454" s="1" t="n">
        <v>45849</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27270-2024</t>
        </is>
      </c>
      <c r="B2455" s="1" t="n">
        <v>45471</v>
      </c>
      <c r="C2455" s="1" t="n">
        <v>45849</v>
      </c>
      <c r="D2455" t="inlineStr">
        <is>
          <t>VÄRMLANDS LÄN</t>
        </is>
      </c>
      <c r="E2455" t="inlineStr">
        <is>
          <t>TORSBY</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27291-2024</t>
        </is>
      </c>
      <c r="B2456" s="1" t="n">
        <v>45472</v>
      </c>
      <c r="C2456" s="1" t="n">
        <v>45849</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27096-2024</t>
        </is>
      </c>
      <c r="B2457" s="1" t="n">
        <v>45471</v>
      </c>
      <c r="C2457" s="1" t="n">
        <v>45849</v>
      </c>
      <c r="D2457" t="inlineStr">
        <is>
          <t>VÄRMLANDS LÄN</t>
        </is>
      </c>
      <c r="E2457" t="inlineStr">
        <is>
          <t>TORSBY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27273-2024</t>
        </is>
      </c>
      <c r="B2458" s="1" t="n">
        <v>45471</v>
      </c>
      <c r="C2458" s="1" t="n">
        <v>45849</v>
      </c>
      <c r="D2458" t="inlineStr">
        <is>
          <t>VÄRMLANDS LÄN</t>
        </is>
      </c>
      <c r="E2458" t="inlineStr">
        <is>
          <t>TORSBY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27038-2024</t>
        </is>
      </c>
      <c r="B2459" s="1" t="n">
        <v>45471</v>
      </c>
      <c r="C2459" s="1" t="n">
        <v>45849</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27275-2024</t>
        </is>
      </c>
      <c r="B2460" s="1" t="n">
        <v>45471</v>
      </c>
      <c r="C2460" s="1" t="n">
        <v>45849</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27292-2024</t>
        </is>
      </c>
      <c r="B2461" s="1" t="n">
        <v>45472</v>
      </c>
      <c r="C2461" s="1" t="n">
        <v>45849</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45849</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27347-2024</t>
        </is>
      </c>
      <c r="B2463" s="1" t="n">
        <v>45473</v>
      </c>
      <c r="C2463" s="1" t="n">
        <v>45849</v>
      </c>
      <c r="D2463" t="inlineStr">
        <is>
          <t>VÄRMLANDS LÄN</t>
        </is>
      </c>
      <c r="E2463" t="inlineStr">
        <is>
          <t>TORSBY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27360-2024</t>
        </is>
      </c>
      <c r="B2464" s="1" t="n">
        <v>45473</v>
      </c>
      <c r="C2464" s="1" t="n">
        <v>45849</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27352-2024</t>
        </is>
      </c>
      <c r="B2465" s="1" t="n">
        <v>45473</v>
      </c>
      <c r="C2465" s="1" t="n">
        <v>45849</v>
      </c>
      <c r="D2465" t="inlineStr">
        <is>
          <t>VÄRMLANDS LÄN</t>
        </is>
      </c>
      <c r="E2465" t="inlineStr">
        <is>
          <t>TORSBY</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27358-2024</t>
        </is>
      </c>
      <c r="B2466" s="1" t="n">
        <v>45473</v>
      </c>
      <c r="C2466" s="1" t="n">
        <v>45849</v>
      </c>
      <c r="D2466" t="inlineStr">
        <is>
          <t>VÄRMLANDS LÄN</t>
        </is>
      </c>
      <c r="E2466" t="inlineStr">
        <is>
          <t>TORSBY</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27346-2024</t>
        </is>
      </c>
      <c r="B2467" s="1" t="n">
        <v>45473</v>
      </c>
      <c r="C2467" s="1" t="n">
        <v>45849</v>
      </c>
      <c r="D2467" t="inlineStr">
        <is>
          <t>VÄRMLANDS LÄN</t>
        </is>
      </c>
      <c r="E2467" t="inlineStr">
        <is>
          <t>TORSBY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27349-2024</t>
        </is>
      </c>
      <c r="B2468" s="1" t="n">
        <v>45473</v>
      </c>
      <c r="C2468" s="1" t="n">
        <v>45849</v>
      </c>
      <c r="D2468" t="inlineStr">
        <is>
          <t>VÄRMLANDS LÄN</t>
        </is>
      </c>
      <c r="E2468" t="inlineStr">
        <is>
          <t>TORSBY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27548-2024</t>
        </is>
      </c>
      <c r="B2469" s="1" t="n">
        <v>45474</v>
      </c>
      <c r="C2469" s="1" t="n">
        <v>45849</v>
      </c>
      <c r="D2469" t="inlineStr">
        <is>
          <t>VÄRMLANDS LÄN</t>
        </is>
      </c>
      <c r="E2469" t="inlineStr">
        <is>
          <t>TORSBY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27615-2024</t>
        </is>
      </c>
      <c r="B2470" s="1" t="n">
        <v>45474</v>
      </c>
      <c r="C2470" s="1" t="n">
        <v>45849</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27554-2024</t>
        </is>
      </c>
      <c r="B2471" s="1" t="n">
        <v>45474</v>
      </c>
      <c r="C2471" s="1" t="n">
        <v>45849</v>
      </c>
      <c r="D2471" t="inlineStr">
        <is>
          <t>VÄRMLANDS LÄN</t>
        </is>
      </c>
      <c r="E2471" t="inlineStr">
        <is>
          <t>TORSBY</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27588-2024</t>
        </is>
      </c>
      <c r="B2472" s="1" t="n">
        <v>45474</v>
      </c>
      <c r="C2472" s="1" t="n">
        <v>45849</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27501-2024</t>
        </is>
      </c>
      <c r="B2473" s="1" t="n">
        <v>45474</v>
      </c>
      <c r="C2473" s="1" t="n">
        <v>45849</v>
      </c>
      <c r="D2473" t="inlineStr">
        <is>
          <t>VÄRMLANDS LÄN</t>
        </is>
      </c>
      <c r="E2473" t="inlineStr">
        <is>
          <t>TORSBY</t>
        </is>
      </c>
      <c r="F2473" t="inlineStr">
        <is>
          <t>Bergvik skog väst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27529-2024</t>
        </is>
      </c>
      <c r="B2474" s="1" t="n">
        <v>45474</v>
      </c>
      <c r="C2474" s="1" t="n">
        <v>45849</v>
      </c>
      <c r="D2474" t="inlineStr">
        <is>
          <t>VÄRMLANDS LÄN</t>
        </is>
      </c>
      <c r="E2474" t="inlineStr">
        <is>
          <t>TORSBY</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27537-2024</t>
        </is>
      </c>
      <c r="B2475" s="1" t="n">
        <v>45474</v>
      </c>
      <c r="C2475" s="1" t="n">
        <v>45849</v>
      </c>
      <c r="D2475" t="inlineStr">
        <is>
          <t>VÄRMLANDS LÄN</t>
        </is>
      </c>
      <c r="E2475" t="inlineStr">
        <is>
          <t>TORSBY</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27573-2024</t>
        </is>
      </c>
      <c r="B2476" s="1" t="n">
        <v>45474</v>
      </c>
      <c r="C2476" s="1" t="n">
        <v>45849</v>
      </c>
      <c r="D2476" t="inlineStr">
        <is>
          <t>VÄRMLANDS LÄN</t>
        </is>
      </c>
      <c r="E2476" t="inlineStr">
        <is>
          <t>TORSBY</t>
        </is>
      </c>
      <c r="F2476" t="inlineStr">
        <is>
          <t>Bergvik skog väst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27790-2024</t>
        </is>
      </c>
      <c r="B2477" s="1" t="n">
        <v>45475</v>
      </c>
      <c r="C2477" s="1" t="n">
        <v>45849</v>
      </c>
      <c r="D2477" t="inlineStr">
        <is>
          <t>VÄRMLANDS LÄN</t>
        </is>
      </c>
      <c r="E2477" t="inlineStr">
        <is>
          <t>TORSBY</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27678-2024</t>
        </is>
      </c>
      <c r="B2478" s="1" t="n">
        <v>45475</v>
      </c>
      <c r="C2478" s="1" t="n">
        <v>45849</v>
      </c>
      <c r="D2478" t="inlineStr">
        <is>
          <t>VÄRMLANDS LÄN</t>
        </is>
      </c>
      <c r="E2478" t="inlineStr">
        <is>
          <t>TORSBY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27824-2024</t>
        </is>
      </c>
      <c r="B2479" s="1" t="n">
        <v>45475</v>
      </c>
      <c r="C2479" s="1" t="n">
        <v>45849</v>
      </c>
      <c r="D2479" t="inlineStr">
        <is>
          <t>VÄRMLANDS LÄN</t>
        </is>
      </c>
      <c r="E2479" t="inlineStr">
        <is>
          <t>TORSBY</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27677-2024</t>
        </is>
      </c>
      <c r="B2480" s="1" t="n">
        <v>45475</v>
      </c>
      <c r="C2480" s="1" t="n">
        <v>45849</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28102-2024</t>
        </is>
      </c>
      <c r="B2481" s="1" t="n">
        <v>45476</v>
      </c>
      <c r="C2481" s="1" t="n">
        <v>45849</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28089-2024</t>
        </is>
      </c>
      <c r="B2482" s="1" t="n">
        <v>45476</v>
      </c>
      <c r="C2482" s="1" t="n">
        <v>45849</v>
      </c>
      <c r="D2482" t="inlineStr">
        <is>
          <t>VÄRMLANDS LÄN</t>
        </is>
      </c>
      <c r="E2482" t="inlineStr">
        <is>
          <t>TORSBY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28112-2024</t>
        </is>
      </c>
      <c r="B2483" s="1" t="n">
        <v>45476</v>
      </c>
      <c r="C2483" s="1" t="n">
        <v>45849</v>
      </c>
      <c r="D2483" t="inlineStr">
        <is>
          <t>VÄRMLANDS LÄN</t>
        </is>
      </c>
      <c r="E2483" t="inlineStr">
        <is>
          <t>TORSBY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28035-2024</t>
        </is>
      </c>
      <c r="B2484" s="1" t="n">
        <v>45476</v>
      </c>
      <c r="C2484" s="1" t="n">
        <v>45849</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28005-2024</t>
        </is>
      </c>
      <c r="B2485" s="1" t="n">
        <v>45476</v>
      </c>
      <c r="C2485" s="1" t="n">
        <v>45849</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28501-2024</t>
        </is>
      </c>
      <c r="B2486" s="1" t="n">
        <v>45478</v>
      </c>
      <c r="C2486" s="1" t="n">
        <v>45849</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28319-2024</t>
        </is>
      </c>
      <c r="B2487" s="1" t="n">
        <v>45477</v>
      </c>
      <c r="C2487" s="1" t="n">
        <v>45849</v>
      </c>
      <c r="D2487" t="inlineStr">
        <is>
          <t>VÄRMLANDS LÄN</t>
        </is>
      </c>
      <c r="E2487" t="inlineStr">
        <is>
          <t>TORSBY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28311-2024</t>
        </is>
      </c>
      <c r="B2488" s="1" t="n">
        <v>45477</v>
      </c>
      <c r="C2488" s="1" t="n">
        <v>45849</v>
      </c>
      <c r="D2488" t="inlineStr">
        <is>
          <t>VÄRMLANDS LÄN</t>
        </is>
      </c>
      <c r="E2488" t="inlineStr">
        <is>
          <t>TORSBY</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28329-2024</t>
        </is>
      </c>
      <c r="B2489" s="1" t="n">
        <v>45477</v>
      </c>
      <c r="C2489" s="1" t="n">
        <v>45849</v>
      </c>
      <c r="D2489" t="inlineStr">
        <is>
          <t>VÄRMLANDS LÄN</t>
        </is>
      </c>
      <c r="E2489" t="inlineStr">
        <is>
          <t>TORSBY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28310-2024</t>
        </is>
      </c>
      <c r="B2490" s="1" t="n">
        <v>45477</v>
      </c>
      <c r="C2490" s="1" t="n">
        <v>45849</v>
      </c>
      <c r="D2490" t="inlineStr">
        <is>
          <t>VÄRMLANDS LÄN</t>
        </is>
      </c>
      <c r="E2490" t="inlineStr">
        <is>
          <t>TORSBY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28502-2024</t>
        </is>
      </c>
      <c r="B2491" s="1" t="n">
        <v>45478</v>
      </c>
      <c r="C2491" s="1" t="n">
        <v>45849</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28249-2024</t>
        </is>
      </c>
      <c r="B2492" s="1" t="n">
        <v>45477</v>
      </c>
      <c r="C2492" s="1" t="n">
        <v>45849</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28364-2024</t>
        </is>
      </c>
      <c r="B2493" s="1" t="n">
        <v>45477</v>
      </c>
      <c r="C2493" s="1" t="n">
        <v>45849</v>
      </c>
      <c r="D2493" t="inlineStr">
        <is>
          <t>VÄRMLANDS LÄN</t>
        </is>
      </c>
      <c r="E2493" t="inlineStr">
        <is>
          <t>TORSBY</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28284-2024</t>
        </is>
      </c>
      <c r="B2494" s="1" t="n">
        <v>45477</v>
      </c>
      <c r="C2494" s="1" t="n">
        <v>45849</v>
      </c>
      <c r="D2494" t="inlineStr">
        <is>
          <t>VÄRMLANDS LÄN</t>
        </is>
      </c>
      <c r="E2494" t="inlineStr">
        <is>
          <t>TORSBY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28539-2024</t>
        </is>
      </c>
      <c r="B2495" s="1" t="n">
        <v>45478</v>
      </c>
      <c r="C2495" s="1" t="n">
        <v>45849</v>
      </c>
      <c r="D2495" t="inlineStr">
        <is>
          <t>VÄRMLANDS LÄN</t>
        </is>
      </c>
      <c r="E2495" t="inlineStr">
        <is>
          <t>TORSBY</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28619-2024</t>
        </is>
      </c>
      <c r="B2496" s="1" t="n">
        <v>45478</v>
      </c>
      <c r="C2496" s="1" t="n">
        <v>45849</v>
      </c>
      <c r="D2496" t="inlineStr">
        <is>
          <t>VÄRMLANDS LÄN</t>
        </is>
      </c>
      <c r="E2496" t="inlineStr">
        <is>
          <t>TORSBY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28554-2024</t>
        </is>
      </c>
      <c r="B2497" s="1" t="n">
        <v>45478</v>
      </c>
      <c r="C2497" s="1" t="n">
        <v>45849</v>
      </c>
      <c r="D2497" t="inlineStr">
        <is>
          <t>VÄRMLANDS LÄN</t>
        </is>
      </c>
      <c r="E2497" t="inlineStr">
        <is>
          <t>TORSBY</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28646-2024</t>
        </is>
      </c>
      <c r="B2498" s="1" t="n">
        <v>45478</v>
      </c>
      <c r="C2498" s="1" t="n">
        <v>45849</v>
      </c>
      <c r="D2498" t="inlineStr">
        <is>
          <t>VÄRMLANDS LÄN</t>
        </is>
      </c>
      <c r="E2498" t="inlineStr">
        <is>
          <t>TORSBY</t>
        </is>
      </c>
      <c r="F2498" t="inlineStr">
        <is>
          <t>Bergvik skog väst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28545-2024</t>
        </is>
      </c>
      <c r="B2499" s="1" t="n">
        <v>45478</v>
      </c>
      <c r="C2499" s="1" t="n">
        <v>45849</v>
      </c>
      <c r="D2499" t="inlineStr">
        <is>
          <t>VÄRMLANDS LÄN</t>
        </is>
      </c>
      <c r="E2499" t="inlineStr">
        <is>
          <t>TORSBY</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28589-2024</t>
        </is>
      </c>
      <c r="B2500" s="1" t="n">
        <v>45478</v>
      </c>
      <c r="C2500" s="1" t="n">
        <v>45849</v>
      </c>
      <c r="D2500" t="inlineStr">
        <is>
          <t>VÄRMLANDS LÄN</t>
        </is>
      </c>
      <c r="E2500" t="inlineStr">
        <is>
          <t>TORSBY</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28624-2024</t>
        </is>
      </c>
      <c r="B2501" s="1" t="n">
        <v>45478</v>
      </c>
      <c r="C2501" s="1" t="n">
        <v>45849</v>
      </c>
      <c r="D2501" t="inlineStr">
        <is>
          <t>VÄRMLANDS LÄN</t>
        </is>
      </c>
      <c r="E2501" t="inlineStr">
        <is>
          <t>TORSBY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28673-2024</t>
        </is>
      </c>
      <c r="B2502" s="1" t="n">
        <v>45478</v>
      </c>
      <c r="C2502" s="1" t="n">
        <v>45849</v>
      </c>
      <c r="D2502" t="inlineStr">
        <is>
          <t>VÄRMLANDS LÄN</t>
        </is>
      </c>
      <c r="E2502" t="inlineStr">
        <is>
          <t>TORSBY</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28609-2024</t>
        </is>
      </c>
      <c r="B2503" s="1" t="n">
        <v>45478</v>
      </c>
      <c r="C2503" s="1" t="n">
        <v>45849</v>
      </c>
      <c r="D2503" t="inlineStr">
        <is>
          <t>VÄRMLANDS LÄN</t>
        </is>
      </c>
      <c r="E2503" t="inlineStr">
        <is>
          <t>TORSBY</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28621-2024</t>
        </is>
      </c>
      <c r="B2504" s="1" t="n">
        <v>45478</v>
      </c>
      <c r="C2504" s="1" t="n">
        <v>45849</v>
      </c>
      <c r="D2504" t="inlineStr">
        <is>
          <t>VÄRMLANDS LÄN</t>
        </is>
      </c>
      <c r="E2504" t="inlineStr">
        <is>
          <t>TORSBY</t>
        </is>
      </c>
      <c r="F2504" t="inlineStr">
        <is>
          <t>Bergvik skog väst AB</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28637-2024</t>
        </is>
      </c>
      <c r="B2505" s="1" t="n">
        <v>45478</v>
      </c>
      <c r="C2505" s="1" t="n">
        <v>45849</v>
      </c>
      <c r="D2505" t="inlineStr">
        <is>
          <t>VÄRMLANDS LÄN</t>
        </is>
      </c>
      <c r="E2505" t="inlineStr">
        <is>
          <t>TORSBY</t>
        </is>
      </c>
      <c r="F2505" t="inlineStr">
        <is>
          <t>Bergvik skog väst AB</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28948-2024</t>
        </is>
      </c>
      <c r="B2506" s="1" t="n">
        <v>45481</v>
      </c>
      <c r="C2506" s="1" t="n">
        <v>45849</v>
      </c>
      <c r="D2506" t="inlineStr">
        <is>
          <t>VÄRMLANDS LÄN</t>
        </is>
      </c>
      <c r="E2506" t="inlineStr">
        <is>
          <t>TORSBY</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28987-2024</t>
        </is>
      </c>
      <c r="B2507" s="1" t="n">
        <v>45481</v>
      </c>
      <c r="C2507" s="1" t="n">
        <v>45849</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29306-2024</t>
        </is>
      </c>
      <c r="B2508" s="1" t="n">
        <v>45483</v>
      </c>
      <c r="C2508" s="1" t="n">
        <v>45849</v>
      </c>
      <c r="D2508" t="inlineStr">
        <is>
          <t>VÄRMLANDS LÄN</t>
        </is>
      </c>
      <c r="E2508" t="inlineStr">
        <is>
          <t>TORSBY</t>
        </is>
      </c>
      <c r="F2508" t="inlineStr">
        <is>
          <t>Kyrkan</t>
        </is>
      </c>
      <c r="G2508" t="n">
        <v>18.3</v>
      </c>
      <c r="H2508" t="n">
        <v>0</v>
      </c>
      <c r="I2508" t="n">
        <v>0</v>
      </c>
      <c r="J2508" t="n">
        <v>0</v>
      </c>
      <c r="K2508" t="n">
        <v>0</v>
      </c>
      <c r="L2508" t="n">
        <v>0</v>
      </c>
      <c r="M2508" t="n">
        <v>0</v>
      </c>
      <c r="N2508" t="n">
        <v>0</v>
      </c>
      <c r="O2508" t="n">
        <v>0</v>
      </c>
      <c r="P2508" t="n">
        <v>0</v>
      </c>
      <c r="Q2508" t="n">
        <v>0</v>
      </c>
      <c r="R2508" s="2" t="inlineStr"/>
    </row>
    <row r="2509" ht="15" customHeight="1">
      <c r="A2509" t="inlineStr">
        <is>
          <t>A 29408-2024</t>
        </is>
      </c>
      <c r="B2509" s="1" t="n">
        <v>45483</v>
      </c>
      <c r="C2509" s="1" t="n">
        <v>45849</v>
      </c>
      <c r="D2509" t="inlineStr">
        <is>
          <t>VÄRMLANDS LÄN</t>
        </is>
      </c>
      <c r="E2509" t="inlineStr">
        <is>
          <t>TORSBY</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29375-2024</t>
        </is>
      </c>
      <c r="B2510" s="1" t="n">
        <v>45483</v>
      </c>
      <c r="C2510" s="1" t="n">
        <v>45849</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29541-2024</t>
        </is>
      </c>
      <c r="B2511" s="1" t="n">
        <v>45484</v>
      </c>
      <c r="C2511" s="1" t="n">
        <v>45849</v>
      </c>
      <c r="D2511" t="inlineStr">
        <is>
          <t>VÄRMLANDS LÄN</t>
        </is>
      </c>
      <c r="E2511" t="inlineStr">
        <is>
          <t>TORSBY</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29549-2024</t>
        </is>
      </c>
      <c r="B2512" s="1" t="n">
        <v>45484</v>
      </c>
      <c r="C2512" s="1" t="n">
        <v>45849</v>
      </c>
      <c r="D2512" t="inlineStr">
        <is>
          <t>VÄRMLANDS LÄN</t>
        </is>
      </c>
      <c r="E2512" t="inlineStr">
        <is>
          <t>TORSBY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29593-2024</t>
        </is>
      </c>
      <c r="B2513" s="1" t="n">
        <v>45484</v>
      </c>
      <c r="C2513" s="1" t="n">
        <v>45849</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29535-2024</t>
        </is>
      </c>
      <c r="B2514" s="1" t="n">
        <v>45484</v>
      </c>
      <c r="C2514" s="1" t="n">
        <v>45849</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29559-2024</t>
        </is>
      </c>
      <c r="B2515" s="1" t="n">
        <v>45484</v>
      </c>
      <c r="C2515" s="1" t="n">
        <v>45849</v>
      </c>
      <c r="D2515" t="inlineStr">
        <is>
          <t>VÄRMLANDS LÄN</t>
        </is>
      </c>
      <c r="E2515" t="inlineStr">
        <is>
          <t>TORSBY</t>
        </is>
      </c>
      <c r="F2515" t="inlineStr">
        <is>
          <t>Bergvik skog väst AB</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29502-2024</t>
        </is>
      </c>
      <c r="B2516" s="1" t="n">
        <v>45484</v>
      </c>
      <c r="C2516" s="1" t="n">
        <v>45849</v>
      </c>
      <c r="D2516" t="inlineStr">
        <is>
          <t>VÄRMLANDS LÄN</t>
        </is>
      </c>
      <c r="E2516" t="inlineStr">
        <is>
          <t>TORSBY</t>
        </is>
      </c>
      <c r="F2516" t="inlineStr">
        <is>
          <t>Bergvik skog väst AB</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29759-2024</t>
        </is>
      </c>
      <c r="B2517" s="1" t="n">
        <v>45485</v>
      </c>
      <c r="C2517" s="1" t="n">
        <v>45849</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29852-2024</t>
        </is>
      </c>
      <c r="B2518" s="1" t="n">
        <v>45485</v>
      </c>
      <c r="C2518" s="1" t="n">
        <v>45849</v>
      </c>
      <c r="D2518" t="inlineStr">
        <is>
          <t>VÄRMLANDS LÄN</t>
        </is>
      </c>
      <c r="E2518" t="inlineStr">
        <is>
          <t>TORSBY</t>
        </is>
      </c>
      <c r="F2518" t="inlineStr">
        <is>
          <t>Bergvik skog väst AB</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29898-2024</t>
        </is>
      </c>
      <c r="B2519" s="1" t="n">
        <v>45487</v>
      </c>
      <c r="C2519" s="1" t="n">
        <v>45849</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29895-2024</t>
        </is>
      </c>
      <c r="B2520" s="1" t="n">
        <v>45487</v>
      </c>
      <c r="C2520" s="1" t="n">
        <v>45849</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29897-2024</t>
        </is>
      </c>
      <c r="B2521" s="1" t="n">
        <v>45487</v>
      </c>
      <c r="C2521" s="1" t="n">
        <v>45849</v>
      </c>
      <c r="D2521" t="inlineStr">
        <is>
          <t>VÄRMLANDS LÄN</t>
        </is>
      </c>
      <c r="E2521" t="inlineStr">
        <is>
          <t>TORSBY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29936-2024</t>
        </is>
      </c>
      <c r="B2522" s="1" t="n">
        <v>45488</v>
      </c>
      <c r="C2522" s="1" t="n">
        <v>45849</v>
      </c>
      <c r="D2522" t="inlineStr">
        <is>
          <t>VÄRMLANDS LÄN</t>
        </is>
      </c>
      <c r="E2522" t="inlineStr">
        <is>
          <t>TORSBY</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29925-2024</t>
        </is>
      </c>
      <c r="B2523" s="1" t="n">
        <v>45488</v>
      </c>
      <c r="C2523" s="1" t="n">
        <v>45849</v>
      </c>
      <c r="D2523" t="inlineStr">
        <is>
          <t>VÄRMLANDS LÄN</t>
        </is>
      </c>
      <c r="E2523" t="inlineStr">
        <is>
          <t>TORSBY</t>
        </is>
      </c>
      <c r="F2523" t="inlineStr">
        <is>
          <t>Kyrkan</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30002-2024</t>
        </is>
      </c>
      <c r="B2524" s="1" t="n">
        <v>45488</v>
      </c>
      <c r="C2524" s="1" t="n">
        <v>45849</v>
      </c>
      <c r="D2524" t="inlineStr">
        <is>
          <t>VÄRMLANDS LÄN</t>
        </is>
      </c>
      <c r="E2524" t="inlineStr">
        <is>
          <t>TORSBY</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30011-2024</t>
        </is>
      </c>
      <c r="B2525" s="1" t="n">
        <v>45488</v>
      </c>
      <c r="C2525" s="1" t="n">
        <v>45849</v>
      </c>
      <c r="D2525" t="inlineStr">
        <is>
          <t>VÄRMLANDS LÄN</t>
        </is>
      </c>
      <c r="E2525" t="inlineStr">
        <is>
          <t>TORSBY</t>
        </is>
      </c>
      <c r="F2525" t="inlineStr">
        <is>
          <t>Kommuner</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29926-2024</t>
        </is>
      </c>
      <c r="B2526" s="1" t="n">
        <v>45488</v>
      </c>
      <c r="C2526" s="1" t="n">
        <v>45849</v>
      </c>
      <c r="D2526" t="inlineStr">
        <is>
          <t>VÄRMLANDS LÄN</t>
        </is>
      </c>
      <c r="E2526" t="inlineStr">
        <is>
          <t>TORSBY</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30074-2024</t>
        </is>
      </c>
      <c r="B2527" s="1" t="n">
        <v>45489</v>
      </c>
      <c r="C2527" s="1" t="n">
        <v>45849</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30267-2024</t>
        </is>
      </c>
      <c r="B2528" s="1" t="n">
        <v>45490</v>
      </c>
      <c r="C2528" s="1" t="n">
        <v>45849</v>
      </c>
      <c r="D2528" t="inlineStr">
        <is>
          <t>VÄRMLANDS LÄN</t>
        </is>
      </c>
      <c r="E2528" t="inlineStr">
        <is>
          <t>TORSBY</t>
        </is>
      </c>
      <c r="F2528" t="inlineStr">
        <is>
          <t>Bergvik skog väst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30403-2024</t>
        </is>
      </c>
      <c r="B2529" s="1" t="n">
        <v>45491</v>
      </c>
      <c r="C2529" s="1" t="n">
        <v>45849</v>
      </c>
      <c r="D2529" t="inlineStr">
        <is>
          <t>VÄRMLANDS LÄN</t>
        </is>
      </c>
      <c r="E2529" t="inlineStr">
        <is>
          <t>TORSBY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30629-2024</t>
        </is>
      </c>
      <c r="B2530" s="1" t="n">
        <v>45495</v>
      </c>
      <c r="C2530" s="1" t="n">
        <v>45849</v>
      </c>
      <c r="D2530" t="inlineStr">
        <is>
          <t>VÄRMLANDS LÄN</t>
        </is>
      </c>
      <c r="E2530" t="inlineStr">
        <is>
          <t>TORSBY</t>
        </is>
      </c>
      <c r="F2530" t="inlineStr">
        <is>
          <t>Bergvik skog väst AB</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30718-2024</t>
        </is>
      </c>
      <c r="B2531" s="1" t="n">
        <v>45496</v>
      </c>
      <c r="C2531" s="1" t="n">
        <v>45849</v>
      </c>
      <c r="D2531" t="inlineStr">
        <is>
          <t>VÄRMLANDS LÄN</t>
        </is>
      </c>
      <c r="E2531" t="inlineStr">
        <is>
          <t>TORSBY</t>
        </is>
      </c>
      <c r="F2531" t="inlineStr">
        <is>
          <t>Bergvik skog väst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30706-2024</t>
        </is>
      </c>
      <c r="B2532" s="1" t="n">
        <v>45496</v>
      </c>
      <c r="C2532" s="1" t="n">
        <v>45849</v>
      </c>
      <c r="D2532" t="inlineStr">
        <is>
          <t>VÄRMLANDS LÄN</t>
        </is>
      </c>
      <c r="E2532" t="inlineStr">
        <is>
          <t>TORSBY</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30720-2024</t>
        </is>
      </c>
      <c r="B2533" s="1" t="n">
        <v>45496</v>
      </c>
      <c r="C2533" s="1" t="n">
        <v>45849</v>
      </c>
      <c r="D2533" t="inlineStr">
        <is>
          <t>VÄRMLANDS LÄN</t>
        </is>
      </c>
      <c r="E2533" t="inlineStr">
        <is>
          <t>TORSBY</t>
        </is>
      </c>
      <c r="F2533" t="inlineStr">
        <is>
          <t>Bergvik skog väst AB</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30700-2024</t>
        </is>
      </c>
      <c r="B2534" s="1" t="n">
        <v>45496</v>
      </c>
      <c r="C2534" s="1" t="n">
        <v>45849</v>
      </c>
      <c r="D2534" t="inlineStr">
        <is>
          <t>VÄRMLANDS LÄN</t>
        </is>
      </c>
      <c r="E2534" t="inlineStr">
        <is>
          <t>TORSBY</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30696-2024</t>
        </is>
      </c>
      <c r="B2535" s="1" t="n">
        <v>45496</v>
      </c>
      <c r="C2535" s="1" t="n">
        <v>45849</v>
      </c>
      <c r="D2535" t="inlineStr">
        <is>
          <t>VÄRMLANDS LÄN</t>
        </is>
      </c>
      <c r="E2535" t="inlineStr">
        <is>
          <t>TORSBY</t>
        </is>
      </c>
      <c r="F2535" t="inlineStr">
        <is>
          <t>Bergvik skog väst AB</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30699-2024</t>
        </is>
      </c>
      <c r="B2536" s="1" t="n">
        <v>45496</v>
      </c>
      <c r="C2536" s="1" t="n">
        <v>45849</v>
      </c>
      <c r="D2536" t="inlineStr">
        <is>
          <t>VÄRMLANDS LÄN</t>
        </is>
      </c>
      <c r="E2536" t="inlineStr">
        <is>
          <t>TORSBY</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30705-2024</t>
        </is>
      </c>
      <c r="B2537" s="1" t="n">
        <v>45496</v>
      </c>
      <c r="C2537" s="1" t="n">
        <v>45849</v>
      </c>
      <c r="D2537" t="inlineStr">
        <is>
          <t>VÄRMLANDS LÄN</t>
        </is>
      </c>
      <c r="E2537" t="inlineStr">
        <is>
          <t>TORSBY</t>
        </is>
      </c>
      <c r="F2537" t="inlineStr">
        <is>
          <t>Bergvik skog väst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30790-2024</t>
        </is>
      </c>
      <c r="B2538" s="1" t="n">
        <v>45497</v>
      </c>
      <c r="C2538" s="1" t="n">
        <v>45849</v>
      </c>
      <c r="D2538" t="inlineStr">
        <is>
          <t>VÄRMLANDS LÄN</t>
        </is>
      </c>
      <c r="E2538" t="inlineStr">
        <is>
          <t>TORSBY</t>
        </is>
      </c>
      <c r="G2538" t="n">
        <v>49.9</v>
      </c>
      <c r="H2538" t="n">
        <v>0</v>
      </c>
      <c r="I2538" t="n">
        <v>0</v>
      </c>
      <c r="J2538" t="n">
        <v>0</v>
      </c>
      <c r="K2538" t="n">
        <v>0</v>
      </c>
      <c r="L2538" t="n">
        <v>0</v>
      </c>
      <c r="M2538" t="n">
        <v>0</v>
      </c>
      <c r="N2538" t="n">
        <v>0</v>
      </c>
      <c r="O2538" t="n">
        <v>0</v>
      </c>
      <c r="P2538" t="n">
        <v>0</v>
      </c>
      <c r="Q2538" t="n">
        <v>0</v>
      </c>
      <c r="R2538" s="2" t="inlineStr"/>
    </row>
    <row r="2539" ht="15" customHeight="1">
      <c r="A2539" t="inlineStr">
        <is>
          <t>A 30789-2024</t>
        </is>
      </c>
      <c r="B2539" s="1" t="n">
        <v>45497</v>
      </c>
      <c r="C2539" s="1" t="n">
        <v>45849</v>
      </c>
      <c r="D2539" t="inlineStr">
        <is>
          <t>VÄRMLANDS LÄN</t>
        </is>
      </c>
      <c r="E2539" t="inlineStr">
        <is>
          <t>TORSBY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30803-2024</t>
        </is>
      </c>
      <c r="B2540" s="1" t="n">
        <v>45497</v>
      </c>
      <c r="C2540" s="1" t="n">
        <v>45849</v>
      </c>
      <c r="D2540" t="inlineStr">
        <is>
          <t>VÄRMLANDS LÄN</t>
        </is>
      </c>
      <c r="E2540" t="inlineStr">
        <is>
          <t>TORSBY</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30791-2024</t>
        </is>
      </c>
      <c r="B2541" s="1" t="n">
        <v>45497</v>
      </c>
      <c r="C2541" s="1" t="n">
        <v>45849</v>
      </c>
      <c r="D2541" t="inlineStr">
        <is>
          <t>VÄRMLANDS LÄN</t>
        </is>
      </c>
      <c r="E2541" t="inlineStr">
        <is>
          <t>TORSBY</t>
        </is>
      </c>
      <c r="G2541" t="n">
        <v>44.2</v>
      </c>
      <c r="H2541" t="n">
        <v>0</v>
      </c>
      <c r="I2541" t="n">
        <v>0</v>
      </c>
      <c r="J2541" t="n">
        <v>0</v>
      </c>
      <c r="K2541" t="n">
        <v>0</v>
      </c>
      <c r="L2541" t="n">
        <v>0</v>
      </c>
      <c r="M2541" t="n">
        <v>0</v>
      </c>
      <c r="N2541" t="n">
        <v>0</v>
      </c>
      <c r="O2541" t="n">
        <v>0</v>
      </c>
      <c r="P2541" t="n">
        <v>0</v>
      </c>
      <c r="Q2541" t="n">
        <v>0</v>
      </c>
      <c r="R2541" s="2" t="inlineStr"/>
    </row>
    <row r="2542" ht="15" customHeight="1">
      <c r="A2542" t="inlineStr">
        <is>
          <t>A 30873-2024</t>
        </is>
      </c>
      <c r="B2542" s="1" t="n">
        <v>45498</v>
      </c>
      <c r="C2542" s="1" t="n">
        <v>45849</v>
      </c>
      <c r="D2542" t="inlineStr">
        <is>
          <t>VÄRMLANDS LÄN</t>
        </is>
      </c>
      <c r="E2542" t="inlineStr">
        <is>
          <t>TORSBY</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30952-2024</t>
        </is>
      </c>
      <c r="B2543" s="1" t="n">
        <v>45499</v>
      </c>
      <c r="C2543" s="1" t="n">
        <v>45849</v>
      </c>
      <c r="D2543" t="inlineStr">
        <is>
          <t>VÄRMLANDS LÄN</t>
        </is>
      </c>
      <c r="E2543" t="inlineStr">
        <is>
          <t>TORSBY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30947-2024</t>
        </is>
      </c>
      <c r="B2544" s="1" t="n">
        <v>45499</v>
      </c>
      <c r="C2544" s="1" t="n">
        <v>45849</v>
      </c>
      <c r="D2544" t="inlineStr">
        <is>
          <t>VÄRMLANDS LÄN</t>
        </is>
      </c>
      <c r="E2544" t="inlineStr">
        <is>
          <t>TORSBY</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31004-2024</t>
        </is>
      </c>
      <c r="B2545" s="1" t="n">
        <v>45499</v>
      </c>
      <c r="C2545" s="1" t="n">
        <v>45849</v>
      </c>
      <c r="D2545" t="inlineStr">
        <is>
          <t>VÄRMLANDS LÄN</t>
        </is>
      </c>
      <c r="E2545" t="inlineStr">
        <is>
          <t>TORSBY</t>
        </is>
      </c>
      <c r="F2545" t="inlineStr">
        <is>
          <t>Bergvik skog väst AB</t>
        </is>
      </c>
      <c r="G2545" t="n">
        <v>14.2</v>
      </c>
      <c r="H2545" t="n">
        <v>0</v>
      </c>
      <c r="I2545" t="n">
        <v>0</v>
      </c>
      <c r="J2545" t="n">
        <v>0</v>
      </c>
      <c r="K2545" t="n">
        <v>0</v>
      </c>
      <c r="L2545" t="n">
        <v>0</v>
      </c>
      <c r="M2545" t="n">
        <v>0</v>
      </c>
      <c r="N2545" t="n">
        <v>0</v>
      </c>
      <c r="O2545" t="n">
        <v>0</v>
      </c>
      <c r="P2545" t="n">
        <v>0</v>
      </c>
      <c r="Q2545" t="n">
        <v>0</v>
      </c>
      <c r="R2545" s="2" t="inlineStr"/>
    </row>
    <row r="2546" ht="15" customHeight="1">
      <c r="A2546" t="inlineStr">
        <is>
          <t>A 30942-2024</t>
        </is>
      </c>
      <c r="B2546" s="1" t="n">
        <v>45499</v>
      </c>
      <c r="C2546" s="1" t="n">
        <v>45849</v>
      </c>
      <c r="D2546" t="inlineStr">
        <is>
          <t>VÄRMLANDS LÄN</t>
        </is>
      </c>
      <c r="E2546" t="inlineStr">
        <is>
          <t>TORSBY</t>
        </is>
      </c>
      <c r="F2546" t="inlineStr">
        <is>
          <t>Bergvik skog väst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31089-2024</t>
        </is>
      </c>
      <c r="B2547" s="1" t="n">
        <v>45502</v>
      </c>
      <c r="C2547" s="1" t="n">
        <v>45849</v>
      </c>
      <c r="D2547" t="inlineStr">
        <is>
          <t>VÄRMLANDS LÄN</t>
        </is>
      </c>
      <c r="E2547" t="inlineStr">
        <is>
          <t>TORSBY</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31158-2024</t>
        </is>
      </c>
      <c r="B2548" s="1" t="n">
        <v>45503</v>
      </c>
      <c r="C2548" s="1" t="n">
        <v>45849</v>
      </c>
      <c r="D2548" t="inlineStr">
        <is>
          <t>VÄRMLANDS LÄN</t>
        </is>
      </c>
      <c r="E2548" t="inlineStr">
        <is>
          <t>TORSBY</t>
        </is>
      </c>
      <c r="F2548" t="inlineStr">
        <is>
          <t>Kyrkan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31164-2024</t>
        </is>
      </c>
      <c r="B2549" s="1" t="n">
        <v>45503</v>
      </c>
      <c r="C2549" s="1" t="n">
        <v>45849</v>
      </c>
      <c r="D2549" t="inlineStr">
        <is>
          <t>VÄRMLANDS LÄN</t>
        </is>
      </c>
      <c r="E2549" t="inlineStr">
        <is>
          <t>TORSBY</t>
        </is>
      </c>
      <c r="F2549" t="inlineStr">
        <is>
          <t>Kyrkan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31285-2024</t>
        </is>
      </c>
      <c r="B2550" s="1" t="n">
        <v>45504</v>
      </c>
      <c r="C2550" s="1" t="n">
        <v>45849</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31289-2024</t>
        </is>
      </c>
      <c r="B2551" s="1" t="n">
        <v>45504</v>
      </c>
      <c r="C2551" s="1" t="n">
        <v>45849</v>
      </c>
      <c r="D2551" t="inlineStr">
        <is>
          <t>VÄRMLANDS LÄN</t>
        </is>
      </c>
      <c r="E2551" t="inlineStr">
        <is>
          <t>TORSBY</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31380-2024</t>
        </is>
      </c>
      <c r="B2552" s="1" t="n">
        <v>45505</v>
      </c>
      <c r="C2552" s="1" t="n">
        <v>45849</v>
      </c>
      <c r="D2552" t="inlineStr">
        <is>
          <t>VÄRMLANDS LÄN</t>
        </is>
      </c>
      <c r="E2552" t="inlineStr">
        <is>
          <t>TORSBY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31385-2024</t>
        </is>
      </c>
      <c r="B2553" s="1" t="n">
        <v>45505</v>
      </c>
      <c r="C2553" s="1" t="n">
        <v>45849</v>
      </c>
      <c r="D2553" t="inlineStr">
        <is>
          <t>VÄRMLANDS LÄN</t>
        </is>
      </c>
      <c r="E2553" t="inlineStr">
        <is>
          <t>TORSBY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31377-2024</t>
        </is>
      </c>
      <c r="B2554" s="1" t="n">
        <v>45505</v>
      </c>
      <c r="C2554" s="1" t="n">
        <v>45849</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31351-2024</t>
        </is>
      </c>
      <c r="B2555" s="1" t="n">
        <v>45505</v>
      </c>
      <c r="C2555" s="1" t="n">
        <v>45849</v>
      </c>
      <c r="D2555" t="inlineStr">
        <is>
          <t>VÄRMLANDS LÄN</t>
        </is>
      </c>
      <c r="E2555" t="inlineStr">
        <is>
          <t>TORSBY</t>
        </is>
      </c>
      <c r="F2555" t="inlineStr">
        <is>
          <t>Kyrkan</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31767-2024</t>
        </is>
      </c>
      <c r="B2556" s="1" t="n">
        <v>45509</v>
      </c>
      <c r="C2556" s="1" t="n">
        <v>45849</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31716-2024</t>
        </is>
      </c>
      <c r="B2557" s="1" t="n">
        <v>45509</v>
      </c>
      <c r="C2557" s="1" t="n">
        <v>45849</v>
      </c>
      <c r="D2557" t="inlineStr">
        <is>
          <t>VÄRMLANDS LÄN</t>
        </is>
      </c>
      <c r="E2557" t="inlineStr">
        <is>
          <t>TORSBY</t>
        </is>
      </c>
      <c r="F2557" t="inlineStr">
        <is>
          <t>Bergvik skog väst AB</t>
        </is>
      </c>
      <c r="G2557" t="n">
        <v>19.3</v>
      </c>
      <c r="H2557" t="n">
        <v>0</v>
      </c>
      <c r="I2557" t="n">
        <v>0</v>
      </c>
      <c r="J2557" t="n">
        <v>0</v>
      </c>
      <c r="K2557" t="n">
        <v>0</v>
      </c>
      <c r="L2557" t="n">
        <v>0</v>
      </c>
      <c r="M2557" t="n">
        <v>0</v>
      </c>
      <c r="N2557" t="n">
        <v>0</v>
      </c>
      <c r="O2557" t="n">
        <v>0</v>
      </c>
      <c r="P2557" t="n">
        <v>0</v>
      </c>
      <c r="Q2557" t="n">
        <v>0</v>
      </c>
      <c r="R2557" s="2" t="inlineStr"/>
    </row>
    <row r="2558" ht="15" customHeight="1">
      <c r="A2558" t="inlineStr">
        <is>
          <t>A 31836-2024</t>
        </is>
      </c>
      <c r="B2558" s="1" t="n">
        <v>45509</v>
      </c>
      <c r="C2558" s="1" t="n">
        <v>45849</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31830-2024</t>
        </is>
      </c>
      <c r="B2559" s="1" t="n">
        <v>45509</v>
      </c>
      <c r="C2559" s="1" t="n">
        <v>45849</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31945-2024</t>
        </is>
      </c>
      <c r="B2560" s="1" t="n">
        <v>45510</v>
      </c>
      <c r="C2560" s="1" t="n">
        <v>45849</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32155-2024</t>
        </is>
      </c>
      <c r="B2561" s="1" t="n">
        <v>45511</v>
      </c>
      <c r="C2561" s="1" t="n">
        <v>45849</v>
      </c>
      <c r="D2561" t="inlineStr">
        <is>
          <t>VÄRMLANDS LÄN</t>
        </is>
      </c>
      <c r="E2561" t="inlineStr">
        <is>
          <t>TORSBY</t>
        </is>
      </c>
      <c r="F2561" t="inlineStr">
        <is>
          <t>Bergvik skog väst AB</t>
        </is>
      </c>
      <c r="G2561" t="n">
        <v>13.5</v>
      </c>
      <c r="H2561" t="n">
        <v>0</v>
      </c>
      <c r="I2561" t="n">
        <v>0</v>
      </c>
      <c r="J2561" t="n">
        <v>0</v>
      </c>
      <c r="K2561" t="n">
        <v>0</v>
      </c>
      <c r="L2561" t="n">
        <v>0</v>
      </c>
      <c r="M2561" t="n">
        <v>0</v>
      </c>
      <c r="N2561" t="n">
        <v>0</v>
      </c>
      <c r="O2561" t="n">
        <v>0</v>
      </c>
      <c r="P2561" t="n">
        <v>0</v>
      </c>
      <c r="Q2561" t="n">
        <v>0</v>
      </c>
      <c r="R2561" s="2" t="inlineStr"/>
    </row>
    <row r="2562" ht="15" customHeight="1">
      <c r="A2562" t="inlineStr">
        <is>
          <t>A 32138-2024</t>
        </is>
      </c>
      <c r="B2562" s="1" t="n">
        <v>45511</v>
      </c>
      <c r="C2562" s="1" t="n">
        <v>45849</v>
      </c>
      <c r="D2562" t="inlineStr">
        <is>
          <t>VÄRMLANDS LÄN</t>
        </is>
      </c>
      <c r="E2562" t="inlineStr">
        <is>
          <t>TORSBY</t>
        </is>
      </c>
      <c r="F2562" t="inlineStr">
        <is>
          <t>Bergvik skog väst AB</t>
        </is>
      </c>
      <c r="G2562" t="n">
        <v>26.3</v>
      </c>
      <c r="H2562" t="n">
        <v>0</v>
      </c>
      <c r="I2562" t="n">
        <v>0</v>
      </c>
      <c r="J2562" t="n">
        <v>0</v>
      </c>
      <c r="K2562" t="n">
        <v>0</v>
      </c>
      <c r="L2562" t="n">
        <v>0</v>
      </c>
      <c r="M2562" t="n">
        <v>0</v>
      </c>
      <c r="N2562" t="n">
        <v>0</v>
      </c>
      <c r="O2562" t="n">
        <v>0</v>
      </c>
      <c r="P2562" t="n">
        <v>0</v>
      </c>
      <c r="Q2562" t="n">
        <v>0</v>
      </c>
      <c r="R2562" s="2" t="inlineStr"/>
    </row>
    <row r="2563" ht="15" customHeight="1">
      <c r="A2563" t="inlineStr">
        <is>
          <t>A 32213-2024</t>
        </is>
      </c>
      <c r="B2563" s="1" t="n">
        <v>45511</v>
      </c>
      <c r="C2563" s="1" t="n">
        <v>45849</v>
      </c>
      <c r="D2563" t="inlineStr">
        <is>
          <t>VÄRMLANDS LÄN</t>
        </is>
      </c>
      <c r="E2563" t="inlineStr">
        <is>
          <t>TORSBY</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32314-2024</t>
        </is>
      </c>
      <c r="B2564" s="1" t="n">
        <v>45512</v>
      </c>
      <c r="C2564" s="1" t="n">
        <v>45849</v>
      </c>
      <c r="D2564" t="inlineStr">
        <is>
          <t>VÄRMLANDS LÄN</t>
        </is>
      </c>
      <c r="E2564" t="inlineStr">
        <is>
          <t>TORSBY</t>
        </is>
      </c>
      <c r="F2564" t="inlineStr">
        <is>
          <t>Bergvik skog väst AB</t>
        </is>
      </c>
      <c r="G2564" t="n">
        <v>35.1</v>
      </c>
      <c r="H2564" t="n">
        <v>0</v>
      </c>
      <c r="I2564" t="n">
        <v>0</v>
      </c>
      <c r="J2564" t="n">
        <v>0</v>
      </c>
      <c r="K2564" t="n">
        <v>0</v>
      </c>
      <c r="L2564" t="n">
        <v>0</v>
      </c>
      <c r="M2564" t="n">
        <v>0</v>
      </c>
      <c r="N2564" t="n">
        <v>0</v>
      </c>
      <c r="O2564" t="n">
        <v>0</v>
      </c>
      <c r="P2564" t="n">
        <v>0</v>
      </c>
      <c r="Q2564" t="n">
        <v>0</v>
      </c>
      <c r="R2564" s="2" t="inlineStr"/>
    </row>
    <row r="2565" ht="15" customHeight="1">
      <c r="A2565" t="inlineStr">
        <is>
          <t>A 32343-2024</t>
        </is>
      </c>
      <c r="B2565" s="1" t="n">
        <v>45512</v>
      </c>
      <c r="C2565" s="1" t="n">
        <v>45849</v>
      </c>
      <c r="D2565" t="inlineStr">
        <is>
          <t>VÄRMLANDS LÄN</t>
        </is>
      </c>
      <c r="E2565" t="inlineStr">
        <is>
          <t>TORSBY</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32340-2024</t>
        </is>
      </c>
      <c r="B2566" s="1" t="n">
        <v>45512</v>
      </c>
      <c r="C2566" s="1" t="n">
        <v>45849</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32319-2024</t>
        </is>
      </c>
      <c r="B2567" s="1" t="n">
        <v>45512</v>
      </c>
      <c r="C2567" s="1" t="n">
        <v>45849</v>
      </c>
      <c r="D2567" t="inlineStr">
        <is>
          <t>VÄRMLANDS LÄN</t>
        </is>
      </c>
      <c r="E2567" t="inlineStr">
        <is>
          <t>TORSBY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32588-2024</t>
        </is>
      </c>
      <c r="B2568" s="1" t="n">
        <v>45513</v>
      </c>
      <c r="C2568" s="1" t="n">
        <v>45849</v>
      </c>
      <c r="D2568" t="inlineStr">
        <is>
          <t>VÄRMLANDS LÄN</t>
        </is>
      </c>
      <c r="E2568" t="inlineStr">
        <is>
          <t>TORSBY</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32603-2024</t>
        </is>
      </c>
      <c r="B2569" s="1" t="n">
        <v>45513</v>
      </c>
      <c r="C2569" s="1" t="n">
        <v>45849</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32764-2024</t>
        </is>
      </c>
      <c r="B2570" s="1" t="n">
        <v>45515</v>
      </c>
      <c r="C2570" s="1" t="n">
        <v>45849</v>
      </c>
      <c r="D2570" t="inlineStr">
        <is>
          <t>VÄRMLANDS LÄN</t>
        </is>
      </c>
      <c r="E2570" t="inlineStr">
        <is>
          <t>TORSBY</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32755-2024</t>
        </is>
      </c>
      <c r="B2571" s="1" t="n">
        <v>45515</v>
      </c>
      <c r="C2571" s="1" t="n">
        <v>45849</v>
      </c>
      <c r="D2571" t="inlineStr">
        <is>
          <t>VÄRMLANDS LÄN</t>
        </is>
      </c>
      <c r="E2571" t="inlineStr">
        <is>
          <t>TORSBY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32746-2024</t>
        </is>
      </c>
      <c r="B2572" s="1" t="n">
        <v>45515</v>
      </c>
      <c r="C2572" s="1" t="n">
        <v>45849</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32758-2024</t>
        </is>
      </c>
      <c r="B2573" s="1" t="n">
        <v>45515</v>
      </c>
      <c r="C2573" s="1" t="n">
        <v>45849</v>
      </c>
      <c r="D2573" t="inlineStr">
        <is>
          <t>VÄRMLANDS LÄN</t>
        </is>
      </c>
      <c r="E2573" t="inlineStr">
        <is>
          <t>TORSBY</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32845-2024</t>
        </is>
      </c>
      <c r="B2574" s="1" t="n">
        <v>45516</v>
      </c>
      <c r="C2574" s="1" t="n">
        <v>45849</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32847-2024</t>
        </is>
      </c>
      <c r="B2575" s="1" t="n">
        <v>45516</v>
      </c>
      <c r="C2575" s="1" t="n">
        <v>45849</v>
      </c>
      <c r="D2575" t="inlineStr">
        <is>
          <t>VÄRMLANDS LÄN</t>
        </is>
      </c>
      <c r="E2575" t="inlineStr">
        <is>
          <t>TORSBY</t>
        </is>
      </c>
      <c r="F2575" t="inlineStr">
        <is>
          <t>Bergvik skog väst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33088-2024</t>
        </is>
      </c>
      <c r="B2576" s="1" t="n">
        <v>45517</v>
      </c>
      <c r="C2576" s="1" t="n">
        <v>45849</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33078-2024</t>
        </is>
      </c>
      <c r="B2577" s="1" t="n">
        <v>45517</v>
      </c>
      <c r="C2577" s="1" t="n">
        <v>45849</v>
      </c>
      <c r="D2577" t="inlineStr">
        <is>
          <t>VÄRMLANDS LÄN</t>
        </is>
      </c>
      <c r="E2577" t="inlineStr">
        <is>
          <t>TORSBY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32973-2024</t>
        </is>
      </c>
      <c r="B2578" s="1" t="n">
        <v>45517</v>
      </c>
      <c r="C2578" s="1" t="n">
        <v>45849</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33085-2024</t>
        </is>
      </c>
      <c r="B2579" s="1" t="n">
        <v>45517</v>
      </c>
      <c r="C2579" s="1" t="n">
        <v>45849</v>
      </c>
      <c r="D2579" t="inlineStr">
        <is>
          <t>VÄRMLANDS LÄN</t>
        </is>
      </c>
      <c r="E2579" t="inlineStr">
        <is>
          <t>TORSBY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33073-2024</t>
        </is>
      </c>
      <c r="B2580" s="1" t="n">
        <v>45517</v>
      </c>
      <c r="C2580" s="1" t="n">
        <v>45849</v>
      </c>
      <c r="D2580" t="inlineStr">
        <is>
          <t>VÄRMLANDS LÄN</t>
        </is>
      </c>
      <c r="E2580" t="inlineStr">
        <is>
          <t>TORSBY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32988-2024</t>
        </is>
      </c>
      <c r="B2581" s="1" t="n">
        <v>45517</v>
      </c>
      <c r="C2581" s="1" t="n">
        <v>45849</v>
      </c>
      <c r="D2581" t="inlineStr">
        <is>
          <t>VÄRMLANDS LÄN</t>
        </is>
      </c>
      <c r="E2581" t="inlineStr">
        <is>
          <t>TORSBY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32932-2024</t>
        </is>
      </c>
      <c r="B2582" s="1" t="n">
        <v>45517</v>
      </c>
      <c r="C2582" s="1" t="n">
        <v>45849</v>
      </c>
      <c r="D2582" t="inlineStr">
        <is>
          <t>VÄRMLANDS LÄN</t>
        </is>
      </c>
      <c r="E2582" t="inlineStr">
        <is>
          <t>TORSBY</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32936-2024</t>
        </is>
      </c>
      <c r="B2583" s="1" t="n">
        <v>45517</v>
      </c>
      <c r="C2583" s="1" t="n">
        <v>45849</v>
      </c>
      <c r="D2583" t="inlineStr">
        <is>
          <t>VÄRMLANDS LÄN</t>
        </is>
      </c>
      <c r="E2583" t="inlineStr">
        <is>
          <t>TORSBY</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32939-2024</t>
        </is>
      </c>
      <c r="B2584" s="1" t="n">
        <v>45517</v>
      </c>
      <c r="C2584" s="1" t="n">
        <v>45849</v>
      </c>
      <c r="D2584" t="inlineStr">
        <is>
          <t>VÄRMLANDS LÄN</t>
        </is>
      </c>
      <c r="E2584" t="inlineStr">
        <is>
          <t>TORSBY</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33185-2024</t>
        </is>
      </c>
      <c r="B2585" s="1" t="n">
        <v>45518</v>
      </c>
      <c r="C2585" s="1" t="n">
        <v>45849</v>
      </c>
      <c r="D2585" t="inlineStr">
        <is>
          <t>VÄRMLANDS LÄN</t>
        </is>
      </c>
      <c r="E2585" t="inlineStr">
        <is>
          <t>TORSBY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33293-2024</t>
        </is>
      </c>
      <c r="B2586" s="1" t="n">
        <v>45518</v>
      </c>
      <c r="C2586" s="1" t="n">
        <v>45849</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33218-2024</t>
        </is>
      </c>
      <c r="B2587" s="1" t="n">
        <v>45518</v>
      </c>
      <c r="C2587" s="1" t="n">
        <v>45849</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33232-2024</t>
        </is>
      </c>
      <c r="B2588" s="1" t="n">
        <v>45518</v>
      </c>
      <c r="C2588" s="1" t="n">
        <v>45849</v>
      </c>
      <c r="D2588" t="inlineStr">
        <is>
          <t>VÄRMLANDS LÄN</t>
        </is>
      </c>
      <c r="E2588" t="inlineStr">
        <is>
          <t>TORSBY</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33133-2024</t>
        </is>
      </c>
      <c r="B2589" s="1" t="n">
        <v>45518</v>
      </c>
      <c r="C2589" s="1" t="n">
        <v>45849</v>
      </c>
      <c r="D2589" t="inlineStr">
        <is>
          <t>VÄRMLANDS LÄN</t>
        </is>
      </c>
      <c r="E2589" t="inlineStr">
        <is>
          <t>TORSBY</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33227-2024</t>
        </is>
      </c>
      <c r="B2590" s="1" t="n">
        <v>45518</v>
      </c>
      <c r="C2590" s="1" t="n">
        <v>45849</v>
      </c>
      <c r="D2590" t="inlineStr">
        <is>
          <t>VÄRMLANDS LÄN</t>
        </is>
      </c>
      <c r="E2590" t="inlineStr">
        <is>
          <t>TORSBY</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33220-2024</t>
        </is>
      </c>
      <c r="B2591" s="1" t="n">
        <v>45518</v>
      </c>
      <c r="C2591" s="1" t="n">
        <v>45849</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33172-2024</t>
        </is>
      </c>
      <c r="B2592" s="1" t="n">
        <v>45518</v>
      </c>
      <c r="C2592" s="1" t="n">
        <v>45849</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33151-2024</t>
        </is>
      </c>
      <c r="B2593" s="1" t="n">
        <v>45518</v>
      </c>
      <c r="C2593" s="1" t="n">
        <v>45849</v>
      </c>
      <c r="D2593" t="inlineStr">
        <is>
          <t>VÄRMLANDS LÄN</t>
        </is>
      </c>
      <c r="E2593" t="inlineStr">
        <is>
          <t>TORSBY</t>
        </is>
      </c>
      <c r="F2593" t="inlineStr">
        <is>
          <t>Bergvik skog väst AB</t>
        </is>
      </c>
      <c r="G2593" t="n">
        <v>28.2</v>
      </c>
      <c r="H2593" t="n">
        <v>0</v>
      </c>
      <c r="I2593" t="n">
        <v>0</v>
      </c>
      <c r="J2593" t="n">
        <v>0</v>
      </c>
      <c r="K2593" t="n">
        <v>0</v>
      </c>
      <c r="L2593" t="n">
        <v>0</v>
      </c>
      <c r="M2593" t="n">
        <v>0</v>
      </c>
      <c r="N2593" t="n">
        <v>0</v>
      </c>
      <c r="O2593" t="n">
        <v>0</v>
      </c>
      <c r="P2593" t="n">
        <v>0</v>
      </c>
      <c r="Q2593" t="n">
        <v>0</v>
      </c>
      <c r="R2593" s="2" t="inlineStr"/>
    </row>
    <row r="2594" ht="15" customHeight="1">
      <c r="A2594" t="inlineStr">
        <is>
          <t>A 33338-2024</t>
        </is>
      </c>
      <c r="B2594" s="1" t="n">
        <v>45519</v>
      </c>
      <c r="C2594" s="1" t="n">
        <v>45849</v>
      </c>
      <c r="D2594" t="inlineStr">
        <is>
          <t>VÄRMLANDS LÄN</t>
        </is>
      </c>
      <c r="E2594" t="inlineStr">
        <is>
          <t>TORSBY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33370-2024</t>
        </is>
      </c>
      <c r="B2595" s="1" t="n">
        <v>45519</v>
      </c>
      <c r="C2595" s="1" t="n">
        <v>45849</v>
      </c>
      <c r="D2595" t="inlineStr">
        <is>
          <t>VÄRMLANDS LÄN</t>
        </is>
      </c>
      <c r="E2595" t="inlineStr">
        <is>
          <t>TORSBY</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33337-2024</t>
        </is>
      </c>
      <c r="B2596" s="1" t="n">
        <v>45519</v>
      </c>
      <c r="C2596" s="1" t="n">
        <v>45849</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33341-2024</t>
        </is>
      </c>
      <c r="B2597" s="1" t="n">
        <v>45519</v>
      </c>
      <c r="C2597" s="1" t="n">
        <v>45849</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33425-2024</t>
        </is>
      </c>
      <c r="B2598" s="1" t="n">
        <v>45519</v>
      </c>
      <c r="C2598" s="1" t="n">
        <v>45849</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33429-2024</t>
        </is>
      </c>
      <c r="B2599" s="1" t="n">
        <v>45519</v>
      </c>
      <c r="C2599" s="1" t="n">
        <v>45849</v>
      </c>
      <c r="D2599" t="inlineStr">
        <is>
          <t>VÄRMLANDS LÄN</t>
        </is>
      </c>
      <c r="E2599" t="inlineStr">
        <is>
          <t>TORSBY</t>
        </is>
      </c>
      <c r="F2599" t="inlineStr">
        <is>
          <t>Bergvik skog väst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33469-2024</t>
        </is>
      </c>
      <c r="B2600" s="1" t="n">
        <v>45519</v>
      </c>
      <c r="C2600" s="1" t="n">
        <v>45849</v>
      </c>
      <c r="D2600" t="inlineStr">
        <is>
          <t>VÄRMLANDS LÄN</t>
        </is>
      </c>
      <c r="E2600" t="inlineStr">
        <is>
          <t>TORSBY</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33546-2024</t>
        </is>
      </c>
      <c r="B2601" s="1" t="n">
        <v>45519</v>
      </c>
      <c r="C2601" s="1" t="n">
        <v>45849</v>
      </c>
      <c r="D2601" t="inlineStr">
        <is>
          <t>VÄRMLANDS LÄN</t>
        </is>
      </c>
      <c r="E2601" t="inlineStr">
        <is>
          <t>TORSBY</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33418-2024</t>
        </is>
      </c>
      <c r="B2602" s="1" t="n">
        <v>45519</v>
      </c>
      <c r="C2602" s="1" t="n">
        <v>45849</v>
      </c>
      <c r="D2602" t="inlineStr">
        <is>
          <t>VÄRMLANDS LÄN</t>
        </is>
      </c>
      <c r="E2602" t="inlineStr">
        <is>
          <t>TORSBY</t>
        </is>
      </c>
      <c r="F2602" t="inlineStr">
        <is>
          <t>Bergvik skog väst AB</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33511-2024</t>
        </is>
      </c>
      <c r="B2603" s="1" t="n">
        <v>45519</v>
      </c>
      <c r="C2603" s="1" t="n">
        <v>45849</v>
      </c>
      <c r="D2603" t="inlineStr">
        <is>
          <t>VÄRMLANDS LÄN</t>
        </is>
      </c>
      <c r="E2603" t="inlineStr">
        <is>
          <t>TORSBY</t>
        </is>
      </c>
      <c r="F2603" t="inlineStr">
        <is>
          <t>Bergvik skog väst AB</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33547-2024</t>
        </is>
      </c>
      <c r="B2604" s="1" t="n">
        <v>45519</v>
      </c>
      <c r="C2604" s="1" t="n">
        <v>45849</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33495-2024</t>
        </is>
      </c>
      <c r="B2605" s="1" t="n">
        <v>45519</v>
      </c>
      <c r="C2605" s="1" t="n">
        <v>45849</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33499-2024</t>
        </is>
      </c>
      <c r="B2606" s="1" t="n">
        <v>45519</v>
      </c>
      <c r="C2606" s="1" t="n">
        <v>45849</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33548-2024</t>
        </is>
      </c>
      <c r="B2607" s="1" t="n">
        <v>45519</v>
      </c>
      <c r="C2607" s="1" t="n">
        <v>45849</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33367-2024</t>
        </is>
      </c>
      <c r="B2608" s="1" t="n">
        <v>45519</v>
      </c>
      <c r="C2608" s="1" t="n">
        <v>45849</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33371-2024</t>
        </is>
      </c>
      <c r="B2609" s="1" t="n">
        <v>45519</v>
      </c>
      <c r="C2609" s="1" t="n">
        <v>45849</v>
      </c>
      <c r="D2609" t="inlineStr">
        <is>
          <t>VÄRMLANDS LÄN</t>
        </is>
      </c>
      <c r="E2609" t="inlineStr">
        <is>
          <t>TORSBY</t>
        </is>
      </c>
      <c r="F2609" t="inlineStr">
        <is>
          <t>Bergvik skog väst AB</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33521-2024</t>
        </is>
      </c>
      <c r="B2610" s="1" t="n">
        <v>45519</v>
      </c>
      <c r="C2610" s="1" t="n">
        <v>45849</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33620-2024</t>
        </is>
      </c>
      <c r="B2611" s="1" t="n">
        <v>45520</v>
      </c>
      <c r="C2611" s="1" t="n">
        <v>45849</v>
      </c>
      <c r="D2611" t="inlineStr">
        <is>
          <t>VÄRMLANDS LÄN</t>
        </is>
      </c>
      <c r="E2611" t="inlineStr">
        <is>
          <t>TORSBY</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33649-2024</t>
        </is>
      </c>
      <c r="B2612" s="1" t="n">
        <v>45520</v>
      </c>
      <c r="C2612" s="1" t="n">
        <v>45849</v>
      </c>
      <c r="D2612" t="inlineStr">
        <is>
          <t>VÄRMLANDS LÄN</t>
        </is>
      </c>
      <c r="E2612" t="inlineStr">
        <is>
          <t>TORSBY</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33769-2024</t>
        </is>
      </c>
      <c r="B2613" s="1" t="n">
        <v>45520</v>
      </c>
      <c r="C2613" s="1" t="n">
        <v>45849</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33862-2024</t>
        </is>
      </c>
      <c r="B2614" s="1" t="n">
        <v>45520</v>
      </c>
      <c r="C2614" s="1" t="n">
        <v>45849</v>
      </c>
      <c r="D2614" t="inlineStr">
        <is>
          <t>VÄRMLANDS LÄN</t>
        </is>
      </c>
      <c r="E2614" t="inlineStr">
        <is>
          <t>TORSBY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33791-2024</t>
        </is>
      </c>
      <c r="B2615" s="1" t="n">
        <v>45520</v>
      </c>
      <c r="C2615" s="1" t="n">
        <v>45849</v>
      </c>
      <c r="D2615" t="inlineStr">
        <is>
          <t>VÄRMLANDS LÄN</t>
        </is>
      </c>
      <c r="E2615" t="inlineStr">
        <is>
          <t>TORSBY</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33964-2024</t>
        </is>
      </c>
      <c r="B2616" s="1" t="n">
        <v>45523</v>
      </c>
      <c r="C2616" s="1" t="n">
        <v>45849</v>
      </c>
      <c r="D2616" t="inlineStr">
        <is>
          <t>VÄRMLANDS LÄN</t>
        </is>
      </c>
      <c r="E2616" t="inlineStr">
        <is>
          <t>TORSBY</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34034-2024</t>
        </is>
      </c>
      <c r="B2617" s="1" t="n">
        <v>45523</v>
      </c>
      <c r="C2617" s="1" t="n">
        <v>45849</v>
      </c>
      <c r="D2617" t="inlineStr">
        <is>
          <t>VÄRMLANDS LÄN</t>
        </is>
      </c>
      <c r="E2617" t="inlineStr">
        <is>
          <t>TORSBY</t>
        </is>
      </c>
      <c r="F2617" t="inlineStr">
        <is>
          <t>Bergvik skog väst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34031-2024</t>
        </is>
      </c>
      <c r="B2618" s="1" t="n">
        <v>45523</v>
      </c>
      <c r="C2618" s="1" t="n">
        <v>45849</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34081-2024</t>
        </is>
      </c>
      <c r="B2619" s="1" t="n">
        <v>45523</v>
      </c>
      <c r="C2619" s="1" t="n">
        <v>45849</v>
      </c>
      <c r="D2619" t="inlineStr">
        <is>
          <t>VÄRMLANDS LÄN</t>
        </is>
      </c>
      <c r="E2619" t="inlineStr">
        <is>
          <t>TORSBY</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45849</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34207-2024</t>
        </is>
      </c>
      <c r="B2621" s="1" t="n">
        <v>45524</v>
      </c>
      <c r="C2621" s="1" t="n">
        <v>45849</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34219-2024</t>
        </is>
      </c>
      <c r="B2622" s="1" t="n">
        <v>45524</v>
      </c>
      <c r="C2622" s="1" t="n">
        <v>45849</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34164-2024</t>
        </is>
      </c>
      <c r="B2623" s="1" t="n">
        <v>45524</v>
      </c>
      <c r="C2623" s="1" t="n">
        <v>45849</v>
      </c>
      <c r="D2623" t="inlineStr">
        <is>
          <t>VÄRMLANDS LÄN</t>
        </is>
      </c>
      <c r="E2623" t="inlineStr">
        <is>
          <t>TORSBY</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34226-2024</t>
        </is>
      </c>
      <c r="B2624" s="1" t="n">
        <v>45524</v>
      </c>
      <c r="C2624" s="1" t="n">
        <v>45849</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34206-2024</t>
        </is>
      </c>
      <c r="B2625" s="1" t="n">
        <v>45524</v>
      </c>
      <c r="C2625" s="1" t="n">
        <v>45849</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34236-2024</t>
        </is>
      </c>
      <c r="B2626" s="1" t="n">
        <v>45524</v>
      </c>
      <c r="C2626" s="1" t="n">
        <v>45849</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34256-2024</t>
        </is>
      </c>
      <c r="B2627" s="1" t="n">
        <v>45524</v>
      </c>
      <c r="C2627" s="1" t="n">
        <v>45849</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34281-2024</t>
        </is>
      </c>
      <c r="B2628" s="1" t="n">
        <v>45524</v>
      </c>
      <c r="C2628" s="1" t="n">
        <v>45849</v>
      </c>
      <c r="D2628" t="inlineStr">
        <is>
          <t>VÄRMLANDS LÄN</t>
        </is>
      </c>
      <c r="E2628" t="inlineStr">
        <is>
          <t>TORSBY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34304-2024</t>
        </is>
      </c>
      <c r="B2629" s="1" t="n">
        <v>45524</v>
      </c>
      <c r="C2629" s="1" t="n">
        <v>45849</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34500-2024</t>
        </is>
      </c>
      <c r="B2630" s="1" t="n">
        <v>45525</v>
      </c>
      <c r="C2630" s="1" t="n">
        <v>45849</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34534-2024</t>
        </is>
      </c>
      <c r="B2631" s="1" t="n">
        <v>45525</v>
      </c>
      <c r="C2631" s="1" t="n">
        <v>45849</v>
      </c>
      <c r="D2631" t="inlineStr">
        <is>
          <t>VÄRMLANDS LÄN</t>
        </is>
      </c>
      <c r="E2631" t="inlineStr">
        <is>
          <t>TORSBY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34528-2024</t>
        </is>
      </c>
      <c r="B2632" s="1" t="n">
        <v>45525</v>
      </c>
      <c r="C2632" s="1" t="n">
        <v>45849</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34554-2024</t>
        </is>
      </c>
      <c r="B2633" s="1" t="n">
        <v>45525</v>
      </c>
      <c r="C2633" s="1" t="n">
        <v>45849</v>
      </c>
      <c r="D2633" t="inlineStr">
        <is>
          <t>VÄRMLANDS LÄN</t>
        </is>
      </c>
      <c r="E2633" t="inlineStr">
        <is>
          <t>TORSBY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34472-2024</t>
        </is>
      </c>
      <c r="B2634" s="1" t="n">
        <v>45525</v>
      </c>
      <c r="C2634" s="1" t="n">
        <v>45849</v>
      </c>
      <c r="D2634" t="inlineStr">
        <is>
          <t>VÄRMLANDS LÄN</t>
        </is>
      </c>
      <c r="E2634" t="inlineStr">
        <is>
          <t>TORSBY</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34549-2024</t>
        </is>
      </c>
      <c r="B2635" s="1" t="n">
        <v>45525</v>
      </c>
      <c r="C2635" s="1" t="n">
        <v>45849</v>
      </c>
      <c r="D2635" t="inlineStr">
        <is>
          <t>VÄRMLANDS LÄN</t>
        </is>
      </c>
      <c r="E2635" t="inlineStr">
        <is>
          <t>TORSBY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34551-2024</t>
        </is>
      </c>
      <c r="B2636" s="1" t="n">
        <v>45525</v>
      </c>
      <c r="C2636" s="1" t="n">
        <v>45849</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34680-2024</t>
        </is>
      </c>
      <c r="B2637" s="1" t="n">
        <v>45526</v>
      </c>
      <c r="C2637" s="1" t="n">
        <v>45849</v>
      </c>
      <c r="D2637" t="inlineStr">
        <is>
          <t>VÄRMLANDS LÄN</t>
        </is>
      </c>
      <c r="E2637" t="inlineStr">
        <is>
          <t>TORSBY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34568-2024</t>
        </is>
      </c>
      <c r="B2638" s="1" t="n">
        <v>45526</v>
      </c>
      <c r="C2638" s="1" t="n">
        <v>45849</v>
      </c>
      <c r="D2638" t="inlineStr">
        <is>
          <t>VÄRMLANDS LÄN</t>
        </is>
      </c>
      <c r="E2638" t="inlineStr">
        <is>
          <t>TORSBY</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34573-2024</t>
        </is>
      </c>
      <c r="B2639" s="1" t="n">
        <v>45526</v>
      </c>
      <c r="C2639" s="1" t="n">
        <v>45849</v>
      </c>
      <c r="D2639" t="inlineStr">
        <is>
          <t>VÄRMLANDS LÄN</t>
        </is>
      </c>
      <c r="E2639" t="inlineStr">
        <is>
          <t>TORSBY</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34697-2024</t>
        </is>
      </c>
      <c r="B2640" s="1" t="n">
        <v>45526</v>
      </c>
      <c r="C2640" s="1" t="n">
        <v>45849</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34717-2024</t>
        </is>
      </c>
      <c r="B2641" s="1" t="n">
        <v>45526</v>
      </c>
      <c r="C2641" s="1" t="n">
        <v>45849</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34824-2024</t>
        </is>
      </c>
      <c r="B2642" s="1" t="n">
        <v>45526</v>
      </c>
      <c r="C2642" s="1" t="n">
        <v>45849</v>
      </c>
      <c r="D2642" t="inlineStr">
        <is>
          <t>VÄRMLANDS LÄN</t>
        </is>
      </c>
      <c r="E2642" t="inlineStr">
        <is>
          <t>TORSBY</t>
        </is>
      </c>
      <c r="F2642" t="inlineStr">
        <is>
          <t>Bergvik skog väst AB</t>
        </is>
      </c>
      <c r="G2642" t="n">
        <v>27.5</v>
      </c>
      <c r="H2642" t="n">
        <v>0</v>
      </c>
      <c r="I2642" t="n">
        <v>0</v>
      </c>
      <c r="J2642" t="n">
        <v>0</v>
      </c>
      <c r="K2642" t="n">
        <v>0</v>
      </c>
      <c r="L2642" t="n">
        <v>0</v>
      </c>
      <c r="M2642" t="n">
        <v>0</v>
      </c>
      <c r="N2642" t="n">
        <v>0</v>
      </c>
      <c r="O2642" t="n">
        <v>0</v>
      </c>
      <c r="P2642" t="n">
        <v>0</v>
      </c>
      <c r="Q2642" t="n">
        <v>0</v>
      </c>
      <c r="R2642" s="2" t="inlineStr"/>
    </row>
    <row r="2643" ht="15" customHeight="1">
      <c r="A2643" t="inlineStr">
        <is>
          <t>A 34686-2024</t>
        </is>
      </c>
      <c r="B2643" s="1" t="n">
        <v>45526</v>
      </c>
      <c r="C2643" s="1" t="n">
        <v>45849</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35019-2024</t>
        </is>
      </c>
      <c r="B2644" s="1" t="n">
        <v>45527</v>
      </c>
      <c r="C2644" s="1" t="n">
        <v>45849</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35075-2024</t>
        </is>
      </c>
      <c r="B2645" s="1" t="n">
        <v>45527</v>
      </c>
      <c r="C2645" s="1" t="n">
        <v>45849</v>
      </c>
      <c r="D2645" t="inlineStr">
        <is>
          <t>VÄRMLANDS LÄN</t>
        </is>
      </c>
      <c r="E2645" t="inlineStr">
        <is>
          <t>TORSBY</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34970-2024</t>
        </is>
      </c>
      <c r="B2646" s="1" t="n">
        <v>45527</v>
      </c>
      <c r="C2646" s="1" t="n">
        <v>45849</v>
      </c>
      <c r="D2646" t="inlineStr">
        <is>
          <t>VÄRMLANDS LÄN</t>
        </is>
      </c>
      <c r="E2646" t="inlineStr">
        <is>
          <t>TORSBY</t>
        </is>
      </c>
      <c r="F2646" t="inlineStr">
        <is>
          <t>Bergvik skog väst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34966-2024</t>
        </is>
      </c>
      <c r="B2647" s="1" t="n">
        <v>45527</v>
      </c>
      <c r="C2647" s="1" t="n">
        <v>45849</v>
      </c>
      <c r="D2647" t="inlineStr">
        <is>
          <t>VÄRMLANDS LÄN</t>
        </is>
      </c>
      <c r="E2647" t="inlineStr">
        <is>
          <t>TORSBY</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34958-2024</t>
        </is>
      </c>
      <c r="B2648" s="1" t="n">
        <v>45527</v>
      </c>
      <c r="C2648" s="1" t="n">
        <v>45849</v>
      </c>
      <c r="D2648" t="inlineStr">
        <is>
          <t>VÄRMLANDS LÄN</t>
        </is>
      </c>
      <c r="E2648" t="inlineStr">
        <is>
          <t>TORSBY</t>
        </is>
      </c>
      <c r="F2648" t="inlineStr">
        <is>
          <t>Bergvik skog väst AB</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34946-2024</t>
        </is>
      </c>
      <c r="B2649" s="1" t="n">
        <v>45527</v>
      </c>
      <c r="C2649" s="1" t="n">
        <v>45849</v>
      </c>
      <c r="D2649" t="inlineStr">
        <is>
          <t>VÄRMLANDS LÄN</t>
        </is>
      </c>
      <c r="E2649" t="inlineStr">
        <is>
          <t>TORSBY</t>
        </is>
      </c>
      <c r="F2649" t="inlineStr">
        <is>
          <t>Bergvik skog väst AB</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34906-2024</t>
        </is>
      </c>
      <c r="B2650" s="1" t="n">
        <v>45527</v>
      </c>
      <c r="C2650" s="1" t="n">
        <v>45849</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35066-2024</t>
        </is>
      </c>
      <c r="B2651" s="1" t="n">
        <v>45527</v>
      </c>
      <c r="C2651" s="1" t="n">
        <v>45849</v>
      </c>
      <c r="D2651" t="inlineStr">
        <is>
          <t>VÄRMLANDS LÄN</t>
        </is>
      </c>
      <c r="E2651" t="inlineStr">
        <is>
          <t>TORSBY</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34961-2024</t>
        </is>
      </c>
      <c r="B2652" s="1" t="n">
        <v>45527</v>
      </c>
      <c r="C2652" s="1" t="n">
        <v>45849</v>
      </c>
      <c r="D2652" t="inlineStr">
        <is>
          <t>VÄRMLANDS LÄN</t>
        </is>
      </c>
      <c r="E2652" t="inlineStr">
        <is>
          <t>TORSBY</t>
        </is>
      </c>
      <c r="F2652" t="inlineStr">
        <is>
          <t>Bergvik skog väst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34921-2024</t>
        </is>
      </c>
      <c r="B2653" s="1" t="n">
        <v>45527</v>
      </c>
      <c r="C2653" s="1" t="n">
        <v>45849</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34968-2024</t>
        </is>
      </c>
      <c r="B2654" s="1" t="n">
        <v>45527</v>
      </c>
      <c r="C2654" s="1" t="n">
        <v>45849</v>
      </c>
      <c r="D2654" t="inlineStr">
        <is>
          <t>VÄRMLANDS LÄN</t>
        </is>
      </c>
      <c r="E2654" t="inlineStr">
        <is>
          <t>TORSBY</t>
        </is>
      </c>
      <c r="F2654" t="inlineStr">
        <is>
          <t>Bergvik skog väst AB</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34939-2024</t>
        </is>
      </c>
      <c r="B2655" s="1" t="n">
        <v>45527</v>
      </c>
      <c r="C2655" s="1" t="n">
        <v>45849</v>
      </c>
      <c r="D2655" t="inlineStr">
        <is>
          <t>VÄRMLANDS LÄN</t>
        </is>
      </c>
      <c r="E2655" t="inlineStr">
        <is>
          <t>TORSBY</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35107-2024</t>
        </is>
      </c>
      <c r="B2656" s="1" t="n">
        <v>45529</v>
      </c>
      <c r="C2656" s="1" t="n">
        <v>45849</v>
      </c>
      <c r="D2656" t="inlineStr">
        <is>
          <t>VÄRMLANDS LÄN</t>
        </is>
      </c>
      <c r="E2656" t="inlineStr">
        <is>
          <t>TORSBY</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35524-2024</t>
        </is>
      </c>
      <c r="B2657" s="1" t="n">
        <v>45531</v>
      </c>
      <c r="C2657" s="1" t="n">
        <v>45849</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35493-2024</t>
        </is>
      </c>
      <c r="B2658" s="1" t="n">
        <v>45531</v>
      </c>
      <c r="C2658" s="1" t="n">
        <v>45849</v>
      </c>
      <c r="D2658" t="inlineStr">
        <is>
          <t>VÄRMLANDS LÄN</t>
        </is>
      </c>
      <c r="E2658" t="inlineStr">
        <is>
          <t>TORSBY</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35497-2024</t>
        </is>
      </c>
      <c r="B2659" s="1" t="n">
        <v>45531</v>
      </c>
      <c r="C2659" s="1" t="n">
        <v>45849</v>
      </c>
      <c r="D2659" t="inlineStr">
        <is>
          <t>VÄRMLANDS LÄN</t>
        </is>
      </c>
      <c r="E2659" t="inlineStr">
        <is>
          <t>TORSBY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35609-2024</t>
        </is>
      </c>
      <c r="B2660" s="1" t="n">
        <v>45531</v>
      </c>
      <c r="C2660" s="1" t="n">
        <v>45849</v>
      </c>
      <c r="D2660" t="inlineStr">
        <is>
          <t>VÄRMLANDS LÄN</t>
        </is>
      </c>
      <c r="E2660" t="inlineStr">
        <is>
          <t>TORSBY</t>
        </is>
      </c>
      <c r="G2660" t="n">
        <v>38.3</v>
      </c>
      <c r="H2660" t="n">
        <v>0</v>
      </c>
      <c r="I2660" t="n">
        <v>0</v>
      </c>
      <c r="J2660" t="n">
        <v>0</v>
      </c>
      <c r="K2660" t="n">
        <v>0</v>
      </c>
      <c r="L2660" t="n">
        <v>0</v>
      </c>
      <c r="M2660" t="n">
        <v>0</v>
      </c>
      <c r="N2660" t="n">
        <v>0</v>
      </c>
      <c r="O2660" t="n">
        <v>0</v>
      </c>
      <c r="P2660" t="n">
        <v>0</v>
      </c>
      <c r="Q2660" t="n">
        <v>0</v>
      </c>
      <c r="R2660" s="2" t="inlineStr"/>
    </row>
    <row r="2661" ht="15" customHeight="1">
      <c r="A2661" t="inlineStr">
        <is>
          <t>A 35632-2024</t>
        </is>
      </c>
      <c r="B2661" s="1" t="n">
        <v>45531</v>
      </c>
      <c r="C2661" s="1" t="n">
        <v>45849</v>
      </c>
      <c r="D2661" t="inlineStr">
        <is>
          <t>VÄRMLANDS LÄN</t>
        </is>
      </c>
      <c r="E2661" t="inlineStr">
        <is>
          <t>TORSBY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35762-2024</t>
        </is>
      </c>
      <c r="B2662" s="1" t="n">
        <v>45532</v>
      </c>
      <c r="C2662" s="1" t="n">
        <v>45849</v>
      </c>
      <c r="D2662" t="inlineStr">
        <is>
          <t>VÄRMLANDS LÄN</t>
        </is>
      </c>
      <c r="E2662" t="inlineStr">
        <is>
          <t>TORSBY</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35774-2024</t>
        </is>
      </c>
      <c r="B2663" s="1" t="n">
        <v>45532</v>
      </c>
      <c r="C2663" s="1" t="n">
        <v>45849</v>
      </c>
      <c r="D2663" t="inlineStr">
        <is>
          <t>VÄRMLANDS LÄN</t>
        </is>
      </c>
      <c r="E2663" t="inlineStr">
        <is>
          <t>TORSBY</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35787-2024</t>
        </is>
      </c>
      <c r="B2664" s="1" t="n">
        <v>45532</v>
      </c>
      <c r="C2664" s="1" t="n">
        <v>45849</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35769-2024</t>
        </is>
      </c>
      <c r="B2665" s="1" t="n">
        <v>45532</v>
      </c>
      <c r="C2665" s="1" t="n">
        <v>45849</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35777-2024</t>
        </is>
      </c>
      <c r="B2666" s="1" t="n">
        <v>45532</v>
      </c>
      <c r="C2666" s="1" t="n">
        <v>45849</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35967-2024</t>
        </is>
      </c>
      <c r="B2667" s="1" t="n">
        <v>45533</v>
      </c>
      <c r="C2667" s="1" t="n">
        <v>45849</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36057-2024</t>
        </is>
      </c>
      <c r="B2668" s="1" t="n">
        <v>45533</v>
      </c>
      <c r="C2668" s="1" t="n">
        <v>45849</v>
      </c>
      <c r="D2668" t="inlineStr">
        <is>
          <t>VÄRMLANDS LÄN</t>
        </is>
      </c>
      <c r="E2668" t="inlineStr">
        <is>
          <t>TORSBY</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36153-2024</t>
        </is>
      </c>
      <c r="B2669" s="1" t="n">
        <v>45534</v>
      </c>
      <c r="C2669" s="1" t="n">
        <v>45849</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36175-2024</t>
        </is>
      </c>
      <c r="B2670" s="1" t="n">
        <v>45534</v>
      </c>
      <c r="C2670" s="1" t="n">
        <v>45849</v>
      </c>
      <c r="D2670" t="inlineStr">
        <is>
          <t>VÄRMLANDS LÄN</t>
        </is>
      </c>
      <c r="E2670" t="inlineStr">
        <is>
          <t>TORSBY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36184-2024</t>
        </is>
      </c>
      <c r="B2671" s="1" t="n">
        <v>45534</v>
      </c>
      <c r="C2671" s="1" t="n">
        <v>45849</v>
      </c>
      <c r="D2671" t="inlineStr">
        <is>
          <t>VÄRMLANDS LÄN</t>
        </is>
      </c>
      <c r="E2671" t="inlineStr">
        <is>
          <t>TORSBY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36419-2024</t>
        </is>
      </c>
      <c r="B2672" s="1" t="n">
        <v>45536</v>
      </c>
      <c r="C2672" s="1" t="n">
        <v>45849</v>
      </c>
      <c r="D2672" t="inlineStr">
        <is>
          <t>VÄRMLANDS LÄN</t>
        </is>
      </c>
      <c r="E2672" t="inlineStr">
        <is>
          <t>TORSBY</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36558-2024</t>
        </is>
      </c>
      <c r="B2673" s="1" t="n">
        <v>45537</v>
      </c>
      <c r="C2673" s="1" t="n">
        <v>45849</v>
      </c>
      <c r="D2673" t="inlineStr">
        <is>
          <t>VÄRMLANDS LÄN</t>
        </is>
      </c>
      <c r="E2673" t="inlineStr">
        <is>
          <t>TORSBY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36578-2024</t>
        </is>
      </c>
      <c r="B2674" s="1" t="n">
        <v>45537</v>
      </c>
      <c r="C2674" s="1" t="n">
        <v>45849</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36540-2024</t>
        </is>
      </c>
      <c r="B2675" s="1" t="n">
        <v>45537</v>
      </c>
      <c r="C2675" s="1" t="n">
        <v>45849</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36445-2024</t>
        </is>
      </c>
      <c r="B2676" s="1" t="n">
        <v>45537</v>
      </c>
      <c r="C2676" s="1" t="n">
        <v>45849</v>
      </c>
      <c r="D2676" t="inlineStr">
        <is>
          <t>VÄRMLANDS LÄN</t>
        </is>
      </c>
      <c r="E2676" t="inlineStr">
        <is>
          <t>TORSBY</t>
        </is>
      </c>
      <c r="F2676" t="inlineStr">
        <is>
          <t>Bergvik skog väst AB</t>
        </is>
      </c>
      <c r="G2676" t="n">
        <v>78.3</v>
      </c>
      <c r="H2676" t="n">
        <v>0</v>
      </c>
      <c r="I2676" t="n">
        <v>0</v>
      </c>
      <c r="J2676" t="n">
        <v>0</v>
      </c>
      <c r="K2676" t="n">
        <v>0</v>
      </c>
      <c r="L2676" t="n">
        <v>0</v>
      </c>
      <c r="M2676" t="n">
        <v>0</v>
      </c>
      <c r="N2676" t="n">
        <v>0</v>
      </c>
      <c r="O2676" t="n">
        <v>0</v>
      </c>
      <c r="P2676" t="n">
        <v>0</v>
      </c>
      <c r="Q2676" t="n">
        <v>0</v>
      </c>
      <c r="R2676" s="2" t="inlineStr"/>
    </row>
    <row r="2677" ht="15" customHeight="1">
      <c r="A2677" t="inlineStr">
        <is>
          <t>A 36718-2024</t>
        </is>
      </c>
      <c r="B2677" s="1" t="n">
        <v>45537</v>
      </c>
      <c r="C2677" s="1" t="n">
        <v>45849</v>
      </c>
      <c r="D2677" t="inlineStr">
        <is>
          <t>VÄRMLANDS LÄN</t>
        </is>
      </c>
      <c r="E2677" t="inlineStr">
        <is>
          <t>TORSBY</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36765-2024</t>
        </is>
      </c>
      <c r="B2678" s="1" t="n">
        <v>45538</v>
      </c>
      <c r="C2678" s="1" t="n">
        <v>45849</v>
      </c>
      <c r="D2678" t="inlineStr">
        <is>
          <t>VÄRMLANDS LÄN</t>
        </is>
      </c>
      <c r="E2678" t="inlineStr">
        <is>
          <t>TORSBY</t>
        </is>
      </c>
      <c r="F2678" t="inlineStr">
        <is>
          <t>Bergvik skog väst AB</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36758-2024</t>
        </is>
      </c>
      <c r="B2679" s="1" t="n">
        <v>45538</v>
      </c>
      <c r="C2679" s="1" t="n">
        <v>45849</v>
      </c>
      <c r="D2679" t="inlineStr">
        <is>
          <t>VÄRMLANDS LÄN</t>
        </is>
      </c>
      <c r="E2679" t="inlineStr">
        <is>
          <t>TORSBY</t>
        </is>
      </c>
      <c r="F2679" t="inlineStr">
        <is>
          <t>Kyrkan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36782-2024</t>
        </is>
      </c>
      <c r="B2680" s="1" t="n">
        <v>45538</v>
      </c>
      <c r="C2680" s="1" t="n">
        <v>45849</v>
      </c>
      <c r="D2680" t="inlineStr">
        <is>
          <t>VÄRMLANDS LÄN</t>
        </is>
      </c>
      <c r="E2680" t="inlineStr">
        <is>
          <t>TORSBY</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36790-2024</t>
        </is>
      </c>
      <c r="B2681" s="1" t="n">
        <v>45538</v>
      </c>
      <c r="C2681" s="1" t="n">
        <v>45849</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36775-2024</t>
        </is>
      </c>
      <c r="B2682" s="1" t="n">
        <v>45538</v>
      </c>
      <c r="C2682" s="1" t="n">
        <v>45849</v>
      </c>
      <c r="D2682" t="inlineStr">
        <is>
          <t>VÄRMLANDS LÄN</t>
        </is>
      </c>
      <c r="E2682" t="inlineStr">
        <is>
          <t>TORSBY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36850-2024</t>
        </is>
      </c>
      <c r="B2683" s="1" t="n">
        <v>45538</v>
      </c>
      <c r="C2683" s="1" t="n">
        <v>45849</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36879-2024</t>
        </is>
      </c>
      <c r="B2684" s="1" t="n">
        <v>45538</v>
      </c>
      <c r="C2684" s="1" t="n">
        <v>45849</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36922-2024</t>
        </is>
      </c>
      <c r="B2685" s="1" t="n">
        <v>45538</v>
      </c>
      <c r="C2685" s="1" t="n">
        <v>45849</v>
      </c>
      <c r="D2685" t="inlineStr">
        <is>
          <t>VÄRMLANDS LÄN</t>
        </is>
      </c>
      <c r="E2685" t="inlineStr">
        <is>
          <t>TORSBY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36939-2024</t>
        </is>
      </c>
      <c r="B2686" s="1" t="n">
        <v>45538</v>
      </c>
      <c r="C2686" s="1" t="n">
        <v>45849</v>
      </c>
      <c r="D2686" t="inlineStr">
        <is>
          <t>VÄRMLANDS LÄN</t>
        </is>
      </c>
      <c r="E2686" t="inlineStr">
        <is>
          <t>TORSBY</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36917-2024</t>
        </is>
      </c>
      <c r="B2687" s="1" t="n">
        <v>45538</v>
      </c>
      <c r="C2687" s="1" t="n">
        <v>45849</v>
      </c>
      <c r="D2687" t="inlineStr">
        <is>
          <t>VÄRMLANDS LÄN</t>
        </is>
      </c>
      <c r="E2687" t="inlineStr">
        <is>
          <t>TORSBY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36964-2024</t>
        </is>
      </c>
      <c r="B2688" s="1" t="n">
        <v>45538</v>
      </c>
      <c r="C2688" s="1" t="n">
        <v>45849</v>
      </c>
      <c r="D2688" t="inlineStr">
        <is>
          <t>VÄRMLANDS LÄN</t>
        </is>
      </c>
      <c r="E2688" t="inlineStr">
        <is>
          <t>TORSBY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37153-2024</t>
        </is>
      </c>
      <c r="B2689" s="1" t="n">
        <v>45539</v>
      </c>
      <c r="C2689" s="1" t="n">
        <v>45849</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37194-2024</t>
        </is>
      </c>
      <c r="B2690" s="1" t="n">
        <v>45539</v>
      </c>
      <c r="C2690" s="1" t="n">
        <v>45849</v>
      </c>
      <c r="D2690" t="inlineStr">
        <is>
          <t>VÄRMLANDS LÄN</t>
        </is>
      </c>
      <c r="E2690" t="inlineStr">
        <is>
          <t>TORSBY</t>
        </is>
      </c>
      <c r="F2690" t="inlineStr">
        <is>
          <t>Bergvik skog väst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37238-2024</t>
        </is>
      </c>
      <c r="B2691" s="1" t="n">
        <v>45540</v>
      </c>
      <c r="C2691" s="1" t="n">
        <v>45849</v>
      </c>
      <c r="D2691" t="inlineStr">
        <is>
          <t>VÄRMLANDS LÄN</t>
        </is>
      </c>
      <c r="E2691" t="inlineStr">
        <is>
          <t>TORSBY</t>
        </is>
      </c>
      <c r="F2691" t="inlineStr">
        <is>
          <t>Bergvik skog väst AB</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37477-2024</t>
        </is>
      </c>
      <c r="B2692" s="1" t="n">
        <v>45541</v>
      </c>
      <c r="C2692" s="1" t="n">
        <v>45849</v>
      </c>
      <c r="D2692" t="inlineStr">
        <is>
          <t>VÄRMLANDS LÄN</t>
        </is>
      </c>
      <c r="E2692" t="inlineStr">
        <is>
          <t>TORSBY</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37580-2024</t>
        </is>
      </c>
      <c r="B2693" s="1" t="n">
        <v>45541</v>
      </c>
      <c r="C2693" s="1" t="n">
        <v>45849</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37665-2024</t>
        </is>
      </c>
      <c r="B2694" s="1" t="n">
        <v>45541</v>
      </c>
      <c r="C2694" s="1" t="n">
        <v>45849</v>
      </c>
      <c r="D2694" t="inlineStr">
        <is>
          <t>VÄRMLANDS LÄN</t>
        </is>
      </c>
      <c r="E2694" t="inlineStr">
        <is>
          <t>TORSBY</t>
        </is>
      </c>
      <c r="F2694" t="inlineStr">
        <is>
          <t>Kyrkan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37533-2024</t>
        </is>
      </c>
      <c r="B2695" s="1" t="n">
        <v>45541</v>
      </c>
      <c r="C2695" s="1" t="n">
        <v>45849</v>
      </c>
      <c r="D2695" t="inlineStr">
        <is>
          <t>VÄRMLANDS LÄN</t>
        </is>
      </c>
      <c r="E2695" t="inlineStr">
        <is>
          <t>TORSBY</t>
        </is>
      </c>
      <c r="F2695" t="inlineStr">
        <is>
          <t>Bergvik skog väst AB</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37733-2024</t>
        </is>
      </c>
      <c r="B2696" s="1" t="n">
        <v>45541</v>
      </c>
      <c r="C2696" s="1" t="n">
        <v>45849</v>
      </c>
      <c r="D2696" t="inlineStr">
        <is>
          <t>VÄRMLANDS LÄN</t>
        </is>
      </c>
      <c r="E2696" t="inlineStr">
        <is>
          <t>TORSBY</t>
        </is>
      </c>
      <c r="F2696" t="inlineStr">
        <is>
          <t>Bergvik skog väst AB</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37884-2024</t>
        </is>
      </c>
      <c r="B2697" s="1" t="n">
        <v>45544</v>
      </c>
      <c r="C2697" s="1" t="n">
        <v>45849</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37853-2024</t>
        </is>
      </c>
      <c r="B2698" s="1" t="n">
        <v>45544</v>
      </c>
      <c r="C2698" s="1" t="n">
        <v>45849</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37901-2024</t>
        </is>
      </c>
      <c r="B2699" s="1" t="n">
        <v>45544</v>
      </c>
      <c r="C2699" s="1" t="n">
        <v>45849</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37913-2024</t>
        </is>
      </c>
      <c r="B2700" s="1" t="n">
        <v>45544</v>
      </c>
      <c r="C2700" s="1" t="n">
        <v>45849</v>
      </c>
      <c r="D2700" t="inlineStr">
        <is>
          <t>VÄRMLANDS LÄN</t>
        </is>
      </c>
      <c r="E2700" t="inlineStr">
        <is>
          <t>TORSBY</t>
        </is>
      </c>
      <c r="F2700" t="inlineStr">
        <is>
          <t>Bergvik skog väst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38062-2024</t>
        </is>
      </c>
      <c r="B2701" s="1" t="n">
        <v>45544</v>
      </c>
      <c r="C2701" s="1" t="n">
        <v>45849</v>
      </c>
      <c r="D2701" t="inlineStr">
        <is>
          <t>VÄRMLANDS LÄN</t>
        </is>
      </c>
      <c r="E2701" t="inlineStr">
        <is>
          <t>TORSBY</t>
        </is>
      </c>
      <c r="F2701" t="inlineStr">
        <is>
          <t>Bergvik skog väst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38076-2024</t>
        </is>
      </c>
      <c r="B2702" s="1" t="n">
        <v>45544</v>
      </c>
      <c r="C2702" s="1" t="n">
        <v>45849</v>
      </c>
      <c r="D2702" t="inlineStr">
        <is>
          <t>VÄRMLANDS LÄN</t>
        </is>
      </c>
      <c r="E2702" t="inlineStr">
        <is>
          <t>TORSBY</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38100-2024</t>
        </is>
      </c>
      <c r="B2703" s="1" t="n">
        <v>45545</v>
      </c>
      <c r="C2703" s="1" t="n">
        <v>45849</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38085-2024</t>
        </is>
      </c>
      <c r="B2704" s="1" t="n">
        <v>45545</v>
      </c>
      <c r="C2704" s="1" t="n">
        <v>45849</v>
      </c>
      <c r="D2704" t="inlineStr">
        <is>
          <t>VÄRMLANDS LÄN</t>
        </is>
      </c>
      <c r="E2704" t="inlineStr">
        <is>
          <t>TORSBY</t>
        </is>
      </c>
      <c r="F2704" t="inlineStr">
        <is>
          <t>Bergvik skog väst AB</t>
        </is>
      </c>
      <c r="G2704" t="n">
        <v>27.8</v>
      </c>
      <c r="H2704" t="n">
        <v>0</v>
      </c>
      <c r="I2704" t="n">
        <v>0</v>
      </c>
      <c r="J2704" t="n">
        <v>0</v>
      </c>
      <c r="K2704" t="n">
        <v>0</v>
      </c>
      <c r="L2704" t="n">
        <v>0</v>
      </c>
      <c r="M2704" t="n">
        <v>0</v>
      </c>
      <c r="N2704" t="n">
        <v>0</v>
      </c>
      <c r="O2704" t="n">
        <v>0</v>
      </c>
      <c r="P2704" t="n">
        <v>0</v>
      </c>
      <c r="Q2704" t="n">
        <v>0</v>
      </c>
      <c r="R2704" s="2" t="inlineStr"/>
    </row>
    <row r="2705" ht="15" customHeight="1">
      <c r="A2705" t="inlineStr">
        <is>
          <t>A 38148-2024</t>
        </is>
      </c>
      <c r="B2705" s="1" t="n">
        <v>45545</v>
      </c>
      <c r="C2705" s="1" t="n">
        <v>45849</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38184-2024</t>
        </is>
      </c>
      <c r="B2706" s="1" t="n">
        <v>45545</v>
      </c>
      <c r="C2706" s="1" t="n">
        <v>45849</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38206-2024</t>
        </is>
      </c>
      <c r="B2707" s="1" t="n">
        <v>45545</v>
      </c>
      <c r="C2707" s="1" t="n">
        <v>45849</v>
      </c>
      <c r="D2707" t="inlineStr">
        <is>
          <t>VÄRMLANDS LÄN</t>
        </is>
      </c>
      <c r="E2707" t="inlineStr">
        <is>
          <t>TORSBY</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38353-2024</t>
        </is>
      </c>
      <c r="B2708" s="1" t="n">
        <v>45545</v>
      </c>
      <c r="C2708" s="1" t="n">
        <v>45849</v>
      </c>
      <c r="D2708" t="inlineStr">
        <is>
          <t>VÄRMLANDS LÄN</t>
        </is>
      </c>
      <c r="E2708" t="inlineStr">
        <is>
          <t>TORSBY</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38497-2024</t>
        </is>
      </c>
      <c r="B2709" s="1" t="n">
        <v>45546</v>
      </c>
      <c r="C2709" s="1" t="n">
        <v>45849</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38618-2024</t>
        </is>
      </c>
      <c r="B2710" s="1" t="n">
        <v>45546</v>
      </c>
      <c r="C2710" s="1" t="n">
        <v>45849</v>
      </c>
      <c r="D2710" t="inlineStr">
        <is>
          <t>VÄRMLANDS LÄN</t>
        </is>
      </c>
      <c r="E2710" t="inlineStr">
        <is>
          <t>TORSBY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38911-2024</t>
        </is>
      </c>
      <c r="B2711" s="1" t="n">
        <v>45547</v>
      </c>
      <c r="C2711" s="1" t="n">
        <v>45849</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38931-2024</t>
        </is>
      </c>
      <c r="B2712" s="1" t="n">
        <v>45548</v>
      </c>
      <c r="C2712" s="1" t="n">
        <v>45849</v>
      </c>
      <c r="D2712" t="inlineStr">
        <is>
          <t>VÄRMLANDS LÄN</t>
        </is>
      </c>
      <c r="E2712" t="inlineStr">
        <is>
          <t>TORSBY</t>
        </is>
      </c>
      <c r="F2712" t="inlineStr">
        <is>
          <t>Bergvik skog väst AB</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39075-2024</t>
        </is>
      </c>
      <c r="B2713" s="1" t="n">
        <v>45548</v>
      </c>
      <c r="C2713" s="1" t="n">
        <v>45849</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39277-2024</t>
        </is>
      </c>
      <c r="B2714" s="1" t="n">
        <v>45551</v>
      </c>
      <c r="C2714" s="1" t="n">
        <v>45849</v>
      </c>
      <c r="D2714" t="inlineStr">
        <is>
          <t>VÄRMLANDS LÄN</t>
        </is>
      </c>
      <c r="E2714" t="inlineStr">
        <is>
          <t>TORSBY</t>
        </is>
      </c>
      <c r="F2714" t="inlineStr">
        <is>
          <t>Bergvik skog väst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39378-2024</t>
        </is>
      </c>
      <c r="B2715" s="1" t="n">
        <v>45551</v>
      </c>
      <c r="C2715" s="1" t="n">
        <v>45849</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39383-2024</t>
        </is>
      </c>
      <c r="B2716" s="1" t="n">
        <v>45551</v>
      </c>
      <c r="C2716" s="1" t="n">
        <v>45849</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39587-2024</t>
        </is>
      </c>
      <c r="B2717" s="1" t="n">
        <v>45551</v>
      </c>
      <c r="C2717" s="1" t="n">
        <v>45849</v>
      </c>
      <c r="D2717" t="inlineStr">
        <is>
          <t>VÄRMLANDS LÄN</t>
        </is>
      </c>
      <c r="E2717" t="inlineStr">
        <is>
          <t>TORSBY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39569-2024</t>
        </is>
      </c>
      <c r="B2718" s="1" t="n">
        <v>45551</v>
      </c>
      <c r="C2718" s="1" t="n">
        <v>45849</v>
      </c>
      <c r="D2718" t="inlineStr">
        <is>
          <t>VÄRMLANDS LÄN</t>
        </is>
      </c>
      <c r="E2718" t="inlineStr">
        <is>
          <t>TORSBY</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39567-2024</t>
        </is>
      </c>
      <c r="B2719" s="1" t="n">
        <v>45552</v>
      </c>
      <c r="C2719" s="1" t="n">
        <v>45849</v>
      </c>
      <c r="D2719" t="inlineStr">
        <is>
          <t>VÄRMLANDS LÄN</t>
        </is>
      </c>
      <c r="E2719" t="inlineStr">
        <is>
          <t>TORSBY</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39617-2024</t>
        </is>
      </c>
      <c r="B2720" s="1" t="n">
        <v>45552</v>
      </c>
      <c r="C2720" s="1" t="n">
        <v>45849</v>
      </c>
      <c r="D2720" t="inlineStr">
        <is>
          <t>VÄRMLANDS LÄN</t>
        </is>
      </c>
      <c r="E2720" t="inlineStr">
        <is>
          <t>TORSBY</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39767-2024</t>
        </is>
      </c>
      <c r="B2721" s="1" t="n">
        <v>45552</v>
      </c>
      <c r="C2721" s="1" t="n">
        <v>45849</v>
      </c>
      <c r="D2721" t="inlineStr">
        <is>
          <t>VÄRMLANDS LÄN</t>
        </is>
      </c>
      <c r="E2721" t="inlineStr">
        <is>
          <t>TORSBY</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39771-2024</t>
        </is>
      </c>
      <c r="B2722" s="1" t="n">
        <v>45552</v>
      </c>
      <c r="C2722" s="1" t="n">
        <v>45849</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39746-2024</t>
        </is>
      </c>
      <c r="B2723" s="1" t="n">
        <v>45552</v>
      </c>
      <c r="C2723" s="1" t="n">
        <v>45849</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39770-2024</t>
        </is>
      </c>
      <c r="B2724" s="1" t="n">
        <v>45552</v>
      </c>
      <c r="C2724" s="1" t="n">
        <v>45849</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39768-2024</t>
        </is>
      </c>
      <c r="B2725" s="1" t="n">
        <v>45552</v>
      </c>
      <c r="C2725" s="1" t="n">
        <v>45849</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45849</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39769-2024</t>
        </is>
      </c>
      <c r="B2727" s="1" t="n">
        <v>45552</v>
      </c>
      <c r="C2727" s="1" t="n">
        <v>45849</v>
      </c>
      <c r="D2727" t="inlineStr">
        <is>
          <t>VÄRMLANDS LÄN</t>
        </is>
      </c>
      <c r="E2727" t="inlineStr">
        <is>
          <t>TORSBY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39953-2024</t>
        </is>
      </c>
      <c r="B2728" s="1" t="n">
        <v>45553</v>
      </c>
      <c r="C2728" s="1" t="n">
        <v>45849</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39985-2024</t>
        </is>
      </c>
      <c r="B2729" s="1" t="n">
        <v>45553</v>
      </c>
      <c r="C2729" s="1" t="n">
        <v>45849</v>
      </c>
      <c r="D2729" t="inlineStr">
        <is>
          <t>VÄRMLANDS LÄN</t>
        </is>
      </c>
      <c r="E2729" t="inlineStr">
        <is>
          <t>TORSBY</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40180-2024</t>
        </is>
      </c>
      <c r="B2730" s="1" t="n">
        <v>45554</v>
      </c>
      <c r="C2730" s="1" t="n">
        <v>45849</v>
      </c>
      <c r="D2730" t="inlineStr">
        <is>
          <t>VÄRMLANDS LÄN</t>
        </is>
      </c>
      <c r="E2730" t="inlineStr">
        <is>
          <t>TORSBY</t>
        </is>
      </c>
      <c r="F2730" t="inlineStr">
        <is>
          <t>Bergvik skog väst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40227-2024</t>
        </is>
      </c>
      <c r="B2731" s="1" t="n">
        <v>45554</v>
      </c>
      <c r="C2731" s="1" t="n">
        <v>45849</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40157-2024</t>
        </is>
      </c>
      <c r="B2732" s="1" t="n">
        <v>45554</v>
      </c>
      <c r="C2732" s="1" t="n">
        <v>45849</v>
      </c>
      <c r="D2732" t="inlineStr">
        <is>
          <t>VÄRMLANDS LÄN</t>
        </is>
      </c>
      <c r="E2732" t="inlineStr">
        <is>
          <t>TORSBY</t>
        </is>
      </c>
      <c r="F2732" t="inlineStr">
        <is>
          <t>Bergvik skog väst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40301-2024</t>
        </is>
      </c>
      <c r="B2733" s="1" t="n">
        <v>45554</v>
      </c>
      <c r="C2733" s="1" t="n">
        <v>45849</v>
      </c>
      <c r="D2733" t="inlineStr">
        <is>
          <t>VÄRMLANDS LÄN</t>
        </is>
      </c>
      <c r="E2733" t="inlineStr">
        <is>
          <t>TORSBY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40541-2024</t>
        </is>
      </c>
      <c r="B2734" s="1" t="n">
        <v>45555</v>
      </c>
      <c r="C2734" s="1" t="n">
        <v>45849</v>
      </c>
      <c r="D2734" t="inlineStr">
        <is>
          <t>VÄRMLANDS LÄN</t>
        </is>
      </c>
      <c r="E2734" t="inlineStr">
        <is>
          <t>TORSBY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40565-2024</t>
        </is>
      </c>
      <c r="B2735" s="1" t="n">
        <v>45555</v>
      </c>
      <c r="C2735" s="1" t="n">
        <v>45849</v>
      </c>
      <c r="D2735" t="inlineStr">
        <is>
          <t>VÄRMLANDS LÄN</t>
        </is>
      </c>
      <c r="E2735" t="inlineStr">
        <is>
          <t>TORSBY</t>
        </is>
      </c>
      <c r="F2735" t="inlineStr">
        <is>
          <t>Bergvik skog väst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40573-2024</t>
        </is>
      </c>
      <c r="B2736" s="1" t="n">
        <v>45555</v>
      </c>
      <c r="C2736" s="1" t="n">
        <v>45849</v>
      </c>
      <c r="D2736" t="inlineStr">
        <is>
          <t>VÄRMLANDS LÄN</t>
        </is>
      </c>
      <c r="E2736" t="inlineStr">
        <is>
          <t>TORSBY</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40546-2024</t>
        </is>
      </c>
      <c r="B2737" s="1" t="n">
        <v>45555</v>
      </c>
      <c r="C2737" s="1" t="n">
        <v>45849</v>
      </c>
      <c r="D2737" t="inlineStr">
        <is>
          <t>VÄRMLANDS LÄN</t>
        </is>
      </c>
      <c r="E2737" t="inlineStr">
        <is>
          <t>TORSBY</t>
        </is>
      </c>
      <c r="F2737" t="inlineStr">
        <is>
          <t>Bergvik skog väst AB</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40914-2024</t>
        </is>
      </c>
      <c r="B2738" s="1" t="n">
        <v>45558</v>
      </c>
      <c r="C2738" s="1" t="n">
        <v>45849</v>
      </c>
      <c r="D2738" t="inlineStr">
        <is>
          <t>VÄRMLANDS LÄN</t>
        </is>
      </c>
      <c r="E2738" t="inlineStr">
        <is>
          <t>TORSBY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40807-2024</t>
        </is>
      </c>
      <c r="B2739" s="1" t="n">
        <v>45558</v>
      </c>
      <c r="C2739" s="1" t="n">
        <v>45849</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40810-2024</t>
        </is>
      </c>
      <c r="B2740" s="1" t="n">
        <v>45558</v>
      </c>
      <c r="C2740" s="1" t="n">
        <v>45849</v>
      </c>
      <c r="D2740" t="inlineStr">
        <is>
          <t>VÄRMLANDS LÄN</t>
        </is>
      </c>
      <c r="E2740" t="inlineStr">
        <is>
          <t>TORSBY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40987-2024</t>
        </is>
      </c>
      <c r="B2741" s="1" t="n">
        <v>45558</v>
      </c>
      <c r="C2741" s="1" t="n">
        <v>45849</v>
      </c>
      <c r="D2741" t="inlineStr">
        <is>
          <t>VÄRMLANDS LÄN</t>
        </is>
      </c>
      <c r="E2741" t="inlineStr">
        <is>
          <t>TORSBY</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41161-2024</t>
        </is>
      </c>
      <c r="B2742" s="1" t="n">
        <v>45559</v>
      </c>
      <c r="C2742" s="1" t="n">
        <v>45849</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41162-2024</t>
        </is>
      </c>
      <c r="B2743" s="1" t="n">
        <v>45559</v>
      </c>
      <c r="C2743" s="1" t="n">
        <v>45849</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41518-2024</t>
        </is>
      </c>
      <c r="B2744" s="1" t="n">
        <v>45560</v>
      </c>
      <c r="C2744" s="1" t="n">
        <v>45849</v>
      </c>
      <c r="D2744" t="inlineStr">
        <is>
          <t>VÄRMLANDS LÄN</t>
        </is>
      </c>
      <c r="E2744" t="inlineStr">
        <is>
          <t>TORSBY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41504-2024</t>
        </is>
      </c>
      <c r="B2745" s="1" t="n">
        <v>45560</v>
      </c>
      <c r="C2745" s="1" t="n">
        <v>45849</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41529-2024</t>
        </is>
      </c>
      <c r="B2746" s="1" t="n">
        <v>45560</v>
      </c>
      <c r="C2746" s="1" t="n">
        <v>45849</v>
      </c>
      <c r="D2746" t="inlineStr">
        <is>
          <t>VÄRMLANDS LÄN</t>
        </is>
      </c>
      <c r="E2746" t="inlineStr">
        <is>
          <t>TORSBY</t>
        </is>
      </c>
      <c r="F2746" t="inlineStr">
        <is>
          <t>Bergvik skog väst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41501-2024</t>
        </is>
      </c>
      <c r="B2747" s="1" t="n">
        <v>45560</v>
      </c>
      <c r="C2747" s="1" t="n">
        <v>45849</v>
      </c>
      <c r="D2747" t="inlineStr">
        <is>
          <t>VÄRMLANDS LÄN</t>
        </is>
      </c>
      <c r="E2747" t="inlineStr">
        <is>
          <t>TORSBY</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41720-2024</t>
        </is>
      </c>
      <c r="B2748" s="1" t="n">
        <v>45560</v>
      </c>
      <c r="C2748" s="1" t="n">
        <v>45849</v>
      </c>
      <c r="D2748" t="inlineStr">
        <is>
          <t>VÄRMLANDS LÄN</t>
        </is>
      </c>
      <c r="E2748" t="inlineStr">
        <is>
          <t>TORSBY</t>
        </is>
      </c>
      <c r="F2748" t="inlineStr">
        <is>
          <t>Bergvik skog väst AB</t>
        </is>
      </c>
      <c r="G2748" t="n">
        <v>13.2</v>
      </c>
      <c r="H2748" t="n">
        <v>0</v>
      </c>
      <c r="I2748" t="n">
        <v>0</v>
      </c>
      <c r="J2748" t="n">
        <v>0</v>
      </c>
      <c r="K2748" t="n">
        <v>0</v>
      </c>
      <c r="L2748" t="n">
        <v>0</v>
      </c>
      <c r="M2748" t="n">
        <v>0</v>
      </c>
      <c r="N2748" t="n">
        <v>0</v>
      </c>
      <c r="O2748" t="n">
        <v>0</v>
      </c>
      <c r="P2748" t="n">
        <v>0</v>
      </c>
      <c r="Q2748" t="n">
        <v>0</v>
      </c>
      <c r="R2748" s="2" t="inlineStr"/>
    </row>
    <row r="2749" ht="15" customHeight="1">
      <c r="A2749" t="inlineStr">
        <is>
          <t>A 41534-2024</t>
        </is>
      </c>
      <c r="B2749" s="1" t="n">
        <v>45560</v>
      </c>
      <c r="C2749" s="1" t="n">
        <v>45849</v>
      </c>
      <c r="D2749" t="inlineStr">
        <is>
          <t>VÄRMLANDS LÄN</t>
        </is>
      </c>
      <c r="E2749" t="inlineStr">
        <is>
          <t>TORSBY</t>
        </is>
      </c>
      <c r="G2749" t="n">
        <v>17.3</v>
      </c>
      <c r="H2749" t="n">
        <v>0</v>
      </c>
      <c r="I2749" t="n">
        <v>0</v>
      </c>
      <c r="J2749" t="n">
        <v>0</v>
      </c>
      <c r="K2749" t="n">
        <v>0</v>
      </c>
      <c r="L2749" t="n">
        <v>0</v>
      </c>
      <c r="M2749" t="n">
        <v>0</v>
      </c>
      <c r="N2749" t="n">
        <v>0</v>
      </c>
      <c r="O2749" t="n">
        <v>0</v>
      </c>
      <c r="P2749" t="n">
        <v>0</v>
      </c>
      <c r="Q2749" t="n">
        <v>0</v>
      </c>
      <c r="R2749" s="2" t="inlineStr"/>
    </row>
    <row r="2750" ht="15" customHeight="1">
      <c r="A2750" t="inlineStr">
        <is>
          <t>A 41631-2024</t>
        </is>
      </c>
      <c r="B2750" s="1" t="n">
        <v>45560</v>
      </c>
      <c r="C2750" s="1" t="n">
        <v>45849</v>
      </c>
      <c r="D2750" t="inlineStr">
        <is>
          <t>VÄRMLANDS LÄN</t>
        </is>
      </c>
      <c r="E2750" t="inlineStr">
        <is>
          <t>TORSBY</t>
        </is>
      </c>
      <c r="F2750" t="inlineStr">
        <is>
          <t>Bergvik skog väst AB</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41745-2024</t>
        </is>
      </c>
      <c r="B2751" s="1" t="n">
        <v>45561</v>
      </c>
      <c r="C2751" s="1" t="n">
        <v>45849</v>
      </c>
      <c r="D2751" t="inlineStr">
        <is>
          <t>VÄRMLANDS LÄN</t>
        </is>
      </c>
      <c r="E2751" t="inlineStr">
        <is>
          <t>TORSBY</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41743-2024</t>
        </is>
      </c>
      <c r="B2752" s="1" t="n">
        <v>45561</v>
      </c>
      <c r="C2752" s="1" t="n">
        <v>45849</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41936-2024</t>
        </is>
      </c>
      <c r="B2753" s="1" t="n">
        <v>45561</v>
      </c>
      <c r="C2753" s="1" t="n">
        <v>45849</v>
      </c>
      <c r="D2753" t="inlineStr">
        <is>
          <t>VÄRMLANDS LÄN</t>
        </is>
      </c>
      <c r="E2753" t="inlineStr">
        <is>
          <t>TORSBY</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42283-2024</t>
        </is>
      </c>
      <c r="B2754" s="1" t="n">
        <v>45562</v>
      </c>
      <c r="C2754" s="1" t="n">
        <v>45849</v>
      </c>
      <c r="D2754" t="inlineStr">
        <is>
          <t>VÄRMLANDS LÄN</t>
        </is>
      </c>
      <c r="E2754" t="inlineStr">
        <is>
          <t>TORSBY</t>
        </is>
      </c>
      <c r="F2754" t="inlineStr">
        <is>
          <t>Bergvik skog väst AB</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42250-2024</t>
        </is>
      </c>
      <c r="B2755" s="1" t="n">
        <v>45562</v>
      </c>
      <c r="C2755" s="1" t="n">
        <v>45849</v>
      </c>
      <c r="D2755" t="inlineStr">
        <is>
          <t>VÄRMLANDS LÄN</t>
        </is>
      </c>
      <c r="E2755" t="inlineStr">
        <is>
          <t>TORSBY</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42176-2024</t>
        </is>
      </c>
      <c r="B2756" s="1" t="n">
        <v>45562</v>
      </c>
      <c r="C2756" s="1" t="n">
        <v>45849</v>
      </c>
      <c r="D2756" t="inlineStr">
        <is>
          <t>VÄRMLANDS LÄN</t>
        </is>
      </c>
      <c r="E2756" t="inlineStr">
        <is>
          <t>TORSBY</t>
        </is>
      </c>
      <c r="F2756" t="inlineStr">
        <is>
          <t>Kommuner</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42405-2024</t>
        </is>
      </c>
      <c r="B2757" s="1" t="n">
        <v>45565</v>
      </c>
      <c r="C2757" s="1" t="n">
        <v>45849</v>
      </c>
      <c r="D2757" t="inlineStr">
        <is>
          <t>VÄRMLANDS LÄN</t>
        </is>
      </c>
      <c r="E2757" t="inlineStr">
        <is>
          <t>TORSBY</t>
        </is>
      </c>
      <c r="F2757" t="inlineStr">
        <is>
          <t>Bergvik skog väst AB</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42414-2024</t>
        </is>
      </c>
      <c r="B2758" s="1" t="n">
        <v>45565</v>
      </c>
      <c r="C2758" s="1" t="n">
        <v>45849</v>
      </c>
      <c r="D2758" t="inlineStr">
        <is>
          <t>VÄRMLANDS LÄN</t>
        </is>
      </c>
      <c r="E2758" t="inlineStr">
        <is>
          <t>TORSBY</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42424-2024</t>
        </is>
      </c>
      <c r="B2759" s="1" t="n">
        <v>45565</v>
      </c>
      <c r="C2759" s="1" t="n">
        <v>45849</v>
      </c>
      <c r="D2759" t="inlineStr">
        <is>
          <t>VÄRMLANDS LÄN</t>
        </is>
      </c>
      <c r="E2759" t="inlineStr">
        <is>
          <t>TORSBY</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42428-2024</t>
        </is>
      </c>
      <c r="B2760" s="1" t="n">
        <v>45565</v>
      </c>
      <c r="C2760" s="1" t="n">
        <v>45849</v>
      </c>
      <c r="D2760" t="inlineStr">
        <is>
          <t>VÄRMLANDS LÄN</t>
        </is>
      </c>
      <c r="E2760" t="inlineStr">
        <is>
          <t>TORSBY</t>
        </is>
      </c>
      <c r="F2760" t="inlineStr">
        <is>
          <t>Bergvik skog väst AB</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42457-2024</t>
        </is>
      </c>
      <c r="B2761" s="1" t="n">
        <v>45565</v>
      </c>
      <c r="C2761" s="1" t="n">
        <v>45849</v>
      </c>
      <c r="D2761" t="inlineStr">
        <is>
          <t>VÄRMLANDS LÄN</t>
        </is>
      </c>
      <c r="E2761" t="inlineStr">
        <is>
          <t>TORSBY</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42834-2024</t>
        </is>
      </c>
      <c r="B2762" s="1" t="n">
        <v>45566</v>
      </c>
      <c r="C2762" s="1" t="n">
        <v>45849</v>
      </c>
      <c r="D2762" t="inlineStr">
        <is>
          <t>VÄRMLANDS LÄN</t>
        </is>
      </c>
      <c r="E2762" t="inlineStr">
        <is>
          <t>TORSBY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42662-2024</t>
        </is>
      </c>
      <c r="B2763" s="1" t="n">
        <v>45566</v>
      </c>
      <c r="C2763" s="1" t="n">
        <v>45849</v>
      </c>
      <c r="D2763" t="inlineStr">
        <is>
          <t>VÄRMLANDS LÄN</t>
        </is>
      </c>
      <c r="E2763" t="inlineStr">
        <is>
          <t>TORSBY</t>
        </is>
      </c>
      <c r="F2763" t="inlineStr">
        <is>
          <t>Bergvik skog väst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43037-2024</t>
        </is>
      </c>
      <c r="B2764" s="1" t="n">
        <v>45567</v>
      </c>
      <c r="C2764" s="1" t="n">
        <v>45849</v>
      </c>
      <c r="D2764" t="inlineStr">
        <is>
          <t>VÄRMLANDS LÄN</t>
        </is>
      </c>
      <c r="E2764" t="inlineStr">
        <is>
          <t>TORSBY</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42945-2024</t>
        </is>
      </c>
      <c r="B2765" s="1" t="n">
        <v>45567</v>
      </c>
      <c r="C2765" s="1" t="n">
        <v>45849</v>
      </c>
      <c r="D2765" t="inlineStr">
        <is>
          <t>VÄRMLANDS LÄN</t>
        </is>
      </c>
      <c r="E2765" t="inlineStr">
        <is>
          <t>TORSBY</t>
        </is>
      </c>
      <c r="F2765" t="inlineStr">
        <is>
          <t>Bergvik skog väst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43137-2024</t>
        </is>
      </c>
      <c r="B2766" s="1" t="n">
        <v>45567</v>
      </c>
      <c r="C2766" s="1" t="n">
        <v>45849</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43044-2024</t>
        </is>
      </c>
      <c r="B2767" s="1" t="n">
        <v>45567</v>
      </c>
      <c r="C2767" s="1" t="n">
        <v>45849</v>
      </c>
      <c r="D2767" t="inlineStr">
        <is>
          <t>VÄRMLANDS LÄN</t>
        </is>
      </c>
      <c r="E2767" t="inlineStr">
        <is>
          <t>TORSBY</t>
        </is>
      </c>
      <c r="F2767" t="inlineStr">
        <is>
          <t>Bergvik skog väst AB</t>
        </is>
      </c>
      <c r="G2767" t="n">
        <v>42.7</v>
      </c>
      <c r="H2767" t="n">
        <v>0</v>
      </c>
      <c r="I2767" t="n">
        <v>0</v>
      </c>
      <c r="J2767" t="n">
        <v>0</v>
      </c>
      <c r="K2767" t="n">
        <v>0</v>
      </c>
      <c r="L2767" t="n">
        <v>0</v>
      </c>
      <c r="M2767" t="n">
        <v>0</v>
      </c>
      <c r="N2767" t="n">
        <v>0</v>
      </c>
      <c r="O2767" t="n">
        <v>0</v>
      </c>
      <c r="P2767" t="n">
        <v>0</v>
      </c>
      <c r="Q2767" t="n">
        <v>0</v>
      </c>
      <c r="R2767" s="2" t="inlineStr"/>
    </row>
    <row r="2768" ht="15" customHeight="1">
      <c r="A2768" t="inlineStr">
        <is>
          <t>A 43164-2024</t>
        </is>
      </c>
      <c r="B2768" s="1" t="n">
        <v>45567</v>
      </c>
      <c r="C2768" s="1" t="n">
        <v>45849</v>
      </c>
      <c r="D2768" t="inlineStr">
        <is>
          <t>VÄRMLANDS LÄN</t>
        </is>
      </c>
      <c r="E2768" t="inlineStr">
        <is>
          <t>TORSBY</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43144-2024</t>
        </is>
      </c>
      <c r="B2769" s="1" t="n">
        <v>45567</v>
      </c>
      <c r="C2769" s="1" t="n">
        <v>45849</v>
      </c>
      <c r="D2769" t="inlineStr">
        <is>
          <t>VÄRMLANDS LÄN</t>
        </is>
      </c>
      <c r="E2769" t="inlineStr">
        <is>
          <t>TORSBY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43420-2024</t>
        </is>
      </c>
      <c r="B2770" s="1" t="n">
        <v>45568</v>
      </c>
      <c r="C2770" s="1" t="n">
        <v>45849</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43409-2024</t>
        </is>
      </c>
      <c r="B2771" s="1" t="n">
        <v>45568</v>
      </c>
      <c r="C2771" s="1" t="n">
        <v>45849</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43295-2024</t>
        </is>
      </c>
      <c r="B2772" s="1" t="n">
        <v>45568</v>
      </c>
      <c r="C2772" s="1" t="n">
        <v>45849</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43336-2024</t>
        </is>
      </c>
      <c r="B2773" s="1" t="n">
        <v>45568</v>
      </c>
      <c r="C2773" s="1" t="n">
        <v>45849</v>
      </c>
      <c r="D2773" t="inlineStr">
        <is>
          <t>VÄRMLANDS LÄN</t>
        </is>
      </c>
      <c r="E2773" t="inlineStr">
        <is>
          <t>TORSBY</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43301-2024</t>
        </is>
      </c>
      <c r="B2774" s="1" t="n">
        <v>45568</v>
      </c>
      <c r="C2774" s="1" t="n">
        <v>45849</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43256-2024</t>
        </is>
      </c>
      <c r="B2775" s="1" t="n">
        <v>45568</v>
      </c>
      <c r="C2775" s="1" t="n">
        <v>45849</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43538-2024</t>
        </is>
      </c>
      <c r="B2776" s="1" t="n">
        <v>45569</v>
      </c>
      <c r="C2776" s="1" t="n">
        <v>45849</v>
      </c>
      <c r="D2776" t="inlineStr">
        <is>
          <t>VÄRMLANDS LÄN</t>
        </is>
      </c>
      <c r="E2776" t="inlineStr">
        <is>
          <t>TORSBY</t>
        </is>
      </c>
      <c r="F2776" t="inlineStr">
        <is>
          <t>Bergvik skog väst AB</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43718-2024</t>
        </is>
      </c>
      <c r="B2777" s="1" t="n">
        <v>45569</v>
      </c>
      <c r="C2777" s="1" t="n">
        <v>45849</v>
      </c>
      <c r="D2777" t="inlineStr">
        <is>
          <t>VÄRMLANDS LÄN</t>
        </is>
      </c>
      <c r="E2777" t="inlineStr">
        <is>
          <t>TORSBY</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43545-2024</t>
        </is>
      </c>
      <c r="B2778" s="1" t="n">
        <v>45569</v>
      </c>
      <c r="C2778" s="1" t="n">
        <v>45849</v>
      </c>
      <c r="D2778" t="inlineStr">
        <is>
          <t>VÄRMLANDS LÄN</t>
        </is>
      </c>
      <c r="E2778" t="inlineStr">
        <is>
          <t>TORSBY</t>
        </is>
      </c>
      <c r="F2778" t="inlineStr">
        <is>
          <t>Bergvik skog väst AB</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43739-2024</t>
        </is>
      </c>
      <c r="B2779" s="1" t="n">
        <v>45569</v>
      </c>
      <c r="C2779" s="1" t="n">
        <v>45849</v>
      </c>
      <c r="D2779" t="inlineStr">
        <is>
          <t>VÄRMLANDS LÄN</t>
        </is>
      </c>
      <c r="E2779" t="inlineStr">
        <is>
          <t>TORSBY</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43864-2024</t>
        </is>
      </c>
      <c r="B2780" s="1" t="n">
        <v>45572</v>
      </c>
      <c r="C2780" s="1" t="n">
        <v>45849</v>
      </c>
      <c r="D2780" t="inlineStr">
        <is>
          <t>VÄRMLANDS LÄN</t>
        </is>
      </c>
      <c r="E2780" t="inlineStr">
        <is>
          <t>TORSBY</t>
        </is>
      </c>
      <c r="F2780" t="inlineStr">
        <is>
          <t>Kommuner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43988-2024</t>
        </is>
      </c>
      <c r="B2781" s="1" t="n">
        <v>45572</v>
      </c>
      <c r="C2781" s="1" t="n">
        <v>45849</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44081-2024</t>
        </is>
      </c>
      <c r="B2782" s="1" t="n">
        <v>45572</v>
      </c>
      <c r="C2782" s="1" t="n">
        <v>45849</v>
      </c>
      <c r="D2782" t="inlineStr">
        <is>
          <t>VÄRMLANDS LÄN</t>
        </is>
      </c>
      <c r="E2782" t="inlineStr">
        <is>
          <t>TORSBY</t>
        </is>
      </c>
      <c r="F2782" t="inlineStr">
        <is>
          <t>Bergvik skog väst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44059-2024</t>
        </is>
      </c>
      <c r="B2783" s="1" t="n">
        <v>45572</v>
      </c>
      <c r="C2783" s="1" t="n">
        <v>45849</v>
      </c>
      <c r="D2783" t="inlineStr">
        <is>
          <t>VÄRMLANDS LÄN</t>
        </is>
      </c>
      <c r="E2783" t="inlineStr">
        <is>
          <t>TORSBY</t>
        </is>
      </c>
      <c r="F2783" t="inlineStr">
        <is>
          <t>Bergvik skog väst AB</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44349-2024</t>
        </is>
      </c>
      <c r="B2784" s="1" t="n">
        <v>45573</v>
      </c>
      <c r="C2784" s="1" t="n">
        <v>45849</v>
      </c>
      <c r="D2784" t="inlineStr">
        <is>
          <t>VÄRMLANDS LÄN</t>
        </is>
      </c>
      <c r="E2784" t="inlineStr">
        <is>
          <t>TORSBY</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44352-2024</t>
        </is>
      </c>
      <c r="B2785" s="1" t="n">
        <v>45573</v>
      </c>
      <c r="C2785" s="1" t="n">
        <v>45849</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44276-2024</t>
        </is>
      </c>
      <c r="B2786" s="1" t="n">
        <v>45573</v>
      </c>
      <c r="C2786" s="1" t="n">
        <v>45849</v>
      </c>
      <c r="D2786" t="inlineStr">
        <is>
          <t>VÄRMLANDS LÄN</t>
        </is>
      </c>
      <c r="E2786" t="inlineStr">
        <is>
          <t>TORSBY</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44241-2024</t>
        </is>
      </c>
      <c r="B2787" s="1" t="n">
        <v>45573</v>
      </c>
      <c r="C2787" s="1" t="n">
        <v>45849</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44303-2024</t>
        </is>
      </c>
      <c r="B2788" s="1" t="n">
        <v>45573</v>
      </c>
      <c r="C2788" s="1" t="n">
        <v>45849</v>
      </c>
      <c r="D2788" t="inlineStr">
        <is>
          <t>VÄRMLANDS LÄN</t>
        </is>
      </c>
      <c r="E2788" t="inlineStr">
        <is>
          <t>TORSBY</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44424-2024</t>
        </is>
      </c>
      <c r="B2789" s="1" t="n">
        <v>45573</v>
      </c>
      <c r="C2789" s="1" t="n">
        <v>45849</v>
      </c>
      <c r="D2789" t="inlineStr">
        <is>
          <t>VÄRMLANDS LÄN</t>
        </is>
      </c>
      <c r="E2789" t="inlineStr">
        <is>
          <t>TORSBY</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44325-2024</t>
        </is>
      </c>
      <c r="B2790" s="1" t="n">
        <v>45573</v>
      </c>
      <c r="C2790" s="1" t="n">
        <v>45849</v>
      </c>
      <c r="D2790" t="inlineStr">
        <is>
          <t>VÄRMLANDS LÄN</t>
        </is>
      </c>
      <c r="E2790" t="inlineStr">
        <is>
          <t>TORSBY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44422-2024</t>
        </is>
      </c>
      <c r="B2791" s="1" t="n">
        <v>45573</v>
      </c>
      <c r="C2791" s="1" t="n">
        <v>45849</v>
      </c>
      <c r="D2791" t="inlineStr">
        <is>
          <t>VÄRMLANDS LÄN</t>
        </is>
      </c>
      <c r="E2791" t="inlineStr">
        <is>
          <t>TORSBY</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44423-2024</t>
        </is>
      </c>
      <c r="B2792" s="1" t="n">
        <v>45573</v>
      </c>
      <c r="C2792" s="1" t="n">
        <v>45849</v>
      </c>
      <c r="D2792" t="inlineStr">
        <is>
          <t>VÄRMLANDS LÄN</t>
        </is>
      </c>
      <c r="E2792" t="inlineStr">
        <is>
          <t>TORSBY</t>
        </is>
      </c>
      <c r="G2792" t="n">
        <v>34.1</v>
      </c>
      <c r="H2792" t="n">
        <v>0</v>
      </c>
      <c r="I2792" t="n">
        <v>0</v>
      </c>
      <c r="J2792" t="n">
        <v>0</v>
      </c>
      <c r="K2792" t="n">
        <v>0</v>
      </c>
      <c r="L2792" t="n">
        <v>0</v>
      </c>
      <c r="M2792" t="n">
        <v>0</v>
      </c>
      <c r="N2792" t="n">
        <v>0</v>
      </c>
      <c r="O2792" t="n">
        <v>0</v>
      </c>
      <c r="P2792" t="n">
        <v>0</v>
      </c>
      <c r="Q2792" t="n">
        <v>0</v>
      </c>
      <c r="R2792" s="2" t="inlineStr"/>
    </row>
    <row r="2793" ht="15" customHeight="1">
      <c r="A2793" t="inlineStr">
        <is>
          <t>A 44278-2024</t>
        </is>
      </c>
      <c r="B2793" s="1" t="n">
        <v>45573</v>
      </c>
      <c r="C2793" s="1" t="n">
        <v>45849</v>
      </c>
      <c r="D2793" t="inlineStr">
        <is>
          <t>VÄRMLANDS LÄN</t>
        </is>
      </c>
      <c r="E2793" t="inlineStr">
        <is>
          <t>TORSBY</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44204-2024</t>
        </is>
      </c>
      <c r="B2794" s="1" t="n">
        <v>45573</v>
      </c>
      <c r="C2794" s="1" t="n">
        <v>45849</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44338-2024</t>
        </is>
      </c>
      <c r="B2795" s="1" t="n">
        <v>45573</v>
      </c>
      <c r="C2795" s="1" t="n">
        <v>45849</v>
      </c>
      <c r="D2795" t="inlineStr">
        <is>
          <t>VÄRMLANDS LÄN</t>
        </is>
      </c>
      <c r="E2795" t="inlineStr">
        <is>
          <t>TORSBY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44342-2024</t>
        </is>
      </c>
      <c r="B2796" s="1" t="n">
        <v>45573</v>
      </c>
      <c r="C2796" s="1" t="n">
        <v>45849</v>
      </c>
      <c r="D2796" t="inlineStr">
        <is>
          <t>VÄRMLANDS LÄN</t>
        </is>
      </c>
      <c r="E2796" t="inlineStr">
        <is>
          <t>TORSBY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44448-2024</t>
        </is>
      </c>
      <c r="B2797" s="1" t="n">
        <v>45574</v>
      </c>
      <c r="C2797" s="1" t="n">
        <v>45849</v>
      </c>
      <c r="D2797" t="inlineStr">
        <is>
          <t>VÄRMLANDS LÄN</t>
        </is>
      </c>
      <c r="E2797" t="inlineStr">
        <is>
          <t>TORSBY</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44697-2024</t>
        </is>
      </c>
      <c r="B2798" s="1" t="n">
        <v>45574</v>
      </c>
      <c r="C2798" s="1" t="n">
        <v>45849</v>
      </c>
      <c r="D2798" t="inlineStr">
        <is>
          <t>VÄRMLANDS LÄN</t>
        </is>
      </c>
      <c r="E2798" t="inlineStr">
        <is>
          <t>TORSBY</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44685-2024</t>
        </is>
      </c>
      <c r="B2799" s="1" t="n">
        <v>45574</v>
      </c>
      <c r="C2799" s="1" t="n">
        <v>45849</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44690-2024</t>
        </is>
      </c>
      <c r="B2800" s="1" t="n">
        <v>45574</v>
      </c>
      <c r="C2800" s="1" t="n">
        <v>45849</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44702-2024</t>
        </is>
      </c>
      <c r="B2801" s="1" t="n">
        <v>45574</v>
      </c>
      <c r="C2801" s="1" t="n">
        <v>45849</v>
      </c>
      <c r="D2801" t="inlineStr">
        <is>
          <t>VÄRMLANDS LÄN</t>
        </is>
      </c>
      <c r="E2801" t="inlineStr">
        <is>
          <t>TORSBY</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44770-2024</t>
        </is>
      </c>
      <c r="B2802" s="1" t="n">
        <v>45574</v>
      </c>
      <c r="C2802" s="1" t="n">
        <v>45849</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44786-2024</t>
        </is>
      </c>
      <c r="B2803" s="1" t="n">
        <v>45574</v>
      </c>
      <c r="C2803" s="1" t="n">
        <v>45849</v>
      </c>
      <c r="D2803" t="inlineStr">
        <is>
          <t>VÄRMLANDS LÄN</t>
        </is>
      </c>
      <c r="E2803" t="inlineStr">
        <is>
          <t>TORSBY</t>
        </is>
      </c>
      <c r="F2803" t="inlineStr">
        <is>
          <t>Bergvik skog väst AB</t>
        </is>
      </c>
      <c r="G2803" t="n">
        <v>21.9</v>
      </c>
      <c r="H2803" t="n">
        <v>0</v>
      </c>
      <c r="I2803" t="n">
        <v>0</v>
      </c>
      <c r="J2803" t="n">
        <v>0</v>
      </c>
      <c r="K2803" t="n">
        <v>0</v>
      </c>
      <c r="L2803" t="n">
        <v>0</v>
      </c>
      <c r="M2803" t="n">
        <v>0</v>
      </c>
      <c r="N2803" t="n">
        <v>0</v>
      </c>
      <c r="O2803" t="n">
        <v>0</v>
      </c>
      <c r="P2803" t="n">
        <v>0</v>
      </c>
      <c r="Q2803" t="n">
        <v>0</v>
      </c>
      <c r="R2803" s="2" t="inlineStr"/>
    </row>
    <row r="2804" ht="15" customHeight="1">
      <c r="A2804" t="inlineStr">
        <is>
          <t>A 44659-2024</t>
        </is>
      </c>
      <c r="B2804" s="1" t="n">
        <v>45574</v>
      </c>
      <c r="C2804" s="1" t="n">
        <v>45849</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44683-2024</t>
        </is>
      </c>
      <c r="B2805" s="1" t="n">
        <v>45574</v>
      </c>
      <c r="C2805" s="1" t="n">
        <v>45849</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44470-2024</t>
        </is>
      </c>
      <c r="B2806" s="1" t="n">
        <v>45574</v>
      </c>
      <c r="C2806" s="1" t="n">
        <v>45849</v>
      </c>
      <c r="D2806" t="inlineStr">
        <is>
          <t>VÄRMLANDS LÄN</t>
        </is>
      </c>
      <c r="E2806" t="inlineStr">
        <is>
          <t>TORSBY</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44764-2024</t>
        </is>
      </c>
      <c r="B2807" s="1" t="n">
        <v>45574</v>
      </c>
      <c r="C2807" s="1" t="n">
        <v>45849</v>
      </c>
      <c r="D2807" t="inlineStr">
        <is>
          <t>VÄRMLANDS LÄN</t>
        </is>
      </c>
      <c r="E2807" t="inlineStr">
        <is>
          <t>TORSBY</t>
        </is>
      </c>
      <c r="F2807" t="inlineStr">
        <is>
          <t>Bergvik skog väst AB</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44838-2024</t>
        </is>
      </c>
      <c r="B2808" s="1" t="n">
        <v>45574</v>
      </c>
      <c r="C2808" s="1" t="n">
        <v>45849</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45134-2024</t>
        </is>
      </c>
      <c r="B2809" s="1" t="n">
        <v>45575</v>
      </c>
      <c r="C2809" s="1" t="n">
        <v>45849</v>
      </c>
      <c r="D2809" t="inlineStr">
        <is>
          <t>VÄRMLANDS LÄN</t>
        </is>
      </c>
      <c r="E2809" t="inlineStr">
        <is>
          <t>TORSBY</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45114-2024</t>
        </is>
      </c>
      <c r="B2810" s="1" t="n">
        <v>45575</v>
      </c>
      <c r="C2810" s="1" t="n">
        <v>45849</v>
      </c>
      <c r="D2810" t="inlineStr">
        <is>
          <t>VÄRMLANDS LÄN</t>
        </is>
      </c>
      <c r="E2810" t="inlineStr">
        <is>
          <t>TORSBY</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45129-2024</t>
        </is>
      </c>
      <c r="B2811" s="1" t="n">
        <v>45575</v>
      </c>
      <c r="C2811" s="1" t="n">
        <v>45849</v>
      </c>
      <c r="D2811" t="inlineStr">
        <is>
          <t>VÄRMLANDS LÄN</t>
        </is>
      </c>
      <c r="E2811" t="inlineStr">
        <is>
          <t>TORSBY</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45132-2024</t>
        </is>
      </c>
      <c r="B2812" s="1" t="n">
        <v>45575</v>
      </c>
      <c r="C2812" s="1" t="n">
        <v>45849</v>
      </c>
      <c r="D2812" t="inlineStr">
        <is>
          <t>VÄRMLANDS LÄN</t>
        </is>
      </c>
      <c r="E2812" t="inlineStr">
        <is>
          <t>TORSBY</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45022-2024</t>
        </is>
      </c>
      <c r="B2813" s="1" t="n">
        <v>45575</v>
      </c>
      <c r="C2813" s="1" t="n">
        <v>45849</v>
      </c>
      <c r="D2813" t="inlineStr">
        <is>
          <t>VÄRMLANDS LÄN</t>
        </is>
      </c>
      <c r="E2813" t="inlineStr">
        <is>
          <t>TORSBY</t>
        </is>
      </c>
      <c r="F2813" t="inlineStr">
        <is>
          <t>Bergvik skog väst AB</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45227-2024</t>
        </is>
      </c>
      <c r="B2814" s="1" t="n">
        <v>45575</v>
      </c>
      <c r="C2814" s="1" t="n">
        <v>45849</v>
      </c>
      <c r="D2814" t="inlineStr">
        <is>
          <t>VÄRMLANDS LÄN</t>
        </is>
      </c>
      <c r="E2814" t="inlineStr">
        <is>
          <t>TORSBY</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44965-2024</t>
        </is>
      </c>
      <c r="B2815" s="1" t="n">
        <v>45575</v>
      </c>
      <c r="C2815" s="1" t="n">
        <v>45849</v>
      </c>
      <c r="D2815" t="inlineStr">
        <is>
          <t>VÄRMLANDS LÄN</t>
        </is>
      </c>
      <c r="E2815" t="inlineStr">
        <is>
          <t>TORSBY</t>
        </is>
      </c>
      <c r="F2815" t="inlineStr">
        <is>
          <t>Bergvik skog väst AB</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45389-2024</t>
        </is>
      </c>
      <c r="B2816" s="1" t="n">
        <v>45576</v>
      </c>
      <c r="C2816" s="1" t="n">
        <v>45849</v>
      </c>
      <c r="D2816" t="inlineStr">
        <is>
          <t>VÄRMLANDS LÄN</t>
        </is>
      </c>
      <c r="E2816" t="inlineStr">
        <is>
          <t>TORSBY</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45448-2024</t>
        </is>
      </c>
      <c r="B2817" s="1" t="n">
        <v>45576</v>
      </c>
      <c r="C2817" s="1" t="n">
        <v>45849</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45385-2024</t>
        </is>
      </c>
      <c r="B2818" s="1" t="n">
        <v>45576</v>
      </c>
      <c r="C2818" s="1" t="n">
        <v>45849</v>
      </c>
      <c r="D2818" t="inlineStr">
        <is>
          <t>VÄRMLANDS LÄN</t>
        </is>
      </c>
      <c r="E2818" t="inlineStr">
        <is>
          <t>TORSBY</t>
        </is>
      </c>
      <c r="F2818" t="inlineStr">
        <is>
          <t>Bergvik skog väst AB</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45669-2024</t>
        </is>
      </c>
      <c r="B2819" s="1" t="n">
        <v>45579</v>
      </c>
      <c r="C2819" s="1" t="n">
        <v>45849</v>
      </c>
      <c r="D2819" t="inlineStr">
        <is>
          <t>VÄRMLANDS LÄN</t>
        </is>
      </c>
      <c r="E2819" t="inlineStr">
        <is>
          <t>TORSBY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45548-2024</t>
        </is>
      </c>
      <c r="B2820" s="1" t="n">
        <v>45579</v>
      </c>
      <c r="C2820" s="1" t="n">
        <v>45849</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45812-2024</t>
        </is>
      </c>
      <c r="B2821" s="1" t="n">
        <v>45579</v>
      </c>
      <c r="C2821" s="1" t="n">
        <v>45849</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45849-2024</t>
        </is>
      </c>
      <c r="B2822" s="1" t="n">
        <v>45580</v>
      </c>
      <c r="C2822" s="1" t="n">
        <v>45849</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46239-2024</t>
        </is>
      </c>
      <c r="B2823" s="1" t="n">
        <v>45581</v>
      </c>
      <c r="C2823" s="1" t="n">
        <v>45849</v>
      </c>
      <c r="D2823" t="inlineStr">
        <is>
          <t>VÄRMLANDS LÄN</t>
        </is>
      </c>
      <c r="E2823" t="inlineStr">
        <is>
          <t>TORSBY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46152-2024</t>
        </is>
      </c>
      <c r="B2824" s="1" t="n">
        <v>45581</v>
      </c>
      <c r="C2824" s="1" t="n">
        <v>45849</v>
      </c>
      <c r="D2824" t="inlineStr">
        <is>
          <t>VÄRMLANDS LÄN</t>
        </is>
      </c>
      <c r="E2824" t="inlineStr">
        <is>
          <t>TORSBY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46166-2024</t>
        </is>
      </c>
      <c r="B2825" s="1" t="n">
        <v>45581</v>
      </c>
      <c r="C2825" s="1" t="n">
        <v>45849</v>
      </c>
      <c r="D2825" t="inlineStr">
        <is>
          <t>VÄRMLANDS LÄN</t>
        </is>
      </c>
      <c r="E2825" t="inlineStr">
        <is>
          <t>TORSBY</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46471-2024</t>
        </is>
      </c>
      <c r="B2826" s="1" t="n">
        <v>45582</v>
      </c>
      <c r="C2826" s="1" t="n">
        <v>45849</v>
      </c>
      <c r="D2826" t="inlineStr">
        <is>
          <t>VÄRMLANDS LÄN</t>
        </is>
      </c>
      <c r="E2826" t="inlineStr">
        <is>
          <t>TORSBY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46503-2024</t>
        </is>
      </c>
      <c r="B2827" s="1" t="n">
        <v>45582</v>
      </c>
      <c r="C2827" s="1" t="n">
        <v>45849</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46456-2024</t>
        </is>
      </c>
      <c r="B2828" s="1" t="n">
        <v>45582</v>
      </c>
      <c r="C2828" s="1" t="n">
        <v>45849</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46343-2024</t>
        </is>
      </c>
      <c r="B2829" s="1" t="n">
        <v>45582</v>
      </c>
      <c r="C2829" s="1" t="n">
        <v>45849</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46914-2024</t>
        </is>
      </c>
      <c r="B2830" s="1" t="n">
        <v>45583</v>
      </c>
      <c r="C2830" s="1" t="n">
        <v>45849</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46698-2024</t>
        </is>
      </c>
      <c r="B2831" s="1" t="n">
        <v>45583</v>
      </c>
      <c r="C2831" s="1" t="n">
        <v>45849</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46909-2024</t>
        </is>
      </c>
      <c r="B2832" s="1" t="n">
        <v>45583</v>
      </c>
      <c r="C2832" s="1" t="n">
        <v>45849</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46917-2024</t>
        </is>
      </c>
      <c r="B2833" s="1" t="n">
        <v>45583</v>
      </c>
      <c r="C2833" s="1" t="n">
        <v>45849</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46912-2024</t>
        </is>
      </c>
      <c r="B2834" s="1" t="n">
        <v>45583</v>
      </c>
      <c r="C2834" s="1" t="n">
        <v>45849</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46915-2024</t>
        </is>
      </c>
      <c r="B2835" s="1" t="n">
        <v>45583</v>
      </c>
      <c r="C2835" s="1" t="n">
        <v>45849</v>
      </c>
      <c r="D2835" t="inlineStr">
        <is>
          <t>VÄRMLANDS LÄN</t>
        </is>
      </c>
      <c r="E2835" t="inlineStr">
        <is>
          <t>TORSBY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47005-2024</t>
        </is>
      </c>
      <c r="B2836" s="1" t="n">
        <v>45586</v>
      </c>
      <c r="C2836" s="1" t="n">
        <v>45849</v>
      </c>
      <c r="D2836" t="inlineStr">
        <is>
          <t>VÄRMLANDS LÄN</t>
        </is>
      </c>
      <c r="E2836" t="inlineStr">
        <is>
          <t>TORSBY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47006-2024</t>
        </is>
      </c>
      <c r="B2837" s="1" t="n">
        <v>45586</v>
      </c>
      <c r="C2837" s="1" t="n">
        <v>45849</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47553-2024</t>
        </is>
      </c>
      <c r="B2838" s="1" t="n">
        <v>45587</v>
      </c>
      <c r="C2838" s="1" t="n">
        <v>45849</v>
      </c>
      <c r="D2838" t="inlineStr">
        <is>
          <t>VÄRMLANDS LÄN</t>
        </is>
      </c>
      <c r="E2838" t="inlineStr">
        <is>
          <t>TORSBY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47465-2024</t>
        </is>
      </c>
      <c r="B2839" s="1" t="n">
        <v>45587</v>
      </c>
      <c r="C2839" s="1" t="n">
        <v>45849</v>
      </c>
      <c r="D2839" t="inlineStr">
        <is>
          <t>VÄRMLANDS LÄN</t>
        </is>
      </c>
      <c r="E2839" t="inlineStr">
        <is>
          <t>TORSBY</t>
        </is>
      </c>
      <c r="F2839" t="inlineStr">
        <is>
          <t>Övriga Aktiebolag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47316-2024</t>
        </is>
      </c>
      <c r="B2840" s="1" t="n">
        <v>45587</v>
      </c>
      <c r="C2840" s="1" t="n">
        <v>45849</v>
      </c>
      <c r="D2840" t="inlineStr">
        <is>
          <t>VÄRMLANDS LÄN</t>
        </is>
      </c>
      <c r="E2840" t="inlineStr">
        <is>
          <t>TORSBY</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47452-2024</t>
        </is>
      </c>
      <c r="B2841" s="1" t="n">
        <v>45587</v>
      </c>
      <c r="C2841" s="1" t="n">
        <v>45849</v>
      </c>
      <c r="D2841" t="inlineStr">
        <is>
          <t>VÄRMLANDS LÄN</t>
        </is>
      </c>
      <c r="E2841" t="inlineStr">
        <is>
          <t>TORSBY</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47755-2024</t>
        </is>
      </c>
      <c r="B2842" s="1" t="n">
        <v>45588</v>
      </c>
      <c r="C2842" s="1" t="n">
        <v>45849</v>
      </c>
      <c r="D2842" t="inlineStr">
        <is>
          <t>VÄRMLANDS LÄN</t>
        </is>
      </c>
      <c r="E2842" t="inlineStr">
        <is>
          <t>TORSBY</t>
        </is>
      </c>
      <c r="F2842" t="inlineStr">
        <is>
          <t>Bergvik skog väst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47651-2024</t>
        </is>
      </c>
      <c r="B2843" s="1" t="n">
        <v>45588</v>
      </c>
      <c r="C2843" s="1" t="n">
        <v>45849</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47619-2024</t>
        </is>
      </c>
      <c r="B2844" s="1" t="n">
        <v>45588</v>
      </c>
      <c r="C2844" s="1" t="n">
        <v>45849</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47835-2024</t>
        </is>
      </c>
      <c r="B2845" s="1" t="n">
        <v>45588</v>
      </c>
      <c r="C2845" s="1" t="n">
        <v>45849</v>
      </c>
      <c r="D2845" t="inlineStr">
        <is>
          <t>VÄRMLANDS LÄN</t>
        </is>
      </c>
      <c r="E2845" t="inlineStr">
        <is>
          <t>TORSBY</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47839-2024</t>
        </is>
      </c>
      <c r="B2846" s="1" t="n">
        <v>45588</v>
      </c>
      <c r="C2846" s="1" t="n">
        <v>45849</v>
      </c>
      <c r="D2846" t="inlineStr">
        <is>
          <t>VÄRMLANDS LÄN</t>
        </is>
      </c>
      <c r="E2846" t="inlineStr">
        <is>
          <t>TORSBY</t>
        </is>
      </c>
      <c r="F2846" t="inlineStr">
        <is>
          <t>Bergvik skog väst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47863-2024</t>
        </is>
      </c>
      <c r="B2847" s="1" t="n">
        <v>45588</v>
      </c>
      <c r="C2847" s="1" t="n">
        <v>45849</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48185-2024</t>
        </is>
      </c>
      <c r="B2848" s="1" t="n">
        <v>45589</v>
      </c>
      <c r="C2848" s="1" t="n">
        <v>45849</v>
      </c>
      <c r="D2848" t="inlineStr">
        <is>
          <t>VÄRMLANDS LÄN</t>
        </is>
      </c>
      <c r="E2848" t="inlineStr">
        <is>
          <t>TORSBY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48160-2024</t>
        </is>
      </c>
      <c r="B2849" s="1" t="n">
        <v>45589</v>
      </c>
      <c r="C2849" s="1" t="n">
        <v>45849</v>
      </c>
      <c r="D2849" t="inlineStr">
        <is>
          <t>VÄRMLANDS LÄN</t>
        </is>
      </c>
      <c r="E2849" t="inlineStr">
        <is>
          <t>TORSBY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48305-2024</t>
        </is>
      </c>
      <c r="B2850" s="1" t="n">
        <v>45590</v>
      </c>
      <c r="C2850" s="1" t="n">
        <v>45849</v>
      </c>
      <c r="D2850" t="inlineStr">
        <is>
          <t>VÄRMLANDS LÄN</t>
        </is>
      </c>
      <c r="E2850" t="inlineStr">
        <is>
          <t>TORSBY</t>
        </is>
      </c>
      <c r="F2850" t="inlineStr">
        <is>
          <t>Bergvik skog väst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48253-2024</t>
        </is>
      </c>
      <c r="B2851" s="1" t="n">
        <v>45590</v>
      </c>
      <c r="C2851" s="1" t="n">
        <v>45849</v>
      </c>
      <c r="D2851" t="inlineStr">
        <is>
          <t>VÄRMLANDS LÄN</t>
        </is>
      </c>
      <c r="E2851" t="inlineStr">
        <is>
          <t>TORSBY</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48629-2024</t>
        </is>
      </c>
      <c r="B2852" s="1" t="n">
        <v>45593</v>
      </c>
      <c r="C2852" s="1" t="n">
        <v>45849</v>
      </c>
      <c r="D2852" t="inlineStr">
        <is>
          <t>VÄRMLANDS LÄN</t>
        </is>
      </c>
      <c r="E2852" t="inlineStr">
        <is>
          <t>TORSBY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48540-2024</t>
        </is>
      </c>
      <c r="B2853" s="1" t="n">
        <v>45593</v>
      </c>
      <c r="C2853" s="1" t="n">
        <v>45849</v>
      </c>
      <c r="D2853" t="inlineStr">
        <is>
          <t>VÄRMLANDS LÄN</t>
        </is>
      </c>
      <c r="E2853" t="inlineStr">
        <is>
          <t>TORSBY</t>
        </is>
      </c>
      <c r="G2853" t="n">
        <v>16.5</v>
      </c>
      <c r="H2853" t="n">
        <v>0</v>
      </c>
      <c r="I2853" t="n">
        <v>0</v>
      </c>
      <c r="J2853" t="n">
        <v>0</v>
      </c>
      <c r="K2853" t="n">
        <v>0</v>
      </c>
      <c r="L2853" t="n">
        <v>0</v>
      </c>
      <c r="M2853" t="n">
        <v>0</v>
      </c>
      <c r="N2853" t="n">
        <v>0</v>
      </c>
      <c r="O2853" t="n">
        <v>0</v>
      </c>
      <c r="P2853" t="n">
        <v>0</v>
      </c>
      <c r="Q2853" t="n">
        <v>0</v>
      </c>
      <c r="R2853" s="2" t="inlineStr"/>
    </row>
    <row r="2854" ht="15" customHeight="1">
      <c r="A2854" t="inlineStr">
        <is>
          <t>A 48721-2024</t>
        </is>
      </c>
      <c r="B2854" s="1" t="n">
        <v>45593</v>
      </c>
      <c r="C2854" s="1" t="n">
        <v>45849</v>
      </c>
      <c r="D2854" t="inlineStr">
        <is>
          <t>VÄRMLANDS LÄN</t>
        </is>
      </c>
      <c r="E2854" t="inlineStr">
        <is>
          <t>TORSBY</t>
        </is>
      </c>
      <c r="F2854" t="inlineStr">
        <is>
          <t>Bergvik skog väst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48840-2024</t>
        </is>
      </c>
      <c r="B2855" s="1" t="n">
        <v>45593</v>
      </c>
      <c r="C2855" s="1" t="n">
        <v>45849</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48627-2024</t>
        </is>
      </c>
      <c r="B2856" s="1" t="n">
        <v>45593</v>
      </c>
      <c r="C2856" s="1" t="n">
        <v>45849</v>
      </c>
      <c r="D2856" t="inlineStr">
        <is>
          <t>VÄRMLANDS LÄN</t>
        </is>
      </c>
      <c r="E2856" t="inlineStr">
        <is>
          <t>TORSBY</t>
        </is>
      </c>
      <c r="F2856" t="inlineStr">
        <is>
          <t>Bergvik skog väst AB</t>
        </is>
      </c>
      <c r="G2856" t="n">
        <v>42.6</v>
      </c>
      <c r="H2856" t="n">
        <v>0</v>
      </c>
      <c r="I2856" t="n">
        <v>0</v>
      </c>
      <c r="J2856" t="n">
        <v>0</v>
      </c>
      <c r="K2856" t="n">
        <v>0</v>
      </c>
      <c r="L2856" t="n">
        <v>0</v>
      </c>
      <c r="M2856" t="n">
        <v>0</v>
      </c>
      <c r="N2856" t="n">
        <v>0</v>
      </c>
      <c r="O2856" t="n">
        <v>0</v>
      </c>
      <c r="P2856" t="n">
        <v>0</v>
      </c>
      <c r="Q2856" t="n">
        <v>0</v>
      </c>
      <c r="R2856" s="2" t="inlineStr"/>
    </row>
    <row r="2857" ht="15" customHeight="1">
      <c r="A2857" t="inlineStr">
        <is>
          <t>A 48558-2024</t>
        </is>
      </c>
      <c r="B2857" s="1" t="n">
        <v>45593</v>
      </c>
      <c r="C2857" s="1" t="n">
        <v>45849</v>
      </c>
      <c r="D2857" t="inlineStr">
        <is>
          <t>VÄRMLANDS LÄN</t>
        </is>
      </c>
      <c r="E2857" t="inlineStr">
        <is>
          <t>TORSBY</t>
        </is>
      </c>
      <c r="F2857" t="inlineStr">
        <is>
          <t>Bergvik skog väst AB</t>
        </is>
      </c>
      <c r="G2857" t="n">
        <v>14.2</v>
      </c>
      <c r="H2857" t="n">
        <v>0</v>
      </c>
      <c r="I2857" t="n">
        <v>0</v>
      </c>
      <c r="J2857" t="n">
        <v>0</v>
      </c>
      <c r="K2857" t="n">
        <v>0</v>
      </c>
      <c r="L2857" t="n">
        <v>0</v>
      </c>
      <c r="M2857" t="n">
        <v>0</v>
      </c>
      <c r="N2857" t="n">
        <v>0</v>
      </c>
      <c r="O2857" t="n">
        <v>0</v>
      </c>
      <c r="P2857" t="n">
        <v>0</v>
      </c>
      <c r="Q2857" t="n">
        <v>0</v>
      </c>
      <c r="R2857" s="2" t="inlineStr"/>
    </row>
    <row r="2858" ht="15" customHeight="1">
      <c r="A2858" t="inlineStr">
        <is>
          <t>A 48874-2024</t>
        </is>
      </c>
      <c r="B2858" s="1" t="n">
        <v>45594</v>
      </c>
      <c r="C2858" s="1" t="n">
        <v>45849</v>
      </c>
      <c r="D2858" t="inlineStr">
        <is>
          <t>VÄRMLANDS LÄN</t>
        </is>
      </c>
      <c r="E2858" t="inlineStr">
        <is>
          <t>TORSBY</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48963-2024</t>
        </is>
      </c>
      <c r="B2859" s="1" t="n">
        <v>45594</v>
      </c>
      <c r="C2859" s="1" t="n">
        <v>45849</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48903-2024</t>
        </is>
      </c>
      <c r="B2860" s="1" t="n">
        <v>45594</v>
      </c>
      <c r="C2860" s="1" t="n">
        <v>45849</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49163-2024</t>
        </is>
      </c>
      <c r="B2861" s="1" t="n">
        <v>45594</v>
      </c>
      <c r="C2861" s="1" t="n">
        <v>45849</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49195-2024</t>
        </is>
      </c>
      <c r="B2862" s="1" t="n">
        <v>45595</v>
      </c>
      <c r="C2862" s="1" t="n">
        <v>45849</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49383-2024</t>
        </is>
      </c>
      <c r="B2863" s="1" t="n">
        <v>45595</v>
      </c>
      <c r="C2863" s="1" t="n">
        <v>45849</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49298-2024</t>
        </is>
      </c>
      <c r="B2864" s="1" t="n">
        <v>45595</v>
      </c>
      <c r="C2864" s="1" t="n">
        <v>45849</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49524-2024</t>
        </is>
      </c>
      <c r="B2865" s="1" t="n">
        <v>45596</v>
      </c>
      <c r="C2865" s="1" t="n">
        <v>45849</v>
      </c>
      <c r="D2865" t="inlineStr">
        <is>
          <t>VÄRMLANDS LÄN</t>
        </is>
      </c>
      <c r="E2865" t="inlineStr">
        <is>
          <t>TORSBY</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49912-2024</t>
        </is>
      </c>
      <c r="B2866" s="1" t="n">
        <v>45597</v>
      </c>
      <c r="C2866" s="1" t="n">
        <v>45849</v>
      </c>
      <c r="D2866" t="inlineStr">
        <is>
          <t>VÄRMLANDS LÄN</t>
        </is>
      </c>
      <c r="E2866" t="inlineStr">
        <is>
          <t>TORSBY</t>
        </is>
      </c>
      <c r="F2866" t="inlineStr">
        <is>
          <t>Bergvik skog väst AB</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49845-2024</t>
        </is>
      </c>
      <c r="B2867" s="1" t="n">
        <v>45597</v>
      </c>
      <c r="C2867" s="1" t="n">
        <v>45849</v>
      </c>
      <c r="D2867" t="inlineStr">
        <is>
          <t>VÄRMLANDS LÄN</t>
        </is>
      </c>
      <c r="E2867" t="inlineStr">
        <is>
          <t>TORSBY</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49936-2024</t>
        </is>
      </c>
      <c r="B2868" s="1" t="n">
        <v>45597</v>
      </c>
      <c r="C2868" s="1" t="n">
        <v>45849</v>
      </c>
      <c r="D2868" t="inlineStr">
        <is>
          <t>VÄRMLANDS LÄN</t>
        </is>
      </c>
      <c r="E2868" t="inlineStr">
        <is>
          <t>TORSBY</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49840-2024</t>
        </is>
      </c>
      <c r="B2869" s="1" t="n">
        <v>45597</v>
      </c>
      <c r="C2869" s="1" t="n">
        <v>45849</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50147-2024</t>
        </is>
      </c>
      <c r="B2870" s="1" t="n">
        <v>45600</v>
      </c>
      <c r="C2870" s="1" t="n">
        <v>45849</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50235-2024</t>
        </is>
      </c>
      <c r="B2871" s="1" t="n">
        <v>45600</v>
      </c>
      <c r="C2871" s="1" t="n">
        <v>45849</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50568-2024</t>
        </is>
      </c>
      <c r="B2872" s="1" t="n">
        <v>45601</v>
      </c>
      <c r="C2872" s="1" t="n">
        <v>45849</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50386-2024</t>
        </is>
      </c>
      <c r="B2873" s="1" t="n">
        <v>45601</v>
      </c>
      <c r="C2873" s="1" t="n">
        <v>45849</v>
      </c>
      <c r="D2873" t="inlineStr">
        <is>
          <t>VÄRMLANDS LÄN</t>
        </is>
      </c>
      <c r="E2873" t="inlineStr">
        <is>
          <t>TORSBY</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50373-2024</t>
        </is>
      </c>
      <c r="B2874" s="1" t="n">
        <v>45601</v>
      </c>
      <c r="C2874" s="1" t="n">
        <v>45849</v>
      </c>
      <c r="D2874" t="inlineStr">
        <is>
          <t>VÄRMLANDS LÄN</t>
        </is>
      </c>
      <c r="E2874" t="inlineStr">
        <is>
          <t>TORSBY</t>
        </is>
      </c>
      <c r="F2874" t="inlineStr">
        <is>
          <t>Övriga Aktiebolag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50372-2024</t>
        </is>
      </c>
      <c r="B2875" s="1" t="n">
        <v>45601</v>
      </c>
      <c r="C2875" s="1" t="n">
        <v>45849</v>
      </c>
      <c r="D2875" t="inlineStr">
        <is>
          <t>VÄRMLANDS LÄN</t>
        </is>
      </c>
      <c r="E2875" t="inlineStr">
        <is>
          <t>TORSBY</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50376-2024</t>
        </is>
      </c>
      <c r="B2876" s="1" t="n">
        <v>45601</v>
      </c>
      <c r="C2876" s="1" t="n">
        <v>45849</v>
      </c>
      <c r="D2876" t="inlineStr">
        <is>
          <t>VÄRMLANDS LÄN</t>
        </is>
      </c>
      <c r="E2876" t="inlineStr">
        <is>
          <t>TORSBY</t>
        </is>
      </c>
      <c r="F2876" t="inlineStr">
        <is>
          <t>Övriga Aktiebolag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50380-2024</t>
        </is>
      </c>
      <c r="B2877" s="1" t="n">
        <v>45601</v>
      </c>
      <c r="C2877" s="1" t="n">
        <v>45849</v>
      </c>
      <c r="D2877" t="inlineStr">
        <is>
          <t>VÄRMLANDS LÄN</t>
        </is>
      </c>
      <c r="E2877" t="inlineStr">
        <is>
          <t>TORSBY</t>
        </is>
      </c>
      <c r="F2877" t="inlineStr">
        <is>
          <t>Bergvik skog väst AB</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50494-2024</t>
        </is>
      </c>
      <c r="B2878" s="1" t="n">
        <v>45601</v>
      </c>
      <c r="C2878" s="1" t="n">
        <v>45849</v>
      </c>
      <c r="D2878" t="inlineStr">
        <is>
          <t>VÄRMLANDS LÄN</t>
        </is>
      </c>
      <c r="E2878" t="inlineStr">
        <is>
          <t>TORSBY</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50832-2024</t>
        </is>
      </c>
      <c r="B2879" s="1" t="n">
        <v>45602</v>
      </c>
      <c r="C2879" s="1" t="n">
        <v>45849</v>
      </c>
      <c r="D2879" t="inlineStr">
        <is>
          <t>VÄRMLANDS LÄN</t>
        </is>
      </c>
      <c r="E2879" t="inlineStr">
        <is>
          <t>TORSBY</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51271-2024</t>
        </is>
      </c>
      <c r="B2880" s="1" t="n">
        <v>45603</v>
      </c>
      <c r="C2880" s="1" t="n">
        <v>45849</v>
      </c>
      <c r="D2880" t="inlineStr">
        <is>
          <t>VÄRMLANDS LÄN</t>
        </is>
      </c>
      <c r="E2880" t="inlineStr">
        <is>
          <t>TORSBY</t>
        </is>
      </c>
      <c r="F2880" t="inlineStr">
        <is>
          <t>Bergvik skog väst AB</t>
        </is>
      </c>
      <c r="G2880" t="n">
        <v>22.5</v>
      </c>
      <c r="H2880" t="n">
        <v>0</v>
      </c>
      <c r="I2880" t="n">
        <v>0</v>
      </c>
      <c r="J2880" t="n">
        <v>0</v>
      </c>
      <c r="K2880" t="n">
        <v>0</v>
      </c>
      <c r="L2880" t="n">
        <v>0</v>
      </c>
      <c r="M2880" t="n">
        <v>0</v>
      </c>
      <c r="N2880" t="n">
        <v>0</v>
      </c>
      <c r="O2880" t="n">
        <v>0</v>
      </c>
      <c r="P2880" t="n">
        <v>0</v>
      </c>
      <c r="Q2880" t="n">
        <v>0</v>
      </c>
      <c r="R2880" s="2" t="inlineStr"/>
    </row>
    <row r="2881" ht="15" customHeight="1">
      <c r="A2881" t="inlineStr">
        <is>
          <t>A 51369-2024</t>
        </is>
      </c>
      <c r="B2881" s="1" t="n">
        <v>45604</v>
      </c>
      <c r="C2881" s="1" t="n">
        <v>45849</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51469-2024</t>
        </is>
      </c>
      <c r="B2882" s="1" t="n">
        <v>45604</v>
      </c>
      <c r="C2882" s="1" t="n">
        <v>45849</v>
      </c>
      <c r="D2882" t="inlineStr">
        <is>
          <t>VÄRMLANDS LÄN</t>
        </is>
      </c>
      <c r="E2882" t="inlineStr">
        <is>
          <t>TORSBY</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51661-2024</t>
        </is>
      </c>
      <c r="B2883" s="1" t="n">
        <v>45606</v>
      </c>
      <c r="C2883" s="1" t="n">
        <v>45849</v>
      </c>
      <c r="D2883" t="inlineStr">
        <is>
          <t>VÄRMLANDS LÄN</t>
        </is>
      </c>
      <c r="E2883" t="inlineStr">
        <is>
          <t>TORSBY</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51662-2024</t>
        </is>
      </c>
      <c r="B2884" s="1" t="n">
        <v>45606</v>
      </c>
      <c r="C2884" s="1" t="n">
        <v>45849</v>
      </c>
      <c r="D2884" t="inlineStr">
        <is>
          <t>VÄRMLANDS LÄN</t>
        </is>
      </c>
      <c r="E2884" t="inlineStr">
        <is>
          <t>TORSBY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51663-2024</t>
        </is>
      </c>
      <c r="B2885" s="1" t="n">
        <v>45606</v>
      </c>
      <c r="C2885" s="1" t="n">
        <v>45849</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51660-2024</t>
        </is>
      </c>
      <c r="B2886" s="1" t="n">
        <v>45606</v>
      </c>
      <c r="C2886" s="1" t="n">
        <v>45849</v>
      </c>
      <c r="D2886" t="inlineStr">
        <is>
          <t>VÄRMLANDS LÄN</t>
        </is>
      </c>
      <c r="E2886" t="inlineStr">
        <is>
          <t>TORSBY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51987-2024</t>
        </is>
      </c>
      <c r="B2887" s="1" t="n">
        <v>45607</v>
      </c>
      <c r="C2887" s="1" t="n">
        <v>45849</v>
      </c>
      <c r="D2887" t="inlineStr">
        <is>
          <t>VÄRMLANDS LÄN</t>
        </is>
      </c>
      <c r="E2887" t="inlineStr">
        <is>
          <t>TORSBY</t>
        </is>
      </c>
      <c r="G2887" t="n">
        <v>17.7</v>
      </c>
      <c r="H2887" t="n">
        <v>0</v>
      </c>
      <c r="I2887" t="n">
        <v>0</v>
      </c>
      <c r="J2887" t="n">
        <v>0</v>
      </c>
      <c r="K2887" t="n">
        <v>0</v>
      </c>
      <c r="L2887" t="n">
        <v>0</v>
      </c>
      <c r="M2887" t="n">
        <v>0</v>
      </c>
      <c r="N2887" t="n">
        <v>0</v>
      </c>
      <c r="O2887" t="n">
        <v>0</v>
      </c>
      <c r="P2887" t="n">
        <v>0</v>
      </c>
      <c r="Q2887" t="n">
        <v>0</v>
      </c>
      <c r="R2887" s="2" t="inlineStr"/>
    </row>
    <row r="2888" ht="15" customHeight="1">
      <c r="A2888" t="inlineStr">
        <is>
          <t>A 51836-2024</t>
        </is>
      </c>
      <c r="B2888" s="1" t="n">
        <v>45607</v>
      </c>
      <c r="C2888" s="1" t="n">
        <v>45849</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51823-2024</t>
        </is>
      </c>
      <c r="B2889" s="1" t="n">
        <v>45607</v>
      </c>
      <c r="C2889" s="1" t="n">
        <v>45849</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51785-2024</t>
        </is>
      </c>
      <c r="B2890" s="1" t="n">
        <v>45607</v>
      </c>
      <c r="C2890" s="1" t="n">
        <v>45849</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52223-2024</t>
        </is>
      </c>
      <c r="B2891" s="1" t="n">
        <v>45608</v>
      </c>
      <c r="C2891" s="1" t="n">
        <v>45849</v>
      </c>
      <c r="D2891" t="inlineStr">
        <is>
          <t>VÄRMLANDS LÄN</t>
        </is>
      </c>
      <c r="E2891" t="inlineStr">
        <is>
          <t>TORSBY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52239-2024</t>
        </is>
      </c>
      <c r="B2892" s="1" t="n">
        <v>45608</v>
      </c>
      <c r="C2892" s="1" t="n">
        <v>45849</v>
      </c>
      <c r="D2892" t="inlineStr">
        <is>
          <t>VÄRMLANDS LÄN</t>
        </is>
      </c>
      <c r="E2892" t="inlineStr">
        <is>
          <t>TORSBY</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52257-2024</t>
        </is>
      </c>
      <c r="B2893" s="1" t="n">
        <v>45608</v>
      </c>
      <c r="C2893" s="1" t="n">
        <v>45849</v>
      </c>
      <c r="D2893" t="inlineStr">
        <is>
          <t>VÄRMLANDS LÄN</t>
        </is>
      </c>
      <c r="E2893" t="inlineStr">
        <is>
          <t>TORSBY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52314-2024</t>
        </is>
      </c>
      <c r="B2894" s="1" t="n">
        <v>45608</v>
      </c>
      <c r="C2894" s="1" t="n">
        <v>45849</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52062-2024</t>
        </is>
      </c>
      <c r="B2895" s="1" t="n">
        <v>45608</v>
      </c>
      <c r="C2895" s="1" t="n">
        <v>45849</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52262-2024</t>
        </is>
      </c>
      <c r="B2896" s="1" t="n">
        <v>45608</v>
      </c>
      <c r="C2896" s="1" t="n">
        <v>45849</v>
      </c>
      <c r="D2896" t="inlineStr">
        <is>
          <t>VÄRMLANDS LÄN</t>
        </is>
      </c>
      <c r="E2896" t="inlineStr">
        <is>
          <t>TORSBY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52051-2024</t>
        </is>
      </c>
      <c r="B2897" s="1" t="n">
        <v>45608</v>
      </c>
      <c r="C2897" s="1" t="n">
        <v>45849</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52057-2024</t>
        </is>
      </c>
      <c r="B2898" s="1" t="n">
        <v>45608</v>
      </c>
      <c r="C2898" s="1" t="n">
        <v>45849</v>
      </c>
      <c r="D2898" t="inlineStr">
        <is>
          <t>VÄRMLANDS LÄN</t>
        </is>
      </c>
      <c r="E2898" t="inlineStr">
        <is>
          <t>TORSBY</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52334-2024</t>
        </is>
      </c>
      <c r="B2899" s="1" t="n">
        <v>45609</v>
      </c>
      <c r="C2899" s="1" t="n">
        <v>45849</v>
      </c>
      <c r="D2899" t="inlineStr">
        <is>
          <t>VÄRMLANDS LÄN</t>
        </is>
      </c>
      <c r="E2899" t="inlineStr">
        <is>
          <t>TORSBY</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52386-2024</t>
        </is>
      </c>
      <c r="B2900" s="1" t="n">
        <v>45609</v>
      </c>
      <c r="C2900" s="1" t="n">
        <v>45849</v>
      </c>
      <c r="D2900" t="inlineStr">
        <is>
          <t>VÄRMLANDS LÄN</t>
        </is>
      </c>
      <c r="E2900" t="inlineStr">
        <is>
          <t>TORSBY</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52595-2024</t>
        </is>
      </c>
      <c r="B2901" s="1" t="n">
        <v>45609</v>
      </c>
      <c r="C2901" s="1" t="n">
        <v>45849</v>
      </c>
      <c r="D2901" t="inlineStr">
        <is>
          <t>VÄRMLANDS LÄN</t>
        </is>
      </c>
      <c r="E2901" t="inlineStr">
        <is>
          <t>TORSBY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52592-2024</t>
        </is>
      </c>
      <c r="B2902" s="1" t="n">
        <v>45609</v>
      </c>
      <c r="C2902" s="1" t="n">
        <v>45849</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52581-2024</t>
        </is>
      </c>
      <c r="B2903" s="1" t="n">
        <v>45609</v>
      </c>
      <c r="C2903" s="1" t="n">
        <v>45849</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52669-2024</t>
        </is>
      </c>
      <c r="B2904" s="1" t="n">
        <v>45610</v>
      </c>
      <c r="C2904" s="1" t="n">
        <v>45849</v>
      </c>
      <c r="D2904" t="inlineStr">
        <is>
          <t>VÄRMLANDS LÄN</t>
        </is>
      </c>
      <c r="E2904" t="inlineStr">
        <is>
          <t>TORSBY</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52676-2024</t>
        </is>
      </c>
      <c r="B2905" s="1" t="n">
        <v>45610</v>
      </c>
      <c r="C2905" s="1" t="n">
        <v>45849</v>
      </c>
      <c r="D2905" t="inlineStr">
        <is>
          <t>VÄRMLANDS LÄN</t>
        </is>
      </c>
      <c r="E2905" t="inlineStr">
        <is>
          <t>TORSBY</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52689-2024</t>
        </is>
      </c>
      <c r="B2906" s="1" t="n">
        <v>45610</v>
      </c>
      <c r="C2906" s="1" t="n">
        <v>45849</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52801-2024</t>
        </is>
      </c>
      <c r="B2907" s="1" t="n">
        <v>45610</v>
      </c>
      <c r="C2907" s="1" t="n">
        <v>45849</v>
      </c>
      <c r="D2907" t="inlineStr">
        <is>
          <t>VÄRMLANDS LÄN</t>
        </is>
      </c>
      <c r="E2907" t="inlineStr">
        <is>
          <t>TORSBY</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52809-2024</t>
        </is>
      </c>
      <c r="B2908" s="1" t="n">
        <v>45610</v>
      </c>
      <c r="C2908" s="1" t="n">
        <v>45849</v>
      </c>
      <c r="D2908" t="inlineStr">
        <is>
          <t>VÄRMLANDS LÄN</t>
        </is>
      </c>
      <c r="E2908" t="inlineStr">
        <is>
          <t>TORSBY</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52940-2024</t>
        </is>
      </c>
      <c r="B2909" s="1" t="n">
        <v>45610</v>
      </c>
      <c r="C2909" s="1" t="n">
        <v>45849</v>
      </c>
      <c r="D2909" t="inlineStr">
        <is>
          <t>VÄRMLANDS LÄN</t>
        </is>
      </c>
      <c r="E2909" t="inlineStr">
        <is>
          <t>TORSBY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52956-2024</t>
        </is>
      </c>
      <c r="B2910" s="1" t="n">
        <v>45610</v>
      </c>
      <c r="C2910" s="1" t="n">
        <v>45849</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52949-2024</t>
        </is>
      </c>
      <c r="B2911" s="1" t="n">
        <v>45610</v>
      </c>
      <c r="C2911" s="1" t="n">
        <v>45849</v>
      </c>
      <c r="D2911" t="inlineStr">
        <is>
          <t>VÄRMLANDS LÄN</t>
        </is>
      </c>
      <c r="E2911" t="inlineStr">
        <is>
          <t>TORSBY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52957-2024</t>
        </is>
      </c>
      <c r="B2912" s="1" t="n">
        <v>45610</v>
      </c>
      <c r="C2912" s="1" t="n">
        <v>45849</v>
      </c>
      <c r="D2912" t="inlineStr">
        <is>
          <t>VÄRMLANDS LÄN</t>
        </is>
      </c>
      <c r="E2912" t="inlineStr">
        <is>
          <t>TORSBY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52947-2024</t>
        </is>
      </c>
      <c r="B2913" s="1" t="n">
        <v>45610</v>
      </c>
      <c r="C2913" s="1" t="n">
        <v>45849</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52750-2024</t>
        </is>
      </c>
      <c r="B2914" s="1" t="n">
        <v>45610</v>
      </c>
      <c r="C2914" s="1" t="n">
        <v>45849</v>
      </c>
      <c r="D2914" t="inlineStr">
        <is>
          <t>VÄRMLANDS LÄN</t>
        </is>
      </c>
      <c r="E2914" t="inlineStr">
        <is>
          <t>TORSBY</t>
        </is>
      </c>
      <c r="F2914" t="inlineStr">
        <is>
          <t>Kyrkan</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53035-2024</t>
        </is>
      </c>
      <c r="B2915" s="1" t="n">
        <v>45611</v>
      </c>
      <c r="C2915" s="1" t="n">
        <v>45849</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53146-2024</t>
        </is>
      </c>
      <c r="B2916" s="1" t="n">
        <v>45611</v>
      </c>
      <c r="C2916" s="1" t="n">
        <v>45849</v>
      </c>
      <c r="D2916" t="inlineStr">
        <is>
          <t>VÄRMLANDS LÄN</t>
        </is>
      </c>
      <c r="E2916" t="inlineStr">
        <is>
          <t>TORSBY</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53460-2024</t>
        </is>
      </c>
      <c r="B2917" s="1" t="n">
        <v>45611</v>
      </c>
      <c r="C2917" s="1" t="n">
        <v>45849</v>
      </c>
      <c r="D2917" t="inlineStr">
        <is>
          <t>VÄRMLANDS LÄN</t>
        </is>
      </c>
      <c r="E2917" t="inlineStr">
        <is>
          <t>TORSBY</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53044-2024</t>
        </is>
      </c>
      <c r="B2918" s="1" t="n">
        <v>45611</v>
      </c>
      <c r="C2918" s="1" t="n">
        <v>45849</v>
      </c>
      <c r="D2918" t="inlineStr">
        <is>
          <t>VÄRMLANDS LÄN</t>
        </is>
      </c>
      <c r="E2918" t="inlineStr">
        <is>
          <t>TORSBY</t>
        </is>
      </c>
      <c r="F2918" t="inlineStr">
        <is>
          <t>Kyrkan</t>
        </is>
      </c>
      <c r="G2918" t="n">
        <v>25.8</v>
      </c>
      <c r="H2918" t="n">
        <v>0</v>
      </c>
      <c r="I2918" t="n">
        <v>0</v>
      </c>
      <c r="J2918" t="n">
        <v>0</v>
      </c>
      <c r="K2918" t="n">
        <v>0</v>
      </c>
      <c r="L2918" t="n">
        <v>0</v>
      </c>
      <c r="M2918" t="n">
        <v>0</v>
      </c>
      <c r="N2918" t="n">
        <v>0</v>
      </c>
      <c r="O2918" t="n">
        <v>0</v>
      </c>
      <c r="P2918" t="n">
        <v>0</v>
      </c>
      <c r="Q2918" t="n">
        <v>0</v>
      </c>
      <c r="R2918" s="2" t="inlineStr"/>
    </row>
    <row r="2919" ht="15" customHeight="1">
      <c r="A2919" t="inlineStr">
        <is>
          <t>A 53038-2024</t>
        </is>
      </c>
      <c r="B2919" s="1" t="n">
        <v>45611</v>
      </c>
      <c r="C2919" s="1" t="n">
        <v>45849</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53025-2024</t>
        </is>
      </c>
      <c r="B2920" s="1" t="n">
        <v>45611</v>
      </c>
      <c r="C2920" s="1" t="n">
        <v>45849</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53099-2024</t>
        </is>
      </c>
      <c r="B2921" s="1" t="n">
        <v>45611</v>
      </c>
      <c r="C2921" s="1" t="n">
        <v>45849</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53211-2024</t>
        </is>
      </c>
      <c r="B2922" s="1" t="n">
        <v>45612</v>
      </c>
      <c r="C2922" s="1" t="n">
        <v>45849</v>
      </c>
      <c r="D2922" t="inlineStr">
        <is>
          <t>VÄRMLANDS LÄN</t>
        </is>
      </c>
      <c r="E2922" t="inlineStr">
        <is>
          <t>TORSBY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53331-2024</t>
        </is>
      </c>
      <c r="B2923" s="1" t="n">
        <v>45614</v>
      </c>
      <c r="C2923" s="1" t="n">
        <v>45849</v>
      </c>
      <c r="D2923" t="inlineStr">
        <is>
          <t>VÄRMLANDS LÄN</t>
        </is>
      </c>
      <c r="E2923" t="inlineStr">
        <is>
          <t>TORSBY</t>
        </is>
      </c>
      <c r="F2923" t="inlineStr">
        <is>
          <t>Bergvik skog väst AB</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53570-2024</t>
        </is>
      </c>
      <c r="B2924" s="1" t="n">
        <v>45614</v>
      </c>
      <c r="C2924" s="1" t="n">
        <v>45849</v>
      </c>
      <c r="D2924" t="inlineStr">
        <is>
          <t>VÄRMLANDS LÄN</t>
        </is>
      </c>
      <c r="E2924" t="inlineStr">
        <is>
          <t>TORSBY</t>
        </is>
      </c>
      <c r="G2924" t="n">
        <v>15.5</v>
      </c>
      <c r="H2924" t="n">
        <v>0</v>
      </c>
      <c r="I2924" t="n">
        <v>0</v>
      </c>
      <c r="J2924" t="n">
        <v>0</v>
      </c>
      <c r="K2924" t="n">
        <v>0</v>
      </c>
      <c r="L2924" t="n">
        <v>0</v>
      </c>
      <c r="M2924" t="n">
        <v>0</v>
      </c>
      <c r="N2924" t="n">
        <v>0</v>
      </c>
      <c r="O2924" t="n">
        <v>0</v>
      </c>
      <c r="P2924" t="n">
        <v>0</v>
      </c>
      <c r="Q2924" t="n">
        <v>0</v>
      </c>
      <c r="R2924" s="2" t="inlineStr"/>
    </row>
    <row r="2925" ht="15" customHeight="1">
      <c r="A2925" t="inlineStr">
        <is>
          <t>A 53583-2024</t>
        </is>
      </c>
      <c r="B2925" s="1" t="n">
        <v>45614</v>
      </c>
      <c r="C2925" s="1" t="n">
        <v>45849</v>
      </c>
      <c r="D2925" t="inlineStr">
        <is>
          <t>VÄRMLANDS LÄN</t>
        </is>
      </c>
      <c r="E2925" t="inlineStr">
        <is>
          <t>TORSBY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53627-2024</t>
        </is>
      </c>
      <c r="B2926" s="1" t="n">
        <v>45614</v>
      </c>
      <c r="C2926" s="1" t="n">
        <v>45849</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53253-2024</t>
        </is>
      </c>
      <c r="B2927" s="1" t="n">
        <v>45614</v>
      </c>
      <c r="C2927" s="1" t="n">
        <v>45849</v>
      </c>
      <c r="D2927" t="inlineStr">
        <is>
          <t>VÄRMLANDS LÄN</t>
        </is>
      </c>
      <c r="E2927" t="inlineStr">
        <is>
          <t>TORSBY</t>
        </is>
      </c>
      <c r="F2927" t="inlineStr">
        <is>
          <t>Bergvik skog väst AB</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53599-2024</t>
        </is>
      </c>
      <c r="B2928" s="1" t="n">
        <v>45614</v>
      </c>
      <c r="C2928" s="1" t="n">
        <v>45849</v>
      </c>
      <c r="D2928" t="inlineStr">
        <is>
          <t>VÄRMLANDS LÄN</t>
        </is>
      </c>
      <c r="E2928" t="inlineStr">
        <is>
          <t>TORSBY</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53396-2024</t>
        </is>
      </c>
      <c r="B2929" s="1" t="n">
        <v>45614</v>
      </c>
      <c r="C2929" s="1" t="n">
        <v>45849</v>
      </c>
      <c r="D2929" t="inlineStr">
        <is>
          <t>VÄRMLANDS LÄN</t>
        </is>
      </c>
      <c r="E2929" t="inlineStr">
        <is>
          <t>TORSBY</t>
        </is>
      </c>
      <c r="F2929" t="inlineStr">
        <is>
          <t>Bergvik skog väst AB</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53593-2024</t>
        </is>
      </c>
      <c r="B2930" s="1" t="n">
        <v>45614</v>
      </c>
      <c r="C2930" s="1" t="n">
        <v>45849</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53506-2024</t>
        </is>
      </c>
      <c r="B2931" s="1" t="n">
        <v>45614</v>
      </c>
      <c r="C2931" s="1" t="n">
        <v>45849</v>
      </c>
      <c r="D2931" t="inlineStr">
        <is>
          <t>VÄRMLANDS LÄN</t>
        </is>
      </c>
      <c r="E2931" t="inlineStr">
        <is>
          <t>TORSBY</t>
        </is>
      </c>
      <c r="F2931" t="inlineStr">
        <is>
          <t>Bergvik skog väst AB</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53368-2024</t>
        </is>
      </c>
      <c r="B2932" s="1" t="n">
        <v>45614</v>
      </c>
      <c r="C2932" s="1" t="n">
        <v>45849</v>
      </c>
      <c r="D2932" t="inlineStr">
        <is>
          <t>VÄRMLANDS LÄN</t>
        </is>
      </c>
      <c r="E2932" t="inlineStr">
        <is>
          <t>TORSBY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53358-2024</t>
        </is>
      </c>
      <c r="B2933" s="1" t="n">
        <v>45614</v>
      </c>
      <c r="C2933" s="1" t="n">
        <v>45849</v>
      </c>
      <c r="D2933" t="inlineStr">
        <is>
          <t>VÄRMLANDS LÄN</t>
        </is>
      </c>
      <c r="E2933" t="inlineStr">
        <is>
          <t>TORSBY</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53297-2024</t>
        </is>
      </c>
      <c r="B2934" s="1" t="n">
        <v>45614</v>
      </c>
      <c r="C2934" s="1" t="n">
        <v>45849</v>
      </c>
      <c r="D2934" t="inlineStr">
        <is>
          <t>VÄRMLANDS LÄN</t>
        </is>
      </c>
      <c r="E2934" t="inlineStr">
        <is>
          <t>TORSBY</t>
        </is>
      </c>
      <c r="F2934" t="inlineStr">
        <is>
          <t>Bergvik skog väst AB</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53744-2024</t>
        </is>
      </c>
      <c r="B2935" s="1" t="n">
        <v>45615</v>
      </c>
      <c r="C2935" s="1" t="n">
        <v>45849</v>
      </c>
      <c r="D2935" t="inlineStr">
        <is>
          <t>VÄRMLANDS LÄN</t>
        </is>
      </c>
      <c r="E2935" t="inlineStr">
        <is>
          <t>TORSBY</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53748-2024</t>
        </is>
      </c>
      <c r="B2936" s="1" t="n">
        <v>45615</v>
      </c>
      <c r="C2936" s="1" t="n">
        <v>45849</v>
      </c>
      <c r="D2936" t="inlineStr">
        <is>
          <t>VÄRMLANDS LÄN</t>
        </is>
      </c>
      <c r="E2936" t="inlineStr">
        <is>
          <t>TORSBY</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53667-2024</t>
        </is>
      </c>
      <c r="B2937" s="1" t="n">
        <v>45615</v>
      </c>
      <c r="C2937" s="1" t="n">
        <v>45849</v>
      </c>
      <c r="D2937" t="inlineStr">
        <is>
          <t>VÄRMLANDS LÄN</t>
        </is>
      </c>
      <c r="E2937" t="inlineStr">
        <is>
          <t>TORSBY</t>
        </is>
      </c>
      <c r="F2937" t="inlineStr">
        <is>
          <t>Bergvik skog väst AB</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54023-2024</t>
        </is>
      </c>
      <c r="B2938" s="1" t="n">
        <v>45616</v>
      </c>
      <c r="C2938" s="1" t="n">
        <v>45849</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54266-2024</t>
        </is>
      </c>
      <c r="B2939" s="1" t="n">
        <v>45616</v>
      </c>
      <c r="C2939" s="1" t="n">
        <v>45849</v>
      </c>
      <c r="D2939" t="inlineStr">
        <is>
          <t>VÄRMLANDS LÄN</t>
        </is>
      </c>
      <c r="E2939" t="inlineStr">
        <is>
          <t>TORSBY</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54004-2024</t>
        </is>
      </c>
      <c r="B2940" s="1" t="n">
        <v>45616</v>
      </c>
      <c r="C2940" s="1" t="n">
        <v>45849</v>
      </c>
      <c r="D2940" t="inlineStr">
        <is>
          <t>VÄRMLANDS LÄN</t>
        </is>
      </c>
      <c r="E2940" t="inlineStr">
        <is>
          <t>TORSBY</t>
        </is>
      </c>
      <c r="F2940" t="inlineStr">
        <is>
          <t>Kommuner</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54011-2024</t>
        </is>
      </c>
      <c r="B2941" s="1" t="n">
        <v>45616</v>
      </c>
      <c r="C2941" s="1" t="n">
        <v>45849</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54026-2024</t>
        </is>
      </c>
      <c r="B2942" s="1" t="n">
        <v>45616</v>
      </c>
      <c r="C2942" s="1" t="n">
        <v>45849</v>
      </c>
      <c r="D2942" t="inlineStr">
        <is>
          <t>VÄRMLANDS LÄN</t>
        </is>
      </c>
      <c r="E2942" t="inlineStr">
        <is>
          <t>TORSBY</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54265-2024</t>
        </is>
      </c>
      <c r="B2943" s="1" t="n">
        <v>45616</v>
      </c>
      <c r="C2943" s="1" t="n">
        <v>45849</v>
      </c>
      <c r="D2943" t="inlineStr">
        <is>
          <t>VÄRMLANDS LÄN</t>
        </is>
      </c>
      <c r="E2943" t="inlineStr">
        <is>
          <t>TORSBY</t>
        </is>
      </c>
      <c r="F2943" t="inlineStr">
        <is>
          <t>Kommuner</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54006-2024</t>
        </is>
      </c>
      <c r="B2944" s="1" t="n">
        <v>45616</v>
      </c>
      <c r="C2944" s="1" t="n">
        <v>45849</v>
      </c>
      <c r="D2944" t="inlineStr">
        <is>
          <t>VÄRMLANDS LÄN</t>
        </is>
      </c>
      <c r="E2944" t="inlineStr">
        <is>
          <t>TORSBY</t>
        </is>
      </c>
      <c r="F2944" t="inlineStr">
        <is>
          <t>Kommuner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54014-2024</t>
        </is>
      </c>
      <c r="B2945" s="1" t="n">
        <v>45616</v>
      </c>
      <c r="C2945" s="1" t="n">
        <v>45849</v>
      </c>
      <c r="D2945" t="inlineStr">
        <is>
          <t>VÄRMLANDS LÄN</t>
        </is>
      </c>
      <c r="E2945" t="inlineStr">
        <is>
          <t>TORSBY</t>
        </is>
      </c>
      <c r="F2945" t="inlineStr">
        <is>
          <t>Kommuner</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54027-2024</t>
        </is>
      </c>
      <c r="B2946" s="1" t="n">
        <v>45616</v>
      </c>
      <c r="C2946" s="1" t="n">
        <v>45849</v>
      </c>
      <c r="D2946" t="inlineStr">
        <is>
          <t>VÄRMLANDS LÄN</t>
        </is>
      </c>
      <c r="E2946" t="inlineStr">
        <is>
          <t>TORSBY</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54328-2024</t>
        </is>
      </c>
      <c r="B2947" s="1" t="n">
        <v>45617</v>
      </c>
      <c r="C2947" s="1" t="n">
        <v>45849</v>
      </c>
      <c r="D2947" t="inlineStr">
        <is>
          <t>VÄRMLANDS LÄN</t>
        </is>
      </c>
      <c r="E2947" t="inlineStr">
        <is>
          <t>TORSBY</t>
        </is>
      </c>
      <c r="F2947" t="inlineStr">
        <is>
          <t>Bergvik skog väst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54306-2024</t>
        </is>
      </c>
      <c r="B2948" s="1" t="n">
        <v>45617</v>
      </c>
      <c r="C2948" s="1" t="n">
        <v>45849</v>
      </c>
      <c r="D2948" t="inlineStr">
        <is>
          <t>VÄRMLANDS LÄN</t>
        </is>
      </c>
      <c r="E2948" t="inlineStr">
        <is>
          <t>TORSBY</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54374-2024</t>
        </is>
      </c>
      <c r="B2949" s="1" t="n">
        <v>45617</v>
      </c>
      <c r="C2949" s="1" t="n">
        <v>45849</v>
      </c>
      <c r="D2949" t="inlineStr">
        <is>
          <t>VÄRMLANDS LÄN</t>
        </is>
      </c>
      <c r="E2949" t="inlineStr">
        <is>
          <t>TORSBY</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54618-2024</t>
        </is>
      </c>
      <c r="B2950" s="1" t="n">
        <v>45617</v>
      </c>
      <c r="C2950" s="1" t="n">
        <v>45849</v>
      </c>
      <c r="D2950" t="inlineStr">
        <is>
          <t>VÄRMLANDS LÄN</t>
        </is>
      </c>
      <c r="E2950" t="inlineStr">
        <is>
          <t>TORSBY</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54646-2024</t>
        </is>
      </c>
      <c r="B2951" s="1" t="n">
        <v>45617</v>
      </c>
      <c r="C2951" s="1" t="n">
        <v>45849</v>
      </c>
      <c r="D2951" t="inlineStr">
        <is>
          <t>VÄRMLANDS LÄN</t>
        </is>
      </c>
      <c r="E2951" t="inlineStr">
        <is>
          <t>TORSBY</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54489-2024</t>
        </is>
      </c>
      <c r="B2952" s="1" t="n">
        <v>45617</v>
      </c>
      <c r="C2952" s="1" t="n">
        <v>45849</v>
      </c>
      <c r="D2952" t="inlineStr">
        <is>
          <t>VÄRMLANDS LÄN</t>
        </is>
      </c>
      <c r="E2952" t="inlineStr">
        <is>
          <t>TORSBY</t>
        </is>
      </c>
      <c r="F2952" t="inlineStr">
        <is>
          <t>Bergvik skog väst AB</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54609-2024</t>
        </is>
      </c>
      <c r="B2953" s="1" t="n">
        <v>45617</v>
      </c>
      <c r="C2953" s="1" t="n">
        <v>45849</v>
      </c>
      <c r="D2953" t="inlineStr">
        <is>
          <t>VÄRMLANDS LÄN</t>
        </is>
      </c>
      <c r="E2953" t="inlineStr">
        <is>
          <t>TORSBY</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54891-2024</t>
        </is>
      </c>
      <c r="B2954" s="1" t="n">
        <v>45618</v>
      </c>
      <c r="C2954" s="1" t="n">
        <v>45849</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54796-2024</t>
        </is>
      </c>
      <c r="B2955" s="1" t="n">
        <v>45618</v>
      </c>
      <c r="C2955" s="1" t="n">
        <v>45849</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54813-2024</t>
        </is>
      </c>
      <c r="B2956" s="1" t="n">
        <v>45618</v>
      </c>
      <c r="C2956" s="1" t="n">
        <v>45849</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54790-2024</t>
        </is>
      </c>
      <c r="B2957" s="1" t="n">
        <v>45618</v>
      </c>
      <c r="C2957" s="1" t="n">
        <v>45849</v>
      </c>
      <c r="D2957" t="inlineStr">
        <is>
          <t>VÄRMLANDS LÄN</t>
        </is>
      </c>
      <c r="E2957" t="inlineStr">
        <is>
          <t>TORSBY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54664-2024</t>
        </is>
      </c>
      <c r="B2958" s="1" t="n">
        <v>45618</v>
      </c>
      <c r="C2958" s="1" t="n">
        <v>45849</v>
      </c>
      <c r="D2958" t="inlineStr">
        <is>
          <t>VÄRMLANDS LÄN</t>
        </is>
      </c>
      <c r="E2958" t="inlineStr">
        <is>
          <t>TORSBY</t>
        </is>
      </c>
      <c r="F2958" t="inlineStr">
        <is>
          <t>Bergvik skog väst AB</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55072-2024</t>
        </is>
      </c>
      <c r="B2959" s="1" t="n">
        <v>45621</v>
      </c>
      <c r="C2959" s="1" t="n">
        <v>45849</v>
      </c>
      <c r="D2959" t="inlineStr">
        <is>
          <t>VÄRMLANDS LÄN</t>
        </is>
      </c>
      <c r="E2959" t="inlineStr">
        <is>
          <t>TORSBY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55036-2024</t>
        </is>
      </c>
      <c r="B2960" s="1" t="n">
        <v>45621</v>
      </c>
      <c r="C2960" s="1" t="n">
        <v>45849</v>
      </c>
      <c r="D2960" t="inlineStr">
        <is>
          <t>VÄRMLANDS LÄN</t>
        </is>
      </c>
      <c r="E2960" t="inlineStr">
        <is>
          <t>TORSBY</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55386-2024</t>
        </is>
      </c>
      <c r="B2961" s="1" t="n">
        <v>45622</v>
      </c>
      <c r="C2961" s="1" t="n">
        <v>45849</v>
      </c>
      <c r="D2961" t="inlineStr">
        <is>
          <t>VÄRMLANDS LÄN</t>
        </is>
      </c>
      <c r="E2961" t="inlineStr">
        <is>
          <t>TORSBY</t>
        </is>
      </c>
      <c r="F2961" t="inlineStr">
        <is>
          <t>Bergvik skog väst AB</t>
        </is>
      </c>
      <c r="G2961" t="n">
        <v>20.1</v>
      </c>
      <c r="H2961" t="n">
        <v>0</v>
      </c>
      <c r="I2961" t="n">
        <v>0</v>
      </c>
      <c r="J2961" t="n">
        <v>0</v>
      </c>
      <c r="K2961" t="n">
        <v>0</v>
      </c>
      <c r="L2961" t="n">
        <v>0</v>
      </c>
      <c r="M2961" t="n">
        <v>0</v>
      </c>
      <c r="N2961" t="n">
        <v>0</v>
      </c>
      <c r="O2961" t="n">
        <v>0</v>
      </c>
      <c r="P2961" t="n">
        <v>0</v>
      </c>
      <c r="Q2961" t="n">
        <v>0</v>
      </c>
      <c r="R2961" s="2" t="inlineStr"/>
    </row>
    <row r="2962" ht="15" customHeight="1">
      <c r="A2962" t="inlineStr">
        <is>
          <t>A 55546-2024</t>
        </is>
      </c>
      <c r="B2962" s="1" t="n">
        <v>45622</v>
      </c>
      <c r="C2962" s="1" t="n">
        <v>45849</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55430-2024</t>
        </is>
      </c>
      <c r="B2963" s="1" t="n">
        <v>45622</v>
      </c>
      <c r="C2963" s="1" t="n">
        <v>45849</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55543-2024</t>
        </is>
      </c>
      <c r="B2964" s="1" t="n">
        <v>45622</v>
      </c>
      <c r="C2964" s="1" t="n">
        <v>45849</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55808-2024</t>
        </is>
      </c>
      <c r="B2965" s="1" t="n">
        <v>45622</v>
      </c>
      <c r="C2965" s="1" t="n">
        <v>45849</v>
      </c>
      <c r="D2965" t="inlineStr">
        <is>
          <t>VÄRMLANDS LÄN</t>
        </is>
      </c>
      <c r="E2965" t="inlineStr">
        <is>
          <t>TORSBY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55750-2024</t>
        </is>
      </c>
      <c r="B2966" s="1" t="n">
        <v>45623</v>
      </c>
      <c r="C2966" s="1" t="n">
        <v>45849</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55814-2024</t>
        </is>
      </c>
      <c r="B2967" s="1" t="n">
        <v>45623</v>
      </c>
      <c r="C2967" s="1" t="n">
        <v>45849</v>
      </c>
      <c r="D2967" t="inlineStr">
        <is>
          <t>VÄRMLANDS LÄN</t>
        </is>
      </c>
      <c r="E2967" t="inlineStr">
        <is>
          <t>TORSBY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55836-2024</t>
        </is>
      </c>
      <c r="B2968" s="1" t="n">
        <v>45623</v>
      </c>
      <c r="C2968" s="1" t="n">
        <v>45849</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55845-2024</t>
        </is>
      </c>
      <c r="B2969" s="1" t="n">
        <v>45623</v>
      </c>
      <c r="C2969" s="1" t="n">
        <v>45849</v>
      </c>
      <c r="D2969" t="inlineStr">
        <is>
          <t>VÄRMLANDS LÄN</t>
        </is>
      </c>
      <c r="E2969" t="inlineStr">
        <is>
          <t>TORSBY</t>
        </is>
      </c>
      <c r="F2969" t="inlineStr">
        <is>
          <t>Kommuner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55837-2024</t>
        </is>
      </c>
      <c r="B2970" s="1" t="n">
        <v>45623</v>
      </c>
      <c r="C2970" s="1" t="n">
        <v>45849</v>
      </c>
      <c r="D2970" t="inlineStr">
        <is>
          <t>VÄRMLANDS LÄN</t>
        </is>
      </c>
      <c r="E2970" t="inlineStr">
        <is>
          <t>TORSBY</t>
        </is>
      </c>
      <c r="F2970" t="inlineStr">
        <is>
          <t>Kommuner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55842-2024</t>
        </is>
      </c>
      <c r="B2971" s="1" t="n">
        <v>45623</v>
      </c>
      <c r="C2971" s="1" t="n">
        <v>45849</v>
      </c>
      <c r="D2971" t="inlineStr">
        <is>
          <t>VÄRMLANDS LÄN</t>
        </is>
      </c>
      <c r="E2971" t="inlineStr">
        <is>
          <t>TORSBY</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55834-2024</t>
        </is>
      </c>
      <c r="B2972" s="1" t="n">
        <v>45623</v>
      </c>
      <c r="C2972" s="1" t="n">
        <v>45849</v>
      </c>
      <c r="D2972" t="inlineStr">
        <is>
          <t>VÄRMLANDS LÄN</t>
        </is>
      </c>
      <c r="E2972" t="inlineStr">
        <is>
          <t>TORSBY</t>
        </is>
      </c>
      <c r="F2972" t="inlineStr">
        <is>
          <t>Kommuner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55839-2024</t>
        </is>
      </c>
      <c r="B2973" s="1" t="n">
        <v>45623</v>
      </c>
      <c r="C2973" s="1" t="n">
        <v>45849</v>
      </c>
      <c r="D2973" t="inlineStr">
        <is>
          <t>VÄRMLANDS LÄN</t>
        </is>
      </c>
      <c r="E2973" t="inlineStr">
        <is>
          <t>TORSBY</t>
        </is>
      </c>
      <c r="F2973" t="inlineStr">
        <is>
          <t>Kommuner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55987-2024</t>
        </is>
      </c>
      <c r="B2974" s="1" t="n">
        <v>45623</v>
      </c>
      <c r="C2974" s="1" t="n">
        <v>45849</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56101-2024</t>
        </is>
      </c>
      <c r="B2975" s="1" t="n">
        <v>45624</v>
      </c>
      <c r="C2975" s="1" t="n">
        <v>45849</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56240-2024</t>
        </is>
      </c>
      <c r="B2976" s="1" t="n">
        <v>45624</v>
      </c>
      <c r="C2976" s="1" t="n">
        <v>45849</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56107-2024</t>
        </is>
      </c>
      <c r="B2977" s="1" t="n">
        <v>45624</v>
      </c>
      <c r="C2977" s="1" t="n">
        <v>45849</v>
      </c>
      <c r="D2977" t="inlineStr">
        <is>
          <t>VÄRMLANDS LÄN</t>
        </is>
      </c>
      <c r="E2977" t="inlineStr">
        <is>
          <t>TORSBY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56056-2024</t>
        </is>
      </c>
      <c r="B2978" s="1" t="n">
        <v>45624</v>
      </c>
      <c r="C2978" s="1" t="n">
        <v>45849</v>
      </c>
      <c r="D2978" t="inlineStr">
        <is>
          <t>VÄRMLANDS LÄN</t>
        </is>
      </c>
      <c r="E2978" t="inlineStr">
        <is>
          <t>TORSBY</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56098-2024</t>
        </is>
      </c>
      <c r="B2979" s="1" t="n">
        <v>45624</v>
      </c>
      <c r="C2979" s="1" t="n">
        <v>45849</v>
      </c>
      <c r="D2979" t="inlineStr">
        <is>
          <t>VÄRMLANDS LÄN</t>
        </is>
      </c>
      <c r="E2979" t="inlineStr">
        <is>
          <t>TORSBY</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56430-2024</t>
        </is>
      </c>
      <c r="B2980" s="1" t="n">
        <v>45625</v>
      </c>
      <c r="C2980" s="1" t="n">
        <v>45849</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56509-2024</t>
        </is>
      </c>
      <c r="B2981" s="1" t="n">
        <v>45625</v>
      </c>
      <c r="C2981" s="1" t="n">
        <v>45849</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56534-2024</t>
        </is>
      </c>
      <c r="B2982" s="1" t="n">
        <v>45625</v>
      </c>
      <c r="C2982" s="1" t="n">
        <v>45849</v>
      </c>
      <c r="D2982" t="inlineStr">
        <is>
          <t>VÄRMLANDS LÄN</t>
        </is>
      </c>
      <c r="E2982" t="inlineStr">
        <is>
          <t>TORSBY</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56635-2024</t>
        </is>
      </c>
      <c r="B2983" s="1" t="n">
        <v>45625</v>
      </c>
      <c r="C2983" s="1" t="n">
        <v>45849</v>
      </c>
      <c r="D2983" t="inlineStr">
        <is>
          <t>VÄRMLANDS LÄN</t>
        </is>
      </c>
      <c r="E2983" t="inlineStr">
        <is>
          <t>TORSBY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56571-2024</t>
        </is>
      </c>
      <c r="B2984" s="1" t="n">
        <v>45625</v>
      </c>
      <c r="C2984" s="1" t="n">
        <v>45849</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56611-2024</t>
        </is>
      </c>
      <c r="B2985" s="1" t="n">
        <v>45625</v>
      </c>
      <c r="C2985" s="1" t="n">
        <v>45849</v>
      </c>
      <c r="D2985" t="inlineStr">
        <is>
          <t>VÄRMLANDS LÄN</t>
        </is>
      </c>
      <c r="E2985" t="inlineStr">
        <is>
          <t>TORSBY</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56630-2024</t>
        </is>
      </c>
      <c r="B2986" s="1" t="n">
        <v>45625</v>
      </c>
      <c r="C2986" s="1" t="n">
        <v>45849</v>
      </c>
      <c r="D2986" t="inlineStr">
        <is>
          <t>VÄRMLANDS LÄN</t>
        </is>
      </c>
      <c r="E2986" t="inlineStr">
        <is>
          <t>TORSBY</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56634-2024</t>
        </is>
      </c>
      <c r="B2987" s="1" t="n">
        <v>45625</v>
      </c>
      <c r="C2987" s="1" t="n">
        <v>45849</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56808-2024</t>
        </is>
      </c>
      <c r="B2988" s="1" t="n">
        <v>45628</v>
      </c>
      <c r="C2988" s="1" t="n">
        <v>45849</v>
      </c>
      <c r="D2988" t="inlineStr">
        <is>
          <t>VÄRMLANDS LÄN</t>
        </is>
      </c>
      <c r="E2988" t="inlineStr">
        <is>
          <t>TORSBY</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57329-2024</t>
        </is>
      </c>
      <c r="B2989" s="1" t="n">
        <v>45629</v>
      </c>
      <c r="C2989" s="1" t="n">
        <v>45849</v>
      </c>
      <c r="D2989" t="inlineStr">
        <is>
          <t>VÄRMLANDS LÄN</t>
        </is>
      </c>
      <c r="E2989" t="inlineStr">
        <is>
          <t>TORSBY</t>
        </is>
      </c>
      <c r="F2989" t="inlineStr">
        <is>
          <t>Kyrkan</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57469-2024</t>
        </is>
      </c>
      <c r="B2990" s="1" t="n">
        <v>45630</v>
      </c>
      <c r="C2990" s="1" t="n">
        <v>45849</v>
      </c>
      <c r="D2990" t="inlineStr">
        <is>
          <t>VÄRMLANDS LÄN</t>
        </is>
      </c>
      <c r="E2990" t="inlineStr">
        <is>
          <t>TORSBY</t>
        </is>
      </c>
      <c r="F2990" t="inlineStr">
        <is>
          <t>Bergvik skog väst AB</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57481-2024</t>
        </is>
      </c>
      <c r="B2991" s="1" t="n">
        <v>45630</v>
      </c>
      <c r="C2991" s="1" t="n">
        <v>45849</v>
      </c>
      <c r="D2991" t="inlineStr">
        <is>
          <t>VÄRMLANDS LÄN</t>
        </is>
      </c>
      <c r="E2991" t="inlineStr">
        <is>
          <t>TORSBY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57502-2024</t>
        </is>
      </c>
      <c r="B2992" s="1" t="n">
        <v>45630</v>
      </c>
      <c r="C2992" s="1" t="n">
        <v>45849</v>
      </c>
      <c r="D2992" t="inlineStr">
        <is>
          <t>VÄRMLANDS LÄN</t>
        </is>
      </c>
      <c r="E2992" t="inlineStr">
        <is>
          <t>TORSBY</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57532-2024</t>
        </is>
      </c>
      <c r="B2993" s="1" t="n">
        <v>45630</v>
      </c>
      <c r="C2993" s="1" t="n">
        <v>45849</v>
      </c>
      <c r="D2993" t="inlineStr">
        <is>
          <t>VÄRMLANDS LÄN</t>
        </is>
      </c>
      <c r="E2993" t="inlineStr">
        <is>
          <t>TORSBY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57536-2024</t>
        </is>
      </c>
      <c r="B2994" s="1" t="n">
        <v>45630</v>
      </c>
      <c r="C2994" s="1" t="n">
        <v>45849</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57722-2024</t>
        </is>
      </c>
      <c r="B2995" s="1" t="n">
        <v>45630</v>
      </c>
      <c r="C2995" s="1" t="n">
        <v>45849</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57662-2024</t>
        </is>
      </c>
      <c r="B2996" s="1" t="n">
        <v>45630</v>
      </c>
      <c r="C2996" s="1" t="n">
        <v>45849</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57709-2024</t>
        </is>
      </c>
      <c r="B2997" s="1" t="n">
        <v>45630</v>
      </c>
      <c r="C2997" s="1" t="n">
        <v>45849</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57725-2024</t>
        </is>
      </c>
      <c r="B2998" s="1" t="n">
        <v>45630</v>
      </c>
      <c r="C2998" s="1" t="n">
        <v>45849</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57545-2024</t>
        </is>
      </c>
      <c r="B2999" s="1" t="n">
        <v>45630</v>
      </c>
      <c r="C2999" s="1" t="n">
        <v>45849</v>
      </c>
      <c r="D2999" t="inlineStr">
        <is>
          <t>VÄRMLANDS LÄN</t>
        </is>
      </c>
      <c r="E2999" t="inlineStr">
        <is>
          <t>TORSBY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57723-2024</t>
        </is>
      </c>
      <c r="B3000" s="1" t="n">
        <v>45630</v>
      </c>
      <c r="C3000" s="1" t="n">
        <v>45849</v>
      </c>
      <c r="D3000" t="inlineStr">
        <is>
          <t>VÄRMLANDS LÄN</t>
        </is>
      </c>
      <c r="E3000" t="inlineStr">
        <is>
          <t>TORSBY</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57774-2024</t>
        </is>
      </c>
      <c r="B3001" s="1" t="n">
        <v>45630</v>
      </c>
      <c r="C3001" s="1" t="n">
        <v>45849</v>
      </c>
      <c r="D3001" t="inlineStr">
        <is>
          <t>VÄRMLANDS LÄN</t>
        </is>
      </c>
      <c r="E3001" t="inlineStr">
        <is>
          <t>TORSBY</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57785-2024</t>
        </is>
      </c>
      <c r="B3002" s="1" t="n">
        <v>45631</v>
      </c>
      <c r="C3002" s="1" t="n">
        <v>45849</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57809-2024</t>
        </is>
      </c>
      <c r="B3003" s="1" t="n">
        <v>45631</v>
      </c>
      <c r="C3003" s="1" t="n">
        <v>45849</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58033-2024</t>
        </is>
      </c>
      <c r="B3004" s="1" t="n">
        <v>45631</v>
      </c>
      <c r="C3004" s="1" t="n">
        <v>45849</v>
      </c>
      <c r="D3004" t="inlineStr">
        <is>
          <t>VÄRMLANDS LÄN</t>
        </is>
      </c>
      <c r="E3004" t="inlineStr">
        <is>
          <t>TORSBY</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58023-2024</t>
        </is>
      </c>
      <c r="B3005" s="1" t="n">
        <v>45631</v>
      </c>
      <c r="C3005" s="1" t="n">
        <v>45849</v>
      </c>
      <c r="D3005" t="inlineStr">
        <is>
          <t>VÄRMLANDS LÄN</t>
        </is>
      </c>
      <c r="E3005" t="inlineStr">
        <is>
          <t>TORSBY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58051-2024</t>
        </is>
      </c>
      <c r="B3006" s="1" t="n">
        <v>45631</v>
      </c>
      <c r="C3006" s="1" t="n">
        <v>45849</v>
      </c>
      <c r="D3006" t="inlineStr">
        <is>
          <t>VÄRMLANDS LÄN</t>
        </is>
      </c>
      <c r="E3006" t="inlineStr">
        <is>
          <t>TORSBY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58134-2024</t>
        </is>
      </c>
      <c r="B3007" s="1" t="n">
        <v>45632</v>
      </c>
      <c r="C3007" s="1" t="n">
        <v>45849</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58304-2024</t>
        </is>
      </c>
      <c r="B3008" s="1" t="n">
        <v>45632</v>
      </c>
      <c r="C3008" s="1" t="n">
        <v>45849</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58255-2024</t>
        </is>
      </c>
      <c r="B3009" s="1" t="n">
        <v>45632</v>
      </c>
      <c r="C3009" s="1" t="n">
        <v>45849</v>
      </c>
      <c r="D3009" t="inlineStr">
        <is>
          <t>VÄRMLANDS LÄN</t>
        </is>
      </c>
      <c r="E3009" t="inlineStr">
        <is>
          <t>TORSBY</t>
        </is>
      </c>
      <c r="F3009" t="inlineStr">
        <is>
          <t>Bergvik skog väst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58259-2024</t>
        </is>
      </c>
      <c r="B3010" s="1" t="n">
        <v>45632</v>
      </c>
      <c r="C3010" s="1" t="n">
        <v>45849</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58288-2024</t>
        </is>
      </c>
      <c r="B3011" s="1" t="n">
        <v>45632</v>
      </c>
      <c r="C3011" s="1" t="n">
        <v>45849</v>
      </c>
      <c r="D3011" t="inlineStr">
        <is>
          <t>VÄRMLANDS LÄN</t>
        </is>
      </c>
      <c r="E3011" t="inlineStr">
        <is>
          <t>TORSBY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58707-2024</t>
        </is>
      </c>
      <c r="B3012" s="1" t="n">
        <v>45635</v>
      </c>
      <c r="C3012" s="1" t="n">
        <v>45849</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58786-2024</t>
        </is>
      </c>
      <c r="B3013" s="1" t="n">
        <v>45635</v>
      </c>
      <c r="C3013" s="1" t="n">
        <v>45849</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58976-2024</t>
        </is>
      </c>
      <c r="B3014" s="1" t="n">
        <v>45636</v>
      </c>
      <c r="C3014" s="1" t="n">
        <v>45849</v>
      </c>
      <c r="D3014" t="inlineStr">
        <is>
          <t>VÄRMLANDS LÄN</t>
        </is>
      </c>
      <c r="E3014" t="inlineStr">
        <is>
          <t>TORSBY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58948-2024</t>
        </is>
      </c>
      <c r="B3015" s="1" t="n">
        <v>45636</v>
      </c>
      <c r="C3015" s="1" t="n">
        <v>45849</v>
      </c>
      <c r="D3015" t="inlineStr">
        <is>
          <t>VÄRMLANDS LÄN</t>
        </is>
      </c>
      <c r="E3015" t="inlineStr">
        <is>
          <t>TORSBY</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59005-2024</t>
        </is>
      </c>
      <c r="B3016" s="1" t="n">
        <v>45636</v>
      </c>
      <c r="C3016" s="1" t="n">
        <v>45849</v>
      </c>
      <c r="D3016" t="inlineStr">
        <is>
          <t>VÄRMLANDS LÄN</t>
        </is>
      </c>
      <c r="E3016" t="inlineStr">
        <is>
          <t>TORSBY</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58945-2024</t>
        </is>
      </c>
      <c r="B3017" s="1" t="n">
        <v>45636</v>
      </c>
      <c r="C3017" s="1" t="n">
        <v>45849</v>
      </c>
      <c r="D3017" t="inlineStr">
        <is>
          <t>VÄRMLANDS LÄN</t>
        </is>
      </c>
      <c r="E3017" t="inlineStr">
        <is>
          <t>TORSBY</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59080-2024</t>
        </is>
      </c>
      <c r="B3018" s="1" t="n">
        <v>45637</v>
      </c>
      <c r="C3018" s="1" t="n">
        <v>45849</v>
      </c>
      <c r="D3018" t="inlineStr">
        <is>
          <t>VÄRMLANDS LÄN</t>
        </is>
      </c>
      <c r="E3018" t="inlineStr">
        <is>
          <t>TORSBY</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59423-2024</t>
        </is>
      </c>
      <c r="B3019" s="1" t="n">
        <v>45638</v>
      </c>
      <c r="C3019" s="1" t="n">
        <v>45849</v>
      </c>
      <c r="D3019" t="inlineStr">
        <is>
          <t>VÄRMLANDS LÄN</t>
        </is>
      </c>
      <c r="E3019" t="inlineStr">
        <is>
          <t>TORSBY</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59613-2024</t>
        </is>
      </c>
      <c r="B3020" s="1" t="n">
        <v>45638</v>
      </c>
      <c r="C3020" s="1" t="n">
        <v>45849</v>
      </c>
      <c r="D3020" t="inlineStr">
        <is>
          <t>VÄRMLANDS LÄN</t>
        </is>
      </c>
      <c r="E3020" t="inlineStr">
        <is>
          <t>TORSBY</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59603-2024</t>
        </is>
      </c>
      <c r="B3021" s="1" t="n">
        <v>45638</v>
      </c>
      <c r="C3021" s="1" t="n">
        <v>45849</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59610-2024</t>
        </is>
      </c>
      <c r="B3022" s="1" t="n">
        <v>45638</v>
      </c>
      <c r="C3022" s="1" t="n">
        <v>45849</v>
      </c>
      <c r="D3022" t="inlineStr">
        <is>
          <t>VÄRMLANDS LÄN</t>
        </is>
      </c>
      <c r="E3022" t="inlineStr">
        <is>
          <t>TORSBY</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59428-2024</t>
        </is>
      </c>
      <c r="B3023" s="1" t="n">
        <v>45638</v>
      </c>
      <c r="C3023" s="1" t="n">
        <v>45849</v>
      </c>
      <c r="D3023" t="inlineStr">
        <is>
          <t>VÄRMLANDS LÄN</t>
        </is>
      </c>
      <c r="E3023" t="inlineStr">
        <is>
          <t>TORSBY</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59780-2024</t>
        </is>
      </c>
      <c r="B3024" s="1" t="n">
        <v>45639</v>
      </c>
      <c r="C3024" s="1" t="n">
        <v>45849</v>
      </c>
      <c r="D3024" t="inlineStr">
        <is>
          <t>VÄRMLANDS LÄN</t>
        </is>
      </c>
      <c r="E3024" t="inlineStr">
        <is>
          <t>TORSBY</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60207-2024</t>
        </is>
      </c>
      <c r="B3025" s="1" t="n">
        <v>45642</v>
      </c>
      <c r="C3025" s="1" t="n">
        <v>45849</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60796-2024</t>
        </is>
      </c>
      <c r="B3026" s="1" t="n">
        <v>45642</v>
      </c>
      <c r="C3026" s="1" t="n">
        <v>45849</v>
      </c>
      <c r="D3026" t="inlineStr">
        <is>
          <t>VÄRMLANDS LÄN</t>
        </is>
      </c>
      <c r="E3026" t="inlineStr">
        <is>
          <t>TORSBY</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60622-2024</t>
        </is>
      </c>
      <c r="B3027" s="1" t="n">
        <v>45642</v>
      </c>
      <c r="C3027" s="1" t="n">
        <v>45849</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60272-2024</t>
        </is>
      </c>
      <c r="B3028" s="1" t="n">
        <v>45642</v>
      </c>
      <c r="C3028" s="1" t="n">
        <v>45849</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60626-2024</t>
        </is>
      </c>
      <c r="B3029" s="1" t="n">
        <v>45642</v>
      </c>
      <c r="C3029" s="1" t="n">
        <v>45849</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60148-2024</t>
        </is>
      </c>
      <c r="B3030" s="1" t="n">
        <v>45642</v>
      </c>
      <c r="C3030" s="1" t="n">
        <v>45849</v>
      </c>
      <c r="D3030" t="inlineStr">
        <is>
          <t>VÄRMLANDS LÄN</t>
        </is>
      </c>
      <c r="E3030" t="inlineStr">
        <is>
          <t>TORSBY</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60039-2024</t>
        </is>
      </c>
      <c r="B3031" s="1" t="n">
        <v>45642</v>
      </c>
      <c r="C3031" s="1" t="n">
        <v>45849</v>
      </c>
      <c r="D3031" t="inlineStr">
        <is>
          <t>VÄRMLANDS LÄN</t>
        </is>
      </c>
      <c r="E3031" t="inlineStr">
        <is>
          <t>TORSBY</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59928-2024</t>
        </is>
      </c>
      <c r="B3032" s="1" t="n">
        <v>45642</v>
      </c>
      <c r="C3032" s="1" t="n">
        <v>45849</v>
      </c>
      <c r="D3032" t="inlineStr">
        <is>
          <t>VÄRMLANDS LÄN</t>
        </is>
      </c>
      <c r="E3032" t="inlineStr">
        <is>
          <t>TORSBY</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60781-2024</t>
        </is>
      </c>
      <c r="B3033" s="1" t="n">
        <v>45642</v>
      </c>
      <c r="C3033" s="1" t="n">
        <v>45849</v>
      </c>
      <c r="D3033" t="inlineStr">
        <is>
          <t>VÄRMLANDS LÄN</t>
        </is>
      </c>
      <c r="E3033" t="inlineStr">
        <is>
          <t>TORSBY</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59927-2024</t>
        </is>
      </c>
      <c r="B3034" s="1" t="n">
        <v>45642</v>
      </c>
      <c r="C3034" s="1" t="n">
        <v>45849</v>
      </c>
      <c r="D3034" t="inlineStr">
        <is>
          <t>VÄRMLANDS LÄN</t>
        </is>
      </c>
      <c r="E3034" t="inlineStr">
        <is>
          <t>TORSBY</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60385-2024</t>
        </is>
      </c>
      <c r="B3035" s="1" t="n">
        <v>45643</v>
      </c>
      <c r="C3035" s="1" t="n">
        <v>45849</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60383-2024</t>
        </is>
      </c>
      <c r="B3036" s="1" t="n">
        <v>45643</v>
      </c>
      <c r="C3036" s="1" t="n">
        <v>45849</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60454-2024</t>
        </is>
      </c>
      <c r="B3037" s="1" t="n">
        <v>45643</v>
      </c>
      <c r="C3037" s="1" t="n">
        <v>45849</v>
      </c>
      <c r="D3037" t="inlineStr">
        <is>
          <t>VÄRMLANDS LÄN</t>
        </is>
      </c>
      <c r="E3037" t="inlineStr">
        <is>
          <t>TORSBY</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60458-2024</t>
        </is>
      </c>
      <c r="B3038" s="1" t="n">
        <v>45643</v>
      </c>
      <c r="C3038" s="1" t="n">
        <v>45849</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60710-2024</t>
        </is>
      </c>
      <c r="B3039" s="1" t="n">
        <v>45643</v>
      </c>
      <c r="C3039" s="1" t="n">
        <v>45849</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60477-2024</t>
        </is>
      </c>
      <c r="B3040" s="1" t="n">
        <v>45643</v>
      </c>
      <c r="C3040" s="1" t="n">
        <v>45849</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60386-2024</t>
        </is>
      </c>
      <c r="B3041" s="1" t="n">
        <v>45643</v>
      </c>
      <c r="C3041" s="1" t="n">
        <v>45849</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60537-2024</t>
        </is>
      </c>
      <c r="B3042" s="1" t="n">
        <v>45643</v>
      </c>
      <c r="C3042" s="1" t="n">
        <v>45849</v>
      </c>
      <c r="D3042" t="inlineStr">
        <is>
          <t>VÄRMLANDS LÄN</t>
        </is>
      </c>
      <c r="E3042" t="inlineStr">
        <is>
          <t>TORSBY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60854-2024</t>
        </is>
      </c>
      <c r="B3043" s="1" t="n">
        <v>45644</v>
      </c>
      <c r="C3043" s="1" t="n">
        <v>45849</v>
      </c>
      <c r="D3043" t="inlineStr">
        <is>
          <t>VÄRMLANDS LÄN</t>
        </is>
      </c>
      <c r="E3043" t="inlineStr">
        <is>
          <t>TORSBY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61253-2024</t>
        </is>
      </c>
      <c r="B3044" s="1" t="n">
        <v>45645</v>
      </c>
      <c r="C3044" s="1" t="n">
        <v>45849</v>
      </c>
      <c r="D3044" t="inlineStr">
        <is>
          <t>VÄRMLANDS LÄN</t>
        </is>
      </c>
      <c r="E3044" t="inlineStr">
        <is>
          <t>TORSBY</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61069-2024</t>
        </is>
      </c>
      <c r="B3045" s="1" t="n">
        <v>45645</v>
      </c>
      <c r="C3045" s="1" t="n">
        <v>45849</v>
      </c>
      <c r="D3045" t="inlineStr">
        <is>
          <t>VÄRMLANDS LÄN</t>
        </is>
      </c>
      <c r="E3045" t="inlineStr">
        <is>
          <t>TORSBY</t>
        </is>
      </c>
      <c r="F3045" t="inlineStr">
        <is>
          <t>Bergvik skog väst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61073-2024</t>
        </is>
      </c>
      <c r="B3046" s="1" t="n">
        <v>45645</v>
      </c>
      <c r="C3046" s="1" t="n">
        <v>45849</v>
      </c>
      <c r="D3046" t="inlineStr">
        <is>
          <t>VÄRMLANDS LÄN</t>
        </is>
      </c>
      <c r="E3046" t="inlineStr">
        <is>
          <t>TORSBY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61206-2024</t>
        </is>
      </c>
      <c r="B3047" s="1" t="n">
        <v>45645</v>
      </c>
      <c r="C3047" s="1" t="n">
        <v>45849</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61546-2024</t>
        </is>
      </c>
      <c r="B3048" s="1" t="n">
        <v>45645</v>
      </c>
      <c r="C3048" s="1" t="n">
        <v>45849</v>
      </c>
      <c r="D3048" t="inlineStr">
        <is>
          <t>VÄRMLANDS LÄN</t>
        </is>
      </c>
      <c r="E3048" t="inlineStr">
        <is>
          <t>TORSBY</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61251-2024</t>
        </is>
      </c>
      <c r="B3049" s="1" t="n">
        <v>45645</v>
      </c>
      <c r="C3049" s="1" t="n">
        <v>45849</v>
      </c>
      <c r="D3049" t="inlineStr">
        <is>
          <t>VÄRMLANDS LÄN</t>
        </is>
      </c>
      <c r="E3049" t="inlineStr">
        <is>
          <t>TORSBY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61259-2024</t>
        </is>
      </c>
      <c r="B3050" s="1" t="n">
        <v>45645</v>
      </c>
      <c r="C3050" s="1" t="n">
        <v>45849</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61478-2024</t>
        </is>
      </c>
      <c r="B3051" s="1" t="n">
        <v>45646</v>
      </c>
      <c r="C3051" s="1" t="n">
        <v>45849</v>
      </c>
      <c r="D3051" t="inlineStr">
        <is>
          <t>VÄRMLANDS LÄN</t>
        </is>
      </c>
      <c r="E3051" t="inlineStr">
        <is>
          <t>TORSBY</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61565-2024</t>
        </is>
      </c>
      <c r="B3052" s="1" t="n">
        <v>45646</v>
      </c>
      <c r="C3052" s="1" t="n">
        <v>45849</v>
      </c>
      <c r="D3052" t="inlineStr">
        <is>
          <t>VÄRMLANDS LÄN</t>
        </is>
      </c>
      <c r="E3052" t="inlineStr">
        <is>
          <t>TORSBY</t>
        </is>
      </c>
      <c r="F3052" t="inlineStr">
        <is>
          <t>Bergvik skog väst AB</t>
        </is>
      </c>
      <c r="G3052" t="n">
        <v>14.1</v>
      </c>
      <c r="H3052" t="n">
        <v>0</v>
      </c>
      <c r="I3052" t="n">
        <v>0</v>
      </c>
      <c r="J3052" t="n">
        <v>0</v>
      </c>
      <c r="K3052" t="n">
        <v>0</v>
      </c>
      <c r="L3052" t="n">
        <v>0</v>
      </c>
      <c r="M3052" t="n">
        <v>0</v>
      </c>
      <c r="N3052" t="n">
        <v>0</v>
      </c>
      <c r="O3052" t="n">
        <v>0</v>
      </c>
      <c r="P3052" t="n">
        <v>0</v>
      </c>
      <c r="Q3052" t="n">
        <v>0</v>
      </c>
      <c r="R3052" s="2" t="inlineStr"/>
    </row>
    <row r="3053" ht="15" customHeight="1">
      <c r="A3053" t="inlineStr">
        <is>
          <t>A 61672-2024</t>
        </is>
      </c>
      <c r="B3053" s="1" t="n">
        <v>45647</v>
      </c>
      <c r="C3053" s="1" t="n">
        <v>45849</v>
      </c>
      <c r="D3053" t="inlineStr">
        <is>
          <t>VÄRMLANDS LÄN</t>
        </is>
      </c>
      <c r="E3053" t="inlineStr">
        <is>
          <t>TORSBY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61712-2024</t>
        </is>
      </c>
      <c r="B3054" s="1" t="n">
        <v>45648</v>
      </c>
      <c r="C3054" s="1" t="n">
        <v>45849</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61713-2024</t>
        </is>
      </c>
      <c r="B3055" s="1" t="n">
        <v>45648</v>
      </c>
      <c r="C3055" s="1" t="n">
        <v>45849</v>
      </c>
      <c r="D3055" t="inlineStr">
        <is>
          <t>VÄRMLANDS LÄN</t>
        </is>
      </c>
      <c r="E3055" t="inlineStr">
        <is>
          <t>TORSBY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61855-2024</t>
        </is>
      </c>
      <c r="B3056" s="1" t="n">
        <v>45649</v>
      </c>
      <c r="C3056" s="1" t="n">
        <v>45849</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61851-2024</t>
        </is>
      </c>
      <c r="B3057" s="1" t="n">
        <v>45649</v>
      </c>
      <c r="C3057" s="1" t="n">
        <v>45849</v>
      </c>
      <c r="D3057" t="inlineStr">
        <is>
          <t>VÄRMLANDS LÄN</t>
        </is>
      </c>
      <c r="E3057" t="inlineStr">
        <is>
          <t>TORSBY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61856-2024</t>
        </is>
      </c>
      <c r="B3058" s="1" t="n">
        <v>45649</v>
      </c>
      <c r="C3058" s="1" t="n">
        <v>45849</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62092-2024</t>
        </is>
      </c>
      <c r="B3059" s="1" t="n">
        <v>45656</v>
      </c>
      <c r="C3059" s="1" t="n">
        <v>45849</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62090-2024</t>
        </is>
      </c>
      <c r="B3060" s="1" t="n">
        <v>45656</v>
      </c>
      <c r="C3060" s="1" t="n">
        <v>45849</v>
      </c>
      <c r="D3060" t="inlineStr">
        <is>
          <t>VÄRMLANDS LÄN</t>
        </is>
      </c>
      <c r="E3060" t="inlineStr">
        <is>
          <t>TORSBY</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61-2025</t>
        </is>
      </c>
      <c r="B3061" s="1" t="n">
        <v>45659</v>
      </c>
      <c r="C3061" s="1" t="n">
        <v>45849</v>
      </c>
      <c r="D3061" t="inlineStr">
        <is>
          <t>VÄRMLANDS LÄN</t>
        </is>
      </c>
      <c r="E3061" t="inlineStr">
        <is>
          <t>TORSBY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200-2025</t>
        </is>
      </c>
      <c r="B3062" s="1" t="n">
        <v>45659</v>
      </c>
      <c r="C3062" s="1" t="n">
        <v>45849</v>
      </c>
      <c r="D3062" t="inlineStr">
        <is>
          <t>VÄRMLANDS LÄN</t>
        </is>
      </c>
      <c r="E3062" t="inlineStr">
        <is>
          <t>TORSBY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311-2025</t>
        </is>
      </c>
      <c r="B3063" s="1" t="n">
        <v>45660</v>
      </c>
      <c r="C3063" s="1" t="n">
        <v>45849</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202-2025</t>
        </is>
      </c>
      <c r="B3064" s="1" t="n">
        <v>45660</v>
      </c>
      <c r="C3064" s="1" t="n">
        <v>45849</v>
      </c>
      <c r="D3064" t="inlineStr">
        <is>
          <t>VÄRMLANDS LÄN</t>
        </is>
      </c>
      <c r="E3064" t="inlineStr">
        <is>
          <t>TORSBY</t>
        </is>
      </c>
      <c r="F3064" t="inlineStr">
        <is>
          <t>Bergvik skog väst AB</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364-2025</t>
        </is>
      </c>
      <c r="B3065" s="1" t="n">
        <v>45661</v>
      </c>
      <c r="C3065" s="1" t="n">
        <v>45849</v>
      </c>
      <c r="D3065" t="inlineStr">
        <is>
          <t>VÄRMLANDS LÄN</t>
        </is>
      </c>
      <c r="E3065" t="inlineStr">
        <is>
          <t>TORSBY</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375-2025</t>
        </is>
      </c>
      <c r="B3066" s="1" t="n">
        <v>45661</v>
      </c>
      <c r="C3066" s="1" t="n">
        <v>45849</v>
      </c>
      <c r="D3066" t="inlineStr">
        <is>
          <t>VÄRMLANDS LÄN</t>
        </is>
      </c>
      <c r="E3066" t="inlineStr">
        <is>
          <t>TORSBY</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383-2025</t>
        </is>
      </c>
      <c r="B3067" s="1" t="n">
        <v>45662</v>
      </c>
      <c r="C3067" s="1" t="n">
        <v>45849</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391-2025</t>
        </is>
      </c>
      <c r="B3068" s="1" t="n">
        <v>45663</v>
      </c>
      <c r="C3068" s="1" t="n">
        <v>45849</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392-2025</t>
        </is>
      </c>
      <c r="B3069" s="1" t="n">
        <v>45663</v>
      </c>
      <c r="C3069" s="1" t="n">
        <v>45849</v>
      </c>
      <c r="D3069" t="inlineStr">
        <is>
          <t>VÄRMLANDS LÄN</t>
        </is>
      </c>
      <c r="E3069" t="inlineStr">
        <is>
          <t>TORSBY</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492-2025</t>
        </is>
      </c>
      <c r="B3070" s="1" t="n">
        <v>45664</v>
      </c>
      <c r="C3070" s="1" t="n">
        <v>45849</v>
      </c>
      <c r="D3070" t="inlineStr">
        <is>
          <t>VÄRMLANDS LÄN</t>
        </is>
      </c>
      <c r="E3070" t="inlineStr">
        <is>
          <t>TORSBY</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485-2025</t>
        </is>
      </c>
      <c r="B3071" s="1" t="n">
        <v>45664</v>
      </c>
      <c r="C3071" s="1" t="n">
        <v>45849</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644-2025</t>
        </is>
      </c>
      <c r="B3072" s="1" t="n">
        <v>45664</v>
      </c>
      <c r="C3072" s="1" t="n">
        <v>45849</v>
      </c>
      <c r="D3072" t="inlineStr">
        <is>
          <t>VÄRMLANDS LÄN</t>
        </is>
      </c>
      <c r="E3072" t="inlineStr">
        <is>
          <t>TORSBY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654-2025</t>
        </is>
      </c>
      <c r="B3073" s="1" t="n">
        <v>45664</v>
      </c>
      <c r="C3073" s="1" t="n">
        <v>45849</v>
      </c>
      <c r="D3073" t="inlineStr">
        <is>
          <t>VÄRMLANDS LÄN</t>
        </is>
      </c>
      <c r="E3073" t="inlineStr">
        <is>
          <t>TORSBY</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906-2025</t>
        </is>
      </c>
      <c r="B3074" s="1" t="n">
        <v>45664</v>
      </c>
      <c r="C3074" s="1" t="n">
        <v>45849</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718-2025</t>
        </is>
      </c>
      <c r="B3075" s="1" t="n">
        <v>45665</v>
      </c>
      <c r="C3075" s="1" t="n">
        <v>45849</v>
      </c>
      <c r="D3075" t="inlineStr">
        <is>
          <t>VÄRMLANDS LÄN</t>
        </is>
      </c>
      <c r="E3075" t="inlineStr">
        <is>
          <t>TORSBY</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707-2025</t>
        </is>
      </c>
      <c r="B3076" s="1" t="n">
        <v>45665</v>
      </c>
      <c r="C3076" s="1" t="n">
        <v>45849</v>
      </c>
      <c r="D3076" t="inlineStr">
        <is>
          <t>VÄRMLANDS LÄN</t>
        </is>
      </c>
      <c r="E3076" t="inlineStr">
        <is>
          <t>TORSBY</t>
        </is>
      </c>
      <c r="F3076" t="inlineStr">
        <is>
          <t>Bergvik skog väst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699-2025</t>
        </is>
      </c>
      <c r="B3077" s="1" t="n">
        <v>45665</v>
      </c>
      <c r="C3077" s="1" t="n">
        <v>45849</v>
      </c>
      <c r="D3077" t="inlineStr">
        <is>
          <t>VÄRMLANDS LÄN</t>
        </is>
      </c>
      <c r="E3077" t="inlineStr">
        <is>
          <t>TORSBY</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754-2025</t>
        </is>
      </c>
      <c r="B3078" s="1" t="n">
        <v>45665</v>
      </c>
      <c r="C3078" s="1" t="n">
        <v>45849</v>
      </c>
      <c r="D3078" t="inlineStr">
        <is>
          <t>VÄRMLANDS LÄN</t>
        </is>
      </c>
      <c r="E3078" t="inlineStr">
        <is>
          <t>TORSBY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1162-2025</t>
        </is>
      </c>
      <c r="B3079" s="1" t="n">
        <v>45666</v>
      </c>
      <c r="C3079" s="1" t="n">
        <v>45849</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1104-2025</t>
        </is>
      </c>
      <c r="B3080" s="1" t="n">
        <v>45666</v>
      </c>
      <c r="C3080" s="1" t="n">
        <v>45849</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1100-2025</t>
        </is>
      </c>
      <c r="B3081" s="1" t="n">
        <v>45666</v>
      </c>
      <c r="C3081" s="1" t="n">
        <v>45849</v>
      </c>
      <c r="D3081" t="inlineStr">
        <is>
          <t>VÄRMLANDS LÄN</t>
        </is>
      </c>
      <c r="E3081" t="inlineStr">
        <is>
          <t>TORSBY</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1092-2025</t>
        </is>
      </c>
      <c r="B3082" s="1" t="n">
        <v>45666</v>
      </c>
      <c r="C3082" s="1" t="n">
        <v>45849</v>
      </c>
      <c r="D3082" t="inlineStr">
        <is>
          <t>VÄRMLANDS LÄN</t>
        </is>
      </c>
      <c r="E3082" t="inlineStr">
        <is>
          <t>TORSBY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1161-2025</t>
        </is>
      </c>
      <c r="B3083" s="1" t="n">
        <v>45666</v>
      </c>
      <c r="C3083" s="1" t="n">
        <v>45849</v>
      </c>
      <c r="D3083" t="inlineStr">
        <is>
          <t>VÄRMLANDS LÄN</t>
        </is>
      </c>
      <c r="E3083" t="inlineStr">
        <is>
          <t>TORSBY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1095-2025</t>
        </is>
      </c>
      <c r="B3084" s="1" t="n">
        <v>45666</v>
      </c>
      <c r="C3084" s="1" t="n">
        <v>45849</v>
      </c>
      <c r="D3084" t="inlineStr">
        <is>
          <t>VÄRMLANDS LÄN</t>
        </is>
      </c>
      <c r="E3084" t="inlineStr">
        <is>
          <t>TORSBY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1432-2025</t>
        </is>
      </c>
      <c r="B3085" s="1" t="n">
        <v>45669</v>
      </c>
      <c r="C3085" s="1" t="n">
        <v>45849</v>
      </c>
      <c r="D3085" t="inlineStr">
        <is>
          <t>VÄRMLANDS LÄN</t>
        </is>
      </c>
      <c r="E3085" t="inlineStr">
        <is>
          <t>TORSBY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1435-2025</t>
        </is>
      </c>
      <c r="B3086" s="1" t="n">
        <v>45669</v>
      </c>
      <c r="C3086" s="1" t="n">
        <v>45849</v>
      </c>
      <c r="D3086" t="inlineStr">
        <is>
          <t>VÄRMLANDS LÄN</t>
        </is>
      </c>
      <c r="E3086" t="inlineStr">
        <is>
          <t>TORSBY</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1512-2025</t>
        </is>
      </c>
      <c r="B3087" s="1" t="n">
        <v>45670</v>
      </c>
      <c r="C3087" s="1" t="n">
        <v>45849</v>
      </c>
      <c r="D3087" t="inlineStr">
        <is>
          <t>VÄRMLANDS LÄN</t>
        </is>
      </c>
      <c r="E3087" t="inlineStr">
        <is>
          <t>TORSBY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1708-2025</t>
        </is>
      </c>
      <c r="B3088" s="1" t="n">
        <v>45670</v>
      </c>
      <c r="C3088" s="1" t="n">
        <v>45849</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1528-2025</t>
        </is>
      </c>
      <c r="B3089" s="1" t="n">
        <v>45670</v>
      </c>
      <c r="C3089" s="1" t="n">
        <v>45849</v>
      </c>
      <c r="D3089" t="inlineStr">
        <is>
          <t>VÄRMLANDS LÄN</t>
        </is>
      </c>
      <c r="E3089" t="inlineStr">
        <is>
          <t>TORSBY</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1756-2025</t>
        </is>
      </c>
      <c r="B3090" s="1" t="n">
        <v>45671</v>
      </c>
      <c r="C3090" s="1" t="n">
        <v>45849</v>
      </c>
      <c r="D3090" t="inlineStr">
        <is>
          <t>VÄRMLANDS LÄN</t>
        </is>
      </c>
      <c r="E3090" t="inlineStr">
        <is>
          <t>TORSBY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1997-2025</t>
        </is>
      </c>
      <c r="B3091" s="1" t="n">
        <v>45672</v>
      </c>
      <c r="C3091" s="1" t="n">
        <v>45849</v>
      </c>
      <c r="D3091" t="inlineStr">
        <is>
          <t>VÄRMLANDS LÄN</t>
        </is>
      </c>
      <c r="E3091" t="inlineStr">
        <is>
          <t>TORSBY</t>
        </is>
      </c>
      <c r="G3091" t="n">
        <v>20.1</v>
      </c>
      <c r="H3091" t="n">
        <v>0</v>
      </c>
      <c r="I3091" t="n">
        <v>0</v>
      </c>
      <c r="J3091" t="n">
        <v>0</v>
      </c>
      <c r="K3091" t="n">
        <v>0</v>
      </c>
      <c r="L3091" t="n">
        <v>0</v>
      </c>
      <c r="M3091" t="n">
        <v>0</v>
      </c>
      <c r="N3091" t="n">
        <v>0</v>
      </c>
      <c r="O3091" t="n">
        <v>0</v>
      </c>
      <c r="P3091" t="n">
        <v>0</v>
      </c>
      <c r="Q3091" t="n">
        <v>0</v>
      </c>
      <c r="R3091" s="2" t="inlineStr"/>
    </row>
    <row r="3092" ht="15" customHeight="1">
      <c r="A3092" t="inlineStr">
        <is>
          <t>A 2009-2025</t>
        </is>
      </c>
      <c r="B3092" s="1" t="n">
        <v>45672</v>
      </c>
      <c r="C3092" s="1" t="n">
        <v>45849</v>
      </c>
      <c r="D3092" t="inlineStr">
        <is>
          <t>VÄRMLANDS LÄN</t>
        </is>
      </c>
      <c r="E3092" t="inlineStr">
        <is>
          <t>TORSBY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2195-2025</t>
        </is>
      </c>
      <c r="B3093" s="1" t="n">
        <v>45673</v>
      </c>
      <c r="C3093" s="1" t="n">
        <v>45849</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2199-2025</t>
        </is>
      </c>
      <c r="B3094" s="1" t="n">
        <v>45673</v>
      </c>
      <c r="C3094" s="1" t="n">
        <v>45849</v>
      </c>
      <c r="D3094" t="inlineStr">
        <is>
          <t>VÄRMLANDS LÄN</t>
        </is>
      </c>
      <c r="E3094" t="inlineStr">
        <is>
          <t>TORSBY</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2390-2025</t>
        </is>
      </c>
      <c r="B3095" s="1" t="n">
        <v>45674</v>
      </c>
      <c r="C3095" s="1" t="n">
        <v>45849</v>
      </c>
      <c r="D3095" t="inlineStr">
        <is>
          <t>VÄRMLANDS LÄN</t>
        </is>
      </c>
      <c r="E3095" t="inlineStr">
        <is>
          <t>TORSBY</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2506-2025</t>
        </is>
      </c>
      <c r="B3096" s="1" t="n">
        <v>45674</v>
      </c>
      <c r="C3096" s="1" t="n">
        <v>45849</v>
      </c>
      <c r="D3096" t="inlineStr">
        <is>
          <t>VÄRMLANDS LÄN</t>
        </is>
      </c>
      <c r="E3096" t="inlineStr">
        <is>
          <t>TORSBY</t>
        </is>
      </c>
      <c r="F3096" t="inlineStr">
        <is>
          <t>Bergvik skog väst AB</t>
        </is>
      </c>
      <c r="G3096" t="n">
        <v>19.2</v>
      </c>
      <c r="H3096" t="n">
        <v>0</v>
      </c>
      <c r="I3096" t="n">
        <v>0</v>
      </c>
      <c r="J3096" t="n">
        <v>0</v>
      </c>
      <c r="K3096" t="n">
        <v>0</v>
      </c>
      <c r="L3096" t="n">
        <v>0</v>
      </c>
      <c r="M3096" t="n">
        <v>0</v>
      </c>
      <c r="N3096" t="n">
        <v>0</v>
      </c>
      <c r="O3096" t="n">
        <v>0</v>
      </c>
      <c r="P3096" t="n">
        <v>0</v>
      </c>
      <c r="Q3096" t="n">
        <v>0</v>
      </c>
      <c r="R3096" s="2" t="inlineStr"/>
    </row>
    <row r="3097" ht="15" customHeight="1">
      <c r="A3097" t="inlineStr">
        <is>
          <t>A 2504-2025</t>
        </is>
      </c>
      <c r="B3097" s="1" t="n">
        <v>45674</v>
      </c>
      <c r="C3097" s="1" t="n">
        <v>45849</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2387-2025</t>
        </is>
      </c>
      <c r="B3098" s="1" t="n">
        <v>45674</v>
      </c>
      <c r="C3098" s="1" t="n">
        <v>45849</v>
      </c>
      <c r="D3098" t="inlineStr">
        <is>
          <t>VÄRMLANDS LÄN</t>
        </is>
      </c>
      <c r="E3098" t="inlineStr">
        <is>
          <t>TORSBY</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2616-2025</t>
        </is>
      </c>
      <c r="B3099" s="1" t="n">
        <v>45675</v>
      </c>
      <c r="C3099" s="1" t="n">
        <v>45849</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2788-2025</t>
        </is>
      </c>
      <c r="B3100" s="1" t="n">
        <v>45677</v>
      </c>
      <c r="C3100" s="1" t="n">
        <v>45849</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2803-2025</t>
        </is>
      </c>
      <c r="B3101" s="1" t="n">
        <v>45677</v>
      </c>
      <c r="C3101" s="1" t="n">
        <v>45849</v>
      </c>
      <c r="D3101" t="inlineStr">
        <is>
          <t>VÄRMLANDS LÄN</t>
        </is>
      </c>
      <c r="E3101" t="inlineStr">
        <is>
          <t>TORSBY</t>
        </is>
      </c>
      <c r="F3101" t="inlineStr">
        <is>
          <t>Bergvik skog väst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2807-2025</t>
        </is>
      </c>
      <c r="B3102" s="1" t="n">
        <v>45677</v>
      </c>
      <c r="C3102" s="1" t="n">
        <v>45849</v>
      </c>
      <c r="D3102" t="inlineStr">
        <is>
          <t>VÄRMLANDS LÄN</t>
        </is>
      </c>
      <c r="E3102" t="inlineStr">
        <is>
          <t>TORSBY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2797-2025</t>
        </is>
      </c>
      <c r="B3103" s="1" t="n">
        <v>45677</v>
      </c>
      <c r="C3103" s="1" t="n">
        <v>45849</v>
      </c>
      <c r="D3103" t="inlineStr">
        <is>
          <t>VÄRMLANDS LÄN</t>
        </is>
      </c>
      <c r="E3103" t="inlineStr">
        <is>
          <t>TORSBY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3036-2025</t>
        </is>
      </c>
      <c r="B3104" s="1" t="n">
        <v>45678</v>
      </c>
      <c r="C3104" s="1" t="n">
        <v>45849</v>
      </c>
      <c r="D3104" t="inlineStr">
        <is>
          <t>VÄRMLANDS LÄN</t>
        </is>
      </c>
      <c r="E3104" t="inlineStr">
        <is>
          <t>TORSBY</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2981-2025</t>
        </is>
      </c>
      <c r="B3105" s="1" t="n">
        <v>45678</v>
      </c>
      <c r="C3105" s="1" t="n">
        <v>45849</v>
      </c>
      <c r="D3105" t="inlineStr">
        <is>
          <t>VÄRMLANDS LÄN</t>
        </is>
      </c>
      <c r="E3105" t="inlineStr">
        <is>
          <t>TORSBY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3269-2025</t>
        </is>
      </c>
      <c r="B3106" s="1" t="n">
        <v>45679</v>
      </c>
      <c r="C3106" s="1" t="n">
        <v>45849</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3350-2025</t>
        </is>
      </c>
      <c r="B3107" s="1" t="n">
        <v>45679</v>
      </c>
      <c r="C3107" s="1" t="n">
        <v>45849</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3226-2025</t>
        </is>
      </c>
      <c r="B3108" s="1" t="n">
        <v>45679</v>
      </c>
      <c r="C3108" s="1" t="n">
        <v>45849</v>
      </c>
      <c r="D3108" t="inlineStr">
        <is>
          <t>VÄRMLANDS LÄN</t>
        </is>
      </c>
      <c r="E3108" t="inlineStr">
        <is>
          <t>TORSBY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3223-2025</t>
        </is>
      </c>
      <c r="B3109" s="1" t="n">
        <v>45679</v>
      </c>
      <c r="C3109" s="1" t="n">
        <v>45849</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3507-2025</t>
        </is>
      </c>
      <c r="B3110" s="1" t="n">
        <v>45680</v>
      </c>
      <c r="C3110" s="1" t="n">
        <v>45849</v>
      </c>
      <c r="D3110" t="inlineStr">
        <is>
          <t>VÄRMLANDS LÄN</t>
        </is>
      </c>
      <c r="E3110" t="inlineStr">
        <is>
          <t>TORSBY</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3511-2025</t>
        </is>
      </c>
      <c r="B3111" s="1" t="n">
        <v>45680</v>
      </c>
      <c r="C3111" s="1" t="n">
        <v>45849</v>
      </c>
      <c r="D3111" t="inlineStr">
        <is>
          <t>VÄRMLANDS LÄN</t>
        </is>
      </c>
      <c r="E3111" t="inlineStr">
        <is>
          <t>TORSBY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3541-2025</t>
        </is>
      </c>
      <c r="B3112" s="1" t="n">
        <v>45680</v>
      </c>
      <c r="C3112" s="1" t="n">
        <v>45849</v>
      </c>
      <c r="D3112" t="inlineStr">
        <is>
          <t>VÄRMLANDS LÄN</t>
        </is>
      </c>
      <c r="E3112" t="inlineStr">
        <is>
          <t>TORSBY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3441-2025</t>
        </is>
      </c>
      <c r="B3113" s="1" t="n">
        <v>45680</v>
      </c>
      <c r="C3113" s="1" t="n">
        <v>45849</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3387-2025</t>
        </is>
      </c>
      <c r="B3114" s="1" t="n">
        <v>45680</v>
      </c>
      <c r="C3114" s="1" t="n">
        <v>45849</v>
      </c>
      <c r="D3114" t="inlineStr">
        <is>
          <t>VÄRMLANDS LÄN</t>
        </is>
      </c>
      <c r="E3114" t="inlineStr">
        <is>
          <t>TORSBY</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3442-2025</t>
        </is>
      </c>
      <c r="B3115" s="1" t="n">
        <v>45680</v>
      </c>
      <c r="C3115" s="1" t="n">
        <v>45849</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3409-2025</t>
        </is>
      </c>
      <c r="B3116" s="1" t="n">
        <v>45680</v>
      </c>
      <c r="C3116" s="1" t="n">
        <v>45849</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3951-2025</t>
        </is>
      </c>
      <c r="B3117" s="1" t="n">
        <v>45684</v>
      </c>
      <c r="C3117" s="1" t="n">
        <v>45849</v>
      </c>
      <c r="D3117" t="inlineStr">
        <is>
          <t>VÄRMLANDS LÄN</t>
        </is>
      </c>
      <c r="E3117" t="inlineStr">
        <is>
          <t>TORSBY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3864-2025</t>
        </is>
      </c>
      <c r="B3118" s="1" t="n">
        <v>45684</v>
      </c>
      <c r="C3118" s="1" t="n">
        <v>45849</v>
      </c>
      <c r="D3118" t="inlineStr">
        <is>
          <t>VÄRMLANDS LÄN</t>
        </is>
      </c>
      <c r="E3118" t="inlineStr">
        <is>
          <t>TORSBY</t>
        </is>
      </c>
      <c r="F3118" t="inlineStr">
        <is>
          <t>Bergvik skog väst AB</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3904-2025</t>
        </is>
      </c>
      <c r="B3119" s="1" t="n">
        <v>45684</v>
      </c>
      <c r="C3119" s="1" t="n">
        <v>45849</v>
      </c>
      <c r="D3119" t="inlineStr">
        <is>
          <t>VÄRMLANDS LÄN</t>
        </is>
      </c>
      <c r="E3119" t="inlineStr">
        <is>
          <t>TORSBY</t>
        </is>
      </c>
      <c r="F3119" t="inlineStr">
        <is>
          <t>Övriga statliga verk och myndigheter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4302-2025</t>
        </is>
      </c>
      <c r="B3120" s="1" t="n">
        <v>45685</v>
      </c>
      <c r="C3120" s="1" t="n">
        <v>45849</v>
      </c>
      <c r="D3120" t="inlineStr">
        <is>
          <t>VÄRMLANDS LÄN</t>
        </is>
      </c>
      <c r="E3120" t="inlineStr">
        <is>
          <t>TORSBY</t>
        </is>
      </c>
      <c r="F3120" t="inlineStr">
        <is>
          <t>Kommuner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4342-2025</t>
        </is>
      </c>
      <c r="B3121" s="1" t="n">
        <v>45685</v>
      </c>
      <c r="C3121" s="1" t="n">
        <v>45849</v>
      </c>
      <c r="D3121" t="inlineStr">
        <is>
          <t>VÄRMLANDS LÄN</t>
        </is>
      </c>
      <c r="E3121" t="inlineStr">
        <is>
          <t>TORSBY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4516-2025</t>
        </is>
      </c>
      <c r="B3122" s="1" t="n">
        <v>45686</v>
      </c>
      <c r="C3122" s="1" t="n">
        <v>45849</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4470-2025</t>
        </is>
      </c>
      <c r="B3123" s="1" t="n">
        <v>45686</v>
      </c>
      <c r="C3123" s="1" t="n">
        <v>45849</v>
      </c>
      <c r="D3123" t="inlineStr">
        <is>
          <t>VÄRMLANDS LÄN</t>
        </is>
      </c>
      <c r="E3123" t="inlineStr">
        <is>
          <t>TORSBY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4517-2025</t>
        </is>
      </c>
      <c r="B3124" s="1" t="n">
        <v>45686</v>
      </c>
      <c r="C3124" s="1" t="n">
        <v>45849</v>
      </c>
      <c r="D3124" t="inlineStr">
        <is>
          <t>VÄRMLANDS LÄN</t>
        </is>
      </c>
      <c r="E3124" t="inlineStr">
        <is>
          <t>TORSBY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4578-2025</t>
        </is>
      </c>
      <c r="B3125" s="1" t="n">
        <v>45687</v>
      </c>
      <c r="C3125" s="1" t="n">
        <v>45849</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4537-2025</t>
        </is>
      </c>
      <c r="B3126" s="1" t="n">
        <v>45687</v>
      </c>
      <c r="C3126" s="1" t="n">
        <v>45849</v>
      </c>
      <c r="D3126" t="inlineStr">
        <is>
          <t>VÄRMLANDS LÄN</t>
        </is>
      </c>
      <c r="E3126" t="inlineStr">
        <is>
          <t>TORSBY</t>
        </is>
      </c>
      <c r="F3126" t="inlineStr">
        <is>
          <t>Kommuner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4832-2025</t>
        </is>
      </c>
      <c r="B3127" s="1" t="n">
        <v>45688</v>
      </c>
      <c r="C3127" s="1" t="n">
        <v>45849</v>
      </c>
      <c r="D3127" t="inlineStr">
        <is>
          <t>VÄRMLANDS LÄN</t>
        </is>
      </c>
      <c r="E3127" t="inlineStr">
        <is>
          <t>TORSBY</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5052-2025</t>
        </is>
      </c>
      <c r="B3128" s="1" t="n">
        <v>45691</v>
      </c>
      <c r="C3128" s="1" t="n">
        <v>45849</v>
      </c>
      <c r="D3128" t="inlineStr">
        <is>
          <t>VÄRMLANDS LÄN</t>
        </is>
      </c>
      <c r="E3128" t="inlineStr">
        <is>
          <t>TORSBY</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5799-2025</t>
        </is>
      </c>
      <c r="B3129" s="1" t="n">
        <v>45694</v>
      </c>
      <c r="C3129" s="1" t="n">
        <v>45849</v>
      </c>
      <c r="D3129" t="inlineStr">
        <is>
          <t>VÄRMLANDS LÄN</t>
        </is>
      </c>
      <c r="E3129" t="inlineStr">
        <is>
          <t>TORSBY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5748-2025</t>
        </is>
      </c>
      <c r="B3130" s="1" t="n">
        <v>45694</v>
      </c>
      <c r="C3130" s="1" t="n">
        <v>45849</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6317-2025</t>
        </is>
      </c>
      <c r="B3131" s="1" t="n">
        <v>45698</v>
      </c>
      <c r="C3131" s="1" t="n">
        <v>45849</v>
      </c>
      <c r="D3131" t="inlineStr">
        <is>
          <t>VÄRMLANDS LÄN</t>
        </is>
      </c>
      <c r="E3131" t="inlineStr">
        <is>
          <t>TORSBY</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6529-2025</t>
        </is>
      </c>
      <c r="B3132" s="1" t="n">
        <v>45699</v>
      </c>
      <c r="C3132" s="1" t="n">
        <v>45849</v>
      </c>
      <c r="D3132" t="inlineStr">
        <is>
          <t>VÄRMLANDS LÄN</t>
        </is>
      </c>
      <c r="E3132" t="inlineStr">
        <is>
          <t>TORSBY</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6532-2025</t>
        </is>
      </c>
      <c r="B3133" s="1" t="n">
        <v>45699</v>
      </c>
      <c r="C3133" s="1" t="n">
        <v>45849</v>
      </c>
      <c r="D3133" t="inlineStr">
        <is>
          <t>VÄRMLANDS LÄN</t>
        </is>
      </c>
      <c r="E3133" t="inlineStr">
        <is>
          <t>TORSBY</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6464-2025</t>
        </is>
      </c>
      <c r="B3134" s="1" t="n">
        <v>45699</v>
      </c>
      <c r="C3134" s="1" t="n">
        <v>45849</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6460-2025</t>
        </is>
      </c>
      <c r="B3135" s="1" t="n">
        <v>45699</v>
      </c>
      <c r="C3135" s="1" t="n">
        <v>45849</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6448-2025</t>
        </is>
      </c>
      <c r="B3136" s="1" t="n">
        <v>45699</v>
      </c>
      <c r="C3136" s="1" t="n">
        <v>45849</v>
      </c>
      <c r="D3136" t="inlineStr">
        <is>
          <t>VÄRMLANDS LÄN</t>
        </is>
      </c>
      <c r="E3136" t="inlineStr">
        <is>
          <t>TORSBY</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6534-2025</t>
        </is>
      </c>
      <c r="B3137" s="1" t="n">
        <v>45699</v>
      </c>
      <c r="C3137" s="1" t="n">
        <v>45849</v>
      </c>
      <c r="D3137" t="inlineStr">
        <is>
          <t>VÄRMLANDS LÄN</t>
        </is>
      </c>
      <c r="E3137" t="inlineStr">
        <is>
          <t>TORSBY</t>
        </is>
      </c>
      <c r="F3137" t="inlineStr">
        <is>
          <t>Kommuner</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6653-2025</t>
        </is>
      </c>
      <c r="B3138" s="1" t="n">
        <v>45700</v>
      </c>
      <c r="C3138" s="1" t="n">
        <v>45849</v>
      </c>
      <c r="D3138" t="inlineStr">
        <is>
          <t>VÄRMLANDS LÄN</t>
        </is>
      </c>
      <c r="E3138" t="inlineStr">
        <is>
          <t>TORSBY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6862-2025</t>
        </is>
      </c>
      <c r="B3139" s="1" t="n">
        <v>45700</v>
      </c>
      <c r="C3139" s="1" t="n">
        <v>45849</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6965-2025</t>
        </is>
      </c>
      <c r="B3140" s="1" t="n">
        <v>45701</v>
      </c>
      <c r="C3140" s="1" t="n">
        <v>45849</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7068-2025</t>
        </is>
      </c>
      <c r="B3141" s="1" t="n">
        <v>45701</v>
      </c>
      <c r="C3141" s="1" t="n">
        <v>45849</v>
      </c>
      <c r="D3141" t="inlineStr">
        <is>
          <t>VÄRMLANDS LÄN</t>
        </is>
      </c>
      <c r="E3141" t="inlineStr">
        <is>
          <t>TORSBY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6968-2025</t>
        </is>
      </c>
      <c r="B3142" s="1" t="n">
        <v>45701</v>
      </c>
      <c r="C3142" s="1" t="n">
        <v>45849</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7101-2025</t>
        </is>
      </c>
      <c r="B3143" s="1" t="n">
        <v>45701</v>
      </c>
      <c r="C3143" s="1" t="n">
        <v>45849</v>
      </c>
      <c r="D3143" t="inlineStr">
        <is>
          <t>VÄRMLANDS LÄN</t>
        </is>
      </c>
      <c r="E3143" t="inlineStr">
        <is>
          <t>TORSBY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7065-2025</t>
        </is>
      </c>
      <c r="B3144" s="1" t="n">
        <v>45701</v>
      </c>
      <c r="C3144" s="1" t="n">
        <v>45849</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7214-2025</t>
        </is>
      </c>
      <c r="B3145" s="1" t="n">
        <v>45702</v>
      </c>
      <c r="C3145" s="1" t="n">
        <v>45849</v>
      </c>
      <c r="D3145" t="inlineStr">
        <is>
          <t>VÄRMLANDS LÄN</t>
        </is>
      </c>
      <c r="E3145" t="inlineStr">
        <is>
          <t>TORSBY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7215-2025</t>
        </is>
      </c>
      <c r="B3146" s="1" t="n">
        <v>45702</v>
      </c>
      <c r="C3146" s="1" t="n">
        <v>45849</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7178-2025</t>
        </is>
      </c>
      <c r="B3147" s="1" t="n">
        <v>45702</v>
      </c>
      <c r="C3147" s="1" t="n">
        <v>45849</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7643-2025</t>
        </is>
      </c>
      <c r="B3148" s="1" t="n">
        <v>45705</v>
      </c>
      <c r="C3148" s="1" t="n">
        <v>45849</v>
      </c>
      <c r="D3148" t="inlineStr">
        <is>
          <t>VÄRMLANDS LÄN</t>
        </is>
      </c>
      <c r="E3148" t="inlineStr">
        <is>
          <t>TORSBY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7378-2025</t>
        </is>
      </c>
      <c r="B3149" s="1" t="n">
        <v>45705</v>
      </c>
      <c r="C3149" s="1" t="n">
        <v>45849</v>
      </c>
      <c r="D3149" t="inlineStr">
        <is>
          <t>VÄRMLANDS LÄN</t>
        </is>
      </c>
      <c r="E3149" t="inlineStr">
        <is>
          <t>TORSBY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7420-2025</t>
        </is>
      </c>
      <c r="B3150" s="1" t="n">
        <v>45705</v>
      </c>
      <c r="C3150" s="1" t="n">
        <v>45849</v>
      </c>
      <c r="D3150" t="inlineStr">
        <is>
          <t>VÄRMLANDS LÄN</t>
        </is>
      </c>
      <c r="E3150" t="inlineStr">
        <is>
          <t>TORSBY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7829-2025</t>
        </is>
      </c>
      <c r="B3151" s="1" t="n">
        <v>45706</v>
      </c>
      <c r="C3151" s="1" t="n">
        <v>45849</v>
      </c>
      <c r="D3151" t="inlineStr">
        <is>
          <t>VÄRMLANDS LÄN</t>
        </is>
      </c>
      <c r="E3151" t="inlineStr">
        <is>
          <t>TORSBY</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8070-2025</t>
        </is>
      </c>
      <c r="B3152" s="1" t="n">
        <v>45707</v>
      </c>
      <c r="C3152" s="1" t="n">
        <v>45849</v>
      </c>
      <c r="D3152" t="inlineStr">
        <is>
          <t>VÄRMLANDS LÄN</t>
        </is>
      </c>
      <c r="E3152" t="inlineStr">
        <is>
          <t>TORSBY</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8018-2025</t>
        </is>
      </c>
      <c r="B3153" s="1" t="n">
        <v>45707</v>
      </c>
      <c r="C3153" s="1" t="n">
        <v>45849</v>
      </c>
      <c r="D3153" t="inlineStr">
        <is>
          <t>VÄRMLANDS LÄN</t>
        </is>
      </c>
      <c r="E3153" t="inlineStr">
        <is>
          <t>TORSBY</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8022-2025</t>
        </is>
      </c>
      <c r="B3154" s="1" t="n">
        <v>45707</v>
      </c>
      <c r="C3154" s="1" t="n">
        <v>45849</v>
      </c>
      <c r="D3154" t="inlineStr">
        <is>
          <t>VÄRMLANDS LÄN</t>
        </is>
      </c>
      <c r="E3154" t="inlineStr">
        <is>
          <t>TORSBY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8025-2025</t>
        </is>
      </c>
      <c r="B3155" s="1" t="n">
        <v>45707</v>
      </c>
      <c r="C3155" s="1" t="n">
        <v>45849</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7907-2025</t>
        </is>
      </c>
      <c r="B3156" s="1" t="n">
        <v>45707</v>
      </c>
      <c r="C3156" s="1" t="n">
        <v>45849</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8197-2025</t>
        </is>
      </c>
      <c r="B3157" s="1" t="n">
        <v>45708</v>
      </c>
      <c r="C3157" s="1" t="n">
        <v>45849</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8188-2025</t>
        </is>
      </c>
      <c r="B3158" s="1" t="n">
        <v>45708</v>
      </c>
      <c r="C3158" s="1" t="n">
        <v>45849</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8428-2025</t>
        </is>
      </c>
      <c r="B3159" s="1" t="n">
        <v>45709</v>
      </c>
      <c r="C3159" s="1" t="n">
        <v>45849</v>
      </c>
      <c r="D3159" t="inlineStr">
        <is>
          <t>VÄRMLANDS LÄN</t>
        </is>
      </c>
      <c r="E3159" t="inlineStr">
        <is>
          <t>TORSBY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8398-2025</t>
        </is>
      </c>
      <c r="B3160" s="1" t="n">
        <v>45709</v>
      </c>
      <c r="C3160" s="1" t="n">
        <v>45849</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8685-2025</t>
        </is>
      </c>
      <c r="B3161" s="1" t="n">
        <v>45712</v>
      </c>
      <c r="C3161" s="1" t="n">
        <v>45849</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8979-2025</t>
        </is>
      </c>
      <c r="B3162" s="1" t="n">
        <v>45713</v>
      </c>
      <c r="C3162" s="1" t="n">
        <v>45849</v>
      </c>
      <c r="D3162" t="inlineStr">
        <is>
          <t>VÄRMLANDS LÄN</t>
        </is>
      </c>
      <c r="E3162" t="inlineStr">
        <is>
          <t>TORSBY</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9171-2025</t>
        </is>
      </c>
      <c r="B3163" s="1" t="n">
        <v>45713</v>
      </c>
      <c r="C3163" s="1" t="n">
        <v>45849</v>
      </c>
      <c r="D3163" t="inlineStr">
        <is>
          <t>VÄRMLANDS LÄN</t>
        </is>
      </c>
      <c r="E3163" t="inlineStr">
        <is>
          <t>TORSBY</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9226-2025</t>
        </is>
      </c>
      <c r="B3164" s="1" t="n">
        <v>45714</v>
      </c>
      <c r="C3164" s="1" t="n">
        <v>45849</v>
      </c>
      <c r="D3164" t="inlineStr">
        <is>
          <t>VÄRMLANDS LÄN</t>
        </is>
      </c>
      <c r="E3164" t="inlineStr">
        <is>
          <t>TORSBY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9286-2025</t>
        </is>
      </c>
      <c r="B3165" s="1" t="n">
        <v>45714</v>
      </c>
      <c r="C3165" s="1" t="n">
        <v>45849</v>
      </c>
      <c r="D3165" t="inlineStr">
        <is>
          <t>VÄRMLANDS LÄN</t>
        </is>
      </c>
      <c r="E3165" t="inlineStr">
        <is>
          <t>TORSBY</t>
        </is>
      </c>
      <c r="F3165" t="inlineStr">
        <is>
          <t>Kommuner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9628-2025</t>
        </is>
      </c>
      <c r="B3166" s="1" t="n">
        <v>45714</v>
      </c>
      <c r="C3166" s="1" t="n">
        <v>45849</v>
      </c>
      <c r="D3166" t="inlineStr">
        <is>
          <t>VÄRMLANDS LÄN</t>
        </is>
      </c>
      <c r="E3166" t="inlineStr">
        <is>
          <t>TORSBY</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9729-2025</t>
        </is>
      </c>
      <c r="B3167" s="1" t="n">
        <v>45715</v>
      </c>
      <c r="C3167" s="1" t="n">
        <v>45849</v>
      </c>
      <c r="D3167" t="inlineStr">
        <is>
          <t>VÄRMLANDS LÄN</t>
        </is>
      </c>
      <c r="E3167" t="inlineStr">
        <is>
          <t>TORSBY</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9723-2025</t>
        </is>
      </c>
      <c r="B3168" s="1" t="n">
        <v>45715</v>
      </c>
      <c r="C3168" s="1" t="n">
        <v>45849</v>
      </c>
      <c r="D3168" t="inlineStr">
        <is>
          <t>VÄRMLANDS LÄN</t>
        </is>
      </c>
      <c r="E3168" t="inlineStr">
        <is>
          <t>TORSBY</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9704-2025</t>
        </is>
      </c>
      <c r="B3169" s="1" t="n">
        <v>45716</v>
      </c>
      <c r="C3169" s="1" t="n">
        <v>45849</v>
      </c>
      <c r="D3169" t="inlineStr">
        <is>
          <t>VÄRMLANDS LÄN</t>
        </is>
      </c>
      <c r="E3169" t="inlineStr">
        <is>
          <t>TORSBY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9942-2025</t>
        </is>
      </c>
      <c r="B3170" s="1" t="n">
        <v>45719</v>
      </c>
      <c r="C3170" s="1" t="n">
        <v>45849</v>
      </c>
      <c r="D3170" t="inlineStr">
        <is>
          <t>VÄRMLANDS LÄN</t>
        </is>
      </c>
      <c r="E3170" t="inlineStr">
        <is>
          <t>TORSBY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10006-2025</t>
        </is>
      </c>
      <c r="B3171" s="1" t="n">
        <v>45719</v>
      </c>
      <c r="C3171" s="1" t="n">
        <v>45849</v>
      </c>
      <c r="D3171" t="inlineStr">
        <is>
          <t>VÄRMLANDS LÄN</t>
        </is>
      </c>
      <c r="E3171" t="inlineStr">
        <is>
          <t>TORSBY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10023-2025</t>
        </is>
      </c>
      <c r="B3172" s="1" t="n">
        <v>45719</v>
      </c>
      <c r="C3172" s="1" t="n">
        <v>45849</v>
      </c>
      <c r="D3172" t="inlineStr">
        <is>
          <t>VÄRMLANDS LÄN</t>
        </is>
      </c>
      <c r="E3172" t="inlineStr">
        <is>
          <t>TORSBY</t>
        </is>
      </c>
      <c r="F3172" t="inlineStr">
        <is>
          <t>Bergvik skog väst AB</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10108-2025</t>
        </is>
      </c>
      <c r="B3173" s="1" t="n">
        <v>45719</v>
      </c>
      <c r="C3173" s="1" t="n">
        <v>45849</v>
      </c>
      <c r="D3173" t="inlineStr">
        <is>
          <t>VÄRMLANDS LÄN</t>
        </is>
      </c>
      <c r="E3173" t="inlineStr">
        <is>
          <t>TORSBY</t>
        </is>
      </c>
      <c r="F3173" t="inlineStr">
        <is>
          <t>Bergvik skog väst AB</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10292-2025</t>
        </is>
      </c>
      <c r="B3174" s="1" t="n">
        <v>45720</v>
      </c>
      <c r="C3174" s="1" t="n">
        <v>45849</v>
      </c>
      <c r="D3174" t="inlineStr">
        <is>
          <t>VÄRMLANDS LÄN</t>
        </is>
      </c>
      <c r="E3174" t="inlineStr">
        <is>
          <t>TORSBY</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10342-2025</t>
        </is>
      </c>
      <c r="B3175" s="1" t="n">
        <v>45720</v>
      </c>
      <c r="C3175" s="1" t="n">
        <v>45849</v>
      </c>
      <c r="D3175" t="inlineStr">
        <is>
          <t>VÄRMLANDS LÄN</t>
        </is>
      </c>
      <c r="E3175" t="inlineStr">
        <is>
          <t>TORSBY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10329-2025</t>
        </is>
      </c>
      <c r="B3176" s="1" t="n">
        <v>45720</v>
      </c>
      <c r="C3176" s="1" t="n">
        <v>45849</v>
      </c>
      <c r="D3176" t="inlineStr">
        <is>
          <t>VÄRMLANDS LÄN</t>
        </is>
      </c>
      <c r="E3176" t="inlineStr">
        <is>
          <t>TORSBY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10288-2025</t>
        </is>
      </c>
      <c r="B3177" s="1" t="n">
        <v>45720</v>
      </c>
      <c r="C3177" s="1" t="n">
        <v>45849</v>
      </c>
      <c r="D3177" t="inlineStr">
        <is>
          <t>VÄRMLANDS LÄN</t>
        </is>
      </c>
      <c r="E3177" t="inlineStr">
        <is>
          <t>TORSBY</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10456-2025</t>
        </is>
      </c>
      <c r="B3178" s="1" t="n">
        <v>45720</v>
      </c>
      <c r="C3178" s="1" t="n">
        <v>45849</v>
      </c>
      <c r="D3178" t="inlineStr">
        <is>
          <t>VÄRMLANDS LÄN</t>
        </is>
      </c>
      <c r="E3178" t="inlineStr">
        <is>
          <t>TORSBY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10343-2025</t>
        </is>
      </c>
      <c r="B3179" s="1" t="n">
        <v>45720</v>
      </c>
      <c r="C3179" s="1" t="n">
        <v>45849</v>
      </c>
      <c r="D3179" t="inlineStr">
        <is>
          <t>VÄRMLANDS LÄN</t>
        </is>
      </c>
      <c r="E3179" t="inlineStr">
        <is>
          <t>TORSBY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10816-2025</t>
        </is>
      </c>
      <c r="B3180" s="1" t="n">
        <v>45722</v>
      </c>
      <c r="C3180" s="1" t="n">
        <v>45849</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10917-2025</t>
        </is>
      </c>
      <c r="B3181" s="1" t="n">
        <v>45722</v>
      </c>
      <c r="C3181" s="1" t="n">
        <v>45849</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10979-2025</t>
        </is>
      </c>
      <c r="B3182" s="1" t="n">
        <v>45723</v>
      </c>
      <c r="C3182" s="1" t="n">
        <v>45849</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11195-2025</t>
        </is>
      </c>
      <c r="B3183" s="1" t="n">
        <v>45725</v>
      </c>
      <c r="C3183" s="1" t="n">
        <v>45849</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11395-2025</t>
        </is>
      </c>
      <c r="B3184" s="1" t="n">
        <v>45726</v>
      </c>
      <c r="C3184" s="1" t="n">
        <v>45849</v>
      </c>
      <c r="D3184" t="inlineStr">
        <is>
          <t>VÄRMLANDS LÄN</t>
        </is>
      </c>
      <c r="E3184" t="inlineStr">
        <is>
          <t>TORSBY</t>
        </is>
      </c>
      <c r="G3184" t="n">
        <v>25.3</v>
      </c>
      <c r="H3184" t="n">
        <v>0</v>
      </c>
      <c r="I3184" t="n">
        <v>0</v>
      </c>
      <c r="J3184" t="n">
        <v>0</v>
      </c>
      <c r="K3184" t="n">
        <v>0</v>
      </c>
      <c r="L3184" t="n">
        <v>0</v>
      </c>
      <c r="M3184" t="n">
        <v>0</v>
      </c>
      <c r="N3184" t="n">
        <v>0</v>
      </c>
      <c r="O3184" t="n">
        <v>0</v>
      </c>
      <c r="P3184" t="n">
        <v>0</v>
      </c>
      <c r="Q3184" t="n">
        <v>0</v>
      </c>
      <c r="R3184" s="2" t="inlineStr"/>
    </row>
    <row r="3185" ht="15" customHeight="1">
      <c r="A3185" t="inlineStr">
        <is>
          <t>A 11406-2025</t>
        </is>
      </c>
      <c r="B3185" s="1" t="n">
        <v>45726</v>
      </c>
      <c r="C3185" s="1" t="n">
        <v>45849</v>
      </c>
      <c r="D3185" t="inlineStr">
        <is>
          <t>VÄRMLANDS LÄN</t>
        </is>
      </c>
      <c r="E3185" t="inlineStr">
        <is>
          <t>TORSBY</t>
        </is>
      </c>
      <c r="G3185" t="n">
        <v>29.3</v>
      </c>
      <c r="H3185" t="n">
        <v>0</v>
      </c>
      <c r="I3185" t="n">
        <v>0</v>
      </c>
      <c r="J3185" t="n">
        <v>0</v>
      </c>
      <c r="K3185" t="n">
        <v>0</v>
      </c>
      <c r="L3185" t="n">
        <v>0</v>
      </c>
      <c r="M3185" t="n">
        <v>0</v>
      </c>
      <c r="N3185" t="n">
        <v>0</v>
      </c>
      <c r="O3185" t="n">
        <v>0</v>
      </c>
      <c r="P3185" t="n">
        <v>0</v>
      </c>
      <c r="Q3185" t="n">
        <v>0</v>
      </c>
      <c r="R3185" s="2" t="inlineStr"/>
    </row>
    <row r="3186" ht="15" customHeight="1">
      <c r="A3186" t="inlineStr">
        <is>
          <t>A 11427-2025</t>
        </is>
      </c>
      <c r="B3186" s="1" t="n">
        <v>45726</v>
      </c>
      <c r="C3186" s="1" t="n">
        <v>45849</v>
      </c>
      <c r="D3186" t="inlineStr">
        <is>
          <t>VÄRMLANDS LÄN</t>
        </is>
      </c>
      <c r="E3186" t="inlineStr">
        <is>
          <t>TORSBY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11431-2025</t>
        </is>
      </c>
      <c r="B3187" s="1" t="n">
        <v>45726</v>
      </c>
      <c r="C3187" s="1" t="n">
        <v>45849</v>
      </c>
      <c r="D3187" t="inlineStr">
        <is>
          <t>VÄRMLANDS LÄN</t>
        </is>
      </c>
      <c r="E3187" t="inlineStr">
        <is>
          <t>TORSBY</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11670-2025</t>
        </is>
      </c>
      <c r="B3188" s="1" t="n">
        <v>45727</v>
      </c>
      <c r="C3188" s="1" t="n">
        <v>45849</v>
      </c>
      <c r="D3188" t="inlineStr">
        <is>
          <t>VÄRMLANDS LÄN</t>
        </is>
      </c>
      <c r="E3188" t="inlineStr">
        <is>
          <t>TORSBY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11569-2025</t>
        </is>
      </c>
      <c r="B3189" s="1" t="n">
        <v>45727</v>
      </c>
      <c r="C3189" s="1" t="n">
        <v>45849</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11581-2025</t>
        </is>
      </c>
      <c r="B3190" s="1" t="n">
        <v>45727</v>
      </c>
      <c r="C3190" s="1" t="n">
        <v>45849</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11672-2025</t>
        </is>
      </c>
      <c r="B3191" s="1" t="n">
        <v>45727</v>
      </c>
      <c r="C3191" s="1" t="n">
        <v>45849</v>
      </c>
      <c r="D3191" t="inlineStr">
        <is>
          <t>VÄRMLANDS LÄN</t>
        </is>
      </c>
      <c r="E3191" t="inlineStr">
        <is>
          <t>TORSBY</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11677-2025</t>
        </is>
      </c>
      <c r="B3192" s="1" t="n">
        <v>45727</v>
      </c>
      <c r="C3192" s="1" t="n">
        <v>45849</v>
      </c>
      <c r="D3192" t="inlineStr">
        <is>
          <t>VÄRMLANDS LÄN</t>
        </is>
      </c>
      <c r="E3192" t="inlineStr">
        <is>
          <t>TORSBY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11842-2025</t>
        </is>
      </c>
      <c r="B3193" s="1" t="n">
        <v>45728</v>
      </c>
      <c r="C3193" s="1" t="n">
        <v>45849</v>
      </c>
      <c r="D3193" t="inlineStr">
        <is>
          <t>VÄRMLANDS LÄN</t>
        </is>
      </c>
      <c r="E3193" t="inlineStr">
        <is>
          <t>TORSBY</t>
        </is>
      </c>
      <c r="F3193" t="inlineStr">
        <is>
          <t>Bergvik skog väst AB</t>
        </is>
      </c>
      <c r="G3193" t="n">
        <v>32.1</v>
      </c>
      <c r="H3193" t="n">
        <v>0</v>
      </c>
      <c r="I3193" t="n">
        <v>0</v>
      </c>
      <c r="J3193" t="n">
        <v>0</v>
      </c>
      <c r="K3193" t="n">
        <v>0</v>
      </c>
      <c r="L3193" t="n">
        <v>0</v>
      </c>
      <c r="M3193" t="n">
        <v>0</v>
      </c>
      <c r="N3193" t="n">
        <v>0</v>
      </c>
      <c r="O3193" t="n">
        <v>0</v>
      </c>
      <c r="P3193" t="n">
        <v>0</v>
      </c>
      <c r="Q3193" t="n">
        <v>0</v>
      </c>
      <c r="R3193" s="2" t="inlineStr"/>
    </row>
    <row r="3194" ht="15" customHeight="1">
      <c r="A3194" t="inlineStr">
        <is>
          <t>A 11872-2025</t>
        </is>
      </c>
      <c r="B3194" s="1" t="n">
        <v>45728</v>
      </c>
      <c r="C3194" s="1" t="n">
        <v>45849</v>
      </c>
      <c r="D3194" t="inlineStr">
        <is>
          <t>VÄRMLANDS LÄN</t>
        </is>
      </c>
      <c r="E3194" t="inlineStr">
        <is>
          <t>TORSBY</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11868-2025</t>
        </is>
      </c>
      <c r="B3195" s="1" t="n">
        <v>45728</v>
      </c>
      <c r="C3195" s="1" t="n">
        <v>45849</v>
      </c>
      <c r="D3195" t="inlineStr">
        <is>
          <t>VÄRMLANDS LÄN</t>
        </is>
      </c>
      <c r="E3195" t="inlineStr">
        <is>
          <t>TORSBY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11963-2025</t>
        </is>
      </c>
      <c r="B3196" s="1" t="n">
        <v>45728</v>
      </c>
      <c r="C3196" s="1" t="n">
        <v>45849</v>
      </c>
      <c r="D3196" t="inlineStr">
        <is>
          <t>VÄRMLANDS LÄN</t>
        </is>
      </c>
      <c r="E3196" t="inlineStr">
        <is>
          <t>TORSBY</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12158-2025</t>
        </is>
      </c>
      <c r="B3197" s="1" t="n">
        <v>45729</v>
      </c>
      <c r="C3197" s="1" t="n">
        <v>45849</v>
      </c>
      <c r="D3197" t="inlineStr">
        <is>
          <t>VÄRMLANDS LÄN</t>
        </is>
      </c>
      <c r="E3197" t="inlineStr">
        <is>
          <t>TORSBY</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12163-2025</t>
        </is>
      </c>
      <c r="B3198" s="1" t="n">
        <v>45729</v>
      </c>
      <c r="C3198" s="1" t="n">
        <v>45849</v>
      </c>
      <c r="D3198" t="inlineStr">
        <is>
          <t>VÄRMLANDS LÄN</t>
        </is>
      </c>
      <c r="E3198" t="inlineStr">
        <is>
          <t>TORSBY</t>
        </is>
      </c>
      <c r="F3198" t="inlineStr">
        <is>
          <t>Övriga statliga verk och myndigheter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12528-2025</t>
        </is>
      </c>
      <c r="B3199" s="1" t="n">
        <v>45730</v>
      </c>
      <c r="C3199" s="1" t="n">
        <v>45849</v>
      </c>
      <c r="D3199" t="inlineStr">
        <is>
          <t>VÄRMLANDS LÄN</t>
        </is>
      </c>
      <c r="E3199" t="inlineStr">
        <is>
          <t>TORSBY</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12440-2025</t>
        </is>
      </c>
      <c r="B3200" s="1" t="n">
        <v>45730</v>
      </c>
      <c r="C3200" s="1" t="n">
        <v>45849</v>
      </c>
      <c r="D3200" t="inlineStr">
        <is>
          <t>VÄRMLANDS LÄN</t>
        </is>
      </c>
      <c r="E3200" t="inlineStr">
        <is>
          <t>TORSBY</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12402-2025</t>
        </is>
      </c>
      <c r="B3201" s="1" t="n">
        <v>45730</v>
      </c>
      <c r="C3201" s="1" t="n">
        <v>45849</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12554-2025</t>
        </is>
      </c>
      <c r="B3202" s="1" t="n">
        <v>45731</v>
      </c>
      <c r="C3202" s="1" t="n">
        <v>45849</v>
      </c>
      <c r="D3202" t="inlineStr">
        <is>
          <t>VÄRMLANDS LÄN</t>
        </is>
      </c>
      <c r="E3202" t="inlineStr">
        <is>
          <t>TORSBY</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12556-2025</t>
        </is>
      </c>
      <c r="B3203" s="1" t="n">
        <v>45731</v>
      </c>
      <c r="C3203" s="1" t="n">
        <v>45849</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12574-2025</t>
        </is>
      </c>
      <c r="B3204" s="1" t="n">
        <v>45732</v>
      </c>
      <c r="C3204" s="1" t="n">
        <v>45849</v>
      </c>
      <c r="D3204" t="inlineStr">
        <is>
          <t>VÄRMLANDS LÄN</t>
        </is>
      </c>
      <c r="E3204" t="inlineStr">
        <is>
          <t>TORSBY</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13006-2025</t>
        </is>
      </c>
      <c r="B3205" s="1" t="n">
        <v>45734</v>
      </c>
      <c r="C3205" s="1" t="n">
        <v>45849</v>
      </c>
      <c r="D3205" t="inlineStr">
        <is>
          <t>VÄRMLANDS LÄN</t>
        </is>
      </c>
      <c r="E3205" t="inlineStr">
        <is>
          <t>TORSBY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12959-2025</t>
        </is>
      </c>
      <c r="B3206" s="1" t="n">
        <v>45734</v>
      </c>
      <c r="C3206" s="1" t="n">
        <v>45849</v>
      </c>
      <c r="D3206" t="inlineStr">
        <is>
          <t>VÄRMLANDS LÄN</t>
        </is>
      </c>
      <c r="E3206" t="inlineStr">
        <is>
          <t>TORSBY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12948-2025</t>
        </is>
      </c>
      <c r="B3207" s="1" t="n">
        <v>45734</v>
      </c>
      <c r="C3207" s="1" t="n">
        <v>45849</v>
      </c>
      <c r="D3207" t="inlineStr">
        <is>
          <t>VÄRMLANDS LÄN</t>
        </is>
      </c>
      <c r="E3207" t="inlineStr">
        <is>
          <t>TORSBY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13166-2025</t>
        </is>
      </c>
      <c r="B3208" s="1" t="n">
        <v>45735</v>
      </c>
      <c r="C3208" s="1" t="n">
        <v>45849</v>
      </c>
      <c r="D3208" t="inlineStr">
        <is>
          <t>VÄRMLANDS LÄN</t>
        </is>
      </c>
      <c r="E3208" t="inlineStr">
        <is>
          <t>TORSBY</t>
        </is>
      </c>
      <c r="F3208" t="inlineStr">
        <is>
          <t>Bergvik skog väst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13189-2025</t>
        </is>
      </c>
      <c r="B3209" s="1" t="n">
        <v>45735</v>
      </c>
      <c r="C3209" s="1" t="n">
        <v>45849</v>
      </c>
      <c r="D3209" t="inlineStr">
        <is>
          <t>VÄRMLANDS LÄN</t>
        </is>
      </c>
      <c r="E3209" t="inlineStr">
        <is>
          <t>TORSBY</t>
        </is>
      </c>
      <c r="G3209" t="n">
        <v>15.4</v>
      </c>
      <c r="H3209" t="n">
        <v>0</v>
      </c>
      <c r="I3209" t="n">
        <v>0</v>
      </c>
      <c r="J3209" t="n">
        <v>0</v>
      </c>
      <c r="K3209" t="n">
        <v>0</v>
      </c>
      <c r="L3209" t="n">
        <v>0</v>
      </c>
      <c r="M3209" t="n">
        <v>0</v>
      </c>
      <c r="N3209" t="n">
        <v>0</v>
      </c>
      <c r="O3209" t="n">
        <v>0</v>
      </c>
      <c r="P3209" t="n">
        <v>0</v>
      </c>
      <c r="Q3209" t="n">
        <v>0</v>
      </c>
      <c r="R3209" s="2" t="inlineStr"/>
    </row>
    <row r="3210" ht="15" customHeight="1">
      <c r="A3210" t="inlineStr">
        <is>
          <t>A 13191-2025</t>
        </is>
      </c>
      <c r="B3210" s="1" t="n">
        <v>45735</v>
      </c>
      <c r="C3210" s="1" t="n">
        <v>45849</v>
      </c>
      <c r="D3210" t="inlineStr">
        <is>
          <t>VÄRMLANDS LÄN</t>
        </is>
      </c>
      <c r="E3210" t="inlineStr">
        <is>
          <t>TORSBY</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13285-2025</t>
        </is>
      </c>
      <c r="B3211" s="1" t="n">
        <v>45735</v>
      </c>
      <c r="C3211" s="1" t="n">
        <v>45849</v>
      </c>
      <c r="D3211" t="inlineStr">
        <is>
          <t>VÄRMLANDS LÄN</t>
        </is>
      </c>
      <c r="E3211" t="inlineStr">
        <is>
          <t>TORSBY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13924-2025</t>
        </is>
      </c>
      <c r="B3212" s="1" t="n">
        <v>45737</v>
      </c>
      <c r="C3212" s="1" t="n">
        <v>45849</v>
      </c>
      <c r="D3212" t="inlineStr">
        <is>
          <t>VÄRMLANDS LÄN</t>
        </is>
      </c>
      <c r="E3212" t="inlineStr">
        <is>
          <t>TORSBY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13709-2025</t>
        </is>
      </c>
      <c r="B3213" s="1" t="n">
        <v>45737</v>
      </c>
      <c r="C3213" s="1" t="n">
        <v>45849</v>
      </c>
      <c r="D3213" t="inlineStr">
        <is>
          <t>VÄRMLANDS LÄN</t>
        </is>
      </c>
      <c r="E3213" t="inlineStr">
        <is>
          <t>TORSBY</t>
        </is>
      </c>
      <c r="F3213" t="inlineStr">
        <is>
          <t>Bergvik skog väst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13771-2025</t>
        </is>
      </c>
      <c r="B3214" s="1" t="n">
        <v>45737</v>
      </c>
      <c r="C3214" s="1" t="n">
        <v>45849</v>
      </c>
      <c r="D3214" t="inlineStr">
        <is>
          <t>VÄRMLANDS LÄN</t>
        </is>
      </c>
      <c r="E3214" t="inlineStr">
        <is>
          <t>TORSBY</t>
        </is>
      </c>
      <c r="G3214" t="n">
        <v>19.7</v>
      </c>
      <c r="H3214" t="n">
        <v>0</v>
      </c>
      <c r="I3214" t="n">
        <v>0</v>
      </c>
      <c r="J3214" t="n">
        <v>0</v>
      </c>
      <c r="K3214" t="n">
        <v>0</v>
      </c>
      <c r="L3214" t="n">
        <v>0</v>
      </c>
      <c r="M3214" t="n">
        <v>0</v>
      </c>
      <c r="N3214" t="n">
        <v>0</v>
      </c>
      <c r="O3214" t="n">
        <v>0</v>
      </c>
      <c r="P3214" t="n">
        <v>0</v>
      </c>
      <c r="Q3214" t="n">
        <v>0</v>
      </c>
      <c r="R3214" s="2" t="inlineStr"/>
    </row>
    <row r="3215" ht="15" customHeight="1">
      <c r="A3215" t="inlineStr">
        <is>
          <t>A 14025-2025</t>
        </is>
      </c>
      <c r="B3215" s="1" t="n">
        <v>45740</v>
      </c>
      <c r="C3215" s="1" t="n">
        <v>45849</v>
      </c>
      <c r="D3215" t="inlineStr">
        <is>
          <t>VÄRMLANDS LÄN</t>
        </is>
      </c>
      <c r="E3215" t="inlineStr">
        <is>
          <t>TORSBY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14026-2025</t>
        </is>
      </c>
      <c r="B3216" s="1" t="n">
        <v>45740</v>
      </c>
      <c r="C3216" s="1" t="n">
        <v>45849</v>
      </c>
      <c r="D3216" t="inlineStr">
        <is>
          <t>VÄRMLANDS LÄN</t>
        </is>
      </c>
      <c r="E3216" t="inlineStr">
        <is>
          <t>TORSBY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14084-2025</t>
        </is>
      </c>
      <c r="B3217" s="1" t="n">
        <v>45740</v>
      </c>
      <c r="C3217" s="1" t="n">
        <v>45849</v>
      </c>
      <c r="D3217" t="inlineStr">
        <is>
          <t>VÄRMLANDS LÄN</t>
        </is>
      </c>
      <c r="E3217" t="inlineStr">
        <is>
          <t>TORSBY</t>
        </is>
      </c>
      <c r="F3217" t="inlineStr">
        <is>
          <t>Bergvik skog väst AB</t>
        </is>
      </c>
      <c r="G3217" t="n">
        <v>12.2</v>
      </c>
      <c r="H3217" t="n">
        <v>0</v>
      </c>
      <c r="I3217" t="n">
        <v>0</v>
      </c>
      <c r="J3217" t="n">
        <v>0</v>
      </c>
      <c r="K3217" t="n">
        <v>0</v>
      </c>
      <c r="L3217" t="n">
        <v>0</v>
      </c>
      <c r="M3217" t="n">
        <v>0</v>
      </c>
      <c r="N3217" t="n">
        <v>0</v>
      </c>
      <c r="O3217" t="n">
        <v>0</v>
      </c>
      <c r="P3217" t="n">
        <v>0</v>
      </c>
      <c r="Q3217" t="n">
        <v>0</v>
      </c>
      <c r="R3217" s="2" t="inlineStr"/>
    </row>
    <row r="3218" ht="15" customHeight="1">
      <c r="A3218" t="inlineStr">
        <is>
          <t>A 14023-2025</t>
        </is>
      </c>
      <c r="B3218" s="1" t="n">
        <v>45740</v>
      </c>
      <c r="C3218" s="1" t="n">
        <v>45849</v>
      </c>
      <c r="D3218" t="inlineStr">
        <is>
          <t>VÄRMLANDS LÄN</t>
        </is>
      </c>
      <c r="E3218" t="inlineStr">
        <is>
          <t>TORSBY</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14047-2025</t>
        </is>
      </c>
      <c r="B3219" s="1" t="n">
        <v>45740</v>
      </c>
      <c r="C3219" s="1" t="n">
        <v>45849</v>
      </c>
      <c r="D3219" t="inlineStr">
        <is>
          <t>VÄRMLANDS LÄN</t>
        </is>
      </c>
      <c r="E3219" t="inlineStr">
        <is>
          <t>TORSBY</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14062-2025</t>
        </is>
      </c>
      <c r="B3220" s="1" t="n">
        <v>45740</v>
      </c>
      <c r="C3220" s="1" t="n">
        <v>45849</v>
      </c>
      <c r="D3220" t="inlineStr">
        <is>
          <t>VÄRMLANDS LÄN</t>
        </is>
      </c>
      <c r="E3220" t="inlineStr">
        <is>
          <t>TORSBY</t>
        </is>
      </c>
      <c r="F3220" t="inlineStr">
        <is>
          <t>Bergvik skog väst AB</t>
        </is>
      </c>
      <c r="G3220" t="n">
        <v>41.1</v>
      </c>
      <c r="H3220" t="n">
        <v>0</v>
      </c>
      <c r="I3220" t="n">
        <v>0</v>
      </c>
      <c r="J3220" t="n">
        <v>0</v>
      </c>
      <c r="K3220" t="n">
        <v>0</v>
      </c>
      <c r="L3220" t="n">
        <v>0</v>
      </c>
      <c r="M3220" t="n">
        <v>0</v>
      </c>
      <c r="N3220" t="n">
        <v>0</v>
      </c>
      <c r="O3220" t="n">
        <v>0</v>
      </c>
      <c r="P3220" t="n">
        <v>0</v>
      </c>
      <c r="Q3220" t="n">
        <v>0</v>
      </c>
      <c r="R3220" s="2" t="inlineStr"/>
    </row>
    <row r="3221" ht="15" customHeight="1">
      <c r="A3221" t="inlineStr">
        <is>
          <t>A 14162-2025</t>
        </is>
      </c>
      <c r="B3221" s="1" t="n">
        <v>45740</v>
      </c>
      <c r="C3221" s="1" t="n">
        <v>45849</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14120-2025</t>
        </is>
      </c>
      <c r="B3222" s="1" t="n">
        <v>45740</v>
      </c>
      <c r="C3222" s="1" t="n">
        <v>45849</v>
      </c>
      <c r="D3222" t="inlineStr">
        <is>
          <t>VÄRMLANDS LÄN</t>
        </is>
      </c>
      <c r="E3222" t="inlineStr">
        <is>
          <t>TORSBY</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14301-2025</t>
        </is>
      </c>
      <c r="B3223" s="1" t="n">
        <v>45740</v>
      </c>
      <c r="C3223" s="1" t="n">
        <v>45849</v>
      </c>
      <c r="D3223" t="inlineStr">
        <is>
          <t>VÄRMLANDS LÄN</t>
        </is>
      </c>
      <c r="E3223" t="inlineStr">
        <is>
          <t>TORSBY</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14413-2025</t>
        </is>
      </c>
      <c r="B3224" s="1" t="n">
        <v>45741</v>
      </c>
      <c r="C3224" s="1" t="n">
        <v>45849</v>
      </c>
      <c r="D3224" t="inlineStr">
        <is>
          <t>VÄRMLANDS LÄN</t>
        </is>
      </c>
      <c r="E3224" t="inlineStr">
        <is>
          <t>TORSBY</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14367-2025</t>
        </is>
      </c>
      <c r="B3225" s="1" t="n">
        <v>45741</v>
      </c>
      <c r="C3225" s="1" t="n">
        <v>45849</v>
      </c>
      <c r="D3225" t="inlineStr">
        <is>
          <t>VÄRMLANDS LÄN</t>
        </is>
      </c>
      <c r="E3225" t="inlineStr">
        <is>
          <t>TORSBY</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14419-2025</t>
        </is>
      </c>
      <c r="B3226" s="1" t="n">
        <v>45741</v>
      </c>
      <c r="C3226" s="1" t="n">
        <v>45849</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14525-2025</t>
        </is>
      </c>
      <c r="B3227" s="1" t="n">
        <v>45741</v>
      </c>
      <c r="C3227" s="1" t="n">
        <v>45849</v>
      </c>
      <c r="D3227" t="inlineStr">
        <is>
          <t>VÄRMLANDS LÄN</t>
        </is>
      </c>
      <c r="E3227" t="inlineStr">
        <is>
          <t>TORSBY</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14369-2025</t>
        </is>
      </c>
      <c r="B3228" s="1" t="n">
        <v>45741</v>
      </c>
      <c r="C3228" s="1" t="n">
        <v>45849</v>
      </c>
      <c r="D3228" t="inlineStr">
        <is>
          <t>VÄRMLANDS LÄN</t>
        </is>
      </c>
      <c r="E3228" t="inlineStr">
        <is>
          <t>TORSBY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14575-2025</t>
        </is>
      </c>
      <c r="B3229" s="1" t="n">
        <v>45742</v>
      </c>
      <c r="C3229" s="1" t="n">
        <v>45849</v>
      </c>
      <c r="D3229" t="inlineStr">
        <is>
          <t>VÄRMLANDS LÄN</t>
        </is>
      </c>
      <c r="E3229" t="inlineStr">
        <is>
          <t>TORSBY</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14613-2025</t>
        </is>
      </c>
      <c r="B3230" s="1" t="n">
        <v>45742</v>
      </c>
      <c r="C3230" s="1" t="n">
        <v>45849</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14614-2025</t>
        </is>
      </c>
      <c r="B3231" s="1" t="n">
        <v>45742</v>
      </c>
      <c r="C3231" s="1" t="n">
        <v>45849</v>
      </c>
      <c r="D3231" t="inlineStr">
        <is>
          <t>VÄRMLANDS LÄN</t>
        </is>
      </c>
      <c r="E3231" t="inlineStr">
        <is>
          <t>TORSBY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15019-2025</t>
        </is>
      </c>
      <c r="B3232" s="1" t="n">
        <v>45743</v>
      </c>
      <c r="C3232" s="1" t="n">
        <v>45849</v>
      </c>
      <c r="D3232" t="inlineStr">
        <is>
          <t>VÄRMLANDS LÄN</t>
        </is>
      </c>
      <c r="E3232" t="inlineStr">
        <is>
          <t>TORSBY</t>
        </is>
      </c>
      <c r="F3232" t="inlineStr">
        <is>
          <t>Övriga statliga verk och myndigheter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14967-2025</t>
        </is>
      </c>
      <c r="B3233" s="1" t="n">
        <v>45743</v>
      </c>
      <c r="C3233" s="1" t="n">
        <v>45849</v>
      </c>
      <c r="D3233" t="inlineStr">
        <is>
          <t>VÄRMLANDS LÄN</t>
        </is>
      </c>
      <c r="E3233" t="inlineStr">
        <is>
          <t>TORSBY</t>
        </is>
      </c>
      <c r="F3233" t="inlineStr">
        <is>
          <t>Bergvik skog väst AB</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14802-2025</t>
        </is>
      </c>
      <c r="B3234" s="1" t="n">
        <v>45743</v>
      </c>
      <c r="C3234" s="1" t="n">
        <v>45849</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14801-2025</t>
        </is>
      </c>
      <c r="B3235" s="1" t="n">
        <v>45743</v>
      </c>
      <c r="C3235" s="1" t="n">
        <v>45849</v>
      </c>
      <c r="D3235" t="inlineStr">
        <is>
          <t>VÄRMLANDS LÄN</t>
        </is>
      </c>
      <c r="E3235" t="inlineStr">
        <is>
          <t>TORSBY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15170-2025</t>
        </is>
      </c>
      <c r="B3236" s="1" t="n">
        <v>45743</v>
      </c>
      <c r="C3236" s="1" t="n">
        <v>45849</v>
      </c>
      <c r="D3236" t="inlineStr">
        <is>
          <t>VÄRMLANDS LÄN</t>
        </is>
      </c>
      <c r="E3236" t="inlineStr">
        <is>
          <t>TORSBY</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15022-2025</t>
        </is>
      </c>
      <c r="B3237" s="1" t="n">
        <v>45743</v>
      </c>
      <c r="C3237" s="1" t="n">
        <v>45849</v>
      </c>
      <c r="D3237" t="inlineStr">
        <is>
          <t>VÄRMLANDS LÄN</t>
        </is>
      </c>
      <c r="E3237" t="inlineStr">
        <is>
          <t>TORSBY</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14800-2025</t>
        </is>
      </c>
      <c r="B3238" s="1" t="n">
        <v>45743</v>
      </c>
      <c r="C3238" s="1" t="n">
        <v>45849</v>
      </c>
      <c r="D3238" t="inlineStr">
        <is>
          <t>VÄRMLANDS LÄN</t>
        </is>
      </c>
      <c r="E3238" t="inlineStr">
        <is>
          <t>TORSBY</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15014-2025</t>
        </is>
      </c>
      <c r="B3239" s="1" t="n">
        <v>45743</v>
      </c>
      <c r="C3239" s="1" t="n">
        <v>45849</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15063-2025</t>
        </is>
      </c>
      <c r="B3240" s="1" t="n">
        <v>45743</v>
      </c>
      <c r="C3240" s="1" t="n">
        <v>45849</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15154-2025</t>
        </is>
      </c>
      <c r="B3241" s="1" t="n">
        <v>45744</v>
      </c>
      <c r="C3241" s="1" t="n">
        <v>45849</v>
      </c>
      <c r="D3241" t="inlineStr">
        <is>
          <t>VÄRMLANDS LÄN</t>
        </is>
      </c>
      <c r="E3241" t="inlineStr">
        <is>
          <t>TORSBY</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15192-2025</t>
        </is>
      </c>
      <c r="B3242" s="1" t="n">
        <v>45744</v>
      </c>
      <c r="C3242" s="1" t="n">
        <v>45849</v>
      </c>
      <c r="D3242" t="inlineStr">
        <is>
          <t>VÄRMLANDS LÄN</t>
        </is>
      </c>
      <c r="E3242" t="inlineStr">
        <is>
          <t>TORSBY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15169-2025</t>
        </is>
      </c>
      <c r="B3243" s="1" t="n">
        <v>45744</v>
      </c>
      <c r="C3243" s="1" t="n">
        <v>45849</v>
      </c>
      <c r="D3243" t="inlineStr">
        <is>
          <t>VÄRMLANDS LÄN</t>
        </is>
      </c>
      <c r="E3243" t="inlineStr">
        <is>
          <t>TORSBY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15398-2025</t>
        </is>
      </c>
      <c r="B3244" s="1" t="n">
        <v>45747</v>
      </c>
      <c r="C3244" s="1" t="n">
        <v>45849</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15431-2025</t>
        </is>
      </c>
      <c r="B3245" s="1" t="n">
        <v>45747</v>
      </c>
      <c r="C3245" s="1" t="n">
        <v>45849</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15464-2025</t>
        </is>
      </c>
      <c r="B3246" s="1" t="n">
        <v>45747</v>
      </c>
      <c r="C3246" s="1" t="n">
        <v>45849</v>
      </c>
      <c r="D3246" t="inlineStr">
        <is>
          <t>VÄRMLANDS LÄN</t>
        </is>
      </c>
      <c r="E3246" t="inlineStr">
        <is>
          <t>TORSBY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15564-2025</t>
        </is>
      </c>
      <c r="B3247" s="1" t="n">
        <v>45747</v>
      </c>
      <c r="C3247" s="1" t="n">
        <v>45849</v>
      </c>
      <c r="D3247" t="inlineStr">
        <is>
          <t>VÄRMLANDS LÄN</t>
        </is>
      </c>
      <c r="E3247" t="inlineStr">
        <is>
          <t>TORSBY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15768-2025</t>
        </is>
      </c>
      <c r="B3248" s="1" t="n">
        <v>45748</v>
      </c>
      <c r="C3248" s="1" t="n">
        <v>45849</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15660-2025</t>
        </is>
      </c>
      <c r="B3249" s="1" t="n">
        <v>45748</v>
      </c>
      <c r="C3249" s="1" t="n">
        <v>45849</v>
      </c>
      <c r="D3249" t="inlineStr">
        <is>
          <t>VÄRMLANDS LÄN</t>
        </is>
      </c>
      <c r="E3249" t="inlineStr">
        <is>
          <t>TORSBY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15698-2025</t>
        </is>
      </c>
      <c r="B3250" s="1" t="n">
        <v>45748</v>
      </c>
      <c r="C3250" s="1" t="n">
        <v>45849</v>
      </c>
      <c r="D3250" t="inlineStr">
        <is>
          <t>VÄRMLANDS LÄN</t>
        </is>
      </c>
      <c r="E3250" t="inlineStr">
        <is>
          <t>TORSBY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15873-2025</t>
        </is>
      </c>
      <c r="B3251" s="1" t="n">
        <v>45749</v>
      </c>
      <c r="C3251" s="1" t="n">
        <v>45849</v>
      </c>
      <c r="D3251" t="inlineStr">
        <is>
          <t>VÄRMLANDS LÄN</t>
        </is>
      </c>
      <c r="E3251" t="inlineStr">
        <is>
          <t>TORSBY</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15931-2025</t>
        </is>
      </c>
      <c r="B3252" s="1" t="n">
        <v>45749</v>
      </c>
      <c r="C3252" s="1" t="n">
        <v>45849</v>
      </c>
      <c r="D3252" t="inlineStr">
        <is>
          <t>VÄRMLANDS LÄN</t>
        </is>
      </c>
      <c r="E3252" t="inlineStr">
        <is>
          <t>TORSBY</t>
        </is>
      </c>
      <c r="F3252" t="inlineStr">
        <is>
          <t>Bergvik skog väst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15959-2025</t>
        </is>
      </c>
      <c r="B3253" s="1" t="n">
        <v>45749</v>
      </c>
      <c r="C3253" s="1" t="n">
        <v>45849</v>
      </c>
      <c r="D3253" t="inlineStr">
        <is>
          <t>VÄRMLANDS LÄN</t>
        </is>
      </c>
      <c r="E3253" t="inlineStr">
        <is>
          <t>TORSBY</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15885-2025</t>
        </is>
      </c>
      <c r="B3254" s="1" t="n">
        <v>45749</v>
      </c>
      <c r="C3254" s="1" t="n">
        <v>45849</v>
      </c>
      <c r="D3254" t="inlineStr">
        <is>
          <t>VÄRMLANDS LÄN</t>
        </is>
      </c>
      <c r="E3254" t="inlineStr">
        <is>
          <t>TORSBY</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16017-2025</t>
        </is>
      </c>
      <c r="B3255" s="1" t="n">
        <v>45749</v>
      </c>
      <c r="C3255" s="1" t="n">
        <v>45849</v>
      </c>
      <c r="D3255" t="inlineStr">
        <is>
          <t>VÄRMLANDS LÄN</t>
        </is>
      </c>
      <c r="E3255" t="inlineStr">
        <is>
          <t>TORSBY</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16003-2025</t>
        </is>
      </c>
      <c r="B3256" s="1" t="n">
        <v>45749</v>
      </c>
      <c r="C3256" s="1" t="n">
        <v>45849</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16192-2025</t>
        </is>
      </c>
      <c r="B3257" s="1" t="n">
        <v>45750</v>
      </c>
      <c r="C3257" s="1" t="n">
        <v>45849</v>
      </c>
      <c r="D3257" t="inlineStr">
        <is>
          <t>VÄRMLANDS LÄN</t>
        </is>
      </c>
      <c r="E3257" t="inlineStr">
        <is>
          <t>TORSBY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16210-2025</t>
        </is>
      </c>
      <c r="B3258" s="1" t="n">
        <v>45750</v>
      </c>
      <c r="C3258" s="1" t="n">
        <v>45849</v>
      </c>
      <c r="D3258" t="inlineStr">
        <is>
          <t>VÄRMLANDS LÄN</t>
        </is>
      </c>
      <c r="E3258" t="inlineStr">
        <is>
          <t>TORSBY</t>
        </is>
      </c>
      <c r="F3258" t="inlineStr">
        <is>
          <t>Bergvik skog väst AB</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16222-2025</t>
        </is>
      </c>
      <c r="B3259" s="1" t="n">
        <v>45750</v>
      </c>
      <c r="C3259" s="1" t="n">
        <v>45849</v>
      </c>
      <c r="D3259" t="inlineStr">
        <is>
          <t>VÄRMLANDS LÄN</t>
        </is>
      </c>
      <c r="E3259" t="inlineStr">
        <is>
          <t>TORSBY</t>
        </is>
      </c>
      <c r="F3259" t="inlineStr">
        <is>
          <t>Bergvik skog väst AB</t>
        </is>
      </c>
      <c r="G3259" t="n">
        <v>20</v>
      </c>
      <c r="H3259" t="n">
        <v>0</v>
      </c>
      <c r="I3259" t="n">
        <v>0</v>
      </c>
      <c r="J3259" t="n">
        <v>0</v>
      </c>
      <c r="K3259" t="n">
        <v>0</v>
      </c>
      <c r="L3259" t="n">
        <v>0</v>
      </c>
      <c r="M3259" t="n">
        <v>0</v>
      </c>
      <c r="N3259" t="n">
        <v>0</v>
      </c>
      <c r="O3259" t="n">
        <v>0</v>
      </c>
      <c r="P3259" t="n">
        <v>0</v>
      </c>
      <c r="Q3259" t="n">
        <v>0</v>
      </c>
      <c r="R3259" s="2" t="inlineStr"/>
    </row>
    <row r="3260" ht="15" customHeight="1">
      <c r="A3260" t="inlineStr">
        <is>
          <t>A 16136-2025</t>
        </is>
      </c>
      <c r="B3260" s="1" t="n">
        <v>45750</v>
      </c>
      <c r="C3260" s="1" t="n">
        <v>45849</v>
      </c>
      <c r="D3260" t="inlineStr">
        <is>
          <t>VÄRMLANDS LÄN</t>
        </is>
      </c>
      <c r="E3260" t="inlineStr">
        <is>
          <t>TORSBY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16380-2025</t>
        </is>
      </c>
      <c r="B3261" s="1" t="n">
        <v>45751</v>
      </c>
      <c r="C3261" s="1" t="n">
        <v>45849</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16333-2025</t>
        </is>
      </c>
      <c r="B3262" s="1" t="n">
        <v>45751</v>
      </c>
      <c r="C3262" s="1" t="n">
        <v>45849</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16362-2025</t>
        </is>
      </c>
      <c r="B3263" s="1" t="n">
        <v>45751</v>
      </c>
      <c r="C3263" s="1" t="n">
        <v>45849</v>
      </c>
      <c r="D3263" t="inlineStr">
        <is>
          <t>VÄRMLANDS LÄN</t>
        </is>
      </c>
      <c r="E3263" t="inlineStr">
        <is>
          <t>TORSBY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16329-2025</t>
        </is>
      </c>
      <c r="B3264" s="1" t="n">
        <v>45751</v>
      </c>
      <c r="C3264" s="1" t="n">
        <v>45849</v>
      </c>
      <c r="D3264" t="inlineStr">
        <is>
          <t>VÄRMLANDS LÄN</t>
        </is>
      </c>
      <c r="E3264" t="inlineStr">
        <is>
          <t>TORSBY</t>
        </is>
      </c>
      <c r="F3264" t="inlineStr">
        <is>
          <t>Bergvik skog väst AB</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17048-2025</t>
        </is>
      </c>
      <c r="B3265" s="1" t="n">
        <v>45754</v>
      </c>
      <c r="C3265" s="1" t="n">
        <v>45849</v>
      </c>
      <c r="D3265" t="inlineStr">
        <is>
          <t>VÄRMLANDS LÄN</t>
        </is>
      </c>
      <c r="E3265" t="inlineStr">
        <is>
          <t>TORSBY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16872-2025</t>
        </is>
      </c>
      <c r="B3266" s="1" t="n">
        <v>45754</v>
      </c>
      <c r="C3266" s="1" t="n">
        <v>45849</v>
      </c>
      <c r="D3266" t="inlineStr">
        <is>
          <t>VÄRMLANDS LÄN</t>
        </is>
      </c>
      <c r="E3266" t="inlineStr">
        <is>
          <t>TORSBY</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17065-2025</t>
        </is>
      </c>
      <c r="B3267" s="1" t="n">
        <v>45754</v>
      </c>
      <c r="C3267" s="1" t="n">
        <v>45849</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17062-2025</t>
        </is>
      </c>
      <c r="B3268" s="1" t="n">
        <v>45754</v>
      </c>
      <c r="C3268" s="1" t="n">
        <v>45849</v>
      </c>
      <c r="D3268" t="inlineStr">
        <is>
          <t>VÄRMLANDS LÄN</t>
        </is>
      </c>
      <c r="E3268" t="inlineStr">
        <is>
          <t>TORSBY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17039-2025</t>
        </is>
      </c>
      <c r="B3269" s="1" t="n">
        <v>45754</v>
      </c>
      <c r="C3269" s="1" t="n">
        <v>45849</v>
      </c>
      <c r="D3269" t="inlineStr">
        <is>
          <t>VÄRMLANDS LÄN</t>
        </is>
      </c>
      <c r="E3269" t="inlineStr">
        <is>
          <t>TORSBY</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17053-2025</t>
        </is>
      </c>
      <c r="B3270" s="1" t="n">
        <v>45754</v>
      </c>
      <c r="C3270" s="1" t="n">
        <v>45849</v>
      </c>
      <c r="D3270" t="inlineStr">
        <is>
          <t>VÄRMLANDS LÄN</t>
        </is>
      </c>
      <c r="E3270" t="inlineStr">
        <is>
          <t>TORSBY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16994-2025</t>
        </is>
      </c>
      <c r="B3271" s="1" t="n">
        <v>45755</v>
      </c>
      <c r="C3271" s="1" t="n">
        <v>45849</v>
      </c>
      <c r="D3271" t="inlineStr">
        <is>
          <t>VÄRMLANDS LÄN</t>
        </is>
      </c>
      <c r="E3271" t="inlineStr">
        <is>
          <t>TORSBY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16949-2025</t>
        </is>
      </c>
      <c r="B3272" s="1" t="n">
        <v>45755</v>
      </c>
      <c r="C3272" s="1" t="n">
        <v>45849</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17018-2025</t>
        </is>
      </c>
      <c r="B3273" s="1" t="n">
        <v>45755</v>
      </c>
      <c r="C3273" s="1" t="n">
        <v>45849</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17175-2025</t>
        </is>
      </c>
      <c r="B3274" s="1" t="n">
        <v>45756</v>
      </c>
      <c r="C3274" s="1" t="n">
        <v>45849</v>
      </c>
      <c r="D3274" t="inlineStr">
        <is>
          <t>VÄRMLANDS LÄN</t>
        </is>
      </c>
      <c r="E3274" t="inlineStr">
        <is>
          <t>TORSBY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17153-2025</t>
        </is>
      </c>
      <c r="B3275" s="1" t="n">
        <v>45756</v>
      </c>
      <c r="C3275" s="1" t="n">
        <v>45849</v>
      </c>
      <c r="D3275" t="inlineStr">
        <is>
          <t>VÄRMLANDS LÄN</t>
        </is>
      </c>
      <c r="E3275" t="inlineStr">
        <is>
          <t>TORSBY</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17417-2025</t>
        </is>
      </c>
      <c r="B3276" s="1" t="n">
        <v>45757</v>
      </c>
      <c r="C3276" s="1" t="n">
        <v>45849</v>
      </c>
      <c r="D3276" t="inlineStr">
        <is>
          <t>VÄRMLANDS LÄN</t>
        </is>
      </c>
      <c r="E3276" t="inlineStr">
        <is>
          <t>TORSBY</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17750-2025</t>
        </is>
      </c>
      <c r="B3277" s="1" t="n">
        <v>45758</v>
      </c>
      <c r="C3277" s="1" t="n">
        <v>45849</v>
      </c>
      <c r="D3277" t="inlineStr">
        <is>
          <t>VÄRMLANDS LÄN</t>
        </is>
      </c>
      <c r="E3277" t="inlineStr">
        <is>
          <t>TORSBY</t>
        </is>
      </c>
      <c r="F3277" t="inlineStr">
        <is>
          <t>Kommuner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17676-2025</t>
        </is>
      </c>
      <c r="B3278" s="1" t="n">
        <v>45758</v>
      </c>
      <c r="C3278" s="1" t="n">
        <v>45849</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17841-2025</t>
        </is>
      </c>
      <c r="B3279" s="1" t="n">
        <v>45758</v>
      </c>
      <c r="C3279" s="1" t="n">
        <v>45849</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17754-2025</t>
        </is>
      </c>
      <c r="B3280" s="1" t="n">
        <v>45758</v>
      </c>
      <c r="C3280" s="1" t="n">
        <v>45849</v>
      </c>
      <c r="D3280" t="inlineStr">
        <is>
          <t>VÄRMLANDS LÄN</t>
        </is>
      </c>
      <c r="E3280" t="inlineStr">
        <is>
          <t>TORSBY</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18096-2025</t>
        </is>
      </c>
      <c r="B3281" s="1" t="n">
        <v>45761</v>
      </c>
      <c r="C3281" s="1" t="n">
        <v>45849</v>
      </c>
      <c r="D3281" t="inlineStr">
        <is>
          <t>VÄRMLANDS LÄN</t>
        </is>
      </c>
      <c r="E3281" t="inlineStr">
        <is>
          <t>TORSBY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18115-2025</t>
        </is>
      </c>
      <c r="B3282" s="1" t="n">
        <v>45761</v>
      </c>
      <c r="C3282" s="1" t="n">
        <v>45849</v>
      </c>
      <c r="D3282" t="inlineStr">
        <is>
          <t>VÄRMLANDS LÄN</t>
        </is>
      </c>
      <c r="E3282" t="inlineStr">
        <is>
          <t>TORSBY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18314-2025</t>
        </is>
      </c>
      <c r="B3283" s="1" t="n">
        <v>45762</v>
      </c>
      <c r="C3283" s="1" t="n">
        <v>45849</v>
      </c>
      <c r="D3283" t="inlineStr">
        <is>
          <t>VÄRMLANDS LÄN</t>
        </is>
      </c>
      <c r="E3283" t="inlineStr">
        <is>
          <t>TORSBY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18480-2025</t>
        </is>
      </c>
      <c r="B3284" s="1" t="n">
        <v>45763</v>
      </c>
      <c r="C3284" s="1" t="n">
        <v>45849</v>
      </c>
      <c r="D3284" t="inlineStr">
        <is>
          <t>VÄRMLANDS LÄN</t>
        </is>
      </c>
      <c r="E3284" t="inlineStr">
        <is>
          <t>TORSBY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18258-2025</t>
        </is>
      </c>
      <c r="B3285" s="1" t="n">
        <v>45762</v>
      </c>
      <c r="C3285" s="1" t="n">
        <v>45849</v>
      </c>
      <c r="D3285" t="inlineStr">
        <is>
          <t>VÄRMLANDS LÄN</t>
        </is>
      </c>
      <c r="E3285" t="inlineStr">
        <is>
          <t>TORSBY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18402-2025</t>
        </is>
      </c>
      <c r="B3286" s="1" t="n">
        <v>45762</v>
      </c>
      <c r="C3286" s="1" t="n">
        <v>45849</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18447-2025</t>
        </is>
      </c>
      <c r="B3287" s="1" t="n">
        <v>45762</v>
      </c>
      <c r="C3287" s="1" t="n">
        <v>45849</v>
      </c>
      <c r="D3287" t="inlineStr">
        <is>
          <t>VÄRMLANDS LÄN</t>
        </is>
      </c>
      <c r="E3287" t="inlineStr">
        <is>
          <t>TORSBY</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18462-2025</t>
        </is>
      </c>
      <c r="B3288" s="1" t="n">
        <v>45762</v>
      </c>
      <c r="C3288" s="1" t="n">
        <v>45849</v>
      </c>
      <c r="D3288" t="inlineStr">
        <is>
          <t>VÄRMLANDS LÄN</t>
        </is>
      </c>
      <c r="E3288" t="inlineStr">
        <is>
          <t>TORSBY</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18331-2025</t>
        </is>
      </c>
      <c r="B3289" s="1" t="n">
        <v>45762</v>
      </c>
      <c r="C3289" s="1" t="n">
        <v>45849</v>
      </c>
      <c r="D3289" t="inlineStr">
        <is>
          <t>VÄRMLANDS LÄN</t>
        </is>
      </c>
      <c r="E3289" t="inlineStr">
        <is>
          <t>TORSBY</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18365-2025</t>
        </is>
      </c>
      <c r="B3290" s="1" t="n">
        <v>45762</v>
      </c>
      <c r="C3290" s="1" t="n">
        <v>45849</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18558-2025</t>
        </is>
      </c>
      <c r="B3291" s="1" t="n">
        <v>45763</v>
      </c>
      <c r="C3291" s="1" t="n">
        <v>45849</v>
      </c>
      <c r="D3291" t="inlineStr">
        <is>
          <t>VÄRMLANDS LÄN</t>
        </is>
      </c>
      <c r="E3291" t="inlineStr">
        <is>
          <t>TORSBY</t>
        </is>
      </c>
      <c r="F3291" t="inlineStr">
        <is>
          <t>Bergvik skog väst AB</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18501-2025</t>
        </is>
      </c>
      <c r="B3292" s="1" t="n">
        <v>45763</v>
      </c>
      <c r="C3292" s="1" t="n">
        <v>45849</v>
      </c>
      <c r="D3292" t="inlineStr">
        <is>
          <t>VÄRMLANDS LÄN</t>
        </is>
      </c>
      <c r="E3292" t="inlineStr">
        <is>
          <t>TORSBY</t>
        </is>
      </c>
      <c r="F3292" t="inlineStr">
        <is>
          <t>Bergvik skog väst AB</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18584-2025</t>
        </is>
      </c>
      <c r="B3293" s="1" t="n">
        <v>45763</v>
      </c>
      <c r="C3293" s="1" t="n">
        <v>45849</v>
      </c>
      <c r="D3293" t="inlineStr">
        <is>
          <t>VÄRMLANDS LÄN</t>
        </is>
      </c>
      <c r="E3293" t="inlineStr">
        <is>
          <t>TORSBY</t>
        </is>
      </c>
      <c r="F3293" t="inlineStr">
        <is>
          <t>Kyrkan</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18684-2025</t>
        </is>
      </c>
      <c r="B3294" s="1" t="n">
        <v>45763</v>
      </c>
      <c r="C3294" s="1" t="n">
        <v>45849</v>
      </c>
      <c r="D3294" t="inlineStr">
        <is>
          <t>VÄRMLANDS LÄN</t>
        </is>
      </c>
      <c r="E3294" t="inlineStr">
        <is>
          <t>TORSBY</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18564-2025</t>
        </is>
      </c>
      <c r="B3295" s="1" t="n">
        <v>45763</v>
      </c>
      <c r="C3295" s="1" t="n">
        <v>45849</v>
      </c>
      <c r="D3295" t="inlineStr">
        <is>
          <t>VÄRMLANDS LÄN</t>
        </is>
      </c>
      <c r="E3295" t="inlineStr">
        <is>
          <t>TORSBY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18595-2025</t>
        </is>
      </c>
      <c r="B3296" s="1" t="n">
        <v>45763</v>
      </c>
      <c r="C3296" s="1" t="n">
        <v>45849</v>
      </c>
      <c r="D3296" t="inlineStr">
        <is>
          <t>VÄRMLANDS LÄN</t>
        </is>
      </c>
      <c r="E3296" t="inlineStr">
        <is>
          <t>TORSBY</t>
        </is>
      </c>
      <c r="F3296" t="inlineStr">
        <is>
          <t>Kyrkan</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18676-2025</t>
        </is>
      </c>
      <c r="B3297" s="1" t="n">
        <v>45763</v>
      </c>
      <c r="C3297" s="1" t="n">
        <v>45849</v>
      </c>
      <c r="D3297" t="inlineStr">
        <is>
          <t>VÄRMLANDS LÄN</t>
        </is>
      </c>
      <c r="E3297" t="inlineStr">
        <is>
          <t>TORSBY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18576-2025</t>
        </is>
      </c>
      <c r="B3298" s="1" t="n">
        <v>45763</v>
      </c>
      <c r="C3298" s="1" t="n">
        <v>45849</v>
      </c>
      <c r="D3298" t="inlineStr">
        <is>
          <t>VÄRMLANDS LÄN</t>
        </is>
      </c>
      <c r="E3298" t="inlineStr">
        <is>
          <t>TORSBY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18973-2025</t>
        </is>
      </c>
      <c r="B3299" s="1" t="n">
        <v>45764</v>
      </c>
      <c r="C3299" s="1" t="n">
        <v>45849</v>
      </c>
      <c r="D3299" t="inlineStr">
        <is>
          <t>VÄRMLANDS LÄN</t>
        </is>
      </c>
      <c r="E3299" t="inlineStr">
        <is>
          <t>TORSBY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18977-2025</t>
        </is>
      </c>
      <c r="B3300" s="1" t="n">
        <v>45764</v>
      </c>
      <c r="C3300" s="1" t="n">
        <v>45849</v>
      </c>
      <c r="D3300" t="inlineStr">
        <is>
          <t>VÄRMLANDS LÄN</t>
        </is>
      </c>
      <c r="E3300" t="inlineStr">
        <is>
          <t>TORSBY</t>
        </is>
      </c>
      <c r="F3300" t="inlineStr">
        <is>
          <t>Bergvik skog väst AB</t>
        </is>
      </c>
      <c r="G3300" t="n">
        <v>24.8</v>
      </c>
      <c r="H3300" t="n">
        <v>0</v>
      </c>
      <c r="I3300" t="n">
        <v>0</v>
      </c>
      <c r="J3300" t="n">
        <v>0</v>
      </c>
      <c r="K3300" t="n">
        <v>0</v>
      </c>
      <c r="L3300" t="n">
        <v>0</v>
      </c>
      <c r="M3300" t="n">
        <v>0</v>
      </c>
      <c r="N3300" t="n">
        <v>0</v>
      </c>
      <c r="O3300" t="n">
        <v>0</v>
      </c>
      <c r="P3300" t="n">
        <v>0</v>
      </c>
      <c r="Q3300" t="n">
        <v>0</v>
      </c>
      <c r="R3300" s="2" t="inlineStr"/>
    </row>
    <row r="3301" ht="15" customHeight="1">
      <c r="A3301" t="inlineStr">
        <is>
          <t>A 19112-2025</t>
        </is>
      </c>
      <c r="B3301" s="1" t="n">
        <v>45768</v>
      </c>
      <c r="C3301" s="1" t="n">
        <v>45849</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19113-2025</t>
        </is>
      </c>
      <c r="B3302" s="1" t="n">
        <v>45768</v>
      </c>
      <c r="C3302" s="1" t="n">
        <v>45849</v>
      </c>
      <c r="D3302" t="inlineStr">
        <is>
          <t>VÄRMLANDS LÄN</t>
        </is>
      </c>
      <c r="E3302" t="inlineStr">
        <is>
          <t>TORSBY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19253-2025</t>
        </is>
      </c>
      <c r="B3303" s="1" t="n">
        <v>45769</v>
      </c>
      <c r="C3303" s="1" t="n">
        <v>45849</v>
      </c>
      <c r="D3303" t="inlineStr">
        <is>
          <t>VÄRMLANDS LÄN</t>
        </is>
      </c>
      <c r="E3303" t="inlineStr">
        <is>
          <t>TORSBY</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19159-2025</t>
        </is>
      </c>
      <c r="B3304" s="1" t="n">
        <v>45769</v>
      </c>
      <c r="C3304" s="1" t="n">
        <v>45849</v>
      </c>
      <c r="D3304" t="inlineStr">
        <is>
          <t>VÄRMLANDS LÄN</t>
        </is>
      </c>
      <c r="E3304" t="inlineStr">
        <is>
          <t>TORSBY</t>
        </is>
      </c>
      <c r="F3304" t="inlineStr">
        <is>
          <t>Bergvik skog väst AB</t>
        </is>
      </c>
      <c r="G3304" t="n">
        <v>10.2</v>
      </c>
      <c r="H3304" t="n">
        <v>0</v>
      </c>
      <c r="I3304" t="n">
        <v>0</v>
      </c>
      <c r="J3304" t="n">
        <v>0</v>
      </c>
      <c r="K3304" t="n">
        <v>0</v>
      </c>
      <c r="L3304" t="n">
        <v>0</v>
      </c>
      <c r="M3304" t="n">
        <v>0</v>
      </c>
      <c r="N3304" t="n">
        <v>0</v>
      </c>
      <c r="O3304" t="n">
        <v>0</v>
      </c>
      <c r="P3304" t="n">
        <v>0</v>
      </c>
      <c r="Q3304" t="n">
        <v>0</v>
      </c>
      <c r="R3304" s="2" t="inlineStr"/>
    </row>
    <row r="3305" ht="15" customHeight="1">
      <c r="A3305" t="inlineStr">
        <is>
          <t>A 19148-2025</t>
        </is>
      </c>
      <c r="B3305" s="1" t="n">
        <v>45769</v>
      </c>
      <c r="C3305" s="1" t="n">
        <v>45849</v>
      </c>
      <c r="D3305" t="inlineStr">
        <is>
          <t>VÄRMLANDS LÄN</t>
        </is>
      </c>
      <c r="E3305" t="inlineStr">
        <is>
          <t>TORSBY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19214-2025</t>
        </is>
      </c>
      <c r="B3306" s="1" t="n">
        <v>45769</v>
      </c>
      <c r="C3306" s="1" t="n">
        <v>45849</v>
      </c>
      <c r="D3306" t="inlineStr">
        <is>
          <t>VÄRMLANDS LÄN</t>
        </is>
      </c>
      <c r="E3306" t="inlineStr">
        <is>
          <t>TORSBY</t>
        </is>
      </c>
      <c r="F3306" t="inlineStr">
        <is>
          <t>Bergvik skog väst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19630-2025</t>
        </is>
      </c>
      <c r="B3307" s="1" t="n">
        <v>45770</v>
      </c>
      <c r="C3307" s="1" t="n">
        <v>45849</v>
      </c>
      <c r="D3307" t="inlineStr">
        <is>
          <t>VÄRMLANDS LÄN</t>
        </is>
      </c>
      <c r="E3307" t="inlineStr">
        <is>
          <t>TORSBY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19653-2025</t>
        </is>
      </c>
      <c r="B3308" s="1" t="n">
        <v>45770</v>
      </c>
      <c r="C3308" s="1" t="n">
        <v>45849</v>
      </c>
      <c r="D3308" t="inlineStr">
        <is>
          <t>VÄRMLANDS LÄN</t>
        </is>
      </c>
      <c r="E3308" t="inlineStr">
        <is>
          <t>TORSBY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19575-2025</t>
        </is>
      </c>
      <c r="B3309" s="1" t="n">
        <v>45770</v>
      </c>
      <c r="C3309" s="1" t="n">
        <v>45849</v>
      </c>
      <c r="D3309" t="inlineStr">
        <is>
          <t>VÄRMLANDS LÄN</t>
        </is>
      </c>
      <c r="E3309" t="inlineStr">
        <is>
          <t>TORSBY</t>
        </is>
      </c>
      <c r="F3309" t="inlineStr">
        <is>
          <t>Bergvik skog väst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19625-2025</t>
        </is>
      </c>
      <c r="B3310" s="1" t="n">
        <v>45770</v>
      </c>
      <c r="C3310" s="1" t="n">
        <v>45849</v>
      </c>
      <c r="D3310" t="inlineStr">
        <is>
          <t>VÄRMLANDS LÄN</t>
        </is>
      </c>
      <c r="E3310" t="inlineStr">
        <is>
          <t>TORSBY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19662-2025</t>
        </is>
      </c>
      <c r="B3311" s="1" t="n">
        <v>45770</v>
      </c>
      <c r="C3311" s="1" t="n">
        <v>45849</v>
      </c>
      <c r="D3311" t="inlineStr">
        <is>
          <t>VÄRMLANDS LÄN</t>
        </is>
      </c>
      <c r="E3311" t="inlineStr">
        <is>
          <t>TORSBY</t>
        </is>
      </c>
      <c r="F3311" t="inlineStr">
        <is>
          <t>Bergvik skog väst AB</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19787-2025</t>
        </is>
      </c>
      <c r="B3312" s="1" t="n">
        <v>45771</v>
      </c>
      <c r="C3312" s="1" t="n">
        <v>45849</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19791-2025</t>
        </is>
      </c>
      <c r="B3313" s="1" t="n">
        <v>45771</v>
      </c>
      <c r="C3313" s="1" t="n">
        <v>45849</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19964-2025</t>
        </is>
      </c>
      <c r="B3314" s="1" t="n">
        <v>45771</v>
      </c>
      <c r="C3314" s="1" t="n">
        <v>45849</v>
      </c>
      <c r="D3314" t="inlineStr">
        <is>
          <t>VÄRMLANDS LÄN</t>
        </is>
      </c>
      <c r="E3314" t="inlineStr">
        <is>
          <t>TORSBY</t>
        </is>
      </c>
      <c r="F3314" t="inlineStr">
        <is>
          <t>Bergvik skog väst AB</t>
        </is>
      </c>
      <c r="G3314" t="n">
        <v>23.8</v>
      </c>
      <c r="H3314" t="n">
        <v>0</v>
      </c>
      <c r="I3314" t="n">
        <v>0</v>
      </c>
      <c r="J3314" t="n">
        <v>0</v>
      </c>
      <c r="K3314" t="n">
        <v>0</v>
      </c>
      <c r="L3314" t="n">
        <v>0</v>
      </c>
      <c r="M3314" t="n">
        <v>0</v>
      </c>
      <c r="N3314" t="n">
        <v>0</v>
      </c>
      <c r="O3314" t="n">
        <v>0</v>
      </c>
      <c r="P3314" t="n">
        <v>0</v>
      </c>
      <c r="Q3314" t="n">
        <v>0</v>
      </c>
      <c r="R3314" s="2" t="inlineStr"/>
    </row>
    <row r="3315" ht="15" customHeight="1">
      <c r="A3315" t="inlineStr">
        <is>
          <t>A 19743-2025</t>
        </is>
      </c>
      <c r="B3315" s="1" t="n">
        <v>45771</v>
      </c>
      <c r="C3315" s="1" t="n">
        <v>45849</v>
      </c>
      <c r="D3315" t="inlineStr">
        <is>
          <t>VÄRMLANDS LÄN</t>
        </is>
      </c>
      <c r="E3315" t="inlineStr">
        <is>
          <t>TORSBY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19763-2025</t>
        </is>
      </c>
      <c r="B3316" s="1" t="n">
        <v>45771</v>
      </c>
      <c r="C3316" s="1" t="n">
        <v>45849</v>
      </c>
      <c r="D3316" t="inlineStr">
        <is>
          <t>VÄRMLANDS LÄN</t>
        </is>
      </c>
      <c r="E3316" t="inlineStr">
        <is>
          <t>TORSBY</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19878-2025</t>
        </is>
      </c>
      <c r="B3317" s="1" t="n">
        <v>45771</v>
      </c>
      <c r="C3317" s="1" t="n">
        <v>45849</v>
      </c>
      <c r="D3317" t="inlineStr">
        <is>
          <t>VÄRMLANDS LÄN</t>
        </is>
      </c>
      <c r="E3317" t="inlineStr">
        <is>
          <t>TORSBY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20060-2025</t>
        </is>
      </c>
      <c r="B3318" s="1" t="n">
        <v>45772</v>
      </c>
      <c r="C3318" s="1" t="n">
        <v>45849</v>
      </c>
      <c r="D3318" t="inlineStr">
        <is>
          <t>VÄRMLANDS LÄN</t>
        </is>
      </c>
      <c r="E3318" t="inlineStr">
        <is>
          <t>TORSBY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20255-2025</t>
        </is>
      </c>
      <c r="B3319" s="1" t="n">
        <v>45772</v>
      </c>
      <c r="C3319" s="1" t="n">
        <v>45849</v>
      </c>
      <c r="D3319" t="inlineStr">
        <is>
          <t>VÄRMLANDS LÄN</t>
        </is>
      </c>
      <c r="E3319" t="inlineStr">
        <is>
          <t>TORSBY</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20149-2025</t>
        </is>
      </c>
      <c r="B3320" s="1" t="n">
        <v>45772</v>
      </c>
      <c r="C3320" s="1" t="n">
        <v>45849</v>
      </c>
      <c r="D3320" t="inlineStr">
        <is>
          <t>VÄRMLANDS LÄN</t>
        </is>
      </c>
      <c r="E3320" t="inlineStr">
        <is>
          <t>TORSBY</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20191-2025</t>
        </is>
      </c>
      <c r="B3321" s="1" t="n">
        <v>45772</v>
      </c>
      <c r="C3321" s="1" t="n">
        <v>45849</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20309-2025</t>
        </is>
      </c>
      <c r="B3322" s="1" t="n">
        <v>45775</v>
      </c>
      <c r="C3322" s="1" t="n">
        <v>45849</v>
      </c>
      <c r="D3322" t="inlineStr">
        <is>
          <t>VÄRMLANDS LÄN</t>
        </is>
      </c>
      <c r="E3322" t="inlineStr">
        <is>
          <t>TORSBY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20461-2025</t>
        </is>
      </c>
      <c r="B3323" s="1" t="n">
        <v>45775</v>
      </c>
      <c r="C3323" s="1" t="n">
        <v>45849</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20816-2025</t>
        </is>
      </c>
      <c r="B3324" s="1" t="n">
        <v>45776</v>
      </c>
      <c r="C3324" s="1" t="n">
        <v>45849</v>
      </c>
      <c r="D3324" t="inlineStr">
        <is>
          <t>VÄRMLANDS LÄN</t>
        </is>
      </c>
      <c r="E3324" t="inlineStr">
        <is>
          <t>TORSBY</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20773-2025</t>
        </is>
      </c>
      <c r="B3325" s="1" t="n">
        <v>45776</v>
      </c>
      <c r="C3325" s="1" t="n">
        <v>45849</v>
      </c>
      <c r="D3325" t="inlineStr">
        <is>
          <t>VÄRMLANDS LÄN</t>
        </is>
      </c>
      <c r="E3325" t="inlineStr">
        <is>
          <t>TORSBY</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20740-2025</t>
        </is>
      </c>
      <c r="B3326" s="1" t="n">
        <v>45776</v>
      </c>
      <c r="C3326" s="1" t="n">
        <v>45849</v>
      </c>
      <c r="D3326" t="inlineStr">
        <is>
          <t>VÄRMLANDS LÄN</t>
        </is>
      </c>
      <c r="E3326" t="inlineStr">
        <is>
          <t>TORSBY</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20843-2025</t>
        </is>
      </c>
      <c r="B3327" s="1" t="n">
        <v>45777</v>
      </c>
      <c r="C3327" s="1" t="n">
        <v>45849</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20914-2025</t>
        </is>
      </c>
      <c r="B3328" s="1" t="n">
        <v>45777</v>
      </c>
      <c r="C3328" s="1" t="n">
        <v>45849</v>
      </c>
      <c r="D3328" t="inlineStr">
        <is>
          <t>VÄRMLANDS LÄN</t>
        </is>
      </c>
      <c r="E3328" t="inlineStr">
        <is>
          <t>TORSBY</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20848-2025</t>
        </is>
      </c>
      <c r="B3329" s="1" t="n">
        <v>45777</v>
      </c>
      <c r="C3329" s="1" t="n">
        <v>45849</v>
      </c>
      <c r="D3329" t="inlineStr">
        <is>
          <t>VÄRMLANDS LÄN</t>
        </is>
      </c>
      <c r="E3329" t="inlineStr">
        <is>
          <t>TORSBY</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20917-2025</t>
        </is>
      </c>
      <c r="B3330" s="1" t="n">
        <v>45777</v>
      </c>
      <c r="C3330" s="1" t="n">
        <v>45849</v>
      </c>
      <c r="D3330" t="inlineStr">
        <is>
          <t>VÄRMLANDS LÄN</t>
        </is>
      </c>
      <c r="E3330" t="inlineStr">
        <is>
          <t>TORSBY</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21274-2025</t>
        </is>
      </c>
      <c r="B3331" s="1" t="n">
        <v>45779</v>
      </c>
      <c r="C3331" s="1" t="n">
        <v>45849</v>
      </c>
      <c r="D3331" t="inlineStr">
        <is>
          <t>VÄRMLANDS LÄN</t>
        </is>
      </c>
      <c r="E3331" t="inlineStr">
        <is>
          <t>TORSBY</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21324-2025</t>
        </is>
      </c>
      <c r="B3332" s="1" t="n">
        <v>45782</v>
      </c>
      <c r="C3332" s="1" t="n">
        <v>45849</v>
      </c>
      <c r="D3332" t="inlineStr">
        <is>
          <t>VÄRMLANDS LÄN</t>
        </is>
      </c>
      <c r="E3332" t="inlineStr">
        <is>
          <t>TORSBY</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21576-2025</t>
        </is>
      </c>
      <c r="B3333" s="1" t="n">
        <v>45782</v>
      </c>
      <c r="C3333" s="1" t="n">
        <v>45849</v>
      </c>
      <c r="D3333" t="inlineStr">
        <is>
          <t>VÄRMLANDS LÄN</t>
        </is>
      </c>
      <c r="E3333" t="inlineStr">
        <is>
          <t>TORSBY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21529-2025</t>
        </is>
      </c>
      <c r="B3334" s="1" t="n">
        <v>45782</v>
      </c>
      <c r="C3334" s="1" t="n">
        <v>45849</v>
      </c>
      <c r="D3334" t="inlineStr">
        <is>
          <t>VÄRMLANDS LÄN</t>
        </is>
      </c>
      <c r="E3334" t="inlineStr">
        <is>
          <t>TORSBY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21462-2025</t>
        </is>
      </c>
      <c r="B3335" s="1" t="n">
        <v>45782</v>
      </c>
      <c r="C3335" s="1" t="n">
        <v>45849</v>
      </c>
      <c r="D3335" t="inlineStr">
        <is>
          <t>VÄRMLANDS LÄN</t>
        </is>
      </c>
      <c r="E3335" t="inlineStr">
        <is>
          <t>TORSBY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21808-2025</t>
        </is>
      </c>
      <c r="B3336" s="1" t="n">
        <v>45783</v>
      </c>
      <c r="C3336" s="1" t="n">
        <v>45849</v>
      </c>
      <c r="D3336" t="inlineStr">
        <is>
          <t>VÄRMLANDS LÄN</t>
        </is>
      </c>
      <c r="E3336" t="inlineStr">
        <is>
          <t>TORSBY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21759-2025</t>
        </is>
      </c>
      <c r="B3337" s="1" t="n">
        <v>45783</v>
      </c>
      <c r="C3337" s="1" t="n">
        <v>45849</v>
      </c>
      <c r="D3337" t="inlineStr">
        <is>
          <t>VÄRMLANDS LÄN</t>
        </is>
      </c>
      <c r="E3337" t="inlineStr">
        <is>
          <t>TORSBY</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21758-2025</t>
        </is>
      </c>
      <c r="B3338" s="1" t="n">
        <v>45783</v>
      </c>
      <c r="C3338" s="1" t="n">
        <v>45849</v>
      </c>
      <c r="D3338" t="inlineStr">
        <is>
          <t>VÄRMLANDS LÄN</t>
        </is>
      </c>
      <c r="E3338" t="inlineStr">
        <is>
          <t>TORSBY</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21870-2025</t>
        </is>
      </c>
      <c r="B3339" s="1" t="n">
        <v>45784</v>
      </c>
      <c r="C3339" s="1" t="n">
        <v>45849</v>
      </c>
      <c r="D3339" t="inlineStr">
        <is>
          <t>VÄRMLANDS LÄN</t>
        </is>
      </c>
      <c r="E3339" t="inlineStr">
        <is>
          <t>TORSBY</t>
        </is>
      </c>
      <c r="G3339" t="n">
        <v>29.4</v>
      </c>
      <c r="H3339" t="n">
        <v>0</v>
      </c>
      <c r="I3339" t="n">
        <v>0</v>
      </c>
      <c r="J3339" t="n">
        <v>0</v>
      </c>
      <c r="K3339" t="n">
        <v>0</v>
      </c>
      <c r="L3339" t="n">
        <v>0</v>
      </c>
      <c r="M3339" t="n">
        <v>0</v>
      </c>
      <c r="N3339" t="n">
        <v>0</v>
      </c>
      <c r="O3339" t="n">
        <v>0</v>
      </c>
      <c r="P3339" t="n">
        <v>0</v>
      </c>
      <c r="Q3339" t="n">
        <v>0</v>
      </c>
      <c r="R3339" s="2" t="inlineStr"/>
    </row>
    <row r="3340" ht="15" customHeight="1">
      <c r="A3340" t="inlineStr">
        <is>
          <t>A 21974-2025</t>
        </is>
      </c>
      <c r="B3340" s="1" t="n">
        <v>45784</v>
      </c>
      <c r="C3340" s="1" t="n">
        <v>45849</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21858-2025</t>
        </is>
      </c>
      <c r="B3341" s="1" t="n">
        <v>45784</v>
      </c>
      <c r="C3341" s="1" t="n">
        <v>45849</v>
      </c>
      <c r="D3341" t="inlineStr">
        <is>
          <t>VÄRMLANDS LÄN</t>
        </is>
      </c>
      <c r="E3341" t="inlineStr">
        <is>
          <t>TORSBY</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21860-2025</t>
        </is>
      </c>
      <c r="B3342" s="1" t="n">
        <v>45784</v>
      </c>
      <c r="C3342" s="1" t="n">
        <v>45849</v>
      </c>
      <c r="D3342" t="inlineStr">
        <is>
          <t>VÄRMLANDS LÄN</t>
        </is>
      </c>
      <c r="E3342" t="inlineStr">
        <is>
          <t>TORSBY</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21963-2025</t>
        </is>
      </c>
      <c r="B3343" s="1" t="n">
        <v>45784</v>
      </c>
      <c r="C3343" s="1" t="n">
        <v>45849</v>
      </c>
      <c r="D3343" t="inlineStr">
        <is>
          <t>VÄRMLANDS LÄN</t>
        </is>
      </c>
      <c r="E3343" t="inlineStr">
        <is>
          <t>TORSBY</t>
        </is>
      </c>
      <c r="F3343" t="inlineStr">
        <is>
          <t>Bergvik skog väst AB</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22076-2025</t>
        </is>
      </c>
      <c r="B3344" s="1" t="n">
        <v>45785</v>
      </c>
      <c r="C3344" s="1" t="n">
        <v>45849</v>
      </c>
      <c r="D3344" t="inlineStr">
        <is>
          <t>VÄRMLANDS LÄN</t>
        </is>
      </c>
      <c r="E3344" t="inlineStr">
        <is>
          <t>TORSBY</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22090-2025</t>
        </is>
      </c>
      <c r="B3345" s="1" t="n">
        <v>45785</v>
      </c>
      <c r="C3345" s="1" t="n">
        <v>45849</v>
      </c>
      <c r="D3345" t="inlineStr">
        <is>
          <t>VÄRMLANDS LÄN</t>
        </is>
      </c>
      <c r="E3345" t="inlineStr">
        <is>
          <t>TORSBY</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22269-2025</t>
        </is>
      </c>
      <c r="B3346" s="1" t="n">
        <v>45785</v>
      </c>
      <c r="C3346" s="1" t="n">
        <v>45849</v>
      </c>
      <c r="D3346" t="inlineStr">
        <is>
          <t>VÄRMLANDS LÄN</t>
        </is>
      </c>
      <c r="E3346" t="inlineStr">
        <is>
          <t>TORSBY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22316-2025</t>
        </is>
      </c>
      <c r="B3347" s="1" t="n">
        <v>45786</v>
      </c>
      <c r="C3347" s="1" t="n">
        <v>45849</v>
      </c>
      <c r="D3347" t="inlineStr">
        <is>
          <t>VÄRMLANDS LÄN</t>
        </is>
      </c>
      <c r="E3347" t="inlineStr">
        <is>
          <t>TORSBY</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22386-2025</t>
        </is>
      </c>
      <c r="B3348" s="1" t="n">
        <v>45786</v>
      </c>
      <c r="C3348" s="1" t="n">
        <v>45849</v>
      </c>
      <c r="D3348" t="inlineStr">
        <is>
          <t>VÄRMLANDS LÄN</t>
        </is>
      </c>
      <c r="E3348" t="inlineStr">
        <is>
          <t>TORSBY</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22315-2025</t>
        </is>
      </c>
      <c r="B3349" s="1" t="n">
        <v>45786</v>
      </c>
      <c r="C3349" s="1" t="n">
        <v>45849</v>
      </c>
      <c r="D3349" t="inlineStr">
        <is>
          <t>VÄRMLANDS LÄN</t>
        </is>
      </c>
      <c r="E3349" t="inlineStr">
        <is>
          <t>TORSBY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22320-2025</t>
        </is>
      </c>
      <c r="B3350" s="1" t="n">
        <v>45786</v>
      </c>
      <c r="C3350" s="1" t="n">
        <v>45849</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22278-2025</t>
        </is>
      </c>
      <c r="B3351" s="1" t="n">
        <v>45786</v>
      </c>
      <c r="C3351" s="1" t="n">
        <v>45849</v>
      </c>
      <c r="D3351" t="inlineStr">
        <is>
          <t>VÄRMLANDS LÄN</t>
        </is>
      </c>
      <c r="E3351" t="inlineStr">
        <is>
          <t>TORSBY</t>
        </is>
      </c>
      <c r="F3351" t="inlineStr">
        <is>
          <t>Bergvik skog väst AB</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22331-2025</t>
        </is>
      </c>
      <c r="B3352" s="1" t="n">
        <v>45786</v>
      </c>
      <c r="C3352" s="1" t="n">
        <v>45849</v>
      </c>
      <c r="D3352" t="inlineStr">
        <is>
          <t>VÄRMLANDS LÄN</t>
        </is>
      </c>
      <c r="E3352" t="inlineStr">
        <is>
          <t>TORSBY</t>
        </is>
      </c>
      <c r="F3352" t="inlineStr">
        <is>
          <t>Bergvik skog väst AB</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22339-2025</t>
        </is>
      </c>
      <c r="B3353" s="1" t="n">
        <v>45786</v>
      </c>
      <c r="C3353" s="1" t="n">
        <v>45849</v>
      </c>
      <c r="D3353" t="inlineStr">
        <is>
          <t>VÄRMLANDS LÄN</t>
        </is>
      </c>
      <c r="E3353" t="inlineStr">
        <is>
          <t>TORSBY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22715-2025</t>
        </is>
      </c>
      <c r="B3354" s="1" t="n">
        <v>45789</v>
      </c>
      <c r="C3354" s="1" t="n">
        <v>45849</v>
      </c>
      <c r="D3354" t="inlineStr">
        <is>
          <t>VÄRMLANDS LÄN</t>
        </is>
      </c>
      <c r="E3354" t="inlineStr">
        <is>
          <t>TORSBY</t>
        </is>
      </c>
      <c r="F3354" t="inlineStr">
        <is>
          <t>Kyrkan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22757-2025</t>
        </is>
      </c>
      <c r="B3355" s="1" t="n">
        <v>45789</v>
      </c>
      <c r="C3355" s="1" t="n">
        <v>45849</v>
      </c>
      <c r="D3355" t="inlineStr">
        <is>
          <t>VÄRMLANDS LÄN</t>
        </is>
      </c>
      <c r="E3355" t="inlineStr">
        <is>
          <t>TORSBY</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22596-2025</t>
        </is>
      </c>
      <c r="B3356" s="1" t="n">
        <v>45789</v>
      </c>
      <c r="C3356" s="1" t="n">
        <v>45849</v>
      </c>
      <c r="D3356" t="inlineStr">
        <is>
          <t>VÄRMLANDS LÄN</t>
        </is>
      </c>
      <c r="E3356" t="inlineStr">
        <is>
          <t>TORSBY</t>
        </is>
      </c>
      <c r="F3356" t="inlineStr">
        <is>
          <t>Bergvik skog väst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22604-2025</t>
        </is>
      </c>
      <c r="B3357" s="1" t="n">
        <v>45789</v>
      </c>
      <c r="C3357" s="1" t="n">
        <v>45849</v>
      </c>
      <c r="D3357" t="inlineStr">
        <is>
          <t>VÄRMLANDS LÄN</t>
        </is>
      </c>
      <c r="E3357" t="inlineStr">
        <is>
          <t>TORSBY</t>
        </is>
      </c>
      <c r="G3357" t="n">
        <v>13.3</v>
      </c>
      <c r="H3357" t="n">
        <v>0</v>
      </c>
      <c r="I3357" t="n">
        <v>0</v>
      </c>
      <c r="J3357" t="n">
        <v>0</v>
      </c>
      <c r="K3357" t="n">
        <v>0</v>
      </c>
      <c r="L3357" t="n">
        <v>0</v>
      </c>
      <c r="M3357" t="n">
        <v>0</v>
      </c>
      <c r="N3357" t="n">
        <v>0</v>
      </c>
      <c r="O3357" t="n">
        <v>0</v>
      </c>
      <c r="P3357" t="n">
        <v>0</v>
      </c>
      <c r="Q3357" t="n">
        <v>0</v>
      </c>
      <c r="R3357" s="2" t="inlineStr"/>
    </row>
    <row r="3358" ht="15" customHeight="1">
      <c r="A3358" t="inlineStr">
        <is>
          <t>A 22760-2025</t>
        </is>
      </c>
      <c r="B3358" s="1" t="n">
        <v>45789</v>
      </c>
      <c r="C3358" s="1" t="n">
        <v>45849</v>
      </c>
      <c r="D3358" t="inlineStr">
        <is>
          <t>VÄRMLANDS LÄN</t>
        </is>
      </c>
      <c r="E3358" t="inlineStr">
        <is>
          <t>TORSBY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22593-2025</t>
        </is>
      </c>
      <c r="B3359" s="1" t="n">
        <v>45789</v>
      </c>
      <c r="C3359" s="1" t="n">
        <v>45849</v>
      </c>
      <c r="D3359" t="inlineStr">
        <is>
          <t>VÄRMLANDS LÄN</t>
        </is>
      </c>
      <c r="E3359" t="inlineStr">
        <is>
          <t>TORSBY</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22708-2025</t>
        </is>
      </c>
      <c r="B3360" s="1" t="n">
        <v>45789</v>
      </c>
      <c r="C3360" s="1" t="n">
        <v>45849</v>
      </c>
      <c r="D3360" t="inlineStr">
        <is>
          <t>VÄRMLANDS LÄN</t>
        </is>
      </c>
      <c r="E3360" t="inlineStr">
        <is>
          <t>TORSBY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22845-2025</t>
        </is>
      </c>
      <c r="B3361" s="1" t="n">
        <v>45790</v>
      </c>
      <c r="C3361" s="1" t="n">
        <v>45849</v>
      </c>
      <c r="D3361" t="inlineStr">
        <is>
          <t>VÄRMLANDS LÄN</t>
        </is>
      </c>
      <c r="E3361" t="inlineStr">
        <is>
          <t>TORSBY</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22954-2025</t>
        </is>
      </c>
      <c r="B3362" s="1" t="n">
        <v>45790</v>
      </c>
      <c r="C3362" s="1" t="n">
        <v>45849</v>
      </c>
      <c r="D3362" t="inlineStr">
        <is>
          <t>VÄRMLANDS LÄN</t>
        </is>
      </c>
      <c r="E3362" t="inlineStr">
        <is>
          <t>TORSBY</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23035-2025</t>
        </is>
      </c>
      <c r="B3363" s="1" t="n">
        <v>45790</v>
      </c>
      <c r="C3363" s="1" t="n">
        <v>45849</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23280-2025</t>
        </is>
      </c>
      <c r="B3364" s="1" t="n">
        <v>45791</v>
      </c>
      <c r="C3364" s="1" t="n">
        <v>45849</v>
      </c>
      <c r="D3364" t="inlineStr">
        <is>
          <t>VÄRMLANDS LÄN</t>
        </is>
      </c>
      <c r="E3364" t="inlineStr">
        <is>
          <t>TORSBY</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23287-2025</t>
        </is>
      </c>
      <c r="B3365" s="1" t="n">
        <v>45791</v>
      </c>
      <c r="C3365" s="1" t="n">
        <v>45849</v>
      </c>
      <c r="D3365" t="inlineStr">
        <is>
          <t>VÄRMLANDS LÄN</t>
        </is>
      </c>
      <c r="E3365" t="inlineStr">
        <is>
          <t>TORSBY</t>
        </is>
      </c>
      <c r="F3365" t="inlineStr">
        <is>
          <t>Bergvik skog väst AB</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23367-2025</t>
        </is>
      </c>
      <c r="B3366" s="1" t="n">
        <v>45791</v>
      </c>
      <c r="C3366" s="1" t="n">
        <v>45849</v>
      </c>
      <c r="D3366" t="inlineStr">
        <is>
          <t>VÄRMLANDS LÄN</t>
        </is>
      </c>
      <c r="E3366" t="inlineStr">
        <is>
          <t>TORSBY</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23356-2025</t>
        </is>
      </c>
      <c r="B3367" s="1" t="n">
        <v>45791</v>
      </c>
      <c r="C3367" s="1" t="n">
        <v>45849</v>
      </c>
      <c r="D3367" t="inlineStr">
        <is>
          <t>VÄRMLANDS LÄN</t>
        </is>
      </c>
      <c r="E3367" t="inlineStr">
        <is>
          <t>TORSBY</t>
        </is>
      </c>
      <c r="F3367" t="inlineStr">
        <is>
          <t>Bergvik skog väst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23126-2025</t>
        </is>
      </c>
      <c r="B3368" s="1" t="n">
        <v>45791</v>
      </c>
      <c r="C3368" s="1" t="n">
        <v>45849</v>
      </c>
      <c r="D3368" t="inlineStr">
        <is>
          <t>VÄRMLANDS LÄN</t>
        </is>
      </c>
      <c r="E3368" t="inlineStr">
        <is>
          <t>TORSBY</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23455-2025</t>
        </is>
      </c>
      <c r="B3369" s="1" t="n">
        <v>45792</v>
      </c>
      <c r="C3369" s="1" t="n">
        <v>45849</v>
      </c>
      <c r="D3369" t="inlineStr">
        <is>
          <t>VÄRMLANDS LÄN</t>
        </is>
      </c>
      <c r="E3369" t="inlineStr">
        <is>
          <t>TORSBY</t>
        </is>
      </c>
      <c r="F3369" t="inlineStr">
        <is>
          <t>Kyrkan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23557-2025</t>
        </is>
      </c>
      <c r="B3370" s="1" t="n">
        <v>45792</v>
      </c>
      <c r="C3370" s="1" t="n">
        <v>45849</v>
      </c>
      <c r="D3370" t="inlineStr">
        <is>
          <t>VÄRMLANDS LÄN</t>
        </is>
      </c>
      <c r="E3370" t="inlineStr">
        <is>
          <t>TORSBY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23779-2025</t>
        </is>
      </c>
      <c r="B3371" s="1" t="n">
        <v>45793</v>
      </c>
      <c r="C3371" s="1" t="n">
        <v>45849</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23741-2025</t>
        </is>
      </c>
      <c r="B3372" s="1" t="n">
        <v>45793</v>
      </c>
      <c r="C3372" s="1" t="n">
        <v>45849</v>
      </c>
      <c r="D3372" t="inlineStr">
        <is>
          <t>VÄRMLANDS LÄN</t>
        </is>
      </c>
      <c r="E3372" t="inlineStr">
        <is>
          <t>TORSBY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23677-2025</t>
        </is>
      </c>
      <c r="B3373" s="1" t="n">
        <v>45793</v>
      </c>
      <c r="C3373" s="1" t="n">
        <v>45849</v>
      </c>
      <c r="D3373" t="inlineStr">
        <is>
          <t>VÄRMLANDS LÄN</t>
        </is>
      </c>
      <c r="E3373" t="inlineStr">
        <is>
          <t>TORSBY</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23832-2025</t>
        </is>
      </c>
      <c r="B3374" s="1" t="n">
        <v>45793</v>
      </c>
      <c r="C3374" s="1" t="n">
        <v>45849</v>
      </c>
      <c r="D3374" t="inlineStr">
        <is>
          <t>VÄRMLANDS LÄN</t>
        </is>
      </c>
      <c r="E3374" t="inlineStr">
        <is>
          <t>TORSBY</t>
        </is>
      </c>
      <c r="F3374" t="inlineStr">
        <is>
          <t>Bergvik skog väst AB</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24026-2025</t>
        </is>
      </c>
      <c r="B3375" s="1" t="n">
        <v>45796</v>
      </c>
      <c r="C3375" s="1" t="n">
        <v>45849</v>
      </c>
      <c r="D3375" t="inlineStr">
        <is>
          <t>VÄRMLANDS LÄN</t>
        </is>
      </c>
      <c r="E3375" t="inlineStr">
        <is>
          <t>TORSBY</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24069-2025</t>
        </is>
      </c>
      <c r="B3376" s="1" t="n">
        <v>45796</v>
      </c>
      <c r="C3376" s="1" t="n">
        <v>45849</v>
      </c>
      <c r="D3376" t="inlineStr">
        <is>
          <t>VÄRMLANDS LÄN</t>
        </is>
      </c>
      <c r="E3376" t="inlineStr">
        <is>
          <t>TORSBY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24111-2025</t>
        </is>
      </c>
      <c r="B3377" s="1" t="n">
        <v>45796</v>
      </c>
      <c r="C3377" s="1" t="n">
        <v>45849</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24112-2025</t>
        </is>
      </c>
      <c r="B3378" s="1" t="n">
        <v>45796</v>
      </c>
      <c r="C3378" s="1" t="n">
        <v>45849</v>
      </c>
      <c r="D3378" t="inlineStr">
        <is>
          <t>VÄRMLANDS LÄN</t>
        </is>
      </c>
      <c r="E3378" t="inlineStr">
        <is>
          <t>TORSBY</t>
        </is>
      </c>
      <c r="F3378" t="inlineStr">
        <is>
          <t>Bergvik skog väst AB</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24318-2025</t>
        </is>
      </c>
      <c r="B3379" s="1" t="n">
        <v>45797</v>
      </c>
      <c r="C3379" s="1" t="n">
        <v>45849</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24425-2025</t>
        </is>
      </c>
      <c r="B3380" s="1" t="n">
        <v>45797</v>
      </c>
      <c r="C3380" s="1" t="n">
        <v>45849</v>
      </c>
      <c r="D3380" t="inlineStr">
        <is>
          <t>VÄRMLANDS LÄN</t>
        </is>
      </c>
      <c r="E3380" t="inlineStr">
        <is>
          <t>TORSBY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24218-2025</t>
        </is>
      </c>
      <c r="B3381" s="1" t="n">
        <v>45797</v>
      </c>
      <c r="C3381" s="1" t="n">
        <v>45849</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24260-2025</t>
        </is>
      </c>
      <c r="B3382" s="1" t="n">
        <v>45797</v>
      </c>
      <c r="C3382" s="1" t="n">
        <v>45849</v>
      </c>
      <c r="D3382" t="inlineStr">
        <is>
          <t>VÄRMLANDS LÄN</t>
        </is>
      </c>
      <c r="E3382" t="inlineStr">
        <is>
          <t>TORSBY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24251-2025</t>
        </is>
      </c>
      <c r="B3383" s="1" t="n">
        <v>45797</v>
      </c>
      <c r="C3383" s="1" t="n">
        <v>45849</v>
      </c>
      <c r="D3383" t="inlineStr">
        <is>
          <t>VÄRMLANDS LÄN</t>
        </is>
      </c>
      <c r="E3383" t="inlineStr">
        <is>
          <t>TORSBY</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24204-2025</t>
        </is>
      </c>
      <c r="B3384" s="1" t="n">
        <v>45797</v>
      </c>
      <c r="C3384" s="1" t="n">
        <v>45849</v>
      </c>
      <c r="D3384" t="inlineStr">
        <is>
          <t>VÄRMLANDS LÄN</t>
        </is>
      </c>
      <c r="E3384" t="inlineStr">
        <is>
          <t>TORSBY</t>
        </is>
      </c>
      <c r="F3384" t="inlineStr">
        <is>
          <t>Bergvik skog väst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24411-2025</t>
        </is>
      </c>
      <c r="B3385" s="1" t="n">
        <v>45797</v>
      </c>
      <c r="C3385" s="1" t="n">
        <v>45849</v>
      </c>
      <c r="D3385" t="inlineStr">
        <is>
          <t>VÄRMLANDS LÄN</t>
        </is>
      </c>
      <c r="E3385" t="inlineStr">
        <is>
          <t>TORSBY</t>
        </is>
      </c>
      <c r="F3385" t="inlineStr">
        <is>
          <t>Övriga statliga verk och myndigheter</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45849</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24576-2025</t>
        </is>
      </c>
      <c r="B3387" s="1" t="n">
        <v>45798</v>
      </c>
      <c r="C3387" s="1" t="n">
        <v>45849</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v>
      </c>
      <c r="C3388" s="1" t="n">
        <v>45849</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24607-2025</t>
        </is>
      </c>
      <c r="B3389" s="1" t="n">
        <v>45798</v>
      </c>
      <c r="C3389" s="1" t="n">
        <v>45849</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24528-2025</t>
        </is>
      </c>
      <c r="B3390" s="1" t="n">
        <v>45798</v>
      </c>
      <c r="C3390" s="1" t="n">
        <v>45849</v>
      </c>
      <c r="D3390" t="inlineStr">
        <is>
          <t>VÄRMLANDS LÄN</t>
        </is>
      </c>
      <c r="E3390" t="inlineStr">
        <is>
          <t>TORSBY</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24597-2025</t>
        </is>
      </c>
      <c r="B3391" s="1" t="n">
        <v>45798</v>
      </c>
      <c r="C3391" s="1" t="n">
        <v>45849</v>
      </c>
      <c r="D3391" t="inlineStr">
        <is>
          <t>VÄRMLANDS LÄN</t>
        </is>
      </c>
      <c r="E3391" t="inlineStr">
        <is>
          <t>TORSBY</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24599-2025</t>
        </is>
      </c>
      <c r="B3392" s="1" t="n">
        <v>45798</v>
      </c>
      <c r="C3392" s="1" t="n">
        <v>45849</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24757-2025</t>
        </is>
      </c>
      <c r="B3393" s="1" t="n">
        <v>45799</v>
      </c>
      <c r="C3393" s="1" t="n">
        <v>45849</v>
      </c>
      <c r="D3393" t="inlineStr">
        <is>
          <t>VÄRMLANDS LÄN</t>
        </is>
      </c>
      <c r="E3393" t="inlineStr">
        <is>
          <t>TORSBY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25050-2025</t>
        </is>
      </c>
      <c r="B3394" s="1" t="n">
        <v>45799</v>
      </c>
      <c r="C3394" s="1" t="n">
        <v>45849</v>
      </c>
      <c r="D3394" t="inlineStr">
        <is>
          <t>VÄRMLANDS LÄN</t>
        </is>
      </c>
      <c r="E3394" t="inlineStr">
        <is>
          <t>TORSBY</t>
        </is>
      </c>
      <c r="F3394" t="inlineStr">
        <is>
          <t>Bergvik skog väst AB</t>
        </is>
      </c>
      <c r="G3394" t="n">
        <v>39.7</v>
      </c>
      <c r="H3394" t="n">
        <v>0</v>
      </c>
      <c r="I3394" t="n">
        <v>0</v>
      </c>
      <c r="J3394" t="n">
        <v>0</v>
      </c>
      <c r="K3394" t="n">
        <v>0</v>
      </c>
      <c r="L3394" t="n">
        <v>0</v>
      </c>
      <c r="M3394" t="n">
        <v>0</v>
      </c>
      <c r="N3394" t="n">
        <v>0</v>
      </c>
      <c r="O3394" t="n">
        <v>0</v>
      </c>
      <c r="P3394" t="n">
        <v>0</v>
      </c>
      <c r="Q3394" t="n">
        <v>0</v>
      </c>
      <c r="R3394" s="2" t="inlineStr"/>
    </row>
    <row r="3395" ht="15" customHeight="1">
      <c r="A3395" t="inlineStr">
        <is>
          <t>A 24967-2025</t>
        </is>
      </c>
      <c r="B3395" s="1" t="n">
        <v>45799</v>
      </c>
      <c r="C3395" s="1" t="n">
        <v>45849</v>
      </c>
      <c r="D3395" t="inlineStr">
        <is>
          <t>VÄRMLANDS LÄN</t>
        </is>
      </c>
      <c r="E3395" t="inlineStr">
        <is>
          <t>TORSBY</t>
        </is>
      </c>
      <c r="F3395" t="inlineStr">
        <is>
          <t>Bergvik skog väst AB</t>
        </is>
      </c>
      <c r="G3395" t="n">
        <v>17.6</v>
      </c>
      <c r="H3395" t="n">
        <v>0</v>
      </c>
      <c r="I3395" t="n">
        <v>0</v>
      </c>
      <c r="J3395" t="n">
        <v>0</v>
      </c>
      <c r="K3395" t="n">
        <v>0</v>
      </c>
      <c r="L3395" t="n">
        <v>0</v>
      </c>
      <c r="M3395" t="n">
        <v>0</v>
      </c>
      <c r="N3395" t="n">
        <v>0</v>
      </c>
      <c r="O3395" t="n">
        <v>0</v>
      </c>
      <c r="P3395" t="n">
        <v>0</v>
      </c>
      <c r="Q3395" t="n">
        <v>0</v>
      </c>
      <c r="R3395" s="2" t="inlineStr"/>
    </row>
    <row r="3396" ht="15" customHeight="1">
      <c r="A3396" t="inlineStr">
        <is>
          <t>A 24827-2025</t>
        </is>
      </c>
      <c r="B3396" s="1" t="n">
        <v>45799</v>
      </c>
      <c r="C3396" s="1" t="n">
        <v>45849</v>
      </c>
      <c r="D3396" t="inlineStr">
        <is>
          <t>VÄRMLANDS LÄN</t>
        </is>
      </c>
      <c r="E3396" t="inlineStr">
        <is>
          <t>TORSBY</t>
        </is>
      </c>
      <c r="G3396" t="n">
        <v>27.5</v>
      </c>
      <c r="H3396" t="n">
        <v>0</v>
      </c>
      <c r="I3396" t="n">
        <v>0</v>
      </c>
      <c r="J3396" t="n">
        <v>0</v>
      </c>
      <c r="K3396" t="n">
        <v>0</v>
      </c>
      <c r="L3396" t="n">
        <v>0</v>
      </c>
      <c r="M3396" t="n">
        <v>0</v>
      </c>
      <c r="N3396" t="n">
        <v>0</v>
      </c>
      <c r="O3396" t="n">
        <v>0</v>
      </c>
      <c r="P3396" t="n">
        <v>0</v>
      </c>
      <c r="Q3396" t="n">
        <v>0</v>
      </c>
      <c r="R3396" s="2" t="inlineStr"/>
    </row>
    <row r="3397" ht="15" customHeight="1">
      <c r="A3397" t="inlineStr">
        <is>
          <t>A 24726-2025</t>
        </is>
      </c>
      <c r="B3397" s="1" t="n">
        <v>45799</v>
      </c>
      <c r="C3397" s="1" t="n">
        <v>45849</v>
      </c>
      <c r="D3397" t="inlineStr">
        <is>
          <t>VÄRMLANDS LÄN</t>
        </is>
      </c>
      <c r="E3397" t="inlineStr">
        <is>
          <t>TORSBY</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45849</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v>
      </c>
      <c r="C3399" s="1" t="n">
        <v>45849</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25428-2025</t>
        </is>
      </c>
      <c r="B3400" s="1" t="n">
        <v>45800</v>
      </c>
      <c r="C3400" s="1" t="n">
        <v>45849</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45849</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25369-2025</t>
        </is>
      </c>
      <c r="B3402" s="1" t="n">
        <v>45800</v>
      </c>
      <c r="C3402" s="1" t="n">
        <v>45849</v>
      </c>
      <c r="D3402" t="inlineStr">
        <is>
          <t>VÄRMLANDS LÄN</t>
        </is>
      </c>
      <c r="E3402" t="inlineStr">
        <is>
          <t>TORSBY</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25186-2025</t>
        </is>
      </c>
      <c r="B3403" s="1" t="n">
        <v>45800</v>
      </c>
      <c r="C3403" s="1" t="n">
        <v>45849</v>
      </c>
      <c r="D3403" t="inlineStr">
        <is>
          <t>VÄRMLANDS LÄN</t>
        </is>
      </c>
      <c r="E3403" t="inlineStr">
        <is>
          <t>TORSBY</t>
        </is>
      </c>
      <c r="F3403" t="inlineStr">
        <is>
          <t>Kyrkan</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25227-2025</t>
        </is>
      </c>
      <c r="B3404" s="1" t="n">
        <v>45800</v>
      </c>
      <c r="C3404" s="1" t="n">
        <v>45849</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25328-2025</t>
        </is>
      </c>
      <c r="B3405" s="1" t="n">
        <v>45800</v>
      </c>
      <c r="C3405" s="1" t="n">
        <v>45849</v>
      </c>
      <c r="D3405" t="inlineStr">
        <is>
          <t>VÄRMLANDS LÄN</t>
        </is>
      </c>
      <c r="E3405" t="inlineStr">
        <is>
          <t>TORSBY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25443-2025</t>
        </is>
      </c>
      <c r="B3406" s="1" t="n">
        <v>45801</v>
      </c>
      <c r="C3406" s="1" t="n">
        <v>45849</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25465-2025</t>
        </is>
      </c>
      <c r="B3407" s="1" t="n">
        <v>45802</v>
      </c>
      <c r="C3407" s="1" t="n">
        <v>45849</v>
      </c>
      <c r="D3407" t="inlineStr">
        <is>
          <t>VÄRMLANDS LÄN</t>
        </is>
      </c>
      <c r="E3407" t="inlineStr">
        <is>
          <t>TORSBY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25464-2025</t>
        </is>
      </c>
      <c r="B3408" s="1" t="n">
        <v>45802</v>
      </c>
      <c r="C3408" s="1" t="n">
        <v>45849</v>
      </c>
      <c r="D3408" t="inlineStr">
        <is>
          <t>VÄRMLANDS LÄN</t>
        </is>
      </c>
      <c r="E3408" t="inlineStr">
        <is>
          <t>TORSBY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25545-2025</t>
        </is>
      </c>
      <c r="B3409" s="1" t="n">
        <v>45803</v>
      </c>
      <c r="C3409" s="1" t="n">
        <v>45849</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25653-2025</t>
        </is>
      </c>
      <c r="B3410" s="1" t="n">
        <v>45803</v>
      </c>
      <c r="C3410" s="1" t="n">
        <v>45849</v>
      </c>
      <c r="D3410" t="inlineStr">
        <is>
          <t>VÄRMLANDS LÄN</t>
        </is>
      </c>
      <c r="E3410" t="inlineStr">
        <is>
          <t>TORSBY</t>
        </is>
      </c>
      <c r="F3410" t="inlineStr">
        <is>
          <t>Bergvik skog väst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25508-2025</t>
        </is>
      </c>
      <c r="B3411" s="1" t="n">
        <v>45803</v>
      </c>
      <c r="C3411" s="1" t="n">
        <v>45849</v>
      </c>
      <c r="D3411" t="inlineStr">
        <is>
          <t>VÄRMLANDS LÄN</t>
        </is>
      </c>
      <c r="E3411" t="inlineStr">
        <is>
          <t>TORSBY</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25959-2025</t>
        </is>
      </c>
      <c r="B3412" s="1" t="n">
        <v>45804</v>
      </c>
      <c r="C3412" s="1" t="n">
        <v>45849</v>
      </c>
      <c r="D3412" t="inlineStr">
        <is>
          <t>VÄRMLANDS LÄN</t>
        </is>
      </c>
      <c r="E3412" t="inlineStr">
        <is>
          <t>TORSBY</t>
        </is>
      </c>
      <c r="F3412" t="inlineStr">
        <is>
          <t>Bergvik skog väst AB</t>
        </is>
      </c>
      <c r="G3412" t="n">
        <v>17.6</v>
      </c>
      <c r="H3412" t="n">
        <v>0</v>
      </c>
      <c r="I3412" t="n">
        <v>0</v>
      </c>
      <c r="J3412" t="n">
        <v>0</v>
      </c>
      <c r="K3412" t="n">
        <v>0</v>
      </c>
      <c r="L3412" t="n">
        <v>0</v>
      </c>
      <c r="M3412" t="n">
        <v>0</v>
      </c>
      <c r="N3412" t="n">
        <v>0</v>
      </c>
      <c r="O3412" t="n">
        <v>0</v>
      </c>
      <c r="P3412" t="n">
        <v>0</v>
      </c>
      <c r="Q3412" t="n">
        <v>0</v>
      </c>
      <c r="R3412" s="2" t="inlineStr"/>
    </row>
    <row r="3413" ht="15" customHeight="1">
      <c r="A3413" t="inlineStr">
        <is>
          <t>A 25974-2025</t>
        </is>
      </c>
      <c r="B3413" s="1" t="n">
        <v>45804</v>
      </c>
      <c r="C3413" s="1" t="n">
        <v>45849</v>
      </c>
      <c r="D3413" t="inlineStr">
        <is>
          <t>VÄRMLANDS LÄN</t>
        </is>
      </c>
      <c r="E3413" t="inlineStr">
        <is>
          <t>TORSBY</t>
        </is>
      </c>
      <c r="F3413" t="inlineStr">
        <is>
          <t>Bergvik skog väst AB</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25915-2025</t>
        </is>
      </c>
      <c r="B3414" s="1" t="n">
        <v>45804</v>
      </c>
      <c r="C3414" s="1" t="n">
        <v>45849</v>
      </c>
      <c r="D3414" t="inlineStr">
        <is>
          <t>VÄRMLANDS LÄN</t>
        </is>
      </c>
      <c r="E3414" t="inlineStr">
        <is>
          <t>TORSBY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25803-2025</t>
        </is>
      </c>
      <c r="B3415" s="1" t="n">
        <v>45804</v>
      </c>
      <c r="C3415" s="1" t="n">
        <v>45849</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25807-2025</t>
        </is>
      </c>
      <c r="B3416" s="1" t="n">
        <v>45804</v>
      </c>
      <c r="C3416" s="1" t="n">
        <v>45849</v>
      </c>
      <c r="D3416" t="inlineStr">
        <is>
          <t>VÄRMLANDS LÄN</t>
        </is>
      </c>
      <c r="E3416" t="inlineStr">
        <is>
          <t>TORSBY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25808-2025</t>
        </is>
      </c>
      <c r="B3417" s="1" t="n">
        <v>45804</v>
      </c>
      <c r="C3417" s="1" t="n">
        <v>45849</v>
      </c>
      <c r="D3417" t="inlineStr">
        <is>
          <t>VÄRMLANDS LÄN</t>
        </is>
      </c>
      <c r="E3417" t="inlineStr">
        <is>
          <t>TORSBY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45849</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25956-2025</t>
        </is>
      </c>
      <c r="B3419" s="1" t="n">
        <v>45804</v>
      </c>
      <c r="C3419" s="1" t="n">
        <v>45849</v>
      </c>
      <c r="D3419" t="inlineStr">
        <is>
          <t>VÄRMLANDS LÄN</t>
        </is>
      </c>
      <c r="E3419" t="inlineStr">
        <is>
          <t>TORSBY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25961-2025</t>
        </is>
      </c>
      <c r="B3420" s="1" t="n">
        <v>45804</v>
      </c>
      <c r="C3420" s="1" t="n">
        <v>45849</v>
      </c>
      <c r="D3420" t="inlineStr">
        <is>
          <t>VÄRMLANDS LÄN</t>
        </is>
      </c>
      <c r="E3420" t="inlineStr">
        <is>
          <t>TORSBY</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25866-2025</t>
        </is>
      </c>
      <c r="B3421" s="1" t="n">
        <v>45804</v>
      </c>
      <c r="C3421" s="1" t="n">
        <v>45849</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25881-2025</t>
        </is>
      </c>
      <c r="B3422" s="1" t="n">
        <v>45804</v>
      </c>
      <c r="C3422" s="1" t="n">
        <v>45849</v>
      </c>
      <c r="D3422" t="inlineStr">
        <is>
          <t>VÄRMLANDS LÄN</t>
        </is>
      </c>
      <c r="E3422" t="inlineStr">
        <is>
          <t>TORSBY</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25859-2025</t>
        </is>
      </c>
      <c r="B3423" s="1" t="n">
        <v>45804</v>
      </c>
      <c r="C3423" s="1" t="n">
        <v>45849</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26061-2025</t>
        </is>
      </c>
      <c r="B3424" s="1" t="n">
        <v>45805</v>
      </c>
      <c r="C3424" s="1" t="n">
        <v>45849</v>
      </c>
      <c r="D3424" t="inlineStr">
        <is>
          <t>VÄRMLANDS LÄN</t>
        </is>
      </c>
      <c r="E3424" t="inlineStr">
        <is>
          <t>TORSBY</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26342-2025</t>
        </is>
      </c>
      <c r="B3425" s="1" t="n">
        <v>45805</v>
      </c>
      <c r="C3425" s="1" t="n">
        <v>45849</v>
      </c>
      <c r="D3425" t="inlineStr">
        <is>
          <t>VÄRMLANDS LÄN</t>
        </is>
      </c>
      <c r="E3425" t="inlineStr">
        <is>
          <t>TORSBY</t>
        </is>
      </c>
      <c r="F3425" t="inlineStr">
        <is>
          <t>Bergvik skog väst AB</t>
        </is>
      </c>
      <c r="G3425" t="n">
        <v>13.6</v>
      </c>
      <c r="H3425" t="n">
        <v>0</v>
      </c>
      <c r="I3425" t="n">
        <v>0</v>
      </c>
      <c r="J3425" t="n">
        <v>0</v>
      </c>
      <c r="K3425" t="n">
        <v>0</v>
      </c>
      <c r="L3425" t="n">
        <v>0</v>
      </c>
      <c r="M3425" t="n">
        <v>0</v>
      </c>
      <c r="N3425" t="n">
        <v>0</v>
      </c>
      <c r="O3425" t="n">
        <v>0</v>
      </c>
      <c r="P3425" t="n">
        <v>0</v>
      </c>
      <c r="Q3425" t="n">
        <v>0</v>
      </c>
      <c r="R3425" s="2" t="inlineStr"/>
    </row>
    <row r="3426" ht="15" customHeight="1">
      <c r="A3426" t="inlineStr">
        <is>
          <t>A 26108-2025</t>
        </is>
      </c>
      <c r="B3426" s="1" t="n">
        <v>45805</v>
      </c>
      <c r="C3426" s="1" t="n">
        <v>45849</v>
      </c>
      <c r="D3426" t="inlineStr">
        <is>
          <t>VÄRMLANDS LÄN</t>
        </is>
      </c>
      <c r="E3426" t="inlineStr">
        <is>
          <t>TORSBY</t>
        </is>
      </c>
      <c r="F3426" t="inlineStr">
        <is>
          <t>Bergvik skog väst AB</t>
        </is>
      </c>
      <c r="G3426" t="n">
        <v>22.8</v>
      </c>
      <c r="H3426" t="n">
        <v>0</v>
      </c>
      <c r="I3426" t="n">
        <v>0</v>
      </c>
      <c r="J3426" t="n">
        <v>0</v>
      </c>
      <c r="K3426" t="n">
        <v>0</v>
      </c>
      <c r="L3426" t="n">
        <v>0</v>
      </c>
      <c r="M3426" t="n">
        <v>0</v>
      </c>
      <c r="N3426" t="n">
        <v>0</v>
      </c>
      <c r="O3426" t="n">
        <v>0</v>
      </c>
      <c r="P3426" t="n">
        <v>0</v>
      </c>
      <c r="Q3426" t="n">
        <v>0</v>
      </c>
      <c r="R3426" s="2" t="inlineStr"/>
    </row>
    <row r="3427" ht="15" customHeight="1">
      <c r="A3427" t="inlineStr">
        <is>
          <t>A 26333-2025</t>
        </is>
      </c>
      <c r="B3427" s="1" t="n">
        <v>45805</v>
      </c>
      <c r="C3427" s="1" t="n">
        <v>45849</v>
      </c>
      <c r="D3427" t="inlineStr">
        <is>
          <t>VÄRMLANDS LÄN</t>
        </is>
      </c>
      <c r="E3427" t="inlineStr">
        <is>
          <t>TORSBY</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26231-2025</t>
        </is>
      </c>
      <c r="B3428" s="1" t="n">
        <v>45805</v>
      </c>
      <c r="C3428" s="1" t="n">
        <v>45849</v>
      </c>
      <c r="D3428" t="inlineStr">
        <is>
          <t>VÄRMLANDS LÄN</t>
        </is>
      </c>
      <c r="E3428" t="inlineStr">
        <is>
          <t>TORSBY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26158-2025</t>
        </is>
      </c>
      <c r="B3429" s="1" t="n">
        <v>45805</v>
      </c>
      <c r="C3429" s="1" t="n">
        <v>45849</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26418-2025</t>
        </is>
      </c>
      <c r="B3430" s="1" t="n">
        <v>45807</v>
      </c>
      <c r="C3430" s="1" t="n">
        <v>45849</v>
      </c>
      <c r="D3430" t="inlineStr">
        <is>
          <t>VÄRMLANDS LÄN</t>
        </is>
      </c>
      <c r="E3430" t="inlineStr">
        <is>
          <t>TORSBY</t>
        </is>
      </c>
      <c r="F3430" t="inlineStr">
        <is>
          <t>Bergvik skog väst AB</t>
        </is>
      </c>
      <c r="G3430" t="n">
        <v>13.4</v>
      </c>
      <c r="H3430" t="n">
        <v>0</v>
      </c>
      <c r="I3430" t="n">
        <v>0</v>
      </c>
      <c r="J3430" t="n">
        <v>0</v>
      </c>
      <c r="K3430" t="n">
        <v>0</v>
      </c>
      <c r="L3430" t="n">
        <v>0</v>
      </c>
      <c r="M3430" t="n">
        <v>0</v>
      </c>
      <c r="N3430" t="n">
        <v>0</v>
      </c>
      <c r="O3430" t="n">
        <v>0</v>
      </c>
      <c r="P3430" t="n">
        <v>0</v>
      </c>
      <c r="Q3430" t="n">
        <v>0</v>
      </c>
      <c r="R3430" s="2" t="inlineStr"/>
    </row>
    <row r="3431" ht="15" customHeight="1">
      <c r="A3431" t="inlineStr">
        <is>
          <t>A 26491-2025</t>
        </is>
      </c>
      <c r="B3431" s="1" t="n">
        <v>45807</v>
      </c>
      <c r="C3431" s="1" t="n">
        <v>45849</v>
      </c>
      <c r="D3431" t="inlineStr">
        <is>
          <t>VÄRMLANDS LÄN</t>
        </is>
      </c>
      <c r="E3431" t="inlineStr">
        <is>
          <t>TORSBY</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26479-2025</t>
        </is>
      </c>
      <c r="B3432" s="1" t="n">
        <v>45807</v>
      </c>
      <c r="C3432" s="1" t="n">
        <v>45849</v>
      </c>
      <c r="D3432" t="inlineStr">
        <is>
          <t>VÄRMLANDS LÄN</t>
        </is>
      </c>
      <c r="E3432" t="inlineStr">
        <is>
          <t>TORSBY</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26504-2025</t>
        </is>
      </c>
      <c r="B3433" s="1" t="n">
        <v>45807</v>
      </c>
      <c r="C3433" s="1" t="n">
        <v>45849</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26505-2025</t>
        </is>
      </c>
      <c r="B3434" s="1" t="n">
        <v>45807</v>
      </c>
      <c r="C3434" s="1" t="n">
        <v>45849</v>
      </c>
      <c r="D3434" t="inlineStr">
        <is>
          <t>VÄRMLANDS LÄN</t>
        </is>
      </c>
      <c r="E3434" t="inlineStr">
        <is>
          <t>TORSBY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26539-2025</t>
        </is>
      </c>
      <c r="B3435" s="1" t="n">
        <v>45807</v>
      </c>
      <c r="C3435" s="1" t="n">
        <v>45849</v>
      </c>
      <c r="D3435" t="inlineStr">
        <is>
          <t>VÄRMLANDS LÄN</t>
        </is>
      </c>
      <c r="E3435" t="inlineStr">
        <is>
          <t>TORSBY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26563-2025</t>
        </is>
      </c>
      <c r="B3436" s="1" t="n">
        <v>45807</v>
      </c>
      <c r="C3436" s="1" t="n">
        <v>45849</v>
      </c>
      <c r="D3436" t="inlineStr">
        <is>
          <t>VÄRMLANDS LÄN</t>
        </is>
      </c>
      <c r="E3436" t="inlineStr">
        <is>
          <t>TORSBY</t>
        </is>
      </c>
      <c r="F3436" t="inlineStr">
        <is>
          <t>Bergvik skog väst AB</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26507-2025</t>
        </is>
      </c>
      <c r="B3437" s="1" t="n">
        <v>45807</v>
      </c>
      <c r="C3437" s="1" t="n">
        <v>45849</v>
      </c>
      <c r="D3437" t="inlineStr">
        <is>
          <t>VÄRMLANDS LÄN</t>
        </is>
      </c>
      <c r="E3437" t="inlineStr">
        <is>
          <t>TORSBY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26533-2025</t>
        </is>
      </c>
      <c r="B3438" s="1" t="n">
        <v>45807</v>
      </c>
      <c r="C3438" s="1" t="n">
        <v>45849</v>
      </c>
      <c r="D3438" t="inlineStr">
        <is>
          <t>VÄRMLANDS LÄN</t>
        </is>
      </c>
      <c r="E3438" t="inlineStr">
        <is>
          <t>TORSBY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26564-2025</t>
        </is>
      </c>
      <c r="B3439" s="1" t="n">
        <v>45807</v>
      </c>
      <c r="C3439" s="1" t="n">
        <v>45849</v>
      </c>
      <c r="D3439" t="inlineStr">
        <is>
          <t>VÄRMLANDS LÄN</t>
        </is>
      </c>
      <c r="E3439" t="inlineStr">
        <is>
          <t>TORSBY</t>
        </is>
      </c>
      <c r="F3439" t="inlineStr">
        <is>
          <t>Bergvik skog väst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26487-2025</t>
        </is>
      </c>
      <c r="B3440" s="1" t="n">
        <v>45807</v>
      </c>
      <c r="C3440" s="1" t="n">
        <v>45849</v>
      </c>
      <c r="D3440" t="inlineStr">
        <is>
          <t>VÄRMLANDS LÄN</t>
        </is>
      </c>
      <c r="E3440" t="inlineStr">
        <is>
          <t>TORSBY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26511-2025</t>
        </is>
      </c>
      <c r="B3441" s="1" t="n">
        <v>45807</v>
      </c>
      <c r="C3441" s="1" t="n">
        <v>45849</v>
      </c>
      <c r="D3441" t="inlineStr">
        <is>
          <t>VÄRMLANDS LÄN</t>
        </is>
      </c>
      <c r="E3441" t="inlineStr">
        <is>
          <t>TORSBY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26607-2025</t>
        </is>
      </c>
      <c r="B3442" s="1" t="n">
        <v>45810</v>
      </c>
      <c r="C3442" s="1" t="n">
        <v>45849</v>
      </c>
      <c r="D3442" t="inlineStr">
        <is>
          <t>VÄRMLANDS LÄN</t>
        </is>
      </c>
      <c r="E3442" t="inlineStr">
        <is>
          <t>TORSBY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26822-2025</t>
        </is>
      </c>
      <c r="B3443" s="1" t="n">
        <v>45810</v>
      </c>
      <c r="C3443" s="1" t="n">
        <v>45849</v>
      </c>
      <c r="D3443" t="inlineStr">
        <is>
          <t>VÄRMLANDS LÄN</t>
        </is>
      </c>
      <c r="E3443" t="inlineStr">
        <is>
          <t>TORSBY</t>
        </is>
      </c>
      <c r="G3443" t="n">
        <v>13.7</v>
      </c>
      <c r="H3443" t="n">
        <v>0</v>
      </c>
      <c r="I3443" t="n">
        <v>0</v>
      </c>
      <c r="J3443" t="n">
        <v>0</v>
      </c>
      <c r="K3443" t="n">
        <v>0</v>
      </c>
      <c r="L3443" t="n">
        <v>0</v>
      </c>
      <c r="M3443" t="n">
        <v>0</v>
      </c>
      <c r="N3443" t="n">
        <v>0</v>
      </c>
      <c r="O3443" t="n">
        <v>0</v>
      </c>
      <c r="P3443" t="n">
        <v>0</v>
      </c>
      <c r="Q3443" t="n">
        <v>0</v>
      </c>
      <c r="R3443" s="2" t="inlineStr"/>
    </row>
    <row r="3444" ht="15" customHeight="1">
      <c r="A3444" t="inlineStr">
        <is>
          <t>A 27093-2025</t>
        </is>
      </c>
      <c r="B3444" s="1" t="n">
        <v>45811</v>
      </c>
      <c r="C3444" s="1" t="n">
        <v>45849</v>
      </c>
      <c r="D3444" t="inlineStr">
        <is>
          <t>VÄRMLANDS LÄN</t>
        </is>
      </c>
      <c r="E3444" t="inlineStr">
        <is>
          <t>TORSBY</t>
        </is>
      </c>
      <c r="F3444" t="inlineStr">
        <is>
          <t>Bergvik skog väst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27094-2025</t>
        </is>
      </c>
      <c r="B3445" s="1" t="n">
        <v>45811</v>
      </c>
      <c r="C3445" s="1" t="n">
        <v>45849</v>
      </c>
      <c r="D3445" t="inlineStr">
        <is>
          <t>VÄRMLANDS LÄN</t>
        </is>
      </c>
      <c r="E3445" t="inlineStr">
        <is>
          <t>TORSBY</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26892-2025</t>
        </is>
      </c>
      <c r="B3446" s="1" t="n">
        <v>45811</v>
      </c>
      <c r="C3446" s="1" t="n">
        <v>45849</v>
      </c>
      <c r="D3446" t="inlineStr">
        <is>
          <t>VÄRMLANDS LÄN</t>
        </is>
      </c>
      <c r="E3446" t="inlineStr">
        <is>
          <t>TORSBY</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26960-2025</t>
        </is>
      </c>
      <c r="B3447" s="1" t="n">
        <v>45811</v>
      </c>
      <c r="C3447" s="1" t="n">
        <v>45849</v>
      </c>
      <c r="D3447" t="inlineStr">
        <is>
          <t>VÄRMLANDS LÄN</t>
        </is>
      </c>
      <c r="E3447" t="inlineStr">
        <is>
          <t>TORSBY</t>
        </is>
      </c>
      <c r="F3447" t="inlineStr">
        <is>
          <t>Kyrkan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27043-2025</t>
        </is>
      </c>
      <c r="B3448" s="1" t="n">
        <v>45811</v>
      </c>
      <c r="C3448" s="1" t="n">
        <v>45849</v>
      </c>
      <c r="D3448" t="inlineStr">
        <is>
          <t>VÄRMLANDS LÄN</t>
        </is>
      </c>
      <c r="E3448" t="inlineStr">
        <is>
          <t>TORSBY</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26897-2025</t>
        </is>
      </c>
      <c r="B3449" s="1" t="n">
        <v>45811</v>
      </c>
      <c r="C3449" s="1" t="n">
        <v>45849</v>
      </c>
      <c r="D3449" t="inlineStr">
        <is>
          <t>VÄRMLANDS LÄN</t>
        </is>
      </c>
      <c r="E3449" t="inlineStr">
        <is>
          <t>TORSBY</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27056-2025</t>
        </is>
      </c>
      <c r="B3450" s="1" t="n">
        <v>45811</v>
      </c>
      <c r="C3450" s="1" t="n">
        <v>45849</v>
      </c>
      <c r="D3450" t="inlineStr">
        <is>
          <t>VÄRMLANDS LÄN</t>
        </is>
      </c>
      <c r="E3450" t="inlineStr">
        <is>
          <t>TORSBY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27116-2025</t>
        </is>
      </c>
      <c r="B3451" s="1" t="n">
        <v>45811</v>
      </c>
      <c r="C3451" s="1" t="n">
        <v>45849</v>
      </c>
      <c r="D3451" t="inlineStr">
        <is>
          <t>VÄRMLANDS LÄN</t>
        </is>
      </c>
      <c r="E3451" t="inlineStr">
        <is>
          <t>TORSBY</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26898-2025</t>
        </is>
      </c>
      <c r="B3452" s="1" t="n">
        <v>45811</v>
      </c>
      <c r="C3452" s="1" t="n">
        <v>45849</v>
      </c>
      <c r="D3452" t="inlineStr">
        <is>
          <t>VÄRMLANDS LÄN</t>
        </is>
      </c>
      <c r="E3452" t="inlineStr">
        <is>
          <t>TORSBY</t>
        </is>
      </c>
      <c r="F3452" t="inlineStr">
        <is>
          <t>Övriga Aktiebolag</t>
        </is>
      </c>
      <c r="G3452" t="n">
        <v>37.8</v>
      </c>
      <c r="H3452" t="n">
        <v>0</v>
      </c>
      <c r="I3452" t="n">
        <v>0</v>
      </c>
      <c r="J3452" t="n">
        <v>0</v>
      </c>
      <c r="K3452" t="n">
        <v>0</v>
      </c>
      <c r="L3452" t="n">
        <v>0</v>
      </c>
      <c r="M3452" t="n">
        <v>0</v>
      </c>
      <c r="N3452" t="n">
        <v>0</v>
      </c>
      <c r="O3452" t="n">
        <v>0</v>
      </c>
      <c r="P3452" t="n">
        <v>0</v>
      </c>
      <c r="Q3452" t="n">
        <v>0</v>
      </c>
      <c r="R3452" s="2" t="inlineStr"/>
    </row>
    <row r="3453" ht="15" customHeight="1">
      <c r="A3453" t="inlineStr">
        <is>
          <t>A 26890-2025</t>
        </is>
      </c>
      <c r="B3453" s="1" t="n">
        <v>45811</v>
      </c>
      <c r="C3453" s="1" t="n">
        <v>45849</v>
      </c>
      <c r="D3453" t="inlineStr">
        <is>
          <t>VÄRMLANDS LÄN</t>
        </is>
      </c>
      <c r="E3453" t="inlineStr">
        <is>
          <t>TORSBY</t>
        </is>
      </c>
      <c r="F3453" t="inlineStr">
        <is>
          <t>Bergvik skog väst AB</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27149-2025</t>
        </is>
      </c>
      <c r="B3454" s="1" t="n">
        <v>45812</v>
      </c>
      <c r="C3454" s="1" t="n">
        <v>45849</v>
      </c>
      <c r="D3454" t="inlineStr">
        <is>
          <t>VÄRMLANDS LÄN</t>
        </is>
      </c>
      <c r="E3454" t="inlineStr">
        <is>
          <t>TORSBY</t>
        </is>
      </c>
      <c r="F3454" t="inlineStr">
        <is>
          <t>Bergvik skog väst AB</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27174-2025</t>
        </is>
      </c>
      <c r="B3455" s="1" t="n">
        <v>45812</v>
      </c>
      <c r="C3455" s="1" t="n">
        <v>45849</v>
      </c>
      <c r="D3455" t="inlineStr">
        <is>
          <t>VÄRMLANDS LÄN</t>
        </is>
      </c>
      <c r="E3455" t="inlineStr">
        <is>
          <t>TORSBY</t>
        </is>
      </c>
      <c r="F3455" t="inlineStr">
        <is>
          <t>Kyrkan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27291-2025</t>
        </is>
      </c>
      <c r="B3456" s="1" t="n">
        <v>45812</v>
      </c>
      <c r="C3456" s="1" t="n">
        <v>45849</v>
      </c>
      <c r="D3456" t="inlineStr">
        <is>
          <t>VÄRMLANDS LÄN</t>
        </is>
      </c>
      <c r="E3456" t="inlineStr">
        <is>
          <t>TORSBY</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27667-2025</t>
        </is>
      </c>
      <c r="B3457" s="1" t="n">
        <v>45813</v>
      </c>
      <c r="C3457" s="1" t="n">
        <v>45849</v>
      </c>
      <c r="D3457" t="inlineStr">
        <is>
          <t>VÄRMLANDS LÄN</t>
        </is>
      </c>
      <c r="E3457" t="inlineStr">
        <is>
          <t>TORSBY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27674-2025</t>
        </is>
      </c>
      <c r="B3458" s="1" t="n">
        <v>45813</v>
      </c>
      <c r="C3458" s="1" t="n">
        <v>45849</v>
      </c>
      <c r="D3458" t="inlineStr">
        <is>
          <t>VÄRMLANDS LÄN</t>
        </is>
      </c>
      <c r="E3458" t="inlineStr">
        <is>
          <t>TORSBY</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27470-2025</t>
        </is>
      </c>
      <c r="B3459" s="1" t="n">
        <v>45813</v>
      </c>
      <c r="C3459" s="1" t="n">
        <v>45849</v>
      </c>
      <c r="D3459" t="inlineStr">
        <is>
          <t>VÄRMLANDS LÄN</t>
        </is>
      </c>
      <c r="E3459" t="inlineStr">
        <is>
          <t>TORSBY</t>
        </is>
      </c>
      <c r="G3459" t="n">
        <v>17.9</v>
      </c>
      <c r="H3459" t="n">
        <v>0</v>
      </c>
      <c r="I3459" t="n">
        <v>0</v>
      </c>
      <c r="J3459" t="n">
        <v>0</v>
      </c>
      <c r="K3459" t="n">
        <v>0</v>
      </c>
      <c r="L3459" t="n">
        <v>0</v>
      </c>
      <c r="M3459" t="n">
        <v>0</v>
      </c>
      <c r="N3459" t="n">
        <v>0</v>
      </c>
      <c r="O3459" t="n">
        <v>0</v>
      </c>
      <c r="P3459" t="n">
        <v>0</v>
      </c>
      <c r="Q3459" t="n">
        <v>0</v>
      </c>
      <c r="R3459" s="2" t="inlineStr"/>
    </row>
    <row r="3460" ht="15" customHeight="1">
      <c r="A3460" t="inlineStr">
        <is>
          <t>A 27450-2025</t>
        </is>
      </c>
      <c r="B3460" s="1" t="n">
        <v>45813</v>
      </c>
      <c r="C3460" s="1" t="n">
        <v>45849</v>
      </c>
      <c r="D3460" t="inlineStr">
        <is>
          <t>VÄRMLANDS LÄN</t>
        </is>
      </c>
      <c r="E3460" t="inlineStr">
        <is>
          <t>TORSBY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27467-2025</t>
        </is>
      </c>
      <c r="B3461" s="1" t="n">
        <v>45813</v>
      </c>
      <c r="C3461" s="1" t="n">
        <v>45849</v>
      </c>
      <c r="D3461" t="inlineStr">
        <is>
          <t>VÄRMLANDS LÄN</t>
        </is>
      </c>
      <c r="E3461" t="inlineStr">
        <is>
          <t>TORSBY</t>
        </is>
      </c>
      <c r="F3461" t="inlineStr">
        <is>
          <t>Bergvik skog väst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27728-2025</t>
        </is>
      </c>
      <c r="B3462" s="1" t="n">
        <v>45814</v>
      </c>
      <c r="C3462" s="1" t="n">
        <v>45849</v>
      </c>
      <c r="D3462" t="inlineStr">
        <is>
          <t>VÄRMLANDS LÄN</t>
        </is>
      </c>
      <c r="E3462" t="inlineStr">
        <is>
          <t>TORSBY</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27730-2025</t>
        </is>
      </c>
      <c r="B3463" s="1" t="n">
        <v>45814</v>
      </c>
      <c r="C3463" s="1" t="n">
        <v>45849</v>
      </c>
      <c r="D3463" t="inlineStr">
        <is>
          <t>VÄRMLANDS LÄN</t>
        </is>
      </c>
      <c r="E3463" t="inlineStr">
        <is>
          <t>TORSBY</t>
        </is>
      </c>
      <c r="F3463" t="inlineStr">
        <is>
          <t>Bergvik skog väst AB</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27758-2025</t>
        </is>
      </c>
      <c r="B3464" s="1" t="n">
        <v>45816</v>
      </c>
      <c r="C3464" s="1" t="n">
        <v>45849</v>
      </c>
      <c r="D3464" t="inlineStr">
        <is>
          <t>VÄRMLANDS LÄN</t>
        </is>
      </c>
      <c r="E3464" t="inlineStr">
        <is>
          <t>TORSBY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27759-2025</t>
        </is>
      </c>
      <c r="B3465" s="1" t="n">
        <v>45816</v>
      </c>
      <c r="C3465" s="1" t="n">
        <v>45849</v>
      </c>
      <c r="D3465" t="inlineStr">
        <is>
          <t>VÄRMLANDS LÄN</t>
        </is>
      </c>
      <c r="E3465" t="inlineStr">
        <is>
          <t>TORSBY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27968-2025</t>
        </is>
      </c>
      <c r="B3466" s="1" t="n">
        <v>45817</v>
      </c>
      <c r="C3466" s="1" t="n">
        <v>45849</v>
      </c>
      <c r="D3466" t="inlineStr">
        <is>
          <t>VÄRMLANDS LÄN</t>
        </is>
      </c>
      <c r="E3466" t="inlineStr">
        <is>
          <t>TORSBY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27906-2025</t>
        </is>
      </c>
      <c r="B3467" s="1" t="n">
        <v>45817</v>
      </c>
      <c r="C3467" s="1" t="n">
        <v>45849</v>
      </c>
      <c r="D3467" t="inlineStr">
        <is>
          <t>VÄRMLANDS LÄN</t>
        </is>
      </c>
      <c r="E3467" t="inlineStr">
        <is>
          <t>TORSBY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27863-2025</t>
        </is>
      </c>
      <c r="B3468" s="1" t="n">
        <v>45817</v>
      </c>
      <c r="C3468" s="1" t="n">
        <v>45849</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27962-2025</t>
        </is>
      </c>
      <c r="B3469" s="1" t="n">
        <v>45817</v>
      </c>
      <c r="C3469" s="1" t="n">
        <v>45849</v>
      </c>
      <c r="D3469" t="inlineStr">
        <is>
          <t>VÄRMLANDS LÄN</t>
        </is>
      </c>
      <c r="E3469" t="inlineStr">
        <is>
          <t>TORSBY</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27856-2025</t>
        </is>
      </c>
      <c r="B3470" s="1" t="n">
        <v>45817</v>
      </c>
      <c r="C3470" s="1" t="n">
        <v>45849</v>
      </c>
      <c r="D3470" t="inlineStr">
        <is>
          <t>VÄRMLANDS LÄN</t>
        </is>
      </c>
      <c r="E3470" t="inlineStr">
        <is>
          <t>TORSBY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28116-2025</t>
        </is>
      </c>
      <c r="B3471" s="1" t="n">
        <v>45818</v>
      </c>
      <c r="C3471" s="1" t="n">
        <v>45849</v>
      </c>
      <c r="D3471" t="inlineStr">
        <is>
          <t>VÄRMLANDS LÄN</t>
        </is>
      </c>
      <c r="E3471" t="inlineStr">
        <is>
          <t>TORSBY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28214-2025</t>
        </is>
      </c>
      <c r="B3472" s="1" t="n">
        <v>45818</v>
      </c>
      <c r="C3472" s="1" t="n">
        <v>45849</v>
      </c>
      <c r="D3472" t="inlineStr">
        <is>
          <t>VÄRMLANDS LÄN</t>
        </is>
      </c>
      <c r="E3472" t="inlineStr">
        <is>
          <t>TORSBY</t>
        </is>
      </c>
      <c r="F3472" t="inlineStr">
        <is>
          <t>Bergvik skog väst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28117-2025</t>
        </is>
      </c>
      <c r="B3473" s="1" t="n">
        <v>45818</v>
      </c>
      <c r="C3473" s="1" t="n">
        <v>45849</v>
      </c>
      <c r="D3473" t="inlineStr">
        <is>
          <t>VÄRMLANDS LÄN</t>
        </is>
      </c>
      <c r="E3473" t="inlineStr">
        <is>
          <t>TORSBY</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28118-2025</t>
        </is>
      </c>
      <c r="B3474" s="1" t="n">
        <v>45818</v>
      </c>
      <c r="C3474" s="1" t="n">
        <v>45849</v>
      </c>
      <c r="D3474" t="inlineStr">
        <is>
          <t>VÄRMLANDS LÄN</t>
        </is>
      </c>
      <c r="E3474" t="inlineStr">
        <is>
          <t>TORSBY</t>
        </is>
      </c>
      <c r="F3474" t="inlineStr">
        <is>
          <t>Bergvik skog väst AB</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28511-2025</t>
        </is>
      </c>
      <c r="B3475" s="1" t="n">
        <v>45819</v>
      </c>
      <c r="C3475" s="1" t="n">
        <v>45849</v>
      </c>
      <c r="D3475" t="inlineStr">
        <is>
          <t>VÄRMLANDS LÄN</t>
        </is>
      </c>
      <c r="E3475" t="inlineStr">
        <is>
          <t>TORSBY</t>
        </is>
      </c>
      <c r="F3475" t="inlineStr">
        <is>
          <t>Bergvik skog väst AB</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28612-2025</t>
        </is>
      </c>
      <c r="B3476" s="1" t="n">
        <v>45819</v>
      </c>
      <c r="C3476" s="1" t="n">
        <v>45849</v>
      </c>
      <c r="D3476" t="inlineStr">
        <is>
          <t>VÄRMLANDS LÄN</t>
        </is>
      </c>
      <c r="E3476" t="inlineStr">
        <is>
          <t>TORSBY</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28380-2025</t>
        </is>
      </c>
      <c r="B3477" s="1" t="n">
        <v>45819</v>
      </c>
      <c r="C3477" s="1" t="n">
        <v>45849</v>
      </c>
      <c r="D3477" t="inlineStr">
        <is>
          <t>VÄRMLANDS LÄN</t>
        </is>
      </c>
      <c r="E3477" t="inlineStr">
        <is>
          <t>TORSBY</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28898-2025</t>
        </is>
      </c>
      <c r="B3478" s="1" t="n">
        <v>45820</v>
      </c>
      <c r="C3478" s="1" t="n">
        <v>45849</v>
      </c>
      <c r="D3478" t="inlineStr">
        <is>
          <t>VÄRMLANDS LÄN</t>
        </is>
      </c>
      <c r="E3478" t="inlineStr">
        <is>
          <t>TORSBY</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28761-2025</t>
        </is>
      </c>
      <c r="B3479" s="1" t="n">
        <v>45820</v>
      </c>
      <c r="C3479" s="1" t="n">
        <v>45849</v>
      </c>
      <c r="D3479" t="inlineStr">
        <is>
          <t>VÄRMLANDS LÄN</t>
        </is>
      </c>
      <c r="E3479" t="inlineStr">
        <is>
          <t>TORSBY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28774-2025</t>
        </is>
      </c>
      <c r="B3480" s="1" t="n">
        <v>45820</v>
      </c>
      <c r="C3480" s="1" t="n">
        <v>45849</v>
      </c>
      <c r="D3480" t="inlineStr">
        <is>
          <t>VÄRMLANDS LÄN</t>
        </is>
      </c>
      <c r="E3480" t="inlineStr">
        <is>
          <t>TORSBY</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28939-2025</t>
        </is>
      </c>
      <c r="B3481" s="1" t="n">
        <v>45820</v>
      </c>
      <c r="C3481" s="1" t="n">
        <v>45849</v>
      </c>
      <c r="D3481" t="inlineStr">
        <is>
          <t>VÄRMLANDS LÄN</t>
        </is>
      </c>
      <c r="E3481" t="inlineStr">
        <is>
          <t>TORSBY</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28791-2025</t>
        </is>
      </c>
      <c r="B3482" s="1" t="n">
        <v>45820</v>
      </c>
      <c r="C3482" s="1" t="n">
        <v>45849</v>
      </c>
      <c r="D3482" t="inlineStr">
        <is>
          <t>VÄRMLANDS LÄN</t>
        </is>
      </c>
      <c r="E3482" t="inlineStr">
        <is>
          <t>TORSBY</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28757-2025</t>
        </is>
      </c>
      <c r="B3483" s="1" t="n">
        <v>45820</v>
      </c>
      <c r="C3483" s="1" t="n">
        <v>45849</v>
      </c>
      <c r="D3483" t="inlineStr">
        <is>
          <t>VÄRMLANDS LÄN</t>
        </is>
      </c>
      <c r="E3483" t="inlineStr">
        <is>
          <t>TORSBY</t>
        </is>
      </c>
      <c r="G3483" t="n">
        <v>12.1</v>
      </c>
      <c r="H3483" t="n">
        <v>0</v>
      </c>
      <c r="I3483" t="n">
        <v>0</v>
      </c>
      <c r="J3483" t="n">
        <v>0</v>
      </c>
      <c r="K3483" t="n">
        <v>0</v>
      </c>
      <c r="L3483" t="n">
        <v>0</v>
      </c>
      <c r="M3483" t="n">
        <v>0</v>
      </c>
      <c r="N3483" t="n">
        <v>0</v>
      </c>
      <c r="O3483" t="n">
        <v>0</v>
      </c>
      <c r="P3483" t="n">
        <v>0</v>
      </c>
      <c r="Q3483" t="n">
        <v>0</v>
      </c>
      <c r="R3483" s="2" t="inlineStr"/>
    </row>
    <row r="3484" ht="15" customHeight="1">
      <c r="A3484" t="inlineStr">
        <is>
          <t>A 28784-2025</t>
        </is>
      </c>
      <c r="B3484" s="1" t="n">
        <v>45820</v>
      </c>
      <c r="C3484" s="1" t="n">
        <v>45849</v>
      </c>
      <c r="D3484" t="inlineStr">
        <is>
          <t>VÄRMLANDS LÄN</t>
        </is>
      </c>
      <c r="E3484" t="inlineStr">
        <is>
          <t>TORSBY</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28765-2025</t>
        </is>
      </c>
      <c r="B3485" s="1" t="n">
        <v>45820</v>
      </c>
      <c r="C3485" s="1" t="n">
        <v>45849</v>
      </c>
      <c r="D3485" t="inlineStr">
        <is>
          <t>VÄRMLANDS LÄN</t>
        </is>
      </c>
      <c r="E3485" t="inlineStr">
        <is>
          <t>TORSBY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29063-2025</t>
        </is>
      </c>
      <c r="B3486" s="1" t="n">
        <v>45821</v>
      </c>
      <c r="C3486" s="1" t="n">
        <v>45849</v>
      </c>
      <c r="D3486" t="inlineStr">
        <is>
          <t>VÄRMLANDS LÄN</t>
        </is>
      </c>
      <c r="E3486" t="inlineStr">
        <is>
          <t>TORSBY</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29130-2025</t>
        </is>
      </c>
      <c r="B3487" s="1" t="n">
        <v>45821</v>
      </c>
      <c r="C3487" s="1" t="n">
        <v>45849</v>
      </c>
      <c r="D3487" t="inlineStr">
        <is>
          <t>VÄRMLANDS LÄN</t>
        </is>
      </c>
      <c r="E3487" t="inlineStr">
        <is>
          <t>TORSBY</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29071-2025</t>
        </is>
      </c>
      <c r="B3488" s="1" t="n">
        <v>45821</v>
      </c>
      <c r="C3488" s="1" t="n">
        <v>45849</v>
      </c>
      <c r="D3488" t="inlineStr">
        <is>
          <t>VÄRMLANDS LÄN</t>
        </is>
      </c>
      <c r="E3488" t="inlineStr">
        <is>
          <t>TORSBY</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29251-2025</t>
        </is>
      </c>
      <c r="B3489" s="1" t="n">
        <v>45824</v>
      </c>
      <c r="C3489" s="1" t="n">
        <v>45849</v>
      </c>
      <c r="D3489" t="inlineStr">
        <is>
          <t>VÄRMLANDS LÄN</t>
        </is>
      </c>
      <c r="E3489" t="inlineStr">
        <is>
          <t>TORSBY</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29403-2025</t>
        </is>
      </c>
      <c r="B3490" s="1" t="n">
        <v>45824</v>
      </c>
      <c r="C3490" s="1" t="n">
        <v>45849</v>
      </c>
      <c r="D3490" t="inlineStr">
        <is>
          <t>VÄRMLANDS LÄN</t>
        </is>
      </c>
      <c r="E3490" t="inlineStr">
        <is>
          <t>TORSBY</t>
        </is>
      </c>
      <c r="F3490" t="inlineStr">
        <is>
          <t>Bergvik skog väst AB</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29307-2025</t>
        </is>
      </c>
      <c r="B3491" s="1" t="n">
        <v>45824</v>
      </c>
      <c r="C3491" s="1" t="n">
        <v>45849</v>
      </c>
      <c r="D3491" t="inlineStr">
        <is>
          <t>VÄRMLANDS LÄN</t>
        </is>
      </c>
      <c r="E3491" t="inlineStr">
        <is>
          <t>TORSBY</t>
        </is>
      </c>
      <c r="F3491" t="inlineStr">
        <is>
          <t>Övriga Aktiebolag</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29312-2025</t>
        </is>
      </c>
      <c r="B3492" s="1" t="n">
        <v>45824</v>
      </c>
      <c r="C3492" s="1" t="n">
        <v>45849</v>
      </c>
      <c r="D3492" t="inlineStr">
        <is>
          <t>VÄRMLANDS LÄN</t>
        </is>
      </c>
      <c r="E3492" t="inlineStr">
        <is>
          <t>TORSBY</t>
        </is>
      </c>
      <c r="F3492" t="inlineStr">
        <is>
          <t>Övriga Aktiebolag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29512-2025</t>
        </is>
      </c>
      <c r="B3493" s="1" t="n">
        <v>45825</v>
      </c>
      <c r="C3493" s="1" t="n">
        <v>45849</v>
      </c>
      <c r="D3493" t="inlineStr">
        <is>
          <t>VÄRMLANDS LÄN</t>
        </is>
      </c>
      <c r="E3493" t="inlineStr">
        <is>
          <t>TORSBY</t>
        </is>
      </c>
      <c r="F3493" t="inlineStr">
        <is>
          <t>Bergvik skog väst AB</t>
        </is>
      </c>
      <c r="G3493" t="n">
        <v>17.9</v>
      </c>
      <c r="H3493" t="n">
        <v>0</v>
      </c>
      <c r="I3493" t="n">
        <v>0</v>
      </c>
      <c r="J3493" t="n">
        <v>0</v>
      </c>
      <c r="K3493" t="n">
        <v>0</v>
      </c>
      <c r="L3493" t="n">
        <v>0</v>
      </c>
      <c r="M3493" t="n">
        <v>0</v>
      </c>
      <c r="N3493" t="n">
        <v>0</v>
      </c>
      <c r="O3493" t="n">
        <v>0</v>
      </c>
      <c r="P3493" t="n">
        <v>0</v>
      </c>
      <c r="Q3493" t="n">
        <v>0</v>
      </c>
      <c r="R3493" s="2" t="inlineStr"/>
    </row>
    <row r="3494" ht="15" customHeight="1">
      <c r="A3494" t="inlineStr">
        <is>
          <t>A 29525-2025</t>
        </is>
      </c>
      <c r="B3494" s="1" t="n">
        <v>45825</v>
      </c>
      <c r="C3494" s="1" t="n">
        <v>45849</v>
      </c>
      <c r="D3494" t="inlineStr">
        <is>
          <t>VÄRMLANDS LÄN</t>
        </is>
      </c>
      <c r="E3494" t="inlineStr">
        <is>
          <t>TORSBY</t>
        </is>
      </c>
      <c r="F3494" t="inlineStr">
        <is>
          <t>Bergvik skog väst AB</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29650-2025</t>
        </is>
      </c>
      <c r="B3495" s="1" t="n">
        <v>45825</v>
      </c>
      <c r="C3495" s="1" t="n">
        <v>45849</v>
      </c>
      <c r="D3495" t="inlineStr">
        <is>
          <t>VÄRMLANDS LÄN</t>
        </is>
      </c>
      <c r="E3495" t="inlineStr">
        <is>
          <t>TORSBY</t>
        </is>
      </c>
      <c r="G3495" t="n">
        <v>16.8</v>
      </c>
      <c r="H3495" t="n">
        <v>0</v>
      </c>
      <c r="I3495" t="n">
        <v>0</v>
      </c>
      <c r="J3495" t="n">
        <v>0</v>
      </c>
      <c r="K3495" t="n">
        <v>0</v>
      </c>
      <c r="L3495" t="n">
        <v>0</v>
      </c>
      <c r="M3495" t="n">
        <v>0</v>
      </c>
      <c r="N3495" t="n">
        <v>0</v>
      </c>
      <c r="O3495" t="n">
        <v>0</v>
      </c>
      <c r="P3495" t="n">
        <v>0</v>
      </c>
      <c r="Q3495" t="n">
        <v>0</v>
      </c>
      <c r="R3495" s="2" t="inlineStr"/>
    </row>
    <row r="3496" ht="15" customHeight="1">
      <c r="A3496" t="inlineStr">
        <is>
          <t>A 29702-2025</t>
        </is>
      </c>
      <c r="B3496" s="1" t="n">
        <v>45825</v>
      </c>
      <c r="C3496" s="1" t="n">
        <v>45849</v>
      </c>
      <c r="D3496" t="inlineStr">
        <is>
          <t>VÄRMLANDS LÄN</t>
        </is>
      </c>
      <c r="E3496" t="inlineStr">
        <is>
          <t>TORSBY</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29587-2025</t>
        </is>
      </c>
      <c r="B3497" s="1" t="n">
        <v>45825</v>
      </c>
      <c r="C3497" s="1" t="n">
        <v>45849</v>
      </c>
      <c r="D3497" t="inlineStr">
        <is>
          <t>VÄRMLANDS LÄN</t>
        </is>
      </c>
      <c r="E3497" t="inlineStr">
        <is>
          <t>TORSBY</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29641-2025</t>
        </is>
      </c>
      <c r="B3498" s="1" t="n">
        <v>45825</v>
      </c>
      <c r="C3498" s="1" t="n">
        <v>45849</v>
      </c>
      <c r="D3498" t="inlineStr">
        <is>
          <t>VÄRMLANDS LÄN</t>
        </is>
      </c>
      <c r="E3498" t="inlineStr">
        <is>
          <t>TORSBY</t>
        </is>
      </c>
      <c r="G3498" t="n">
        <v>23.4</v>
      </c>
      <c r="H3498" t="n">
        <v>0</v>
      </c>
      <c r="I3498" t="n">
        <v>0</v>
      </c>
      <c r="J3498" t="n">
        <v>0</v>
      </c>
      <c r="K3498" t="n">
        <v>0</v>
      </c>
      <c r="L3498" t="n">
        <v>0</v>
      </c>
      <c r="M3498" t="n">
        <v>0</v>
      </c>
      <c r="N3498" t="n">
        <v>0</v>
      </c>
      <c r="O3498" t="n">
        <v>0</v>
      </c>
      <c r="P3498" t="n">
        <v>0</v>
      </c>
      <c r="Q3498" t="n">
        <v>0</v>
      </c>
      <c r="R3498" s="2" t="inlineStr"/>
    </row>
    <row r="3499" ht="15" customHeight="1">
      <c r="A3499" t="inlineStr">
        <is>
          <t>A 30078-2025</t>
        </is>
      </c>
      <c r="B3499" s="1" t="n">
        <v>45826</v>
      </c>
      <c r="C3499" s="1" t="n">
        <v>45849</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30074-2025</t>
        </is>
      </c>
      <c r="B3500" s="1" t="n">
        <v>45826</v>
      </c>
      <c r="C3500" s="1" t="n">
        <v>45849</v>
      </c>
      <c r="D3500" t="inlineStr">
        <is>
          <t>VÄRMLANDS LÄN</t>
        </is>
      </c>
      <c r="E3500" t="inlineStr">
        <is>
          <t>TORSBY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30026-2025</t>
        </is>
      </c>
      <c r="B3501" s="1" t="n">
        <v>45826</v>
      </c>
      <c r="C3501" s="1" t="n">
        <v>45849</v>
      </c>
      <c r="D3501" t="inlineStr">
        <is>
          <t>VÄRMLANDS LÄN</t>
        </is>
      </c>
      <c r="E3501" t="inlineStr">
        <is>
          <t>TORSBY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30153-2025</t>
        </is>
      </c>
      <c r="B3502" s="1" t="n">
        <v>45827</v>
      </c>
      <c r="C3502" s="1" t="n">
        <v>45849</v>
      </c>
      <c r="D3502" t="inlineStr">
        <is>
          <t>VÄRMLANDS LÄN</t>
        </is>
      </c>
      <c r="E3502" t="inlineStr">
        <is>
          <t>TORSBY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30388-2025</t>
        </is>
      </c>
      <c r="B3503" s="1" t="n">
        <v>45827</v>
      </c>
      <c r="C3503" s="1" t="n">
        <v>45849</v>
      </c>
      <c r="D3503" t="inlineStr">
        <is>
          <t>VÄRMLANDS LÄN</t>
        </is>
      </c>
      <c r="E3503" t="inlineStr">
        <is>
          <t>TORSBY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30380-2025</t>
        </is>
      </c>
      <c r="B3504" s="1" t="n">
        <v>45827</v>
      </c>
      <c r="C3504" s="1" t="n">
        <v>45849</v>
      </c>
      <c r="D3504" t="inlineStr">
        <is>
          <t>VÄRMLANDS LÄN</t>
        </is>
      </c>
      <c r="E3504" t="inlineStr">
        <is>
          <t>TORSBY</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30433-2025</t>
        </is>
      </c>
      <c r="B3505" s="1" t="n">
        <v>45827</v>
      </c>
      <c r="C3505" s="1" t="n">
        <v>45849</v>
      </c>
      <c r="D3505" t="inlineStr">
        <is>
          <t>VÄRMLANDS LÄN</t>
        </is>
      </c>
      <c r="E3505" t="inlineStr">
        <is>
          <t>TORSBY</t>
        </is>
      </c>
      <c r="G3505" t="n">
        <v>13.4</v>
      </c>
      <c r="H3505" t="n">
        <v>0</v>
      </c>
      <c r="I3505" t="n">
        <v>0</v>
      </c>
      <c r="J3505" t="n">
        <v>0</v>
      </c>
      <c r="K3505" t="n">
        <v>0</v>
      </c>
      <c r="L3505" t="n">
        <v>0</v>
      </c>
      <c r="M3505" t="n">
        <v>0</v>
      </c>
      <c r="N3505" t="n">
        <v>0</v>
      </c>
      <c r="O3505" t="n">
        <v>0</v>
      </c>
      <c r="P3505" t="n">
        <v>0</v>
      </c>
      <c r="Q3505" t="n">
        <v>0</v>
      </c>
      <c r="R3505" s="2" t="inlineStr"/>
    </row>
    <row r="3506" ht="15" customHeight="1">
      <c r="A3506" t="inlineStr">
        <is>
          <t>A 30214-2025</t>
        </is>
      </c>
      <c r="B3506" s="1" t="n">
        <v>45827</v>
      </c>
      <c r="C3506" s="1" t="n">
        <v>45849</v>
      </c>
      <c r="D3506" t="inlineStr">
        <is>
          <t>VÄRMLANDS LÄN</t>
        </is>
      </c>
      <c r="E3506" t="inlineStr">
        <is>
          <t>TORSBY</t>
        </is>
      </c>
      <c r="F3506" t="inlineStr">
        <is>
          <t>Bergvik skog väst AB</t>
        </is>
      </c>
      <c r="G3506" t="n">
        <v>13.9</v>
      </c>
      <c r="H3506" t="n">
        <v>0</v>
      </c>
      <c r="I3506" t="n">
        <v>0</v>
      </c>
      <c r="J3506" t="n">
        <v>0</v>
      </c>
      <c r="K3506" t="n">
        <v>0</v>
      </c>
      <c r="L3506" t="n">
        <v>0</v>
      </c>
      <c r="M3506" t="n">
        <v>0</v>
      </c>
      <c r="N3506" t="n">
        <v>0</v>
      </c>
      <c r="O3506" t="n">
        <v>0</v>
      </c>
      <c r="P3506" t="n">
        <v>0</v>
      </c>
      <c r="Q3506" t="n">
        <v>0</v>
      </c>
      <c r="R3506" s="2" t="inlineStr"/>
    </row>
    <row r="3507" ht="15" customHeight="1">
      <c r="A3507" t="inlineStr">
        <is>
          <t>A 30377-2025</t>
        </is>
      </c>
      <c r="B3507" s="1" t="n">
        <v>45827</v>
      </c>
      <c r="C3507" s="1" t="n">
        <v>45849</v>
      </c>
      <c r="D3507" t="inlineStr">
        <is>
          <t>VÄRMLANDS LÄN</t>
        </is>
      </c>
      <c r="E3507" t="inlineStr">
        <is>
          <t>TORSBY</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30151-2025</t>
        </is>
      </c>
      <c r="B3508" s="1" t="n">
        <v>45827</v>
      </c>
      <c r="C3508" s="1" t="n">
        <v>45849</v>
      </c>
      <c r="D3508" t="inlineStr">
        <is>
          <t>VÄRMLANDS LÄN</t>
        </is>
      </c>
      <c r="E3508" t="inlineStr">
        <is>
          <t>TORSBY</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30199-2025</t>
        </is>
      </c>
      <c r="B3509" s="1" t="n">
        <v>45827</v>
      </c>
      <c r="C3509" s="1" t="n">
        <v>45849</v>
      </c>
      <c r="D3509" t="inlineStr">
        <is>
          <t>VÄRMLANDS LÄN</t>
        </is>
      </c>
      <c r="E3509" t="inlineStr">
        <is>
          <t>TORSBY</t>
        </is>
      </c>
      <c r="F3509" t="inlineStr">
        <is>
          <t>Bergvik skog väst AB</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30333-2025</t>
        </is>
      </c>
      <c r="B3510" s="1" t="n">
        <v>45827</v>
      </c>
      <c r="C3510" s="1" t="n">
        <v>45849</v>
      </c>
      <c r="D3510" t="inlineStr">
        <is>
          <t>VÄRMLANDS LÄN</t>
        </is>
      </c>
      <c r="E3510" t="inlineStr">
        <is>
          <t>TORSBY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30299-2025</t>
        </is>
      </c>
      <c r="B3511" s="1" t="n">
        <v>45827</v>
      </c>
      <c r="C3511" s="1" t="n">
        <v>45849</v>
      </c>
      <c r="D3511" t="inlineStr">
        <is>
          <t>VÄRMLANDS LÄN</t>
        </is>
      </c>
      <c r="E3511" t="inlineStr">
        <is>
          <t>TORSBY</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30560-2025</t>
        </is>
      </c>
      <c r="B3512" s="1" t="n">
        <v>45831</v>
      </c>
      <c r="C3512" s="1" t="n">
        <v>45849</v>
      </c>
      <c r="D3512" t="inlineStr">
        <is>
          <t>VÄRMLANDS LÄN</t>
        </is>
      </c>
      <c r="E3512" t="inlineStr">
        <is>
          <t>TORSBY</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30717-2025</t>
        </is>
      </c>
      <c r="B3513" s="1" t="n">
        <v>45831</v>
      </c>
      <c r="C3513" s="1" t="n">
        <v>45849</v>
      </c>
      <c r="D3513" t="inlineStr">
        <is>
          <t>VÄRMLANDS LÄN</t>
        </is>
      </c>
      <c r="E3513" t="inlineStr">
        <is>
          <t>TORSBY</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30735-2025</t>
        </is>
      </c>
      <c r="B3514" s="1" t="n">
        <v>45831</v>
      </c>
      <c r="C3514" s="1" t="n">
        <v>45849</v>
      </c>
      <c r="D3514" t="inlineStr">
        <is>
          <t>VÄRMLANDS LÄN</t>
        </is>
      </c>
      <c r="E3514" t="inlineStr">
        <is>
          <t>TORSBY</t>
        </is>
      </c>
      <c r="F3514" t="inlineStr">
        <is>
          <t>Bergvik skog väst AB</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30836-2025</t>
        </is>
      </c>
      <c r="B3515" s="1" t="n">
        <v>45831</v>
      </c>
      <c r="C3515" s="1" t="n">
        <v>45849</v>
      </c>
      <c r="D3515" t="inlineStr">
        <is>
          <t>VÄRMLANDS LÄN</t>
        </is>
      </c>
      <c r="E3515" t="inlineStr">
        <is>
          <t>TORSBY</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30738-2025</t>
        </is>
      </c>
      <c r="B3516" s="1" t="n">
        <v>45831</v>
      </c>
      <c r="C3516" s="1" t="n">
        <v>45849</v>
      </c>
      <c r="D3516" t="inlineStr">
        <is>
          <t>VÄRMLANDS LÄN</t>
        </is>
      </c>
      <c r="E3516" t="inlineStr">
        <is>
          <t>TORSBY</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30607-2025</t>
        </is>
      </c>
      <c r="B3517" s="1" t="n">
        <v>45831</v>
      </c>
      <c r="C3517" s="1" t="n">
        <v>45849</v>
      </c>
      <c r="D3517" t="inlineStr">
        <is>
          <t>VÄRMLANDS LÄN</t>
        </is>
      </c>
      <c r="E3517" t="inlineStr">
        <is>
          <t>TORSBY</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30974-2025</t>
        </is>
      </c>
      <c r="B3518" s="1" t="n">
        <v>45832</v>
      </c>
      <c r="C3518" s="1" t="n">
        <v>45849</v>
      </c>
      <c r="D3518" t="inlineStr">
        <is>
          <t>VÄRMLANDS LÄN</t>
        </is>
      </c>
      <c r="E3518" t="inlineStr">
        <is>
          <t>TORSBY</t>
        </is>
      </c>
      <c r="G3518" t="n">
        <v>29.2</v>
      </c>
      <c r="H3518" t="n">
        <v>0</v>
      </c>
      <c r="I3518" t="n">
        <v>0</v>
      </c>
      <c r="J3518" t="n">
        <v>0</v>
      </c>
      <c r="K3518" t="n">
        <v>0</v>
      </c>
      <c r="L3518" t="n">
        <v>0</v>
      </c>
      <c r="M3518" t="n">
        <v>0</v>
      </c>
      <c r="N3518" t="n">
        <v>0</v>
      </c>
      <c r="O3518" t="n">
        <v>0</v>
      </c>
      <c r="P3518" t="n">
        <v>0</v>
      </c>
      <c r="Q3518" t="n">
        <v>0</v>
      </c>
      <c r="R3518" s="2" t="inlineStr"/>
    </row>
    <row r="3519" ht="15" customHeight="1">
      <c r="A3519" t="inlineStr">
        <is>
          <t>A 30958-2025</t>
        </is>
      </c>
      <c r="B3519" s="1" t="n">
        <v>45832</v>
      </c>
      <c r="C3519" s="1" t="n">
        <v>45849</v>
      </c>
      <c r="D3519" t="inlineStr">
        <is>
          <t>VÄRMLANDS LÄN</t>
        </is>
      </c>
      <c r="E3519" t="inlineStr">
        <is>
          <t>TORSBY</t>
        </is>
      </c>
      <c r="G3519" t="n">
        <v>28.5</v>
      </c>
      <c r="H3519" t="n">
        <v>0</v>
      </c>
      <c r="I3519" t="n">
        <v>0</v>
      </c>
      <c r="J3519" t="n">
        <v>0</v>
      </c>
      <c r="K3519" t="n">
        <v>0</v>
      </c>
      <c r="L3519" t="n">
        <v>0</v>
      </c>
      <c r="M3519" t="n">
        <v>0</v>
      </c>
      <c r="N3519" t="n">
        <v>0</v>
      </c>
      <c r="O3519" t="n">
        <v>0</v>
      </c>
      <c r="P3519" t="n">
        <v>0</v>
      </c>
      <c r="Q3519" t="n">
        <v>0</v>
      </c>
      <c r="R3519" s="2" t="inlineStr"/>
    </row>
    <row r="3520" ht="15" customHeight="1">
      <c r="A3520" t="inlineStr">
        <is>
          <t>A 31101-2025</t>
        </is>
      </c>
      <c r="B3520" s="1" t="n">
        <v>45832</v>
      </c>
      <c r="C3520" s="1" t="n">
        <v>45849</v>
      </c>
      <c r="D3520" t="inlineStr">
        <is>
          <t>VÄRMLANDS LÄN</t>
        </is>
      </c>
      <c r="E3520" t="inlineStr">
        <is>
          <t>TORSBY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31547-2025</t>
        </is>
      </c>
      <c r="B3521" s="1" t="n">
        <v>45833</v>
      </c>
      <c r="C3521" s="1" t="n">
        <v>45849</v>
      </c>
      <c r="D3521" t="inlineStr">
        <is>
          <t>VÄRMLANDS LÄN</t>
        </is>
      </c>
      <c r="E3521" t="inlineStr">
        <is>
          <t>TORSBY</t>
        </is>
      </c>
      <c r="F3521" t="inlineStr">
        <is>
          <t>Bergvik skog väst AB</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31416-2025</t>
        </is>
      </c>
      <c r="B3522" s="1" t="n">
        <v>45833</v>
      </c>
      <c r="C3522" s="1" t="n">
        <v>45849</v>
      </c>
      <c r="D3522" t="inlineStr">
        <is>
          <t>VÄRMLANDS LÄN</t>
        </is>
      </c>
      <c r="E3522" t="inlineStr">
        <is>
          <t>TORSBY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31316-2025</t>
        </is>
      </c>
      <c r="B3523" s="1" t="n">
        <v>45833</v>
      </c>
      <c r="C3523" s="1" t="n">
        <v>45849</v>
      </c>
      <c r="D3523" t="inlineStr">
        <is>
          <t>VÄRMLANDS LÄN</t>
        </is>
      </c>
      <c r="E3523" t="inlineStr">
        <is>
          <t>TORSBY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31335-2025</t>
        </is>
      </c>
      <c r="B3524" s="1" t="n">
        <v>45833</v>
      </c>
      <c r="C3524" s="1" t="n">
        <v>45849</v>
      </c>
      <c r="D3524" t="inlineStr">
        <is>
          <t>VÄRMLANDS LÄN</t>
        </is>
      </c>
      <c r="E3524" t="inlineStr">
        <is>
          <t>TORSBY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31630-2025</t>
        </is>
      </c>
      <c r="B3525" s="1" t="n">
        <v>45834</v>
      </c>
      <c r="C3525" s="1" t="n">
        <v>45849</v>
      </c>
      <c r="D3525" t="inlineStr">
        <is>
          <t>VÄRMLANDS LÄN</t>
        </is>
      </c>
      <c r="E3525" t="inlineStr">
        <is>
          <t>TORSBY</t>
        </is>
      </c>
      <c r="F3525" t="inlineStr">
        <is>
          <t>Bergvik skog väst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31902-2025</t>
        </is>
      </c>
      <c r="B3526" s="1" t="n">
        <v>45834</v>
      </c>
      <c r="C3526" s="1" t="n">
        <v>45849</v>
      </c>
      <c r="D3526" t="inlineStr">
        <is>
          <t>VÄRMLANDS LÄN</t>
        </is>
      </c>
      <c r="E3526" t="inlineStr">
        <is>
          <t>TORSBY</t>
        </is>
      </c>
      <c r="G3526" t="n">
        <v>27.1</v>
      </c>
      <c r="H3526" t="n">
        <v>0</v>
      </c>
      <c r="I3526" t="n">
        <v>0</v>
      </c>
      <c r="J3526" t="n">
        <v>0</v>
      </c>
      <c r="K3526" t="n">
        <v>0</v>
      </c>
      <c r="L3526" t="n">
        <v>0</v>
      </c>
      <c r="M3526" t="n">
        <v>0</v>
      </c>
      <c r="N3526" t="n">
        <v>0</v>
      </c>
      <c r="O3526" t="n">
        <v>0</v>
      </c>
      <c r="P3526" t="n">
        <v>0</v>
      </c>
      <c r="Q3526" t="n">
        <v>0</v>
      </c>
      <c r="R3526" s="2" t="inlineStr"/>
    </row>
    <row r="3527" ht="15" customHeight="1">
      <c r="A3527" t="inlineStr">
        <is>
          <t>A 31906-2025</t>
        </is>
      </c>
      <c r="B3527" s="1" t="n">
        <v>45834</v>
      </c>
      <c r="C3527" s="1" t="n">
        <v>45849</v>
      </c>
      <c r="D3527" t="inlineStr">
        <is>
          <t>VÄRMLANDS LÄN</t>
        </is>
      </c>
      <c r="E3527" t="inlineStr">
        <is>
          <t>TORSBY</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31672-2025</t>
        </is>
      </c>
      <c r="B3528" s="1" t="n">
        <v>45834</v>
      </c>
      <c r="C3528" s="1" t="n">
        <v>45849</v>
      </c>
      <c r="D3528" t="inlineStr">
        <is>
          <t>VÄRMLANDS LÄN</t>
        </is>
      </c>
      <c r="E3528" t="inlineStr">
        <is>
          <t>TORSBY</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31850-2025</t>
        </is>
      </c>
      <c r="B3529" s="1" t="n">
        <v>45834</v>
      </c>
      <c r="C3529" s="1" t="n">
        <v>45849</v>
      </c>
      <c r="D3529" t="inlineStr">
        <is>
          <t>VÄRMLANDS LÄN</t>
        </is>
      </c>
      <c r="E3529" t="inlineStr">
        <is>
          <t>TORSBY</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32134-2025</t>
        </is>
      </c>
      <c r="B3530" s="1" t="n">
        <v>45835</v>
      </c>
      <c r="C3530" s="1" t="n">
        <v>45849</v>
      </c>
      <c r="D3530" t="inlineStr">
        <is>
          <t>VÄRMLANDS LÄN</t>
        </is>
      </c>
      <c r="E3530" t="inlineStr">
        <is>
          <t>TORSBY</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32054-2025</t>
        </is>
      </c>
      <c r="B3531" s="1" t="n">
        <v>45835</v>
      </c>
      <c r="C3531" s="1" t="n">
        <v>45849</v>
      </c>
      <c r="D3531" t="inlineStr">
        <is>
          <t>VÄRMLANDS LÄN</t>
        </is>
      </c>
      <c r="E3531" t="inlineStr">
        <is>
          <t>TORSBY</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32191-2025</t>
        </is>
      </c>
      <c r="B3532" s="1" t="n">
        <v>45835</v>
      </c>
      <c r="C3532" s="1" t="n">
        <v>45849</v>
      </c>
      <c r="D3532" t="inlineStr">
        <is>
          <t>VÄRMLANDS LÄN</t>
        </is>
      </c>
      <c r="E3532" t="inlineStr">
        <is>
          <t>TORSBY</t>
        </is>
      </c>
      <c r="F3532" t="inlineStr">
        <is>
          <t>Bergvik skog väst AB</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32084-2025</t>
        </is>
      </c>
      <c r="B3533" s="1" t="n">
        <v>45835</v>
      </c>
      <c r="C3533" s="1" t="n">
        <v>45849</v>
      </c>
      <c r="D3533" t="inlineStr">
        <is>
          <t>VÄRMLANDS LÄN</t>
        </is>
      </c>
      <c r="E3533" t="inlineStr">
        <is>
          <t>TORSBY</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32298-2025</t>
        </is>
      </c>
      <c r="B3534" s="1" t="n">
        <v>45835</v>
      </c>
      <c r="C3534" s="1" t="n">
        <v>45849</v>
      </c>
      <c r="D3534" t="inlineStr">
        <is>
          <t>VÄRMLANDS LÄN</t>
        </is>
      </c>
      <c r="E3534" t="inlineStr">
        <is>
          <t>TORSBY</t>
        </is>
      </c>
      <c r="G3534" t="n">
        <v>19.2</v>
      </c>
      <c r="H3534" t="n">
        <v>0</v>
      </c>
      <c r="I3534" t="n">
        <v>0</v>
      </c>
      <c r="J3534" t="n">
        <v>0</v>
      </c>
      <c r="K3534" t="n">
        <v>0</v>
      </c>
      <c r="L3534" t="n">
        <v>0</v>
      </c>
      <c r="M3534" t="n">
        <v>0</v>
      </c>
      <c r="N3534" t="n">
        <v>0</v>
      </c>
      <c r="O3534" t="n">
        <v>0</v>
      </c>
      <c r="P3534" t="n">
        <v>0</v>
      </c>
      <c r="Q3534" t="n">
        <v>0</v>
      </c>
      <c r="R3534" s="2" t="inlineStr"/>
    </row>
    <row r="3535" ht="15" customHeight="1">
      <c r="A3535" t="inlineStr">
        <is>
          <t>A 32331-2025</t>
        </is>
      </c>
      <c r="B3535" s="1" t="n">
        <v>45836</v>
      </c>
      <c r="C3535" s="1" t="n">
        <v>45849</v>
      </c>
      <c r="D3535" t="inlineStr">
        <is>
          <t>VÄRMLANDS LÄN</t>
        </is>
      </c>
      <c r="E3535" t="inlineStr">
        <is>
          <t>TORSBY</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32339-2025</t>
        </is>
      </c>
      <c r="B3536" s="1" t="n">
        <v>45836</v>
      </c>
      <c r="C3536" s="1" t="n">
        <v>45849</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32348-2025</t>
        </is>
      </c>
      <c r="B3537" s="1" t="n">
        <v>45837</v>
      </c>
      <c r="C3537" s="1" t="n">
        <v>45849</v>
      </c>
      <c r="D3537" t="inlineStr">
        <is>
          <t>VÄRMLANDS LÄN</t>
        </is>
      </c>
      <c r="E3537" t="inlineStr">
        <is>
          <t>TORSBY</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32343-2025</t>
        </is>
      </c>
      <c r="B3538" s="1" t="n">
        <v>45837</v>
      </c>
      <c r="C3538" s="1" t="n">
        <v>45849</v>
      </c>
      <c r="D3538" t="inlineStr">
        <is>
          <t>VÄRMLANDS LÄN</t>
        </is>
      </c>
      <c r="E3538" t="inlineStr">
        <is>
          <t>TORSBY</t>
        </is>
      </c>
      <c r="G3538" t="n">
        <v>11.4</v>
      </c>
      <c r="H3538" t="n">
        <v>0</v>
      </c>
      <c r="I3538" t="n">
        <v>0</v>
      </c>
      <c r="J3538" t="n">
        <v>0</v>
      </c>
      <c r="K3538" t="n">
        <v>0</v>
      </c>
      <c r="L3538" t="n">
        <v>0</v>
      </c>
      <c r="M3538" t="n">
        <v>0</v>
      </c>
      <c r="N3538" t="n">
        <v>0</v>
      </c>
      <c r="O3538" t="n">
        <v>0</v>
      </c>
      <c r="P3538" t="n">
        <v>0</v>
      </c>
      <c r="Q3538" t="n">
        <v>0</v>
      </c>
      <c r="R3538" s="2" t="inlineStr"/>
    </row>
    <row r="3539" ht="15" customHeight="1">
      <c r="A3539" t="inlineStr">
        <is>
          <t>A 32342-2025</t>
        </is>
      </c>
      <c r="B3539" s="1" t="n">
        <v>45837</v>
      </c>
      <c r="C3539" s="1" t="n">
        <v>45849</v>
      </c>
      <c r="D3539" t="inlineStr">
        <is>
          <t>VÄRMLANDS LÄN</t>
        </is>
      </c>
      <c r="E3539" t="inlineStr">
        <is>
          <t>TORSBY</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32345-2025</t>
        </is>
      </c>
      <c r="B3540" s="1" t="n">
        <v>45837</v>
      </c>
      <c r="C3540" s="1" t="n">
        <v>45849</v>
      </c>
      <c r="D3540" t="inlineStr">
        <is>
          <t>VÄRMLANDS LÄN</t>
        </is>
      </c>
      <c r="E3540" t="inlineStr">
        <is>
          <t>TORSBY</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32433-2025</t>
        </is>
      </c>
      <c r="B3541" s="1" t="n">
        <v>45838</v>
      </c>
      <c r="C3541" s="1" t="n">
        <v>45849</v>
      </c>
      <c r="D3541" t="inlineStr">
        <is>
          <t>VÄRMLANDS LÄN</t>
        </is>
      </c>
      <c r="E3541" t="inlineStr">
        <is>
          <t>TORSBY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32624-2025</t>
        </is>
      </c>
      <c r="B3542" s="1" t="n">
        <v>45838</v>
      </c>
      <c r="C3542" s="1" t="n">
        <v>45849</v>
      </c>
      <c r="D3542" t="inlineStr">
        <is>
          <t>VÄRMLANDS LÄN</t>
        </is>
      </c>
      <c r="E3542" t="inlineStr">
        <is>
          <t>TORSBY</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32555-2025</t>
        </is>
      </c>
      <c r="B3543" s="1" t="n">
        <v>45838</v>
      </c>
      <c r="C3543" s="1" t="n">
        <v>45849</v>
      </c>
      <c r="D3543" t="inlineStr">
        <is>
          <t>VÄRMLANDS LÄN</t>
        </is>
      </c>
      <c r="E3543" t="inlineStr">
        <is>
          <t>TORSBY</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32618-2025</t>
        </is>
      </c>
      <c r="B3544" s="1" t="n">
        <v>45838</v>
      </c>
      <c r="C3544" s="1" t="n">
        <v>45849</v>
      </c>
      <c r="D3544" t="inlineStr">
        <is>
          <t>VÄRMLANDS LÄN</t>
        </is>
      </c>
      <c r="E3544" t="inlineStr">
        <is>
          <t>TORSBY</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32622-2025</t>
        </is>
      </c>
      <c r="B3545" s="1" t="n">
        <v>45838</v>
      </c>
      <c r="C3545" s="1" t="n">
        <v>45849</v>
      </c>
      <c r="D3545" t="inlineStr">
        <is>
          <t>VÄRMLANDS LÄN</t>
        </is>
      </c>
      <c r="E3545" t="inlineStr">
        <is>
          <t>TORSBY</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32995-2025</t>
        </is>
      </c>
      <c r="B3546" s="1" t="n">
        <v>45839</v>
      </c>
      <c r="C3546" s="1" t="n">
        <v>45849</v>
      </c>
      <c r="D3546" t="inlineStr">
        <is>
          <t>VÄRMLANDS LÄN</t>
        </is>
      </c>
      <c r="E3546" t="inlineStr">
        <is>
          <t>TORSBY</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32983-2025</t>
        </is>
      </c>
      <c r="B3547" s="1" t="n">
        <v>45840</v>
      </c>
      <c r="C3547" s="1" t="n">
        <v>45849</v>
      </c>
      <c r="D3547" t="inlineStr">
        <is>
          <t>VÄRMLANDS LÄN</t>
        </is>
      </c>
      <c r="E3547" t="inlineStr">
        <is>
          <t>TORSBY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32710-2025</t>
        </is>
      </c>
      <c r="B3548" s="1" t="n">
        <v>45839</v>
      </c>
      <c r="C3548" s="1" t="n">
        <v>45849</v>
      </c>
      <c r="D3548" t="inlineStr">
        <is>
          <t>VÄRMLANDS LÄN</t>
        </is>
      </c>
      <c r="E3548" t="inlineStr">
        <is>
          <t>TORSBY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33189-2025</t>
        </is>
      </c>
      <c r="B3549" s="1" t="n">
        <v>45840</v>
      </c>
      <c r="C3549" s="1" t="n">
        <v>45849</v>
      </c>
      <c r="D3549" t="inlineStr">
        <is>
          <t>VÄRMLANDS LÄN</t>
        </is>
      </c>
      <c r="E3549" t="inlineStr">
        <is>
          <t>TORSBY</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33192-2025</t>
        </is>
      </c>
      <c r="B3550" s="1" t="n">
        <v>45840</v>
      </c>
      <c r="C3550" s="1" t="n">
        <v>45849</v>
      </c>
      <c r="D3550" t="inlineStr">
        <is>
          <t>VÄRMLANDS LÄN</t>
        </is>
      </c>
      <c r="E3550" t="inlineStr">
        <is>
          <t>TORSBY</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33149-2025</t>
        </is>
      </c>
      <c r="B3551" s="1" t="n">
        <v>45840</v>
      </c>
      <c r="C3551" s="1" t="n">
        <v>45849</v>
      </c>
      <c r="D3551" t="inlineStr">
        <is>
          <t>VÄRMLANDS LÄN</t>
        </is>
      </c>
      <c r="E3551" t="inlineStr">
        <is>
          <t>TORSBY</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33146-2025</t>
        </is>
      </c>
      <c r="B3552" s="1" t="n">
        <v>45840</v>
      </c>
      <c r="C3552" s="1" t="n">
        <v>45849</v>
      </c>
      <c r="D3552" t="inlineStr">
        <is>
          <t>VÄRMLANDS LÄN</t>
        </is>
      </c>
      <c r="E3552" t="inlineStr">
        <is>
          <t>TORSBY</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33161-2025</t>
        </is>
      </c>
      <c r="B3553" s="1" t="n">
        <v>45840</v>
      </c>
      <c r="C3553" s="1" t="n">
        <v>45849</v>
      </c>
      <c r="D3553" t="inlineStr">
        <is>
          <t>VÄRMLANDS LÄN</t>
        </is>
      </c>
      <c r="E3553" t="inlineStr">
        <is>
          <t>TORSBY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33196-2025</t>
        </is>
      </c>
      <c r="B3554" s="1" t="n">
        <v>45840</v>
      </c>
      <c r="C3554" s="1" t="n">
        <v>45849</v>
      </c>
      <c r="D3554" t="inlineStr">
        <is>
          <t>VÄRMLANDS LÄN</t>
        </is>
      </c>
      <c r="E3554" t="inlineStr">
        <is>
          <t>TORSBY</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33221-2025</t>
        </is>
      </c>
      <c r="B3555" s="1" t="n">
        <v>45840</v>
      </c>
      <c r="C3555" s="1" t="n">
        <v>45849</v>
      </c>
      <c r="D3555" t="inlineStr">
        <is>
          <t>VÄRMLANDS LÄN</t>
        </is>
      </c>
      <c r="E3555" t="inlineStr">
        <is>
          <t>TORSBY</t>
        </is>
      </c>
      <c r="F3555" t="inlineStr">
        <is>
          <t>Bergvik skog väst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33567-2025</t>
        </is>
      </c>
      <c r="B3556" s="1" t="n">
        <v>45841</v>
      </c>
      <c r="C3556" s="1" t="n">
        <v>45849</v>
      </c>
      <c r="D3556" t="inlineStr">
        <is>
          <t>VÄRMLANDS LÄN</t>
        </is>
      </c>
      <c r="E3556" t="inlineStr">
        <is>
          <t>TORSBY</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33712-2025</t>
        </is>
      </c>
      <c r="B3557" s="1" t="n">
        <v>45841</v>
      </c>
      <c r="C3557" s="1" t="n">
        <v>45849</v>
      </c>
      <c r="D3557" t="inlineStr">
        <is>
          <t>VÄRMLANDS LÄN</t>
        </is>
      </c>
      <c r="E3557" t="inlineStr">
        <is>
          <t>TORSBY</t>
        </is>
      </c>
      <c r="F3557" t="inlineStr">
        <is>
          <t>Bergvik skog väst AB</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33897-2025</t>
        </is>
      </c>
      <c r="B3558" s="1" t="n">
        <v>45842</v>
      </c>
      <c r="C3558" s="1" t="n">
        <v>45849</v>
      </c>
      <c r="D3558" t="inlineStr">
        <is>
          <t>VÄRMLANDS LÄN</t>
        </is>
      </c>
      <c r="E3558" t="inlineStr">
        <is>
          <t>TORSBY</t>
        </is>
      </c>
      <c r="G3558" t="n">
        <v>13.7</v>
      </c>
      <c r="H3558" t="n">
        <v>0</v>
      </c>
      <c r="I3558" t="n">
        <v>0</v>
      </c>
      <c r="J3558" t="n">
        <v>0</v>
      </c>
      <c r="K3558" t="n">
        <v>0</v>
      </c>
      <c r="L3558" t="n">
        <v>0</v>
      </c>
      <c r="M3558" t="n">
        <v>0</v>
      </c>
      <c r="N3558" t="n">
        <v>0</v>
      </c>
      <c r="O3558" t="n">
        <v>0</v>
      </c>
      <c r="P3558" t="n">
        <v>0</v>
      </c>
      <c r="Q3558" t="n">
        <v>0</v>
      </c>
      <c r="R3558" s="2" t="inlineStr"/>
    </row>
    <row r="3559" ht="15" customHeight="1">
      <c r="A3559" t="inlineStr">
        <is>
          <t>A 34136-2025</t>
        </is>
      </c>
      <c r="B3559" s="1" t="n">
        <v>45845</v>
      </c>
      <c r="C3559" s="1" t="n">
        <v>45849</v>
      </c>
      <c r="D3559" t="inlineStr">
        <is>
          <t>VÄRMLANDS LÄN</t>
        </is>
      </c>
      <c r="E3559" t="inlineStr">
        <is>
          <t>TORSBY</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34179-2025</t>
        </is>
      </c>
      <c r="B3560" s="1" t="n">
        <v>45845</v>
      </c>
      <c r="C3560" s="1" t="n">
        <v>45849</v>
      </c>
      <c r="D3560" t="inlineStr">
        <is>
          <t>VÄRMLANDS LÄN</t>
        </is>
      </c>
      <c r="E3560" t="inlineStr">
        <is>
          <t>TORSBY</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34145-2025</t>
        </is>
      </c>
      <c r="B3561" s="1" t="n">
        <v>45845</v>
      </c>
      <c r="C3561" s="1" t="n">
        <v>45849</v>
      </c>
      <c r="D3561" t="inlineStr">
        <is>
          <t>VÄRMLANDS LÄN</t>
        </is>
      </c>
      <c r="E3561" t="inlineStr">
        <is>
          <t>TORSBY</t>
        </is>
      </c>
      <c r="G3561" t="n">
        <v>19.2</v>
      </c>
      <c r="H3561" t="n">
        <v>0</v>
      </c>
      <c r="I3561" t="n">
        <v>0</v>
      </c>
      <c r="J3561" t="n">
        <v>0</v>
      </c>
      <c r="K3561" t="n">
        <v>0</v>
      </c>
      <c r="L3561" t="n">
        <v>0</v>
      </c>
      <c r="M3561" t="n">
        <v>0</v>
      </c>
      <c r="N3561" t="n">
        <v>0</v>
      </c>
      <c r="O3561" t="n">
        <v>0</v>
      </c>
      <c r="P3561" t="n">
        <v>0</v>
      </c>
      <c r="Q3561" t="n">
        <v>0</v>
      </c>
      <c r="R3561" s="2" t="inlineStr"/>
    </row>
    <row r="3562" ht="15" customHeight="1">
      <c r="A3562" t="inlineStr">
        <is>
          <t>A 34146-2025</t>
        </is>
      </c>
      <c r="B3562" s="1" t="n">
        <v>45845</v>
      </c>
      <c r="C3562" s="1" t="n">
        <v>45849</v>
      </c>
      <c r="D3562" t="inlineStr">
        <is>
          <t>VÄRMLANDS LÄN</t>
        </is>
      </c>
      <c r="E3562" t="inlineStr">
        <is>
          <t>TORSBY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34046-2025</t>
        </is>
      </c>
      <c r="B3563" s="1" t="n">
        <v>45845</v>
      </c>
      <c r="C3563" s="1" t="n">
        <v>45849</v>
      </c>
      <c r="D3563" t="inlineStr">
        <is>
          <t>VÄRMLANDS LÄN</t>
        </is>
      </c>
      <c r="E3563" t="inlineStr">
        <is>
          <t>TORSBY</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34137-2025</t>
        </is>
      </c>
      <c r="B3564" s="1" t="n">
        <v>45845</v>
      </c>
      <c r="C3564" s="1" t="n">
        <v>45849</v>
      </c>
      <c r="D3564" t="inlineStr">
        <is>
          <t>VÄRMLANDS LÄN</t>
        </is>
      </c>
      <c r="E3564" t="inlineStr">
        <is>
          <t>TORSBY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34140-2025</t>
        </is>
      </c>
      <c r="B3565" s="1" t="n">
        <v>45845</v>
      </c>
      <c r="C3565" s="1" t="n">
        <v>45849</v>
      </c>
      <c r="D3565" t="inlineStr">
        <is>
          <t>VÄRMLANDS LÄN</t>
        </is>
      </c>
      <c r="E3565" t="inlineStr">
        <is>
          <t>TORSBY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34138-2025</t>
        </is>
      </c>
      <c r="B3566" s="1" t="n">
        <v>45845</v>
      </c>
      <c r="C3566" s="1" t="n">
        <v>45849</v>
      </c>
      <c r="D3566" t="inlineStr">
        <is>
          <t>VÄRMLANDS LÄN</t>
        </is>
      </c>
      <c r="E3566" t="inlineStr">
        <is>
          <t>TORSBY</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34353-2025</t>
        </is>
      </c>
      <c r="B3567" s="1" t="n">
        <v>45846</v>
      </c>
      <c r="C3567" s="1" t="n">
        <v>45849</v>
      </c>
      <c r="D3567" t="inlineStr">
        <is>
          <t>VÄRMLANDS LÄN</t>
        </is>
      </c>
      <c r="E3567" t="inlineStr">
        <is>
          <t>TORSBY</t>
        </is>
      </c>
      <c r="G3567" t="n">
        <v>14.5</v>
      </c>
      <c r="H3567" t="n">
        <v>0</v>
      </c>
      <c r="I3567" t="n">
        <v>0</v>
      </c>
      <c r="J3567" t="n">
        <v>0</v>
      </c>
      <c r="K3567" t="n">
        <v>0</v>
      </c>
      <c r="L3567" t="n">
        <v>0</v>
      </c>
      <c r="M3567" t="n">
        <v>0</v>
      </c>
      <c r="N3567" t="n">
        <v>0</v>
      </c>
      <c r="O3567" t="n">
        <v>0</v>
      </c>
      <c r="P3567" t="n">
        <v>0</v>
      </c>
      <c r="Q3567" t="n">
        <v>0</v>
      </c>
      <c r="R3567" s="2" t="inlineStr"/>
    </row>
    <row r="3568" ht="15" customHeight="1">
      <c r="A3568" t="inlineStr">
        <is>
          <t>A 34399-2025</t>
        </is>
      </c>
      <c r="B3568" s="1" t="n">
        <v>45846</v>
      </c>
      <c r="C3568" s="1" t="n">
        <v>45849</v>
      </c>
      <c r="D3568" t="inlineStr">
        <is>
          <t>VÄRMLANDS LÄN</t>
        </is>
      </c>
      <c r="E3568" t="inlineStr">
        <is>
          <t>TORSBY</t>
        </is>
      </c>
      <c r="F3568" t="inlineStr">
        <is>
          <t>Bergvik skog väst AB</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34451-2025</t>
        </is>
      </c>
      <c r="B3569" s="1" t="n">
        <v>45846</v>
      </c>
      <c r="C3569" s="1" t="n">
        <v>45849</v>
      </c>
      <c r="D3569" t="inlineStr">
        <is>
          <t>VÄRMLANDS LÄN</t>
        </is>
      </c>
      <c r="E3569" t="inlineStr">
        <is>
          <t>TORSBY</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34355-2025</t>
        </is>
      </c>
      <c r="B3570" s="1" t="n">
        <v>45846</v>
      </c>
      <c r="C3570" s="1" t="n">
        <v>45849</v>
      </c>
      <c r="D3570" t="inlineStr">
        <is>
          <t>VÄRMLANDS LÄN</t>
        </is>
      </c>
      <c r="E3570" t="inlineStr">
        <is>
          <t>TORSBY</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34358-2025</t>
        </is>
      </c>
      <c r="B3571" s="1" t="n">
        <v>45846</v>
      </c>
      <c r="C3571" s="1" t="n">
        <v>45849</v>
      </c>
      <c r="D3571" t="inlineStr">
        <is>
          <t>VÄRMLANDS LÄN</t>
        </is>
      </c>
      <c r="E3571" t="inlineStr">
        <is>
          <t>TORSBY</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34367-2025</t>
        </is>
      </c>
      <c r="B3572" s="1" t="n">
        <v>45846</v>
      </c>
      <c r="C3572" s="1" t="n">
        <v>45849</v>
      </c>
      <c r="D3572" t="inlineStr">
        <is>
          <t>VÄRMLANDS LÄN</t>
        </is>
      </c>
      <c r="E3572" t="inlineStr">
        <is>
          <t>TORSBY</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34370-2025</t>
        </is>
      </c>
      <c r="B3573" s="1" t="n">
        <v>45846</v>
      </c>
      <c r="C3573" s="1" t="n">
        <v>45849</v>
      </c>
      <c r="D3573" t="inlineStr">
        <is>
          <t>VÄRMLANDS LÄN</t>
        </is>
      </c>
      <c r="E3573" t="inlineStr">
        <is>
          <t>TORSBY</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34372-2025</t>
        </is>
      </c>
      <c r="B3574" s="1" t="n">
        <v>45846</v>
      </c>
      <c r="C3574" s="1" t="n">
        <v>45849</v>
      </c>
      <c r="D3574" t="inlineStr">
        <is>
          <t>VÄRMLANDS LÄN</t>
        </is>
      </c>
      <c r="E3574" t="inlineStr">
        <is>
          <t>TORSBY</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34388-2025</t>
        </is>
      </c>
      <c r="B3575" s="1" t="n">
        <v>45846</v>
      </c>
      <c r="C3575" s="1" t="n">
        <v>45849</v>
      </c>
      <c r="D3575" t="inlineStr">
        <is>
          <t>VÄRMLANDS LÄN</t>
        </is>
      </c>
      <c r="E3575" t="inlineStr">
        <is>
          <t>TORSBY</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34363-2025</t>
        </is>
      </c>
      <c r="B3576" s="1" t="n">
        <v>45846</v>
      </c>
      <c r="C3576" s="1" t="n">
        <v>45849</v>
      </c>
      <c r="D3576" t="inlineStr">
        <is>
          <t>VÄRMLANDS LÄN</t>
        </is>
      </c>
      <c r="E3576" t="inlineStr">
        <is>
          <t>TORSBY</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34365-2025</t>
        </is>
      </c>
      <c r="B3577" s="1" t="n">
        <v>45846</v>
      </c>
      <c r="C3577" s="1" t="n">
        <v>45849</v>
      </c>
      <c r="D3577" t="inlineStr">
        <is>
          <t>VÄRMLANDS LÄN</t>
        </is>
      </c>
      <c r="E3577" t="inlineStr">
        <is>
          <t>TORSBY</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34398-2025</t>
        </is>
      </c>
      <c r="B3578" s="1" t="n">
        <v>45846</v>
      </c>
      <c r="C3578" s="1" t="n">
        <v>45849</v>
      </c>
      <c r="D3578" t="inlineStr">
        <is>
          <t>VÄRMLANDS LÄN</t>
        </is>
      </c>
      <c r="E3578" t="inlineStr">
        <is>
          <t>TORSBY</t>
        </is>
      </c>
      <c r="F3578" t="inlineStr">
        <is>
          <t>Bergvik skog väst AB</t>
        </is>
      </c>
      <c r="G3578" t="n">
        <v>22.3</v>
      </c>
      <c r="H3578" t="n">
        <v>0</v>
      </c>
      <c r="I3578" t="n">
        <v>0</v>
      </c>
      <c r="J3578" t="n">
        <v>0</v>
      </c>
      <c r="K3578" t="n">
        <v>0</v>
      </c>
      <c r="L3578" t="n">
        <v>0</v>
      </c>
      <c r="M3578" t="n">
        <v>0</v>
      </c>
      <c r="N3578" t="n">
        <v>0</v>
      </c>
      <c r="O3578" t="n">
        <v>0</v>
      </c>
      <c r="P3578" t="n">
        <v>0</v>
      </c>
      <c r="Q3578" t="n">
        <v>0</v>
      </c>
      <c r="R3578" s="2" t="inlineStr"/>
    </row>
    <row r="3579" ht="15" customHeight="1">
      <c r="A3579" t="inlineStr">
        <is>
          <t>A 34517-2025</t>
        </is>
      </c>
      <c r="B3579" s="1" t="n">
        <v>45847</v>
      </c>
      <c r="C3579" s="1" t="n">
        <v>45849</v>
      </c>
      <c r="D3579" t="inlineStr">
        <is>
          <t>VÄRMLANDS LÄN</t>
        </is>
      </c>
      <c r="E3579" t="inlineStr">
        <is>
          <t>TORSBY</t>
        </is>
      </c>
      <c r="F3579" t="inlineStr">
        <is>
          <t>Övriga Aktiebolag</t>
        </is>
      </c>
      <c r="G3579" t="n">
        <v>13.5</v>
      </c>
      <c r="H3579" t="n">
        <v>0</v>
      </c>
      <c r="I3579" t="n">
        <v>0</v>
      </c>
      <c r="J3579" t="n">
        <v>0</v>
      </c>
      <c r="K3579" t="n">
        <v>0</v>
      </c>
      <c r="L3579" t="n">
        <v>0</v>
      </c>
      <c r="M3579" t="n">
        <v>0</v>
      </c>
      <c r="N3579" t="n">
        <v>0</v>
      </c>
      <c r="O3579" t="n">
        <v>0</v>
      </c>
      <c r="P3579" t="n">
        <v>0</v>
      </c>
      <c r="Q3579" t="n">
        <v>0</v>
      </c>
      <c r="R3579" s="2" t="inlineStr"/>
    </row>
    <row r="3580" ht="15" customHeight="1">
      <c r="A3580" t="inlineStr">
        <is>
          <t>A 34533-2025</t>
        </is>
      </c>
      <c r="B3580" s="1" t="n">
        <v>45847</v>
      </c>
      <c r="C3580" s="1" t="n">
        <v>45849</v>
      </c>
      <c r="D3580" t="inlineStr">
        <is>
          <t>VÄRMLANDS LÄN</t>
        </is>
      </c>
      <c r="E3580" t="inlineStr">
        <is>
          <t>TORSBY</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34480-2025</t>
        </is>
      </c>
      <c r="B3581" s="1" t="n">
        <v>45847</v>
      </c>
      <c r="C3581" s="1" t="n">
        <v>45849</v>
      </c>
      <c r="D3581" t="inlineStr">
        <is>
          <t>VÄRMLANDS LÄN</t>
        </is>
      </c>
      <c r="E3581" t="inlineStr">
        <is>
          <t>TORSBY</t>
        </is>
      </c>
      <c r="F3581" t="inlineStr">
        <is>
          <t>Övriga Aktiebolag</t>
        </is>
      </c>
      <c r="G3581" t="n">
        <v>13.4</v>
      </c>
      <c r="H3581" t="n">
        <v>0</v>
      </c>
      <c r="I3581" t="n">
        <v>0</v>
      </c>
      <c r="J3581" t="n">
        <v>0</v>
      </c>
      <c r="K3581" t="n">
        <v>0</v>
      </c>
      <c r="L3581" t="n">
        <v>0</v>
      </c>
      <c r="M3581" t="n">
        <v>0</v>
      </c>
      <c r="N3581" t="n">
        <v>0</v>
      </c>
      <c r="O3581" t="n">
        <v>0</v>
      </c>
      <c r="P3581" t="n">
        <v>0</v>
      </c>
      <c r="Q3581" t="n">
        <v>0</v>
      </c>
      <c r="R3581" s="2" t="inlineStr"/>
    </row>
    <row r="3582" ht="15" customHeight="1">
      <c r="A3582" t="inlineStr">
        <is>
          <t>A 34495-2025</t>
        </is>
      </c>
      <c r="B3582" s="1" t="n">
        <v>45847</v>
      </c>
      <c r="C3582" s="1" t="n">
        <v>45849</v>
      </c>
      <c r="D3582" t="inlineStr">
        <is>
          <t>VÄRMLANDS LÄN</t>
        </is>
      </c>
      <c r="E3582" t="inlineStr">
        <is>
          <t>TORSBY</t>
        </is>
      </c>
      <c r="F3582" t="inlineStr">
        <is>
          <t>Övriga Aktiebolag</t>
        </is>
      </c>
      <c r="G3582" t="n">
        <v>3.4</v>
      </c>
      <c r="H3582" t="n">
        <v>0</v>
      </c>
      <c r="I3582" t="n">
        <v>0</v>
      </c>
      <c r="J3582" t="n">
        <v>0</v>
      </c>
      <c r="K3582" t="n">
        <v>0</v>
      </c>
      <c r="L3582" t="n">
        <v>0</v>
      </c>
      <c r="M3582" t="n">
        <v>0</v>
      </c>
      <c r="N3582" t="n">
        <v>0</v>
      </c>
      <c r="O3582" t="n">
        <v>0</v>
      </c>
      <c r="P3582" t="n">
        <v>0</v>
      </c>
      <c r="Q3582" t="n">
        <v>0</v>
      </c>
      <c r="R3582" s="2" t="inlineStr"/>
    </row>
    <row r="3583">
      <c r="A3583" t="inlineStr">
        <is>
          <t>A 34792-2025</t>
        </is>
      </c>
      <c r="B3583" s="1" t="n">
        <v>45848</v>
      </c>
      <c r="C3583" s="1" t="n">
        <v>45849</v>
      </c>
      <c r="D3583" t="inlineStr">
        <is>
          <t>VÄRMLANDS LÄN</t>
        </is>
      </c>
      <c r="E3583" t="inlineStr">
        <is>
          <t>TORSBY</t>
        </is>
      </c>
      <c r="G3583" t="n">
        <v>1.1</v>
      </c>
      <c r="H3583" t="n">
        <v>0</v>
      </c>
      <c r="I3583" t="n">
        <v>0</v>
      </c>
      <c r="J3583" t="n">
        <v>0</v>
      </c>
      <c r="K3583" t="n">
        <v>0</v>
      </c>
      <c r="L3583" t="n">
        <v>0</v>
      </c>
      <c r="M3583" t="n">
        <v>0</v>
      </c>
      <c r="N3583" t="n">
        <v>0</v>
      </c>
      <c r="O3583" t="n">
        <v>0</v>
      </c>
      <c r="P3583" t="n">
        <v>0</v>
      </c>
      <c r="Q3583" t="n">
        <v>0</v>
      </c>
      <c r="R3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2025-07-11T19:48:11Z</dcterms:created>
  <dcterms:modified xmlns:dcterms="http://purl.org/dc/terms/" xmlns:xsi="http://www.w3.org/2001/XMLSchema-instance" xsi:type="dcterms:W3CDTF">2025-07-11T19:48:14Z</dcterms:modified>
</cp:coreProperties>
</file>