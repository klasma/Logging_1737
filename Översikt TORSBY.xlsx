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46117</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46117</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46117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46117</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46117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46117</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46117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46117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46117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46117</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46117</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46117</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46117</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22230-2022</t>
        </is>
      </c>
      <c r="B19" s="1" t="n">
        <v>44712</v>
      </c>
      <c r="C19" s="1" t="n">
        <v>46117</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46117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60716-2021</t>
        </is>
      </c>
      <c r="B21" s="1" t="n">
        <v>44496</v>
      </c>
      <c r="C21" s="1" t="n">
        <v>46117</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46117</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18306-2024</t>
        </is>
      </c>
      <c r="B23" s="1" t="n">
        <v>45422</v>
      </c>
      <c r="C23" s="1" t="n">
        <v>46117</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46117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46117</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66836-2021</t>
        </is>
      </c>
      <c r="B26" s="1" t="n">
        <v>44522</v>
      </c>
      <c r="C26" s="1" t="n">
        <v>46117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40934-2025</t>
        </is>
      </c>
      <c r="B27" s="1" t="n">
        <v>45897</v>
      </c>
      <c r="C27" s="1" t="n">
        <v>46117</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46117</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46117</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43822-2023</t>
        </is>
      </c>
      <c r="B30" s="1" t="n">
        <v>45182</v>
      </c>
      <c r="C30" s="1" t="n">
        <v>46117</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26488-2025</t>
        </is>
      </c>
      <c r="B31" s="1" t="n">
        <v>45807.47668981482</v>
      </c>
      <c r="C31" s="1" t="n">
        <v>46117</v>
      </c>
      <c r="D31" t="inlineStr">
        <is>
          <t>VÄRMLANDS LÄN</t>
        </is>
      </c>
      <c r="E31" t="inlineStr">
        <is>
          <t>TORSBY</t>
        </is>
      </c>
      <c r="G31" t="n">
        <v>1.6</v>
      </c>
      <c r="H31" t="n">
        <v>2</v>
      </c>
      <c r="I31" t="n">
        <v>3</v>
      </c>
      <c r="J31" t="n">
        <v>3</v>
      </c>
      <c r="K31" t="n">
        <v>0</v>
      </c>
      <c r="L31" t="n">
        <v>0</v>
      </c>
      <c r="M31" t="n">
        <v>0</v>
      </c>
      <c r="N31" t="n">
        <v>0</v>
      </c>
      <c r="O31" t="n">
        <v>3</v>
      </c>
      <c r="P31" t="n">
        <v>0</v>
      </c>
      <c r="Q31" t="n">
        <v>7</v>
      </c>
      <c r="R31" s="2" t="inlineStr">
        <is>
          <t>Garnlav
Motaggsvamp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46117</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46117</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46117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22604-2025</t>
        </is>
      </c>
      <c r="B35" s="1" t="n">
        <v>45789.41592592592</v>
      </c>
      <c r="C35" s="1" t="n">
        <v>46117</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46117</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46117</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46117</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36543-2025</t>
        </is>
      </c>
      <c r="B39" s="1" t="n">
        <v>45869.66658564815</v>
      </c>
      <c r="C39" s="1" t="n">
        <v>46117</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46117</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46117</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46117</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46117</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46117</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25899-2024</t>
        </is>
      </c>
      <c r="B45" s="1" t="n">
        <v>45467</v>
      </c>
      <c r="C45" s="1" t="n">
        <v>46117</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37948-2024</t>
        </is>
      </c>
      <c r="B46" s="1" t="n">
        <v>45544</v>
      </c>
      <c r="C46" s="1" t="n">
        <v>46117</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46117</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46117</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46117</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42501-2022</t>
        </is>
      </c>
      <c r="B50" s="1" t="n">
        <v>44831</v>
      </c>
      <c r="C50" s="1" t="n">
        <v>46117</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46117</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13525-2026</t>
        </is>
      </c>
      <c r="B52" s="1" t="n">
        <v>46094.64129629629</v>
      </c>
      <c r="C52" s="1" t="n">
        <v>46117</v>
      </c>
      <c r="D52" t="inlineStr">
        <is>
          <t>VÄRMLANDS LÄN</t>
        </is>
      </c>
      <c r="E52" t="inlineStr">
        <is>
          <t>TORSBY</t>
        </is>
      </c>
      <c r="G52" t="n">
        <v>4.3</v>
      </c>
      <c r="H52" t="n">
        <v>0</v>
      </c>
      <c r="I52" t="n">
        <v>0</v>
      </c>
      <c r="J52" t="n">
        <v>4</v>
      </c>
      <c r="K52" t="n">
        <v>0</v>
      </c>
      <c r="L52" t="n">
        <v>0</v>
      </c>
      <c r="M52" t="n">
        <v>0</v>
      </c>
      <c r="N52" t="n">
        <v>0</v>
      </c>
      <c r="O52" t="n">
        <v>4</v>
      </c>
      <c r="P52" t="n">
        <v>0</v>
      </c>
      <c r="Q52" t="n">
        <v>4</v>
      </c>
      <c r="R52" s="2" t="inlineStr">
        <is>
          <t>Dvärgbägarlav
Garnlav
Mörk kolflarnlav
Vedskivlav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17149-2026</t>
        </is>
      </c>
      <c r="B53" s="1" t="n">
        <v>46114.88768518518</v>
      </c>
      <c r="C53" s="1" t="n">
        <v>46117</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46117</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46117</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46117</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46117</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46117</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46117</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46117</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46117</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46117</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46117</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42595-2025</t>
        </is>
      </c>
      <c r="B64" s="1" t="n">
        <v>45905</v>
      </c>
      <c r="C64" s="1" t="n">
        <v>46117</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19030-2025</t>
        </is>
      </c>
      <c r="B65" s="1" t="n">
        <v>45764.65658564815</v>
      </c>
      <c r="C65" s="1" t="n">
        <v>46117</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45468-2025</t>
        </is>
      </c>
      <c r="B66" s="1" t="n">
        <v>45922</v>
      </c>
      <c r="C66" s="1" t="n">
        <v>46117</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46117</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46117</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46117</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31835-2024</t>
        </is>
      </c>
      <c r="B70" s="1" t="n">
        <v>45509</v>
      </c>
      <c r="C70" s="1" t="n">
        <v>46117</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14968-2026</t>
        </is>
      </c>
      <c r="B71" s="1" t="n">
        <v>46104.56141203704</v>
      </c>
      <c r="C71" s="1" t="n">
        <v>46117</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57190-2024</t>
        </is>
      </c>
      <c r="B72" s="1" t="n">
        <v>45629</v>
      </c>
      <c r="C72" s="1" t="n">
        <v>46117</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4557-2022</t>
        </is>
      </c>
      <c r="B73" s="1" t="n">
        <v>44591.47540509259</v>
      </c>
      <c r="C73" s="1" t="n">
        <v>46117</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46117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46117</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46117</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34930-2022</t>
        </is>
      </c>
      <c r="B77" s="1" t="n">
        <v>44796</v>
      </c>
      <c r="C77" s="1" t="n">
        <v>46117</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46117</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42488-2025</t>
        </is>
      </c>
      <c r="B79" s="1" t="n">
        <v>45905</v>
      </c>
      <c r="C79" s="1" t="n">
        <v>46117</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46580-2025</t>
        </is>
      </c>
      <c r="B80" s="1" t="n">
        <v>45926</v>
      </c>
      <c r="C80" s="1" t="n">
        <v>46117</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46117</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61950-2024</t>
        </is>
      </c>
      <c r="B82" s="1" t="n">
        <v>45653</v>
      </c>
      <c r="C82" s="1" t="n">
        <v>46117</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46117</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46117</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2000-2023</t>
        </is>
      </c>
      <c r="B85" s="1" t="n">
        <v>44939</v>
      </c>
      <c r="C85" s="1" t="n">
        <v>46117</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62250-2025</t>
        </is>
      </c>
      <c r="B86" s="1" t="n">
        <v>46006</v>
      </c>
      <c r="C86" s="1" t="n">
        <v>46117</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46117</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28156-2022</t>
        </is>
      </c>
      <c r="B88" s="1" t="n">
        <v>44746</v>
      </c>
      <c r="C88" s="1" t="n">
        <v>46117</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2898-2026</t>
        </is>
      </c>
      <c r="B89" s="1" t="n">
        <v>46037</v>
      </c>
      <c r="C89" s="1" t="n">
        <v>46117</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12375-2022</t>
        </is>
      </c>
      <c r="B90" s="1" t="n">
        <v>44637</v>
      </c>
      <c r="C90" s="1" t="n">
        <v>46117</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16011-2025</t>
        </is>
      </c>
      <c r="B91" s="1" t="n">
        <v>45749</v>
      </c>
      <c r="C91" s="1" t="n">
        <v>46117</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46117</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48292-2023</t>
        </is>
      </c>
      <c r="B93" s="1" t="n">
        <v>45205</v>
      </c>
      <c r="C93" s="1" t="n">
        <v>46117</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37388-2025</t>
        </is>
      </c>
      <c r="B94" s="1" t="n">
        <v>45877</v>
      </c>
      <c r="C94" s="1" t="n">
        <v>46117</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4718-2023</t>
        </is>
      </c>
      <c r="B95" s="1" t="n">
        <v>44957</v>
      </c>
      <c r="C95" s="1" t="n">
        <v>46117</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16442-2023</t>
        </is>
      </c>
      <c r="B96" s="1" t="n">
        <v>45026</v>
      </c>
      <c r="C96" s="1" t="n">
        <v>46117</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46117</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25212-2025</t>
        </is>
      </c>
      <c r="B98" s="1" t="n">
        <v>45800</v>
      </c>
      <c r="C98" s="1" t="n">
        <v>46117</v>
      </c>
      <c r="D98" t="inlineStr">
        <is>
          <t>VÄRMLANDS LÄN</t>
        </is>
      </c>
      <c r="E98" t="inlineStr">
        <is>
          <t>TORSBY</t>
        </is>
      </c>
      <c r="F98" t="inlineStr">
        <is>
          <t>Bergvik skog väst AB</t>
        </is>
      </c>
      <c r="G98" t="n">
        <v>6.4</v>
      </c>
      <c r="H98" t="n">
        <v>1</v>
      </c>
      <c r="I98" t="n">
        <v>1</v>
      </c>
      <c r="J98" t="n">
        <v>0</v>
      </c>
      <c r="K98" t="n">
        <v>1</v>
      </c>
      <c r="L98" t="n">
        <v>0</v>
      </c>
      <c r="M98" t="n">
        <v>0</v>
      </c>
      <c r="N98" t="n">
        <v>0</v>
      </c>
      <c r="O98" t="n">
        <v>1</v>
      </c>
      <c r="P98" t="n">
        <v>1</v>
      </c>
      <c r="Q98" t="n">
        <v>2</v>
      </c>
      <c r="R98" s="2" t="inlineStr">
        <is>
          <t>Bombmurkla
Vedticka</t>
        </is>
      </c>
      <c r="S98">
        <f>HYPERLINK("https://klasma.github.io/Logging_1737/artfynd/A 25212-2025 artfynd.xlsx", "A 25212-2025")</f>
        <v/>
      </c>
      <c r="T98">
        <f>HYPERLINK("https://klasma.github.io/Logging_1737/kartor/A 25212-2025 karta.png", "A 25212-2025")</f>
        <v/>
      </c>
      <c r="V98">
        <f>HYPERLINK("https://klasma.github.io/Logging_1737/klagomål/A 25212-2025 FSC-klagomål.docx", "A 25212-2025")</f>
        <v/>
      </c>
      <c r="W98">
        <f>HYPERLINK("https://klasma.github.io/Logging_1737/klagomålsmail/A 25212-2025 FSC-klagomål mail.docx", "A 25212-2025")</f>
        <v/>
      </c>
      <c r="X98">
        <f>HYPERLINK("https://klasma.github.io/Logging_1737/tillsyn/A 25212-2025 tillsynsbegäran.docx", "A 25212-2025")</f>
        <v/>
      </c>
      <c r="Y98">
        <f>HYPERLINK("https://klasma.github.io/Logging_1737/tillsynsmail/A 25212-2025 tillsynsbegäran mail.docx", "A 25212-2025")</f>
        <v/>
      </c>
    </row>
    <row r="99" ht="15" customHeight="1">
      <c r="A99" t="inlineStr">
        <is>
          <t>A 34853-2021</t>
        </is>
      </c>
      <c r="B99" s="1" t="n">
        <v>44383</v>
      </c>
      <c r="C99" s="1" t="n">
        <v>46117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46117</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46117</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46117</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15872-2025</t>
        </is>
      </c>
      <c r="B103" s="1" t="n">
        <v>45749</v>
      </c>
      <c r="C103" s="1" t="n">
        <v>46117</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47689-2024</t>
        </is>
      </c>
      <c r="B104" s="1" t="n">
        <v>45588</v>
      </c>
      <c r="C104" s="1" t="n">
        <v>46117</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9226-2025</t>
        </is>
      </c>
      <c r="B105" s="1" t="n">
        <v>45714</v>
      </c>
      <c r="C105" s="1" t="n">
        <v>46117</v>
      </c>
      <c r="D105" t="inlineStr">
        <is>
          <t>VÄRMLANDS LÄN</t>
        </is>
      </c>
      <c r="E105" t="inlineStr">
        <is>
          <t>TORSBY</t>
        </is>
      </c>
      <c r="G105" t="n">
        <v>0.8</v>
      </c>
      <c r="H105" t="n">
        <v>1</v>
      </c>
      <c r="I105" t="n">
        <v>0</v>
      </c>
      <c r="J105" t="n">
        <v>0</v>
      </c>
      <c r="K105" t="n">
        <v>1</v>
      </c>
      <c r="L105" t="n">
        <v>0</v>
      </c>
      <c r="M105" t="n">
        <v>0</v>
      </c>
      <c r="N105" t="n">
        <v>0</v>
      </c>
      <c r="O105" t="n">
        <v>1</v>
      </c>
      <c r="P105" t="n">
        <v>1</v>
      </c>
      <c r="Q105" t="n">
        <v>1</v>
      </c>
      <c r="R105" s="2" t="inlineStr">
        <is>
          <t>Bombmurkla</t>
        </is>
      </c>
      <c r="S105">
        <f>HYPERLINK("https://klasma.github.io/Logging_1737/artfynd/A 9226-2025 artfynd.xlsx", "A 9226-2025")</f>
        <v/>
      </c>
      <c r="T105">
        <f>HYPERLINK("https://klasma.github.io/Logging_1737/kartor/A 9226-2025 karta.png", "A 9226-2025")</f>
        <v/>
      </c>
      <c r="V105">
        <f>HYPERLINK("https://klasma.github.io/Logging_1737/klagomål/A 9226-2025 FSC-klagomål.docx", "A 9226-2025")</f>
        <v/>
      </c>
      <c r="W105">
        <f>HYPERLINK("https://klasma.github.io/Logging_1737/klagomålsmail/A 9226-2025 FSC-klagomål mail.docx", "A 9226-2025")</f>
        <v/>
      </c>
      <c r="X105">
        <f>HYPERLINK("https://klasma.github.io/Logging_1737/tillsyn/A 9226-2025 tillsynsbegäran.docx", "A 9226-2025")</f>
        <v/>
      </c>
      <c r="Y105">
        <f>HYPERLINK("https://klasma.github.io/Logging_1737/tillsynsmail/A 9226-2025 tillsynsbegäran mail.docx", "A 9226-2025")</f>
        <v/>
      </c>
    </row>
    <row r="106" ht="15" customHeight="1">
      <c r="A106" t="inlineStr">
        <is>
          <t>A 54982-2021</t>
        </is>
      </c>
      <c r="B106" s="1" t="n">
        <v>44469</v>
      </c>
      <c r="C106" s="1" t="n">
        <v>46117</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46117</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58470-2021</t>
        </is>
      </c>
      <c r="B108" s="1" t="n">
        <v>44488</v>
      </c>
      <c r="C108" s="1" t="n">
        <v>46117</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49110-2021</t>
        </is>
      </c>
      <c r="B109" s="1" t="n">
        <v>44453</v>
      </c>
      <c r="C109" s="1" t="n">
        <v>46117</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16164-2025</t>
        </is>
      </c>
      <c r="B110" s="1" t="n">
        <v>45750</v>
      </c>
      <c r="C110" s="1" t="n">
        <v>46117</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Tallriska</t>
        </is>
      </c>
      <c r="S110">
        <f>HYPERLINK("https://klasma.github.io/Logging_1737/artfynd/A 16164-2025 artfynd.xlsx", "A 16164-2025")</f>
        <v/>
      </c>
      <c r="T110">
        <f>HYPERLINK("https://klasma.github.io/Logging_1737/kartor/A 16164-2025 karta.png", "A 16164-2025")</f>
        <v/>
      </c>
      <c r="V110">
        <f>HYPERLINK("https://klasma.github.io/Logging_1737/klagomål/A 16164-2025 FSC-klagomål.docx", "A 16164-2025")</f>
        <v/>
      </c>
      <c r="W110">
        <f>HYPERLINK("https://klasma.github.io/Logging_1737/klagomålsmail/A 16164-2025 FSC-klagomål mail.docx", "A 16164-2025")</f>
        <v/>
      </c>
      <c r="X110">
        <f>HYPERLINK("https://klasma.github.io/Logging_1737/tillsyn/A 16164-2025 tillsynsbegäran.docx", "A 16164-2025")</f>
        <v/>
      </c>
      <c r="Y110">
        <f>HYPERLINK("https://klasma.github.io/Logging_1737/tillsynsmail/A 16164-2025 tillsynsbegäran mail.docx", "A 16164-2025")</f>
        <v/>
      </c>
    </row>
    <row r="111" ht="15" customHeight="1">
      <c r="A111" t="inlineStr">
        <is>
          <t>A 13359-2023</t>
        </is>
      </c>
      <c r="B111" s="1" t="n">
        <v>45005.46405092593</v>
      </c>
      <c r="C111" s="1" t="n">
        <v>46117</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46117</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25276-2025</t>
        </is>
      </c>
      <c r="B113" s="1" t="n">
        <v>45800</v>
      </c>
      <c r="C113" s="1" t="n">
        <v>46117</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15548-2023</t>
        </is>
      </c>
      <c r="B114" s="1" t="n">
        <v>45020</v>
      </c>
      <c r="C114" s="1" t="n">
        <v>46117</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37327-2025</t>
        </is>
      </c>
      <c r="B115" s="1" t="n">
        <v>45876.64902777778</v>
      </c>
      <c r="C115" s="1" t="n">
        <v>46117</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37699-2025</t>
        </is>
      </c>
      <c r="B116" s="1" t="n">
        <v>45880</v>
      </c>
      <c r="C116" s="1" t="n">
        <v>46117</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46117</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41416-2025</t>
        </is>
      </c>
      <c r="B118" s="1" t="n">
        <v>45901</v>
      </c>
      <c r="C118" s="1" t="n">
        <v>46117</v>
      </c>
      <c r="D118" t="inlineStr">
        <is>
          <t>VÄRMLANDS LÄN</t>
        </is>
      </c>
      <c r="E118" t="inlineStr">
        <is>
          <t>TORSBY</t>
        </is>
      </c>
      <c r="G118" t="n">
        <v>7.8</v>
      </c>
      <c r="H118" t="n">
        <v>1</v>
      </c>
      <c r="I118" t="n">
        <v>0</v>
      </c>
      <c r="J118" t="n">
        <v>0</v>
      </c>
      <c r="K118" t="n">
        <v>0</v>
      </c>
      <c r="L118" t="n">
        <v>0</v>
      </c>
      <c r="M118" t="n">
        <v>0</v>
      </c>
      <c r="N118" t="n">
        <v>0</v>
      </c>
      <c r="O118" t="n">
        <v>0</v>
      </c>
      <c r="P118" t="n">
        <v>0</v>
      </c>
      <c r="Q118" t="n">
        <v>1</v>
      </c>
      <c r="R118" s="2" t="inlineStr">
        <is>
          <t>Lopplummer (aggregat)</t>
        </is>
      </c>
      <c r="S118">
        <f>HYPERLINK("https://klasma.github.io/Logging_1737/artfynd/A 41416-2025 artfynd.xlsx", "A 41416-2025")</f>
        <v/>
      </c>
      <c r="T118">
        <f>HYPERLINK("https://klasma.github.io/Logging_1737/kartor/A 41416-2025 karta.png", "A 41416-2025")</f>
        <v/>
      </c>
      <c r="V118">
        <f>HYPERLINK("https://klasma.github.io/Logging_1737/klagomål/A 41416-2025 FSC-klagomål.docx", "A 41416-2025")</f>
        <v/>
      </c>
      <c r="W118">
        <f>HYPERLINK("https://klasma.github.io/Logging_1737/klagomålsmail/A 41416-2025 FSC-klagomål mail.docx", "A 41416-2025")</f>
        <v/>
      </c>
      <c r="X118">
        <f>HYPERLINK("https://klasma.github.io/Logging_1737/tillsyn/A 41416-2025 tillsynsbegäran.docx", "A 41416-2025")</f>
        <v/>
      </c>
      <c r="Y118">
        <f>HYPERLINK("https://klasma.github.io/Logging_1737/tillsynsmail/A 41416-2025 tillsynsbegäran mail.docx", "A 41416-2025")</f>
        <v/>
      </c>
    </row>
    <row r="119" ht="15" customHeight="1">
      <c r="A119" t="inlineStr">
        <is>
          <t>A 38015-2025</t>
        </is>
      </c>
      <c r="B119" s="1" t="n">
        <v>45882</v>
      </c>
      <c r="C119" s="1" t="n">
        <v>46117</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46117</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40033-2024</t>
        </is>
      </c>
      <c r="B121" s="1" t="n">
        <v>45553</v>
      </c>
      <c r="C121" s="1" t="n">
        <v>46117</v>
      </c>
      <c r="D121" t="inlineStr">
        <is>
          <t>VÄRMLANDS LÄN</t>
        </is>
      </c>
      <c r="E121" t="inlineStr">
        <is>
          <t>TORSBY</t>
        </is>
      </c>
      <c r="G121" t="n">
        <v>6.2</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40033-2024 artfynd.xlsx", "A 40033-2024")</f>
        <v/>
      </c>
      <c r="T121">
        <f>HYPERLINK("https://klasma.github.io/Logging_1737/kartor/A 40033-2024 karta.png", "A 40033-2024")</f>
        <v/>
      </c>
      <c r="V121">
        <f>HYPERLINK("https://klasma.github.io/Logging_1737/klagomål/A 40033-2024 FSC-klagomål.docx", "A 40033-2024")</f>
        <v/>
      </c>
      <c r="W121">
        <f>HYPERLINK("https://klasma.github.io/Logging_1737/klagomålsmail/A 40033-2024 FSC-klagomål mail.docx", "A 40033-2024")</f>
        <v/>
      </c>
      <c r="X121">
        <f>HYPERLINK("https://klasma.github.io/Logging_1737/tillsyn/A 40033-2024 tillsynsbegäran.docx", "A 40033-2024")</f>
        <v/>
      </c>
      <c r="Y121">
        <f>HYPERLINK("https://klasma.github.io/Logging_1737/tillsynsmail/A 40033-2024 tillsynsbegäran mail.docx", "A 40033-2024")</f>
        <v/>
      </c>
    </row>
    <row r="122" ht="15" customHeight="1">
      <c r="A122" t="inlineStr">
        <is>
          <t>A 39681-2023</t>
        </is>
      </c>
      <c r="B122" s="1" t="n">
        <v>45167</v>
      </c>
      <c r="C122" s="1" t="n">
        <v>46117</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44018-2025</t>
        </is>
      </c>
      <c r="B123" s="1" t="n">
        <v>45915</v>
      </c>
      <c r="C123" s="1" t="n">
        <v>46117</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42500-2022</t>
        </is>
      </c>
      <c r="B124" s="1" t="n">
        <v>44831</v>
      </c>
      <c r="C124" s="1" t="n">
        <v>46117</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50712-2025</t>
        </is>
      </c>
      <c r="B125" s="1" t="n">
        <v>45946.34440972222</v>
      </c>
      <c r="C125" s="1" t="n">
        <v>46117</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49724-2023</t>
        </is>
      </c>
      <c r="B126" s="1" t="n">
        <v>45208</v>
      </c>
      <c r="C126" s="1" t="n">
        <v>46117</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52418-2025</t>
        </is>
      </c>
      <c r="B127" s="1" t="n">
        <v>45954.36844907407</v>
      </c>
      <c r="C127" s="1" t="n">
        <v>46117</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46117</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46117</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16572-2022</t>
        </is>
      </c>
      <c r="B130" s="1" t="n">
        <v>44672</v>
      </c>
      <c r="C130" s="1" t="n">
        <v>46117</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56133-2024</t>
        </is>
      </c>
      <c r="B131" s="1" t="n">
        <v>45624</v>
      </c>
      <c r="C131" s="1" t="n">
        <v>46117</v>
      </c>
      <c r="D131" t="inlineStr">
        <is>
          <t>VÄRMLANDS LÄN</t>
        </is>
      </c>
      <c r="E131" t="inlineStr">
        <is>
          <t>TORSBY</t>
        </is>
      </c>
      <c r="G131" t="n">
        <v>2.4</v>
      </c>
      <c r="H131" t="n">
        <v>0</v>
      </c>
      <c r="I131" t="n">
        <v>1</v>
      </c>
      <c r="J131" t="n">
        <v>0</v>
      </c>
      <c r="K131" t="n">
        <v>0</v>
      </c>
      <c r="L131" t="n">
        <v>0</v>
      </c>
      <c r="M131" t="n">
        <v>0</v>
      </c>
      <c r="N131" t="n">
        <v>0</v>
      </c>
      <c r="O131" t="n">
        <v>0</v>
      </c>
      <c r="P131" t="n">
        <v>0</v>
      </c>
      <c r="Q131" t="n">
        <v>1</v>
      </c>
      <c r="R131" s="2" t="inlineStr">
        <is>
          <t>Vedticka</t>
        </is>
      </c>
      <c r="S131">
        <f>HYPERLINK("https://klasma.github.io/Logging_1737/artfynd/A 56133-2024 artfynd.xlsx", "A 56133-2024")</f>
        <v/>
      </c>
      <c r="T131">
        <f>HYPERLINK("https://klasma.github.io/Logging_1737/kartor/A 56133-2024 karta.png", "A 56133-2024")</f>
        <v/>
      </c>
      <c r="V131">
        <f>HYPERLINK("https://klasma.github.io/Logging_1737/klagomål/A 56133-2024 FSC-klagomål.docx", "A 56133-2024")</f>
        <v/>
      </c>
      <c r="W131">
        <f>HYPERLINK("https://klasma.github.io/Logging_1737/klagomålsmail/A 56133-2024 FSC-klagomål mail.docx", "A 56133-2024")</f>
        <v/>
      </c>
      <c r="X131">
        <f>HYPERLINK("https://klasma.github.io/Logging_1737/tillsyn/A 56133-2024 tillsynsbegäran.docx", "A 56133-2024")</f>
        <v/>
      </c>
      <c r="Y131">
        <f>HYPERLINK("https://klasma.github.io/Logging_1737/tillsynsmail/A 56133-2024 tillsynsbegäran mail.docx", "A 56133-2024")</f>
        <v/>
      </c>
    </row>
    <row r="132" ht="15" customHeight="1">
      <c r="A132" t="inlineStr">
        <is>
          <t>A 54009-2024</t>
        </is>
      </c>
      <c r="B132" s="1" t="n">
        <v>45616</v>
      </c>
      <c r="C132" s="1" t="n">
        <v>46117</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60688-2025</t>
        </is>
      </c>
      <c r="B133" s="1" t="n">
        <v>45996</v>
      </c>
      <c r="C133" s="1" t="n">
        <v>46117</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40934-2024</t>
        </is>
      </c>
      <c r="B134" s="1" t="n">
        <v>45558</v>
      </c>
      <c r="C134" s="1" t="n">
        <v>46117</v>
      </c>
      <c r="D134" t="inlineStr">
        <is>
          <t>VÄRMLANDS LÄN</t>
        </is>
      </c>
      <c r="E134" t="inlineStr">
        <is>
          <t>TORSBY</t>
        </is>
      </c>
      <c r="G134" t="n">
        <v>8.1</v>
      </c>
      <c r="H134" t="n">
        <v>0</v>
      </c>
      <c r="I134" t="n">
        <v>0</v>
      </c>
      <c r="J134" t="n">
        <v>1</v>
      </c>
      <c r="K134" t="n">
        <v>0</v>
      </c>
      <c r="L134" t="n">
        <v>0</v>
      </c>
      <c r="M134" t="n">
        <v>0</v>
      </c>
      <c r="N134" t="n">
        <v>0</v>
      </c>
      <c r="O134" t="n">
        <v>1</v>
      </c>
      <c r="P134" t="n">
        <v>0</v>
      </c>
      <c r="Q134" t="n">
        <v>1</v>
      </c>
      <c r="R134" s="2" t="inlineStr">
        <is>
          <t>Lunglav</t>
        </is>
      </c>
      <c r="S134">
        <f>HYPERLINK("https://klasma.github.io/Logging_1737/artfynd/A 40934-2024 artfynd.xlsx", "A 40934-2024")</f>
        <v/>
      </c>
      <c r="T134">
        <f>HYPERLINK("https://klasma.github.io/Logging_1737/kartor/A 40934-2024 karta.png", "A 40934-2024")</f>
        <v/>
      </c>
      <c r="V134">
        <f>HYPERLINK("https://klasma.github.io/Logging_1737/klagomål/A 40934-2024 FSC-klagomål.docx", "A 40934-2024")</f>
        <v/>
      </c>
      <c r="W134">
        <f>HYPERLINK("https://klasma.github.io/Logging_1737/klagomålsmail/A 40934-2024 FSC-klagomål mail.docx", "A 40934-2024")</f>
        <v/>
      </c>
      <c r="X134">
        <f>HYPERLINK("https://klasma.github.io/Logging_1737/tillsyn/A 40934-2024 tillsynsbegäran.docx", "A 40934-2024")</f>
        <v/>
      </c>
      <c r="Y134">
        <f>HYPERLINK("https://klasma.github.io/Logging_1737/tillsynsmail/A 40934-2024 tillsynsbegäran mail.docx", "A 40934-2024")</f>
        <v/>
      </c>
    </row>
    <row r="135" ht="15" customHeight="1">
      <c r="A135" t="inlineStr">
        <is>
          <t>A 51288-2022</t>
        </is>
      </c>
      <c r="B135" s="1" t="n">
        <v>44868</v>
      </c>
      <c r="C135" s="1" t="n">
        <v>46117</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24042-2021</t>
        </is>
      </c>
      <c r="B136" s="1" t="n">
        <v>44336</v>
      </c>
      <c r="C136" s="1" t="n">
        <v>46117</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62690-2025</t>
        </is>
      </c>
      <c r="B137" s="1" t="n">
        <v>46007</v>
      </c>
      <c r="C137" s="1" t="n">
        <v>46117</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1534-2026</t>
        </is>
      </c>
      <c r="B138" s="1" t="n">
        <v>46034</v>
      </c>
      <c r="C138" s="1" t="n">
        <v>46117</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11763-2026</t>
        </is>
      </c>
      <c r="B139" s="1" t="n">
        <v>46084</v>
      </c>
      <c r="C139" s="1" t="n">
        <v>46117</v>
      </c>
      <c r="D139" t="inlineStr">
        <is>
          <t>VÄRMLANDS LÄN</t>
        </is>
      </c>
      <c r="E139" t="inlineStr">
        <is>
          <t>TORSBY</t>
        </is>
      </c>
      <c r="G139" t="n">
        <v>0.9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11763-2026 artfynd.xlsx", "A 11763-2026")</f>
        <v/>
      </c>
      <c r="T139">
        <f>HYPERLINK("https://klasma.github.io/Logging_1737/kartor/A 11763-2026 karta.png", "A 11763-2026")</f>
        <v/>
      </c>
      <c r="V139">
        <f>HYPERLINK("https://klasma.github.io/Logging_1737/klagomål/A 11763-2026 FSC-klagomål.docx", "A 11763-2026")</f>
        <v/>
      </c>
      <c r="W139">
        <f>HYPERLINK("https://klasma.github.io/Logging_1737/klagomålsmail/A 11763-2026 FSC-klagomål mail.docx", "A 11763-2026")</f>
        <v/>
      </c>
      <c r="X139">
        <f>HYPERLINK("https://klasma.github.io/Logging_1737/tillsyn/A 11763-2026 tillsynsbegäran.docx", "A 11763-2026")</f>
        <v/>
      </c>
      <c r="Y139">
        <f>HYPERLINK("https://klasma.github.io/Logging_1737/tillsynsmail/A 11763-2026 tillsynsbegäran mail.docx", "A 11763-2026")</f>
        <v/>
      </c>
    </row>
    <row r="140" ht="15" customHeight="1">
      <c r="A140" t="inlineStr">
        <is>
          <t>A 41477-2024</t>
        </is>
      </c>
      <c r="B140" s="1" t="n">
        <v>45560</v>
      </c>
      <c r="C140" s="1" t="n">
        <v>46117</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37292-2024</t>
        </is>
      </c>
      <c r="B141" s="1" t="n">
        <v>45540</v>
      </c>
      <c r="C141" s="1" t="n">
        <v>46117</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50236-2022</t>
        </is>
      </c>
      <c r="B142" s="1" t="n">
        <v>44865</v>
      </c>
      <c r="C142" s="1" t="n">
        <v>46117</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58014-2024</t>
        </is>
      </c>
      <c r="B143" s="1" t="n">
        <v>45631</v>
      </c>
      <c r="C143" s="1" t="n">
        <v>46117</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16024-2026</t>
        </is>
      </c>
      <c r="B144" s="1" t="n">
        <v>46108.45134259259</v>
      </c>
      <c r="C144" s="1" t="n">
        <v>46117</v>
      </c>
      <c r="D144" t="inlineStr">
        <is>
          <t>VÄRMLANDS LÄN</t>
        </is>
      </c>
      <c r="E144" t="inlineStr">
        <is>
          <t>TORSBY</t>
        </is>
      </c>
      <c r="G144" t="n">
        <v>15.1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16024-2026 artfynd.xlsx", "A 16024-2026")</f>
        <v/>
      </c>
      <c r="T144">
        <f>HYPERLINK("https://klasma.github.io/Logging_1737/kartor/A 16024-2026 karta.png", "A 16024-2026")</f>
        <v/>
      </c>
      <c r="V144">
        <f>HYPERLINK("https://klasma.github.io/Logging_1737/klagomål/A 16024-2026 FSC-klagomål.docx", "A 16024-2026")</f>
        <v/>
      </c>
      <c r="W144">
        <f>HYPERLINK("https://klasma.github.io/Logging_1737/klagomålsmail/A 16024-2026 FSC-klagomål mail.docx", "A 16024-2026")</f>
        <v/>
      </c>
      <c r="X144">
        <f>HYPERLINK("https://klasma.github.io/Logging_1737/tillsyn/A 16024-2026 tillsynsbegäran.docx", "A 16024-2026")</f>
        <v/>
      </c>
      <c r="Y144">
        <f>HYPERLINK("https://klasma.github.io/Logging_1737/tillsynsmail/A 16024-2026 tillsynsbegäran mail.docx", "A 16024-2026")</f>
        <v/>
      </c>
      <c r="Z144">
        <f>HYPERLINK("https://klasma.github.io/Logging_1737/fåglar/A 16024-2026 prioriterade fågelarter.docx", "A 16024-2026")</f>
        <v/>
      </c>
    </row>
    <row r="145" ht="15" customHeight="1">
      <c r="A145" t="inlineStr">
        <is>
          <t>A 15345-2026</t>
        </is>
      </c>
      <c r="B145" s="1" t="n">
        <v>46105</v>
      </c>
      <c r="C145" s="1" t="n">
        <v>46117</v>
      </c>
      <c r="D145" t="inlineStr">
        <is>
          <t>VÄRMLANDS LÄN</t>
        </is>
      </c>
      <c r="E145" t="inlineStr">
        <is>
          <t>TORSBY</t>
        </is>
      </c>
      <c r="F145" t="inlineStr">
        <is>
          <t>Bergvik skog väst AB</t>
        </is>
      </c>
      <c r="G145" t="n">
        <v>37.3</v>
      </c>
      <c r="H145" t="n">
        <v>1</v>
      </c>
      <c r="I145" t="n">
        <v>0</v>
      </c>
      <c r="J145" t="n">
        <v>0</v>
      </c>
      <c r="K145" t="n">
        <v>0</v>
      </c>
      <c r="L145" t="n">
        <v>0</v>
      </c>
      <c r="M145" t="n">
        <v>0</v>
      </c>
      <c r="N145" t="n">
        <v>0</v>
      </c>
      <c r="O145" t="n">
        <v>0</v>
      </c>
      <c r="P145" t="n">
        <v>0</v>
      </c>
      <c r="Q145" t="n">
        <v>1</v>
      </c>
      <c r="R145" s="2" t="inlineStr">
        <is>
          <t>Grönsiska</t>
        </is>
      </c>
      <c r="S145">
        <f>HYPERLINK("https://klasma.github.io/Logging_1737/artfynd/A 15345-2026 artfynd.xlsx", "A 15345-2026")</f>
        <v/>
      </c>
      <c r="T145">
        <f>HYPERLINK("https://klasma.github.io/Logging_1737/kartor/A 15345-2026 karta.png", "A 15345-2026")</f>
        <v/>
      </c>
      <c r="V145">
        <f>HYPERLINK("https://klasma.github.io/Logging_1737/klagomål/A 15345-2026 FSC-klagomål.docx", "A 15345-2026")</f>
        <v/>
      </c>
      <c r="W145">
        <f>HYPERLINK("https://klasma.github.io/Logging_1737/klagomålsmail/A 15345-2026 FSC-klagomål mail.docx", "A 15345-2026")</f>
        <v/>
      </c>
      <c r="X145">
        <f>HYPERLINK("https://klasma.github.io/Logging_1737/tillsyn/A 15345-2026 tillsynsbegäran.docx", "A 15345-2026")</f>
        <v/>
      </c>
      <c r="Y145">
        <f>HYPERLINK("https://klasma.github.io/Logging_1737/tillsynsmail/A 15345-2026 tillsynsbegäran mail.docx", "A 15345-2026")</f>
        <v/>
      </c>
      <c r="Z145">
        <f>HYPERLINK("https://klasma.github.io/Logging_1737/fåglar/A 15345-2026 prioriterade fågelarter.docx", "A 15345-2026")</f>
        <v/>
      </c>
    </row>
    <row r="146" ht="15" customHeight="1">
      <c r="A146" t="inlineStr">
        <is>
          <t>A 5726-2025</t>
        </is>
      </c>
      <c r="B146" s="1" t="n">
        <v>45694</v>
      </c>
      <c r="C146" s="1" t="n">
        <v>46117</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46117</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46117</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46117</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50318-2024</t>
        </is>
      </c>
      <c r="B150" s="1" t="n">
        <v>45600</v>
      </c>
      <c r="C150" s="1" t="n">
        <v>46117</v>
      </c>
      <c r="D150" t="inlineStr">
        <is>
          <t>VÄRMLANDS LÄN</t>
        </is>
      </c>
      <c r="E150" t="inlineStr">
        <is>
          <t>TORSBY</t>
        </is>
      </c>
      <c r="F150" t="inlineStr">
        <is>
          <t>Bergvik skog väst AB</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50318-2024 artfynd.xlsx", "A 50318-2024")</f>
        <v/>
      </c>
      <c r="T150">
        <f>HYPERLINK("https://klasma.github.io/Logging_1737/kartor/A 50318-2024 karta.png", "A 50318-2024")</f>
        <v/>
      </c>
      <c r="V150">
        <f>HYPERLINK("https://klasma.github.io/Logging_1737/klagomål/A 50318-2024 FSC-klagomål.docx", "A 50318-2024")</f>
        <v/>
      </c>
      <c r="W150">
        <f>HYPERLINK("https://klasma.github.io/Logging_1737/klagomålsmail/A 50318-2024 FSC-klagomål mail.docx", "A 50318-2024")</f>
        <v/>
      </c>
      <c r="X150">
        <f>HYPERLINK("https://klasma.github.io/Logging_1737/tillsyn/A 50318-2024 tillsynsbegäran.docx", "A 50318-2024")</f>
        <v/>
      </c>
      <c r="Y150">
        <f>HYPERLINK("https://klasma.github.io/Logging_1737/tillsynsmail/A 50318-2024 tillsynsbegäran mail.docx", "A 50318-2024")</f>
        <v/>
      </c>
    </row>
    <row r="151" ht="15" customHeight="1">
      <c r="A151" t="inlineStr">
        <is>
          <t>A 25217-2025</t>
        </is>
      </c>
      <c r="B151" s="1" t="n">
        <v>45800.4756712963</v>
      </c>
      <c r="C151" s="1" t="n">
        <v>46117</v>
      </c>
      <c r="D151" t="inlineStr">
        <is>
          <t>VÄRMLANDS LÄN</t>
        </is>
      </c>
      <c r="E151" t="inlineStr">
        <is>
          <t>TORSBY</t>
        </is>
      </c>
      <c r="G151" t="n">
        <v>10.9</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25217-2025 artfynd.xlsx", "A 25217-2025")</f>
        <v/>
      </c>
      <c r="T151">
        <f>HYPERLINK("https://klasma.github.io/Logging_1737/kartor/A 25217-2025 karta.png", "A 25217-2025")</f>
        <v/>
      </c>
      <c r="V151">
        <f>HYPERLINK("https://klasma.github.io/Logging_1737/klagomål/A 25217-2025 FSC-klagomål.docx", "A 25217-2025")</f>
        <v/>
      </c>
      <c r="W151">
        <f>HYPERLINK("https://klasma.github.io/Logging_1737/klagomålsmail/A 25217-2025 FSC-klagomål mail.docx", "A 25217-2025")</f>
        <v/>
      </c>
      <c r="X151">
        <f>HYPERLINK("https://klasma.github.io/Logging_1737/tillsyn/A 25217-2025 tillsynsbegäran.docx", "A 25217-2025")</f>
        <v/>
      </c>
      <c r="Y151">
        <f>HYPERLINK("https://klasma.github.io/Logging_1737/tillsynsmail/A 25217-2025 tillsynsbegäran mail.docx", "A 25217-2025")</f>
        <v/>
      </c>
    </row>
    <row r="152" ht="15" customHeight="1">
      <c r="A152" t="inlineStr">
        <is>
          <t>A 25802-2025</t>
        </is>
      </c>
      <c r="B152" s="1" t="n">
        <v>45804.40766203704</v>
      </c>
      <c r="C152" s="1" t="n">
        <v>46117</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Tallticka</t>
        </is>
      </c>
      <c r="S152">
        <f>HYPERLINK("https://klasma.github.io/Logging_1737/artfynd/A 25802-2025 artfynd.xlsx", "A 25802-2025")</f>
        <v/>
      </c>
      <c r="T152">
        <f>HYPERLINK("https://klasma.github.io/Logging_1737/kartor/A 25802-2025 karta.png", "A 25802-2025")</f>
        <v/>
      </c>
      <c r="V152">
        <f>HYPERLINK("https://klasma.github.io/Logging_1737/klagomål/A 25802-2025 FSC-klagomål.docx", "A 25802-2025")</f>
        <v/>
      </c>
      <c r="W152">
        <f>HYPERLINK("https://klasma.github.io/Logging_1737/klagomålsmail/A 25802-2025 FSC-klagomål mail.docx", "A 25802-2025")</f>
        <v/>
      </c>
      <c r="X152">
        <f>HYPERLINK("https://klasma.github.io/Logging_1737/tillsyn/A 25802-2025 tillsynsbegäran.docx", "A 25802-2025")</f>
        <v/>
      </c>
      <c r="Y152">
        <f>HYPERLINK("https://klasma.github.io/Logging_1737/tillsynsmail/A 25802-2025 tillsynsbegäran mail.docx", "A 25802-2025")</f>
        <v/>
      </c>
    </row>
    <row r="153" ht="15" customHeight="1">
      <c r="A153" t="inlineStr">
        <is>
          <t>A 27108-2025</t>
        </is>
      </c>
      <c r="B153" s="1" t="n">
        <v>45811.72777777778</v>
      </c>
      <c r="C153" s="1" t="n">
        <v>46117</v>
      </c>
      <c r="D153" t="inlineStr">
        <is>
          <t>VÄRMLANDS LÄN</t>
        </is>
      </c>
      <c r="E153" t="inlineStr">
        <is>
          <t>TORSBY</t>
        </is>
      </c>
      <c r="G153" t="n">
        <v>1.5</v>
      </c>
      <c r="H153" t="n">
        <v>0</v>
      </c>
      <c r="I153" t="n">
        <v>0</v>
      </c>
      <c r="J153" t="n">
        <v>1</v>
      </c>
      <c r="K153" t="n">
        <v>0</v>
      </c>
      <c r="L153" t="n">
        <v>0</v>
      </c>
      <c r="M153" t="n">
        <v>0</v>
      </c>
      <c r="N153" t="n">
        <v>0</v>
      </c>
      <c r="O153" t="n">
        <v>1</v>
      </c>
      <c r="P153" t="n">
        <v>0</v>
      </c>
      <c r="Q153" t="n">
        <v>1</v>
      </c>
      <c r="R153" s="2" t="inlineStr">
        <is>
          <t>Garnlav</t>
        </is>
      </c>
      <c r="S153">
        <f>HYPERLINK("https://klasma.github.io/Logging_1737/artfynd/A 27108-2025 artfynd.xlsx", "A 27108-2025")</f>
        <v/>
      </c>
      <c r="T153">
        <f>HYPERLINK("https://klasma.github.io/Logging_1737/kartor/A 27108-2025 karta.png", "A 27108-2025")</f>
        <v/>
      </c>
      <c r="V153">
        <f>HYPERLINK("https://klasma.github.io/Logging_1737/klagomål/A 27108-2025 FSC-klagomål.docx", "A 27108-2025")</f>
        <v/>
      </c>
      <c r="W153">
        <f>HYPERLINK("https://klasma.github.io/Logging_1737/klagomålsmail/A 27108-2025 FSC-klagomål mail.docx", "A 27108-2025")</f>
        <v/>
      </c>
      <c r="X153">
        <f>HYPERLINK("https://klasma.github.io/Logging_1737/tillsyn/A 27108-2025 tillsynsbegäran.docx", "A 27108-2025")</f>
        <v/>
      </c>
      <c r="Y153">
        <f>HYPERLINK("https://klasma.github.io/Logging_1737/tillsynsmail/A 27108-2025 tillsynsbegäran mail.docx", "A 27108-2025")</f>
        <v/>
      </c>
    </row>
    <row r="154" ht="15" customHeight="1">
      <c r="A154" t="inlineStr">
        <is>
          <t>A 27301-2025</t>
        </is>
      </c>
      <c r="B154" s="1" t="n">
        <v>45812.57186342592</v>
      </c>
      <c r="C154" s="1" t="n">
        <v>46117</v>
      </c>
      <c r="D154" t="inlineStr">
        <is>
          <t>VÄRMLANDS LÄN</t>
        </is>
      </c>
      <c r="E154" t="inlineStr">
        <is>
          <t>TORSBY</t>
        </is>
      </c>
      <c r="G154" t="n">
        <v>2.7</v>
      </c>
      <c r="H154" t="n">
        <v>1</v>
      </c>
      <c r="I154" t="n">
        <v>0</v>
      </c>
      <c r="J154" t="n">
        <v>1</v>
      </c>
      <c r="K154" t="n">
        <v>0</v>
      </c>
      <c r="L154" t="n">
        <v>0</v>
      </c>
      <c r="M154" t="n">
        <v>0</v>
      </c>
      <c r="N154" t="n">
        <v>0</v>
      </c>
      <c r="O154" t="n">
        <v>1</v>
      </c>
      <c r="P154" t="n">
        <v>0</v>
      </c>
      <c r="Q154" t="n">
        <v>1</v>
      </c>
      <c r="R154" s="2" t="inlineStr">
        <is>
          <t>Nordfladdermus</t>
        </is>
      </c>
      <c r="S154">
        <f>HYPERLINK("https://klasma.github.io/Logging_1737/artfynd/A 27301-2025 artfynd.xlsx", "A 27301-2025")</f>
        <v/>
      </c>
      <c r="T154">
        <f>HYPERLINK("https://klasma.github.io/Logging_1737/kartor/A 27301-2025 karta.png", "A 27301-2025")</f>
        <v/>
      </c>
      <c r="V154">
        <f>HYPERLINK("https://klasma.github.io/Logging_1737/klagomål/A 27301-2025 FSC-klagomål.docx", "A 27301-2025")</f>
        <v/>
      </c>
      <c r="W154">
        <f>HYPERLINK("https://klasma.github.io/Logging_1737/klagomålsmail/A 27301-2025 FSC-klagomål mail.docx", "A 27301-2025")</f>
        <v/>
      </c>
      <c r="X154">
        <f>HYPERLINK("https://klasma.github.io/Logging_1737/tillsyn/A 27301-2025 tillsynsbegäran.docx", "A 27301-2025")</f>
        <v/>
      </c>
      <c r="Y154">
        <f>HYPERLINK("https://klasma.github.io/Logging_1737/tillsynsmail/A 27301-2025 tillsynsbegäran mail.docx", "A 27301-2025")</f>
        <v/>
      </c>
    </row>
    <row r="155" ht="15" customHeight="1">
      <c r="A155" t="inlineStr">
        <is>
          <t>A 29756-2025</t>
        </is>
      </c>
      <c r="B155" s="1" t="n">
        <v>45825.61525462963</v>
      </c>
      <c r="C155" s="1" t="n">
        <v>46117</v>
      </c>
      <c r="D155" t="inlineStr">
        <is>
          <t>VÄRMLANDS LÄN</t>
        </is>
      </c>
      <c r="E155" t="inlineStr">
        <is>
          <t>TORSBY</t>
        </is>
      </c>
      <c r="G155" t="n">
        <v>6.9</v>
      </c>
      <c r="H155" t="n">
        <v>0</v>
      </c>
      <c r="I155" t="n">
        <v>0</v>
      </c>
      <c r="J155" t="n">
        <v>1</v>
      </c>
      <c r="K155" t="n">
        <v>0</v>
      </c>
      <c r="L155" t="n">
        <v>0</v>
      </c>
      <c r="M155" t="n">
        <v>0</v>
      </c>
      <c r="N155" t="n">
        <v>0</v>
      </c>
      <c r="O155" t="n">
        <v>1</v>
      </c>
      <c r="P155" t="n">
        <v>0</v>
      </c>
      <c r="Q155" t="n">
        <v>1</v>
      </c>
      <c r="R155" s="2" t="inlineStr">
        <is>
          <t>Garnlav</t>
        </is>
      </c>
      <c r="S155">
        <f>HYPERLINK("https://klasma.github.io/Logging_1737/artfynd/A 29756-2025 artfynd.xlsx", "A 29756-2025")</f>
        <v/>
      </c>
      <c r="T155">
        <f>HYPERLINK("https://klasma.github.io/Logging_1737/kartor/A 29756-2025 karta.png", "A 29756-2025")</f>
        <v/>
      </c>
      <c r="V155">
        <f>HYPERLINK("https://klasma.github.io/Logging_1737/klagomål/A 29756-2025 FSC-klagomål.docx", "A 29756-2025")</f>
        <v/>
      </c>
      <c r="W155">
        <f>HYPERLINK("https://klasma.github.io/Logging_1737/klagomålsmail/A 29756-2025 FSC-klagomål mail.docx", "A 29756-2025")</f>
        <v/>
      </c>
      <c r="X155">
        <f>HYPERLINK("https://klasma.github.io/Logging_1737/tillsyn/A 29756-2025 tillsynsbegäran.docx", "A 29756-2025")</f>
        <v/>
      </c>
      <c r="Y155">
        <f>HYPERLINK("https://klasma.github.io/Logging_1737/tillsynsmail/A 29756-2025 tillsynsbegäran mail.docx", "A 29756-2025")</f>
        <v/>
      </c>
    </row>
    <row r="156" ht="15" customHeight="1">
      <c r="A156" t="inlineStr">
        <is>
          <t>A 32328-2025</t>
        </is>
      </c>
      <c r="B156" s="1" t="n">
        <v>45836.46289351852</v>
      </c>
      <c r="C156" s="1" t="n">
        <v>46117</v>
      </c>
      <c r="D156" t="inlineStr">
        <is>
          <t>VÄRMLANDS LÄN</t>
        </is>
      </c>
      <c r="E156" t="inlineStr">
        <is>
          <t>TORSBY</t>
        </is>
      </c>
      <c r="G156" t="n">
        <v>1.1</v>
      </c>
      <c r="H156" t="n">
        <v>0</v>
      </c>
      <c r="I156" t="n">
        <v>0</v>
      </c>
      <c r="J156" t="n">
        <v>1</v>
      </c>
      <c r="K156" t="n">
        <v>0</v>
      </c>
      <c r="L156" t="n">
        <v>0</v>
      </c>
      <c r="M156" t="n">
        <v>0</v>
      </c>
      <c r="N156" t="n">
        <v>0</v>
      </c>
      <c r="O156" t="n">
        <v>1</v>
      </c>
      <c r="P156" t="n">
        <v>0</v>
      </c>
      <c r="Q156" t="n">
        <v>1</v>
      </c>
      <c r="R156" s="2" t="inlineStr">
        <is>
          <t>Ullticka</t>
        </is>
      </c>
      <c r="S156">
        <f>HYPERLINK("https://klasma.github.io/Logging_1737/artfynd/A 32328-2025 artfynd.xlsx", "A 32328-2025")</f>
        <v/>
      </c>
      <c r="T156">
        <f>HYPERLINK("https://klasma.github.io/Logging_1737/kartor/A 32328-2025 karta.png", "A 32328-2025")</f>
        <v/>
      </c>
      <c r="V156">
        <f>HYPERLINK("https://klasma.github.io/Logging_1737/klagomål/A 32328-2025 FSC-klagomål.docx", "A 32328-2025")</f>
        <v/>
      </c>
      <c r="W156">
        <f>HYPERLINK("https://klasma.github.io/Logging_1737/klagomålsmail/A 32328-2025 FSC-klagomål mail.docx", "A 32328-2025")</f>
        <v/>
      </c>
      <c r="X156">
        <f>HYPERLINK("https://klasma.github.io/Logging_1737/tillsyn/A 32328-2025 tillsynsbegäran.docx", "A 32328-2025")</f>
        <v/>
      </c>
      <c r="Y156">
        <f>HYPERLINK("https://klasma.github.io/Logging_1737/tillsynsmail/A 32328-2025 tillsynsbegäran mail.docx", "A 32328-2025")</f>
        <v/>
      </c>
    </row>
    <row r="157" ht="15" customHeight="1">
      <c r="A157" t="inlineStr">
        <is>
          <t>A 19974-2021</t>
        </is>
      </c>
      <c r="B157" s="1" t="n">
        <v>44313.66451388889</v>
      </c>
      <c r="C157" s="1" t="n">
        <v>46117</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46117</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46117</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46117</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46117</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46117</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46117</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46117</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46117</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16303-2021</t>
        </is>
      </c>
      <c r="B166" s="1" t="n">
        <v>44292</v>
      </c>
      <c r="C166" s="1" t="n">
        <v>46117</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46117</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46117</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46117</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46117</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46117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46117</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46117</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46117</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46117</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20382-2022</t>
        </is>
      </c>
      <c r="B176" s="1" t="n">
        <v>44699</v>
      </c>
      <c r="C176" s="1" t="n">
        <v>46117</v>
      </c>
      <c r="D176" t="inlineStr">
        <is>
          <t>VÄRMLANDS LÄN</t>
        </is>
      </c>
      <c r="E176" t="inlineStr">
        <is>
          <t>TORSBY</t>
        </is>
      </c>
      <c r="G176" t="n">
        <v>14.3</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46117</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46117</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46117</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46117</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46117</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46117</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46117</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46117</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46117</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46117</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46117</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29717-2022</t>
        </is>
      </c>
      <c r="B188" s="1" t="n">
        <v>44755</v>
      </c>
      <c r="C188" s="1" t="n">
        <v>46117</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29721-2022</t>
        </is>
      </c>
      <c r="B189" s="1" t="n">
        <v>44755</v>
      </c>
      <c r="C189" s="1" t="n">
        <v>46117</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46117</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46117</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46117</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46117</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46117</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46117</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46117</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46117</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46117</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46117</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46117</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46117</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46117</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46117</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46117</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46117</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46117</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46117</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46117</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46117</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46117</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46117</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46117</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46117</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46117</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46117</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46117</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46117</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46117</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46117</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46117</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46117</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46117</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46117</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46117</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46117</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46117</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46117</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46117</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46117</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46117</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46117</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46117</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46117</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33959-2022</t>
        </is>
      </c>
      <c r="B234" s="1" t="n">
        <v>44790.6815625</v>
      </c>
      <c r="C234" s="1" t="n">
        <v>46117</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46117</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46117</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46117</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46117</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46117</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46117</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44018-2021</t>
        </is>
      </c>
      <c r="B241" s="1" t="n">
        <v>44434</v>
      </c>
      <c r="C241" s="1" t="n">
        <v>46117</v>
      </c>
      <c r="D241" t="inlineStr">
        <is>
          <t>VÄRMLANDS LÄN</t>
        </is>
      </c>
      <c r="E241" t="inlineStr">
        <is>
          <t>TORSBY</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46117</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46117</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46117</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46117</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46117</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46117</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46117</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46117</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46117</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20199-2021</t>
        </is>
      </c>
      <c r="B251" s="1" t="n">
        <v>44312</v>
      </c>
      <c r="C251" s="1" t="n">
        <v>46117</v>
      </c>
      <c r="D251" t="inlineStr">
        <is>
          <t>VÄRMLANDS LÄN</t>
        </is>
      </c>
      <c r="E251" t="inlineStr">
        <is>
          <t>TORSBY</t>
        </is>
      </c>
      <c r="G251" t="n">
        <v>11.4</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46117</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46117</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46117</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46117</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46117</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46117</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46117</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46117</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46117</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46117</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46117</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46117</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46117</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46117</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46117</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46117</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46117</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46117</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46117</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46117</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46117</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46117</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46117</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46117</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46117</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46117</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46117</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46117</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46117</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46117</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46117</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46117</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46117</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46117</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46117</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46117</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46117</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46117</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46117</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46117</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46117</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46117</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46117</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46117</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46117</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46117</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45445-2021</t>
        </is>
      </c>
      <c r="B298" s="1" t="n">
        <v>44440</v>
      </c>
      <c r="C298" s="1" t="n">
        <v>46117</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46117</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46117</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46117</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46117</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46117</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46117</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46117</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46117</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46117</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46117</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46117</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29495-2021</t>
        </is>
      </c>
      <c r="B310" s="1" t="n">
        <v>44361</v>
      </c>
      <c r="C310" s="1" t="n">
        <v>46117</v>
      </c>
      <c r="D310" t="inlineStr">
        <is>
          <t>VÄRMLANDS LÄN</t>
        </is>
      </c>
      <c r="E310" t="inlineStr">
        <is>
          <t>TORSBY</t>
        </is>
      </c>
      <c r="F310" t="inlineStr">
        <is>
          <t>Övriga Aktiebolag</t>
        </is>
      </c>
      <c r="G310" t="n">
        <v>38.2</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46117</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46117</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46117</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46117</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46117</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46117</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46117</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46117</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46117</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46117</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46117</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46117</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46117</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46117</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46117</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46117</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46117</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46117</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46117</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46117</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46117</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46117</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46117</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46117</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46117</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46117</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46117</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46117</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46117</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46117</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46117</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46117</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71084-2021</t>
        </is>
      </c>
      <c r="B343" s="1" t="n">
        <v>44538.96543981481</v>
      </c>
      <c r="C343" s="1" t="n">
        <v>46117</v>
      </c>
      <c r="D343" t="inlineStr">
        <is>
          <t>VÄRMLANDS LÄN</t>
        </is>
      </c>
      <c r="E343" t="inlineStr">
        <is>
          <t>TORSBY</t>
        </is>
      </c>
      <c r="G343" t="n">
        <v>1.8</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46117</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46117</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46117</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46117</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46117</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46117</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46117</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46117</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46117</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46117</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46117</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46117</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29457-2021</t>
        </is>
      </c>
      <c r="B356" s="1" t="n">
        <v>44361</v>
      </c>
      <c r="C356" s="1" t="n">
        <v>46117</v>
      </c>
      <c r="D356" t="inlineStr">
        <is>
          <t>VÄRMLANDS LÄN</t>
        </is>
      </c>
      <c r="E356" t="inlineStr">
        <is>
          <t>TORSBY</t>
        </is>
      </c>
      <c r="G356" t="n">
        <v>7.6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46117</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46117</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46117</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46117</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46117</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46117</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58869-2022</t>
        </is>
      </c>
      <c r="B363" s="1" t="n">
        <v>44903</v>
      </c>
      <c r="C363" s="1" t="n">
        <v>46117</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58951-2022</t>
        </is>
      </c>
      <c r="B364" s="1" t="n">
        <v>44903.65313657407</v>
      </c>
      <c r="C364" s="1" t="n">
        <v>46117</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46117</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522-2023</t>
        </is>
      </c>
      <c r="B366" s="1" t="n">
        <v>44930</v>
      </c>
      <c r="C366" s="1" t="n">
        <v>46117</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15465-2024</t>
        </is>
      </c>
      <c r="B367" s="1" t="n">
        <v>45401.47399305556</v>
      </c>
      <c r="C367" s="1" t="n">
        <v>46117</v>
      </c>
      <c r="D367" t="inlineStr">
        <is>
          <t>VÄRMLANDS LÄN</t>
        </is>
      </c>
      <c r="E367" t="inlineStr">
        <is>
          <t>TORSBY</t>
        </is>
      </c>
      <c r="F367" t="inlineStr">
        <is>
          <t>Bergvik skog väst AB</t>
        </is>
      </c>
      <c r="G367" t="n">
        <v>24.6</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46117</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46117</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46117</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48106-2023</t>
        </is>
      </c>
      <c r="B371" s="1" t="n">
        <v>45205.3434837963</v>
      </c>
      <c r="C371" s="1" t="n">
        <v>46117</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39780-2022</t>
        </is>
      </c>
      <c r="B372" s="1" t="n">
        <v>44819.46672453704</v>
      </c>
      <c r="C372" s="1" t="n">
        <v>46117</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34655-2022</t>
        </is>
      </c>
      <c r="B373" s="1" t="n">
        <v>44795</v>
      </c>
      <c r="C373" s="1" t="n">
        <v>46117</v>
      </c>
      <c r="D373" t="inlineStr">
        <is>
          <t>VÄRMLANDS LÄN</t>
        </is>
      </c>
      <c r="E373" t="inlineStr">
        <is>
          <t>TORSBY</t>
        </is>
      </c>
      <c r="G373" t="n">
        <v>12.8</v>
      </c>
      <c r="H373" t="n">
        <v>0</v>
      </c>
      <c r="I373" t="n">
        <v>0</v>
      </c>
      <c r="J373" t="n">
        <v>0</v>
      </c>
      <c r="K373" t="n">
        <v>0</v>
      </c>
      <c r="L373" t="n">
        <v>0</v>
      </c>
      <c r="M373" t="n">
        <v>0</v>
      </c>
      <c r="N373" t="n">
        <v>0</v>
      </c>
      <c r="O373" t="n">
        <v>0</v>
      </c>
      <c r="P373" t="n">
        <v>0</v>
      </c>
      <c r="Q373" t="n">
        <v>0</v>
      </c>
      <c r="R373" s="2" t="inlineStr"/>
    </row>
    <row r="374" ht="15" customHeight="1">
      <c r="A374" t="inlineStr">
        <is>
          <t>A 24696-2023</t>
        </is>
      </c>
      <c r="B374" s="1" t="n">
        <v>45084</v>
      </c>
      <c r="C374" s="1" t="n">
        <v>46117</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6863-2023</t>
        </is>
      </c>
      <c r="B375" s="1" t="n">
        <v>44964</v>
      </c>
      <c r="C375" s="1" t="n">
        <v>46117</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200-2025</t>
        </is>
      </c>
      <c r="B376" s="1" t="n">
        <v>45659.93418981481</v>
      </c>
      <c r="C376" s="1" t="n">
        <v>46117</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46117</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34378-2022</t>
        </is>
      </c>
      <c r="B378" s="1" t="n">
        <v>44792.48787037037</v>
      </c>
      <c r="C378" s="1" t="n">
        <v>46117</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16789-2024</t>
        </is>
      </c>
      <c r="B379" s="1" t="n">
        <v>45411</v>
      </c>
      <c r="C379" s="1" t="n">
        <v>46117</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46117</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46117</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46117</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2130-2024</t>
        </is>
      </c>
      <c r="B383" s="1" t="n">
        <v>45309.51518518518</v>
      </c>
      <c r="C383" s="1" t="n">
        <v>46117</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23423-2024</t>
        </is>
      </c>
      <c r="B384" s="1" t="n">
        <v>45453.60787037037</v>
      </c>
      <c r="C384" s="1" t="n">
        <v>46117</v>
      </c>
      <c r="D384" t="inlineStr">
        <is>
          <t>VÄRMLANDS LÄN</t>
        </is>
      </c>
      <c r="E384" t="inlineStr">
        <is>
          <t>TORSBY</t>
        </is>
      </c>
      <c r="G384" t="n">
        <v>3.1</v>
      </c>
      <c r="H384" t="n">
        <v>0</v>
      </c>
      <c r="I384" t="n">
        <v>0</v>
      </c>
      <c r="J384" t="n">
        <v>0</v>
      </c>
      <c r="K384" t="n">
        <v>0</v>
      </c>
      <c r="L384" t="n">
        <v>0</v>
      </c>
      <c r="M384" t="n">
        <v>0</v>
      </c>
      <c r="N384" t="n">
        <v>0</v>
      </c>
      <c r="O384" t="n">
        <v>0</v>
      </c>
      <c r="P384" t="n">
        <v>0</v>
      </c>
      <c r="Q384" t="n">
        <v>0</v>
      </c>
      <c r="R384" s="2" t="inlineStr"/>
    </row>
    <row r="385" ht="15" customHeight="1">
      <c r="A385" t="inlineStr">
        <is>
          <t>A 29375-2024</t>
        </is>
      </c>
      <c r="B385" s="1" t="n">
        <v>45483.58712962963</v>
      </c>
      <c r="C385" s="1" t="n">
        <v>46117</v>
      </c>
      <c r="D385" t="inlineStr">
        <is>
          <t>VÄRMLANDS LÄN</t>
        </is>
      </c>
      <c r="E385" t="inlineStr">
        <is>
          <t>TORSBY</t>
        </is>
      </c>
      <c r="G385" t="n">
        <v>1.2</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46117</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59080-2024</t>
        </is>
      </c>
      <c r="B387" s="1" t="n">
        <v>45637</v>
      </c>
      <c r="C387" s="1" t="n">
        <v>46117</v>
      </c>
      <c r="D387" t="inlineStr">
        <is>
          <t>VÄRMLANDS LÄN</t>
        </is>
      </c>
      <c r="E387" t="inlineStr">
        <is>
          <t>TORSBY</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17754-2025</t>
        </is>
      </c>
      <c r="B388" s="1" t="n">
        <v>45758</v>
      </c>
      <c r="C388" s="1" t="n">
        <v>46117</v>
      </c>
      <c r="D388" t="inlineStr">
        <is>
          <t>VÄRMLANDS LÄN</t>
        </is>
      </c>
      <c r="E388" t="inlineStr">
        <is>
          <t>TORSBY</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15450-2023</t>
        </is>
      </c>
      <c r="B389" s="1" t="n">
        <v>45020</v>
      </c>
      <c r="C389" s="1" t="n">
        <v>46117</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13285-2025</t>
        </is>
      </c>
      <c r="B390" s="1" t="n">
        <v>45735</v>
      </c>
      <c r="C390" s="1" t="n">
        <v>46117</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6317-2025</t>
        </is>
      </c>
      <c r="B391" s="1" t="n">
        <v>45698.74826388889</v>
      </c>
      <c r="C391" s="1" t="n">
        <v>46117</v>
      </c>
      <c r="D391" t="inlineStr">
        <is>
          <t>VÄRMLANDS LÄN</t>
        </is>
      </c>
      <c r="E391" t="inlineStr">
        <is>
          <t>TORSBY</t>
        </is>
      </c>
      <c r="G391" t="n">
        <v>5.8</v>
      </c>
      <c r="H391" t="n">
        <v>0</v>
      </c>
      <c r="I391" t="n">
        <v>0</v>
      </c>
      <c r="J391" t="n">
        <v>0</v>
      </c>
      <c r="K391" t="n">
        <v>0</v>
      </c>
      <c r="L391" t="n">
        <v>0</v>
      </c>
      <c r="M391" t="n">
        <v>0</v>
      </c>
      <c r="N391" t="n">
        <v>0</v>
      </c>
      <c r="O391" t="n">
        <v>0</v>
      </c>
      <c r="P391" t="n">
        <v>0</v>
      </c>
      <c r="Q391" t="n">
        <v>0</v>
      </c>
      <c r="R391" s="2" t="inlineStr"/>
    </row>
    <row r="392" ht="15" customHeight="1">
      <c r="A392" t="inlineStr">
        <is>
          <t>A 1275-2024</t>
        </is>
      </c>
      <c r="B392" s="1" t="n">
        <v>45302</v>
      </c>
      <c r="C392" s="1" t="n">
        <v>46117</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24261-2024</t>
        </is>
      </c>
      <c r="B393" s="1" t="n">
        <v>45457</v>
      </c>
      <c r="C393" s="1" t="n">
        <v>46117</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10583-2023</t>
        </is>
      </c>
      <c r="B394" s="1" t="n">
        <v>44988.36435185185</v>
      </c>
      <c r="C394" s="1" t="n">
        <v>46117</v>
      </c>
      <c r="D394" t="inlineStr">
        <is>
          <t>VÄRMLANDS LÄN</t>
        </is>
      </c>
      <c r="E394" t="inlineStr">
        <is>
          <t>TORSBY</t>
        </is>
      </c>
      <c r="G394" t="n">
        <v>3.6</v>
      </c>
      <c r="H394" t="n">
        <v>0</v>
      </c>
      <c r="I394" t="n">
        <v>0</v>
      </c>
      <c r="J394" t="n">
        <v>0</v>
      </c>
      <c r="K394" t="n">
        <v>0</v>
      </c>
      <c r="L394" t="n">
        <v>0</v>
      </c>
      <c r="M394" t="n">
        <v>0</v>
      </c>
      <c r="N394" t="n">
        <v>0</v>
      </c>
      <c r="O394" t="n">
        <v>0</v>
      </c>
      <c r="P394" t="n">
        <v>0</v>
      </c>
      <c r="Q394" t="n">
        <v>0</v>
      </c>
      <c r="R394" s="2" t="inlineStr"/>
    </row>
    <row r="395" ht="15" customHeight="1">
      <c r="A395" t="inlineStr">
        <is>
          <t>A 39260-2021</t>
        </is>
      </c>
      <c r="B395" s="1" t="n">
        <v>44413</v>
      </c>
      <c r="C395" s="1" t="n">
        <v>46117</v>
      </c>
      <c r="D395" t="inlineStr">
        <is>
          <t>VÄRMLANDS LÄN</t>
        </is>
      </c>
      <c r="E395" t="inlineStr">
        <is>
          <t>TORSBY</t>
        </is>
      </c>
      <c r="G395" t="n">
        <v>4.7</v>
      </c>
      <c r="H395" t="n">
        <v>0</v>
      </c>
      <c r="I395" t="n">
        <v>0</v>
      </c>
      <c r="J395" t="n">
        <v>0</v>
      </c>
      <c r="K395" t="n">
        <v>0</v>
      </c>
      <c r="L395" t="n">
        <v>0</v>
      </c>
      <c r="M395" t="n">
        <v>0</v>
      </c>
      <c r="N395" t="n">
        <v>0</v>
      </c>
      <c r="O395" t="n">
        <v>0</v>
      </c>
      <c r="P395" t="n">
        <v>0</v>
      </c>
      <c r="Q395" t="n">
        <v>0</v>
      </c>
      <c r="R395" s="2" t="inlineStr"/>
    </row>
    <row r="396" ht="15" customHeight="1">
      <c r="A396" t="inlineStr">
        <is>
          <t>A 33338-2024</t>
        </is>
      </c>
      <c r="B396" s="1" t="n">
        <v>45519</v>
      </c>
      <c r="C396" s="1" t="n">
        <v>46117</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73324-2021</t>
        </is>
      </c>
      <c r="B397" s="1" t="n">
        <v>44550</v>
      </c>
      <c r="C397" s="1" t="n">
        <v>46117</v>
      </c>
      <c r="D397" t="inlineStr">
        <is>
          <t>VÄRMLANDS LÄN</t>
        </is>
      </c>
      <c r="E397" t="inlineStr">
        <is>
          <t>TORSBY</t>
        </is>
      </c>
      <c r="G397" t="n">
        <v>9.9</v>
      </c>
      <c r="H397" t="n">
        <v>0</v>
      </c>
      <c r="I397" t="n">
        <v>0</v>
      </c>
      <c r="J397" t="n">
        <v>0</v>
      </c>
      <c r="K397" t="n">
        <v>0</v>
      </c>
      <c r="L397" t="n">
        <v>0</v>
      </c>
      <c r="M397" t="n">
        <v>0</v>
      </c>
      <c r="N397" t="n">
        <v>0</v>
      </c>
      <c r="O397" t="n">
        <v>0</v>
      </c>
      <c r="P397" t="n">
        <v>0</v>
      </c>
      <c r="Q397" t="n">
        <v>0</v>
      </c>
      <c r="R397" s="2" t="inlineStr"/>
    </row>
    <row r="398" ht="15" customHeight="1">
      <c r="A398" t="inlineStr">
        <is>
          <t>A 33656-2023</t>
        </is>
      </c>
      <c r="B398" s="1" t="n">
        <v>45132.57922453704</v>
      </c>
      <c r="C398" s="1" t="n">
        <v>46117</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56430-2024</t>
        </is>
      </c>
      <c r="B399" s="1" t="n">
        <v>45625</v>
      </c>
      <c r="C399" s="1" t="n">
        <v>46117</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21988-2023</t>
        </is>
      </c>
      <c r="B400" s="1" t="n">
        <v>45068</v>
      </c>
      <c r="C400" s="1" t="n">
        <v>46117</v>
      </c>
      <c r="D400" t="inlineStr">
        <is>
          <t>VÄRMLANDS LÄN</t>
        </is>
      </c>
      <c r="E400" t="inlineStr">
        <is>
          <t>TORSBY</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1700-2024</t>
        </is>
      </c>
      <c r="B401" s="1" t="n">
        <v>45307.37347222222</v>
      </c>
      <c r="C401" s="1" t="n">
        <v>46117</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39567-2024</t>
        </is>
      </c>
      <c r="B402" s="1" t="n">
        <v>45552.3584375</v>
      </c>
      <c r="C402" s="1" t="n">
        <v>46117</v>
      </c>
      <c r="D402" t="inlineStr">
        <is>
          <t>VÄRMLANDS LÄN</t>
        </is>
      </c>
      <c r="E402" t="inlineStr">
        <is>
          <t>TORSBY</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11050-2022</t>
        </is>
      </c>
      <c r="B403" s="1" t="n">
        <v>44628.60393518519</v>
      </c>
      <c r="C403" s="1" t="n">
        <v>46117</v>
      </c>
      <c r="D403" t="inlineStr">
        <is>
          <t>VÄRMLANDS LÄN</t>
        </is>
      </c>
      <c r="E403" t="inlineStr">
        <is>
          <t>TORSBY</t>
        </is>
      </c>
      <c r="G403" t="n">
        <v>4.9</v>
      </c>
      <c r="H403" t="n">
        <v>0</v>
      </c>
      <c r="I403" t="n">
        <v>0</v>
      </c>
      <c r="J403" t="n">
        <v>0</v>
      </c>
      <c r="K403" t="n">
        <v>0</v>
      </c>
      <c r="L403" t="n">
        <v>0</v>
      </c>
      <c r="M403" t="n">
        <v>0</v>
      </c>
      <c r="N403" t="n">
        <v>0</v>
      </c>
      <c r="O403" t="n">
        <v>0</v>
      </c>
      <c r="P403" t="n">
        <v>0</v>
      </c>
      <c r="Q403" t="n">
        <v>0</v>
      </c>
      <c r="R403" s="2" t="inlineStr"/>
    </row>
    <row r="404" ht="15" customHeight="1">
      <c r="A404" t="inlineStr">
        <is>
          <t>A 16425-2022</t>
        </is>
      </c>
      <c r="B404" s="1" t="n">
        <v>44671</v>
      </c>
      <c r="C404" s="1" t="n">
        <v>46117</v>
      </c>
      <c r="D404" t="inlineStr">
        <is>
          <t>VÄRMLANDS LÄN</t>
        </is>
      </c>
      <c r="E404" t="inlineStr">
        <is>
          <t>TORSBY</t>
        </is>
      </c>
      <c r="G404" t="n">
        <v>3</v>
      </c>
      <c r="H404" t="n">
        <v>0</v>
      </c>
      <c r="I404" t="n">
        <v>0</v>
      </c>
      <c r="J404" t="n">
        <v>0</v>
      </c>
      <c r="K404" t="n">
        <v>0</v>
      </c>
      <c r="L404" t="n">
        <v>0</v>
      </c>
      <c r="M404" t="n">
        <v>0</v>
      </c>
      <c r="N404" t="n">
        <v>0</v>
      </c>
      <c r="O404" t="n">
        <v>0</v>
      </c>
      <c r="P404" t="n">
        <v>0</v>
      </c>
      <c r="Q404" t="n">
        <v>0</v>
      </c>
      <c r="R404" s="2" t="inlineStr"/>
    </row>
    <row r="405" ht="15" customHeight="1">
      <c r="A405" t="inlineStr">
        <is>
          <t>A 43536-2023</t>
        </is>
      </c>
      <c r="B405" s="1" t="n">
        <v>45181</v>
      </c>
      <c r="C405" s="1" t="n">
        <v>46117</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47465-2024</t>
        </is>
      </c>
      <c r="B406" s="1" t="n">
        <v>45587</v>
      </c>
      <c r="C406" s="1" t="n">
        <v>46117</v>
      </c>
      <c r="D406" t="inlineStr">
        <is>
          <t>VÄRMLANDS LÄN</t>
        </is>
      </c>
      <c r="E406" t="inlineStr">
        <is>
          <t>TORSBY</t>
        </is>
      </c>
      <c r="F406" t="inlineStr">
        <is>
          <t>Övriga Aktiebolag</t>
        </is>
      </c>
      <c r="G406" t="n">
        <v>4.6</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46117</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46117</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46117</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46117</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46117</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492-2025</t>
        </is>
      </c>
      <c r="B412" s="1" t="n">
        <v>45664.46337962963</v>
      </c>
      <c r="C412" s="1" t="n">
        <v>46117</v>
      </c>
      <c r="D412" t="inlineStr">
        <is>
          <t>VÄRMLANDS LÄN</t>
        </is>
      </c>
      <c r="E412" t="inlineStr">
        <is>
          <t>TORSBY</t>
        </is>
      </c>
      <c r="G412" t="n">
        <v>6.9</v>
      </c>
      <c r="H412" t="n">
        <v>0</v>
      </c>
      <c r="I412" t="n">
        <v>0</v>
      </c>
      <c r="J412" t="n">
        <v>0</v>
      </c>
      <c r="K412" t="n">
        <v>0</v>
      </c>
      <c r="L412" t="n">
        <v>0</v>
      </c>
      <c r="M412" t="n">
        <v>0</v>
      </c>
      <c r="N412" t="n">
        <v>0</v>
      </c>
      <c r="O412" t="n">
        <v>0</v>
      </c>
      <c r="P412" t="n">
        <v>0</v>
      </c>
      <c r="Q412" t="n">
        <v>0</v>
      </c>
      <c r="R412" s="2" t="inlineStr"/>
    </row>
    <row r="413" ht="15" customHeight="1">
      <c r="A413" t="inlineStr">
        <is>
          <t>A 56240-2024</t>
        </is>
      </c>
      <c r="B413" s="1" t="n">
        <v>45624.63012731481</v>
      </c>
      <c r="C413" s="1" t="n">
        <v>46117</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66133-2021</t>
        </is>
      </c>
      <c r="B414" s="1" t="n">
        <v>44517</v>
      </c>
      <c r="C414" s="1" t="n">
        <v>46117</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17048-2025</t>
        </is>
      </c>
      <c r="B415" s="1" t="n">
        <v>45754</v>
      </c>
      <c r="C415" s="1" t="n">
        <v>46117</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17053-2025</t>
        </is>
      </c>
      <c r="B416" s="1" t="n">
        <v>45754</v>
      </c>
      <c r="C416" s="1" t="n">
        <v>46117</v>
      </c>
      <c r="D416" t="inlineStr">
        <is>
          <t>VÄRMLANDS LÄN</t>
        </is>
      </c>
      <c r="E416" t="inlineStr">
        <is>
          <t>TORSBY</t>
        </is>
      </c>
      <c r="G416" t="n">
        <v>3.7</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46117</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54618-2024</t>
        </is>
      </c>
      <c r="B418" s="1" t="n">
        <v>45617</v>
      </c>
      <c r="C418" s="1" t="n">
        <v>46117</v>
      </c>
      <c r="D418" t="inlineStr">
        <is>
          <t>VÄRMLANDS LÄN</t>
        </is>
      </c>
      <c r="E418" t="inlineStr">
        <is>
          <t>TORSBY</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36419-2024</t>
        </is>
      </c>
      <c r="B419" s="1" t="n">
        <v>45536.58380787037</v>
      </c>
      <c r="C419" s="1" t="n">
        <v>46117</v>
      </c>
      <c r="D419" t="inlineStr">
        <is>
          <t>VÄRMLANDS LÄN</t>
        </is>
      </c>
      <c r="E419" t="inlineStr">
        <is>
          <t>TORSBY</t>
        </is>
      </c>
      <c r="G419" t="n">
        <v>8.9</v>
      </c>
      <c r="H419" t="n">
        <v>0</v>
      </c>
      <c r="I419" t="n">
        <v>0</v>
      </c>
      <c r="J419" t="n">
        <v>0</v>
      </c>
      <c r="K419" t="n">
        <v>0</v>
      </c>
      <c r="L419" t="n">
        <v>0</v>
      </c>
      <c r="M419" t="n">
        <v>0</v>
      </c>
      <c r="N419" t="n">
        <v>0</v>
      </c>
      <c r="O419" t="n">
        <v>0</v>
      </c>
      <c r="P419" t="n">
        <v>0</v>
      </c>
      <c r="Q419" t="n">
        <v>0</v>
      </c>
      <c r="R419" s="2" t="inlineStr"/>
    </row>
    <row r="420" ht="15" customHeight="1">
      <c r="A420" t="inlineStr">
        <is>
          <t>A 18576-2025</t>
        </is>
      </c>
      <c r="B420" s="1" t="n">
        <v>45763</v>
      </c>
      <c r="C420" s="1" t="n">
        <v>46117</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18584-2025</t>
        </is>
      </c>
      <c r="B421" s="1" t="n">
        <v>45763.46973379629</v>
      </c>
      <c r="C421" s="1" t="n">
        <v>46117</v>
      </c>
      <c r="D421" t="inlineStr">
        <is>
          <t>VÄRMLANDS LÄN</t>
        </is>
      </c>
      <c r="E421" t="inlineStr">
        <is>
          <t>TORSBY</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58728-2021</t>
        </is>
      </c>
      <c r="B422" s="1" t="n">
        <v>44489</v>
      </c>
      <c r="C422" s="1" t="n">
        <v>46117</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46152-2024</t>
        </is>
      </c>
      <c r="B423" s="1" t="n">
        <v>45581</v>
      </c>
      <c r="C423" s="1" t="n">
        <v>46117</v>
      </c>
      <c r="D423" t="inlineStr">
        <is>
          <t>VÄRMLANDS LÄN</t>
        </is>
      </c>
      <c r="E423" t="inlineStr">
        <is>
          <t>TORSBY</t>
        </is>
      </c>
      <c r="G423" t="n">
        <v>2.5</v>
      </c>
      <c r="H423" t="n">
        <v>0</v>
      </c>
      <c r="I423" t="n">
        <v>0</v>
      </c>
      <c r="J423" t="n">
        <v>0</v>
      </c>
      <c r="K423" t="n">
        <v>0</v>
      </c>
      <c r="L423" t="n">
        <v>0</v>
      </c>
      <c r="M423" t="n">
        <v>0</v>
      </c>
      <c r="N423" t="n">
        <v>0</v>
      </c>
      <c r="O423" t="n">
        <v>0</v>
      </c>
      <c r="P423" t="n">
        <v>0</v>
      </c>
      <c r="Q423" t="n">
        <v>0</v>
      </c>
      <c r="R423" s="2" t="inlineStr"/>
    </row>
    <row r="424" ht="15" customHeight="1">
      <c r="A424" t="inlineStr">
        <is>
          <t>A 57469-2024</t>
        </is>
      </c>
      <c r="B424" s="1" t="n">
        <v>45630</v>
      </c>
      <c r="C424" s="1" t="n">
        <v>46117</v>
      </c>
      <c r="D424" t="inlineStr">
        <is>
          <t>VÄRMLANDS LÄN</t>
        </is>
      </c>
      <c r="E424" t="inlineStr">
        <is>
          <t>TORSBY</t>
        </is>
      </c>
      <c r="F424" t="inlineStr">
        <is>
          <t>Bergvik skog väst AB</t>
        </is>
      </c>
      <c r="G424" t="n">
        <v>12.8</v>
      </c>
      <c r="H424" t="n">
        <v>0</v>
      </c>
      <c r="I424" t="n">
        <v>0</v>
      </c>
      <c r="J424" t="n">
        <v>0</v>
      </c>
      <c r="K424" t="n">
        <v>0</v>
      </c>
      <c r="L424" t="n">
        <v>0</v>
      </c>
      <c r="M424" t="n">
        <v>0</v>
      </c>
      <c r="N424" t="n">
        <v>0</v>
      </c>
      <c r="O424" t="n">
        <v>0</v>
      </c>
      <c r="P424" t="n">
        <v>0</v>
      </c>
      <c r="Q424" t="n">
        <v>0</v>
      </c>
      <c r="R424" s="2" t="inlineStr"/>
    </row>
    <row r="425" ht="15" customHeight="1">
      <c r="A425" t="inlineStr">
        <is>
          <t>A 34093-2024</t>
        </is>
      </c>
      <c r="B425" s="1" t="n">
        <v>45523</v>
      </c>
      <c r="C425" s="1" t="n">
        <v>46117</v>
      </c>
      <c r="D425" t="inlineStr">
        <is>
          <t>VÄRMLANDS LÄN</t>
        </is>
      </c>
      <c r="E425" t="inlineStr">
        <is>
          <t>TORSBY</t>
        </is>
      </c>
      <c r="F425" t="inlineStr">
        <is>
          <t>Bergvik skog väst AB</t>
        </is>
      </c>
      <c r="G425" t="n">
        <v>5.9</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46117</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46117</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16309-2023</t>
        </is>
      </c>
      <c r="B428" s="1" t="n">
        <v>45028.58873842593</v>
      </c>
      <c r="C428" s="1" t="n">
        <v>46117</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13848-2024</t>
        </is>
      </c>
      <c r="B429" s="1" t="n">
        <v>45390</v>
      </c>
      <c r="C429" s="1" t="n">
        <v>46117</v>
      </c>
      <c r="D429" t="inlineStr">
        <is>
          <t>VÄRMLANDS LÄN</t>
        </is>
      </c>
      <c r="E429" t="inlineStr">
        <is>
          <t>TORSBY</t>
        </is>
      </c>
      <c r="G429" t="n">
        <v>4.5</v>
      </c>
      <c r="H429" t="n">
        <v>0</v>
      </c>
      <c r="I429" t="n">
        <v>0</v>
      </c>
      <c r="J429" t="n">
        <v>0</v>
      </c>
      <c r="K429" t="n">
        <v>0</v>
      </c>
      <c r="L429" t="n">
        <v>0</v>
      </c>
      <c r="M429" t="n">
        <v>0</v>
      </c>
      <c r="N429" t="n">
        <v>0</v>
      </c>
      <c r="O429" t="n">
        <v>0</v>
      </c>
      <c r="P429" t="n">
        <v>0</v>
      </c>
      <c r="Q429" t="n">
        <v>0</v>
      </c>
      <c r="R429" s="2" t="inlineStr"/>
    </row>
    <row r="430" ht="15" customHeight="1">
      <c r="A430" t="inlineStr">
        <is>
          <t>A 46456-2024</t>
        </is>
      </c>
      <c r="B430" s="1" t="n">
        <v>45582</v>
      </c>
      <c r="C430" s="1" t="n">
        <v>46117</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24182-2024</t>
        </is>
      </c>
      <c r="B431" s="1" t="n">
        <v>45456</v>
      </c>
      <c r="C431" s="1" t="n">
        <v>46117</v>
      </c>
      <c r="D431" t="inlineStr">
        <is>
          <t>VÄRMLANDS LÄN</t>
        </is>
      </c>
      <c r="E431" t="inlineStr">
        <is>
          <t>TORSBY</t>
        </is>
      </c>
      <c r="F431" t="inlineStr">
        <is>
          <t>Bergvik skog väst AB</t>
        </is>
      </c>
      <c r="G431" t="n">
        <v>28.9</v>
      </c>
      <c r="H431" t="n">
        <v>0</v>
      </c>
      <c r="I431" t="n">
        <v>0</v>
      </c>
      <c r="J431" t="n">
        <v>0</v>
      </c>
      <c r="K431" t="n">
        <v>0</v>
      </c>
      <c r="L431" t="n">
        <v>0</v>
      </c>
      <c r="M431" t="n">
        <v>0</v>
      </c>
      <c r="N431" t="n">
        <v>0</v>
      </c>
      <c r="O431" t="n">
        <v>0</v>
      </c>
      <c r="P431" t="n">
        <v>0</v>
      </c>
      <c r="Q431" t="n">
        <v>0</v>
      </c>
      <c r="R431" s="2" t="inlineStr"/>
    </row>
    <row r="432" ht="15" customHeight="1">
      <c r="A432" t="inlineStr">
        <is>
          <t>A 2203-2025</t>
        </is>
      </c>
      <c r="B432" s="1" t="n">
        <v>45672</v>
      </c>
      <c r="C432" s="1" t="n">
        <v>46117</v>
      </c>
      <c r="D432" t="inlineStr">
        <is>
          <t>VÄRMLANDS LÄN</t>
        </is>
      </c>
      <c r="E432" t="inlineStr">
        <is>
          <t>TORSBY</t>
        </is>
      </c>
      <c r="G432" t="n">
        <v>11.3</v>
      </c>
      <c r="H432" t="n">
        <v>0</v>
      </c>
      <c r="I432" t="n">
        <v>0</v>
      </c>
      <c r="J432" t="n">
        <v>0</v>
      </c>
      <c r="K432" t="n">
        <v>0</v>
      </c>
      <c r="L432" t="n">
        <v>0</v>
      </c>
      <c r="M432" t="n">
        <v>0</v>
      </c>
      <c r="N432" t="n">
        <v>0</v>
      </c>
      <c r="O432" t="n">
        <v>0</v>
      </c>
      <c r="P432" t="n">
        <v>0</v>
      </c>
      <c r="Q432" t="n">
        <v>0</v>
      </c>
      <c r="R432" s="2" t="inlineStr"/>
    </row>
    <row r="433" ht="15" customHeight="1">
      <c r="A433" t="inlineStr">
        <is>
          <t>A 32845-2024</t>
        </is>
      </c>
      <c r="B433" s="1" t="n">
        <v>45516.62422453704</v>
      </c>
      <c r="C433" s="1" t="n">
        <v>46117</v>
      </c>
      <c r="D433" t="inlineStr">
        <is>
          <t>VÄRMLANDS LÄN</t>
        </is>
      </c>
      <c r="E433" t="inlineStr">
        <is>
          <t>TORSBY</t>
        </is>
      </c>
      <c r="F433" t="inlineStr">
        <is>
          <t>Bergvik skog väst AB</t>
        </is>
      </c>
      <c r="G433" t="n">
        <v>2.8</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46117</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15413-2023</t>
        </is>
      </c>
      <c r="B435" s="1" t="n">
        <v>45019</v>
      </c>
      <c r="C435" s="1" t="n">
        <v>46117</v>
      </c>
      <c r="D435" t="inlineStr">
        <is>
          <t>VÄRMLANDS LÄN</t>
        </is>
      </c>
      <c r="E435" t="inlineStr">
        <is>
          <t>TORSBY</t>
        </is>
      </c>
      <c r="G435" t="n">
        <v>17.1</v>
      </c>
      <c r="H435" t="n">
        <v>0</v>
      </c>
      <c r="I435" t="n">
        <v>0</v>
      </c>
      <c r="J435" t="n">
        <v>0</v>
      </c>
      <c r="K435" t="n">
        <v>0</v>
      </c>
      <c r="L435" t="n">
        <v>0</v>
      </c>
      <c r="M435" t="n">
        <v>0</v>
      </c>
      <c r="N435" t="n">
        <v>0</v>
      </c>
      <c r="O435" t="n">
        <v>0</v>
      </c>
      <c r="P435" t="n">
        <v>0</v>
      </c>
      <c r="Q435" t="n">
        <v>0</v>
      </c>
      <c r="R435" s="2" t="inlineStr"/>
    </row>
    <row r="436" ht="15" customHeight="1">
      <c r="A436" t="inlineStr">
        <is>
          <t>A 57172-2022</t>
        </is>
      </c>
      <c r="B436" s="1" t="n">
        <v>44895</v>
      </c>
      <c r="C436" s="1" t="n">
        <v>46117</v>
      </c>
      <c r="D436" t="inlineStr">
        <is>
          <t>VÄRMLANDS LÄN</t>
        </is>
      </c>
      <c r="E436" t="inlineStr">
        <is>
          <t>TORSBY</t>
        </is>
      </c>
      <c r="G436" t="n">
        <v>3.8</v>
      </c>
      <c r="H436" t="n">
        <v>0</v>
      </c>
      <c r="I436" t="n">
        <v>0</v>
      </c>
      <c r="J436" t="n">
        <v>0</v>
      </c>
      <c r="K436" t="n">
        <v>0</v>
      </c>
      <c r="L436" t="n">
        <v>0</v>
      </c>
      <c r="M436" t="n">
        <v>0</v>
      </c>
      <c r="N436" t="n">
        <v>0</v>
      </c>
      <c r="O436" t="n">
        <v>0</v>
      </c>
      <c r="P436" t="n">
        <v>0</v>
      </c>
      <c r="Q436" t="n">
        <v>0</v>
      </c>
      <c r="R436" s="2" t="inlineStr"/>
    </row>
    <row r="437" ht="15" customHeight="1">
      <c r="A437" t="inlineStr">
        <is>
          <t>A 3536-2024</t>
        </is>
      </c>
      <c r="B437" s="1" t="n">
        <v>45320</v>
      </c>
      <c r="C437" s="1" t="n">
        <v>46117</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53945-2023</t>
        </is>
      </c>
      <c r="B438" s="1" t="n">
        <v>45231.6009837963</v>
      </c>
      <c r="C438" s="1" t="n">
        <v>46117</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19662-2025</t>
        </is>
      </c>
      <c r="B439" s="1" t="n">
        <v>45770</v>
      </c>
      <c r="C439" s="1" t="n">
        <v>46117</v>
      </c>
      <c r="D439" t="inlineStr">
        <is>
          <t>VÄRMLANDS LÄN</t>
        </is>
      </c>
      <c r="E439" t="inlineStr">
        <is>
          <t>TORSBY</t>
        </is>
      </c>
      <c r="F439" t="inlineStr">
        <is>
          <t>Bergvik skog väst AB</t>
        </is>
      </c>
      <c r="G439" t="n">
        <v>11.6</v>
      </c>
      <c r="H439" t="n">
        <v>0</v>
      </c>
      <c r="I439" t="n">
        <v>0</v>
      </c>
      <c r="J439" t="n">
        <v>0</v>
      </c>
      <c r="K439" t="n">
        <v>0</v>
      </c>
      <c r="L439" t="n">
        <v>0</v>
      </c>
      <c r="M439" t="n">
        <v>0</v>
      </c>
      <c r="N439" t="n">
        <v>0</v>
      </c>
      <c r="O439" t="n">
        <v>0</v>
      </c>
      <c r="P439" t="n">
        <v>0</v>
      </c>
      <c r="Q439" t="n">
        <v>0</v>
      </c>
      <c r="R439" s="2" t="inlineStr"/>
    </row>
    <row r="440" ht="15" customHeight="1">
      <c r="A440" t="inlineStr">
        <is>
          <t>A 23843-2024</t>
        </is>
      </c>
      <c r="B440" s="1" t="n">
        <v>45455</v>
      </c>
      <c r="C440" s="1" t="n">
        <v>46117</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19763-2025</t>
        </is>
      </c>
      <c r="B441" s="1" t="n">
        <v>45771.40707175926</v>
      </c>
      <c r="C441" s="1" t="n">
        <v>46117</v>
      </c>
      <c r="D441" t="inlineStr">
        <is>
          <t>VÄRMLANDS LÄN</t>
        </is>
      </c>
      <c r="E441" t="inlineStr">
        <is>
          <t>TORSBY</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9793-2024</t>
        </is>
      </c>
      <c r="B442" s="1" t="n">
        <v>45362.71013888889</v>
      </c>
      <c r="C442" s="1" t="n">
        <v>46117</v>
      </c>
      <c r="D442" t="inlineStr">
        <is>
          <t>VÄRMLANDS LÄN</t>
        </is>
      </c>
      <c r="E442" t="inlineStr">
        <is>
          <t>TORSBY</t>
        </is>
      </c>
      <c r="G442" t="n">
        <v>6</v>
      </c>
      <c r="H442" t="n">
        <v>0</v>
      </c>
      <c r="I442" t="n">
        <v>0</v>
      </c>
      <c r="J442" t="n">
        <v>0</v>
      </c>
      <c r="K442" t="n">
        <v>0</v>
      </c>
      <c r="L442" t="n">
        <v>0</v>
      </c>
      <c r="M442" t="n">
        <v>0</v>
      </c>
      <c r="N442" t="n">
        <v>0</v>
      </c>
      <c r="O442" t="n">
        <v>0</v>
      </c>
      <c r="P442" t="n">
        <v>0</v>
      </c>
      <c r="Q442" t="n">
        <v>0</v>
      </c>
      <c r="R442" s="2" t="inlineStr"/>
    </row>
    <row r="443" ht="15" customHeight="1">
      <c r="A443" t="inlineStr">
        <is>
          <t>A 15768-2025</t>
        </is>
      </c>
      <c r="B443" s="1" t="n">
        <v>45748.58782407407</v>
      </c>
      <c r="C443" s="1" t="n">
        <v>46117</v>
      </c>
      <c r="D443" t="inlineStr">
        <is>
          <t>VÄRMLANDS LÄN</t>
        </is>
      </c>
      <c r="E443" t="inlineStr">
        <is>
          <t>TORSBY</t>
        </is>
      </c>
      <c r="G443" t="n">
        <v>1.8</v>
      </c>
      <c r="H443" t="n">
        <v>0</v>
      </c>
      <c r="I443" t="n">
        <v>0</v>
      </c>
      <c r="J443" t="n">
        <v>0</v>
      </c>
      <c r="K443" t="n">
        <v>0</v>
      </c>
      <c r="L443" t="n">
        <v>0</v>
      </c>
      <c r="M443" t="n">
        <v>0</v>
      </c>
      <c r="N443" t="n">
        <v>0</v>
      </c>
      <c r="O443" t="n">
        <v>0</v>
      </c>
      <c r="P443" t="n">
        <v>0</v>
      </c>
      <c r="Q443" t="n">
        <v>0</v>
      </c>
      <c r="R443" s="2" t="inlineStr"/>
    </row>
    <row r="444" ht="15" customHeight="1">
      <c r="A444" t="inlineStr">
        <is>
          <t>A 38257-2023</t>
        </is>
      </c>
      <c r="B444" s="1" t="n">
        <v>45161.58917824074</v>
      </c>
      <c r="C444" s="1" t="n">
        <v>46117</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46117</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46117</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47602-2021</t>
        </is>
      </c>
      <c r="B447" s="1" t="n">
        <v>44448</v>
      </c>
      <c r="C447" s="1" t="n">
        <v>46117</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46117</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46117</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46117</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46117</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46117</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40546-2024</t>
        </is>
      </c>
      <c r="B453" s="1" t="n">
        <v>45555</v>
      </c>
      <c r="C453" s="1" t="n">
        <v>46117</v>
      </c>
      <c r="D453" t="inlineStr">
        <is>
          <t>VÄRMLANDS LÄN</t>
        </is>
      </c>
      <c r="E453" t="inlineStr">
        <is>
          <t>TORSBY</t>
        </is>
      </c>
      <c r="F453" t="inlineStr">
        <is>
          <t>Bergvik skog väst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15931-2025</t>
        </is>
      </c>
      <c r="B454" s="1" t="n">
        <v>45749.46791666667</v>
      </c>
      <c r="C454" s="1" t="n">
        <v>46117</v>
      </c>
      <c r="D454" t="inlineStr">
        <is>
          <t>VÄRMLANDS LÄN</t>
        </is>
      </c>
      <c r="E454" t="inlineStr">
        <is>
          <t>TORSBY</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57785-2024</t>
        </is>
      </c>
      <c r="B455" s="1" t="n">
        <v>45631</v>
      </c>
      <c r="C455" s="1" t="n">
        <v>46117</v>
      </c>
      <c r="D455" t="inlineStr">
        <is>
          <t>VÄRMLANDS LÄN</t>
        </is>
      </c>
      <c r="E455" t="inlineStr">
        <is>
          <t>TORSBY</t>
        </is>
      </c>
      <c r="F455" t="inlineStr">
        <is>
          <t>Bergvik skog väst AB</t>
        </is>
      </c>
      <c r="G455" t="n">
        <v>10.9</v>
      </c>
      <c r="H455" t="n">
        <v>0</v>
      </c>
      <c r="I455" t="n">
        <v>0</v>
      </c>
      <c r="J455" t="n">
        <v>0</v>
      </c>
      <c r="K455" t="n">
        <v>0</v>
      </c>
      <c r="L455" t="n">
        <v>0</v>
      </c>
      <c r="M455" t="n">
        <v>0</v>
      </c>
      <c r="N455" t="n">
        <v>0</v>
      </c>
      <c r="O455" t="n">
        <v>0</v>
      </c>
      <c r="P455" t="n">
        <v>0</v>
      </c>
      <c r="Q455" t="n">
        <v>0</v>
      </c>
      <c r="R455" s="2" t="inlineStr"/>
    </row>
    <row r="456" ht="15" customHeight="1">
      <c r="A456" t="inlineStr">
        <is>
          <t>A 24876-2023</t>
        </is>
      </c>
      <c r="B456" s="1" t="n">
        <v>45085.42391203704</v>
      </c>
      <c r="C456" s="1" t="n">
        <v>46117</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54162-2023</t>
        </is>
      </c>
      <c r="B457" s="1" t="n">
        <v>45232.47539351852</v>
      </c>
      <c r="C457" s="1" t="n">
        <v>46117</v>
      </c>
      <c r="D457" t="inlineStr">
        <is>
          <t>VÄRMLANDS LÄN</t>
        </is>
      </c>
      <c r="E457" t="inlineStr">
        <is>
          <t>TORSBY</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46117</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54191-2023</t>
        </is>
      </c>
      <c r="B459" s="1" t="n">
        <v>45232</v>
      </c>
      <c r="C459" s="1" t="n">
        <v>46117</v>
      </c>
      <c r="D459" t="inlineStr">
        <is>
          <t>VÄRMLANDS LÄN</t>
        </is>
      </c>
      <c r="E459" t="inlineStr">
        <is>
          <t>TORSBY</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27144-2024</t>
        </is>
      </c>
      <c r="B460" s="1" t="n">
        <v>45471.55459490741</v>
      </c>
      <c r="C460" s="1" t="n">
        <v>46117</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26799-2024</t>
        </is>
      </c>
      <c r="B461" s="1" t="n">
        <v>45470.5071875</v>
      </c>
      <c r="C461" s="1" t="n">
        <v>46117</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27458-2023</t>
        </is>
      </c>
      <c r="B462" s="1" t="n">
        <v>45097</v>
      </c>
      <c r="C462" s="1" t="n">
        <v>46117</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57452-2022</t>
        </is>
      </c>
      <c r="B463" s="1" t="n">
        <v>44896.55787037037</v>
      </c>
      <c r="C463" s="1" t="n">
        <v>46117</v>
      </c>
      <c r="D463" t="inlineStr">
        <is>
          <t>VÄRMLANDS LÄN</t>
        </is>
      </c>
      <c r="E463" t="inlineStr">
        <is>
          <t>TORSBY</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25316-2024</t>
        </is>
      </c>
      <c r="B464" s="1" t="n">
        <v>45462</v>
      </c>
      <c r="C464" s="1" t="n">
        <v>46117</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21542-2024</t>
        </is>
      </c>
      <c r="B465" s="1" t="n">
        <v>45441</v>
      </c>
      <c r="C465" s="1" t="n">
        <v>46117</v>
      </c>
      <c r="D465" t="inlineStr">
        <is>
          <t>VÄRMLANDS LÄN</t>
        </is>
      </c>
      <c r="E465" t="inlineStr">
        <is>
          <t>TORSBY</t>
        </is>
      </c>
      <c r="G465" t="n">
        <v>3.7</v>
      </c>
      <c r="H465" t="n">
        <v>0</v>
      </c>
      <c r="I465" t="n">
        <v>0</v>
      </c>
      <c r="J465" t="n">
        <v>0</v>
      </c>
      <c r="K465" t="n">
        <v>0</v>
      </c>
      <c r="L465" t="n">
        <v>0</v>
      </c>
      <c r="M465" t="n">
        <v>0</v>
      </c>
      <c r="N465" t="n">
        <v>0</v>
      </c>
      <c r="O465" t="n">
        <v>0</v>
      </c>
      <c r="P465" t="n">
        <v>0</v>
      </c>
      <c r="Q465" t="n">
        <v>0</v>
      </c>
      <c r="R465" s="2" t="inlineStr"/>
    </row>
    <row r="466" ht="15" customHeight="1">
      <c r="A466" t="inlineStr">
        <is>
          <t>A 54023-2024</t>
        </is>
      </c>
      <c r="B466" s="1" t="n">
        <v>45616</v>
      </c>
      <c r="C466" s="1" t="n">
        <v>46117</v>
      </c>
      <c r="D466" t="inlineStr">
        <is>
          <t>VÄRMLANDS LÄN</t>
        </is>
      </c>
      <c r="E466" t="inlineStr">
        <is>
          <t>TORSBY</t>
        </is>
      </c>
      <c r="F466" t="inlineStr">
        <is>
          <t>Kommuner</t>
        </is>
      </c>
      <c r="G466" t="n">
        <v>3</v>
      </c>
      <c r="H466" t="n">
        <v>0</v>
      </c>
      <c r="I466" t="n">
        <v>0</v>
      </c>
      <c r="J466" t="n">
        <v>0</v>
      </c>
      <c r="K466" t="n">
        <v>0</v>
      </c>
      <c r="L466" t="n">
        <v>0</v>
      </c>
      <c r="M466" t="n">
        <v>0</v>
      </c>
      <c r="N466" t="n">
        <v>0</v>
      </c>
      <c r="O466" t="n">
        <v>0</v>
      </c>
      <c r="P466" t="n">
        <v>0</v>
      </c>
      <c r="Q466" t="n">
        <v>0</v>
      </c>
      <c r="R466" s="2" t="inlineStr"/>
    </row>
    <row r="467" ht="15" customHeight="1">
      <c r="A467" t="inlineStr">
        <is>
          <t>A 54027-2024</t>
        </is>
      </c>
      <c r="B467" s="1" t="n">
        <v>45616</v>
      </c>
      <c r="C467" s="1" t="n">
        <v>46117</v>
      </c>
      <c r="D467" t="inlineStr">
        <is>
          <t>VÄRMLANDS LÄN</t>
        </is>
      </c>
      <c r="E467" t="inlineStr">
        <is>
          <t>TORSBY</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9900-2024</t>
        </is>
      </c>
      <c r="B468" s="1" t="n">
        <v>45363</v>
      </c>
      <c r="C468" s="1" t="n">
        <v>46117</v>
      </c>
      <c r="D468" t="inlineStr">
        <is>
          <t>VÄRMLANDS LÄN</t>
        </is>
      </c>
      <c r="E468" t="inlineStr">
        <is>
          <t>TORSBY</t>
        </is>
      </c>
      <c r="G468" t="n">
        <v>13.6</v>
      </c>
      <c r="H468" t="n">
        <v>0</v>
      </c>
      <c r="I468" t="n">
        <v>0</v>
      </c>
      <c r="J468" t="n">
        <v>0</v>
      </c>
      <c r="K468" t="n">
        <v>0</v>
      </c>
      <c r="L468" t="n">
        <v>0</v>
      </c>
      <c r="M468" t="n">
        <v>0</v>
      </c>
      <c r="N468" t="n">
        <v>0</v>
      </c>
      <c r="O468" t="n">
        <v>0</v>
      </c>
      <c r="P468" t="n">
        <v>0</v>
      </c>
      <c r="Q468" t="n">
        <v>0</v>
      </c>
      <c r="R468" s="2" t="inlineStr"/>
    </row>
    <row r="469" ht="15" customHeight="1">
      <c r="A469" t="inlineStr">
        <is>
          <t>A 55475-2022</t>
        </is>
      </c>
      <c r="B469" s="1" t="n">
        <v>44887.66210648148</v>
      </c>
      <c r="C469" s="1" t="n">
        <v>46117</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9902-2024</t>
        </is>
      </c>
      <c r="B470" s="1" t="n">
        <v>45363</v>
      </c>
      <c r="C470" s="1" t="n">
        <v>46117</v>
      </c>
      <c r="D470" t="inlineStr">
        <is>
          <t>VÄRMLANDS LÄN</t>
        </is>
      </c>
      <c r="E470" t="inlineStr">
        <is>
          <t>TORSBY</t>
        </is>
      </c>
      <c r="G470" t="n">
        <v>4.4</v>
      </c>
      <c r="H470" t="n">
        <v>0</v>
      </c>
      <c r="I470" t="n">
        <v>0</v>
      </c>
      <c r="J470" t="n">
        <v>0</v>
      </c>
      <c r="K470" t="n">
        <v>0</v>
      </c>
      <c r="L470" t="n">
        <v>0</v>
      </c>
      <c r="M470" t="n">
        <v>0</v>
      </c>
      <c r="N470" t="n">
        <v>0</v>
      </c>
      <c r="O470" t="n">
        <v>0</v>
      </c>
      <c r="P470" t="n">
        <v>0</v>
      </c>
      <c r="Q470" t="n">
        <v>0</v>
      </c>
      <c r="R470" s="2" t="inlineStr"/>
    </row>
    <row r="471" ht="15" customHeight="1">
      <c r="A471" t="inlineStr">
        <is>
          <t>A 10684-2024</t>
        </is>
      </c>
      <c r="B471" s="1" t="n">
        <v>45369.37938657407</v>
      </c>
      <c r="C471" s="1" t="n">
        <v>46117</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43538-2024</t>
        </is>
      </c>
      <c r="B472" s="1" t="n">
        <v>45569.36136574074</v>
      </c>
      <c r="C472" s="1" t="n">
        <v>46117</v>
      </c>
      <c r="D472" t="inlineStr">
        <is>
          <t>VÄRMLANDS LÄN</t>
        </is>
      </c>
      <c r="E472" t="inlineStr">
        <is>
          <t>TORSBY</t>
        </is>
      </c>
      <c r="F472" t="inlineStr">
        <is>
          <t>Bergvik skog väst AB</t>
        </is>
      </c>
      <c r="G472" t="n">
        <v>14.4</v>
      </c>
      <c r="H472" t="n">
        <v>0</v>
      </c>
      <c r="I472" t="n">
        <v>0</v>
      </c>
      <c r="J472" t="n">
        <v>0</v>
      </c>
      <c r="K472" t="n">
        <v>0</v>
      </c>
      <c r="L472" t="n">
        <v>0</v>
      </c>
      <c r="M472" t="n">
        <v>0</v>
      </c>
      <c r="N472" t="n">
        <v>0</v>
      </c>
      <c r="O472" t="n">
        <v>0</v>
      </c>
      <c r="P472" t="n">
        <v>0</v>
      </c>
      <c r="Q472" t="n">
        <v>0</v>
      </c>
      <c r="R472" s="2" t="inlineStr"/>
    </row>
    <row r="473" ht="15" customHeight="1">
      <c r="A473" t="inlineStr">
        <is>
          <t>A 1528-2025</t>
        </is>
      </c>
      <c r="B473" s="1" t="n">
        <v>45670</v>
      </c>
      <c r="C473" s="1" t="n">
        <v>46117</v>
      </c>
      <c r="D473" t="inlineStr">
        <is>
          <t>VÄRMLANDS LÄN</t>
        </is>
      </c>
      <c r="E473" t="inlineStr">
        <is>
          <t>TORSBY</t>
        </is>
      </c>
      <c r="G473" t="n">
        <v>7.4</v>
      </c>
      <c r="H473" t="n">
        <v>0</v>
      </c>
      <c r="I473" t="n">
        <v>0</v>
      </c>
      <c r="J473" t="n">
        <v>0</v>
      </c>
      <c r="K473" t="n">
        <v>0</v>
      </c>
      <c r="L473" t="n">
        <v>0</v>
      </c>
      <c r="M473" t="n">
        <v>0</v>
      </c>
      <c r="N473" t="n">
        <v>0</v>
      </c>
      <c r="O473" t="n">
        <v>0</v>
      </c>
      <c r="P473" t="n">
        <v>0</v>
      </c>
      <c r="Q473" t="n">
        <v>0</v>
      </c>
      <c r="R473" s="2" t="inlineStr"/>
    </row>
    <row r="474" ht="15" customHeight="1">
      <c r="A474" t="inlineStr">
        <is>
          <t>A 13791-2023</t>
        </is>
      </c>
      <c r="B474" s="1" t="n">
        <v>45005</v>
      </c>
      <c r="C474" s="1" t="n">
        <v>46117</v>
      </c>
      <c r="D474" t="inlineStr">
        <is>
          <t>VÄRMLANDS LÄN</t>
        </is>
      </c>
      <c r="E474" t="inlineStr">
        <is>
          <t>TORSBY</t>
        </is>
      </c>
      <c r="G474" t="n">
        <v>3.5</v>
      </c>
      <c r="H474" t="n">
        <v>0</v>
      </c>
      <c r="I474" t="n">
        <v>0</v>
      </c>
      <c r="J474" t="n">
        <v>0</v>
      </c>
      <c r="K474" t="n">
        <v>0</v>
      </c>
      <c r="L474" t="n">
        <v>0</v>
      </c>
      <c r="M474" t="n">
        <v>0</v>
      </c>
      <c r="N474" t="n">
        <v>0</v>
      </c>
      <c r="O474" t="n">
        <v>0</v>
      </c>
      <c r="P474" t="n">
        <v>0</v>
      </c>
      <c r="Q474" t="n">
        <v>0</v>
      </c>
      <c r="R474" s="2" t="inlineStr"/>
    </row>
    <row r="475" ht="15" customHeight="1">
      <c r="A475" t="inlineStr">
        <is>
          <t>A 55839-2024</t>
        </is>
      </c>
      <c r="B475" s="1" t="n">
        <v>45623.49502314815</v>
      </c>
      <c r="C475" s="1" t="n">
        <v>46117</v>
      </c>
      <c r="D475" t="inlineStr">
        <is>
          <t>VÄRMLANDS LÄN</t>
        </is>
      </c>
      <c r="E475" t="inlineStr">
        <is>
          <t>TORSBY</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3672-2024</t>
        </is>
      </c>
      <c r="B476" s="1" t="n">
        <v>45321.36465277777</v>
      </c>
      <c r="C476" s="1" t="n">
        <v>46117</v>
      </c>
      <c r="D476" t="inlineStr">
        <is>
          <t>VÄRMLANDS LÄN</t>
        </is>
      </c>
      <c r="E476" t="inlineStr">
        <is>
          <t>TORSBY</t>
        </is>
      </c>
      <c r="G476" t="n">
        <v>1.5</v>
      </c>
      <c r="H476" t="n">
        <v>0</v>
      </c>
      <c r="I476" t="n">
        <v>0</v>
      </c>
      <c r="J476" t="n">
        <v>0</v>
      </c>
      <c r="K476" t="n">
        <v>0</v>
      </c>
      <c r="L476" t="n">
        <v>0</v>
      </c>
      <c r="M476" t="n">
        <v>0</v>
      </c>
      <c r="N476" t="n">
        <v>0</v>
      </c>
      <c r="O476" t="n">
        <v>0</v>
      </c>
      <c r="P476" t="n">
        <v>0</v>
      </c>
      <c r="Q476" t="n">
        <v>0</v>
      </c>
      <c r="R476" s="2" t="inlineStr"/>
    </row>
    <row r="477" ht="15" customHeight="1">
      <c r="A477" t="inlineStr">
        <is>
          <t>A 2155-2024</t>
        </is>
      </c>
      <c r="B477" s="1" t="n">
        <v>45309</v>
      </c>
      <c r="C477" s="1" t="n">
        <v>46117</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61251-2024</t>
        </is>
      </c>
      <c r="B478" s="1" t="n">
        <v>45645</v>
      </c>
      <c r="C478" s="1" t="n">
        <v>46117</v>
      </c>
      <c r="D478" t="inlineStr">
        <is>
          <t>VÄRMLANDS LÄN</t>
        </is>
      </c>
      <c r="E478" t="inlineStr">
        <is>
          <t>TORSBY</t>
        </is>
      </c>
      <c r="G478" t="n">
        <v>1.7</v>
      </c>
      <c r="H478" t="n">
        <v>0</v>
      </c>
      <c r="I478" t="n">
        <v>0</v>
      </c>
      <c r="J478" t="n">
        <v>0</v>
      </c>
      <c r="K478" t="n">
        <v>0</v>
      </c>
      <c r="L478" t="n">
        <v>0</v>
      </c>
      <c r="M478" t="n">
        <v>0</v>
      </c>
      <c r="N478" t="n">
        <v>0</v>
      </c>
      <c r="O478" t="n">
        <v>0</v>
      </c>
      <c r="P478" t="n">
        <v>0</v>
      </c>
      <c r="Q478" t="n">
        <v>0</v>
      </c>
      <c r="R478" s="2" t="inlineStr"/>
    </row>
    <row r="479" ht="15" customHeight="1">
      <c r="A479" t="inlineStr">
        <is>
          <t>A 61259-2024</t>
        </is>
      </c>
      <c r="B479" s="1" t="n">
        <v>45645.71188657408</v>
      </c>
      <c r="C479" s="1" t="n">
        <v>46117</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20168-2022</t>
        </is>
      </c>
      <c r="B480" s="1" t="n">
        <v>44698.50056712963</v>
      </c>
      <c r="C480" s="1" t="n">
        <v>46117</v>
      </c>
      <c r="D480" t="inlineStr">
        <is>
          <t>VÄRMLANDS LÄN</t>
        </is>
      </c>
      <c r="E480" t="inlineStr">
        <is>
          <t>TORSBY</t>
        </is>
      </c>
      <c r="G480" t="n">
        <v>6.6</v>
      </c>
      <c r="H480" t="n">
        <v>0</v>
      </c>
      <c r="I480" t="n">
        <v>0</v>
      </c>
      <c r="J480" t="n">
        <v>0</v>
      </c>
      <c r="K480" t="n">
        <v>0</v>
      </c>
      <c r="L480" t="n">
        <v>0</v>
      </c>
      <c r="M480" t="n">
        <v>0</v>
      </c>
      <c r="N480" t="n">
        <v>0</v>
      </c>
      <c r="O480" t="n">
        <v>0</v>
      </c>
      <c r="P480" t="n">
        <v>0</v>
      </c>
      <c r="Q480" t="n">
        <v>0</v>
      </c>
      <c r="R480" s="2" t="inlineStr"/>
    </row>
    <row r="481" ht="15" customHeight="1">
      <c r="A481" t="inlineStr">
        <is>
          <t>A 906-2025</t>
        </is>
      </c>
      <c r="B481" s="1" t="n">
        <v>45664</v>
      </c>
      <c r="C481" s="1" t="n">
        <v>46117</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8284-2023</t>
        </is>
      </c>
      <c r="B482" s="1" t="n">
        <v>44974.64714120371</v>
      </c>
      <c r="C482" s="1" t="n">
        <v>46117</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48239-2022</t>
        </is>
      </c>
      <c r="B483" s="1" t="n">
        <v>44858.45881944444</v>
      </c>
      <c r="C483" s="1" t="n">
        <v>46117</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26223-2021</t>
        </is>
      </c>
      <c r="B484" s="1" t="n">
        <v>44347</v>
      </c>
      <c r="C484" s="1" t="n">
        <v>46117</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16192-2025</t>
        </is>
      </c>
      <c r="B485" s="1" t="n">
        <v>45750.59760416667</v>
      </c>
      <c r="C485" s="1" t="n">
        <v>46117</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18330-2024</t>
        </is>
      </c>
      <c r="B486" s="1" t="n">
        <v>45422</v>
      </c>
      <c r="C486" s="1" t="n">
        <v>46117</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37913-2022</t>
        </is>
      </c>
      <c r="B487" s="1" t="n">
        <v>44811</v>
      </c>
      <c r="C487" s="1" t="n">
        <v>46117</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54204-2023</t>
        </is>
      </c>
      <c r="B488" s="1" t="n">
        <v>45232.56141203704</v>
      </c>
      <c r="C488" s="1" t="n">
        <v>46117</v>
      </c>
      <c r="D488" t="inlineStr">
        <is>
          <t>VÄRMLANDS LÄN</t>
        </is>
      </c>
      <c r="E488" t="inlineStr">
        <is>
          <t>TORSBY</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10473-2023</t>
        </is>
      </c>
      <c r="B489" s="1" t="n">
        <v>44981</v>
      </c>
      <c r="C489" s="1" t="n">
        <v>46117</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56902-2023</t>
        </is>
      </c>
      <c r="B490" s="1" t="n">
        <v>45244</v>
      </c>
      <c r="C490" s="1" t="n">
        <v>46117</v>
      </c>
      <c r="D490" t="inlineStr">
        <is>
          <t>VÄRMLANDS LÄN</t>
        </is>
      </c>
      <c r="E490" t="inlineStr">
        <is>
          <t>TORSBY</t>
        </is>
      </c>
      <c r="G490" t="n">
        <v>17.4</v>
      </c>
      <c r="H490" t="n">
        <v>0</v>
      </c>
      <c r="I490" t="n">
        <v>0</v>
      </c>
      <c r="J490" t="n">
        <v>0</v>
      </c>
      <c r="K490" t="n">
        <v>0</v>
      </c>
      <c r="L490" t="n">
        <v>0</v>
      </c>
      <c r="M490" t="n">
        <v>0</v>
      </c>
      <c r="N490" t="n">
        <v>0</v>
      </c>
      <c r="O490" t="n">
        <v>0</v>
      </c>
      <c r="P490" t="n">
        <v>0</v>
      </c>
      <c r="Q490" t="n">
        <v>0</v>
      </c>
      <c r="R490" s="2" t="inlineStr"/>
    </row>
    <row r="491" ht="15" customHeight="1">
      <c r="A491" t="inlineStr">
        <is>
          <t>A 18365-2025</t>
        </is>
      </c>
      <c r="B491" s="1" t="n">
        <v>45762</v>
      </c>
      <c r="C491" s="1" t="n">
        <v>46117</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62445-2023</t>
        </is>
      </c>
      <c r="B492" s="1" t="n">
        <v>45268.47487268518</v>
      </c>
      <c r="C492" s="1" t="n">
        <v>46117</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485-2025</t>
        </is>
      </c>
      <c r="B493" s="1" t="n">
        <v>45664</v>
      </c>
      <c r="C493" s="1" t="n">
        <v>46117</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2803-2025</t>
        </is>
      </c>
      <c r="B494" s="1" t="n">
        <v>45677</v>
      </c>
      <c r="C494" s="1" t="n">
        <v>46117</v>
      </c>
      <c r="D494" t="inlineStr">
        <is>
          <t>VÄRMLANDS LÄN</t>
        </is>
      </c>
      <c r="E494" t="inlineStr">
        <is>
          <t>TORSBY</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2807-2025</t>
        </is>
      </c>
      <c r="B495" s="1" t="n">
        <v>45677</v>
      </c>
      <c r="C495" s="1" t="n">
        <v>46117</v>
      </c>
      <c r="D495" t="inlineStr">
        <is>
          <t>VÄRMLANDS LÄN</t>
        </is>
      </c>
      <c r="E495" t="inlineStr">
        <is>
          <t>TORSBY</t>
        </is>
      </c>
      <c r="G495" t="n">
        <v>2.5</v>
      </c>
      <c r="H495" t="n">
        <v>0</v>
      </c>
      <c r="I495" t="n">
        <v>0</v>
      </c>
      <c r="J495" t="n">
        <v>0</v>
      </c>
      <c r="K495" t="n">
        <v>0</v>
      </c>
      <c r="L495" t="n">
        <v>0</v>
      </c>
      <c r="M495" t="n">
        <v>0</v>
      </c>
      <c r="N495" t="n">
        <v>0</v>
      </c>
      <c r="O495" t="n">
        <v>0</v>
      </c>
      <c r="P495" t="n">
        <v>0</v>
      </c>
      <c r="Q495" t="n">
        <v>0</v>
      </c>
      <c r="R495" s="2" t="inlineStr"/>
    </row>
    <row r="496" ht="15" customHeight="1">
      <c r="A496" t="inlineStr">
        <is>
          <t>A 3442-2025</t>
        </is>
      </c>
      <c r="B496" s="1" t="n">
        <v>45680.45114583334</v>
      </c>
      <c r="C496" s="1" t="n">
        <v>46117</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15169-2025</t>
        </is>
      </c>
      <c r="B497" s="1" t="n">
        <v>45744</v>
      </c>
      <c r="C497" s="1" t="n">
        <v>46117</v>
      </c>
      <c r="D497" t="inlineStr">
        <is>
          <t>VÄRMLANDS LÄN</t>
        </is>
      </c>
      <c r="E497" t="inlineStr">
        <is>
          <t>TORSBY</t>
        </is>
      </c>
      <c r="G497" t="n">
        <v>3.5</v>
      </c>
      <c r="H497" t="n">
        <v>0</v>
      </c>
      <c r="I497" t="n">
        <v>0</v>
      </c>
      <c r="J497" t="n">
        <v>0</v>
      </c>
      <c r="K497" t="n">
        <v>0</v>
      </c>
      <c r="L497" t="n">
        <v>0</v>
      </c>
      <c r="M497" t="n">
        <v>0</v>
      </c>
      <c r="N497" t="n">
        <v>0</v>
      </c>
      <c r="O497" t="n">
        <v>0</v>
      </c>
      <c r="P497" t="n">
        <v>0</v>
      </c>
      <c r="Q497" t="n">
        <v>0</v>
      </c>
      <c r="R497" s="2" t="inlineStr"/>
    </row>
    <row r="498" ht="15" customHeight="1">
      <c r="A498" t="inlineStr">
        <is>
          <t>A 12670-2023</t>
        </is>
      </c>
      <c r="B498" s="1" t="n">
        <v>45000.58043981482</v>
      </c>
      <c r="C498" s="1" t="n">
        <v>46117</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43529-2023</t>
        </is>
      </c>
      <c r="B499" s="1" t="n">
        <v>45181</v>
      </c>
      <c r="C499" s="1" t="n">
        <v>46117</v>
      </c>
      <c r="D499" t="inlineStr">
        <is>
          <t>VÄRMLANDS LÄN</t>
        </is>
      </c>
      <c r="E499" t="inlineStr">
        <is>
          <t>TORSBY</t>
        </is>
      </c>
      <c r="G499" t="n">
        <v>2.7</v>
      </c>
      <c r="H499" t="n">
        <v>0</v>
      </c>
      <c r="I499" t="n">
        <v>0</v>
      </c>
      <c r="J499" t="n">
        <v>0</v>
      </c>
      <c r="K499" t="n">
        <v>0</v>
      </c>
      <c r="L499" t="n">
        <v>0</v>
      </c>
      <c r="M499" t="n">
        <v>0</v>
      </c>
      <c r="N499" t="n">
        <v>0</v>
      </c>
      <c r="O499" t="n">
        <v>0</v>
      </c>
      <c r="P499" t="n">
        <v>0</v>
      </c>
      <c r="Q499" t="n">
        <v>0</v>
      </c>
      <c r="R499" s="2" t="inlineStr"/>
    </row>
    <row r="500" ht="15" customHeight="1">
      <c r="A500" t="inlineStr">
        <is>
          <t>A 38486-2022</t>
        </is>
      </c>
      <c r="B500" s="1" t="n">
        <v>44813</v>
      </c>
      <c r="C500" s="1" t="n">
        <v>46117</v>
      </c>
      <c r="D500" t="inlineStr">
        <is>
          <t>VÄRMLANDS LÄN</t>
        </is>
      </c>
      <c r="E500" t="inlineStr">
        <is>
          <t>TORSBY</t>
        </is>
      </c>
      <c r="F500" t="inlineStr">
        <is>
          <t>Bergvik skog väst AB</t>
        </is>
      </c>
      <c r="G500" t="n">
        <v>9.6</v>
      </c>
      <c r="H500" t="n">
        <v>0</v>
      </c>
      <c r="I500" t="n">
        <v>0</v>
      </c>
      <c r="J500" t="n">
        <v>0</v>
      </c>
      <c r="K500" t="n">
        <v>0</v>
      </c>
      <c r="L500" t="n">
        <v>0</v>
      </c>
      <c r="M500" t="n">
        <v>0</v>
      </c>
      <c r="N500" t="n">
        <v>0</v>
      </c>
      <c r="O500" t="n">
        <v>0</v>
      </c>
      <c r="P500" t="n">
        <v>0</v>
      </c>
      <c r="Q500" t="n">
        <v>0</v>
      </c>
      <c r="R500" s="2" t="inlineStr"/>
    </row>
    <row r="501" ht="15" customHeight="1">
      <c r="A501" t="inlineStr">
        <is>
          <t>A 18105-2022</t>
        </is>
      </c>
      <c r="B501" s="1" t="n">
        <v>44684</v>
      </c>
      <c r="C501" s="1" t="n">
        <v>46117</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11776-2024</t>
        </is>
      </c>
      <c r="B502" s="1" t="n">
        <v>45374</v>
      </c>
      <c r="C502" s="1" t="n">
        <v>46117</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31351-2024</t>
        </is>
      </c>
      <c r="B503" s="1" t="n">
        <v>45505</v>
      </c>
      <c r="C503" s="1" t="n">
        <v>46117</v>
      </c>
      <c r="D503" t="inlineStr">
        <is>
          <t>VÄRMLANDS LÄN</t>
        </is>
      </c>
      <c r="E503" t="inlineStr">
        <is>
          <t>TORSBY</t>
        </is>
      </c>
      <c r="F503" t="inlineStr">
        <is>
          <t>Kyrkan</t>
        </is>
      </c>
      <c r="G503" t="n">
        <v>6.5</v>
      </c>
      <c r="H503" t="n">
        <v>0</v>
      </c>
      <c r="I503" t="n">
        <v>0</v>
      </c>
      <c r="J503" t="n">
        <v>0</v>
      </c>
      <c r="K503" t="n">
        <v>0</v>
      </c>
      <c r="L503" t="n">
        <v>0</v>
      </c>
      <c r="M503" t="n">
        <v>0</v>
      </c>
      <c r="N503" t="n">
        <v>0</v>
      </c>
      <c r="O503" t="n">
        <v>0</v>
      </c>
      <c r="P503" t="n">
        <v>0</v>
      </c>
      <c r="Q503" t="n">
        <v>0</v>
      </c>
      <c r="R503" s="2" t="inlineStr"/>
    </row>
    <row r="504" ht="15" customHeight="1">
      <c r="A504" t="inlineStr">
        <is>
          <t>A 32332-2023</t>
        </is>
      </c>
      <c r="B504" s="1" t="n">
        <v>45110</v>
      </c>
      <c r="C504" s="1" t="n">
        <v>46117</v>
      </c>
      <c r="D504" t="inlineStr">
        <is>
          <t>VÄRMLANDS LÄN</t>
        </is>
      </c>
      <c r="E504" t="inlineStr">
        <is>
          <t>TORSBY</t>
        </is>
      </c>
      <c r="G504" t="n">
        <v>2</v>
      </c>
      <c r="H504" t="n">
        <v>0</v>
      </c>
      <c r="I504" t="n">
        <v>0</v>
      </c>
      <c r="J504" t="n">
        <v>0</v>
      </c>
      <c r="K504" t="n">
        <v>0</v>
      </c>
      <c r="L504" t="n">
        <v>0</v>
      </c>
      <c r="M504" t="n">
        <v>0</v>
      </c>
      <c r="N504" t="n">
        <v>0</v>
      </c>
      <c r="O504" t="n">
        <v>0</v>
      </c>
      <c r="P504" t="n">
        <v>0</v>
      </c>
      <c r="Q504" t="n">
        <v>0</v>
      </c>
      <c r="R504" s="2" t="inlineStr"/>
    </row>
    <row r="505" ht="15" customHeight="1">
      <c r="A505" t="inlineStr">
        <is>
          <t>A 40009-2022</t>
        </is>
      </c>
      <c r="B505" s="1" t="n">
        <v>44820</v>
      </c>
      <c r="C505" s="1" t="n">
        <v>46117</v>
      </c>
      <c r="D505" t="inlineStr">
        <is>
          <t>VÄRMLANDS LÄN</t>
        </is>
      </c>
      <c r="E505" t="inlineStr">
        <is>
          <t>TORSBY</t>
        </is>
      </c>
      <c r="G505" t="n">
        <v>4.8</v>
      </c>
      <c r="H505" t="n">
        <v>0</v>
      </c>
      <c r="I505" t="n">
        <v>0</v>
      </c>
      <c r="J505" t="n">
        <v>0</v>
      </c>
      <c r="K505" t="n">
        <v>0</v>
      </c>
      <c r="L505" t="n">
        <v>0</v>
      </c>
      <c r="M505" t="n">
        <v>0</v>
      </c>
      <c r="N505" t="n">
        <v>0</v>
      </c>
      <c r="O505" t="n">
        <v>0</v>
      </c>
      <c r="P505" t="n">
        <v>0</v>
      </c>
      <c r="Q505" t="n">
        <v>0</v>
      </c>
      <c r="R505" s="2" t="inlineStr"/>
    </row>
    <row r="506" ht="15" customHeight="1">
      <c r="A506" t="inlineStr">
        <is>
          <t>A 61428-2022</t>
        </is>
      </c>
      <c r="B506" s="1" t="n">
        <v>44910</v>
      </c>
      <c r="C506" s="1" t="n">
        <v>46117</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61432-2022</t>
        </is>
      </c>
      <c r="B507" s="1" t="n">
        <v>44910</v>
      </c>
      <c r="C507" s="1" t="n">
        <v>46117</v>
      </c>
      <c r="D507" t="inlineStr">
        <is>
          <t>VÄRMLANDS LÄN</t>
        </is>
      </c>
      <c r="E507" t="inlineStr">
        <is>
          <t>TORSBY</t>
        </is>
      </c>
      <c r="G507" t="n">
        <v>0.8</v>
      </c>
      <c r="H507" t="n">
        <v>0</v>
      </c>
      <c r="I507" t="n">
        <v>0</v>
      </c>
      <c r="J507" t="n">
        <v>0</v>
      </c>
      <c r="K507" t="n">
        <v>0</v>
      </c>
      <c r="L507" t="n">
        <v>0</v>
      </c>
      <c r="M507" t="n">
        <v>0</v>
      </c>
      <c r="N507" t="n">
        <v>0</v>
      </c>
      <c r="O507" t="n">
        <v>0</v>
      </c>
      <c r="P507" t="n">
        <v>0</v>
      </c>
      <c r="Q507" t="n">
        <v>0</v>
      </c>
      <c r="R507" s="2" t="inlineStr"/>
    </row>
    <row r="508" ht="15" customHeight="1">
      <c r="A508" t="inlineStr">
        <is>
          <t>A 61510-2022</t>
        </is>
      </c>
      <c r="B508" s="1" t="n">
        <v>44916.49820601852</v>
      </c>
      <c r="C508" s="1" t="n">
        <v>46117</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43732-2022</t>
        </is>
      </c>
      <c r="B509" s="1" t="n">
        <v>44837.69357638889</v>
      </c>
      <c r="C509" s="1" t="n">
        <v>46117</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1120-2023</t>
        </is>
      </c>
      <c r="B510" s="1" t="n">
        <v>44935</v>
      </c>
      <c r="C510" s="1" t="n">
        <v>46117</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43248-2022</t>
        </is>
      </c>
      <c r="B511" s="1" t="n">
        <v>44834</v>
      </c>
      <c r="C511" s="1" t="n">
        <v>46117</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56098-2024</t>
        </is>
      </c>
      <c r="B512" s="1" t="n">
        <v>45624.42371527778</v>
      </c>
      <c r="C512" s="1" t="n">
        <v>46117</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51144-2023</t>
        </is>
      </c>
      <c r="B513" s="1" t="n">
        <v>45212</v>
      </c>
      <c r="C513" s="1" t="n">
        <v>46117</v>
      </c>
      <c r="D513" t="inlineStr">
        <is>
          <t>VÄRMLANDS LÄN</t>
        </is>
      </c>
      <c r="E513" t="inlineStr">
        <is>
          <t>TORSBY</t>
        </is>
      </c>
      <c r="G513" t="n">
        <v>7.3</v>
      </c>
      <c r="H513" t="n">
        <v>0</v>
      </c>
      <c r="I513" t="n">
        <v>0</v>
      </c>
      <c r="J513" t="n">
        <v>0</v>
      </c>
      <c r="K513" t="n">
        <v>0</v>
      </c>
      <c r="L513" t="n">
        <v>0</v>
      </c>
      <c r="M513" t="n">
        <v>0</v>
      </c>
      <c r="N513" t="n">
        <v>0</v>
      </c>
      <c r="O513" t="n">
        <v>0</v>
      </c>
      <c r="P513" t="n">
        <v>0</v>
      </c>
      <c r="Q513" t="n">
        <v>0</v>
      </c>
      <c r="R513" s="2" t="inlineStr"/>
    </row>
    <row r="514" ht="15" customHeight="1">
      <c r="A514" t="inlineStr">
        <is>
          <t>A 39215-2022</t>
        </is>
      </c>
      <c r="B514" s="1" t="n">
        <v>44817</v>
      </c>
      <c r="C514" s="1" t="n">
        <v>46117</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39216-2022</t>
        </is>
      </c>
      <c r="B515" s="1" t="n">
        <v>44817</v>
      </c>
      <c r="C515" s="1" t="n">
        <v>46117</v>
      </c>
      <c r="D515" t="inlineStr">
        <is>
          <t>VÄRMLANDS LÄN</t>
        </is>
      </c>
      <c r="E515" t="inlineStr">
        <is>
          <t>TORSBY</t>
        </is>
      </c>
      <c r="G515" t="n">
        <v>6.6</v>
      </c>
      <c r="H515" t="n">
        <v>0</v>
      </c>
      <c r="I515" t="n">
        <v>0</v>
      </c>
      <c r="J515" t="n">
        <v>0</v>
      </c>
      <c r="K515" t="n">
        <v>0</v>
      </c>
      <c r="L515" t="n">
        <v>0</v>
      </c>
      <c r="M515" t="n">
        <v>0</v>
      </c>
      <c r="N515" t="n">
        <v>0</v>
      </c>
      <c r="O515" t="n">
        <v>0</v>
      </c>
      <c r="P515" t="n">
        <v>0</v>
      </c>
      <c r="Q515" t="n">
        <v>0</v>
      </c>
      <c r="R515" s="2" t="inlineStr"/>
    </row>
    <row r="516" ht="15" customHeight="1">
      <c r="A516" t="inlineStr">
        <is>
          <t>A 46471-2024</t>
        </is>
      </c>
      <c r="B516" s="1" t="n">
        <v>45582.5517824074</v>
      </c>
      <c r="C516" s="1" t="n">
        <v>46117</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38286-2023</t>
        </is>
      </c>
      <c r="B517" s="1" t="n">
        <v>45161.63807870371</v>
      </c>
      <c r="C517" s="1" t="n">
        <v>46117</v>
      </c>
      <c r="D517" t="inlineStr">
        <is>
          <t>VÄRMLANDS LÄN</t>
        </is>
      </c>
      <c r="E517" t="inlineStr">
        <is>
          <t>TORSBY</t>
        </is>
      </c>
      <c r="F517" t="inlineStr">
        <is>
          <t>Kyrkan</t>
        </is>
      </c>
      <c r="G517" t="n">
        <v>6.5</v>
      </c>
      <c r="H517" t="n">
        <v>0</v>
      </c>
      <c r="I517" t="n">
        <v>0</v>
      </c>
      <c r="J517" t="n">
        <v>0</v>
      </c>
      <c r="K517" t="n">
        <v>0</v>
      </c>
      <c r="L517" t="n">
        <v>0</v>
      </c>
      <c r="M517" t="n">
        <v>0</v>
      </c>
      <c r="N517" t="n">
        <v>0</v>
      </c>
      <c r="O517" t="n">
        <v>0</v>
      </c>
      <c r="P517" t="n">
        <v>0</v>
      </c>
      <c r="Q517" t="n">
        <v>0</v>
      </c>
      <c r="R517" s="2" t="inlineStr"/>
    </row>
    <row r="518" ht="15" customHeight="1">
      <c r="A518" t="inlineStr">
        <is>
          <t>A 5814-2024</t>
        </is>
      </c>
      <c r="B518" s="1" t="n">
        <v>45335</v>
      </c>
      <c r="C518" s="1" t="n">
        <v>46117</v>
      </c>
      <c r="D518" t="inlineStr">
        <is>
          <t>VÄRMLANDS LÄN</t>
        </is>
      </c>
      <c r="E518" t="inlineStr">
        <is>
          <t>TORSBY</t>
        </is>
      </c>
      <c r="G518" t="n">
        <v>3.1</v>
      </c>
      <c r="H518" t="n">
        <v>0</v>
      </c>
      <c r="I518" t="n">
        <v>0</v>
      </c>
      <c r="J518" t="n">
        <v>0</v>
      </c>
      <c r="K518" t="n">
        <v>0</v>
      </c>
      <c r="L518" t="n">
        <v>0</v>
      </c>
      <c r="M518" t="n">
        <v>0</v>
      </c>
      <c r="N518" t="n">
        <v>0</v>
      </c>
      <c r="O518" t="n">
        <v>0</v>
      </c>
      <c r="P518" t="n">
        <v>0</v>
      </c>
      <c r="Q518" t="n">
        <v>0</v>
      </c>
      <c r="R518" s="2" t="inlineStr"/>
    </row>
    <row r="519" ht="15" customHeight="1">
      <c r="A519" t="inlineStr">
        <is>
          <t>A 35609-2024</t>
        </is>
      </c>
      <c r="B519" s="1" t="n">
        <v>45531.68758101852</v>
      </c>
      <c r="C519" s="1" t="n">
        <v>46117</v>
      </c>
      <c r="D519" t="inlineStr">
        <is>
          <t>VÄRMLANDS LÄN</t>
        </is>
      </c>
      <c r="E519" t="inlineStr">
        <is>
          <t>TORSBY</t>
        </is>
      </c>
      <c r="G519" t="n">
        <v>38.3</v>
      </c>
      <c r="H519" t="n">
        <v>0</v>
      </c>
      <c r="I519" t="n">
        <v>0</v>
      </c>
      <c r="J519" t="n">
        <v>0</v>
      </c>
      <c r="K519" t="n">
        <v>0</v>
      </c>
      <c r="L519" t="n">
        <v>0</v>
      </c>
      <c r="M519" t="n">
        <v>0</v>
      </c>
      <c r="N519" t="n">
        <v>0</v>
      </c>
      <c r="O519" t="n">
        <v>0</v>
      </c>
      <c r="P519" t="n">
        <v>0</v>
      </c>
      <c r="Q519" t="n">
        <v>0</v>
      </c>
      <c r="R519" s="2" t="inlineStr"/>
    </row>
    <row r="520" ht="15" customHeight="1">
      <c r="A520" t="inlineStr">
        <is>
          <t>A 35132-2022</t>
        </is>
      </c>
      <c r="B520" s="1" t="n">
        <v>44797</v>
      </c>
      <c r="C520" s="1" t="n">
        <v>46117</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68153-2021</t>
        </is>
      </c>
      <c r="B521" s="1" t="n">
        <v>44526.43881944445</v>
      </c>
      <c r="C521" s="1" t="n">
        <v>46117</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235-2024</t>
        </is>
      </c>
      <c r="B522" s="1" t="n">
        <v>45294.85100694445</v>
      </c>
      <c r="C522" s="1" t="n">
        <v>46117</v>
      </c>
      <c r="D522" t="inlineStr">
        <is>
          <t>VÄRMLANDS LÄN</t>
        </is>
      </c>
      <c r="E522" t="inlineStr">
        <is>
          <t>TORSBY</t>
        </is>
      </c>
      <c r="G522" t="n">
        <v>0.8</v>
      </c>
      <c r="H522" t="n">
        <v>0</v>
      </c>
      <c r="I522" t="n">
        <v>0</v>
      </c>
      <c r="J522" t="n">
        <v>0</v>
      </c>
      <c r="K522" t="n">
        <v>0</v>
      </c>
      <c r="L522" t="n">
        <v>0</v>
      </c>
      <c r="M522" t="n">
        <v>0</v>
      </c>
      <c r="N522" t="n">
        <v>0</v>
      </c>
      <c r="O522" t="n">
        <v>0</v>
      </c>
      <c r="P522" t="n">
        <v>0</v>
      </c>
      <c r="Q522" t="n">
        <v>0</v>
      </c>
      <c r="R522" s="2" t="inlineStr"/>
    </row>
    <row r="523" ht="15" customHeight="1">
      <c r="A523" t="inlineStr">
        <is>
          <t>A 3409-2025</t>
        </is>
      </c>
      <c r="B523" s="1" t="n">
        <v>45680.39391203703</v>
      </c>
      <c r="C523" s="1" t="n">
        <v>46117</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40858-2023</t>
        </is>
      </c>
      <c r="B524" s="1" t="n">
        <v>45173.34709490741</v>
      </c>
      <c r="C524" s="1" t="n">
        <v>46117</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4537-2025</t>
        </is>
      </c>
      <c r="B525" s="1" t="n">
        <v>45687.38836805556</v>
      </c>
      <c r="C525" s="1" t="n">
        <v>46117</v>
      </c>
      <c r="D525" t="inlineStr">
        <is>
          <t>VÄRMLANDS LÄN</t>
        </is>
      </c>
      <c r="E525" t="inlineStr">
        <is>
          <t>TORSBY</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38979-2023</t>
        </is>
      </c>
      <c r="B526" s="1" t="n">
        <v>45163.64584490741</v>
      </c>
      <c r="C526" s="1" t="n">
        <v>46117</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29908-2022</t>
        </is>
      </c>
      <c r="B527" s="1" t="n">
        <v>44756</v>
      </c>
      <c r="C527" s="1" t="n">
        <v>46117</v>
      </c>
      <c r="D527" t="inlineStr">
        <is>
          <t>VÄRMLANDS LÄN</t>
        </is>
      </c>
      <c r="E527" t="inlineStr">
        <is>
          <t>TORSBY</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4640-2022</t>
        </is>
      </c>
      <c r="B528" s="1" t="n">
        <v>44592</v>
      </c>
      <c r="C528" s="1" t="n">
        <v>46117</v>
      </c>
      <c r="D528" t="inlineStr">
        <is>
          <t>VÄRMLANDS LÄN</t>
        </is>
      </c>
      <c r="E528" t="inlineStr">
        <is>
          <t>TORSBY</t>
        </is>
      </c>
      <c r="G528" t="n">
        <v>9</v>
      </c>
      <c r="H528" t="n">
        <v>0</v>
      </c>
      <c r="I528" t="n">
        <v>0</v>
      </c>
      <c r="J528" t="n">
        <v>0</v>
      </c>
      <c r="K528" t="n">
        <v>0</v>
      </c>
      <c r="L528" t="n">
        <v>0</v>
      </c>
      <c r="M528" t="n">
        <v>0</v>
      </c>
      <c r="N528" t="n">
        <v>0</v>
      </c>
      <c r="O528" t="n">
        <v>0</v>
      </c>
      <c r="P528" t="n">
        <v>0</v>
      </c>
      <c r="Q528" t="n">
        <v>0</v>
      </c>
      <c r="R528" s="2" t="inlineStr"/>
    </row>
    <row r="529" ht="15" customHeight="1">
      <c r="A529" t="inlineStr">
        <is>
          <t>A 54796-2024</t>
        </is>
      </c>
      <c r="B529" s="1" t="n">
        <v>45618</v>
      </c>
      <c r="C529" s="1" t="n">
        <v>46117</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35107-2024</t>
        </is>
      </c>
      <c r="B530" s="1" t="n">
        <v>45529.5588425926</v>
      </c>
      <c r="C530" s="1" t="n">
        <v>46117</v>
      </c>
      <c r="D530" t="inlineStr">
        <is>
          <t>VÄRMLANDS LÄN</t>
        </is>
      </c>
      <c r="E530" t="inlineStr">
        <is>
          <t>TORSBY</t>
        </is>
      </c>
      <c r="G530" t="n">
        <v>5.1</v>
      </c>
      <c r="H530" t="n">
        <v>0</v>
      </c>
      <c r="I530" t="n">
        <v>0</v>
      </c>
      <c r="J530" t="n">
        <v>0</v>
      </c>
      <c r="K530" t="n">
        <v>0</v>
      </c>
      <c r="L530" t="n">
        <v>0</v>
      </c>
      <c r="M530" t="n">
        <v>0</v>
      </c>
      <c r="N530" t="n">
        <v>0</v>
      </c>
      <c r="O530" t="n">
        <v>0</v>
      </c>
      <c r="P530" t="n">
        <v>0</v>
      </c>
      <c r="Q530" t="n">
        <v>0</v>
      </c>
      <c r="R530" s="2" t="inlineStr"/>
    </row>
    <row r="531" ht="15" customHeight="1">
      <c r="A531" t="inlineStr">
        <is>
          <t>A 57721-2022</t>
        </is>
      </c>
      <c r="B531" s="1" t="n">
        <v>44897.55278935185</v>
      </c>
      <c r="C531" s="1" t="n">
        <v>46117</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24708-2024</t>
        </is>
      </c>
      <c r="B532" s="1" t="n">
        <v>45460</v>
      </c>
      <c r="C532" s="1" t="n">
        <v>46117</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38062-2024</t>
        </is>
      </c>
      <c r="B533" s="1" t="n">
        <v>45544</v>
      </c>
      <c r="C533" s="1" t="n">
        <v>46117</v>
      </c>
      <c r="D533" t="inlineStr">
        <is>
          <t>VÄRMLANDS LÄN</t>
        </is>
      </c>
      <c r="E533" t="inlineStr">
        <is>
          <t>TORSBY</t>
        </is>
      </c>
      <c r="F533" t="inlineStr">
        <is>
          <t>Bergvik skog väst AB</t>
        </is>
      </c>
      <c r="G533" t="n">
        <v>7.9</v>
      </c>
      <c r="H533" t="n">
        <v>0</v>
      </c>
      <c r="I533" t="n">
        <v>0</v>
      </c>
      <c r="J533" t="n">
        <v>0</v>
      </c>
      <c r="K533" t="n">
        <v>0</v>
      </c>
      <c r="L533" t="n">
        <v>0</v>
      </c>
      <c r="M533" t="n">
        <v>0</v>
      </c>
      <c r="N533" t="n">
        <v>0</v>
      </c>
      <c r="O533" t="n">
        <v>0</v>
      </c>
      <c r="P533" t="n">
        <v>0</v>
      </c>
      <c r="Q533" t="n">
        <v>0</v>
      </c>
      <c r="R533" s="2" t="inlineStr"/>
    </row>
    <row r="534" ht="15" customHeight="1">
      <c r="A534" t="inlineStr">
        <is>
          <t>A 47452-2024</t>
        </is>
      </c>
      <c r="B534" s="1" t="n">
        <v>45587</v>
      </c>
      <c r="C534" s="1" t="n">
        <v>46117</v>
      </c>
      <c r="D534" t="inlineStr">
        <is>
          <t>VÄRMLANDS LÄN</t>
        </is>
      </c>
      <c r="E534" t="inlineStr">
        <is>
          <t>TORSBY</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52750-2024</t>
        </is>
      </c>
      <c r="B535" s="1" t="n">
        <v>45610</v>
      </c>
      <c r="C535" s="1" t="n">
        <v>46117</v>
      </c>
      <c r="D535" t="inlineStr">
        <is>
          <t>VÄRMLANDS LÄN</t>
        </is>
      </c>
      <c r="E535" t="inlineStr">
        <is>
          <t>TORSBY</t>
        </is>
      </c>
      <c r="F535" t="inlineStr">
        <is>
          <t>Kyrkan</t>
        </is>
      </c>
      <c r="G535" t="n">
        <v>7.7</v>
      </c>
      <c r="H535" t="n">
        <v>0</v>
      </c>
      <c r="I535" t="n">
        <v>0</v>
      </c>
      <c r="J535" t="n">
        <v>0</v>
      </c>
      <c r="K535" t="n">
        <v>0</v>
      </c>
      <c r="L535" t="n">
        <v>0</v>
      </c>
      <c r="M535" t="n">
        <v>0</v>
      </c>
      <c r="N535" t="n">
        <v>0</v>
      </c>
      <c r="O535" t="n">
        <v>0</v>
      </c>
      <c r="P535" t="n">
        <v>0</v>
      </c>
      <c r="Q535" t="n">
        <v>0</v>
      </c>
      <c r="R535" s="2" t="inlineStr"/>
    </row>
    <row r="536" ht="15" customHeight="1">
      <c r="A536" t="inlineStr">
        <is>
          <t>A 20120-2023</t>
        </is>
      </c>
      <c r="B536" s="1" t="n">
        <v>45055</v>
      </c>
      <c r="C536" s="1" t="n">
        <v>46117</v>
      </c>
      <c r="D536" t="inlineStr">
        <is>
          <t>VÄRMLANDS LÄN</t>
        </is>
      </c>
      <c r="E536" t="inlineStr">
        <is>
          <t>TORSBY</t>
        </is>
      </c>
      <c r="G536" t="n">
        <v>7.7</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46117</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46117</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29042-2023</t>
        </is>
      </c>
      <c r="B539" s="1" t="n">
        <v>45104</v>
      </c>
      <c r="C539" s="1" t="n">
        <v>46117</v>
      </c>
      <c r="D539" t="inlineStr">
        <is>
          <t>VÄRMLANDS LÄN</t>
        </is>
      </c>
      <c r="E539" t="inlineStr">
        <is>
          <t>TORSBY</t>
        </is>
      </c>
      <c r="G539" t="n">
        <v>2.8</v>
      </c>
      <c r="H539" t="n">
        <v>0</v>
      </c>
      <c r="I539" t="n">
        <v>0</v>
      </c>
      <c r="J539" t="n">
        <v>0</v>
      </c>
      <c r="K539" t="n">
        <v>0</v>
      </c>
      <c r="L539" t="n">
        <v>0</v>
      </c>
      <c r="M539" t="n">
        <v>0</v>
      </c>
      <c r="N539" t="n">
        <v>0</v>
      </c>
      <c r="O539" t="n">
        <v>0</v>
      </c>
      <c r="P539" t="n">
        <v>0</v>
      </c>
      <c r="Q539" t="n">
        <v>0</v>
      </c>
      <c r="R539" s="2" t="inlineStr"/>
    </row>
    <row r="540" ht="15" customHeight="1">
      <c r="A540" t="inlineStr">
        <is>
          <t>A 15175-2024</t>
        </is>
      </c>
      <c r="B540" s="1" t="n">
        <v>45400</v>
      </c>
      <c r="C540" s="1" t="n">
        <v>46117</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38252-2023</t>
        </is>
      </c>
      <c r="B541" s="1" t="n">
        <v>45161</v>
      </c>
      <c r="C541" s="1" t="n">
        <v>46117</v>
      </c>
      <c r="D541" t="inlineStr">
        <is>
          <t>VÄRMLANDS LÄN</t>
        </is>
      </c>
      <c r="E541" t="inlineStr">
        <is>
          <t>TORSBY</t>
        </is>
      </c>
      <c r="G541" t="n">
        <v>9.6</v>
      </c>
      <c r="H541" t="n">
        <v>0</v>
      </c>
      <c r="I541" t="n">
        <v>0</v>
      </c>
      <c r="J541" t="n">
        <v>0</v>
      </c>
      <c r="K541" t="n">
        <v>0</v>
      </c>
      <c r="L541" t="n">
        <v>0</v>
      </c>
      <c r="M541" t="n">
        <v>0</v>
      </c>
      <c r="N541" t="n">
        <v>0</v>
      </c>
      <c r="O541" t="n">
        <v>0</v>
      </c>
      <c r="P541" t="n">
        <v>0</v>
      </c>
      <c r="Q541" t="n">
        <v>0</v>
      </c>
      <c r="R541" s="2" t="inlineStr"/>
    </row>
    <row r="542" ht="15" customHeight="1">
      <c r="A542" t="inlineStr">
        <is>
          <t>A 55092-2022</t>
        </is>
      </c>
      <c r="B542" s="1" t="n">
        <v>44886.61493055556</v>
      </c>
      <c r="C542" s="1" t="n">
        <v>46117</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46117</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34105-2023</t>
        </is>
      </c>
      <c r="B544" s="1" t="n">
        <v>45126</v>
      </c>
      <c r="C544" s="1" t="n">
        <v>46117</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1527-2024</t>
        </is>
      </c>
      <c r="B545" s="1" t="n">
        <v>45306.45614583333</v>
      </c>
      <c r="C545" s="1" t="n">
        <v>46117</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22635-2022</t>
        </is>
      </c>
      <c r="B546" s="1" t="n">
        <v>44714</v>
      </c>
      <c r="C546" s="1" t="n">
        <v>46117</v>
      </c>
      <c r="D546" t="inlineStr">
        <is>
          <t>VÄRMLANDS LÄN</t>
        </is>
      </c>
      <c r="E546" t="inlineStr">
        <is>
          <t>TORSBY</t>
        </is>
      </c>
      <c r="G546" t="n">
        <v>0.4</v>
      </c>
      <c r="H546" t="n">
        <v>0</v>
      </c>
      <c r="I546" t="n">
        <v>0</v>
      </c>
      <c r="J546" t="n">
        <v>0</v>
      </c>
      <c r="K546" t="n">
        <v>0</v>
      </c>
      <c r="L546" t="n">
        <v>0</v>
      </c>
      <c r="M546" t="n">
        <v>0</v>
      </c>
      <c r="N546" t="n">
        <v>0</v>
      </c>
      <c r="O546" t="n">
        <v>0</v>
      </c>
      <c r="P546" t="n">
        <v>0</v>
      </c>
      <c r="Q546" t="n">
        <v>0</v>
      </c>
      <c r="R546" s="2" t="inlineStr"/>
    </row>
    <row r="547" ht="15" customHeight="1">
      <c r="A547" t="inlineStr">
        <is>
          <t>A 28598-2023</t>
        </is>
      </c>
      <c r="B547" s="1" t="n">
        <v>45103.57421296297</v>
      </c>
      <c r="C547" s="1" t="n">
        <v>46117</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60710-2024</t>
        </is>
      </c>
      <c r="B548" s="1" t="n">
        <v>45643</v>
      </c>
      <c r="C548" s="1" t="n">
        <v>46117</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35762-2024</t>
        </is>
      </c>
      <c r="B549" s="1" t="n">
        <v>45532.57373842593</v>
      </c>
      <c r="C549" s="1" t="n">
        <v>46117</v>
      </c>
      <c r="D549" t="inlineStr">
        <is>
          <t>VÄRMLANDS LÄN</t>
        </is>
      </c>
      <c r="E549" t="inlineStr">
        <is>
          <t>TORSBY</t>
        </is>
      </c>
      <c r="G549" t="n">
        <v>11.8</v>
      </c>
      <c r="H549" t="n">
        <v>0</v>
      </c>
      <c r="I549" t="n">
        <v>0</v>
      </c>
      <c r="J549" t="n">
        <v>0</v>
      </c>
      <c r="K549" t="n">
        <v>0</v>
      </c>
      <c r="L549" t="n">
        <v>0</v>
      </c>
      <c r="M549" t="n">
        <v>0</v>
      </c>
      <c r="N549" t="n">
        <v>0</v>
      </c>
      <c r="O549" t="n">
        <v>0</v>
      </c>
      <c r="P549" t="n">
        <v>0</v>
      </c>
      <c r="Q549" t="n">
        <v>0</v>
      </c>
      <c r="R549" s="2" t="inlineStr"/>
    </row>
    <row r="550" ht="15" customHeight="1">
      <c r="A550" t="inlineStr">
        <is>
          <t>A 24896-2023</t>
        </is>
      </c>
      <c r="B550" s="1" t="n">
        <v>45085</v>
      </c>
      <c r="C550" s="1" t="n">
        <v>46117</v>
      </c>
      <c r="D550" t="inlineStr">
        <is>
          <t>VÄRMLANDS LÄN</t>
        </is>
      </c>
      <c r="E550" t="inlineStr">
        <is>
          <t>TORSBY</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48629-2024</t>
        </is>
      </c>
      <c r="B551" s="1" t="n">
        <v>45593.46605324074</v>
      </c>
      <c r="C551" s="1" t="n">
        <v>46117</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53492-2022</t>
        </is>
      </c>
      <c r="B552" s="1" t="n">
        <v>44879.56734953704</v>
      </c>
      <c r="C552" s="1" t="n">
        <v>46117</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17687-2024</t>
        </is>
      </c>
      <c r="B553" s="1" t="n">
        <v>45418</v>
      </c>
      <c r="C553" s="1" t="n">
        <v>46117</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3864-2025</t>
        </is>
      </c>
      <c r="B554" s="1" t="n">
        <v>45684</v>
      </c>
      <c r="C554" s="1" t="n">
        <v>46117</v>
      </c>
      <c r="D554" t="inlineStr">
        <is>
          <t>VÄRMLANDS LÄN</t>
        </is>
      </c>
      <c r="E554" t="inlineStr">
        <is>
          <t>TORSBY</t>
        </is>
      </c>
      <c r="F554" t="inlineStr">
        <is>
          <t>Bergvik skog väst AB</t>
        </is>
      </c>
      <c r="G554" t="n">
        <v>8</v>
      </c>
      <c r="H554" t="n">
        <v>0</v>
      </c>
      <c r="I554" t="n">
        <v>0</v>
      </c>
      <c r="J554" t="n">
        <v>0</v>
      </c>
      <c r="K554" t="n">
        <v>0</v>
      </c>
      <c r="L554" t="n">
        <v>0</v>
      </c>
      <c r="M554" t="n">
        <v>0</v>
      </c>
      <c r="N554" t="n">
        <v>0</v>
      </c>
      <c r="O554" t="n">
        <v>0</v>
      </c>
      <c r="P554" t="n">
        <v>0</v>
      </c>
      <c r="Q554" t="n">
        <v>0</v>
      </c>
      <c r="R554" s="2" t="inlineStr"/>
    </row>
    <row r="555" ht="15" customHeight="1">
      <c r="A555" t="inlineStr">
        <is>
          <t>A 16210-2025</t>
        </is>
      </c>
      <c r="B555" s="1" t="n">
        <v>45750</v>
      </c>
      <c r="C555" s="1" t="n">
        <v>46117</v>
      </c>
      <c r="D555" t="inlineStr">
        <is>
          <t>VÄRMLANDS LÄN</t>
        </is>
      </c>
      <c r="E555" t="inlineStr">
        <is>
          <t>TORSBY</t>
        </is>
      </c>
      <c r="F555" t="inlineStr">
        <is>
          <t>Bergvik skog väst AB</t>
        </is>
      </c>
      <c r="G555" t="n">
        <v>10.7</v>
      </c>
      <c r="H555" t="n">
        <v>0</v>
      </c>
      <c r="I555" t="n">
        <v>0</v>
      </c>
      <c r="J555" t="n">
        <v>0</v>
      </c>
      <c r="K555" t="n">
        <v>0</v>
      </c>
      <c r="L555" t="n">
        <v>0</v>
      </c>
      <c r="M555" t="n">
        <v>0</v>
      </c>
      <c r="N555" t="n">
        <v>0</v>
      </c>
      <c r="O555" t="n">
        <v>0</v>
      </c>
      <c r="P555" t="n">
        <v>0</v>
      </c>
      <c r="Q555" t="n">
        <v>0</v>
      </c>
      <c r="R555" s="2" t="inlineStr"/>
    </row>
    <row r="556" ht="15" customHeight="1">
      <c r="A556" t="inlineStr">
        <is>
          <t>A 3666-2023</t>
        </is>
      </c>
      <c r="B556" s="1" t="n">
        <v>44950</v>
      </c>
      <c r="C556" s="1" t="n">
        <v>46117</v>
      </c>
      <c r="D556" t="inlineStr">
        <is>
          <t>VÄRMLANDS LÄN</t>
        </is>
      </c>
      <c r="E556" t="inlineStr">
        <is>
          <t>TORSBY</t>
        </is>
      </c>
      <c r="G556" t="n">
        <v>6.8</v>
      </c>
      <c r="H556" t="n">
        <v>0</v>
      </c>
      <c r="I556" t="n">
        <v>0</v>
      </c>
      <c r="J556" t="n">
        <v>0</v>
      </c>
      <c r="K556" t="n">
        <v>0</v>
      </c>
      <c r="L556" t="n">
        <v>0</v>
      </c>
      <c r="M556" t="n">
        <v>0</v>
      </c>
      <c r="N556" t="n">
        <v>0</v>
      </c>
      <c r="O556" t="n">
        <v>0</v>
      </c>
      <c r="P556" t="n">
        <v>0</v>
      </c>
      <c r="Q556" t="n">
        <v>0</v>
      </c>
      <c r="R556" s="2" t="inlineStr"/>
    </row>
    <row r="557" ht="15" customHeight="1">
      <c r="A557" t="inlineStr">
        <is>
          <t>A 38184-2024</t>
        </is>
      </c>
      <c r="B557" s="1" t="n">
        <v>45545</v>
      </c>
      <c r="C557" s="1" t="n">
        <v>46117</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25629-2024</t>
        </is>
      </c>
      <c r="B558" s="1" t="n">
        <v>45463</v>
      </c>
      <c r="C558" s="1" t="n">
        <v>46117</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67172-2021</t>
        </is>
      </c>
      <c r="B559" s="1" t="n">
        <v>44523.4271875</v>
      </c>
      <c r="C559" s="1" t="n">
        <v>46117</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53099-2024</t>
        </is>
      </c>
      <c r="B560" s="1" t="n">
        <v>45611.54206018519</v>
      </c>
      <c r="C560" s="1" t="n">
        <v>46117</v>
      </c>
      <c r="D560" t="inlineStr">
        <is>
          <t>VÄRMLANDS LÄN</t>
        </is>
      </c>
      <c r="E560" t="inlineStr">
        <is>
          <t>TORSBY</t>
        </is>
      </c>
      <c r="G560" t="n">
        <v>1.1</v>
      </c>
      <c r="H560" t="n">
        <v>0</v>
      </c>
      <c r="I560" t="n">
        <v>0</v>
      </c>
      <c r="J560" t="n">
        <v>0</v>
      </c>
      <c r="K560" t="n">
        <v>0</v>
      </c>
      <c r="L560" t="n">
        <v>0</v>
      </c>
      <c r="M560" t="n">
        <v>0</v>
      </c>
      <c r="N560" t="n">
        <v>0</v>
      </c>
      <c r="O560" t="n">
        <v>0</v>
      </c>
      <c r="P560" t="n">
        <v>0</v>
      </c>
      <c r="Q560" t="n">
        <v>0</v>
      </c>
      <c r="R560" s="2" t="inlineStr"/>
    </row>
    <row r="561" ht="15" customHeight="1">
      <c r="A561" t="inlineStr">
        <is>
          <t>A 3269-2025</t>
        </is>
      </c>
      <c r="B561" s="1" t="n">
        <v>45679.58148148148</v>
      </c>
      <c r="C561" s="1" t="n">
        <v>46117</v>
      </c>
      <c r="D561" t="inlineStr">
        <is>
          <t>VÄRMLANDS LÄN</t>
        </is>
      </c>
      <c r="E561" t="inlineStr">
        <is>
          <t>TORSBY</t>
        </is>
      </c>
      <c r="G561" t="n">
        <v>6.9</v>
      </c>
      <c r="H561" t="n">
        <v>0</v>
      </c>
      <c r="I561" t="n">
        <v>0</v>
      </c>
      <c r="J561" t="n">
        <v>0</v>
      </c>
      <c r="K561" t="n">
        <v>0</v>
      </c>
      <c r="L561" t="n">
        <v>0</v>
      </c>
      <c r="M561" t="n">
        <v>0</v>
      </c>
      <c r="N561" t="n">
        <v>0</v>
      </c>
      <c r="O561" t="n">
        <v>0</v>
      </c>
      <c r="P561" t="n">
        <v>0</v>
      </c>
      <c r="Q561" t="n">
        <v>0</v>
      </c>
      <c r="R561" s="2" t="inlineStr"/>
    </row>
    <row r="562" ht="15" customHeight="1">
      <c r="A562" t="inlineStr">
        <is>
          <t>A 5289-2022</t>
        </is>
      </c>
      <c r="B562" s="1" t="n">
        <v>44594.61883101852</v>
      </c>
      <c r="C562" s="1" t="n">
        <v>46117</v>
      </c>
      <c r="D562" t="inlineStr">
        <is>
          <t>VÄRMLANDS LÄN</t>
        </is>
      </c>
      <c r="E562" t="inlineStr">
        <is>
          <t>TORSBY</t>
        </is>
      </c>
      <c r="G562" t="n">
        <v>0.8</v>
      </c>
      <c r="H562" t="n">
        <v>0</v>
      </c>
      <c r="I562" t="n">
        <v>0</v>
      </c>
      <c r="J562" t="n">
        <v>0</v>
      </c>
      <c r="K562" t="n">
        <v>0</v>
      </c>
      <c r="L562" t="n">
        <v>0</v>
      </c>
      <c r="M562" t="n">
        <v>0</v>
      </c>
      <c r="N562" t="n">
        <v>0</v>
      </c>
      <c r="O562" t="n">
        <v>0</v>
      </c>
      <c r="P562" t="n">
        <v>0</v>
      </c>
      <c r="Q562" t="n">
        <v>0</v>
      </c>
      <c r="R562" s="2" t="inlineStr"/>
    </row>
    <row r="563" ht="15" customHeight="1">
      <c r="A563" t="inlineStr">
        <is>
          <t>A 7127-2023</t>
        </is>
      </c>
      <c r="B563" s="1" t="n">
        <v>44970.41383101852</v>
      </c>
      <c r="C563" s="1" t="n">
        <v>46117</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6968-2025</t>
        </is>
      </c>
      <c r="B564" s="1" t="n">
        <v>45701.53253472222</v>
      </c>
      <c r="C564" s="1" t="n">
        <v>46117</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30267-2023</t>
        </is>
      </c>
      <c r="B565" s="1" t="n">
        <v>45110.75915509259</v>
      </c>
      <c r="C565" s="1" t="n">
        <v>46117</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30269-2023</t>
        </is>
      </c>
      <c r="B566" s="1" t="n">
        <v>45110.76082175926</v>
      </c>
      <c r="C566" s="1" t="n">
        <v>46117</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70785-2021</t>
        </is>
      </c>
      <c r="B567" s="1" t="n">
        <v>44537</v>
      </c>
      <c r="C567" s="1" t="n">
        <v>46117</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16433-2023</t>
        </is>
      </c>
      <c r="B568" s="1" t="n">
        <v>45022</v>
      </c>
      <c r="C568" s="1" t="n">
        <v>46117</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35724-2022</t>
        </is>
      </c>
      <c r="B569" s="1" t="n">
        <v>44799</v>
      </c>
      <c r="C569" s="1" t="n">
        <v>46117</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6438-2022</t>
        </is>
      </c>
      <c r="B570" s="1" t="n">
        <v>44601.32209490741</v>
      </c>
      <c r="C570" s="1" t="n">
        <v>46117</v>
      </c>
      <c r="D570" t="inlineStr">
        <is>
          <t>VÄRMLANDS LÄN</t>
        </is>
      </c>
      <c r="E570" t="inlineStr">
        <is>
          <t>TORSBY</t>
        </is>
      </c>
      <c r="G570" t="n">
        <v>2.9</v>
      </c>
      <c r="H570" t="n">
        <v>0</v>
      </c>
      <c r="I570" t="n">
        <v>0</v>
      </c>
      <c r="J570" t="n">
        <v>0</v>
      </c>
      <c r="K570" t="n">
        <v>0</v>
      </c>
      <c r="L570" t="n">
        <v>0</v>
      </c>
      <c r="M570" t="n">
        <v>0</v>
      </c>
      <c r="N570" t="n">
        <v>0</v>
      </c>
      <c r="O570" t="n">
        <v>0</v>
      </c>
      <c r="P570" t="n">
        <v>0</v>
      </c>
      <c r="Q570" t="n">
        <v>0</v>
      </c>
      <c r="R570" s="2" t="inlineStr"/>
    </row>
    <row r="571" ht="15" customHeight="1">
      <c r="A571" t="inlineStr">
        <is>
          <t>A 19791-2025</t>
        </is>
      </c>
      <c r="B571" s="1" t="n">
        <v>45771.4452662037</v>
      </c>
      <c r="C571" s="1" t="n">
        <v>46117</v>
      </c>
      <c r="D571" t="inlineStr">
        <is>
          <t>VÄRMLANDS LÄN</t>
        </is>
      </c>
      <c r="E571" t="inlineStr">
        <is>
          <t>TORSBY</t>
        </is>
      </c>
      <c r="F571" t="inlineStr">
        <is>
          <t>Bergvik skog väst AB</t>
        </is>
      </c>
      <c r="G571" t="n">
        <v>2.8</v>
      </c>
      <c r="H571" t="n">
        <v>0</v>
      </c>
      <c r="I571" t="n">
        <v>0</v>
      </c>
      <c r="J571" t="n">
        <v>0</v>
      </c>
      <c r="K571" t="n">
        <v>0</v>
      </c>
      <c r="L571" t="n">
        <v>0</v>
      </c>
      <c r="M571" t="n">
        <v>0</v>
      </c>
      <c r="N571" t="n">
        <v>0</v>
      </c>
      <c r="O571" t="n">
        <v>0</v>
      </c>
      <c r="P571" t="n">
        <v>0</v>
      </c>
      <c r="Q571" t="n">
        <v>0</v>
      </c>
      <c r="R571" s="2" t="inlineStr"/>
    </row>
    <row r="572" ht="15" customHeight="1">
      <c r="A572" t="inlineStr">
        <is>
          <t>A 4172-2022</t>
        </is>
      </c>
      <c r="B572" s="1" t="n">
        <v>44588</v>
      </c>
      <c r="C572" s="1" t="n">
        <v>46117</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74375-2021</t>
        </is>
      </c>
      <c r="B573" s="1" t="n">
        <v>44559.71840277778</v>
      </c>
      <c r="C573" s="1" t="n">
        <v>46117</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45056-2022</t>
        </is>
      </c>
      <c r="B574" s="1" t="n">
        <v>44841.72731481482</v>
      </c>
      <c r="C574" s="1" t="n">
        <v>46117</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14120-2025</t>
        </is>
      </c>
      <c r="B575" s="1" t="n">
        <v>45740</v>
      </c>
      <c r="C575" s="1" t="n">
        <v>46117</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56107-2024</t>
        </is>
      </c>
      <c r="B576" s="1" t="n">
        <v>45624.44055555556</v>
      </c>
      <c r="C576" s="1" t="n">
        <v>46117</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42414-2024</t>
        </is>
      </c>
      <c r="B577" s="1" t="n">
        <v>45565</v>
      </c>
      <c r="C577" s="1" t="n">
        <v>46117</v>
      </c>
      <c r="D577" t="inlineStr">
        <is>
          <t>VÄRMLANDS LÄN</t>
        </is>
      </c>
      <c r="E577" t="inlineStr">
        <is>
          <t>TORSBY</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33782-2023</t>
        </is>
      </c>
      <c r="B578" s="1" t="n">
        <v>45120</v>
      </c>
      <c r="C578" s="1" t="n">
        <v>46117</v>
      </c>
      <c r="D578" t="inlineStr">
        <is>
          <t>VÄRMLANDS LÄN</t>
        </is>
      </c>
      <c r="E578" t="inlineStr">
        <is>
          <t>TORSBY</t>
        </is>
      </c>
      <c r="G578" t="n">
        <v>4.1</v>
      </c>
      <c r="H578" t="n">
        <v>0</v>
      </c>
      <c r="I578" t="n">
        <v>0</v>
      </c>
      <c r="J578" t="n">
        <v>0</v>
      </c>
      <c r="K578" t="n">
        <v>0</v>
      </c>
      <c r="L578" t="n">
        <v>0</v>
      </c>
      <c r="M578" t="n">
        <v>0</v>
      </c>
      <c r="N578" t="n">
        <v>0</v>
      </c>
      <c r="O578" t="n">
        <v>0</v>
      </c>
      <c r="P578" t="n">
        <v>0</v>
      </c>
      <c r="Q578" t="n">
        <v>0</v>
      </c>
      <c r="R578" s="2" t="inlineStr"/>
    </row>
    <row r="579" ht="15" customHeight="1">
      <c r="A579" t="inlineStr">
        <is>
          <t>A 41160-2023</t>
        </is>
      </c>
      <c r="B579" s="1" t="n">
        <v>45174</v>
      </c>
      <c r="C579" s="1" t="n">
        <v>46117</v>
      </c>
      <c r="D579" t="inlineStr">
        <is>
          <t>VÄRMLANDS LÄN</t>
        </is>
      </c>
      <c r="E579" t="inlineStr">
        <is>
          <t>TORSBY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26124-2024</t>
        </is>
      </c>
      <c r="B580" s="1" t="n">
        <v>45468</v>
      </c>
      <c r="C580" s="1" t="n">
        <v>46117</v>
      </c>
      <c r="D580" t="inlineStr">
        <is>
          <t>VÄRMLANDS LÄN</t>
        </is>
      </c>
      <c r="E580" t="inlineStr">
        <is>
          <t>TORSBY</t>
        </is>
      </c>
      <c r="G580" t="n">
        <v>5.7</v>
      </c>
      <c r="H580" t="n">
        <v>0</v>
      </c>
      <c r="I580" t="n">
        <v>0</v>
      </c>
      <c r="J580" t="n">
        <v>0</v>
      </c>
      <c r="K580" t="n">
        <v>0</v>
      </c>
      <c r="L580" t="n">
        <v>0</v>
      </c>
      <c r="M580" t="n">
        <v>0</v>
      </c>
      <c r="N580" t="n">
        <v>0</v>
      </c>
      <c r="O580" t="n">
        <v>0</v>
      </c>
      <c r="P580" t="n">
        <v>0</v>
      </c>
      <c r="Q580" t="n">
        <v>0</v>
      </c>
      <c r="R580" s="2" t="inlineStr"/>
    </row>
    <row r="581" ht="15" customHeight="1">
      <c r="A581" t="inlineStr">
        <is>
          <t>A 51843-2022</t>
        </is>
      </c>
      <c r="B581" s="1" t="n">
        <v>44872</v>
      </c>
      <c r="C581" s="1" t="n">
        <v>46117</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11878-2024</t>
        </is>
      </c>
      <c r="B582" s="1" t="n">
        <v>45376.47877314815</v>
      </c>
      <c r="C582" s="1" t="n">
        <v>46117</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56811-2023</t>
        </is>
      </c>
      <c r="B583" s="1" t="n">
        <v>45244</v>
      </c>
      <c r="C583" s="1" t="n">
        <v>46117</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6534-2025</t>
        </is>
      </c>
      <c r="B584" s="1" t="n">
        <v>45699</v>
      </c>
      <c r="C584" s="1" t="n">
        <v>46117</v>
      </c>
      <c r="D584" t="inlineStr">
        <is>
          <t>VÄRMLANDS LÄN</t>
        </is>
      </c>
      <c r="E584" t="inlineStr">
        <is>
          <t>TORSBY</t>
        </is>
      </c>
      <c r="F584" t="inlineStr">
        <is>
          <t>Kommuner</t>
        </is>
      </c>
      <c r="G584" t="n">
        <v>0.1</v>
      </c>
      <c r="H584" t="n">
        <v>0</v>
      </c>
      <c r="I584" t="n">
        <v>0</v>
      </c>
      <c r="J584" t="n">
        <v>0</v>
      </c>
      <c r="K584" t="n">
        <v>0</v>
      </c>
      <c r="L584" t="n">
        <v>0</v>
      </c>
      <c r="M584" t="n">
        <v>0</v>
      </c>
      <c r="N584" t="n">
        <v>0</v>
      </c>
      <c r="O584" t="n">
        <v>0</v>
      </c>
      <c r="P584" t="n">
        <v>0</v>
      </c>
      <c r="Q584" t="n">
        <v>0</v>
      </c>
      <c r="R584" s="2" t="inlineStr"/>
    </row>
    <row r="585" ht="15" customHeight="1">
      <c r="A585" t="inlineStr">
        <is>
          <t>A 7178-2025</t>
        </is>
      </c>
      <c r="B585" s="1" t="n">
        <v>45702.42493055556</v>
      </c>
      <c r="C585" s="1" t="n">
        <v>46117</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22634-2023</t>
        </is>
      </c>
      <c r="B586" s="1" t="n">
        <v>45071</v>
      </c>
      <c r="C586" s="1" t="n">
        <v>46117</v>
      </c>
      <c r="D586" t="inlineStr">
        <is>
          <t>VÄRMLANDS LÄN</t>
        </is>
      </c>
      <c r="E586" t="inlineStr">
        <is>
          <t>TORSBY</t>
        </is>
      </c>
      <c r="F586" t="inlineStr">
        <is>
          <t>Bergvik skog väst AB</t>
        </is>
      </c>
      <c r="G586" t="n">
        <v>0.2</v>
      </c>
      <c r="H586" t="n">
        <v>0</v>
      </c>
      <c r="I586" t="n">
        <v>0</v>
      </c>
      <c r="J586" t="n">
        <v>0</v>
      </c>
      <c r="K586" t="n">
        <v>0</v>
      </c>
      <c r="L586" t="n">
        <v>0</v>
      </c>
      <c r="M586" t="n">
        <v>0</v>
      </c>
      <c r="N586" t="n">
        <v>0</v>
      </c>
      <c r="O586" t="n">
        <v>0</v>
      </c>
      <c r="P586" t="n">
        <v>0</v>
      </c>
      <c r="Q586" t="n">
        <v>0</v>
      </c>
      <c r="R586" s="2" t="inlineStr"/>
    </row>
    <row r="587" ht="15" customHeight="1">
      <c r="A587" t="inlineStr">
        <is>
          <t>A 7214-2025</t>
        </is>
      </c>
      <c r="B587" s="1" t="n">
        <v>45702</v>
      </c>
      <c r="C587" s="1" t="n">
        <v>46117</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54766-2023</t>
        </is>
      </c>
      <c r="B588" s="1" t="n">
        <v>45236</v>
      </c>
      <c r="C588" s="1" t="n">
        <v>46117</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53381-2022</t>
        </is>
      </c>
      <c r="B589" s="1" t="n">
        <v>44879</v>
      </c>
      <c r="C589" s="1" t="n">
        <v>46117</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9381-2024</t>
        </is>
      </c>
      <c r="B590" s="1" t="n">
        <v>45359</v>
      </c>
      <c r="C590" s="1" t="n">
        <v>46117</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27347-2024</t>
        </is>
      </c>
      <c r="B591" s="1" t="n">
        <v>45473.59798611111</v>
      </c>
      <c r="C591" s="1" t="n">
        <v>46117</v>
      </c>
      <c r="D591" t="inlineStr">
        <is>
          <t>VÄRMLANDS LÄN</t>
        </is>
      </c>
      <c r="E591" t="inlineStr">
        <is>
          <t>TORSBY</t>
        </is>
      </c>
      <c r="G591" t="n">
        <v>1.2</v>
      </c>
      <c r="H591" t="n">
        <v>0</v>
      </c>
      <c r="I591" t="n">
        <v>0</v>
      </c>
      <c r="J591" t="n">
        <v>0</v>
      </c>
      <c r="K591" t="n">
        <v>0</v>
      </c>
      <c r="L591" t="n">
        <v>0</v>
      </c>
      <c r="M591" t="n">
        <v>0</v>
      </c>
      <c r="N591" t="n">
        <v>0</v>
      </c>
      <c r="O591" t="n">
        <v>0</v>
      </c>
      <c r="P591" t="n">
        <v>0</v>
      </c>
      <c r="Q591" t="n">
        <v>0</v>
      </c>
      <c r="R591" s="2" t="inlineStr"/>
    </row>
    <row r="592" ht="15" customHeight="1">
      <c r="A592" t="inlineStr">
        <is>
          <t>A 41377-2021</t>
        </is>
      </c>
      <c r="B592" s="1" t="n">
        <v>44424.65148148148</v>
      </c>
      <c r="C592" s="1" t="n">
        <v>46117</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58304-2024</t>
        </is>
      </c>
      <c r="B593" s="1" t="n">
        <v>45632</v>
      </c>
      <c r="C593" s="1" t="n">
        <v>46117</v>
      </c>
      <c r="D593" t="inlineStr">
        <is>
          <t>VÄRMLANDS LÄN</t>
        </is>
      </c>
      <c r="E593" t="inlineStr">
        <is>
          <t>TORSBY</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52940-2024</t>
        </is>
      </c>
      <c r="B594" s="1" t="n">
        <v>45610</v>
      </c>
      <c r="C594" s="1" t="n">
        <v>46117</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15398-2025</t>
        </is>
      </c>
      <c r="B595" s="1" t="n">
        <v>45747.44309027777</v>
      </c>
      <c r="C595" s="1" t="n">
        <v>46117</v>
      </c>
      <c r="D595" t="inlineStr">
        <is>
          <t>VÄRMLANDS LÄN</t>
        </is>
      </c>
      <c r="E595" t="inlineStr">
        <is>
          <t>TORSBY</t>
        </is>
      </c>
      <c r="G595" t="n">
        <v>8</v>
      </c>
      <c r="H595" t="n">
        <v>0</v>
      </c>
      <c r="I595" t="n">
        <v>0</v>
      </c>
      <c r="J595" t="n">
        <v>0</v>
      </c>
      <c r="K595" t="n">
        <v>0</v>
      </c>
      <c r="L595" t="n">
        <v>0</v>
      </c>
      <c r="M595" t="n">
        <v>0</v>
      </c>
      <c r="N595" t="n">
        <v>0</v>
      </c>
      <c r="O595" t="n">
        <v>0</v>
      </c>
      <c r="P595" t="n">
        <v>0</v>
      </c>
      <c r="Q595" t="n">
        <v>0</v>
      </c>
      <c r="R595" s="2" t="inlineStr"/>
    </row>
    <row r="596" ht="15" customHeight="1">
      <c r="A596" t="inlineStr">
        <is>
          <t>A 25949-2024</t>
        </is>
      </c>
      <c r="B596" s="1" t="n">
        <v>45467.6442824074</v>
      </c>
      <c r="C596" s="1" t="n">
        <v>46117</v>
      </c>
      <c r="D596" t="inlineStr">
        <is>
          <t>VÄRMLANDS LÄN</t>
        </is>
      </c>
      <c r="E596" t="inlineStr">
        <is>
          <t>TORSBY</t>
        </is>
      </c>
      <c r="F596" t="inlineStr">
        <is>
          <t>Bergvik skog väst AB</t>
        </is>
      </c>
      <c r="G596" t="n">
        <v>2.3</v>
      </c>
      <c r="H596" t="n">
        <v>0</v>
      </c>
      <c r="I596" t="n">
        <v>0</v>
      </c>
      <c r="J596" t="n">
        <v>0</v>
      </c>
      <c r="K596" t="n">
        <v>0</v>
      </c>
      <c r="L596" t="n">
        <v>0</v>
      </c>
      <c r="M596" t="n">
        <v>0</v>
      </c>
      <c r="N596" t="n">
        <v>0</v>
      </c>
      <c r="O596" t="n">
        <v>0</v>
      </c>
      <c r="P596" t="n">
        <v>0</v>
      </c>
      <c r="Q596" t="n">
        <v>0</v>
      </c>
      <c r="R596" s="2" t="inlineStr"/>
    </row>
    <row r="597" ht="15" customHeight="1">
      <c r="A597" t="inlineStr">
        <is>
          <t>A 20847-2023</t>
        </is>
      </c>
      <c r="B597" s="1" t="n">
        <v>45056</v>
      </c>
      <c r="C597" s="1" t="n">
        <v>46117</v>
      </c>
      <c r="D597" t="inlineStr">
        <is>
          <t>VÄRMLANDS LÄN</t>
        </is>
      </c>
      <c r="E597" t="inlineStr">
        <is>
          <t>TORSBY</t>
        </is>
      </c>
      <c r="G597" t="n">
        <v>13.9</v>
      </c>
      <c r="H597" t="n">
        <v>0</v>
      </c>
      <c r="I597" t="n">
        <v>0</v>
      </c>
      <c r="J597" t="n">
        <v>0</v>
      </c>
      <c r="K597" t="n">
        <v>0</v>
      </c>
      <c r="L597" t="n">
        <v>0</v>
      </c>
      <c r="M597" t="n">
        <v>0</v>
      </c>
      <c r="N597" t="n">
        <v>0</v>
      </c>
      <c r="O597" t="n">
        <v>0</v>
      </c>
      <c r="P597" t="n">
        <v>0</v>
      </c>
      <c r="Q597" t="n">
        <v>0</v>
      </c>
      <c r="R597" s="2" t="inlineStr"/>
    </row>
    <row r="598" ht="15" customHeight="1">
      <c r="A598" t="inlineStr">
        <is>
          <t>A 41504-2024</t>
        </is>
      </c>
      <c r="B598" s="1" t="n">
        <v>45560</v>
      </c>
      <c r="C598" s="1" t="n">
        <v>46117</v>
      </c>
      <c r="D598" t="inlineStr">
        <is>
          <t>VÄRMLANDS LÄN</t>
        </is>
      </c>
      <c r="E598" t="inlineStr">
        <is>
          <t>TORSBY</t>
        </is>
      </c>
      <c r="G598" t="n">
        <v>4.7</v>
      </c>
      <c r="H598" t="n">
        <v>0</v>
      </c>
      <c r="I598" t="n">
        <v>0</v>
      </c>
      <c r="J598" t="n">
        <v>0</v>
      </c>
      <c r="K598" t="n">
        <v>0</v>
      </c>
      <c r="L598" t="n">
        <v>0</v>
      </c>
      <c r="M598" t="n">
        <v>0</v>
      </c>
      <c r="N598" t="n">
        <v>0</v>
      </c>
      <c r="O598" t="n">
        <v>0</v>
      </c>
      <c r="P598" t="n">
        <v>0</v>
      </c>
      <c r="Q598" t="n">
        <v>0</v>
      </c>
      <c r="R598" s="2" t="inlineStr"/>
    </row>
    <row r="599" ht="15" customHeight="1">
      <c r="A599" t="inlineStr">
        <is>
          <t>A 41518-2024</t>
        </is>
      </c>
      <c r="B599" s="1" t="n">
        <v>45560</v>
      </c>
      <c r="C599" s="1" t="n">
        <v>46117</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7069-2022</t>
        </is>
      </c>
      <c r="B600" s="1" t="n">
        <v>44603</v>
      </c>
      <c r="C600" s="1" t="n">
        <v>46117</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21255-2023</t>
        </is>
      </c>
      <c r="B601" s="1" t="n">
        <v>45058</v>
      </c>
      <c r="C601" s="1" t="n">
        <v>46117</v>
      </c>
      <c r="D601" t="inlineStr">
        <is>
          <t>VÄRMLANDS LÄN</t>
        </is>
      </c>
      <c r="E601" t="inlineStr">
        <is>
          <t>TORSBY</t>
        </is>
      </c>
      <c r="G601" t="n">
        <v>3.6</v>
      </c>
      <c r="H601" t="n">
        <v>0</v>
      </c>
      <c r="I601" t="n">
        <v>0</v>
      </c>
      <c r="J601" t="n">
        <v>0</v>
      </c>
      <c r="K601" t="n">
        <v>0</v>
      </c>
      <c r="L601" t="n">
        <v>0</v>
      </c>
      <c r="M601" t="n">
        <v>0</v>
      </c>
      <c r="N601" t="n">
        <v>0</v>
      </c>
      <c r="O601" t="n">
        <v>0</v>
      </c>
      <c r="P601" t="n">
        <v>0</v>
      </c>
      <c r="Q601" t="n">
        <v>0</v>
      </c>
      <c r="R601" s="2" t="inlineStr"/>
    </row>
    <row r="602" ht="15" customHeight="1">
      <c r="A602" t="inlineStr">
        <is>
          <t>A 54777-2023</t>
        </is>
      </c>
      <c r="B602" s="1" t="n">
        <v>45236</v>
      </c>
      <c r="C602" s="1" t="n">
        <v>46117</v>
      </c>
      <c r="D602" t="inlineStr">
        <is>
          <t>VÄRMLANDS LÄN</t>
        </is>
      </c>
      <c r="E602" t="inlineStr">
        <is>
          <t>TORSBY</t>
        </is>
      </c>
      <c r="F602" t="inlineStr">
        <is>
          <t>Bergvik skog väst AB</t>
        </is>
      </c>
      <c r="G602" t="n">
        <v>7.9</v>
      </c>
      <c r="H602" t="n">
        <v>0</v>
      </c>
      <c r="I602" t="n">
        <v>0</v>
      </c>
      <c r="J602" t="n">
        <v>0</v>
      </c>
      <c r="K602" t="n">
        <v>0</v>
      </c>
      <c r="L602" t="n">
        <v>0</v>
      </c>
      <c r="M602" t="n">
        <v>0</v>
      </c>
      <c r="N602" t="n">
        <v>0</v>
      </c>
      <c r="O602" t="n">
        <v>0</v>
      </c>
      <c r="P602" t="n">
        <v>0</v>
      </c>
      <c r="Q602" t="n">
        <v>0</v>
      </c>
      <c r="R602" s="2" t="inlineStr"/>
    </row>
    <row r="603" ht="15" customHeight="1">
      <c r="A603" t="inlineStr">
        <is>
          <t>A 2387-2025</t>
        </is>
      </c>
      <c r="B603" s="1" t="n">
        <v>45674</v>
      </c>
      <c r="C603" s="1" t="n">
        <v>46117</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37401-2022</t>
        </is>
      </c>
      <c r="B604" s="1" t="n">
        <v>44809</v>
      </c>
      <c r="C604" s="1" t="n">
        <v>46117</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18595-2025</t>
        </is>
      </c>
      <c r="B605" s="1" t="n">
        <v>45763</v>
      </c>
      <c r="C605" s="1" t="n">
        <v>46117</v>
      </c>
      <c r="D605" t="inlineStr">
        <is>
          <t>VÄRMLANDS LÄN</t>
        </is>
      </c>
      <c r="E605" t="inlineStr">
        <is>
          <t>TORSBY</t>
        </is>
      </c>
      <c r="F605" t="inlineStr">
        <is>
          <t>Kyrkan</t>
        </is>
      </c>
      <c r="G605" t="n">
        <v>7.9</v>
      </c>
      <c r="H605" t="n">
        <v>0</v>
      </c>
      <c r="I605" t="n">
        <v>0</v>
      </c>
      <c r="J605" t="n">
        <v>0</v>
      </c>
      <c r="K605" t="n">
        <v>0</v>
      </c>
      <c r="L605" t="n">
        <v>0</v>
      </c>
      <c r="M605" t="n">
        <v>0</v>
      </c>
      <c r="N605" t="n">
        <v>0</v>
      </c>
      <c r="O605" t="n">
        <v>0</v>
      </c>
      <c r="P605" t="n">
        <v>0</v>
      </c>
      <c r="Q605" t="n">
        <v>0</v>
      </c>
      <c r="R605" s="2" t="inlineStr"/>
    </row>
    <row r="606" ht="15" customHeight="1">
      <c r="A606" t="inlineStr">
        <is>
          <t>A 32988-2024</t>
        </is>
      </c>
      <c r="B606" s="1" t="n">
        <v>45517.46616898148</v>
      </c>
      <c r="C606" s="1" t="n">
        <v>46117</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22421-2024</t>
        </is>
      </c>
      <c r="B607" s="1" t="n">
        <v>45446.70890046296</v>
      </c>
      <c r="C607" s="1" t="n">
        <v>46117</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62090-2024</t>
        </is>
      </c>
      <c r="B608" s="1" t="n">
        <v>45656</v>
      </c>
      <c r="C608" s="1" t="n">
        <v>46117</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62092-2024</t>
        </is>
      </c>
      <c r="B609" s="1" t="n">
        <v>45656</v>
      </c>
      <c r="C609" s="1" t="n">
        <v>46117</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59872-2023</t>
        </is>
      </c>
      <c r="B610" s="1" t="n">
        <v>45257.58666666667</v>
      </c>
      <c r="C610" s="1" t="n">
        <v>46117</v>
      </c>
      <c r="D610" t="inlineStr">
        <is>
          <t>VÄRMLANDS LÄN</t>
        </is>
      </c>
      <c r="E610" t="inlineStr">
        <is>
          <t>TORSBY</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43157-2021</t>
        </is>
      </c>
      <c r="B611" s="1" t="n">
        <v>44431</v>
      </c>
      <c r="C611" s="1" t="n">
        <v>46117</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34363-2025</t>
        </is>
      </c>
      <c r="B612" s="1" t="n">
        <v>45846.49144675926</v>
      </c>
      <c r="C612" s="1" t="n">
        <v>46117</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34370-2025</t>
        </is>
      </c>
      <c r="B613" s="1" t="n">
        <v>45846.51056712963</v>
      </c>
      <c r="C613" s="1" t="n">
        <v>46117</v>
      </c>
      <c r="D613" t="inlineStr">
        <is>
          <t>VÄRMLANDS LÄN</t>
        </is>
      </c>
      <c r="E613" t="inlineStr">
        <is>
          <t>TORSBY</t>
        </is>
      </c>
      <c r="G613" t="n">
        <v>4.6</v>
      </c>
      <c r="H613" t="n">
        <v>0</v>
      </c>
      <c r="I613" t="n">
        <v>0</v>
      </c>
      <c r="J613" t="n">
        <v>0</v>
      </c>
      <c r="K613" t="n">
        <v>0</v>
      </c>
      <c r="L613" t="n">
        <v>0</v>
      </c>
      <c r="M613" t="n">
        <v>0</v>
      </c>
      <c r="N613" t="n">
        <v>0</v>
      </c>
      <c r="O613" t="n">
        <v>0</v>
      </c>
      <c r="P613" t="n">
        <v>0</v>
      </c>
      <c r="Q613" t="n">
        <v>0</v>
      </c>
      <c r="R613" s="2" t="inlineStr"/>
    </row>
    <row r="614" ht="15" customHeight="1">
      <c r="A614" t="inlineStr">
        <is>
          <t>A 17024-2024</t>
        </is>
      </c>
      <c r="B614" s="1" t="n">
        <v>45412.38322916667</v>
      </c>
      <c r="C614" s="1" t="n">
        <v>46117</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34533-2025</t>
        </is>
      </c>
      <c r="B615" s="1" t="n">
        <v>45847.50868055555</v>
      </c>
      <c r="C615" s="1" t="n">
        <v>46117</v>
      </c>
      <c r="D615" t="inlineStr">
        <is>
          <t>VÄRMLANDS LÄN</t>
        </is>
      </c>
      <c r="E615" t="inlineStr">
        <is>
          <t>TORSBY</t>
        </is>
      </c>
      <c r="G615" t="n">
        <v>4.6</v>
      </c>
      <c r="H615" t="n">
        <v>0</v>
      </c>
      <c r="I615" t="n">
        <v>0</v>
      </c>
      <c r="J615" t="n">
        <v>0</v>
      </c>
      <c r="K615" t="n">
        <v>0</v>
      </c>
      <c r="L615" t="n">
        <v>0</v>
      </c>
      <c r="M615" t="n">
        <v>0</v>
      </c>
      <c r="N615" t="n">
        <v>0</v>
      </c>
      <c r="O615" t="n">
        <v>0</v>
      </c>
      <c r="P615" t="n">
        <v>0</v>
      </c>
      <c r="Q615" t="n">
        <v>0</v>
      </c>
      <c r="R615" s="2" t="inlineStr"/>
    </row>
    <row r="616" ht="15" customHeight="1">
      <c r="A616" t="inlineStr">
        <is>
          <t>A 34846-2025</t>
        </is>
      </c>
      <c r="B616" s="1" t="n">
        <v>45849.41454861111</v>
      </c>
      <c r="C616" s="1" t="n">
        <v>46117</v>
      </c>
      <c r="D616" t="inlineStr">
        <is>
          <t>VÄRMLANDS LÄN</t>
        </is>
      </c>
      <c r="E616" t="inlineStr">
        <is>
          <t>TORSBY</t>
        </is>
      </c>
      <c r="F616" t="inlineStr">
        <is>
          <t>Bergvik skog väst AB</t>
        </is>
      </c>
      <c r="G616" t="n">
        <v>12.2</v>
      </c>
      <c r="H616" t="n">
        <v>0</v>
      </c>
      <c r="I616" t="n">
        <v>0</v>
      </c>
      <c r="J616" t="n">
        <v>0</v>
      </c>
      <c r="K616" t="n">
        <v>0</v>
      </c>
      <c r="L616" t="n">
        <v>0</v>
      </c>
      <c r="M616" t="n">
        <v>0</v>
      </c>
      <c r="N616" t="n">
        <v>0</v>
      </c>
      <c r="O616" t="n">
        <v>0</v>
      </c>
      <c r="P616" t="n">
        <v>0</v>
      </c>
      <c r="Q616" t="n">
        <v>0</v>
      </c>
      <c r="R616" s="2" t="inlineStr"/>
    </row>
    <row r="617" ht="15" customHeight="1">
      <c r="A617" t="inlineStr">
        <is>
          <t>A 52801-2024</t>
        </is>
      </c>
      <c r="B617" s="1" t="n">
        <v>45610.56784722222</v>
      </c>
      <c r="C617" s="1" t="n">
        <v>46117</v>
      </c>
      <c r="D617" t="inlineStr">
        <is>
          <t>VÄRMLANDS LÄN</t>
        </is>
      </c>
      <c r="E617" t="inlineStr">
        <is>
          <t>TORSBY</t>
        </is>
      </c>
      <c r="G617" t="n">
        <v>7.4</v>
      </c>
      <c r="H617" t="n">
        <v>0</v>
      </c>
      <c r="I617" t="n">
        <v>0</v>
      </c>
      <c r="J617" t="n">
        <v>0</v>
      </c>
      <c r="K617" t="n">
        <v>0</v>
      </c>
      <c r="L617" t="n">
        <v>0</v>
      </c>
      <c r="M617" t="n">
        <v>0</v>
      </c>
      <c r="N617" t="n">
        <v>0</v>
      </c>
      <c r="O617" t="n">
        <v>0</v>
      </c>
      <c r="P617" t="n">
        <v>0</v>
      </c>
      <c r="Q617" t="n">
        <v>0</v>
      </c>
      <c r="R617" s="2" t="inlineStr"/>
    </row>
    <row r="618" ht="15" customHeight="1">
      <c r="A618" t="inlineStr">
        <is>
          <t>A 30789-2024</t>
        </is>
      </c>
      <c r="B618" s="1" t="n">
        <v>45497.178125</v>
      </c>
      <c r="C618" s="1" t="n">
        <v>46117</v>
      </c>
      <c r="D618" t="inlineStr">
        <is>
          <t>VÄRMLANDS LÄN</t>
        </is>
      </c>
      <c r="E618" t="inlineStr">
        <is>
          <t>TORSBY</t>
        </is>
      </c>
      <c r="G618" t="n">
        <v>5.2</v>
      </c>
      <c r="H618" t="n">
        <v>0</v>
      </c>
      <c r="I618" t="n">
        <v>0</v>
      </c>
      <c r="J618" t="n">
        <v>0</v>
      </c>
      <c r="K618" t="n">
        <v>0</v>
      </c>
      <c r="L618" t="n">
        <v>0</v>
      </c>
      <c r="M618" t="n">
        <v>0</v>
      </c>
      <c r="N618" t="n">
        <v>0</v>
      </c>
      <c r="O618" t="n">
        <v>0</v>
      </c>
      <c r="P618" t="n">
        <v>0</v>
      </c>
      <c r="Q618" t="n">
        <v>0</v>
      </c>
      <c r="R618" s="2" t="inlineStr"/>
    </row>
    <row r="619" ht="15" customHeight="1">
      <c r="A619" t="inlineStr">
        <is>
          <t>A 40807-2024</t>
        </is>
      </c>
      <c r="B619" s="1" t="n">
        <v>45558</v>
      </c>
      <c r="C619" s="1" t="n">
        <v>46117</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31316-2025</t>
        </is>
      </c>
      <c r="B620" s="1" t="n">
        <v>45833.40241898148</v>
      </c>
      <c r="C620" s="1" t="n">
        <v>46117</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34997-2025</t>
        </is>
      </c>
      <c r="B621" s="1" t="n">
        <v>45849.87340277778</v>
      </c>
      <c r="C621" s="1" t="n">
        <v>46117</v>
      </c>
      <c r="D621" t="inlineStr">
        <is>
          <t>VÄRMLANDS LÄN</t>
        </is>
      </c>
      <c r="E621" t="inlineStr">
        <is>
          <t>TORSBY</t>
        </is>
      </c>
      <c r="G621" t="n">
        <v>24.4</v>
      </c>
      <c r="H621" t="n">
        <v>0</v>
      </c>
      <c r="I621" t="n">
        <v>0</v>
      </c>
      <c r="J621" t="n">
        <v>0</v>
      </c>
      <c r="K621" t="n">
        <v>0</v>
      </c>
      <c r="L621" t="n">
        <v>0</v>
      </c>
      <c r="M621" t="n">
        <v>0</v>
      </c>
      <c r="N621" t="n">
        <v>0</v>
      </c>
      <c r="O621" t="n">
        <v>0</v>
      </c>
      <c r="P621" t="n">
        <v>0</v>
      </c>
      <c r="Q621" t="n">
        <v>0</v>
      </c>
      <c r="R621" s="2" t="inlineStr"/>
    </row>
    <row r="622" ht="15" customHeight="1">
      <c r="A622" t="inlineStr">
        <is>
          <t>A 35185-2025</t>
        </is>
      </c>
      <c r="B622" s="1" t="n">
        <v>45853.30383101852</v>
      </c>
      <c r="C622" s="1" t="n">
        <v>46117</v>
      </c>
      <c r="D622" t="inlineStr">
        <is>
          <t>VÄRMLANDS LÄN</t>
        </is>
      </c>
      <c r="E622" t="inlineStr">
        <is>
          <t>TORSBY</t>
        </is>
      </c>
      <c r="F622" t="inlineStr">
        <is>
          <t>Bergvik skog väst AB</t>
        </is>
      </c>
      <c r="G622" t="n">
        <v>4</v>
      </c>
      <c r="H622" t="n">
        <v>0</v>
      </c>
      <c r="I622" t="n">
        <v>0</v>
      </c>
      <c r="J622" t="n">
        <v>0</v>
      </c>
      <c r="K622" t="n">
        <v>0</v>
      </c>
      <c r="L622" t="n">
        <v>0</v>
      </c>
      <c r="M622" t="n">
        <v>0</v>
      </c>
      <c r="N622" t="n">
        <v>0</v>
      </c>
      <c r="O622" t="n">
        <v>0</v>
      </c>
      <c r="P622" t="n">
        <v>0</v>
      </c>
      <c r="Q622" t="n">
        <v>0</v>
      </c>
      <c r="R622" s="2" t="inlineStr"/>
    </row>
    <row r="623" ht="15" customHeight="1">
      <c r="A623" t="inlineStr">
        <is>
          <t>A 27101-2024</t>
        </is>
      </c>
      <c r="B623" s="1" t="n">
        <v>45471</v>
      </c>
      <c r="C623" s="1" t="n">
        <v>46117</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27116-2024</t>
        </is>
      </c>
      <c r="B624" s="1" t="n">
        <v>45471.5056712963</v>
      </c>
      <c r="C624" s="1" t="n">
        <v>46117</v>
      </c>
      <c r="D624" t="inlineStr">
        <is>
          <t>VÄRMLANDS LÄN</t>
        </is>
      </c>
      <c r="E624" t="inlineStr">
        <is>
          <t>TORSBY</t>
        </is>
      </c>
      <c r="G624" t="n">
        <v>0.3</v>
      </c>
      <c r="H624" t="n">
        <v>0</v>
      </c>
      <c r="I624" t="n">
        <v>0</v>
      </c>
      <c r="J624" t="n">
        <v>0</v>
      </c>
      <c r="K624" t="n">
        <v>0</v>
      </c>
      <c r="L624" t="n">
        <v>0</v>
      </c>
      <c r="M624" t="n">
        <v>0</v>
      </c>
      <c r="N624" t="n">
        <v>0</v>
      </c>
      <c r="O624" t="n">
        <v>0</v>
      </c>
      <c r="P624" t="n">
        <v>0</v>
      </c>
      <c r="Q624" t="n">
        <v>0</v>
      </c>
      <c r="R624" s="2" t="inlineStr"/>
    </row>
    <row r="625" ht="15" customHeight="1">
      <c r="A625" t="inlineStr">
        <is>
          <t>A 38808-2025</t>
        </is>
      </c>
      <c r="B625" s="1" t="n">
        <v>45887.47344907407</v>
      </c>
      <c r="C625" s="1" t="n">
        <v>46117</v>
      </c>
      <c r="D625" t="inlineStr">
        <is>
          <t>VÄRMLANDS LÄN</t>
        </is>
      </c>
      <c r="E625" t="inlineStr">
        <is>
          <t>TORSBY</t>
        </is>
      </c>
      <c r="G625" t="n">
        <v>4.6</v>
      </c>
      <c r="H625" t="n">
        <v>0</v>
      </c>
      <c r="I625" t="n">
        <v>0</v>
      </c>
      <c r="J625" t="n">
        <v>0</v>
      </c>
      <c r="K625" t="n">
        <v>0</v>
      </c>
      <c r="L625" t="n">
        <v>0</v>
      </c>
      <c r="M625" t="n">
        <v>0</v>
      </c>
      <c r="N625" t="n">
        <v>0</v>
      </c>
      <c r="O625" t="n">
        <v>0</v>
      </c>
      <c r="P625" t="n">
        <v>0</v>
      </c>
      <c r="Q625" t="n">
        <v>0</v>
      </c>
      <c r="R625" s="2" t="inlineStr"/>
    </row>
    <row r="626" ht="15" customHeight="1">
      <c r="A626" t="inlineStr">
        <is>
          <t>A 20985-2024</t>
        </is>
      </c>
      <c r="B626" s="1" t="n">
        <v>45439</v>
      </c>
      <c r="C626" s="1" t="n">
        <v>46117</v>
      </c>
      <c r="D626" t="inlineStr">
        <is>
          <t>VÄRMLANDS LÄN</t>
        </is>
      </c>
      <c r="E626" t="inlineStr">
        <is>
          <t>TORSBY</t>
        </is>
      </c>
      <c r="G626" t="n">
        <v>3.2</v>
      </c>
      <c r="H626" t="n">
        <v>0</v>
      </c>
      <c r="I626" t="n">
        <v>0</v>
      </c>
      <c r="J626" t="n">
        <v>0</v>
      </c>
      <c r="K626" t="n">
        <v>0</v>
      </c>
      <c r="L626" t="n">
        <v>0</v>
      </c>
      <c r="M626" t="n">
        <v>0</v>
      </c>
      <c r="N626" t="n">
        <v>0</v>
      </c>
      <c r="O626" t="n">
        <v>0</v>
      </c>
      <c r="P626" t="n">
        <v>0</v>
      </c>
      <c r="Q626" t="n">
        <v>0</v>
      </c>
      <c r="R626" s="2" t="inlineStr"/>
    </row>
    <row r="627" ht="15" customHeight="1">
      <c r="A627" t="inlineStr">
        <is>
          <t>A 35191-2025</t>
        </is>
      </c>
      <c r="B627" s="1" t="n">
        <v>45853.3469675926</v>
      </c>
      <c r="C627" s="1" t="n">
        <v>46117</v>
      </c>
      <c r="D627" t="inlineStr">
        <is>
          <t>VÄRMLANDS LÄN</t>
        </is>
      </c>
      <c r="E627" t="inlineStr">
        <is>
          <t>TORSBY</t>
        </is>
      </c>
      <c r="F627" t="inlineStr">
        <is>
          <t>Bergvik skog väst AB</t>
        </is>
      </c>
      <c r="G627" t="n">
        <v>9.9</v>
      </c>
      <c r="H627" t="n">
        <v>0</v>
      </c>
      <c r="I627" t="n">
        <v>0</v>
      </c>
      <c r="J627" t="n">
        <v>0</v>
      </c>
      <c r="K627" t="n">
        <v>0</v>
      </c>
      <c r="L627" t="n">
        <v>0</v>
      </c>
      <c r="M627" t="n">
        <v>0</v>
      </c>
      <c r="N627" t="n">
        <v>0</v>
      </c>
      <c r="O627" t="n">
        <v>0</v>
      </c>
      <c r="P627" t="n">
        <v>0</v>
      </c>
      <c r="Q627" t="n">
        <v>0</v>
      </c>
      <c r="R627" s="2" t="inlineStr"/>
    </row>
    <row r="628" ht="15" customHeight="1">
      <c r="A628" t="inlineStr">
        <is>
          <t>A 47619-2024</t>
        </is>
      </c>
      <c r="B628" s="1" t="n">
        <v>45588.32371527778</v>
      </c>
      <c r="C628" s="1" t="n">
        <v>46117</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41130-2022</t>
        </is>
      </c>
      <c r="B629" s="1" t="n">
        <v>44825</v>
      </c>
      <c r="C629" s="1" t="n">
        <v>46117</v>
      </c>
      <c r="D629" t="inlineStr">
        <is>
          <t>VÄRMLANDS LÄN</t>
        </is>
      </c>
      <c r="E629" t="inlineStr">
        <is>
          <t>TORSBY</t>
        </is>
      </c>
      <c r="F629" t="inlineStr">
        <is>
          <t>Kyrkan</t>
        </is>
      </c>
      <c r="G629" t="n">
        <v>1.3</v>
      </c>
      <c r="H629" t="n">
        <v>0</v>
      </c>
      <c r="I629" t="n">
        <v>0</v>
      </c>
      <c r="J629" t="n">
        <v>0</v>
      </c>
      <c r="K629" t="n">
        <v>0</v>
      </c>
      <c r="L629" t="n">
        <v>0</v>
      </c>
      <c r="M629" t="n">
        <v>0</v>
      </c>
      <c r="N629" t="n">
        <v>0</v>
      </c>
      <c r="O629" t="n">
        <v>0</v>
      </c>
      <c r="P629" t="n">
        <v>0</v>
      </c>
      <c r="Q629" t="n">
        <v>0</v>
      </c>
      <c r="R629" s="2" t="inlineStr"/>
    </row>
    <row r="630" ht="15" customHeight="1">
      <c r="A630" t="inlineStr">
        <is>
          <t>A 35194-2025</t>
        </is>
      </c>
      <c r="B630" s="1" t="n">
        <v>45853.35740740741</v>
      </c>
      <c r="C630" s="1" t="n">
        <v>46117</v>
      </c>
      <c r="D630" t="inlineStr">
        <is>
          <t>VÄRMLANDS LÄN</t>
        </is>
      </c>
      <c r="E630" t="inlineStr">
        <is>
          <t>TORSBY</t>
        </is>
      </c>
      <c r="G630" t="n">
        <v>5.9</v>
      </c>
      <c r="H630" t="n">
        <v>0</v>
      </c>
      <c r="I630" t="n">
        <v>0</v>
      </c>
      <c r="J630" t="n">
        <v>0</v>
      </c>
      <c r="K630" t="n">
        <v>0</v>
      </c>
      <c r="L630" t="n">
        <v>0</v>
      </c>
      <c r="M630" t="n">
        <v>0</v>
      </c>
      <c r="N630" t="n">
        <v>0</v>
      </c>
      <c r="O630" t="n">
        <v>0</v>
      </c>
      <c r="P630" t="n">
        <v>0</v>
      </c>
      <c r="Q630" t="n">
        <v>0</v>
      </c>
      <c r="R630" s="2" t="inlineStr"/>
    </row>
    <row r="631" ht="15" customHeight="1">
      <c r="A631" t="inlineStr">
        <is>
          <t>A 2009-2025</t>
        </is>
      </c>
      <c r="B631" s="1" t="n">
        <v>45672</v>
      </c>
      <c r="C631" s="1" t="n">
        <v>46117</v>
      </c>
      <c r="D631" t="inlineStr">
        <is>
          <t>VÄRMLANDS LÄN</t>
        </is>
      </c>
      <c r="E631" t="inlineStr">
        <is>
          <t>TORSBY</t>
        </is>
      </c>
      <c r="G631" t="n">
        <v>3.3</v>
      </c>
      <c r="H631" t="n">
        <v>0</v>
      </c>
      <c r="I631" t="n">
        <v>0</v>
      </c>
      <c r="J631" t="n">
        <v>0</v>
      </c>
      <c r="K631" t="n">
        <v>0</v>
      </c>
      <c r="L631" t="n">
        <v>0</v>
      </c>
      <c r="M631" t="n">
        <v>0</v>
      </c>
      <c r="N631" t="n">
        <v>0</v>
      </c>
      <c r="O631" t="n">
        <v>0</v>
      </c>
      <c r="P631" t="n">
        <v>0</v>
      </c>
      <c r="Q631" t="n">
        <v>0</v>
      </c>
      <c r="R631" s="2" t="inlineStr"/>
    </row>
    <row r="632" ht="15" customHeight="1">
      <c r="A632" t="inlineStr">
        <is>
          <t>A 35408-2025</t>
        </is>
      </c>
      <c r="B632" s="1" t="n">
        <v>45855.37256944444</v>
      </c>
      <c r="C632" s="1" t="n">
        <v>46117</v>
      </c>
      <c r="D632" t="inlineStr">
        <is>
          <t>VÄRMLANDS LÄN</t>
        </is>
      </c>
      <c r="E632" t="inlineStr">
        <is>
          <t>TORSBY</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35334-2025</t>
        </is>
      </c>
      <c r="B633" s="1" t="n">
        <v>45854.57973379629</v>
      </c>
      <c r="C633" s="1" t="n">
        <v>46117</v>
      </c>
      <c r="D633" t="inlineStr">
        <is>
          <t>VÄRMLANDS LÄN</t>
        </is>
      </c>
      <c r="E633" t="inlineStr">
        <is>
          <t>TORSBY</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38084-2023</t>
        </is>
      </c>
      <c r="B634" s="1" t="n">
        <v>45160</v>
      </c>
      <c r="C634" s="1" t="n">
        <v>46117</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45887.3715162037</v>
      </c>
      <c r="C635" s="1" t="n">
        <v>46117</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35367-2025</t>
        </is>
      </c>
      <c r="B636" s="1" t="n">
        <v>45854</v>
      </c>
      <c r="C636" s="1" t="n">
        <v>46117</v>
      </c>
      <c r="D636" t="inlineStr">
        <is>
          <t>VÄRMLANDS LÄN</t>
        </is>
      </c>
      <c r="E636" t="inlineStr">
        <is>
          <t>TORSBY</t>
        </is>
      </c>
      <c r="G636" t="n">
        <v>2.9</v>
      </c>
      <c r="H636" t="n">
        <v>0</v>
      </c>
      <c r="I636" t="n">
        <v>0</v>
      </c>
      <c r="J636" t="n">
        <v>0</v>
      </c>
      <c r="K636" t="n">
        <v>0</v>
      </c>
      <c r="L636" t="n">
        <v>0</v>
      </c>
      <c r="M636" t="n">
        <v>0</v>
      </c>
      <c r="N636" t="n">
        <v>0</v>
      </c>
      <c r="O636" t="n">
        <v>0</v>
      </c>
      <c r="P636" t="n">
        <v>0</v>
      </c>
      <c r="Q636" t="n">
        <v>0</v>
      </c>
      <c r="R636" s="2" t="inlineStr"/>
    </row>
    <row r="637" ht="15" customHeight="1">
      <c r="A637" t="inlineStr">
        <is>
          <t>A 14581-2023</t>
        </is>
      </c>
      <c r="B637" s="1" t="n">
        <v>45013.52122685185</v>
      </c>
      <c r="C637" s="1" t="n">
        <v>46117</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21516-2022</t>
        </is>
      </c>
      <c r="B638" s="1" t="n">
        <v>44706</v>
      </c>
      <c r="C638" s="1" t="n">
        <v>46117</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54865-2022</t>
        </is>
      </c>
      <c r="B639" s="1" t="n">
        <v>44884</v>
      </c>
      <c r="C639" s="1" t="n">
        <v>46117</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18897-2024</t>
        </is>
      </c>
      <c r="B640" s="1" t="n">
        <v>45427.34046296297</v>
      </c>
      <c r="C640" s="1" t="n">
        <v>46117</v>
      </c>
      <c r="D640" t="inlineStr">
        <is>
          <t>VÄRMLANDS LÄN</t>
        </is>
      </c>
      <c r="E640" t="inlineStr">
        <is>
          <t>TORSBY</t>
        </is>
      </c>
      <c r="F640" t="inlineStr">
        <is>
          <t>Övriga statliga verk och myndigheter</t>
        </is>
      </c>
      <c r="G640" t="n">
        <v>4.6</v>
      </c>
      <c r="H640" t="n">
        <v>0</v>
      </c>
      <c r="I640" t="n">
        <v>0</v>
      </c>
      <c r="J640" t="n">
        <v>0</v>
      </c>
      <c r="K640" t="n">
        <v>0</v>
      </c>
      <c r="L640" t="n">
        <v>0</v>
      </c>
      <c r="M640" t="n">
        <v>0</v>
      </c>
      <c r="N640" t="n">
        <v>0</v>
      </c>
      <c r="O640" t="n">
        <v>0</v>
      </c>
      <c r="P640" t="n">
        <v>0</v>
      </c>
      <c r="Q640" t="n">
        <v>0</v>
      </c>
      <c r="R640" s="2" t="inlineStr"/>
    </row>
    <row r="641" ht="15" customHeight="1">
      <c r="A641" t="inlineStr">
        <is>
          <t>A 5052-2025</t>
        </is>
      </c>
      <c r="B641" s="1" t="n">
        <v>45691</v>
      </c>
      <c r="C641" s="1" t="n">
        <v>46117</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61157-2023</t>
        </is>
      </c>
      <c r="B642" s="1" t="n">
        <v>45261.98796296296</v>
      </c>
      <c r="C642" s="1" t="n">
        <v>46117</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2662-2024</t>
        </is>
      </c>
      <c r="B643" s="1" t="n">
        <v>45314.38747685185</v>
      </c>
      <c r="C643" s="1" t="n">
        <v>46117</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8033-2022</t>
        </is>
      </c>
      <c r="B644" s="1" t="n">
        <v>44609.43644675926</v>
      </c>
      <c r="C644" s="1" t="n">
        <v>46117</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17562-2024</t>
        </is>
      </c>
      <c r="B645" s="1" t="n">
        <v>45415</v>
      </c>
      <c r="C645" s="1" t="n">
        <v>46117</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38611-2025</t>
        </is>
      </c>
      <c r="B646" s="1" t="n">
        <v>45884.53958333333</v>
      </c>
      <c r="C646" s="1" t="n">
        <v>46117</v>
      </c>
      <c r="D646" t="inlineStr">
        <is>
          <t>VÄRMLANDS LÄN</t>
        </is>
      </c>
      <c r="E646" t="inlineStr">
        <is>
          <t>TORSBY</t>
        </is>
      </c>
      <c r="G646" t="n">
        <v>3.3</v>
      </c>
      <c r="H646" t="n">
        <v>0</v>
      </c>
      <c r="I646" t="n">
        <v>0</v>
      </c>
      <c r="J646" t="n">
        <v>0</v>
      </c>
      <c r="K646" t="n">
        <v>0</v>
      </c>
      <c r="L646" t="n">
        <v>0</v>
      </c>
      <c r="M646" t="n">
        <v>0</v>
      </c>
      <c r="N646" t="n">
        <v>0</v>
      </c>
      <c r="O646" t="n">
        <v>0</v>
      </c>
      <c r="P646" t="n">
        <v>0</v>
      </c>
      <c r="Q646" t="n">
        <v>0</v>
      </c>
      <c r="R646" s="2" t="inlineStr"/>
    </row>
    <row r="647" ht="15" customHeight="1">
      <c r="A647" t="inlineStr">
        <is>
          <t>A 35552-2025</t>
        </is>
      </c>
      <c r="B647" s="1" t="n">
        <v>45856.49702546297</v>
      </c>
      <c r="C647" s="1" t="n">
        <v>46117</v>
      </c>
      <c r="D647" t="inlineStr">
        <is>
          <t>VÄRMLANDS LÄN</t>
        </is>
      </c>
      <c r="E647" t="inlineStr">
        <is>
          <t>TORSBY</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35817-2025</t>
        </is>
      </c>
      <c r="B648" s="1" t="n">
        <v>45861.44365740741</v>
      </c>
      <c r="C648" s="1" t="n">
        <v>46117</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1166-2023</t>
        </is>
      </c>
      <c r="B649" s="1" t="n">
        <v>44935</v>
      </c>
      <c r="C649" s="1" t="n">
        <v>46117</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11121-2024</t>
        </is>
      </c>
      <c r="B650" s="1" t="n">
        <v>45371.40634259259</v>
      </c>
      <c r="C650" s="1" t="n">
        <v>46117</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59097-2022</t>
        </is>
      </c>
      <c r="B651" s="1" t="n">
        <v>44904</v>
      </c>
      <c r="C651" s="1" t="n">
        <v>46117</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9942-2025</t>
        </is>
      </c>
      <c r="B652" s="1" t="n">
        <v>45719</v>
      </c>
      <c r="C652" s="1" t="n">
        <v>46117</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14800-2025</t>
        </is>
      </c>
      <c r="B653" s="1" t="n">
        <v>45743</v>
      </c>
      <c r="C653" s="1" t="n">
        <v>46117</v>
      </c>
      <c r="D653" t="inlineStr">
        <is>
          <t>VÄRMLANDS LÄN</t>
        </is>
      </c>
      <c r="E653" t="inlineStr">
        <is>
          <t>TORSBY</t>
        </is>
      </c>
      <c r="G653" t="n">
        <v>4.2</v>
      </c>
      <c r="H653" t="n">
        <v>0</v>
      </c>
      <c r="I653" t="n">
        <v>0</v>
      </c>
      <c r="J653" t="n">
        <v>0</v>
      </c>
      <c r="K653" t="n">
        <v>0</v>
      </c>
      <c r="L653" t="n">
        <v>0</v>
      </c>
      <c r="M653" t="n">
        <v>0</v>
      </c>
      <c r="N653" t="n">
        <v>0</v>
      </c>
      <c r="O653" t="n">
        <v>0</v>
      </c>
      <c r="P653" t="n">
        <v>0</v>
      </c>
      <c r="Q653" t="n">
        <v>0</v>
      </c>
      <c r="R653" s="2" t="inlineStr"/>
    </row>
    <row r="654" ht="15" customHeight="1">
      <c r="A654" t="inlineStr">
        <is>
          <t>A 35855-2025</t>
        </is>
      </c>
      <c r="B654" s="1" t="n">
        <v>45861.61864583333</v>
      </c>
      <c r="C654" s="1" t="n">
        <v>46117</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46117</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36175-2024</t>
        </is>
      </c>
      <c r="B656" s="1" t="n">
        <v>45534.40834490741</v>
      </c>
      <c r="C656" s="1" t="n">
        <v>46117</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38905-2025</t>
        </is>
      </c>
      <c r="B657" s="1" t="n">
        <v>45884</v>
      </c>
      <c r="C657" s="1" t="n">
        <v>46117</v>
      </c>
      <c r="D657" t="inlineStr">
        <is>
          <t>VÄRMLANDS LÄN</t>
        </is>
      </c>
      <c r="E657" t="inlineStr">
        <is>
          <t>TORSBY</t>
        </is>
      </c>
      <c r="G657" t="n">
        <v>5.4</v>
      </c>
      <c r="H657" t="n">
        <v>0</v>
      </c>
      <c r="I657" t="n">
        <v>0</v>
      </c>
      <c r="J657" t="n">
        <v>0</v>
      </c>
      <c r="K657" t="n">
        <v>0</v>
      </c>
      <c r="L657" t="n">
        <v>0</v>
      </c>
      <c r="M657" t="n">
        <v>0</v>
      </c>
      <c r="N657" t="n">
        <v>0</v>
      </c>
      <c r="O657" t="n">
        <v>0</v>
      </c>
      <c r="P657" t="n">
        <v>0</v>
      </c>
      <c r="Q657" t="n">
        <v>0</v>
      </c>
      <c r="R657" s="2" t="inlineStr"/>
    </row>
    <row r="658" ht="15" customHeight="1">
      <c r="A658" t="inlineStr">
        <is>
          <t>A 42662-2024</t>
        </is>
      </c>
      <c r="B658" s="1" t="n">
        <v>45566</v>
      </c>
      <c r="C658" s="1" t="n">
        <v>46117</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35980-2025</t>
        </is>
      </c>
      <c r="B659" s="1" t="n">
        <v>45863</v>
      </c>
      <c r="C659" s="1" t="n">
        <v>46117</v>
      </c>
      <c r="D659" t="inlineStr">
        <is>
          <t>VÄRMLANDS LÄN</t>
        </is>
      </c>
      <c r="E659" t="inlineStr">
        <is>
          <t>TORSBY</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35965-2025</t>
        </is>
      </c>
      <c r="B660" s="1" t="n">
        <v>45863.39790509259</v>
      </c>
      <c r="C660" s="1" t="n">
        <v>46117</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35987-2025</t>
        </is>
      </c>
      <c r="B661" s="1" t="n">
        <v>45863.46144675926</v>
      </c>
      <c r="C661" s="1" t="n">
        <v>46117</v>
      </c>
      <c r="D661" t="inlineStr">
        <is>
          <t>VÄRMLANDS LÄN</t>
        </is>
      </c>
      <c r="E661" t="inlineStr">
        <is>
          <t>TORSBY</t>
        </is>
      </c>
      <c r="G661" t="n">
        <v>5.5</v>
      </c>
      <c r="H661" t="n">
        <v>0</v>
      </c>
      <c r="I661" t="n">
        <v>0</v>
      </c>
      <c r="J661" t="n">
        <v>0</v>
      </c>
      <c r="K661" t="n">
        <v>0</v>
      </c>
      <c r="L661" t="n">
        <v>0</v>
      </c>
      <c r="M661" t="n">
        <v>0</v>
      </c>
      <c r="N661" t="n">
        <v>0</v>
      </c>
      <c r="O661" t="n">
        <v>0</v>
      </c>
      <c r="P661" t="n">
        <v>0</v>
      </c>
      <c r="Q661" t="n">
        <v>0</v>
      </c>
      <c r="R661" s="2" t="inlineStr"/>
    </row>
    <row r="662" ht="15" customHeight="1">
      <c r="A662" t="inlineStr">
        <is>
          <t>A 20633-2024</t>
        </is>
      </c>
      <c r="B662" s="1" t="n">
        <v>45436</v>
      </c>
      <c r="C662" s="1" t="n">
        <v>46117</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45231-2023</t>
        </is>
      </c>
      <c r="B663" s="1" t="n">
        <v>45191</v>
      </c>
      <c r="C663" s="1" t="n">
        <v>46117</v>
      </c>
      <c r="D663" t="inlineStr">
        <is>
          <t>VÄRMLANDS LÄN</t>
        </is>
      </c>
      <c r="E663" t="inlineStr">
        <is>
          <t>TORSBY</t>
        </is>
      </c>
      <c r="F663" t="inlineStr">
        <is>
          <t>Bergvik skog väst AB</t>
        </is>
      </c>
      <c r="G663" t="n">
        <v>7.8</v>
      </c>
      <c r="H663" t="n">
        <v>0</v>
      </c>
      <c r="I663" t="n">
        <v>0</v>
      </c>
      <c r="J663" t="n">
        <v>0</v>
      </c>
      <c r="K663" t="n">
        <v>0</v>
      </c>
      <c r="L663" t="n">
        <v>0</v>
      </c>
      <c r="M663" t="n">
        <v>0</v>
      </c>
      <c r="N663" t="n">
        <v>0</v>
      </c>
      <c r="O663" t="n">
        <v>0</v>
      </c>
      <c r="P663" t="n">
        <v>0</v>
      </c>
      <c r="Q663" t="n">
        <v>0</v>
      </c>
      <c r="R663" s="2" t="inlineStr"/>
    </row>
    <row r="664" ht="15" customHeight="1">
      <c r="A664" t="inlineStr">
        <is>
          <t>A 40590-2021</t>
        </is>
      </c>
      <c r="B664" s="1" t="n">
        <v>44420</v>
      </c>
      <c r="C664" s="1" t="n">
        <v>46117</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21585-2024</t>
        </is>
      </c>
      <c r="B665" s="1" t="n">
        <v>45441</v>
      </c>
      <c r="C665" s="1" t="n">
        <v>46117</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7378-2025</t>
        </is>
      </c>
      <c r="B666" s="1" t="n">
        <v>45705</v>
      </c>
      <c r="C666" s="1" t="n">
        <v>46117</v>
      </c>
      <c r="D666" t="inlineStr">
        <is>
          <t>VÄRMLANDS LÄN</t>
        </is>
      </c>
      <c r="E666" t="inlineStr">
        <is>
          <t>TORSBY</t>
        </is>
      </c>
      <c r="G666" t="n">
        <v>3.7</v>
      </c>
      <c r="H666" t="n">
        <v>0</v>
      </c>
      <c r="I666" t="n">
        <v>0</v>
      </c>
      <c r="J666" t="n">
        <v>0</v>
      </c>
      <c r="K666" t="n">
        <v>0</v>
      </c>
      <c r="L666" t="n">
        <v>0</v>
      </c>
      <c r="M666" t="n">
        <v>0</v>
      </c>
      <c r="N666" t="n">
        <v>0</v>
      </c>
      <c r="O666" t="n">
        <v>0</v>
      </c>
      <c r="P666" t="n">
        <v>0</v>
      </c>
      <c r="Q666" t="n">
        <v>0</v>
      </c>
      <c r="R666" s="2" t="inlineStr"/>
    </row>
    <row r="667" ht="15" customHeight="1">
      <c r="A667" t="inlineStr">
        <is>
          <t>A 10218-2023</t>
        </is>
      </c>
      <c r="B667" s="1" t="n">
        <v>44986.59697916666</v>
      </c>
      <c r="C667" s="1" t="n">
        <v>46117</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30958-2025</t>
        </is>
      </c>
      <c r="B668" s="1" t="n">
        <v>45832.43880787037</v>
      </c>
      <c r="C668" s="1" t="n">
        <v>46117</v>
      </c>
      <c r="D668" t="inlineStr">
        <is>
          <t>VÄRMLANDS LÄN</t>
        </is>
      </c>
      <c r="E668" t="inlineStr">
        <is>
          <t>TORSBY</t>
        </is>
      </c>
      <c r="G668" t="n">
        <v>28.5</v>
      </c>
      <c r="H668" t="n">
        <v>0</v>
      </c>
      <c r="I668" t="n">
        <v>0</v>
      </c>
      <c r="J668" t="n">
        <v>0</v>
      </c>
      <c r="K668" t="n">
        <v>0</v>
      </c>
      <c r="L668" t="n">
        <v>0</v>
      </c>
      <c r="M668" t="n">
        <v>0</v>
      </c>
      <c r="N668" t="n">
        <v>0</v>
      </c>
      <c r="O668" t="n">
        <v>0</v>
      </c>
      <c r="P668" t="n">
        <v>0</v>
      </c>
      <c r="Q668" t="n">
        <v>0</v>
      </c>
      <c r="R668" s="2" t="inlineStr"/>
    </row>
    <row r="669" ht="15" customHeight="1">
      <c r="A669" t="inlineStr">
        <is>
          <t>A 36287-2025</t>
        </is>
      </c>
      <c r="B669" s="1" t="n">
        <v>45867.65814814815</v>
      </c>
      <c r="C669" s="1" t="n">
        <v>46117</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30836-2025</t>
        </is>
      </c>
      <c r="B670" s="1" t="n">
        <v>45831.70571759259</v>
      </c>
      <c r="C670" s="1" t="n">
        <v>46117</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39208-2025</t>
        </is>
      </c>
      <c r="B671" s="1" t="n">
        <v>45888</v>
      </c>
      <c r="C671" s="1" t="n">
        <v>46117</v>
      </c>
      <c r="D671" t="inlineStr">
        <is>
          <t>VÄRMLANDS LÄN</t>
        </is>
      </c>
      <c r="E671" t="inlineStr">
        <is>
          <t>TORSBY</t>
        </is>
      </c>
      <c r="F671" t="inlineStr">
        <is>
          <t>Bergvik skog väst AB</t>
        </is>
      </c>
      <c r="G671" t="n">
        <v>39.1</v>
      </c>
      <c r="H671" t="n">
        <v>0</v>
      </c>
      <c r="I671" t="n">
        <v>0</v>
      </c>
      <c r="J671" t="n">
        <v>0</v>
      </c>
      <c r="K671" t="n">
        <v>0</v>
      </c>
      <c r="L671" t="n">
        <v>0</v>
      </c>
      <c r="M671" t="n">
        <v>0</v>
      </c>
      <c r="N671" t="n">
        <v>0</v>
      </c>
      <c r="O671" t="n">
        <v>0</v>
      </c>
      <c r="P671" t="n">
        <v>0</v>
      </c>
      <c r="Q671" t="n">
        <v>0</v>
      </c>
      <c r="R671" s="2" t="inlineStr"/>
    </row>
    <row r="672" ht="15" customHeight="1">
      <c r="A672" t="inlineStr">
        <is>
          <t>A 46698-2024</t>
        </is>
      </c>
      <c r="B672" s="1" t="n">
        <v>45583.43209490741</v>
      </c>
      <c r="C672" s="1" t="n">
        <v>46117</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1708-2025</t>
        </is>
      </c>
      <c r="B673" s="1" t="n">
        <v>45670</v>
      </c>
      <c r="C673" s="1" t="n">
        <v>46117</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32624-2025</t>
        </is>
      </c>
      <c r="B674" s="1" t="n">
        <v>45838.64796296296</v>
      </c>
      <c r="C674" s="1" t="n">
        <v>46117</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39451-2025</t>
        </is>
      </c>
      <c r="B675" s="1" t="n">
        <v>45889.72677083333</v>
      </c>
      <c r="C675" s="1" t="n">
        <v>46117</v>
      </c>
      <c r="D675" t="inlineStr">
        <is>
          <t>VÄRMLANDS LÄN</t>
        </is>
      </c>
      <c r="E675" t="inlineStr">
        <is>
          <t>TORSBY</t>
        </is>
      </c>
      <c r="F675" t="inlineStr">
        <is>
          <t>Bergvik skog väst AB</t>
        </is>
      </c>
      <c r="G675" t="n">
        <v>7.5</v>
      </c>
      <c r="H675" t="n">
        <v>0</v>
      </c>
      <c r="I675" t="n">
        <v>0</v>
      </c>
      <c r="J675" t="n">
        <v>0</v>
      </c>
      <c r="K675" t="n">
        <v>0</v>
      </c>
      <c r="L675" t="n">
        <v>0</v>
      </c>
      <c r="M675" t="n">
        <v>0</v>
      </c>
      <c r="N675" t="n">
        <v>0</v>
      </c>
      <c r="O675" t="n">
        <v>0</v>
      </c>
      <c r="P675" t="n">
        <v>0</v>
      </c>
      <c r="Q675" t="n">
        <v>0</v>
      </c>
      <c r="R675" s="2" t="inlineStr"/>
    </row>
    <row r="676" ht="15" customHeight="1">
      <c r="A676" t="inlineStr">
        <is>
          <t>A 36256-2025</t>
        </is>
      </c>
      <c r="B676" s="1" t="n">
        <v>45867.58938657407</v>
      </c>
      <c r="C676" s="1" t="n">
        <v>46117</v>
      </c>
      <c r="D676" t="inlineStr">
        <is>
          <t>VÄRMLANDS LÄN</t>
        </is>
      </c>
      <c r="E676" t="inlineStr">
        <is>
          <t>TORSBY</t>
        </is>
      </c>
      <c r="F676" t="inlineStr">
        <is>
          <t>Bergvik skog väst AB</t>
        </is>
      </c>
      <c r="G676" t="n">
        <v>5.6</v>
      </c>
      <c r="H676" t="n">
        <v>0</v>
      </c>
      <c r="I676" t="n">
        <v>0</v>
      </c>
      <c r="J676" t="n">
        <v>0</v>
      </c>
      <c r="K676" t="n">
        <v>0</v>
      </c>
      <c r="L676" t="n">
        <v>0</v>
      </c>
      <c r="M676" t="n">
        <v>0</v>
      </c>
      <c r="N676" t="n">
        <v>0</v>
      </c>
      <c r="O676" t="n">
        <v>0</v>
      </c>
      <c r="P676" t="n">
        <v>0</v>
      </c>
      <c r="Q676" t="n">
        <v>0</v>
      </c>
      <c r="R676" s="2" t="inlineStr"/>
    </row>
    <row r="677" ht="15" customHeight="1">
      <c r="A677" t="inlineStr">
        <is>
          <t>A 15085-2023</t>
        </is>
      </c>
      <c r="B677" s="1" t="n">
        <v>45016</v>
      </c>
      <c r="C677" s="1" t="n">
        <v>46117</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39258-2025</t>
        </is>
      </c>
      <c r="B678" s="1" t="n">
        <v>45889</v>
      </c>
      <c r="C678" s="1" t="n">
        <v>46117</v>
      </c>
      <c r="D678" t="inlineStr">
        <is>
          <t>VÄRMLANDS LÄN</t>
        </is>
      </c>
      <c r="E678" t="inlineStr">
        <is>
          <t>TORSBY</t>
        </is>
      </c>
      <c r="F678" t="inlineStr">
        <is>
          <t>Bergvik skog väst AB</t>
        </is>
      </c>
      <c r="G678" t="n">
        <v>12.1</v>
      </c>
      <c r="H678" t="n">
        <v>0</v>
      </c>
      <c r="I678" t="n">
        <v>0</v>
      </c>
      <c r="J678" t="n">
        <v>0</v>
      </c>
      <c r="K678" t="n">
        <v>0</v>
      </c>
      <c r="L678" t="n">
        <v>0</v>
      </c>
      <c r="M678" t="n">
        <v>0</v>
      </c>
      <c r="N678" t="n">
        <v>0</v>
      </c>
      <c r="O678" t="n">
        <v>0</v>
      </c>
      <c r="P678" t="n">
        <v>0</v>
      </c>
      <c r="Q678" t="n">
        <v>0</v>
      </c>
      <c r="R678" s="2" t="inlineStr"/>
    </row>
    <row r="679" ht="15" customHeight="1">
      <c r="A679" t="inlineStr">
        <is>
          <t>A 44083-2023</t>
        </is>
      </c>
      <c r="B679" s="1" t="n">
        <v>45182</v>
      </c>
      <c r="C679" s="1" t="n">
        <v>46117</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36258-2025</t>
        </is>
      </c>
      <c r="B680" s="1" t="n">
        <v>45867.59559027778</v>
      </c>
      <c r="C680" s="1" t="n">
        <v>46117</v>
      </c>
      <c r="D680" t="inlineStr">
        <is>
          <t>VÄRMLANDS LÄN</t>
        </is>
      </c>
      <c r="E680" t="inlineStr">
        <is>
          <t>TORSBY</t>
        </is>
      </c>
      <c r="F680" t="inlineStr">
        <is>
          <t>Bergvik skog väst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36288-2025</t>
        </is>
      </c>
      <c r="B681" s="1" t="n">
        <v>45867.6619212963</v>
      </c>
      <c r="C681" s="1" t="n">
        <v>46117</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36289-2025</t>
        </is>
      </c>
      <c r="B682" s="1" t="n">
        <v>45867.66329861111</v>
      </c>
      <c r="C682" s="1" t="n">
        <v>46117</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47141-2022</t>
        </is>
      </c>
      <c r="B683" s="1" t="n">
        <v>44852.56548611111</v>
      </c>
      <c r="C683" s="1" t="n">
        <v>46117</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36279-2025</t>
        </is>
      </c>
      <c r="B684" s="1" t="n">
        <v>45867.638125</v>
      </c>
      <c r="C684" s="1" t="n">
        <v>46117</v>
      </c>
      <c r="D684" t="inlineStr">
        <is>
          <t>VÄRMLANDS LÄN</t>
        </is>
      </c>
      <c r="E684" t="inlineStr">
        <is>
          <t>TORSBY</t>
        </is>
      </c>
      <c r="G684" t="n">
        <v>1.9</v>
      </c>
      <c r="H684" t="n">
        <v>0</v>
      </c>
      <c r="I684" t="n">
        <v>0</v>
      </c>
      <c r="J684" t="n">
        <v>0</v>
      </c>
      <c r="K684" t="n">
        <v>0</v>
      </c>
      <c r="L684" t="n">
        <v>0</v>
      </c>
      <c r="M684" t="n">
        <v>0</v>
      </c>
      <c r="N684" t="n">
        <v>0</v>
      </c>
      <c r="O684" t="n">
        <v>0</v>
      </c>
      <c r="P684" t="n">
        <v>0</v>
      </c>
      <c r="Q684" t="n">
        <v>0</v>
      </c>
      <c r="R684" s="2" t="inlineStr"/>
    </row>
    <row r="685" ht="15" customHeight="1">
      <c r="A685" t="inlineStr">
        <is>
          <t>A 42834-2024</t>
        </is>
      </c>
      <c r="B685" s="1" t="n">
        <v>45566</v>
      </c>
      <c r="C685" s="1" t="n">
        <v>46117</v>
      </c>
      <c r="D685" t="inlineStr">
        <is>
          <t>VÄRMLANDS LÄN</t>
        </is>
      </c>
      <c r="E685" t="inlineStr">
        <is>
          <t>TORSBY</t>
        </is>
      </c>
      <c r="G685" t="n">
        <v>5.8</v>
      </c>
      <c r="H685" t="n">
        <v>0</v>
      </c>
      <c r="I685" t="n">
        <v>0</v>
      </c>
      <c r="J685" t="n">
        <v>0</v>
      </c>
      <c r="K685" t="n">
        <v>0</v>
      </c>
      <c r="L685" t="n">
        <v>0</v>
      </c>
      <c r="M685" t="n">
        <v>0</v>
      </c>
      <c r="N685" t="n">
        <v>0</v>
      </c>
      <c r="O685" t="n">
        <v>0</v>
      </c>
      <c r="P685" t="n">
        <v>0</v>
      </c>
      <c r="Q685" t="n">
        <v>0</v>
      </c>
      <c r="R685" s="2" t="inlineStr"/>
    </row>
    <row r="686" ht="15" customHeight="1">
      <c r="A686" t="inlineStr">
        <is>
          <t>A 20191-2025</t>
        </is>
      </c>
      <c r="B686" s="1" t="n">
        <v>45772</v>
      </c>
      <c r="C686" s="1" t="n">
        <v>46117</v>
      </c>
      <c r="D686" t="inlineStr">
        <is>
          <t>VÄRMLANDS LÄN</t>
        </is>
      </c>
      <c r="E686" t="inlineStr">
        <is>
          <t>TORSBY</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25961-2025</t>
        </is>
      </c>
      <c r="B687" s="1" t="n">
        <v>45804</v>
      </c>
      <c r="C687" s="1" t="n">
        <v>46117</v>
      </c>
      <c r="D687" t="inlineStr">
        <is>
          <t>VÄRMLANDS LÄN</t>
        </is>
      </c>
      <c r="E687" t="inlineStr">
        <is>
          <t>TORSBY</t>
        </is>
      </c>
      <c r="G687" t="n">
        <v>17.8</v>
      </c>
      <c r="H687" t="n">
        <v>0</v>
      </c>
      <c r="I687" t="n">
        <v>0</v>
      </c>
      <c r="J687" t="n">
        <v>0</v>
      </c>
      <c r="K687" t="n">
        <v>0</v>
      </c>
      <c r="L687" t="n">
        <v>0</v>
      </c>
      <c r="M687" t="n">
        <v>0</v>
      </c>
      <c r="N687" t="n">
        <v>0</v>
      </c>
      <c r="O687" t="n">
        <v>0</v>
      </c>
      <c r="P687" t="n">
        <v>0</v>
      </c>
      <c r="Q687" t="n">
        <v>0</v>
      </c>
      <c r="R687" s="2" t="inlineStr"/>
    </row>
    <row r="688" ht="15" customHeight="1">
      <c r="A688" t="inlineStr">
        <is>
          <t>A 36477-2025</t>
        </is>
      </c>
      <c r="B688" s="1" t="n">
        <v>45869</v>
      </c>
      <c r="C688" s="1" t="n">
        <v>46117</v>
      </c>
      <c r="D688" t="inlineStr">
        <is>
          <t>VÄRMLANDS LÄN</t>
        </is>
      </c>
      <c r="E688" t="inlineStr">
        <is>
          <t>TORSBY</t>
        </is>
      </c>
      <c r="G688" t="n">
        <v>7.5</v>
      </c>
      <c r="H688" t="n">
        <v>0</v>
      </c>
      <c r="I688" t="n">
        <v>0</v>
      </c>
      <c r="J688" t="n">
        <v>0</v>
      </c>
      <c r="K688" t="n">
        <v>0</v>
      </c>
      <c r="L688" t="n">
        <v>0</v>
      </c>
      <c r="M688" t="n">
        <v>0</v>
      </c>
      <c r="N688" t="n">
        <v>0</v>
      </c>
      <c r="O688" t="n">
        <v>0</v>
      </c>
      <c r="P688" t="n">
        <v>0</v>
      </c>
      <c r="Q688" t="n">
        <v>0</v>
      </c>
      <c r="R688" s="2" t="inlineStr"/>
    </row>
    <row r="689" ht="15" customHeight="1">
      <c r="A689" t="inlineStr">
        <is>
          <t>A 36548-2025</t>
        </is>
      </c>
      <c r="B689" s="1" t="n">
        <v>45869.74849537037</v>
      </c>
      <c r="C689" s="1" t="n">
        <v>46117</v>
      </c>
      <c r="D689" t="inlineStr">
        <is>
          <t>VÄRMLANDS LÄN</t>
        </is>
      </c>
      <c r="E689" t="inlineStr">
        <is>
          <t>TORSBY</t>
        </is>
      </c>
      <c r="G689" t="n">
        <v>7.1</v>
      </c>
      <c r="H689" t="n">
        <v>0</v>
      </c>
      <c r="I689" t="n">
        <v>0</v>
      </c>
      <c r="J689" t="n">
        <v>0</v>
      </c>
      <c r="K689" t="n">
        <v>0</v>
      </c>
      <c r="L689" t="n">
        <v>0</v>
      </c>
      <c r="M689" t="n">
        <v>0</v>
      </c>
      <c r="N689" t="n">
        <v>0</v>
      </c>
      <c r="O689" t="n">
        <v>0</v>
      </c>
      <c r="P689" t="n">
        <v>0</v>
      </c>
      <c r="Q689" t="n">
        <v>0</v>
      </c>
      <c r="R689" s="2" t="inlineStr"/>
    </row>
    <row r="690" ht="15" customHeight="1">
      <c r="A690" t="inlineStr">
        <is>
          <t>A 14023-2025</t>
        </is>
      </c>
      <c r="B690" s="1" t="n">
        <v>45740</v>
      </c>
      <c r="C690" s="1" t="n">
        <v>46117</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36483-2025</t>
        </is>
      </c>
      <c r="B691" s="1" t="n">
        <v>45869</v>
      </c>
      <c r="C691" s="1" t="n">
        <v>46117</v>
      </c>
      <c r="D691" t="inlineStr">
        <is>
          <t>VÄRMLANDS LÄN</t>
        </is>
      </c>
      <c r="E691" t="inlineStr">
        <is>
          <t>TORSBY</t>
        </is>
      </c>
      <c r="G691" t="n">
        <v>1.9</v>
      </c>
      <c r="H691" t="n">
        <v>0</v>
      </c>
      <c r="I691" t="n">
        <v>0</v>
      </c>
      <c r="J691" t="n">
        <v>0</v>
      </c>
      <c r="K691" t="n">
        <v>0</v>
      </c>
      <c r="L691" t="n">
        <v>0</v>
      </c>
      <c r="M691" t="n">
        <v>0</v>
      </c>
      <c r="N691" t="n">
        <v>0</v>
      </c>
      <c r="O691" t="n">
        <v>0</v>
      </c>
      <c r="P691" t="n">
        <v>0</v>
      </c>
      <c r="Q691" t="n">
        <v>0</v>
      </c>
      <c r="R691" s="2" t="inlineStr"/>
    </row>
    <row r="692" ht="15" customHeight="1">
      <c r="A692" t="inlineStr">
        <is>
          <t>A 39033-2025</t>
        </is>
      </c>
      <c r="B692" s="1" t="n">
        <v>45888</v>
      </c>
      <c r="C692" s="1" t="n">
        <v>46117</v>
      </c>
      <c r="D692" t="inlineStr">
        <is>
          <t>VÄRMLANDS LÄN</t>
        </is>
      </c>
      <c r="E692" t="inlineStr">
        <is>
          <t>TORSBY</t>
        </is>
      </c>
      <c r="G692" t="n">
        <v>6.4</v>
      </c>
      <c r="H692" t="n">
        <v>0</v>
      </c>
      <c r="I692" t="n">
        <v>0</v>
      </c>
      <c r="J692" t="n">
        <v>0</v>
      </c>
      <c r="K692" t="n">
        <v>0</v>
      </c>
      <c r="L692" t="n">
        <v>0</v>
      </c>
      <c r="M692" t="n">
        <v>0</v>
      </c>
      <c r="N692" t="n">
        <v>0</v>
      </c>
      <c r="O692" t="n">
        <v>0</v>
      </c>
      <c r="P692" t="n">
        <v>0</v>
      </c>
      <c r="Q692" t="n">
        <v>0</v>
      </c>
      <c r="R692" s="2" t="inlineStr"/>
    </row>
    <row r="693" ht="15" customHeight="1">
      <c r="A693" t="inlineStr">
        <is>
          <t>A 18684-2025</t>
        </is>
      </c>
      <c r="B693" s="1" t="n">
        <v>45763.61064814815</v>
      </c>
      <c r="C693" s="1" t="n">
        <v>46117</v>
      </c>
      <c r="D693" t="inlineStr">
        <is>
          <t>VÄRMLANDS LÄN</t>
        </is>
      </c>
      <c r="E693" t="inlineStr">
        <is>
          <t>TORSBY</t>
        </is>
      </c>
      <c r="G693" t="n">
        <v>4.5</v>
      </c>
      <c r="H693" t="n">
        <v>0</v>
      </c>
      <c r="I693" t="n">
        <v>0</v>
      </c>
      <c r="J693" t="n">
        <v>0</v>
      </c>
      <c r="K693" t="n">
        <v>0</v>
      </c>
      <c r="L693" t="n">
        <v>0</v>
      </c>
      <c r="M693" t="n">
        <v>0</v>
      </c>
      <c r="N693" t="n">
        <v>0</v>
      </c>
      <c r="O693" t="n">
        <v>0</v>
      </c>
      <c r="P693" t="n">
        <v>0</v>
      </c>
      <c r="Q693" t="n">
        <v>0</v>
      </c>
      <c r="R693" s="2" t="inlineStr"/>
    </row>
    <row r="694" ht="15" customHeight="1">
      <c r="A694" t="inlineStr">
        <is>
          <t>A 36530-2025</t>
        </is>
      </c>
      <c r="B694" s="1" t="n">
        <v>45869.61282407407</v>
      </c>
      <c r="C694" s="1" t="n">
        <v>46117</v>
      </c>
      <c r="D694" t="inlineStr">
        <is>
          <t>VÄRMLANDS LÄN</t>
        </is>
      </c>
      <c r="E694" t="inlineStr">
        <is>
          <t>TORSBY</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46343-2024</t>
        </is>
      </c>
      <c r="B695" s="1" t="n">
        <v>45582</v>
      </c>
      <c r="C695" s="1" t="n">
        <v>46117</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3678-2024</t>
        </is>
      </c>
      <c r="B696" s="1" t="n">
        <v>45321.37844907407</v>
      </c>
      <c r="C696" s="1" t="n">
        <v>46117</v>
      </c>
      <c r="D696" t="inlineStr">
        <is>
          <t>VÄRMLANDS LÄN</t>
        </is>
      </c>
      <c r="E696" t="inlineStr">
        <is>
          <t>TORSBY</t>
        </is>
      </c>
      <c r="G696" t="n">
        <v>24.6</v>
      </c>
      <c r="H696" t="n">
        <v>0</v>
      </c>
      <c r="I696" t="n">
        <v>0</v>
      </c>
      <c r="J696" t="n">
        <v>0</v>
      </c>
      <c r="K696" t="n">
        <v>0</v>
      </c>
      <c r="L696" t="n">
        <v>0</v>
      </c>
      <c r="M696" t="n">
        <v>0</v>
      </c>
      <c r="N696" t="n">
        <v>0</v>
      </c>
      <c r="O696" t="n">
        <v>0</v>
      </c>
      <c r="P696" t="n">
        <v>0</v>
      </c>
      <c r="Q696" t="n">
        <v>0</v>
      </c>
      <c r="R696" s="2" t="inlineStr"/>
    </row>
    <row r="697" ht="15" customHeight="1">
      <c r="A697" t="inlineStr">
        <is>
          <t>A 51386-2023</t>
        </is>
      </c>
      <c r="B697" s="1" t="n">
        <v>45219.65394675926</v>
      </c>
      <c r="C697" s="1" t="n">
        <v>46117</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39039-2025</t>
        </is>
      </c>
      <c r="B698" s="1" t="n">
        <v>45888.42684027777</v>
      </c>
      <c r="C698" s="1" t="n">
        <v>46117</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39059-2025</t>
        </is>
      </c>
      <c r="B699" s="1" t="n">
        <v>45888</v>
      </c>
      <c r="C699" s="1" t="n">
        <v>46117</v>
      </c>
      <c r="D699" t="inlineStr">
        <is>
          <t>VÄRMLANDS LÄN</t>
        </is>
      </c>
      <c r="E699" t="inlineStr">
        <is>
          <t>TORSBY</t>
        </is>
      </c>
      <c r="G699" t="n">
        <v>8.6</v>
      </c>
      <c r="H699" t="n">
        <v>0</v>
      </c>
      <c r="I699" t="n">
        <v>0</v>
      </c>
      <c r="J699" t="n">
        <v>0</v>
      </c>
      <c r="K699" t="n">
        <v>0</v>
      </c>
      <c r="L699" t="n">
        <v>0</v>
      </c>
      <c r="M699" t="n">
        <v>0</v>
      </c>
      <c r="N699" t="n">
        <v>0</v>
      </c>
      <c r="O699" t="n">
        <v>0</v>
      </c>
      <c r="P699" t="n">
        <v>0</v>
      </c>
      <c r="Q699" t="n">
        <v>0</v>
      </c>
      <c r="R699" s="2" t="inlineStr"/>
    </row>
    <row r="700" ht="15" customHeight="1">
      <c r="A700" t="inlineStr">
        <is>
          <t>A 39321-2025</t>
        </is>
      </c>
      <c r="B700" s="1" t="n">
        <v>45889</v>
      </c>
      <c r="C700" s="1" t="n">
        <v>46117</v>
      </c>
      <c r="D700" t="inlineStr">
        <is>
          <t>VÄRMLANDS LÄN</t>
        </is>
      </c>
      <c r="E700" t="inlineStr">
        <is>
          <t>TORSBY</t>
        </is>
      </c>
      <c r="F700" t="inlineStr">
        <is>
          <t>Bergvik skog väst AB</t>
        </is>
      </c>
      <c r="G700" t="n">
        <v>47.1</v>
      </c>
      <c r="H700" t="n">
        <v>0</v>
      </c>
      <c r="I700" t="n">
        <v>0</v>
      </c>
      <c r="J700" t="n">
        <v>0</v>
      </c>
      <c r="K700" t="n">
        <v>0</v>
      </c>
      <c r="L700" t="n">
        <v>0</v>
      </c>
      <c r="M700" t="n">
        <v>0</v>
      </c>
      <c r="N700" t="n">
        <v>0</v>
      </c>
      <c r="O700" t="n">
        <v>0</v>
      </c>
      <c r="P700" t="n">
        <v>0</v>
      </c>
      <c r="Q700" t="n">
        <v>0</v>
      </c>
      <c r="R700" s="2" t="inlineStr"/>
    </row>
    <row r="701" ht="15" customHeight="1">
      <c r="A701" t="inlineStr">
        <is>
          <t>A 54885-2022</t>
        </is>
      </c>
      <c r="B701" s="1" t="n">
        <v>44886</v>
      </c>
      <c r="C701" s="1" t="n">
        <v>46117</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39648-2023</t>
        </is>
      </c>
      <c r="B702" s="1" t="n">
        <v>45167.5528587963</v>
      </c>
      <c r="C702" s="1" t="n">
        <v>46117</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38979-2025</t>
        </is>
      </c>
      <c r="B703" s="1" t="n">
        <v>45887.99758101852</v>
      </c>
      <c r="C703" s="1" t="n">
        <v>46117</v>
      </c>
      <c r="D703" t="inlineStr">
        <is>
          <t>VÄRMLANDS LÄN</t>
        </is>
      </c>
      <c r="E703" t="inlineStr">
        <is>
          <t>TORSBY</t>
        </is>
      </c>
      <c r="G703" t="n">
        <v>5</v>
      </c>
      <c r="H703" t="n">
        <v>0</v>
      </c>
      <c r="I703" t="n">
        <v>0</v>
      </c>
      <c r="J703" t="n">
        <v>0</v>
      </c>
      <c r="K703" t="n">
        <v>0</v>
      </c>
      <c r="L703" t="n">
        <v>0</v>
      </c>
      <c r="M703" t="n">
        <v>0</v>
      </c>
      <c r="N703" t="n">
        <v>0</v>
      </c>
      <c r="O703" t="n">
        <v>0</v>
      </c>
      <c r="P703" t="n">
        <v>0</v>
      </c>
      <c r="Q703" t="n">
        <v>0</v>
      </c>
      <c r="R703" s="2" t="inlineStr"/>
    </row>
    <row r="704" ht="15" customHeight="1">
      <c r="A704" t="inlineStr">
        <is>
          <t>A 51823-2024</t>
        </is>
      </c>
      <c r="B704" s="1" t="n">
        <v>45607</v>
      </c>
      <c r="C704" s="1" t="n">
        <v>46117</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39454-2025</t>
        </is>
      </c>
      <c r="B705" s="1" t="n">
        <v>45889.7462962963</v>
      </c>
      <c r="C705" s="1" t="n">
        <v>46117</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39815-2025</t>
        </is>
      </c>
      <c r="B706" s="1" t="n">
        <v>45891.52760416667</v>
      </c>
      <c r="C706" s="1" t="n">
        <v>46117</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39652-2025</t>
        </is>
      </c>
      <c r="B707" s="1" t="n">
        <v>45890.61689814815</v>
      </c>
      <c r="C707" s="1" t="n">
        <v>46117</v>
      </c>
      <c r="D707" t="inlineStr">
        <is>
          <t>VÄRMLANDS LÄN</t>
        </is>
      </c>
      <c r="E707" t="inlineStr">
        <is>
          <t>TORSBY</t>
        </is>
      </c>
      <c r="G707" t="n">
        <v>3.1</v>
      </c>
      <c r="H707" t="n">
        <v>0</v>
      </c>
      <c r="I707" t="n">
        <v>0</v>
      </c>
      <c r="J707" t="n">
        <v>0</v>
      </c>
      <c r="K707" t="n">
        <v>0</v>
      </c>
      <c r="L707" t="n">
        <v>0</v>
      </c>
      <c r="M707" t="n">
        <v>0</v>
      </c>
      <c r="N707" t="n">
        <v>0</v>
      </c>
      <c r="O707" t="n">
        <v>0</v>
      </c>
      <c r="P707" t="n">
        <v>0</v>
      </c>
      <c r="Q707" t="n">
        <v>0</v>
      </c>
      <c r="R707" s="2" t="inlineStr"/>
    </row>
    <row r="708" ht="15" customHeight="1">
      <c r="A708" t="inlineStr">
        <is>
          <t>A 38298-2021</t>
        </is>
      </c>
      <c r="B708" s="1" t="n">
        <v>44406</v>
      </c>
      <c r="C708" s="1" t="n">
        <v>46117</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1512-2025</t>
        </is>
      </c>
      <c r="B709" s="1" t="n">
        <v>45670.45255787037</v>
      </c>
      <c r="C709" s="1" t="n">
        <v>46117</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39743-2025</t>
        </is>
      </c>
      <c r="B710" s="1" t="n">
        <v>45891</v>
      </c>
      <c r="C710" s="1" t="n">
        <v>46117</v>
      </c>
      <c r="D710" t="inlineStr">
        <is>
          <t>VÄRMLANDS LÄN</t>
        </is>
      </c>
      <c r="E710" t="inlineStr">
        <is>
          <t>TORSBY</t>
        </is>
      </c>
      <c r="F710" t="inlineStr">
        <is>
          <t>Bergvik skog väst AB</t>
        </is>
      </c>
      <c r="G710" t="n">
        <v>2.5</v>
      </c>
      <c r="H710" t="n">
        <v>0</v>
      </c>
      <c r="I710" t="n">
        <v>0</v>
      </c>
      <c r="J710" t="n">
        <v>0</v>
      </c>
      <c r="K710" t="n">
        <v>0</v>
      </c>
      <c r="L710" t="n">
        <v>0</v>
      </c>
      <c r="M710" t="n">
        <v>0</v>
      </c>
      <c r="N710" t="n">
        <v>0</v>
      </c>
      <c r="O710" t="n">
        <v>0</v>
      </c>
      <c r="P710" t="n">
        <v>0</v>
      </c>
      <c r="Q710" t="n">
        <v>0</v>
      </c>
      <c r="R710" s="2" t="inlineStr"/>
    </row>
    <row r="711" ht="15" customHeight="1">
      <c r="A711" t="inlineStr">
        <is>
          <t>A 39731-2025</t>
        </is>
      </c>
      <c r="B711" s="1" t="n">
        <v>45891</v>
      </c>
      <c r="C711" s="1" t="n">
        <v>46117</v>
      </c>
      <c r="D711" t="inlineStr">
        <is>
          <t>VÄRMLANDS LÄN</t>
        </is>
      </c>
      <c r="E711" t="inlineStr">
        <is>
          <t>TORSBY</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39499-2025</t>
        </is>
      </c>
      <c r="B712" s="1" t="n">
        <v>45890</v>
      </c>
      <c r="C712" s="1" t="n">
        <v>46117</v>
      </c>
      <c r="D712" t="inlineStr">
        <is>
          <t>VÄRMLANDS LÄN</t>
        </is>
      </c>
      <c r="E712" t="inlineStr">
        <is>
          <t>TORSBY</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24717-2024</t>
        </is>
      </c>
      <c r="B713" s="1" t="n">
        <v>45460</v>
      </c>
      <c r="C713" s="1" t="n">
        <v>46117</v>
      </c>
      <c r="D713" t="inlineStr">
        <is>
          <t>VÄRMLANDS LÄN</t>
        </is>
      </c>
      <c r="E713" t="inlineStr">
        <is>
          <t>TORSBY</t>
        </is>
      </c>
      <c r="F713" t="inlineStr">
        <is>
          <t>Övriga statliga verk och myndigheter</t>
        </is>
      </c>
      <c r="G713" t="n">
        <v>2.1</v>
      </c>
      <c r="H713" t="n">
        <v>0</v>
      </c>
      <c r="I713" t="n">
        <v>0</v>
      </c>
      <c r="J713" t="n">
        <v>0</v>
      </c>
      <c r="K713" t="n">
        <v>0</v>
      </c>
      <c r="L713" t="n">
        <v>0</v>
      </c>
      <c r="M713" t="n">
        <v>0</v>
      </c>
      <c r="N713" t="n">
        <v>0</v>
      </c>
      <c r="O713" t="n">
        <v>0</v>
      </c>
      <c r="P713" t="n">
        <v>0</v>
      </c>
      <c r="Q713" t="n">
        <v>0</v>
      </c>
      <c r="R713" s="2" t="inlineStr"/>
    </row>
    <row r="714" ht="15" customHeight="1">
      <c r="A714" t="inlineStr">
        <is>
          <t>A 39845-2025</t>
        </is>
      </c>
      <c r="B714" s="1" t="n">
        <v>45891</v>
      </c>
      <c r="C714" s="1" t="n">
        <v>46117</v>
      </c>
      <c r="D714" t="inlineStr">
        <is>
          <t>VÄRMLANDS LÄN</t>
        </is>
      </c>
      <c r="E714" t="inlineStr">
        <is>
          <t>TORSBY</t>
        </is>
      </c>
      <c r="F714" t="inlineStr">
        <is>
          <t>Bergvik skog väst AB</t>
        </is>
      </c>
      <c r="G714" t="n">
        <v>14.1</v>
      </c>
      <c r="H714" t="n">
        <v>0</v>
      </c>
      <c r="I714" t="n">
        <v>0</v>
      </c>
      <c r="J714" t="n">
        <v>0</v>
      </c>
      <c r="K714" t="n">
        <v>0</v>
      </c>
      <c r="L714" t="n">
        <v>0</v>
      </c>
      <c r="M714" t="n">
        <v>0</v>
      </c>
      <c r="N714" t="n">
        <v>0</v>
      </c>
      <c r="O714" t="n">
        <v>0</v>
      </c>
      <c r="P714" t="n">
        <v>0</v>
      </c>
      <c r="Q714" t="n">
        <v>0</v>
      </c>
      <c r="R714" s="2" t="inlineStr"/>
    </row>
    <row r="715" ht="15" customHeight="1">
      <c r="A715" t="inlineStr">
        <is>
          <t>A 39565-2025</t>
        </is>
      </c>
      <c r="B715" s="1" t="n">
        <v>45890</v>
      </c>
      <c r="C715" s="1" t="n">
        <v>46117</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36498-2025</t>
        </is>
      </c>
      <c r="B716" s="1" t="n">
        <v>45869</v>
      </c>
      <c r="C716" s="1" t="n">
        <v>46117</v>
      </c>
      <c r="D716" t="inlineStr">
        <is>
          <t>VÄRMLANDS LÄN</t>
        </is>
      </c>
      <c r="E716" t="inlineStr">
        <is>
          <t>TORSBY</t>
        </is>
      </c>
      <c r="F716" t="inlineStr">
        <is>
          <t>Bergvik skog väst AB</t>
        </is>
      </c>
      <c r="G716" t="n">
        <v>10.4</v>
      </c>
      <c r="H716" t="n">
        <v>0</v>
      </c>
      <c r="I716" t="n">
        <v>0</v>
      </c>
      <c r="J716" t="n">
        <v>0</v>
      </c>
      <c r="K716" t="n">
        <v>0</v>
      </c>
      <c r="L716" t="n">
        <v>0</v>
      </c>
      <c r="M716" t="n">
        <v>0</v>
      </c>
      <c r="N716" t="n">
        <v>0</v>
      </c>
      <c r="O716" t="n">
        <v>0</v>
      </c>
      <c r="P716" t="n">
        <v>0</v>
      </c>
      <c r="Q716" t="n">
        <v>0</v>
      </c>
      <c r="R716" s="2" t="inlineStr"/>
    </row>
    <row r="717" ht="15" customHeight="1">
      <c r="A717" t="inlineStr">
        <is>
          <t>A 36500-2025</t>
        </is>
      </c>
      <c r="B717" s="1" t="n">
        <v>45869</v>
      </c>
      <c r="C717" s="1" t="n">
        <v>46117</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24170-2023</t>
        </is>
      </c>
      <c r="B718" s="1" t="n">
        <v>45079</v>
      </c>
      <c r="C718" s="1" t="n">
        <v>46117</v>
      </c>
      <c r="D718" t="inlineStr">
        <is>
          <t>VÄRMLANDS LÄN</t>
        </is>
      </c>
      <c r="E718" t="inlineStr">
        <is>
          <t>TORSBY</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49717-2023</t>
        </is>
      </c>
      <c r="B719" s="1" t="n">
        <v>45208</v>
      </c>
      <c r="C719" s="1" t="n">
        <v>46117</v>
      </c>
      <c r="D719" t="inlineStr">
        <is>
          <t>VÄRMLANDS LÄN</t>
        </is>
      </c>
      <c r="E719" t="inlineStr">
        <is>
          <t>TORSBY</t>
        </is>
      </c>
      <c r="G719" t="n">
        <v>5.9</v>
      </c>
      <c r="H719" t="n">
        <v>0</v>
      </c>
      <c r="I719" t="n">
        <v>0</v>
      </c>
      <c r="J719" t="n">
        <v>0</v>
      </c>
      <c r="K719" t="n">
        <v>0</v>
      </c>
      <c r="L719" t="n">
        <v>0</v>
      </c>
      <c r="M719" t="n">
        <v>0</v>
      </c>
      <c r="N719" t="n">
        <v>0</v>
      </c>
      <c r="O719" t="n">
        <v>0</v>
      </c>
      <c r="P719" t="n">
        <v>0</v>
      </c>
      <c r="Q719" t="n">
        <v>0</v>
      </c>
      <c r="R719" s="2" t="inlineStr"/>
    </row>
    <row r="720" ht="15" customHeight="1">
      <c r="A720" t="inlineStr">
        <is>
          <t>A 39473-2025</t>
        </is>
      </c>
      <c r="B720" s="1" t="n">
        <v>45890</v>
      </c>
      <c r="C720" s="1" t="n">
        <v>46117</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39919-2025</t>
        </is>
      </c>
      <c r="B721" s="1" t="n">
        <v>45891.66664351852</v>
      </c>
      <c r="C721" s="1" t="n">
        <v>46117</v>
      </c>
      <c r="D721" t="inlineStr">
        <is>
          <t>VÄRMLANDS LÄN</t>
        </is>
      </c>
      <c r="E721" t="inlineStr">
        <is>
          <t>TORSBY</t>
        </is>
      </c>
      <c r="F721" t="inlineStr">
        <is>
          <t>Bergvik skog väst AB</t>
        </is>
      </c>
      <c r="G721" t="n">
        <v>1.9</v>
      </c>
      <c r="H721" t="n">
        <v>0</v>
      </c>
      <c r="I721" t="n">
        <v>0</v>
      </c>
      <c r="J721" t="n">
        <v>0</v>
      </c>
      <c r="K721" t="n">
        <v>0</v>
      </c>
      <c r="L721" t="n">
        <v>0</v>
      </c>
      <c r="M721" t="n">
        <v>0</v>
      </c>
      <c r="N721" t="n">
        <v>0</v>
      </c>
      <c r="O721" t="n">
        <v>0</v>
      </c>
      <c r="P721" t="n">
        <v>0</v>
      </c>
      <c r="Q721" t="n">
        <v>0</v>
      </c>
      <c r="R721" s="2" t="inlineStr"/>
    </row>
    <row r="722" ht="15" customHeight="1">
      <c r="A722" t="inlineStr">
        <is>
          <t>A 40470-2023</t>
        </is>
      </c>
      <c r="B722" s="1" t="n">
        <v>45170</v>
      </c>
      <c r="C722" s="1" t="n">
        <v>46117</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24580-2025</t>
        </is>
      </c>
      <c r="B723" s="1" t="n">
        <v>45798</v>
      </c>
      <c r="C723" s="1" t="n">
        <v>46117</v>
      </c>
      <c r="D723" t="inlineStr">
        <is>
          <t>VÄRMLANDS LÄN</t>
        </is>
      </c>
      <c r="E723" t="inlineStr">
        <is>
          <t>TORSBY</t>
        </is>
      </c>
      <c r="G723" t="n">
        <v>12.2</v>
      </c>
      <c r="H723" t="n">
        <v>0</v>
      </c>
      <c r="I723" t="n">
        <v>0</v>
      </c>
      <c r="J723" t="n">
        <v>0</v>
      </c>
      <c r="K723" t="n">
        <v>0</v>
      </c>
      <c r="L723" t="n">
        <v>0</v>
      </c>
      <c r="M723" t="n">
        <v>0</v>
      </c>
      <c r="N723" t="n">
        <v>0</v>
      </c>
      <c r="O723" t="n">
        <v>0</v>
      </c>
      <c r="P723" t="n">
        <v>0</v>
      </c>
      <c r="Q723" t="n">
        <v>0</v>
      </c>
      <c r="R723" s="2" t="inlineStr"/>
    </row>
    <row r="724" ht="15" customHeight="1">
      <c r="A724" t="inlineStr">
        <is>
          <t>A 1092-2025</t>
        </is>
      </c>
      <c r="B724" s="1" t="n">
        <v>45666.6333912037</v>
      </c>
      <c r="C724" s="1" t="n">
        <v>46117</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22463-2021</t>
        </is>
      </c>
      <c r="B725" s="1" t="n">
        <v>44326.67366898148</v>
      </c>
      <c r="C725" s="1" t="n">
        <v>46117</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40034-2025</t>
        </is>
      </c>
      <c r="B726" s="1" t="n">
        <v>45894.38159722222</v>
      </c>
      <c r="C726" s="1" t="n">
        <v>46117</v>
      </c>
      <c r="D726" t="inlineStr">
        <is>
          <t>VÄRMLANDS LÄN</t>
        </is>
      </c>
      <c r="E726" t="inlineStr">
        <is>
          <t>TORSBY</t>
        </is>
      </c>
      <c r="G726" t="n">
        <v>5.3</v>
      </c>
      <c r="H726" t="n">
        <v>0</v>
      </c>
      <c r="I726" t="n">
        <v>0</v>
      </c>
      <c r="J726" t="n">
        <v>0</v>
      </c>
      <c r="K726" t="n">
        <v>0</v>
      </c>
      <c r="L726" t="n">
        <v>0</v>
      </c>
      <c r="M726" t="n">
        <v>0</v>
      </c>
      <c r="N726" t="n">
        <v>0</v>
      </c>
      <c r="O726" t="n">
        <v>0</v>
      </c>
      <c r="P726" t="n">
        <v>0</v>
      </c>
      <c r="Q726" t="n">
        <v>0</v>
      </c>
      <c r="R726" s="2" t="inlineStr"/>
    </row>
    <row r="727" ht="15" customHeight="1">
      <c r="A727" t="inlineStr">
        <is>
          <t>A 63032-2023</t>
        </is>
      </c>
      <c r="B727" s="1" t="n">
        <v>45272.72728009259</v>
      </c>
      <c r="C727" s="1" t="n">
        <v>46117</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36920-2025</t>
        </is>
      </c>
      <c r="B728" s="1" t="n">
        <v>45874</v>
      </c>
      <c r="C728" s="1" t="n">
        <v>46117</v>
      </c>
      <c r="D728" t="inlineStr">
        <is>
          <t>VÄRMLANDS LÄN</t>
        </is>
      </c>
      <c r="E728" t="inlineStr">
        <is>
          <t>TORSBY</t>
        </is>
      </c>
      <c r="F728" t="inlineStr">
        <is>
          <t>Bergvik skog väst AB</t>
        </is>
      </c>
      <c r="G728" t="n">
        <v>15.9</v>
      </c>
      <c r="H728" t="n">
        <v>0</v>
      </c>
      <c r="I728" t="n">
        <v>0</v>
      </c>
      <c r="J728" t="n">
        <v>0</v>
      </c>
      <c r="K728" t="n">
        <v>0</v>
      </c>
      <c r="L728" t="n">
        <v>0</v>
      </c>
      <c r="M728" t="n">
        <v>0</v>
      </c>
      <c r="N728" t="n">
        <v>0</v>
      </c>
      <c r="O728" t="n">
        <v>0</v>
      </c>
      <c r="P728" t="n">
        <v>0</v>
      </c>
      <c r="Q728" t="n">
        <v>0</v>
      </c>
      <c r="R728" s="2" t="inlineStr"/>
    </row>
    <row r="729" ht="15" customHeight="1">
      <c r="A729" t="inlineStr">
        <is>
          <t>A 40195-2025</t>
        </is>
      </c>
      <c r="B729" s="1" t="n">
        <v>45894.65922453703</v>
      </c>
      <c r="C729" s="1" t="n">
        <v>46117</v>
      </c>
      <c r="D729" t="inlineStr">
        <is>
          <t>VÄRMLANDS LÄN</t>
        </is>
      </c>
      <c r="E729" t="inlineStr">
        <is>
          <t>TORSBY</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36856-2025</t>
        </is>
      </c>
      <c r="B730" s="1" t="n">
        <v>45874.40421296296</v>
      </c>
      <c r="C730" s="1" t="n">
        <v>46117</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34500-2024</t>
        </is>
      </c>
      <c r="B731" s="1" t="n">
        <v>45525</v>
      </c>
      <c r="C731" s="1" t="n">
        <v>46117</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40051-2025</t>
        </is>
      </c>
      <c r="B732" s="1" t="n">
        <v>45894.40730324074</v>
      </c>
      <c r="C732" s="1" t="n">
        <v>46117</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18115-2025</t>
        </is>
      </c>
      <c r="B733" s="1" t="n">
        <v>45761</v>
      </c>
      <c r="C733" s="1" t="n">
        <v>46117</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56634-2024</t>
        </is>
      </c>
      <c r="B734" s="1" t="n">
        <v>45625.68491898148</v>
      </c>
      <c r="C734" s="1" t="n">
        <v>46117</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18096-2025</t>
        </is>
      </c>
      <c r="B735" s="1" t="n">
        <v>45761</v>
      </c>
      <c r="C735" s="1" t="n">
        <v>46117</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24827-2025</t>
        </is>
      </c>
      <c r="B736" s="1" t="n">
        <v>45799</v>
      </c>
      <c r="C736" s="1" t="n">
        <v>46117</v>
      </c>
      <c r="D736" t="inlineStr">
        <is>
          <t>VÄRMLANDS LÄN</t>
        </is>
      </c>
      <c r="E736" t="inlineStr">
        <is>
          <t>TORSBY</t>
        </is>
      </c>
      <c r="G736" t="n">
        <v>27.5</v>
      </c>
      <c r="H736" t="n">
        <v>0</v>
      </c>
      <c r="I736" t="n">
        <v>0</v>
      </c>
      <c r="J736" t="n">
        <v>0</v>
      </c>
      <c r="K736" t="n">
        <v>0</v>
      </c>
      <c r="L736" t="n">
        <v>0</v>
      </c>
      <c r="M736" t="n">
        <v>0</v>
      </c>
      <c r="N736" t="n">
        <v>0</v>
      </c>
      <c r="O736" t="n">
        <v>0</v>
      </c>
      <c r="P736" t="n">
        <v>0</v>
      </c>
      <c r="Q736" t="n">
        <v>0</v>
      </c>
      <c r="R736" s="2" t="inlineStr"/>
    </row>
    <row r="737" ht="15" customHeight="1">
      <c r="A737" t="inlineStr">
        <is>
          <t>A 37260-2025</t>
        </is>
      </c>
      <c r="B737" s="1" t="n">
        <v>45876</v>
      </c>
      <c r="C737" s="1" t="n">
        <v>46117</v>
      </c>
      <c r="D737" t="inlineStr">
        <is>
          <t>VÄRMLANDS LÄN</t>
        </is>
      </c>
      <c r="E737" t="inlineStr">
        <is>
          <t>TORSBY</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20898-2023</t>
        </is>
      </c>
      <c r="B738" s="1" t="n">
        <v>45059</v>
      </c>
      <c r="C738" s="1" t="n">
        <v>46117</v>
      </c>
      <c r="D738" t="inlineStr">
        <is>
          <t>VÄRMLANDS LÄN</t>
        </is>
      </c>
      <c r="E738" t="inlineStr">
        <is>
          <t>TORSBY</t>
        </is>
      </c>
      <c r="G738" t="n">
        <v>3.1</v>
      </c>
      <c r="H738" t="n">
        <v>0</v>
      </c>
      <c r="I738" t="n">
        <v>0</v>
      </c>
      <c r="J738" t="n">
        <v>0</v>
      </c>
      <c r="K738" t="n">
        <v>0</v>
      </c>
      <c r="L738" t="n">
        <v>0</v>
      </c>
      <c r="M738" t="n">
        <v>0</v>
      </c>
      <c r="N738" t="n">
        <v>0</v>
      </c>
      <c r="O738" t="n">
        <v>0</v>
      </c>
      <c r="P738" t="n">
        <v>0</v>
      </c>
      <c r="Q738" t="n">
        <v>0</v>
      </c>
      <c r="R738" s="2" t="inlineStr"/>
    </row>
    <row r="739" ht="15" customHeight="1">
      <c r="A739" t="inlineStr">
        <is>
          <t>A 60314-2023</t>
        </is>
      </c>
      <c r="B739" s="1" t="n">
        <v>45258.87101851852</v>
      </c>
      <c r="C739" s="1" t="n">
        <v>46117</v>
      </c>
      <c r="D739" t="inlineStr">
        <is>
          <t>VÄRMLANDS LÄN</t>
        </is>
      </c>
      <c r="E739" t="inlineStr">
        <is>
          <t>TORSBY</t>
        </is>
      </c>
      <c r="G739" t="n">
        <v>0.1</v>
      </c>
      <c r="H739" t="n">
        <v>0</v>
      </c>
      <c r="I739" t="n">
        <v>0</v>
      </c>
      <c r="J739" t="n">
        <v>0</v>
      </c>
      <c r="K739" t="n">
        <v>0</v>
      </c>
      <c r="L739" t="n">
        <v>0</v>
      </c>
      <c r="M739" t="n">
        <v>0</v>
      </c>
      <c r="N739" t="n">
        <v>0</v>
      </c>
      <c r="O739" t="n">
        <v>0</v>
      </c>
      <c r="P739" t="n">
        <v>0</v>
      </c>
      <c r="Q739" t="n">
        <v>0</v>
      </c>
      <c r="R739" s="2" t="inlineStr"/>
    </row>
    <row r="740" ht="15" customHeight="1">
      <c r="A740" t="inlineStr">
        <is>
          <t>A 41270-2023</t>
        </is>
      </c>
      <c r="B740" s="1" t="n">
        <v>45174.54952546296</v>
      </c>
      <c r="C740" s="1" t="n">
        <v>46117</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32932-2024</t>
        </is>
      </c>
      <c r="B741" s="1" t="n">
        <v>45517.31537037037</v>
      </c>
      <c r="C741" s="1" t="n">
        <v>46117</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50852-2023</t>
        </is>
      </c>
      <c r="B742" s="1" t="n">
        <v>45218.29837962963</v>
      </c>
      <c r="C742" s="1" t="n">
        <v>46117</v>
      </c>
      <c r="D742" t="inlineStr">
        <is>
          <t>VÄRMLANDS LÄN</t>
        </is>
      </c>
      <c r="E742" t="inlineStr">
        <is>
          <t>TORSBY</t>
        </is>
      </c>
      <c r="G742" t="n">
        <v>3.8</v>
      </c>
      <c r="H742" t="n">
        <v>0</v>
      </c>
      <c r="I742" t="n">
        <v>0</v>
      </c>
      <c r="J742" t="n">
        <v>0</v>
      </c>
      <c r="K742" t="n">
        <v>0</v>
      </c>
      <c r="L742" t="n">
        <v>0</v>
      </c>
      <c r="M742" t="n">
        <v>0</v>
      </c>
      <c r="N742" t="n">
        <v>0</v>
      </c>
      <c r="O742" t="n">
        <v>0</v>
      </c>
      <c r="P742" t="n">
        <v>0</v>
      </c>
      <c r="Q742" t="n">
        <v>0</v>
      </c>
      <c r="R742" s="2" t="inlineStr"/>
    </row>
    <row r="743" ht="15" customHeight="1">
      <c r="A743" t="inlineStr">
        <is>
          <t>A 27677-2024</t>
        </is>
      </c>
      <c r="B743" s="1" t="n">
        <v>45475</v>
      </c>
      <c r="C743" s="1" t="n">
        <v>46117</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27678-2024</t>
        </is>
      </c>
      <c r="B744" s="1" t="n">
        <v>45475</v>
      </c>
      <c r="C744" s="1" t="n">
        <v>46117</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26042-2024</t>
        </is>
      </c>
      <c r="B745" s="1" t="n">
        <v>45468.29846064815</v>
      </c>
      <c r="C745" s="1" t="n">
        <v>46117</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64432-2023</t>
        </is>
      </c>
      <c r="B746" s="1" t="n">
        <v>45280.67184027778</v>
      </c>
      <c r="C746" s="1" t="n">
        <v>46117</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15464-2025</t>
        </is>
      </c>
      <c r="B747" s="1" t="n">
        <v>45747</v>
      </c>
      <c r="C747" s="1" t="n">
        <v>46117</v>
      </c>
      <c r="D747" t="inlineStr">
        <is>
          <t>VÄRMLANDS LÄN</t>
        </is>
      </c>
      <c r="E747" t="inlineStr">
        <is>
          <t>TORSBY</t>
        </is>
      </c>
      <c r="G747" t="n">
        <v>0.6</v>
      </c>
      <c r="H747" t="n">
        <v>0</v>
      </c>
      <c r="I747" t="n">
        <v>0</v>
      </c>
      <c r="J747" t="n">
        <v>0</v>
      </c>
      <c r="K747" t="n">
        <v>0</v>
      </c>
      <c r="L747" t="n">
        <v>0</v>
      </c>
      <c r="M747" t="n">
        <v>0</v>
      </c>
      <c r="N747" t="n">
        <v>0</v>
      </c>
      <c r="O747" t="n">
        <v>0</v>
      </c>
      <c r="P747" t="n">
        <v>0</v>
      </c>
      <c r="Q747" t="n">
        <v>0</v>
      </c>
      <c r="R747" s="2" t="inlineStr"/>
    </row>
    <row r="748" ht="15" customHeight="1">
      <c r="A748" t="inlineStr">
        <is>
          <t>A 28035-2024</t>
        </is>
      </c>
      <c r="B748" s="1" t="n">
        <v>45476</v>
      </c>
      <c r="C748" s="1" t="n">
        <v>46117</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52580-2023</t>
        </is>
      </c>
      <c r="B749" s="1" t="n">
        <v>45225.59354166667</v>
      </c>
      <c r="C749" s="1" t="n">
        <v>46117</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52591-2023</t>
        </is>
      </c>
      <c r="B750" s="1" t="n">
        <v>45225</v>
      </c>
      <c r="C750" s="1" t="n">
        <v>46117</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52982-2023</t>
        </is>
      </c>
      <c r="B751" s="1" t="n">
        <v>45226.61299768519</v>
      </c>
      <c r="C751" s="1" t="n">
        <v>46117</v>
      </c>
      <c r="D751" t="inlineStr">
        <is>
          <t>VÄRMLANDS LÄN</t>
        </is>
      </c>
      <c r="E751" t="inlineStr">
        <is>
          <t>TORSBY</t>
        </is>
      </c>
      <c r="G751" t="n">
        <v>35.5</v>
      </c>
      <c r="H751" t="n">
        <v>0</v>
      </c>
      <c r="I751" t="n">
        <v>0</v>
      </c>
      <c r="J751" t="n">
        <v>0</v>
      </c>
      <c r="K751" t="n">
        <v>0</v>
      </c>
      <c r="L751" t="n">
        <v>0</v>
      </c>
      <c r="M751" t="n">
        <v>0</v>
      </c>
      <c r="N751" t="n">
        <v>0</v>
      </c>
      <c r="O751" t="n">
        <v>0</v>
      </c>
      <c r="P751" t="n">
        <v>0</v>
      </c>
      <c r="Q751" t="n">
        <v>0</v>
      </c>
      <c r="R751" s="2" t="inlineStr"/>
    </row>
    <row r="752" ht="15" customHeight="1">
      <c r="A752" t="inlineStr">
        <is>
          <t>A 58976-2024</t>
        </is>
      </c>
      <c r="B752" s="1" t="n">
        <v>45636.6081712963</v>
      </c>
      <c r="C752" s="1" t="n">
        <v>46117</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59613-2024</t>
        </is>
      </c>
      <c r="B753" s="1" t="n">
        <v>45638</v>
      </c>
      <c r="C753" s="1" t="n">
        <v>46117</v>
      </c>
      <c r="D753" t="inlineStr">
        <is>
          <t>VÄRMLANDS LÄN</t>
        </is>
      </c>
      <c r="E753" t="inlineStr">
        <is>
          <t>TORSBY</t>
        </is>
      </c>
      <c r="G753" t="n">
        <v>4.6</v>
      </c>
      <c r="H753" t="n">
        <v>0</v>
      </c>
      <c r="I753" t="n">
        <v>0</v>
      </c>
      <c r="J753" t="n">
        <v>0</v>
      </c>
      <c r="K753" t="n">
        <v>0</v>
      </c>
      <c r="L753" t="n">
        <v>0</v>
      </c>
      <c r="M753" t="n">
        <v>0</v>
      </c>
      <c r="N753" t="n">
        <v>0</v>
      </c>
      <c r="O753" t="n">
        <v>0</v>
      </c>
      <c r="P753" t="n">
        <v>0</v>
      </c>
      <c r="Q753" t="n">
        <v>0</v>
      </c>
      <c r="R753" s="2" t="inlineStr"/>
    </row>
    <row r="754" ht="15" customHeight="1">
      <c r="A754" t="inlineStr">
        <is>
          <t>A 54033-2021</t>
        </is>
      </c>
      <c r="B754" s="1" t="n">
        <v>44470.38454861111</v>
      </c>
      <c r="C754" s="1" t="n">
        <v>46117</v>
      </c>
      <c r="D754" t="inlineStr">
        <is>
          <t>VÄRMLANDS LÄN</t>
        </is>
      </c>
      <c r="E754" t="inlineStr">
        <is>
          <t>TORSBY</t>
        </is>
      </c>
      <c r="G754" t="n">
        <v>6</v>
      </c>
      <c r="H754" t="n">
        <v>0</v>
      </c>
      <c r="I754" t="n">
        <v>0</v>
      </c>
      <c r="J754" t="n">
        <v>0</v>
      </c>
      <c r="K754" t="n">
        <v>0</v>
      </c>
      <c r="L754" t="n">
        <v>0</v>
      </c>
      <c r="M754" t="n">
        <v>0</v>
      </c>
      <c r="N754" t="n">
        <v>0</v>
      </c>
      <c r="O754" t="n">
        <v>0</v>
      </c>
      <c r="P754" t="n">
        <v>0</v>
      </c>
      <c r="Q754" t="n">
        <v>0</v>
      </c>
      <c r="R754" s="2" t="inlineStr"/>
    </row>
    <row r="755" ht="15" customHeight="1">
      <c r="A755" t="inlineStr">
        <is>
          <t>A 58062-2021</t>
        </is>
      </c>
      <c r="B755" s="1" t="n">
        <v>44487</v>
      </c>
      <c r="C755" s="1" t="n">
        <v>46117</v>
      </c>
      <c r="D755" t="inlineStr">
        <is>
          <t>VÄRMLANDS LÄN</t>
        </is>
      </c>
      <c r="E755" t="inlineStr">
        <is>
          <t>TORSBY</t>
        </is>
      </c>
      <c r="G755" t="n">
        <v>6</v>
      </c>
      <c r="H755" t="n">
        <v>0</v>
      </c>
      <c r="I755" t="n">
        <v>0</v>
      </c>
      <c r="J755" t="n">
        <v>0</v>
      </c>
      <c r="K755" t="n">
        <v>0</v>
      </c>
      <c r="L755" t="n">
        <v>0</v>
      </c>
      <c r="M755" t="n">
        <v>0</v>
      </c>
      <c r="N755" t="n">
        <v>0</v>
      </c>
      <c r="O755" t="n">
        <v>0</v>
      </c>
      <c r="P755" t="n">
        <v>0</v>
      </c>
      <c r="Q755" t="n">
        <v>0</v>
      </c>
      <c r="R755" s="2" t="inlineStr"/>
    </row>
    <row r="756" ht="15" customHeight="1">
      <c r="A756" t="inlineStr">
        <is>
          <t>A 59941-2023</t>
        </is>
      </c>
      <c r="B756" s="1" t="n">
        <v>45257.67721064815</v>
      </c>
      <c r="C756" s="1" t="n">
        <v>46117</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49840-2024</t>
        </is>
      </c>
      <c r="B757" s="1" t="n">
        <v>45597</v>
      </c>
      <c r="C757" s="1" t="n">
        <v>46117</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13561-2023</t>
        </is>
      </c>
      <c r="B758" s="1" t="n">
        <v>45006.47429398148</v>
      </c>
      <c r="C758" s="1" t="n">
        <v>46117</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18411-2023</t>
        </is>
      </c>
      <c r="B759" s="1" t="n">
        <v>45042</v>
      </c>
      <c r="C759" s="1" t="n">
        <v>46117</v>
      </c>
      <c r="D759" t="inlineStr">
        <is>
          <t>VÄRMLANDS LÄN</t>
        </is>
      </c>
      <c r="E759" t="inlineStr">
        <is>
          <t>TORSBY</t>
        </is>
      </c>
      <c r="G759" t="n">
        <v>5.9</v>
      </c>
      <c r="H759" t="n">
        <v>0</v>
      </c>
      <c r="I759" t="n">
        <v>0</v>
      </c>
      <c r="J759" t="n">
        <v>0</v>
      </c>
      <c r="K759" t="n">
        <v>0</v>
      </c>
      <c r="L759" t="n">
        <v>0</v>
      </c>
      <c r="M759" t="n">
        <v>0</v>
      </c>
      <c r="N759" t="n">
        <v>0</v>
      </c>
      <c r="O759" t="n">
        <v>0</v>
      </c>
      <c r="P759" t="n">
        <v>0</v>
      </c>
      <c r="Q759" t="n">
        <v>0</v>
      </c>
      <c r="R759" s="2" t="inlineStr"/>
    </row>
    <row r="760" ht="15" customHeight="1">
      <c r="A760" t="inlineStr">
        <is>
          <t>A 19675-2023</t>
        </is>
      </c>
      <c r="B760" s="1" t="n">
        <v>45051</v>
      </c>
      <c r="C760" s="1" t="n">
        <v>46117</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57216-2023</t>
        </is>
      </c>
      <c r="B761" s="1" t="n">
        <v>45245</v>
      </c>
      <c r="C761" s="1" t="n">
        <v>46117</v>
      </c>
      <c r="D761" t="inlineStr">
        <is>
          <t>VÄRMLANDS LÄN</t>
        </is>
      </c>
      <c r="E761" t="inlineStr">
        <is>
          <t>TORSBY</t>
        </is>
      </c>
      <c r="G761" t="n">
        <v>2.8</v>
      </c>
      <c r="H761" t="n">
        <v>0</v>
      </c>
      <c r="I761" t="n">
        <v>0</v>
      </c>
      <c r="J761" t="n">
        <v>0</v>
      </c>
      <c r="K761" t="n">
        <v>0</v>
      </c>
      <c r="L761" t="n">
        <v>0</v>
      </c>
      <c r="M761" t="n">
        <v>0</v>
      </c>
      <c r="N761" t="n">
        <v>0</v>
      </c>
      <c r="O761" t="n">
        <v>0</v>
      </c>
      <c r="P761" t="n">
        <v>0</v>
      </c>
      <c r="Q761" t="n">
        <v>0</v>
      </c>
      <c r="R761" s="2" t="inlineStr"/>
    </row>
    <row r="762" ht="15" customHeight="1">
      <c r="A762" t="inlineStr">
        <is>
          <t>A 6653-2025</t>
        </is>
      </c>
      <c r="B762" s="1" t="n">
        <v>45700.42601851852</v>
      </c>
      <c r="C762" s="1" t="n">
        <v>46117</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61565-2024</t>
        </is>
      </c>
      <c r="B763" s="1" t="n">
        <v>45646</v>
      </c>
      <c r="C763" s="1" t="n">
        <v>46117</v>
      </c>
      <c r="D763" t="inlineStr">
        <is>
          <t>VÄRMLANDS LÄN</t>
        </is>
      </c>
      <c r="E763" t="inlineStr">
        <is>
          <t>TORSBY</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12528-2025</t>
        </is>
      </c>
      <c r="B764" s="1" t="n">
        <v>45730</v>
      </c>
      <c r="C764" s="1" t="n">
        <v>46117</v>
      </c>
      <c r="D764" t="inlineStr">
        <is>
          <t>VÄRMLANDS LÄN</t>
        </is>
      </c>
      <c r="E764" t="inlineStr">
        <is>
          <t>TORSBY</t>
        </is>
      </c>
      <c r="G764" t="n">
        <v>5.2</v>
      </c>
      <c r="H764" t="n">
        <v>0</v>
      </c>
      <c r="I764" t="n">
        <v>0</v>
      </c>
      <c r="J764" t="n">
        <v>0</v>
      </c>
      <c r="K764" t="n">
        <v>0</v>
      </c>
      <c r="L764" t="n">
        <v>0</v>
      </c>
      <c r="M764" t="n">
        <v>0</v>
      </c>
      <c r="N764" t="n">
        <v>0</v>
      </c>
      <c r="O764" t="n">
        <v>0</v>
      </c>
      <c r="P764" t="n">
        <v>0</v>
      </c>
      <c r="Q764" t="n">
        <v>0</v>
      </c>
      <c r="R764" s="2" t="inlineStr"/>
    </row>
    <row r="765" ht="15" customHeight="1">
      <c r="A765" t="inlineStr">
        <is>
          <t>A 12554-2025</t>
        </is>
      </c>
      <c r="B765" s="1" t="n">
        <v>45731</v>
      </c>
      <c r="C765" s="1" t="n">
        <v>46117</v>
      </c>
      <c r="D765" t="inlineStr">
        <is>
          <t>VÄRMLANDS LÄN</t>
        </is>
      </c>
      <c r="E765" t="inlineStr">
        <is>
          <t>TORSBY</t>
        </is>
      </c>
      <c r="G765" t="n">
        <v>7.5</v>
      </c>
      <c r="H765" t="n">
        <v>0</v>
      </c>
      <c r="I765" t="n">
        <v>0</v>
      </c>
      <c r="J765" t="n">
        <v>0</v>
      </c>
      <c r="K765" t="n">
        <v>0</v>
      </c>
      <c r="L765" t="n">
        <v>0</v>
      </c>
      <c r="M765" t="n">
        <v>0</v>
      </c>
      <c r="N765" t="n">
        <v>0</v>
      </c>
      <c r="O765" t="n">
        <v>0</v>
      </c>
      <c r="P765" t="n">
        <v>0</v>
      </c>
      <c r="Q765" t="n">
        <v>0</v>
      </c>
      <c r="R765" s="2" t="inlineStr"/>
    </row>
    <row r="766" ht="15" customHeight="1">
      <c r="A766" t="inlineStr">
        <is>
          <t>A 37300-2025</t>
        </is>
      </c>
      <c r="B766" s="1" t="n">
        <v>45876</v>
      </c>
      <c r="C766" s="1" t="n">
        <v>46117</v>
      </c>
      <c r="D766" t="inlineStr">
        <is>
          <t>VÄRMLANDS LÄN</t>
        </is>
      </c>
      <c r="E766" t="inlineStr">
        <is>
          <t>TORSBY</t>
        </is>
      </c>
      <c r="F766" t="inlineStr">
        <is>
          <t>Bergvik skog väst AB</t>
        </is>
      </c>
      <c r="G766" t="n">
        <v>33.6</v>
      </c>
      <c r="H766" t="n">
        <v>0</v>
      </c>
      <c r="I766" t="n">
        <v>0</v>
      </c>
      <c r="J766" t="n">
        <v>0</v>
      </c>
      <c r="K766" t="n">
        <v>0</v>
      </c>
      <c r="L766" t="n">
        <v>0</v>
      </c>
      <c r="M766" t="n">
        <v>0</v>
      </c>
      <c r="N766" t="n">
        <v>0</v>
      </c>
      <c r="O766" t="n">
        <v>0</v>
      </c>
      <c r="P766" t="n">
        <v>0</v>
      </c>
      <c r="Q766" t="n">
        <v>0</v>
      </c>
      <c r="R766" s="2" t="inlineStr"/>
    </row>
    <row r="767" ht="15" customHeight="1">
      <c r="A767" t="inlineStr">
        <is>
          <t>A 36782-2024</t>
        </is>
      </c>
      <c r="B767" s="1" t="n">
        <v>45538</v>
      </c>
      <c r="C767" s="1" t="n">
        <v>46117</v>
      </c>
      <c r="D767" t="inlineStr">
        <is>
          <t>VÄRMLANDS LÄN</t>
        </is>
      </c>
      <c r="E767" t="inlineStr">
        <is>
          <t>TORSBY</t>
        </is>
      </c>
      <c r="G767" t="n">
        <v>4.6</v>
      </c>
      <c r="H767" t="n">
        <v>0</v>
      </c>
      <c r="I767" t="n">
        <v>0</v>
      </c>
      <c r="J767" t="n">
        <v>0</v>
      </c>
      <c r="K767" t="n">
        <v>0</v>
      </c>
      <c r="L767" t="n">
        <v>0</v>
      </c>
      <c r="M767" t="n">
        <v>0</v>
      </c>
      <c r="N767" t="n">
        <v>0</v>
      </c>
      <c r="O767" t="n">
        <v>0</v>
      </c>
      <c r="P767" t="n">
        <v>0</v>
      </c>
      <c r="Q767" t="n">
        <v>0</v>
      </c>
      <c r="R767" s="2" t="inlineStr"/>
    </row>
    <row r="768" ht="15" customHeight="1">
      <c r="A768" t="inlineStr">
        <is>
          <t>A 36790-2024</t>
        </is>
      </c>
      <c r="B768" s="1" t="n">
        <v>45538.43484953704</v>
      </c>
      <c r="C768" s="1" t="n">
        <v>46117</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50372-2024</t>
        </is>
      </c>
      <c r="B769" s="1" t="n">
        <v>45601.25935185186</v>
      </c>
      <c r="C769" s="1" t="n">
        <v>46117</v>
      </c>
      <c r="D769" t="inlineStr">
        <is>
          <t>VÄRMLANDS LÄN</t>
        </is>
      </c>
      <c r="E769" t="inlineStr">
        <is>
          <t>TORSBY</t>
        </is>
      </c>
      <c r="F769" t="inlineStr">
        <is>
          <t>Övriga Aktiebolag</t>
        </is>
      </c>
      <c r="G769" t="n">
        <v>1.9</v>
      </c>
      <c r="H769" t="n">
        <v>0</v>
      </c>
      <c r="I769" t="n">
        <v>0</v>
      </c>
      <c r="J769" t="n">
        <v>0</v>
      </c>
      <c r="K769" t="n">
        <v>0</v>
      </c>
      <c r="L769" t="n">
        <v>0</v>
      </c>
      <c r="M769" t="n">
        <v>0</v>
      </c>
      <c r="N769" t="n">
        <v>0</v>
      </c>
      <c r="O769" t="n">
        <v>0</v>
      </c>
      <c r="P769" t="n">
        <v>0</v>
      </c>
      <c r="Q769" t="n">
        <v>0</v>
      </c>
      <c r="R769" s="2" t="inlineStr"/>
    </row>
    <row r="770" ht="15" customHeight="1">
      <c r="A770" t="inlineStr">
        <is>
          <t>A 49845-2024</t>
        </is>
      </c>
      <c r="B770" s="1" t="n">
        <v>45597</v>
      </c>
      <c r="C770" s="1" t="n">
        <v>46117</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37273-2025</t>
        </is>
      </c>
      <c r="B771" s="1" t="n">
        <v>45876</v>
      </c>
      <c r="C771" s="1" t="n">
        <v>46117</v>
      </c>
      <c r="D771" t="inlineStr">
        <is>
          <t>VÄRMLANDS LÄN</t>
        </is>
      </c>
      <c r="E771" t="inlineStr">
        <is>
          <t>TORSBY</t>
        </is>
      </c>
      <c r="F771" t="inlineStr">
        <is>
          <t>Bergvik skog väst AB</t>
        </is>
      </c>
      <c r="G771" t="n">
        <v>10.4</v>
      </c>
      <c r="H771" t="n">
        <v>0</v>
      </c>
      <c r="I771" t="n">
        <v>0</v>
      </c>
      <c r="J771" t="n">
        <v>0</v>
      </c>
      <c r="K771" t="n">
        <v>0</v>
      </c>
      <c r="L771" t="n">
        <v>0</v>
      </c>
      <c r="M771" t="n">
        <v>0</v>
      </c>
      <c r="N771" t="n">
        <v>0</v>
      </c>
      <c r="O771" t="n">
        <v>0</v>
      </c>
      <c r="P771" t="n">
        <v>0</v>
      </c>
      <c r="Q771" t="n">
        <v>0</v>
      </c>
      <c r="R771" s="2" t="inlineStr"/>
    </row>
    <row r="772" ht="15" customHeight="1">
      <c r="A772" t="inlineStr">
        <is>
          <t>A 40128-2025</t>
        </is>
      </c>
      <c r="B772" s="1" t="n">
        <v>45894</v>
      </c>
      <c r="C772" s="1" t="n">
        <v>46117</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37334-2025</t>
        </is>
      </c>
      <c r="B773" s="1" t="n">
        <v>45876.66663194444</v>
      </c>
      <c r="C773" s="1" t="n">
        <v>46117</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37339-2025</t>
        </is>
      </c>
      <c r="B774" s="1" t="n">
        <v>45876.68457175926</v>
      </c>
      <c r="C774" s="1" t="n">
        <v>46117</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40729-2025</t>
        </is>
      </c>
      <c r="B775" s="1" t="n">
        <v>45897.35421296296</v>
      </c>
      <c r="C775" s="1" t="n">
        <v>46117</v>
      </c>
      <c r="D775" t="inlineStr">
        <is>
          <t>VÄRMLANDS LÄN</t>
        </is>
      </c>
      <c r="E775" t="inlineStr">
        <is>
          <t>TORSBY</t>
        </is>
      </c>
      <c r="F775" t="inlineStr">
        <is>
          <t>Bergvik skog väst AB</t>
        </is>
      </c>
      <c r="G775" t="n">
        <v>25.4</v>
      </c>
      <c r="H775" t="n">
        <v>0</v>
      </c>
      <c r="I775" t="n">
        <v>0</v>
      </c>
      <c r="J775" t="n">
        <v>0</v>
      </c>
      <c r="K775" t="n">
        <v>0</v>
      </c>
      <c r="L775" t="n">
        <v>0</v>
      </c>
      <c r="M775" t="n">
        <v>0</v>
      </c>
      <c r="N775" t="n">
        <v>0</v>
      </c>
      <c r="O775" t="n">
        <v>0</v>
      </c>
      <c r="P775" t="n">
        <v>0</v>
      </c>
      <c r="Q775" t="n">
        <v>0</v>
      </c>
      <c r="R775" s="2" t="inlineStr"/>
    </row>
    <row r="776" ht="15" customHeight="1">
      <c r="A776" t="inlineStr">
        <is>
          <t>A 54029-2021</t>
        </is>
      </c>
      <c r="B776" s="1" t="n">
        <v>44470.37834490741</v>
      </c>
      <c r="C776" s="1" t="n">
        <v>46117</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54160-2022</t>
        </is>
      </c>
      <c r="B777" s="1" t="n">
        <v>44881</v>
      </c>
      <c r="C777" s="1" t="n">
        <v>46117</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41315-2022</t>
        </is>
      </c>
      <c r="B778" s="1" t="n">
        <v>44826</v>
      </c>
      <c r="C778" s="1" t="n">
        <v>46117</v>
      </c>
      <c r="D778" t="inlineStr">
        <is>
          <t>VÄRMLANDS LÄN</t>
        </is>
      </c>
      <c r="E778" t="inlineStr">
        <is>
          <t>TORSBY</t>
        </is>
      </c>
      <c r="G778" t="n">
        <v>5.5</v>
      </c>
      <c r="H778" t="n">
        <v>0</v>
      </c>
      <c r="I778" t="n">
        <v>0</v>
      </c>
      <c r="J778" t="n">
        <v>0</v>
      </c>
      <c r="K778" t="n">
        <v>0</v>
      </c>
      <c r="L778" t="n">
        <v>0</v>
      </c>
      <c r="M778" t="n">
        <v>0</v>
      </c>
      <c r="N778" t="n">
        <v>0</v>
      </c>
      <c r="O778" t="n">
        <v>0</v>
      </c>
      <c r="P778" t="n">
        <v>0</v>
      </c>
      <c r="Q778" t="n">
        <v>0</v>
      </c>
      <c r="R778" s="2" t="inlineStr"/>
    </row>
    <row r="779" ht="15" customHeight="1">
      <c r="A779" t="inlineStr">
        <is>
          <t>A 41322-2022</t>
        </is>
      </c>
      <c r="B779" s="1" t="n">
        <v>44826</v>
      </c>
      <c r="C779" s="1" t="n">
        <v>46117</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50138-2023</t>
        </is>
      </c>
      <c r="B780" s="1" t="n">
        <v>45215.66738425926</v>
      </c>
      <c r="C780" s="1" t="n">
        <v>46117</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7927-2024</t>
        </is>
      </c>
      <c r="B781" s="1" t="n">
        <v>45350</v>
      </c>
      <c r="C781" s="1" t="n">
        <v>46117</v>
      </c>
      <c r="D781" t="inlineStr">
        <is>
          <t>VÄRMLANDS LÄN</t>
        </is>
      </c>
      <c r="E781" t="inlineStr">
        <is>
          <t>TORSBY</t>
        </is>
      </c>
      <c r="G781" t="n">
        <v>3.3</v>
      </c>
      <c r="H781" t="n">
        <v>0</v>
      </c>
      <c r="I781" t="n">
        <v>0</v>
      </c>
      <c r="J781" t="n">
        <v>0</v>
      </c>
      <c r="K781" t="n">
        <v>0</v>
      </c>
      <c r="L781" t="n">
        <v>0</v>
      </c>
      <c r="M781" t="n">
        <v>0</v>
      </c>
      <c r="N781" t="n">
        <v>0</v>
      </c>
      <c r="O781" t="n">
        <v>0</v>
      </c>
      <c r="P781" t="n">
        <v>0</v>
      </c>
      <c r="Q781" t="n">
        <v>0</v>
      </c>
      <c r="R781" s="2" t="inlineStr"/>
    </row>
    <row r="782" ht="15" customHeight="1">
      <c r="A782" t="inlineStr">
        <is>
          <t>A 37230-2025</t>
        </is>
      </c>
      <c r="B782" s="1" t="n">
        <v>45876</v>
      </c>
      <c r="C782" s="1" t="n">
        <v>46117</v>
      </c>
      <c r="D782" t="inlineStr">
        <is>
          <t>VÄRMLANDS LÄN</t>
        </is>
      </c>
      <c r="E782" t="inlineStr">
        <is>
          <t>TORSBY</t>
        </is>
      </c>
      <c r="F782" t="inlineStr">
        <is>
          <t>Bergvik skog väst AB</t>
        </is>
      </c>
      <c r="G782" t="n">
        <v>7.2</v>
      </c>
      <c r="H782" t="n">
        <v>0</v>
      </c>
      <c r="I782" t="n">
        <v>0</v>
      </c>
      <c r="J782" t="n">
        <v>0</v>
      </c>
      <c r="K782" t="n">
        <v>0</v>
      </c>
      <c r="L782" t="n">
        <v>0</v>
      </c>
      <c r="M782" t="n">
        <v>0</v>
      </c>
      <c r="N782" t="n">
        <v>0</v>
      </c>
      <c r="O782" t="n">
        <v>0</v>
      </c>
      <c r="P782" t="n">
        <v>0</v>
      </c>
      <c r="Q782" t="n">
        <v>0</v>
      </c>
      <c r="R782" s="2" t="inlineStr"/>
    </row>
    <row r="783" ht="15" customHeight="1">
      <c r="A783" t="inlineStr">
        <is>
          <t>A 31493-2021</t>
        </is>
      </c>
      <c r="B783" s="1" t="n">
        <v>44369</v>
      </c>
      <c r="C783" s="1" t="n">
        <v>46117</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6708-2023</t>
        </is>
      </c>
      <c r="B784" s="1" t="n">
        <v>44960</v>
      </c>
      <c r="C784" s="1" t="n">
        <v>46117</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6711-2023</t>
        </is>
      </c>
      <c r="B785" s="1" t="n">
        <v>44960</v>
      </c>
      <c r="C785" s="1" t="n">
        <v>46117</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40718-2022</t>
        </is>
      </c>
      <c r="B786" s="1" t="n">
        <v>44824.49635416667</v>
      </c>
      <c r="C786" s="1" t="n">
        <v>46117</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6715-2023</t>
        </is>
      </c>
      <c r="B787" s="1" t="n">
        <v>44960</v>
      </c>
      <c r="C787" s="1" t="n">
        <v>46117</v>
      </c>
      <c r="D787" t="inlineStr">
        <is>
          <t>VÄRMLANDS LÄN</t>
        </is>
      </c>
      <c r="E787" t="inlineStr">
        <is>
          <t>TORSBY</t>
        </is>
      </c>
      <c r="G787" t="n">
        <v>4.8</v>
      </c>
      <c r="H787" t="n">
        <v>0</v>
      </c>
      <c r="I787" t="n">
        <v>0</v>
      </c>
      <c r="J787" t="n">
        <v>0</v>
      </c>
      <c r="K787" t="n">
        <v>0</v>
      </c>
      <c r="L787" t="n">
        <v>0</v>
      </c>
      <c r="M787" t="n">
        <v>0</v>
      </c>
      <c r="N787" t="n">
        <v>0</v>
      </c>
      <c r="O787" t="n">
        <v>0</v>
      </c>
      <c r="P787" t="n">
        <v>0</v>
      </c>
      <c r="Q787" t="n">
        <v>0</v>
      </c>
      <c r="R787" s="2" t="inlineStr"/>
    </row>
    <row r="788" ht="15" customHeight="1">
      <c r="A788" t="inlineStr">
        <is>
          <t>A 12402-2025</t>
        </is>
      </c>
      <c r="B788" s="1" t="n">
        <v>45730.4228125</v>
      </c>
      <c r="C788" s="1" t="n">
        <v>46117</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22386-2025</t>
        </is>
      </c>
      <c r="B789" s="1" t="n">
        <v>45786.50703703704</v>
      </c>
      <c r="C789" s="1" t="n">
        <v>46117</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30299-2025</t>
        </is>
      </c>
      <c r="B790" s="1" t="n">
        <v>45827</v>
      </c>
      <c r="C790" s="1" t="n">
        <v>46117</v>
      </c>
      <c r="D790" t="inlineStr">
        <is>
          <t>VÄRMLANDS LÄN</t>
        </is>
      </c>
      <c r="E790" t="inlineStr">
        <is>
          <t>TORSBY</t>
        </is>
      </c>
      <c r="G790" t="n">
        <v>2.6</v>
      </c>
      <c r="H790" t="n">
        <v>0</v>
      </c>
      <c r="I790" t="n">
        <v>0</v>
      </c>
      <c r="J790" t="n">
        <v>0</v>
      </c>
      <c r="K790" t="n">
        <v>0</v>
      </c>
      <c r="L790" t="n">
        <v>0</v>
      </c>
      <c r="M790" t="n">
        <v>0</v>
      </c>
      <c r="N790" t="n">
        <v>0</v>
      </c>
      <c r="O790" t="n">
        <v>0</v>
      </c>
      <c r="P790" t="n">
        <v>0</v>
      </c>
      <c r="Q790" t="n">
        <v>0</v>
      </c>
      <c r="R790" s="2" t="inlineStr"/>
    </row>
    <row r="791" ht="15" customHeight="1">
      <c r="A791" t="inlineStr">
        <is>
          <t>A 30074-2024</t>
        </is>
      </c>
      <c r="B791" s="1" t="n">
        <v>45489</v>
      </c>
      <c r="C791" s="1" t="n">
        <v>46117</v>
      </c>
      <c r="D791" t="inlineStr">
        <is>
          <t>VÄRMLANDS LÄN</t>
        </is>
      </c>
      <c r="E791" t="inlineStr">
        <is>
          <t>TORSBY</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37348-2025</t>
        </is>
      </c>
      <c r="B792" s="1" t="n">
        <v>45876.71136574074</v>
      </c>
      <c r="C792" s="1" t="n">
        <v>46117</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17879-2024</t>
        </is>
      </c>
      <c r="B793" s="1" t="n">
        <v>45419</v>
      </c>
      <c r="C793" s="1" t="n">
        <v>46117</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36674-2023</t>
        </is>
      </c>
      <c r="B794" s="1" t="n">
        <v>45153.5908912037</v>
      </c>
      <c r="C794" s="1" t="n">
        <v>46117</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28005-2024</t>
        </is>
      </c>
      <c r="B795" s="1" t="n">
        <v>45476</v>
      </c>
      <c r="C795" s="1" t="n">
        <v>46117</v>
      </c>
      <c r="D795" t="inlineStr">
        <is>
          <t>VÄRMLANDS LÄN</t>
        </is>
      </c>
      <c r="E795" t="inlineStr">
        <is>
          <t>TORSBY</t>
        </is>
      </c>
      <c r="G795" t="n">
        <v>4.5</v>
      </c>
      <c r="H795" t="n">
        <v>0</v>
      </c>
      <c r="I795" t="n">
        <v>0</v>
      </c>
      <c r="J795" t="n">
        <v>0</v>
      </c>
      <c r="K795" t="n">
        <v>0</v>
      </c>
      <c r="L795" t="n">
        <v>0</v>
      </c>
      <c r="M795" t="n">
        <v>0</v>
      </c>
      <c r="N795" t="n">
        <v>0</v>
      </c>
      <c r="O795" t="n">
        <v>0</v>
      </c>
      <c r="P795" t="n">
        <v>0</v>
      </c>
      <c r="Q795" t="n">
        <v>0</v>
      </c>
      <c r="R795" s="2" t="inlineStr"/>
    </row>
    <row r="796" ht="15" customHeight="1">
      <c r="A796" t="inlineStr">
        <is>
          <t>A 56815-2023</t>
        </is>
      </c>
      <c r="B796" s="1" t="n">
        <v>45244</v>
      </c>
      <c r="C796" s="1" t="n">
        <v>46117</v>
      </c>
      <c r="D796" t="inlineStr">
        <is>
          <t>VÄRMLANDS LÄN</t>
        </is>
      </c>
      <c r="E796" t="inlineStr">
        <is>
          <t>TORSBY</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37236-2025</t>
        </is>
      </c>
      <c r="B797" s="1" t="n">
        <v>45876.36116898148</v>
      </c>
      <c r="C797" s="1" t="n">
        <v>46117</v>
      </c>
      <c r="D797" t="inlineStr">
        <is>
          <t>VÄRMLANDS LÄN</t>
        </is>
      </c>
      <c r="E797" t="inlineStr">
        <is>
          <t>TORSBY</t>
        </is>
      </c>
      <c r="F797" t="inlineStr">
        <is>
          <t>Bergvik skog väst AB</t>
        </is>
      </c>
      <c r="G797" t="n">
        <v>4.2</v>
      </c>
      <c r="H797" t="n">
        <v>0</v>
      </c>
      <c r="I797" t="n">
        <v>0</v>
      </c>
      <c r="J797" t="n">
        <v>0</v>
      </c>
      <c r="K797" t="n">
        <v>0</v>
      </c>
      <c r="L797" t="n">
        <v>0</v>
      </c>
      <c r="M797" t="n">
        <v>0</v>
      </c>
      <c r="N797" t="n">
        <v>0</v>
      </c>
      <c r="O797" t="n">
        <v>0</v>
      </c>
      <c r="P797" t="n">
        <v>0</v>
      </c>
      <c r="Q797" t="n">
        <v>0</v>
      </c>
      <c r="R797" s="2" t="inlineStr"/>
    </row>
    <row r="798" ht="15" customHeight="1">
      <c r="A798" t="inlineStr">
        <is>
          <t>A 65713-2021</t>
        </is>
      </c>
      <c r="B798" s="1" t="n">
        <v>44516</v>
      </c>
      <c r="C798" s="1" t="n">
        <v>46117</v>
      </c>
      <c r="D798" t="inlineStr">
        <is>
          <t>VÄRMLANDS LÄN</t>
        </is>
      </c>
      <c r="E798" t="inlineStr">
        <is>
          <t>TORSBY</t>
        </is>
      </c>
      <c r="G798" t="n">
        <v>7</v>
      </c>
      <c r="H798" t="n">
        <v>0</v>
      </c>
      <c r="I798" t="n">
        <v>0</v>
      </c>
      <c r="J798" t="n">
        <v>0</v>
      </c>
      <c r="K798" t="n">
        <v>0</v>
      </c>
      <c r="L798" t="n">
        <v>0</v>
      </c>
      <c r="M798" t="n">
        <v>0</v>
      </c>
      <c r="N798" t="n">
        <v>0</v>
      </c>
      <c r="O798" t="n">
        <v>0</v>
      </c>
      <c r="P798" t="n">
        <v>0</v>
      </c>
      <c r="Q798" t="n">
        <v>0</v>
      </c>
      <c r="R798" s="2" t="inlineStr"/>
    </row>
    <row r="799" ht="15" customHeight="1">
      <c r="A799" t="inlineStr">
        <is>
          <t>A 45152-2023</t>
        </is>
      </c>
      <c r="B799" s="1" t="n">
        <v>45191</v>
      </c>
      <c r="C799" s="1" t="n">
        <v>46117</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42701-2022</t>
        </is>
      </c>
      <c r="B800" s="1" t="n">
        <v>44832</v>
      </c>
      <c r="C800" s="1" t="n">
        <v>46117</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24150-2021</t>
        </is>
      </c>
      <c r="B801" s="1" t="n">
        <v>44336</v>
      </c>
      <c r="C801" s="1" t="n">
        <v>46117</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37583-2025</t>
        </is>
      </c>
      <c r="B802" s="1" t="n">
        <v>45880</v>
      </c>
      <c r="C802" s="1" t="n">
        <v>46117</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37566-2025</t>
        </is>
      </c>
      <c r="B803" s="1" t="n">
        <v>45880</v>
      </c>
      <c r="C803" s="1" t="n">
        <v>46117</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37937-2025</t>
        </is>
      </c>
      <c r="B804" s="1" t="n">
        <v>45881</v>
      </c>
      <c r="C804" s="1" t="n">
        <v>46117</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1104-2025</t>
        </is>
      </c>
      <c r="B805" s="1" t="n">
        <v>45666</v>
      </c>
      <c r="C805" s="1" t="n">
        <v>46117</v>
      </c>
      <c r="D805" t="inlineStr">
        <is>
          <t>VÄRMLANDS LÄN</t>
        </is>
      </c>
      <c r="E805" t="inlineStr">
        <is>
          <t>TORSBY</t>
        </is>
      </c>
      <c r="G805" t="n">
        <v>6.9</v>
      </c>
      <c r="H805" t="n">
        <v>0</v>
      </c>
      <c r="I805" t="n">
        <v>0</v>
      </c>
      <c r="J805" t="n">
        <v>0</v>
      </c>
      <c r="K805" t="n">
        <v>0</v>
      </c>
      <c r="L805" t="n">
        <v>0</v>
      </c>
      <c r="M805" t="n">
        <v>0</v>
      </c>
      <c r="N805" t="n">
        <v>0</v>
      </c>
      <c r="O805" t="n">
        <v>0</v>
      </c>
      <c r="P805" t="n">
        <v>0</v>
      </c>
      <c r="Q805" t="n">
        <v>0</v>
      </c>
      <c r="R805" s="2" t="inlineStr"/>
    </row>
    <row r="806" ht="15" customHeight="1">
      <c r="A806" t="inlineStr">
        <is>
          <t>A 37546-2025</t>
        </is>
      </c>
      <c r="B806" s="1" t="n">
        <v>45879</v>
      </c>
      <c r="C806" s="1" t="n">
        <v>46117</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13723-2023</t>
        </is>
      </c>
      <c r="B807" s="1" t="n">
        <v>45007</v>
      </c>
      <c r="C807" s="1" t="n">
        <v>46117</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37547-2025</t>
        </is>
      </c>
      <c r="B808" s="1" t="n">
        <v>45879</v>
      </c>
      <c r="C808" s="1" t="n">
        <v>46117</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24657-2024</t>
        </is>
      </c>
      <c r="B809" s="1" t="n">
        <v>45460</v>
      </c>
      <c r="C809" s="1" t="n">
        <v>46117</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40519-2025</t>
        </is>
      </c>
      <c r="B810" s="1" t="n">
        <v>45896.3640162037</v>
      </c>
      <c r="C810" s="1" t="n">
        <v>46117</v>
      </c>
      <c r="D810" t="inlineStr">
        <is>
          <t>VÄRMLANDS LÄN</t>
        </is>
      </c>
      <c r="E810" t="inlineStr">
        <is>
          <t>TORSBY</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52532-2023</t>
        </is>
      </c>
      <c r="B811" s="1" t="n">
        <v>45225.54318287037</v>
      </c>
      <c r="C811" s="1" t="n">
        <v>46117</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37904-2025</t>
        </is>
      </c>
      <c r="B812" s="1" t="n">
        <v>45881</v>
      </c>
      <c r="C812" s="1" t="n">
        <v>46117</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13006-2025</t>
        </is>
      </c>
      <c r="B813" s="1" t="n">
        <v>45734.51652777778</v>
      </c>
      <c r="C813" s="1" t="n">
        <v>46117</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37908-2025</t>
        </is>
      </c>
      <c r="B814" s="1" t="n">
        <v>45881.5732175926</v>
      </c>
      <c r="C814" s="1" t="n">
        <v>46117</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37945-2025</t>
        </is>
      </c>
      <c r="B815" s="1" t="n">
        <v>45881</v>
      </c>
      <c r="C815" s="1" t="n">
        <v>46117</v>
      </c>
      <c r="D815" t="inlineStr">
        <is>
          <t>VÄRMLANDS LÄN</t>
        </is>
      </c>
      <c r="E815" t="inlineStr">
        <is>
          <t>TORSBY</t>
        </is>
      </c>
      <c r="G815" t="n">
        <v>3.2</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46117</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37575-2025</t>
        </is>
      </c>
      <c r="B817" s="1" t="n">
        <v>45880.38028935185</v>
      </c>
      <c r="C817" s="1" t="n">
        <v>46117</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69878-2021</t>
        </is>
      </c>
      <c r="B818" s="1" t="n">
        <v>44532.82293981482</v>
      </c>
      <c r="C818" s="1" t="n">
        <v>46117</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37760-2025</t>
        </is>
      </c>
      <c r="B819" s="1" t="n">
        <v>45880</v>
      </c>
      <c r="C819" s="1" t="n">
        <v>46117</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21518-2024</t>
        </is>
      </c>
      <c r="B820" s="1" t="n">
        <v>45441</v>
      </c>
      <c r="C820" s="1" t="n">
        <v>46117</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41148-2025</t>
        </is>
      </c>
      <c r="B821" s="1" t="n">
        <v>45898</v>
      </c>
      <c r="C821" s="1" t="n">
        <v>46117</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37927-2025</t>
        </is>
      </c>
      <c r="B822" s="1" t="n">
        <v>45881.58063657407</v>
      </c>
      <c r="C822" s="1" t="n">
        <v>46117</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37736-2025</t>
        </is>
      </c>
      <c r="B823" s="1" t="n">
        <v>45880</v>
      </c>
      <c r="C823" s="1" t="n">
        <v>46117</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25866-2025</t>
        </is>
      </c>
      <c r="B824" s="1" t="n">
        <v>45804.48143518518</v>
      </c>
      <c r="C824" s="1" t="n">
        <v>46117</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41168-2025</t>
        </is>
      </c>
      <c r="B825" s="1" t="n">
        <v>45898</v>
      </c>
      <c r="C825" s="1" t="n">
        <v>46117</v>
      </c>
      <c r="D825" t="inlineStr">
        <is>
          <t>VÄRMLANDS LÄN</t>
        </is>
      </c>
      <c r="E825" t="inlineStr">
        <is>
          <t>TORSBY</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21790-2023</t>
        </is>
      </c>
      <c r="B826" s="1" t="n">
        <v>45067</v>
      </c>
      <c r="C826" s="1" t="n">
        <v>46117</v>
      </c>
      <c r="D826" t="inlineStr">
        <is>
          <t>VÄRMLANDS LÄN</t>
        </is>
      </c>
      <c r="E826" t="inlineStr">
        <is>
          <t>TORSBY</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29936-2024</t>
        </is>
      </c>
      <c r="B827" s="1" t="n">
        <v>45488</v>
      </c>
      <c r="C827" s="1" t="n">
        <v>46117</v>
      </c>
      <c r="D827" t="inlineStr">
        <is>
          <t>VÄRMLANDS LÄN</t>
        </is>
      </c>
      <c r="E827" t="inlineStr">
        <is>
          <t>TORSBY</t>
        </is>
      </c>
      <c r="F827" t="inlineStr">
        <is>
          <t>Kommuner</t>
        </is>
      </c>
      <c r="G827" t="n">
        <v>1.3</v>
      </c>
      <c r="H827" t="n">
        <v>0</v>
      </c>
      <c r="I827" t="n">
        <v>0</v>
      </c>
      <c r="J827" t="n">
        <v>0</v>
      </c>
      <c r="K827" t="n">
        <v>0</v>
      </c>
      <c r="L827" t="n">
        <v>0</v>
      </c>
      <c r="M827" t="n">
        <v>0</v>
      </c>
      <c r="N827" t="n">
        <v>0</v>
      </c>
      <c r="O827" t="n">
        <v>0</v>
      </c>
      <c r="P827" t="n">
        <v>0</v>
      </c>
      <c r="Q827" t="n">
        <v>0</v>
      </c>
      <c r="R827" s="2" t="inlineStr"/>
    </row>
    <row r="828" ht="15" customHeight="1">
      <c r="A828" t="inlineStr">
        <is>
          <t>A 38056-2025</t>
        </is>
      </c>
      <c r="B828" s="1" t="n">
        <v>45882</v>
      </c>
      <c r="C828" s="1" t="n">
        <v>46117</v>
      </c>
      <c r="D828" t="inlineStr">
        <is>
          <t>VÄRMLANDS LÄN</t>
        </is>
      </c>
      <c r="E828" t="inlineStr">
        <is>
          <t>TORSBY</t>
        </is>
      </c>
      <c r="G828" t="n">
        <v>4.9</v>
      </c>
      <c r="H828" t="n">
        <v>0</v>
      </c>
      <c r="I828" t="n">
        <v>0</v>
      </c>
      <c r="J828" t="n">
        <v>0</v>
      </c>
      <c r="K828" t="n">
        <v>0</v>
      </c>
      <c r="L828" t="n">
        <v>0</v>
      </c>
      <c r="M828" t="n">
        <v>0</v>
      </c>
      <c r="N828" t="n">
        <v>0</v>
      </c>
      <c r="O828" t="n">
        <v>0</v>
      </c>
      <c r="P828" t="n">
        <v>0</v>
      </c>
      <c r="Q828" t="n">
        <v>0</v>
      </c>
      <c r="R828" s="2" t="inlineStr"/>
    </row>
    <row r="829" ht="15" customHeight="1">
      <c r="A829" t="inlineStr">
        <is>
          <t>A 41232-2025</t>
        </is>
      </c>
      <c r="B829" s="1" t="n">
        <v>45898</v>
      </c>
      <c r="C829" s="1" t="n">
        <v>46117</v>
      </c>
      <c r="D829" t="inlineStr">
        <is>
          <t>VÄRMLANDS LÄN</t>
        </is>
      </c>
      <c r="E829" t="inlineStr">
        <is>
          <t>TORSBY</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33149-2025</t>
        </is>
      </c>
      <c r="B830" s="1" t="n">
        <v>45840.54246527778</v>
      </c>
      <c r="C830" s="1" t="n">
        <v>46117</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38315-2025</t>
        </is>
      </c>
      <c r="B831" s="1" t="n">
        <v>45883.47824074074</v>
      </c>
      <c r="C831" s="1" t="n">
        <v>46117</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20182-2021</t>
        </is>
      </c>
      <c r="B832" s="1" t="n">
        <v>44312</v>
      </c>
      <c r="C832" s="1" t="n">
        <v>46117</v>
      </c>
      <c r="D832" t="inlineStr">
        <is>
          <t>VÄRMLANDS LÄN</t>
        </is>
      </c>
      <c r="E832" t="inlineStr">
        <is>
          <t>TORSBY</t>
        </is>
      </c>
      <c r="G832" t="n">
        <v>14.4</v>
      </c>
      <c r="H832" t="n">
        <v>0</v>
      </c>
      <c r="I832" t="n">
        <v>0</v>
      </c>
      <c r="J832" t="n">
        <v>0</v>
      </c>
      <c r="K832" t="n">
        <v>0</v>
      </c>
      <c r="L832" t="n">
        <v>0</v>
      </c>
      <c r="M832" t="n">
        <v>0</v>
      </c>
      <c r="N832" t="n">
        <v>0</v>
      </c>
      <c r="O832" t="n">
        <v>0</v>
      </c>
      <c r="P832" t="n">
        <v>0</v>
      </c>
      <c r="Q832" t="n">
        <v>0</v>
      </c>
      <c r="R832" s="2" t="inlineStr"/>
    </row>
    <row r="833" ht="15" customHeight="1">
      <c r="A833" t="inlineStr">
        <is>
          <t>A 41137-2025</t>
        </is>
      </c>
      <c r="B833" s="1" t="n">
        <v>45898</v>
      </c>
      <c r="C833" s="1" t="n">
        <v>46117</v>
      </c>
      <c r="D833" t="inlineStr">
        <is>
          <t>VÄRMLANDS LÄN</t>
        </is>
      </c>
      <c r="E833" t="inlineStr">
        <is>
          <t>TORSBY</t>
        </is>
      </c>
      <c r="F833" t="inlineStr">
        <is>
          <t>Övriga Aktiebolag</t>
        </is>
      </c>
      <c r="G833" t="n">
        <v>3.3</v>
      </c>
      <c r="H833" t="n">
        <v>0</v>
      </c>
      <c r="I833" t="n">
        <v>0</v>
      </c>
      <c r="J833" t="n">
        <v>0</v>
      </c>
      <c r="K833" t="n">
        <v>0</v>
      </c>
      <c r="L833" t="n">
        <v>0</v>
      </c>
      <c r="M833" t="n">
        <v>0</v>
      </c>
      <c r="N833" t="n">
        <v>0</v>
      </c>
      <c r="O833" t="n">
        <v>0</v>
      </c>
      <c r="P833" t="n">
        <v>0</v>
      </c>
      <c r="Q833" t="n">
        <v>0</v>
      </c>
      <c r="R833" s="2" t="inlineStr"/>
    </row>
    <row r="834" ht="15" customHeight="1">
      <c r="A834" t="inlineStr">
        <is>
          <t>A 50494-2024</t>
        </is>
      </c>
      <c r="B834" s="1" t="n">
        <v>45601.50818287037</v>
      </c>
      <c r="C834" s="1" t="n">
        <v>46117</v>
      </c>
      <c r="D834" t="inlineStr">
        <is>
          <t>VÄRMLANDS LÄN</t>
        </is>
      </c>
      <c r="E834" t="inlineStr">
        <is>
          <t>TORSBY</t>
        </is>
      </c>
      <c r="G834" t="n">
        <v>5.4</v>
      </c>
      <c r="H834" t="n">
        <v>0</v>
      </c>
      <c r="I834" t="n">
        <v>0</v>
      </c>
      <c r="J834" t="n">
        <v>0</v>
      </c>
      <c r="K834" t="n">
        <v>0</v>
      </c>
      <c r="L834" t="n">
        <v>0</v>
      </c>
      <c r="M834" t="n">
        <v>0</v>
      </c>
      <c r="N834" t="n">
        <v>0</v>
      </c>
      <c r="O834" t="n">
        <v>0</v>
      </c>
      <c r="P834" t="n">
        <v>0</v>
      </c>
      <c r="Q834" t="n">
        <v>0</v>
      </c>
      <c r="R834" s="2" t="inlineStr"/>
    </row>
    <row r="835" ht="15" customHeight="1">
      <c r="A835" t="inlineStr">
        <is>
          <t>A 41124-2025</t>
        </is>
      </c>
      <c r="B835" s="1" t="n">
        <v>45898.47166666666</v>
      </c>
      <c r="C835" s="1" t="n">
        <v>46117</v>
      </c>
      <c r="D835" t="inlineStr">
        <is>
          <t>VÄRMLANDS LÄN</t>
        </is>
      </c>
      <c r="E835" t="inlineStr">
        <is>
          <t>TORSBY</t>
        </is>
      </c>
      <c r="F835" t="inlineStr">
        <is>
          <t>Bergvik skog väst AB</t>
        </is>
      </c>
      <c r="G835" t="n">
        <v>8.9</v>
      </c>
      <c r="H835" t="n">
        <v>0</v>
      </c>
      <c r="I835" t="n">
        <v>0</v>
      </c>
      <c r="J835" t="n">
        <v>0</v>
      </c>
      <c r="K835" t="n">
        <v>0</v>
      </c>
      <c r="L835" t="n">
        <v>0</v>
      </c>
      <c r="M835" t="n">
        <v>0</v>
      </c>
      <c r="N835" t="n">
        <v>0</v>
      </c>
      <c r="O835" t="n">
        <v>0</v>
      </c>
      <c r="P835" t="n">
        <v>0</v>
      </c>
      <c r="Q835" t="n">
        <v>0</v>
      </c>
      <c r="R835" s="2" t="inlineStr"/>
    </row>
    <row r="836" ht="15" customHeight="1">
      <c r="A836" t="inlineStr">
        <is>
          <t>A 41209-2025</t>
        </is>
      </c>
      <c r="B836" s="1" t="n">
        <v>45898</v>
      </c>
      <c r="C836" s="1" t="n">
        <v>46117</v>
      </c>
      <c r="D836" t="inlineStr">
        <is>
          <t>VÄRMLANDS LÄN</t>
        </is>
      </c>
      <c r="E836" t="inlineStr">
        <is>
          <t>TORSBY</t>
        </is>
      </c>
      <c r="F836" t="inlineStr">
        <is>
          <t>Övriga Aktiebolag</t>
        </is>
      </c>
      <c r="G836" t="n">
        <v>2.5</v>
      </c>
      <c r="H836" t="n">
        <v>0</v>
      </c>
      <c r="I836" t="n">
        <v>0</v>
      </c>
      <c r="J836" t="n">
        <v>0</v>
      </c>
      <c r="K836" t="n">
        <v>0</v>
      </c>
      <c r="L836" t="n">
        <v>0</v>
      </c>
      <c r="M836" t="n">
        <v>0</v>
      </c>
      <c r="N836" t="n">
        <v>0</v>
      </c>
      <c r="O836" t="n">
        <v>0</v>
      </c>
      <c r="P836" t="n">
        <v>0</v>
      </c>
      <c r="Q836" t="n">
        <v>0</v>
      </c>
      <c r="R836" s="2" t="inlineStr"/>
    </row>
    <row r="837" ht="15" customHeight="1">
      <c r="A837" t="inlineStr">
        <is>
          <t>A 40987-2024</t>
        </is>
      </c>
      <c r="B837" s="1" t="n">
        <v>45558</v>
      </c>
      <c r="C837" s="1" t="n">
        <v>46117</v>
      </c>
      <c r="D837" t="inlineStr">
        <is>
          <t>VÄRMLANDS LÄN</t>
        </is>
      </c>
      <c r="E837" t="inlineStr">
        <is>
          <t>TORSBY</t>
        </is>
      </c>
      <c r="G837" t="n">
        <v>11.6</v>
      </c>
      <c r="H837" t="n">
        <v>0</v>
      </c>
      <c r="I837" t="n">
        <v>0</v>
      </c>
      <c r="J837" t="n">
        <v>0</v>
      </c>
      <c r="K837" t="n">
        <v>0</v>
      </c>
      <c r="L837" t="n">
        <v>0</v>
      </c>
      <c r="M837" t="n">
        <v>0</v>
      </c>
      <c r="N837" t="n">
        <v>0</v>
      </c>
      <c r="O837" t="n">
        <v>0</v>
      </c>
      <c r="P837" t="n">
        <v>0</v>
      </c>
      <c r="Q837" t="n">
        <v>0</v>
      </c>
      <c r="R837" s="2" t="inlineStr"/>
    </row>
    <row r="838" ht="15" customHeight="1">
      <c r="A838" t="inlineStr">
        <is>
          <t>A 41478-2025</t>
        </is>
      </c>
      <c r="B838" s="1" t="n">
        <v>45901</v>
      </c>
      <c r="C838" s="1" t="n">
        <v>46117</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5351-2024</t>
        </is>
      </c>
      <c r="B839" s="1" t="n">
        <v>45331.45199074074</v>
      </c>
      <c r="C839" s="1" t="n">
        <v>46117</v>
      </c>
      <c r="D839" t="inlineStr">
        <is>
          <t>VÄRMLANDS LÄN</t>
        </is>
      </c>
      <c r="E839" t="inlineStr">
        <is>
          <t>TORSBY</t>
        </is>
      </c>
      <c r="G839" t="n">
        <v>8.9</v>
      </c>
      <c r="H839" t="n">
        <v>0</v>
      </c>
      <c r="I839" t="n">
        <v>0</v>
      </c>
      <c r="J839" t="n">
        <v>0</v>
      </c>
      <c r="K839" t="n">
        <v>0</v>
      </c>
      <c r="L839" t="n">
        <v>0</v>
      </c>
      <c r="M839" t="n">
        <v>0</v>
      </c>
      <c r="N839" t="n">
        <v>0</v>
      </c>
      <c r="O839" t="n">
        <v>0</v>
      </c>
      <c r="P839" t="n">
        <v>0</v>
      </c>
      <c r="Q839" t="n">
        <v>0</v>
      </c>
      <c r="R839" s="2" t="inlineStr"/>
    </row>
    <row r="840" ht="15" customHeight="1">
      <c r="A840" t="inlineStr">
        <is>
          <t>A 19159-2025</t>
        </is>
      </c>
      <c r="B840" s="1" t="n">
        <v>45769</v>
      </c>
      <c r="C840" s="1" t="n">
        <v>46117</v>
      </c>
      <c r="D840" t="inlineStr">
        <is>
          <t>VÄRMLANDS LÄN</t>
        </is>
      </c>
      <c r="E840" t="inlineStr">
        <is>
          <t>TORSBY</t>
        </is>
      </c>
      <c r="F840" t="inlineStr">
        <is>
          <t>Bergvik skog väst AB</t>
        </is>
      </c>
      <c r="G840" t="n">
        <v>10.2</v>
      </c>
      <c r="H840" t="n">
        <v>0</v>
      </c>
      <c r="I840" t="n">
        <v>0</v>
      </c>
      <c r="J840" t="n">
        <v>0</v>
      </c>
      <c r="K840" t="n">
        <v>0</v>
      </c>
      <c r="L840" t="n">
        <v>0</v>
      </c>
      <c r="M840" t="n">
        <v>0</v>
      </c>
      <c r="N840" t="n">
        <v>0</v>
      </c>
      <c r="O840" t="n">
        <v>0</v>
      </c>
      <c r="P840" t="n">
        <v>0</v>
      </c>
      <c r="Q840" t="n">
        <v>0</v>
      </c>
      <c r="R840" s="2" t="inlineStr"/>
    </row>
    <row r="841" ht="15" customHeight="1">
      <c r="A841" t="inlineStr">
        <is>
          <t>A 41293-2025</t>
        </is>
      </c>
      <c r="B841" s="1" t="n">
        <v>45898</v>
      </c>
      <c r="C841" s="1" t="n">
        <v>46117</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46221-2023</t>
        </is>
      </c>
      <c r="B842" s="1" t="n">
        <v>45196.66636574074</v>
      </c>
      <c r="C842" s="1" t="n">
        <v>46117</v>
      </c>
      <c r="D842" t="inlineStr">
        <is>
          <t>VÄRMLANDS LÄN</t>
        </is>
      </c>
      <c r="E842" t="inlineStr">
        <is>
          <t>TORSBY</t>
        </is>
      </c>
      <c r="G842" t="n">
        <v>6.5</v>
      </c>
      <c r="H842" t="n">
        <v>0</v>
      </c>
      <c r="I842" t="n">
        <v>0</v>
      </c>
      <c r="J842" t="n">
        <v>0</v>
      </c>
      <c r="K842" t="n">
        <v>0</v>
      </c>
      <c r="L842" t="n">
        <v>0</v>
      </c>
      <c r="M842" t="n">
        <v>0</v>
      </c>
      <c r="N842" t="n">
        <v>0</v>
      </c>
      <c r="O842" t="n">
        <v>0</v>
      </c>
      <c r="P842" t="n">
        <v>0</v>
      </c>
      <c r="Q842" t="n">
        <v>0</v>
      </c>
      <c r="R842" s="2" t="inlineStr"/>
    </row>
    <row r="843" ht="15" customHeight="1">
      <c r="A843" t="inlineStr">
        <is>
          <t>A 64664-2023</t>
        </is>
      </c>
      <c r="B843" s="1" t="n">
        <v>45281.60710648148</v>
      </c>
      <c r="C843" s="1" t="n">
        <v>46117</v>
      </c>
      <c r="D843" t="inlineStr">
        <is>
          <t>VÄRMLANDS LÄN</t>
        </is>
      </c>
      <c r="E843" t="inlineStr">
        <is>
          <t>TORSBY</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41189-2025</t>
        </is>
      </c>
      <c r="B844" s="1" t="n">
        <v>45898</v>
      </c>
      <c r="C844" s="1" t="n">
        <v>46117</v>
      </c>
      <c r="D844" t="inlineStr">
        <is>
          <t>VÄRMLANDS LÄN</t>
        </is>
      </c>
      <c r="E844" t="inlineStr">
        <is>
          <t>TORSBY</t>
        </is>
      </c>
      <c r="F844" t="inlineStr">
        <is>
          <t>Övriga Aktiebolag</t>
        </is>
      </c>
      <c r="G844" t="n">
        <v>10.3</v>
      </c>
      <c r="H844" t="n">
        <v>0</v>
      </c>
      <c r="I844" t="n">
        <v>0</v>
      </c>
      <c r="J844" t="n">
        <v>0</v>
      </c>
      <c r="K844" t="n">
        <v>0</v>
      </c>
      <c r="L844" t="n">
        <v>0</v>
      </c>
      <c r="M844" t="n">
        <v>0</v>
      </c>
      <c r="N844" t="n">
        <v>0</v>
      </c>
      <c r="O844" t="n">
        <v>0</v>
      </c>
      <c r="P844" t="n">
        <v>0</v>
      </c>
      <c r="Q844" t="n">
        <v>0</v>
      </c>
      <c r="R844" s="2" t="inlineStr"/>
    </row>
    <row r="845" ht="15" customHeight="1">
      <c r="A845" t="inlineStr">
        <is>
          <t>A 41194-2025</t>
        </is>
      </c>
      <c r="B845" s="1" t="n">
        <v>45898.57028935185</v>
      </c>
      <c r="C845" s="1" t="n">
        <v>46117</v>
      </c>
      <c r="D845" t="inlineStr">
        <is>
          <t>VÄRMLANDS LÄN</t>
        </is>
      </c>
      <c r="E845" t="inlineStr">
        <is>
          <t>TORSBY</t>
        </is>
      </c>
      <c r="F845" t="inlineStr">
        <is>
          <t>Bergvik skog väst AB</t>
        </is>
      </c>
      <c r="G845" t="n">
        <v>5.6</v>
      </c>
      <c r="H845" t="n">
        <v>0</v>
      </c>
      <c r="I845" t="n">
        <v>0</v>
      </c>
      <c r="J845" t="n">
        <v>0</v>
      </c>
      <c r="K845" t="n">
        <v>0</v>
      </c>
      <c r="L845" t="n">
        <v>0</v>
      </c>
      <c r="M845" t="n">
        <v>0</v>
      </c>
      <c r="N845" t="n">
        <v>0</v>
      </c>
      <c r="O845" t="n">
        <v>0</v>
      </c>
      <c r="P845" t="n">
        <v>0</v>
      </c>
      <c r="Q845" t="n">
        <v>0</v>
      </c>
      <c r="R845" s="2" t="inlineStr"/>
    </row>
    <row r="846" ht="15" customHeight="1">
      <c r="A846" t="inlineStr">
        <is>
          <t>A 32343-2024</t>
        </is>
      </c>
      <c r="B846" s="1" t="n">
        <v>45512.520625</v>
      </c>
      <c r="C846" s="1" t="n">
        <v>46117</v>
      </c>
      <c r="D846" t="inlineStr">
        <is>
          <t>VÄRMLANDS LÄN</t>
        </is>
      </c>
      <c r="E846" t="inlineStr">
        <is>
          <t>TORSBY</t>
        </is>
      </c>
      <c r="G846" t="n">
        <v>5</v>
      </c>
      <c r="H846" t="n">
        <v>0</v>
      </c>
      <c r="I846" t="n">
        <v>0</v>
      </c>
      <c r="J846" t="n">
        <v>0</v>
      </c>
      <c r="K846" t="n">
        <v>0</v>
      </c>
      <c r="L846" t="n">
        <v>0</v>
      </c>
      <c r="M846" t="n">
        <v>0</v>
      </c>
      <c r="N846" t="n">
        <v>0</v>
      </c>
      <c r="O846" t="n">
        <v>0</v>
      </c>
      <c r="P846" t="n">
        <v>0</v>
      </c>
      <c r="Q846" t="n">
        <v>0</v>
      </c>
      <c r="R846" s="2" t="inlineStr"/>
    </row>
    <row r="847" ht="15" customHeight="1">
      <c r="A847" t="inlineStr">
        <is>
          <t>A 51199-2023</t>
        </is>
      </c>
      <c r="B847" s="1" t="n">
        <v>45219.42247685185</v>
      </c>
      <c r="C847" s="1" t="n">
        <v>46117</v>
      </c>
      <c r="D847" t="inlineStr">
        <is>
          <t>VÄRMLANDS LÄN</t>
        </is>
      </c>
      <c r="E847" t="inlineStr">
        <is>
          <t>TORSBY</t>
        </is>
      </c>
      <c r="G847" t="n">
        <v>4.8</v>
      </c>
      <c r="H847" t="n">
        <v>0</v>
      </c>
      <c r="I847" t="n">
        <v>0</v>
      </c>
      <c r="J847" t="n">
        <v>0</v>
      </c>
      <c r="K847" t="n">
        <v>0</v>
      </c>
      <c r="L847" t="n">
        <v>0</v>
      </c>
      <c r="M847" t="n">
        <v>0</v>
      </c>
      <c r="N847" t="n">
        <v>0</v>
      </c>
      <c r="O847" t="n">
        <v>0</v>
      </c>
      <c r="P847" t="n">
        <v>0</v>
      </c>
      <c r="Q847" t="n">
        <v>0</v>
      </c>
      <c r="R847" s="2" t="inlineStr"/>
    </row>
    <row r="848" ht="15" customHeight="1">
      <c r="A848" t="inlineStr">
        <is>
          <t>A 24111-2025</t>
        </is>
      </c>
      <c r="B848" s="1" t="n">
        <v>45796.60822916667</v>
      </c>
      <c r="C848" s="1" t="n">
        <v>46117</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38249-2025</t>
        </is>
      </c>
      <c r="B849" s="1" t="n">
        <v>45883</v>
      </c>
      <c r="C849" s="1" t="n">
        <v>46117</v>
      </c>
      <c r="D849" t="inlineStr">
        <is>
          <t>VÄRMLANDS LÄN</t>
        </is>
      </c>
      <c r="E849" t="inlineStr">
        <is>
          <t>TORSBY</t>
        </is>
      </c>
      <c r="F849" t="inlineStr">
        <is>
          <t>Bergvik skog väst AB</t>
        </is>
      </c>
      <c r="G849" t="n">
        <v>4.3</v>
      </c>
      <c r="H849" t="n">
        <v>0</v>
      </c>
      <c r="I849" t="n">
        <v>0</v>
      </c>
      <c r="J849" t="n">
        <v>0</v>
      </c>
      <c r="K849" t="n">
        <v>0</v>
      </c>
      <c r="L849" t="n">
        <v>0</v>
      </c>
      <c r="M849" t="n">
        <v>0</v>
      </c>
      <c r="N849" t="n">
        <v>0</v>
      </c>
      <c r="O849" t="n">
        <v>0</v>
      </c>
      <c r="P849" t="n">
        <v>0</v>
      </c>
      <c r="Q849" t="n">
        <v>0</v>
      </c>
      <c r="R849" s="2" t="inlineStr"/>
    </row>
    <row r="850" ht="15" customHeight="1">
      <c r="A850" t="inlineStr">
        <is>
          <t>A 31830-2024</t>
        </is>
      </c>
      <c r="B850" s="1" t="n">
        <v>45509</v>
      </c>
      <c r="C850" s="1" t="n">
        <v>46117</v>
      </c>
      <c r="D850" t="inlineStr">
        <is>
          <t>VÄRMLANDS LÄN</t>
        </is>
      </c>
      <c r="E850" t="inlineStr">
        <is>
          <t>TORSBY</t>
        </is>
      </c>
      <c r="G850" t="n">
        <v>2.6</v>
      </c>
      <c r="H850" t="n">
        <v>0</v>
      </c>
      <c r="I850" t="n">
        <v>0</v>
      </c>
      <c r="J850" t="n">
        <v>0</v>
      </c>
      <c r="K850" t="n">
        <v>0</v>
      </c>
      <c r="L850" t="n">
        <v>0</v>
      </c>
      <c r="M850" t="n">
        <v>0</v>
      </c>
      <c r="N850" t="n">
        <v>0</v>
      </c>
      <c r="O850" t="n">
        <v>0</v>
      </c>
      <c r="P850" t="n">
        <v>0</v>
      </c>
      <c r="Q850" t="n">
        <v>0</v>
      </c>
      <c r="R850" s="2" t="inlineStr"/>
    </row>
    <row r="851" ht="15" customHeight="1">
      <c r="A851" t="inlineStr">
        <is>
          <t>A 37818-2025</t>
        </is>
      </c>
      <c r="B851" s="1" t="n">
        <v>45881</v>
      </c>
      <c r="C851" s="1" t="n">
        <v>46117</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38165-2025</t>
        </is>
      </c>
      <c r="B852" s="1" t="n">
        <v>45882.63063657407</v>
      </c>
      <c r="C852" s="1" t="n">
        <v>46117</v>
      </c>
      <c r="D852" t="inlineStr">
        <is>
          <t>VÄRMLANDS LÄN</t>
        </is>
      </c>
      <c r="E852" t="inlineStr">
        <is>
          <t>TORSBY</t>
        </is>
      </c>
      <c r="F852" t="inlineStr">
        <is>
          <t>Bergvik skog väst AB</t>
        </is>
      </c>
      <c r="G852" t="n">
        <v>15.2</v>
      </c>
      <c r="H852" t="n">
        <v>0</v>
      </c>
      <c r="I852" t="n">
        <v>0</v>
      </c>
      <c r="J852" t="n">
        <v>0</v>
      </c>
      <c r="K852" t="n">
        <v>0</v>
      </c>
      <c r="L852" t="n">
        <v>0</v>
      </c>
      <c r="M852" t="n">
        <v>0</v>
      </c>
      <c r="N852" t="n">
        <v>0</v>
      </c>
      <c r="O852" t="n">
        <v>0</v>
      </c>
      <c r="P852" t="n">
        <v>0</v>
      </c>
      <c r="Q852" t="n">
        <v>0</v>
      </c>
      <c r="R852" s="2" t="inlineStr"/>
    </row>
    <row r="853" ht="15" customHeight="1">
      <c r="A853" t="inlineStr">
        <is>
          <t>A 28329-2024</t>
        </is>
      </c>
      <c r="B853" s="1" t="n">
        <v>45477</v>
      </c>
      <c r="C853" s="1" t="n">
        <v>46117</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24576-2025</t>
        </is>
      </c>
      <c r="B854" s="1" t="n">
        <v>45798</v>
      </c>
      <c r="C854" s="1" t="n">
        <v>46117</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37878-2025</t>
        </is>
      </c>
      <c r="B855" s="1" t="n">
        <v>45881</v>
      </c>
      <c r="C855" s="1" t="n">
        <v>46117</v>
      </c>
      <c r="D855" t="inlineStr">
        <is>
          <t>VÄRMLANDS LÄN</t>
        </is>
      </c>
      <c r="E855" t="inlineStr">
        <is>
          <t>TORSBY</t>
        </is>
      </c>
      <c r="F855" t="inlineStr">
        <is>
          <t>Bergvik skog väst AB</t>
        </is>
      </c>
      <c r="G855" t="n">
        <v>9.9</v>
      </c>
      <c r="H855" t="n">
        <v>0</v>
      </c>
      <c r="I855" t="n">
        <v>0</v>
      </c>
      <c r="J855" t="n">
        <v>0</v>
      </c>
      <c r="K855" t="n">
        <v>0</v>
      </c>
      <c r="L855" t="n">
        <v>0</v>
      </c>
      <c r="M855" t="n">
        <v>0</v>
      </c>
      <c r="N855" t="n">
        <v>0</v>
      </c>
      <c r="O855" t="n">
        <v>0</v>
      </c>
      <c r="P855" t="n">
        <v>0</v>
      </c>
      <c r="Q855" t="n">
        <v>0</v>
      </c>
      <c r="R855" s="2" t="inlineStr"/>
    </row>
    <row r="856" ht="15" customHeight="1">
      <c r="A856" t="inlineStr">
        <is>
          <t>A 42428-2024</t>
        </is>
      </c>
      <c r="B856" s="1" t="n">
        <v>45565</v>
      </c>
      <c r="C856" s="1" t="n">
        <v>46117</v>
      </c>
      <c r="D856" t="inlineStr">
        <is>
          <t>VÄRMLANDS LÄN</t>
        </is>
      </c>
      <c r="E856" t="inlineStr">
        <is>
          <t>TORSBY</t>
        </is>
      </c>
      <c r="F856" t="inlineStr">
        <is>
          <t>Bergvik skog väst AB</t>
        </is>
      </c>
      <c r="G856" t="n">
        <v>20.7</v>
      </c>
      <c r="H856" t="n">
        <v>0</v>
      </c>
      <c r="I856" t="n">
        <v>0</v>
      </c>
      <c r="J856" t="n">
        <v>0</v>
      </c>
      <c r="K856" t="n">
        <v>0</v>
      </c>
      <c r="L856" t="n">
        <v>0</v>
      </c>
      <c r="M856" t="n">
        <v>0</v>
      </c>
      <c r="N856" t="n">
        <v>0</v>
      </c>
      <c r="O856" t="n">
        <v>0</v>
      </c>
      <c r="P856" t="n">
        <v>0</v>
      </c>
      <c r="Q856" t="n">
        <v>0</v>
      </c>
      <c r="R856" s="2" t="inlineStr"/>
    </row>
    <row r="857" ht="15" customHeight="1">
      <c r="A857" t="inlineStr">
        <is>
          <t>A 34353-2025</t>
        </is>
      </c>
      <c r="B857" s="1" t="n">
        <v>45846.4775</v>
      </c>
      <c r="C857" s="1" t="n">
        <v>46117</v>
      </c>
      <c r="D857" t="inlineStr">
        <is>
          <t>VÄRMLANDS LÄN</t>
        </is>
      </c>
      <c r="E857" t="inlineStr">
        <is>
          <t>TORSBY</t>
        </is>
      </c>
      <c r="G857" t="n">
        <v>14.5</v>
      </c>
      <c r="H857" t="n">
        <v>0</v>
      </c>
      <c r="I857" t="n">
        <v>0</v>
      </c>
      <c r="J857" t="n">
        <v>0</v>
      </c>
      <c r="K857" t="n">
        <v>0</v>
      </c>
      <c r="L857" t="n">
        <v>0</v>
      </c>
      <c r="M857" t="n">
        <v>0</v>
      </c>
      <c r="N857" t="n">
        <v>0</v>
      </c>
      <c r="O857" t="n">
        <v>0</v>
      </c>
      <c r="P857" t="n">
        <v>0</v>
      </c>
      <c r="Q857" t="n">
        <v>0</v>
      </c>
      <c r="R857" s="2" t="inlineStr"/>
    </row>
    <row r="858" ht="15" customHeight="1">
      <c r="A858" t="inlineStr">
        <is>
          <t>A 41376-2025</t>
        </is>
      </c>
      <c r="B858" s="1" t="n">
        <v>45900.84105324074</v>
      </c>
      <c r="C858" s="1" t="n">
        <v>46117</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41471-2025</t>
        </is>
      </c>
      <c r="B859" s="1" t="n">
        <v>45901.46770833333</v>
      </c>
      <c r="C859" s="1" t="n">
        <v>46117</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41711-2025</t>
        </is>
      </c>
      <c r="B860" s="1" t="n">
        <v>45902.43106481482</v>
      </c>
      <c r="C860" s="1" t="n">
        <v>46117</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18339-2024</t>
        </is>
      </c>
      <c r="B861" s="1" t="n">
        <v>45422.58119212963</v>
      </c>
      <c r="C861" s="1" t="n">
        <v>46117</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16003-2025</t>
        </is>
      </c>
      <c r="B862" s="1" t="n">
        <v>45749</v>
      </c>
      <c r="C862" s="1" t="n">
        <v>46117</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41895-2025</t>
        </is>
      </c>
      <c r="B863" s="1" t="n">
        <v>45903.38645833333</v>
      </c>
      <c r="C863" s="1" t="n">
        <v>46117</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41958-2025</t>
        </is>
      </c>
      <c r="B864" s="1" t="n">
        <v>45903.46856481482</v>
      </c>
      <c r="C864" s="1" t="n">
        <v>46117</v>
      </c>
      <c r="D864" t="inlineStr">
        <is>
          <t>VÄRMLANDS LÄN</t>
        </is>
      </c>
      <c r="E864" t="inlineStr">
        <is>
          <t>TORSBY</t>
        </is>
      </c>
      <c r="F864" t="inlineStr">
        <is>
          <t>Bergvik skog väst AB</t>
        </is>
      </c>
      <c r="G864" t="n">
        <v>15.8</v>
      </c>
      <c r="H864" t="n">
        <v>0</v>
      </c>
      <c r="I864" t="n">
        <v>0</v>
      </c>
      <c r="J864" t="n">
        <v>0</v>
      </c>
      <c r="K864" t="n">
        <v>0</v>
      </c>
      <c r="L864" t="n">
        <v>0</v>
      </c>
      <c r="M864" t="n">
        <v>0</v>
      </c>
      <c r="N864" t="n">
        <v>0</v>
      </c>
      <c r="O864" t="n">
        <v>0</v>
      </c>
      <c r="P864" t="n">
        <v>0</v>
      </c>
      <c r="Q864" t="n">
        <v>0</v>
      </c>
      <c r="R864" s="2" t="inlineStr"/>
    </row>
    <row r="865" ht="15" customHeight="1">
      <c r="A865" t="inlineStr">
        <is>
          <t>A 42108-2025</t>
        </is>
      </c>
      <c r="B865" s="1" t="n">
        <v>45903</v>
      </c>
      <c r="C865" s="1" t="n">
        <v>46117</v>
      </c>
      <c r="D865" t="inlineStr">
        <is>
          <t>VÄRMLANDS LÄN</t>
        </is>
      </c>
      <c r="E865" t="inlineStr">
        <is>
          <t>TORSBY</t>
        </is>
      </c>
      <c r="F865" t="inlineStr">
        <is>
          <t>Bergvik skog väst AB</t>
        </is>
      </c>
      <c r="G865" t="n">
        <v>13.5</v>
      </c>
      <c r="H865" t="n">
        <v>0</v>
      </c>
      <c r="I865" t="n">
        <v>0</v>
      </c>
      <c r="J865" t="n">
        <v>0</v>
      </c>
      <c r="K865" t="n">
        <v>0</v>
      </c>
      <c r="L865" t="n">
        <v>0</v>
      </c>
      <c r="M865" t="n">
        <v>0</v>
      </c>
      <c r="N865" t="n">
        <v>0</v>
      </c>
      <c r="O865" t="n">
        <v>0</v>
      </c>
      <c r="P865" t="n">
        <v>0</v>
      </c>
      <c r="Q865" t="n">
        <v>0</v>
      </c>
      <c r="R865" s="2" t="inlineStr"/>
    </row>
    <row r="866" ht="15" customHeight="1">
      <c r="A866" t="inlineStr">
        <is>
          <t>A 12440-2025</t>
        </is>
      </c>
      <c r="B866" s="1" t="n">
        <v>45730</v>
      </c>
      <c r="C866" s="1" t="n">
        <v>46117</v>
      </c>
      <c r="D866" t="inlineStr">
        <is>
          <t>VÄRMLANDS LÄN</t>
        </is>
      </c>
      <c r="E866" t="inlineStr">
        <is>
          <t>TORSBY</t>
        </is>
      </c>
      <c r="G866" t="n">
        <v>4.7</v>
      </c>
      <c r="H866" t="n">
        <v>0</v>
      </c>
      <c r="I866" t="n">
        <v>0</v>
      </c>
      <c r="J866" t="n">
        <v>0</v>
      </c>
      <c r="K866" t="n">
        <v>0</v>
      </c>
      <c r="L866" t="n">
        <v>0</v>
      </c>
      <c r="M866" t="n">
        <v>0</v>
      </c>
      <c r="N866" t="n">
        <v>0</v>
      </c>
      <c r="O866" t="n">
        <v>0</v>
      </c>
      <c r="P866" t="n">
        <v>0</v>
      </c>
      <c r="Q866" t="n">
        <v>0</v>
      </c>
      <c r="R866" s="2" t="inlineStr"/>
    </row>
    <row r="867" ht="15" customHeight="1">
      <c r="A867" t="inlineStr">
        <is>
          <t>A 38232-2025</t>
        </is>
      </c>
      <c r="B867" s="1" t="n">
        <v>45883</v>
      </c>
      <c r="C867" s="1" t="n">
        <v>46117</v>
      </c>
      <c r="D867" t="inlineStr">
        <is>
          <t>VÄRMLANDS LÄN</t>
        </is>
      </c>
      <c r="E867" t="inlineStr">
        <is>
          <t>TORSBY</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41744-2025</t>
        </is>
      </c>
      <c r="B868" s="1" t="n">
        <v>45902</v>
      </c>
      <c r="C868" s="1" t="n">
        <v>46117</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41627-2025</t>
        </is>
      </c>
      <c r="B869" s="1" t="n">
        <v>45901.79328703704</v>
      </c>
      <c r="C869" s="1" t="n">
        <v>46117</v>
      </c>
      <c r="D869" t="inlineStr">
        <is>
          <t>VÄRMLANDS LÄN</t>
        </is>
      </c>
      <c r="E869" t="inlineStr">
        <is>
          <t>TORSBY</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1123-2023</t>
        </is>
      </c>
      <c r="B870" s="1" t="n">
        <v>44935</v>
      </c>
      <c r="C870" s="1" t="n">
        <v>46117</v>
      </c>
      <c r="D870" t="inlineStr">
        <is>
          <t>VÄRMLANDS LÄN</t>
        </is>
      </c>
      <c r="E870" t="inlineStr">
        <is>
          <t>TORSBY</t>
        </is>
      </c>
      <c r="G870" t="n">
        <v>1.4</v>
      </c>
      <c r="H870" t="n">
        <v>0</v>
      </c>
      <c r="I870" t="n">
        <v>0</v>
      </c>
      <c r="J870" t="n">
        <v>0</v>
      </c>
      <c r="K870" t="n">
        <v>0</v>
      </c>
      <c r="L870" t="n">
        <v>0</v>
      </c>
      <c r="M870" t="n">
        <v>0</v>
      </c>
      <c r="N870" t="n">
        <v>0</v>
      </c>
      <c r="O870" t="n">
        <v>0</v>
      </c>
      <c r="P870" t="n">
        <v>0</v>
      </c>
      <c r="Q870" t="n">
        <v>0</v>
      </c>
      <c r="R870" s="2" t="inlineStr"/>
    </row>
    <row r="871" ht="15" customHeight="1">
      <c r="A871" t="inlineStr">
        <is>
          <t>A 9704-2025</t>
        </is>
      </c>
      <c r="B871" s="1" t="n">
        <v>45716.38378472222</v>
      </c>
      <c r="C871" s="1" t="n">
        <v>46117</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41740-2025</t>
        </is>
      </c>
      <c r="B872" s="1" t="n">
        <v>45902</v>
      </c>
      <c r="C872" s="1" t="n">
        <v>46117</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41746-2025</t>
        </is>
      </c>
      <c r="B873" s="1" t="n">
        <v>45902.48660879629</v>
      </c>
      <c r="C873" s="1" t="n">
        <v>46117</v>
      </c>
      <c r="D873" t="inlineStr">
        <is>
          <t>VÄRMLANDS LÄN</t>
        </is>
      </c>
      <c r="E873" t="inlineStr">
        <is>
          <t>TORSBY</t>
        </is>
      </c>
      <c r="G873" t="n">
        <v>3</v>
      </c>
      <c r="H873" t="n">
        <v>0</v>
      </c>
      <c r="I873" t="n">
        <v>0</v>
      </c>
      <c r="J873" t="n">
        <v>0</v>
      </c>
      <c r="K873" t="n">
        <v>0</v>
      </c>
      <c r="L873" t="n">
        <v>0</v>
      </c>
      <c r="M873" t="n">
        <v>0</v>
      </c>
      <c r="N873" t="n">
        <v>0</v>
      </c>
      <c r="O873" t="n">
        <v>0</v>
      </c>
      <c r="P873" t="n">
        <v>0</v>
      </c>
      <c r="Q873" t="n">
        <v>0</v>
      </c>
      <c r="R873" s="2" t="inlineStr"/>
    </row>
    <row r="874" ht="15" customHeight="1">
      <c r="A874" t="inlineStr">
        <is>
          <t>A 52447-2022</t>
        </is>
      </c>
      <c r="B874" s="1" t="n">
        <v>44874</v>
      </c>
      <c r="C874" s="1" t="n">
        <v>46117</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41634-2025</t>
        </is>
      </c>
      <c r="B875" s="1" t="n">
        <v>45902</v>
      </c>
      <c r="C875" s="1" t="n">
        <v>46117</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41975-2025</t>
        </is>
      </c>
      <c r="B876" s="1" t="n">
        <v>45903.49732638889</v>
      </c>
      <c r="C876" s="1" t="n">
        <v>46117</v>
      </c>
      <c r="D876" t="inlineStr">
        <is>
          <t>VÄRMLANDS LÄN</t>
        </is>
      </c>
      <c r="E876" t="inlineStr">
        <is>
          <t>TORSBY</t>
        </is>
      </c>
      <c r="F876" t="inlineStr">
        <is>
          <t>Bergvik skog väst AB</t>
        </is>
      </c>
      <c r="G876" t="n">
        <v>10.4</v>
      </c>
      <c r="H876" t="n">
        <v>0</v>
      </c>
      <c r="I876" t="n">
        <v>0</v>
      </c>
      <c r="J876" t="n">
        <v>0</v>
      </c>
      <c r="K876" t="n">
        <v>0</v>
      </c>
      <c r="L876" t="n">
        <v>0</v>
      </c>
      <c r="M876" t="n">
        <v>0</v>
      </c>
      <c r="N876" t="n">
        <v>0</v>
      </c>
      <c r="O876" t="n">
        <v>0</v>
      </c>
      <c r="P876" t="n">
        <v>0</v>
      </c>
      <c r="Q876" t="n">
        <v>0</v>
      </c>
      <c r="R876" s="2" t="inlineStr"/>
    </row>
    <row r="877" ht="15" customHeight="1">
      <c r="A877" t="inlineStr">
        <is>
          <t>A 24630-2024</t>
        </is>
      </c>
      <c r="B877" s="1" t="n">
        <v>45460.51149305556</v>
      </c>
      <c r="C877" s="1" t="n">
        <v>46117</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42354-2025</t>
        </is>
      </c>
      <c r="B878" s="1" t="n">
        <v>45904</v>
      </c>
      <c r="C878" s="1" t="n">
        <v>46117</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42563-2025</t>
        </is>
      </c>
      <c r="B879" s="1" t="n">
        <v>45905.60097222222</v>
      </c>
      <c r="C879" s="1" t="n">
        <v>46117</v>
      </c>
      <c r="D879" t="inlineStr">
        <is>
          <t>VÄRMLANDS LÄN</t>
        </is>
      </c>
      <c r="E879" t="inlineStr">
        <is>
          <t>TORSBY</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42308-2025</t>
        </is>
      </c>
      <c r="B880" s="1" t="n">
        <v>45904</v>
      </c>
      <c r="C880" s="1" t="n">
        <v>46117</v>
      </c>
      <c r="D880" t="inlineStr">
        <is>
          <t>VÄRMLANDS LÄN</t>
        </is>
      </c>
      <c r="E880" t="inlineStr">
        <is>
          <t>TORSBY</t>
        </is>
      </c>
      <c r="G880" t="n">
        <v>4.4</v>
      </c>
      <c r="H880" t="n">
        <v>0</v>
      </c>
      <c r="I880" t="n">
        <v>0</v>
      </c>
      <c r="J880" t="n">
        <v>0</v>
      </c>
      <c r="K880" t="n">
        <v>0</v>
      </c>
      <c r="L880" t="n">
        <v>0</v>
      </c>
      <c r="M880" t="n">
        <v>0</v>
      </c>
      <c r="N880" t="n">
        <v>0</v>
      </c>
      <c r="O880" t="n">
        <v>0</v>
      </c>
      <c r="P880" t="n">
        <v>0</v>
      </c>
      <c r="Q880" t="n">
        <v>0</v>
      </c>
      <c r="R880" s="2" t="inlineStr"/>
    </row>
    <row r="881" ht="15" customHeight="1">
      <c r="A881" t="inlineStr">
        <is>
          <t>A 38086-2023</t>
        </is>
      </c>
      <c r="B881" s="1" t="n">
        <v>45160</v>
      </c>
      <c r="C881" s="1" t="n">
        <v>46117</v>
      </c>
      <c r="D881" t="inlineStr">
        <is>
          <t>VÄRMLANDS LÄN</t>
        </is>
      </c>
      <c r="E881" t="inlineStr">
        <is>
          <t>TORSBY</t>
        </is>
      </c>
      <c r="G881" t="n">
        <v>6.2</v>
      </c>
      <c r="H881" t="n">
        <v>0</v>
      </c>
      <c r="I881" t="n">
        <v>0</v>
      </c>
      <c r="J881" t="n">
        <v>0</v>
      </c>
      <c r="K881" t="n">
        <v>0</v>
      </c>
      <c r="L881" t="n">
        <v>0</v>
      </c>
      <c r="M881" t="n">
        <v>0</v>
      </c>
      <c r="N881" t="n">
        <v>0</v>
      </c>
      <c r="O881" t="n">
        <v>0</v>
      </c>
      <c r="P881" t="n">
        <v>0</v>
      </c>
      <c r="Q881" t="n">
        <v>0</v>
      </c>
      <c r="R881" s="2" t="inlineStr"/>
    </row>
    <row r="882" ht="15" customHeight="1">
      <c r="A882" t="inlineStr">
        <is>
          <t>A 9723-2025</t>
        </is>
      </c>
      <c r="B882" s="1" t="n">
        <v>45715</v>
      </c>
      <c r="C882" s="1" t="n">
        <v>46117</v>
      </c>
      <c r="D882" t="inlineStr">
        <is>
          <t>VÄRMLANDS LÄN</t>
        </is>
      </c>
      <c r="E882" t="inlineStr">
        <is>
          <t>TORSBY</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42149-2025</t>
        </is>
      </c>
      <c r="B883" s="1" t="n">
        <v>45904.38109953704</v>
      </c>
      <c r="C883" s="1" t="n">
        <v>46117</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364-2025</t>
        </is>
      </c>
      <c r="B884" s="1" t="n">
        <v>45661</v>
      </c>
      <c r="C884" s="1" t="n">
        <v>46117</v>
      </c>
      <c r="D884" t="inlineStr">
        <is>
          <t>VÄRMLANDS LÄN</t>
        </is>
      </c>
      <c r="E884" t="inlineStr">
        <is>
          <t>TORSBY</t>
        </is>
      </c>
      <c r="G884" t="n">
        <v>5.9</v>
      </c>
      <c r="H884" t="n">
        <v>0</v>
      </c>
      <c r="I884" t="n">
        <v>0</v>
      </c>
      <c r="J884" t="n">
        <v>0</v>
      </c>
      <c r="K884" t="n">
        <v>0</v>
      </c>
      <c r="L884" t="n">
        <v>0</v>
      </c>
      <c r="M884" t="n">
        <v>0</v>
      </c>
      <c r="N884" t="n">
        <v>0</v>
      </c>
      <c r="O884" t="n">
        <v>0</v>
      </c>
      <c r="P884" t="n">
        <v>0</v>
      </c>
      <c r="Q884" t="n">
        <v>0</v>
      </c>
      <c r="R884" s="2" t="inlineStr"/>
    </row>
    <row r="885" ht="15" customHeight="1">
      <c r="A885" t="inlineStr">
        <is>
          <t>A 42296-2025</t>
        </is>
      </c>
      <c r="B885" s="1" t="n">
        <v>45904.63361111111</v>
      </c>
      <c r="C885" s="1" t="n">
        <v>46117</v>
      </c>
      <c r="D885" t="inlineStr">
        <is>
          <t>VÄRMLANDS LÄN</t>
        </is>
      </c>
      <c r="E885" t="inlineStr">
        <is>
          <t>TORSBY</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42349-2025</t>
        </is>
      </c>
      <c r="B886" s="1" t="n">
        <v>45904</v>
      </c>
      <c r="C886" s="1" t="n">
        <v>46117</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42304-2025</t>
        </is>
      </c>
      <c r="B887" s="1" t="n">
        <v>45904</v>
      </c>
      <c r="C887" s="1" t="n">
        <v>46117</v>
      </c>
      <c r="D887" t="inlineStr">
        <is>
          <t>VÄRMLANDS LÄN</t>
        </is>
      </c>
      <c r="E887" t="inlineStr">
        <is>
          <t>TORSBY</t>
        </is>
      </c>
      <c r="F887" t="inlineStr">
        <is>
          <t>Bergvik skog väst AB</t>
        </is>
      </c>
      <c r="G887" t="n">
        <v>1.5</v>
      </c>
      <c r="H887" t="n">
        <v>0</v>
      </c>
      <c r="I887" t="n">
        <v>0</v>
      </c>
      <c r="J887" t="n">
        <v>0</v>
      </c>
      <c r="K887" t="n">
        <v>0</v>
      </c>
      <c r="L887" t="n">
        <v>0</v>
      </c>
      <c r="M887" t="n">
        <v>0</v>
      </c>
      <c r="N887" t="n">
        <v>0</v>
      </c>
      <c r="O887" t="n">
        <v>0</v>
      </c>
      <c r="P887" t="n">
        <v>0</v>
      </c>
      <c r="Q887" t="n">
        <v>0</v>
      </c>
      <c r="R887" s="2" t="inlineStr"/>
    </row>
    <row r="888" ht="15" customHeight="1">
      <c r="A888" t="inlineStr">
        <is>
          <t>A 42305-2025</t>
        </is>
      </c>
      <c r="B888" s="1" t="n">
        <v>45904.64886574074</v>
      </c>
      <c r="C888" s="1" t="n">
        <v>46117</v>
      </c>
      <c r="D888" t="inlineStr">
        <is>
          <t>VÄRMLANDS LÄN</t>
        </is>
      </c>
      <c r="E888" t="inlineStr">
        <is>
          <t>TORSBY</t>
        </is>
      </c>
      <c r="F888" t="inlineStr">
        <is>
          <t>Bergvik skog väst AB</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42352-2025</t>
        </is>
      </c>
      <c r="B889" s="1" t="n">
        <v>45904</v>
      </c>
      <c r="C889" s="1" t="n">
        <v>46117</v>
      </c>
      <c r="D889" t="inlineStr">
        <is>
          <t>VÄRMLANDS LÄN</t>
        </is>
      </c>
      <c r="E889" t="inlineStr">
        <is>
          <t>TORSBY</t>
        </is>
      </c>
      <c r="G889" t="n">
        <v>0.1</v>
      </c>
      <c r="H889" t="n">
        <v>0</v>
      </c>
      <c r="I889" t="n">
        <v>0</v>
      </c>
      <c r="J889" t="n">
        <v>0</v>
      </c>
      <c r="K889" t="n">
        <v>0</v>
      </c>
      <c r="L889" t="n">
        <v>0</v>
      </c>
      <c r="M889" t="n">
        <v>0</v>
      </c>
      <c r="N889" t="n">
        <v>0</v>
      </c>
      <c r="O889" t="n">
        <v>0</v>
      </c>
      <c r="P889" t="n">
        <v>0</v>
      </c>
      <c r="Q889" t="n">
        <v>0</v>
      </c>
      <c r="R889" s="2" t="inlineStr"/>
    </row>
    <row r="890" ht="15" customHeight="1">
      <c r="A890" t="inlineStr">
        <is>
          <t>A 42499-2025</t>
        </is>
      </c>
      <c r="B890" s="1" t="n">
        <v>45905.5194675926</v>
      </c>
      <c r="C890" s="1" t="n">
        <v>46117</v>
      </c>
      <c r="D890" t="inlineStr">
        <is>
          <t>VÄRMLANDS LÄN</t>
        </is>
      </c>
      <c r="E890" t="inlineStr">
        <is>
          <t>TORSBY</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42350-2025</t>
        </is>
      </c>
      <c r="B891" s="1" t="n">
        <v>45904</v>
      </c>
      <c r="C891" s="1" t="n">
        <v>46117</v>
      </c>
      <c r="D891" t="inlineStr">
        <is>
          <t>VÄRMLANDS LÄN</t>
        </is>
      </c>
      <c r="E891" t="inlineStr">
        <is>
          <t>TORSBY</t>
        </is>
      </c>
      <c r="G891" t="n">
        <v>0.2</v>
      </c>
      <c r="H891" t="n">
        <v>0</v>
      </c>
      <c r="I891" t="n">
        <v>0</v>
      </c>
      <c r="J891" t="n">
        <v>0</v>
      </c>
      <c r="K891" t="n">
        <v>0</v>
      </c>
      <c r="L891" t="n">
        <v>0</v>
      </c>
      <c r="M891" t="n">
        <v>0</v>
      </c>
      <c r="N891" t="n">
        <v>0</v>
      </c>
      <c r="O891" t="n">
        <v>0</v>
      </c>
      <c r="P891" t="n">
        <v>0</v>
      </c>
      <c r="Q891" t="n">
        <v>0</v>
      </c>
      <c r="R891" s="2" t="inlineStr"/>
    </row>
    <row r="892" ht="15" customHeight="1">
      <c r="A892" t="inlineStr">
        <is>
          <t>A 22464-2021</t>
        </is>
      </c>
      <c r="B892" s="1" t="n">
        <v>44326.67932870371</v>
      </c>
      <c r="C892" s="1" t="n">
        <v>46117</v>
      </c>
      <c r="D892" t="inlineStr">
        <is>
          <t>VÄRMLANDS LÄN</t>
        </is>
      </c>
      <c r="E892" t="inlineStr">
        <is>
          <t>TORSBY</t>
        </is>
      </c>
      <c r="G892" t="n">
        <v>6</v>
      </c>
      <c r="H892" t="n">
        <v>0</v>
      </c>
      <c r="I892" t="n">
        <v>0</v>
      </c>
      <c r="J892" t="n">
        <v>0</v>
      </c>
      <c r="K892" t="n">
        <v>0</v>
      </c>
      <c r="L892" t="n">
        <v>0</v>
      </c>
      <c r="M892" t="n">
        <v>0</v>
      </c>
      <c r="N892" t="n">
        <v>0</v>
      </c>
      <c r="O892" t="n">
        <v>0</v>
      </c>
      <c r="P892" t="n">
        <v>0</v>
      </c>
      <c r="Q892" t="n">
        <v>0</v>
      </c>
      <c r="R892" s="2" t="inlineStr"/>
    </row>
    <row r="893" ht="15" customHeight="1">
      <c r="A893" t="inlineStr">
        <is>
          <t>A 42496-2025</t>
        </is>
      </c>
      <c r="B893" s="1" t="n">
        <v>45905.50864583333</v>
      </c>
      <c r="C893" s="1" t="n">
        <v>46117</v>
      </c>
      <c r="D893" t="inlineStr">
        <is>
          <t>VÄRMLANDS LÄN</t>
        </is>
      </c>
      <c r="E893" t="inlineStr">
        <is>
          <t>TORSBY</t>
        </is>
      </c>
      <c r="G893" t="n">
        <v>3.9</v>
      </c>
      <c r="H893" t="n">
        <v>0</v>
      </c>
      <c r="I893" t="n">
        <v>0</v>
      </c>
      <c r="J893" t="n">
        <v>0</v>
      </c>
      <c r="K893" t="n">
        <v>0</v>
      </c>
      <c r="L893" t="n">
        <v>0</v>
      </c>
      <c r="M893" t="n">
        <v>0</v>
      </c>
      <c r="N893" t="n">
        <v>0</v>
      </c>
      <c r="O893" t="n">
        <v>0</v>
      </c>
      <c r="P893" t="n">
        <v>0</v>
      </c>
      <c r="Q893" t="n">
        <v>0</v>
      </c>
      <c r="R893" s="2" t="inlineStr"/>
    </row>
    <row r="894" ht="15" customHeight="1">
      <c r="A894" t="inlineStr">
        <is>
          <t>A 47694-2022</t>
        </is>
      </c>
      <c r="B894" s="1" t="n">
        <v>44854</v>
      </c>
      <c r="C894" s="1" t="n">
        <v>46117</v>
      </c>
      <c r="D894" t="inlineStr">
        <is>
          <t>VÄRMLANDS LÄN</t>
        </is>
      </c>
      <c r="E894" t="inlineStr">
        <is>
          <t>TORSBY</t>
        </is>
      </c>
      <c r="G894" t="n">
        <v>7.9</v>
      </c>
      <c r="H894" t="n">
        <v>0</v>
      </c>
      <c r="I894" t="n">
        <v>0</v>
      </c>
      <c r="J894" t="n">
        <v>0</v>
      </c>
      <c r="K894" t="n">
        <v>0</v>
      </c>
      <c r="L894" t="n">
        <v>0</v>
      </c>
      <c r="M894" t="n">
        <v>0</v>
      </c>
      <c r="N894" t="n">
        <v>0</v>
      </c>
      <c r="O894" t="n">
        <v>0</v>
      </c>
      <c r="P894" t="n">
        <v>0</v>
      </c>
      <c r="Q894" t="n">
        <v>0</v>
      </c>
      <c r="R894" s="2" t="inlineStr"/>
    </row>
    <row r="895" ht="15" customHeight="1">
      <c r="A895" t="inlineStr">
        <is>
          <t>A 42152-2025</t>
        </is>
      </c>
      <c r="B895" s="1" t="n">
        <v>45904.3884375</v>
      </c>
      <c r="C895" s="1" t="n">
        <v>46117</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1432-2025</t>
        </is>
      </c>
      <c r="B896" s="1" t="n">
        <v>45669</v>
      </c>
      <c r="C896" s="1" t="n">
        <v>46117</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1435-2025</t>
        </is>
      </c>
      <c r="B897" s="1" t="n">
        <v>45669</v>
      </c>
      <c r="C897" s="1" t="n">
        <v>46117</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42273-2025</t>
        </is>
      </c>
      <c r="B898" s="1" t="n">
        <v>45904.60708333334</v>
      </c>
      <c r="C898" s="1" t="n">
        <v>46117</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22687-2023</t>
        </is>
      </c>
      <c r="B899" s="1" t="n">
        <v>45071</v>
      </c>
      <c r="C899" s="1" t="n">
        <v>46117</v>
      </c>
      <c r="D899" t="inlineStr">
        <is>
          <t>VÄRMLANDS LÄN</t>
        </is>
      </c>
      <c r="E899" t="inlineStr">
        <is>
          <t>TORSBY</t>
        </is>
      </c>
      <c r="F899" t="inlineStr">
        <is>
          <t>Bergvik skog väst AB</t>
        </is>
      </c>
      <c r="G899" t="n">
        <v>5.8</v>
      </c>
      <c r="H899" t="n">
        <v>0</v>
      </c>
      <c r="I899" t="n">
        <v>0</v>
      </c>
      <c r="J899" t="n">
        <v>0</v>
      </c>
      <c r="K899" t="n">
        <v>0</v>
      </c>
      <c r="L899" t="n">
        <v>0</v>
      </c>
      <c r="M899" t="n">
        <v>0</v>
      </c>
      <c r="N899" t="n">
        <v>0</v>
      </c>
      <c r="O899" t="n">
        <v>0</v>
      </c>
      <c r="P899" t="n">
        <v>0</v>
      </c>
      <c r="Q899" t="n">
        <v>0</v>
      </c>
      <c r="R899" s="2" t="inlineStr"/>
    </row>
    <row r="900" ht="15" customHeight="1">
      <c r="A900" t="inlineStr">
        <is>
          <t>A 42529-2025</t>
        </is>
      </c>
      <c r="B900" s="1" t="n">
        <v>45905.55716435185</v>
      </c>
      <c r="C900" s="1" t="n">
        <v>46117</v>
      </c>
      <c r="D900" t="inlineStr">
        <is>
          <t>VÄRMLANDS LÄN</t>
        </is>
      </c>
      <c r="E900" t="inlineStr">
        <is>
          <t>TORSBY</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42742-2025</t>
        </is>
      </c>
      <c r="B901" s="1" t="n">
        <v>45908</v>
      </c>
      <c r="C901" s="1" t="n">
        <v>46117</v>
      </c>
      <c r="D901" t="inlineStr">
        <is>
          <t>VÄRMLANDS LÄN</t>
        </is>
      </c>
      <c r="E901" t="inlineStr">
        <is>
          <t>TORSBY</t>
        </is>
      </c>
      <c r="F901" t="inlineStr">
        <is>
          <t>Bergvik skog väst AB</t>
        </is>
      </c>
      <c r="G901" t="n">
        <v>0.5</v>
      </c>
      <c r="H901" t="n">
        <v>0</v>
      </c>
      <c r="I901" t="n">
        <v>0</v>
      </c>
      <c r="J901" t="n">
        <v>0</v>
      </c>
      <c r="K901" t="n">
        <v>0</v>
      </c>
      <c r="L901" t="n">
        <v>0</v>
      </c>
      <c r="M901" t="n">
        <v>0</v>
      </c>
      <c r="N901" t="n">
        <v>0</v>
      </c>
      <c r="O901" t="n">
        <v>0</v>
      </c>
      <c r="P901" t="n">
        <v>0</v>
      </c>
      <c r="Q901" t="n">
        <v>0</v>
      </c>
      <c r="R901" s="2" t="inlineStr"/>
    </row>
    <row r="902" ht="15" customHeight="1">
      <c r="A902" t="inlineStr">
        <is>
          <t>A 375-2025</t>
        </is>
      </c>
      <c r="B902" s="1" t="n">
        <v>45661</v>
      </c>
      <c r="C902" s="1" t="n">
        <v>46117</v>
      </c>
      <c r="D902" t="inlineStr">
        <is>
          <t>VÄRMLANDS LÄN</t>
        </is>
      </c>
      <c r="E902" t="inlineStr">
        <is>
          <t>TORSBY</t>
        </is>
      </c>
      <c r="G902" t="n">
        <v>5.5</v>
      </c>
      <c r="H902" t="n">
        <v>0</v>
      </c>
      <c r="I902" t="n">
        <v>0</v>
      </c>
      <c r="J902" t="n">
        <v>0</v>
      </c>
      <c r="K902" t="n">
        <v>0</v>
      </c>
      <c r="L902" t="n">
        <v>0</v>
      </c>
      <c r="M902" t="n">
        <v>0</v>
      </c>
      <c r="N902" t="n">
        <v>0</v>
      </c>
      <c r="O902" t="n">
        <v>0</v>
      </c>
      <c r="P902" t="n">
        <v>0</v>
      </c>
      <c r="Q902" t="n">
        <v>0</v>
      </c>
      <c r="R902" s="2" t="inlineStr"/>
    </row>
    <row r="903" ht="15" customHeight="1">
      <c r="A903" t="inlineStr">
        <is>
          <t>A 34534-2024</t>
        </is>
      </c>
      <c r="B903" s="1" t="n">
        <v>45525</v>
      </c>
      <c r="C903" s="1" t="n">
        <v>46117</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38497-2025</t>
        </is>
      </c>
      <c r="B904" s="1" t="n">
        <v>45884</v>
      </c>
      <c r="C904" s="1" t="n">
        <v>46117</v>
      </c>
      <c r="D904" t="inlineStr">
        <is>
          <t>VÄRMLANDS LÄN</t>
        </is>
      </c>
      <c r="E904" t="inlineStr">
        <is>
          <t>TORSBY</t>
        </is>
      </c>
      <c r="G904" t="n">
        <v>7.7</v>
      </c>
      <c r="H904" t="n">
        <v>0</v>
      </c>
      <c r="I904" t="n">
        <v>0</v>
      </c>
      <c r="J904" t="n">
        <v>0</v>
      </c>
      <c r="K904" t="n">
        <v>0</v>
      </c>
      <c r="L904" t="n">
        <v>0</v>
      </c>
      <c r="M904" t="n">
        <v>0</v>
      </c>
      <c r="N904" t="n">
        <v>0</v>
      </c>
      <c r="O904" t="n">
        <v>0</v>
      </c>
      <c r="P904" t="n">
        <v>0</v>
      </c>
      <c r="Q904" t="n">
        <v>0</v>
      </c>
      <c r="R904" s="2" t="inlineStr"/>
    </row>
    <row r="905" ht="15" customHeight="1">
      <c r="A905" t="inlineStr">
        <is>
          <t>A 53652-2023</t>
        </is>
      </c>
      <c r="B905" s="1" t="n">
        <v>45224</v>
      </c>
      <c r="C905" s="1" t="n">
        <v>46117</v>
      </c>
      <c r="D905" t="inlineStr">
        <is>
          <t>VÄRMLANDS LÄN</t>
        </is>
      </c>
      <c r="E905" t="inlineStr">
        <is>
          <t>TORSBY</t>
        </is>
      </c>
      <c r="F905" t="inlineStr">
        <is>
          <t>Övriga statliga verk och myndigheter</t>
        </is>
      </c>
      <c r="G905" t="n">
        <v>0.8</v>
      </c>
      <c r="H905" t="n">
        <v>0</v>
      </c>
      <c r="I905" t="n">
        <v>0</v>
      </c>
      <c r="J905" t="n">
        <v>0</v>
      </c>
      <c r="K905" t="n">
        <v>0</v>
      </c>
      <c r="L905" t="n">
        <v>0</v>
      </c>
      <c r="M905" t="n">
        <v>0</v>
      </c>
      <c r="N905" t="n">
        <v>0</v>
      </c>
      <c r="O905" t="n">
        <v>0</v>
      </c>
      <c r="P905" t="n">
        <v>0</v>
      </c>
      <c r="Q905" t="n">
        <v>0</v>
      </c>
      <c r="R905" s="2" t="inlineStr"/>
    </row>
    <row r="906" ht="15" customHeight="1">
      <c r="A906" t="inlineStr">
        <is>
          <t>A 43599-2023</t>
        </is>
      </c>
      <c r="B906" s="1" t="n">
        <v>45184</v>
      </c>
      <c r="C906" s="1" t="n">
        <v>46117</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38076-2024</t>
        </is>
      </c>
      <c r="B907" s="1" t="n">
        <v>45544</v>
      </c>
      <c r="C907" s="1" t="n">
        <v>46117</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44325-2024</t>
        </is>
      </c>
      <c r="B908" s="1" t="n">
        <v>45573</v>
      </c>
      <c r="C908" s="1" t="n">
        <v>46117</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9793-2024</t>
        </is>
      </c>
      <c r="B909" s="1" t="n">
        <v>45362.71013888889</v>
      </c>
      <c r="C909" s="1" t="n">
        <v>46117</v>
      </c>
      <c r="D909" t="inlineStr">
        <is>
          <t>VÄRMLANDS LÄN</t>
        </is>
      </c>
      <c r="E909" t="inlineStr">
        <is>
          <t>TORSBY</t>
        </is>
      </c>
      <c r="G909" t="n">
        <v>6</v>
      </c>
      <c r="H909" t="n">
        <v>0</v>
      </c>
      <c r="I909" t="n">
        <v>0</v>
      </c>
      <c r="J909" t="n">
        <v>0</v>
      </c>
      <c r="K909" t="n">
        <v>0</v>
      </c>
      <c r="L909" t="n">
        <v>0</v>
      </c>
      <c r="M909" t="n">
        <v>0</v>
      </c>
      <c r="N909" t="n">
        <v>0</v>
      </c>
      <c r="O909" t="n">
        <v>0</v>
      </c>
      <c r="P909" t="n">
        <v>0</v>
      </c>
      <c r="Q909" t="n">
        <v>0</v>
      </c>
      <c r="R909" s="2" t="inlineStr"/>
    </row>
    <row r="910" ht="15" customHeight="1">
      <c r="A910" t="inlineStr">
        <is>
          <t>A 42886-2025</t>
        </is>
      </c>
      <c r="B910" s="1" t="n">
        <v>45908.65288194444</v>
      </c>
      <c r="C910" s="1" t="n">
        <v>46117</v>
      </c>
      <c r="D910" t="inlineStr">
        <is>
          <t>VÄRMLANDS LÄN</t>
        </is>
      </c>
      <c r="E910" t="inlineStr">
        <is>
          <t>TORSBY</t>
        </is>
      </c>
      <c r="G910" t="n">
        <v>5.8</v>
      </c>
      <c r="H910" t="n">
        <v>0</v>
      </c>
      <c r="I910" t="n">
        <v>0</v>
      </c>
      <c r="J910" t="n">
        <v>0</v>
      </c>
      <c r="K910" t="n">
        <v>0</v>
      </c>
      <c r="L910" t="n">
        <v>0</v>
      </c>
      <c r="M910" t="n">
        <v>0</v>
      </c>
      <c r="N910" t="n">
        <v>0</v>
      </c>
      <c r="O910" t="n">
        <v>0</v>
      </c>
      <c r="P910" t="n">
        <v>0</v>
      </c>
      <c r="Q910" t="n">
        <v>0</v>
      </c>
      <c r="R910" s="2" t="inlineStr"/>
    </row>
    <row r="911" ht="15" customHeight="1">
      <c r="A911" t="inlineStr">
        <is>
          <t>A 42966-2025</t>
        </is>
      </c>
      <c r="B911" s="1" t="n">
        <v>45909.38825231481</v>
      </c>
      <c r="C911" s="1" t="n">
        <v>46117</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9056-2023</t>
        </is>
      </c>
      <c r="B912" s="1" t="n">
        <v>44979</v>
      </c>
      <c r="C912" s="1" t="n">
        <v>46117</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42965-2025</t>
        </is>
      </c>
      <c r="B913" s="1" t="n">
        <v>45909.37575231482</v>
      </c>
      <c r="C913" s="1" t="n">
        <v>46117</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43128-2021</t>
        </is>
      </c>
      <c r="B914" s="1" t="n">
        <v>44431.65930555556</v>
      </c>
      <c r="C914" s="1" t="n">
        <v>46117</v>
      </c>
      <c r="D914" t="inlineStr">
        <is>
          <t>VÄRMLANDS LÄN</t>
        </is>
      </c>
      <c r="E914" t="inlineStr">
        <is>
          <t>TORSBY</t>
        </is>
      </c>
      <c r="G914" t="n">
        <v>10.9</v>
      </c>
      <c r="H914" t="n">
        <v>0</v>
      </c>
      <c r="I914" t="n">
        <v>0</v>
      </c>
      <c r="J914" t="n">
        <v>0</v>
      </c>
      <c r="K914" t="n">
        <v>0</v>
      </c>
      <c r="L914" t="n">
        <v>0</v>
      </c>
      <c r="M914" t="n">
        <v>0</v>
      </c>
      <c r="N914" t="n">
        <v>0</v>
      </c>
      <c r="O914" t="n">
        <v>0</v>
      </c>
      <c r="P914" t="n">
        <v>0</v>
      </c>
      <c r="Q914" t="n">
        <v>0</v>
      </c>
      <c r="R914" s="2" t="inlineStr"/>
    </row>
    <row r="915" ht="15" customHeight="1">
      <c r="A915" t="inlineStr">
        <is>
          <t>A 38143-2025</t>
        </is>
      </c>
      <c r="B915" s="1" t="n">
        <v>45882</v>
      </c>
      <c r="C915" s="1" t="n">
        <v>46117</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65301-2021</t>
        </is>
      </c>
      <c r="B916" s="1" t="n">
        <v>44515</v>
      </c>
      <c r="C916" s="1" t="n">
        <v>46117</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42931-2025</t>
        </is>
      </c>
      <c r="B917" s="1" t="n">
        <v>45909</v>
      </c>
      <c r="C917" s="1" t="n">
        <v>46117</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33146-2025</t>
        </is>
      </c>
      <c r="B918" s="1" t="n">
        <v>45840.53549768519</v>
      </c>
      <c r="C918" s="1" t="n">
        <v>46117</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43055-2025</t>
        </is>
      </c>
      <c r="B919" s="1" t="n">
        <v>45909</v>
      </c>
      <c r="C919" s="1" t="n">
        <v>46117</v>
      </c>
      <c r="D919" t="inlineStr">
        <is>
          <t>VÄRMLANDS LÄN</t>
        </is>
      </c>
      <c r="E919" t="inlineStr">
        <is>
          <t>TORSBY</t>
        </is>
      </c>
      <c r="F919" t="inlineStr">
        <is>
          <t>Bergvik skog väst AB</t>
        </is>
      </c>
      <c r="G919" t="n">
        <v>20.1</v>
      </c>
      <c r="H919" t="n">
        <v>0</v>
      </c>
      <c r="I919" t="n">
        <v>0</v>
      </c>
      <c r="J919" t="n">
        <v>0</v>
      </c>
      <c r="K919" t="n">
        <v>0</v>
      </c>
      <c r="L919" t="n">
        <v>0</v>
      </c>
      <c r="M919" t="n">
        <v>0</v>
      </c>
      <c r="N919" t="n">
        <v>0</v>
      </c>
      <c r="O919" t="n">
        <v>0</v>
      </c>
      <c r="P919" t="n">
        <v>0</v>
      </c>
      <c r="Q919" t="n">
        <v>0</v>
      </c>
      <c r="R919" s="2" t="inlineStr"/>
    </row>
    <row r="920" ht="15" customHeight="1">
      <c r="A920" t="inlineStr">
        <is>
          <t>A 42932-2025</t>
        </is>
      </c>
      <c r="B920" s="1" t="n">
        <v>45909</v>
      </c>
      <c r="C920" s="1" t="n">
        <v>46117</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42705-2025</t>
        </is>
      </c>
      <c r="B921" s="1" t="n">
        <v>45908.37063657407</v>
      </c>
      <c r="C921" s="1" t="n">
        <v>46117</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42720-2025</t>
        </is>
      </c>
      <c r="B922" s="1" t="n">
        <v>45908.39427083333</v>
      </c>
      <c r="C922" s="1" t="n">
        <v>46117</v>
      </c>
      <c r="D922" t="inlineStr">
        <is>
          <t>VÄRMLANDS LÄN</t>
        </is>
      </c>
      <c r="E922" t="inlineStr">
        <is>
          <t>TORSBY</t>
        </is>
      </c>
      <c r="F922" t="inlineStr">
        <is>
          <t>Bergvik skog väst AB</t>
        </is>
      </c>
      <c r="G922" t="n">
        <v>6.8</v>
      </c>
      <c r="H922" t="n">
        <v>0</v>
      </c>
      <c r="I922" t="n">
        <v>0</v>
      </c>
      <c r="J922" t="n">
        <v>0</v>
      </c>
      <c r="K922" t="n">
        <v>0</v>
      </c>
      <c r="L922" t="n">
        <v>0</v>
      </c>
      <c r="M922" t="n">
        <v>0</v>
      </c>
      <c r="N922" t="n">
        <v>0</v>
      </c>
      <c r="O922" t="n">
        <v>0</v>
      </c>
      <c r="P922" t="n">
        <v>0</v>
      </c>
      <c r="Q922" t="n">
        <v>0</v>
      </c>
      <c r="R922" s="2" t="inlineStr"/>
    </row>
    <row r="923" ht="15" customHeight="1">
      <c r="A923" t="inlineStr">
        <is>
          <t>A 20298-2023</t>
        </is>
      </c>
      <c r="B923" s="1" t="n">
        <v>45056</v>
      </c>
      <c r="C923" s="1" t="n">
        <v>46117</v>
      </c>
      <c r="D923" t="inlineStr">
        <is>
          <t>VÄRMLANDS LÄN</t>
        </is>
      </c>
      <c r="E923" t="inlineStr">
        <is>
          <t>TORSBY</t>
        </is>
      </c>
      <c r="F923" t="inlineStr">
        <is>
          <t>Kyrkan</t>
        </is>
      </c>
      <c r="G923" t="n">
        <v>2</v>
      </c>
      <c r="H923" t="n">
        <v>0</v>
      </c>
      <c r="I923" t="n">
        <v>0</v>
      </c>
      <c r="J923" t="n">
        <v>0</v>
      </c>
      <c r="K923" t="n">
        <v>0</v>
      </c>
      <c r="L923" t="n">
        <v>0</v>
      </c>
      <c r="M923" t="n">
        <v>0</v>
      </c>
      <c r="N923" t="n">
        <v>0</v>
      </c>
      <c r="O923" t="n">
        <v>0</v>
      </c>
      <c r="P923" t="n">
        <v>0</v>
      </c>
      <c r="Q923" t="n">
        <v>0</v>
      </c>
      <c r="R923" s="2" t="inlineStr"/>
    </row>
    <row r="924" ht="15" customHeight="1">
      <c r="A924" t="inlineStr">
        <is>
          <t>A 52689-2024</t>
        </is>
      </c>
      <c r="B924" s="1" t="n">
        <v>45610.39621527777</v>
      </c>
      <c r="C924" s="1" t="n">
        <v>46117</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18855-2024</t>
        </is>
      </c>
      <c r="B925" s="1" t="n">
        <v>45426.73634259259</v>
      </c>
      <c r="C925" s="1" t="n">
        <v>46117</v>
      </c>
      <c r="D925" t="inlineStr">
        <is>
          <t>VÄRMLANDS LÄN</t>
        </is>
      </c>
      <c r="E925" t="inlineStr">
        <is>
          <t>TORSBY</t>
        </is>
      </c>
      <c r="G925" t="n">
        <v>5</v>
      </c>
      <c r="H925" t="n">
        <v>0</v>
      </c>
      <c r="I925" t="n">
        <v>0</v>
      </c>
      <c r="J925" t="n">
        <v>0</v>
      </c>
      <c r="K925" t="n">
        <v>0</v>
      </c>
      <c r="L925" t="n">
        <v>0</v>
      </c>
      <c r="M925" t="n">
        <v>0</v>
      </c>
      <c r="N925" t="n">
        <v>0</v>
      </c>
      <c r="O925" t="n">
        <v>0</v>
      </c>
      <c r="P925" t="n">
        <v>0</v>
      </c>
      <c r="Q925" t="n">
        <v>0</v>
      </c>
      <c r="R925" s="2" t="inlineStr"/>
    </row>
    <row r="926" ht="15" customHeight="1">
      <c r="A926" t="inlineStr">
        <is>
          <t>A 42961-2025</t>
        </is>
      </c>
      <c r="B926" s="1" t="n">
        <v>45909.36737268518</v>
      </c>
      <c r="C926" s="1" t="n">
        <v>46117</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17941-2021</t>
        </is>
      </c>
      <c r="B927" s="1" t="n">
        <v>44301</v>
      </c>
      <c r="C927" s="1" t="n">
        <v>46117</v>
      </c>
      <c r="D927" t="inlineStr">
        <is>
          <t>VÄRMLANDS LÄN</t>
        </is>
      </c>
      <c r="E927" t="inlineStr">
        <is>
          <t>TORSBY</t>
        </is>
      </c>
      <c r="F927" t="inlineStr">
        <is>
          <t>Kommuner</t>
        </is>
      </c>
      <c r="G927" t="n">
        <v>8</v>
      </c>
      <c r="H927" t="n">
        <v>0</v>
      </c>
      <c r="I927" t="n">
        <v>0</v>
      </c>
      <c r="J927" t="n">
        <v>0</v>
      </c>
      <c r="K927" t="n">
        <v>0</v>
      </c>
      <c r="L927" t="n">
        <v>0</v>
      </c>
      <c r="M927" t="n">
        <v>0</v>
      </c>
      <c r="N927" t="n">
        <v>0</v>
      </c>
      <c r="O927" t="n">
        <v>0</v>
      </c>
      <c r="P927" t="n">
        <v>0</v>
      </c>
      <c r="Q927" t="n">
        <v>0</v>
      </c>
      <c r="R927" s="2" t="inlineStr"/>
    </row>
    <row r="928" ht="15" customHeight="1">
      <c r="A928" t="inlineStr">
        <is>
          <t>A 60525-2023</t>
        </is>
      </c>
      <c r="B928" s="1" t="n">
        <v>45259</v>
      </c>
      <c r="C928" s="1" t="n">
        <v>46117</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55428-2022</t>
        </is>
      </c>
      <c r="B929" s="1" t="n">
        <v>44887.60894675926</v>
      </c>
      <c r="C929" s="1" t="n">
        <v>46117</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43037-2024</t>
        </is>
      </c>
      <c r="B930" s="1" t="n">
        <v>45567</v>
      </c>
      <c r="C930" s="1" t="n">
        <v>46117</v>
      </c>
      <c r="D930" t="inlineStr">
        <is>
          <t>VÄRMLANDS LÄN</t>
        </is>
      </c>
      <c r="E930" t="inlineStr">
        <is>
          <t>TORSBY</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23572-2023</t>
        </is>
      </c>
      <c r="B931" s="1" t="n">
        <v>45077</v>
      </c>
      <c r="C931" s="1" t="n">
        <v>46117</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53499-2023</t>
        </is>
      </c>
      <c r="B932" s="1" t="n">
        <v>45223</v>
      </c>
      <c r="C932" s="1" t="n">
        <v>46117</v>
      </c>
      <c r="D932" t="inlineStr">
        <is>
          <t>VÄRMLANDS LÄN</t>
        </is>
      </c>
      <c r="E932" t="inlineStr">
        <is>
          <t>TORSBY</t>
        </is>
      </c>
      <c r="G932" t="n">
        <v>4.3</v>
      </c>
      <c r="H932" t="n">
        <v>0</v>
      </c>
      <c r="I932" t="n">
        <v>0</v>
      </c>
      <c r="J932" t="n">
        <v>0</v>
      </c>
      <c r="K932" t="n">
        <v>0</v>
      </c>
      <c r="L932" t="n">
        <v>0</v>
      </c>
      <c r="M932" t="n">
        <v>0</v>
      </c>
      <c r="N932" t="n">
        <v>0</v>
      </c>
      <c r="O932" t="n">
        <v>0</v>
      </c>
      <c r="P932" t="n">
        <v>0</v>
      </c>
      <c r="Q932" t="n">
        <v>0</v>
      </c>
      <c r="R932" s="2" t="inlineStr"/>
    </row>
    <row r="933" ht="15" customHeight="1">
      <c r="A933" t="inlineStr">
        <is>
          <t>A 54528-2023</t>
        </is>
      </c>
      <c r="B933" s="1" t="n">
        <v>45233.59122685185</v>
      </c>
      <c r="C933" s="1" t="n">
        <v>46117</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52239-2024</t>
        </is>
      </c>
      <c r="B934" s="1" t="n">
        <v>45608.61837962963</v>
      </c>
      <c r="C934" s="1" t="n">
        <v>46117</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38662-2025</t>
        </is>
      </c>
      <c r="B935" s="1" t="n">
        <v>45884.61193287037</v>
      </c>
      <c r="C935" s="1" t="n">
        <v>46117</v>
      </c>
      <c r="D935" t="inlineStr">
        <is>
          <t>VÄRMLANDS LÄN</t>
        </is>
      </c>
      <c r="E935" t="inlineStr">
        <is>
          <t>TORSBY</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43614-2025</t>
        </is>
      </c>
      <c r="B936" s="1" t="n">
        <v>45911.67766203704</v>
      </c>
      <c r="C936" s="1" t="n">
        <v>46117</v>
      </c>
      <c r="D936" t="inlineStr">
        <is>
          <t>VÄRMLANDS LÄN</t>
        </is>
      </c>
      <c r="E936" t="inlineStr">
        <is>
          <t>TORSBY</t>
        </is>
      </c>
      <c r="F936" t="inlineStr">
        <is>
          <t>Bergvik skog väst AB</t>
        </is>
      </c>
      <c r="G936" t="n">
        <v>3</v>
      </c>
      <c r="H936" t="n">
        <v>0</v>
      </c>
      <c r="I936" t="n">
        <v>0</v>
      </c>
      <c r="J936" t="n">
        <v>0</v>
      </c>
      <c r="K936" t="n">
        <v>0</v>
      </c>
      <c r="L936" t="n">
        <v>0</v>
      </c>
      <c r="M936" t="n">
        <v>0</v>
      </c>
      <c r="N936" t="n">
        <v>0</v>
      </c>
      <c r="O936" t="n">
        <v>0</v>
      </c>
      <c r="P936" t="n">
        <v>0</v>
      </c>
      <c r="Q936" t="n">
        <v>0</v>
      </c>
      <c r="R936" s="2" t="inlineStr"/>
    </row>
    <row r="937" ht="15" customHeight="1">
      <c r="A937" t="inlineStr">
        <is>
          <t>A 46424-2023</t>
        </is>
      </c>
      <c r="B937" s="1" t="n">
        <v>45197.56141203704</v>
      </c>
      <c r="C937" s="1" t="n">
        <v>46117</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43608-2025</t>
        </is>
      </c>
      <c r="B938" s="1" t="n">
        <v>45911.67491898148</v>
      </c>
      <c r="C938" s="1" t="n">
        <v>46117</v>
      </c>
      <c r="D938" t="inlineStr">
        <is>
          <t>VÄRMLANDS LÄN</t>
        </is>
      </c>
      <c r="E938" t="inlineStr">
        <is>
          <t>TORSBY</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8025-2025</t>
        </is>
      </c>
      <c r="B939" s="1" t="n">
        <v>45707</v>
      </c>
      <c r="C939" s="1" t="n">
        <v>46117</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43304-2025</t>
        </is>
      </c>
      <c r="B940" s="1" t="n">
        <v>45910.63630787037</v>
      </c>
      <c r="C940" s="1" t="n">
        <v>46117</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34667-2022</t>
        </is>
      </c>
      <c r="B941" s="1" t="n">
        <v>44795</v>
      </c>
      <c r="C941" s="1" t="n">
        <v>46117</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43313-2025</t>
        </is>
      </c>
      <c r="B942" s="1" t="n">
        <v>45910</v>
      </c>
      <c r="C942" s="1" t="n">
        <v>46117</v>
      </c>
      <c r="D942" t="inlineStr">
        <is>
          <t>VÄRMLANDS LÄN</t>
        </is>
      </c>
      <c r="E942" t="inlineStr">
        <is>
          <t>TORSBY</t>
        </is>
      </c>
      <c r="F942" t="inlineStr">
        <is>
          <t>Övriga Aktiebolag</t>
        </is>
      </c>
      <c r="G942" t="n">
        <v>9.5</v>
      </c>
      <c r="H942" t="n">
        <v>0</v>
      </c>
      <c r="I942" t="n">
        <v>0</v>
      </c>
      <c r="J942" t="n">
        <v>0</v>
      </c>
      <c r="K942" t="n">
        <v>0</v>
      </c>
      <c r="L942" t="n">
        <v>0</v>
      </c>
      <c r="M942" t="n">
        <v>0</v>
      </c>
      <c r="N942" t="n">
        <v>0</v>
      </c>
      <c r="O942" t="n">
        <v>0</v>
      </c>
      <c r="P942" t="n">
        <v>0</v>
      </c>
      <c r="Q942" t="n">
        <v>0</v>
      </c>
      <c r="R942" s="2" t="inlineStr"/>
    </row>
    <row r="943" ht="15" customHeight="1">
      <c r="A943" t="inlineStr">
        <is>
          <t>A 43787-2025</t>
        </is>
      </c>
      <c r="B943" s="1" t="n">
        <v>45912</v>
      </c>
      <c r="C943" s="1" t="n">
        <v>46117</v>
      </c>
      <c r="D943" t="inlineStr">
        <is>
          <t>VÄRMLANDS LÄN</t>
        </is>
      </c>
      <c r="E943" t="inlineStr">
        <is>
          <t>TORSBY</t>
        </is>
      </c>
      <c r="G943" t="n">
        <v>13.1</v>
      </c>
      <c r="H943" t="n">
        <v>0</v>
      </c>
      <c r="I943" t="n">
        <v>0</v>
      </c>
      <c r="J943" t="n">
        <v>0</v>
      </c>
      <c r="K943" t="n">
        <v>0</v>
      </c>
      <c r="L943" t="n">
        <v>0</v>
      </c>
      <c r="M943" t="n">
        <v>0</v>
      </c>
      <c r="N943" t="n">
        <v>0</v>
      </c>
      <c r="O943" t="n">
        <v>0</v>
      </c>
      <c r="P943" t="n">
        <v>0</v>
      </c>
      <c r="Q943" t="n">
        <v>0</v>
      </c>
      <c r="R943" s="2" t="inlineStr"/>
    </row>
    <row r="944" ht="15" customHeight="1">
      <c r="A944" t="inlineStr">
        <is>
          <t>A 22030-2023</t>
        </is>
      </c>
      <c r="B944" s="1" t="n">
        <v>45069</v>
      </c>
      <c r="C944" s="1" t="n">
        <v>46117</v>
      </c>
      <c r="D944" t="inlineStr">
        <is>
          <t>VÄRMLANDS LÄN</t>
        </is>
      </c>
      <c r="E944" t="inlineStr">
        <is>
          <t>TORSBY</t>
        </is>
      </c>
      <c r="F944" t="inlineStr">
        <is>
          <t>Bergvik skog väst AB</t>
        </is>
      </c>
      <c r="G944" t="n">
        <v>3.5</v>
      </c>
      <c r="H944" t="n">
        <v>0</v>
      </c>
      <c r="I944" t="n">
        <v>0</v>
      </c>
      <c r="J944" t="n">
        <v>0</v>
      </c>
      <c r="K944" t="n">
        <v>0</v>
      </c>
      <c r="L944" t="n">
        <v>0</v>
      </c>
      <c r="M944" t="n">
        <v>0</v>
      </c>
      <c r="N944" t="n">
        <v>0</v>
      </c>
      <c r="O944" t="n">
        <v>0</v>
      </c>
      <c r="P944" t="n">
        <v>0</v>
      </c>
      <c r="Q944" t="n">
        <v>0</v>
      </c>
      <c r="R944" s="2" t="inlineStr"/>
    </row>
    <row r="945" ht="15" customHeight="1">
      <c r="A945" t="inlineStr">
        <is>
          <t>A 60385-2024</t>
        </is>
      </c>
      <c r="B945" s="1" t="n">
        <v>45643</v>
      </c>
      <c r="C945" s="1" t="n">
        <v>46117</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34256-2024</t>
        </is>
      </c>
      <c r="B946" s="1" t="n">
        <v>45524.59434027778</v>
      </c>
      <c r="C946" s="1" t="n">
        <v>46117</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38795-2025</t>
        </is>
      </c>
      <c r="B947" s="1" t="n">
        <v>45887</v>
      </c>
      <c r="C947" s="1" t="n">
        <v>46117</v>
      </c>
      <c r="D947" t="inlineStr">
        <is>
          <t>VÄRMLANDS LÄN</t>
        </is>
      </c>
      <c r="E947" t="inlineStr">
        <is>
          <t>TORSBY</t>
        </is>
      </c>
      <c r="F947" t="inlineStr">
        <is>
          <t>Bergvik skog väst AB</t>
        </is>
      </c>
      <c r="G947" t="n">
        <v>4.2</v>
      </c>
      <c r="H947" t="n">
        <v>0</v>
      </c>
      <c r="I947" t="n">
        <v>0</v>
      </c>
      <c r="J947" t="n">
        <v>0</v>
      </c>
      <c r="K947" t="n">
        <v>0</v>
      </c>
      <c r="L947" t="n">
        <v>0</v>
      </c>
      <c r="M947" t="n">
        <v>0</v>
      </c>
      <c r="N947" t="n">
        <v>0</v>
      </c>
      <c r="O947" t="n">
        <v>0</v>
      </c>
      <c r="P947" t="n">
        <v>0</v>
      </c>
      <c r="Q947" t="n">
        <v>0</v>
      </c>
      <c r="R947" s="2" t="inlineStr"/>
    </row>
    <row r="948" ht="15" customHeight="1">
      <c r="A948" t="inlineStr">
        <is>
          <t>A 44156-2025</t>
        </is>
      </c>
      <c r="B948" s="1" t="n">
        <v>45915.59539351852</v>
      </c>
      <c r="C948" s="1" t="n">
        <v>46117</v>
      </c>
      <c r="D948" t="inlineStr">
        <is>
          <t>VÄRMLANDS LÄN</t>
        </is>
      </c>
      <c r="E948" t="inlineStr">
        <is>
          <t>TORSBY</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44233-2025</t>
        </is>
      </c>
      <c r="B949" s="1" t="n">
        <v>45915.65515046296</v>
      </c>
      <c r="C949" s="1" t="n">
        <v>46117</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30531-2023</t>
        </is>
      </c>
      <c r="B950" s="1" t="n">
        <v>45111.68223379629</v>
      </c>
      <c r="C950" s="1" t="n">
        <v>46117</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44133-2025</t>
        </is>
      </c>
      <c r="B951" s="1" t="n">
        <v>45915</v>
      </c>
      <c r="C951" s="1" t="n">
        <v>46117</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38771-2025</t>
        </is>
      </c>
      <c r="B952" s="1" t="n">
        <v>45887</v>
      </c>
      <c r="C952" s="1" t="n">
        <v>46117</v>
      </c>
      <c r="D952" t="inlineStr">
        <is>
          <t>VÄRMLANDS LÄN</t>
        </is>
      </c>
      <c r="E952" t="inlineStr">
        <is>
          <t>TORSBY</t>
        </is>
      </c>
      <c r="G952" t="n">
        <v>2.7</v>
      </c>
      <c r="H952" t="n">
        <v>0</v>
      </c>
      <c r="I952" t="n">
        <v>0</v>
      </c>
      <c r="J952" t="n">
        <v>0</v>
      </c>
      <c r="K952" t="n">
        <v>0</v>
      </c>
      <c r="L952" t="n">
        <v>0</v>
      </c>
      <c r="M952" t="n">
        <v>0</v>
      </c>
      <c r="N952" t="n">
        <v>0</v>
      </c>
      <c r="O952" t="n">
        <v>0</v>
      </c>
      <c r="P952" t="n">
        <v>0</v>
      </c>
      <c r="Q952" t="n">
        <v>0</v>
      </c>
      <c r="R952" s="2" t="inlineStr"/>
    </row>
    <row r="953" ht="15" customHeight="1">
      <c r="A953" t="inlineStr">
        <is>
          <t>A 44055-2025</t>
        </is>
      </c>
      <c r="B953" s="1" t="n">
        <v>45915.52358796296</v>
      </c>
      <c r="C953" s="1" t="n">
        <v>46117</v>
      </c>
      <c r="D953" t="inlineStr">
        <is>
          <t>VÄRMLANDS LÄN</t>
        </is>
      </c>
      <c r="E953" t="inlineStr">
        <is>
          <t>TORSBY</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38536-2025</t>
        </is>
      </c>
      <c r="B954" s="1" t="n">
        <v>45884.42</v>
      </c>
      <c r="C954" s="1" t="n">
        <v>46117</v>
      </c>
      <c r="D954" t="inlineStr">
        <is>
          <t>VÄRMLANDS LÄN</t>
        </is>
      </c>
      <c r="E954" t="inlineStr">
        <is>
          <t>TORSBY</t>
        </is>
      </c>
      <c r="G954" t="n">
        <v>2.2</v>
      </c>
      <c r="H954" t="n">
        <v>0</v>
      </c>
      <c r="I954" t="n">
        <v>0</v>
      </c>
      <c r="J954" t="n">
        <v>0</v>
      </c>
      <c r="K954" t="n">
        <v>0</v>
      </c>
      <c r="L954" t="n">
        <v>0</v>
      </c>
      <c r="M954" t="n">
        <v>0</v>
      </c>
      <c r="N954" t="n">
        <v>0</v>
      </c>
      <c r="O954" t="n">
        <v>0</v>
      </c>
      <c r="P954" t="n">
        <v>0</v>
      </c>
      <c r="Q954" t="n">
        <v>0</v>
      </c>
      <c r="R954" s="2" t="inlineStr"/>
    </row>
    <row r="955" ht="15" customHeight="1">
      <c r="A955" t="inlineStr">
        <is>
          <t>A 39390-2023</t>
        </is>
      </c>
      <c r="B955" s="1" t="n">
        <v>45166.65104166666</v>
      </c>
      <c r="C955" s="1" t="n">
        <v>46117</v>
      </c>
      <c r="D955" t="inlineStr">
        <is>
          <t>VÄRMLANDS LÄN</t>
        </is>
      </c>
      <c r="E955" t="inlineStr">
        <is>
          <t>TORSBY</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44220-2025</t>
        </is>
      </c>
      <c r="B956" s="1" t="n">
        <v>45915</v>
      </c>
      <c r="C956" s="1" t="n">
        <v>46117</v>
      </c>
      <c r="D956" t="inlineStr">
        <is>
          <t>VÄRMLANDS LÄN</t>
        </is>
      </c>
      <c r="E956" t="inlineStr">
        <is>
          <t>TORSBY</t>
        </is>
      </c>
      <c r="F956" t="inlineStr">
        <is>
          <t>Kommuner</t>
        </is>
      </c>
      <c r="G956" t="n">
        <v>4.9</v>
      </c>
      <c r="H956" t="n">
        <v>0</v>
      </c>
      <c r="I956" t="n">
        <v>0</v>
      </c>
      <c r="J956" t="n">
        <v>0</v>
      </c>
      <c r="K956" t="n">
        <v>0</v>
      </c>
      <c r="L956" t="n">
        <v>0</v>
      </c>
      <c r="M956" t="n">
        <v>0</v>
      </c>
      <c r="N956" t="n">
        <v>0</v>
      </c>
      <c r="O956" t="n">
        <v>0</v>
      </c>
      <c r="P956" t="n">
        <v>0</v>
      </c>
      <c r="Q956" t="n">
        <v>0</v>
      </c>
      <c r="R956" s="2" t="inlineStr"/>
    </row>
    <row r="957" ht="15" customHeight="1">
      <c r="A957" t="inlineStr">
        <is>
          <t>A 43831-2025</t>
        </is>
      </c>
      <c r="B957" s="1" t="n">
        <v>45912.62987268518</v>
      </c>
      <c r="C957" s="1" t="n">
        <v>46117</v>
      </c>
      <c r="D957" t="inlineStr">
        <is>
          <t>VÄRMLANDS LÄN</t>
        </is>
      </c>
      <c r="E957" t="inlineStr">
        <is>
          <t>TORSBY</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15126-2024</t>
        </is>
      </c>
      <c r="B958" s="1" t="n">
        <v>45399</v>
      </c>
      <c r="C958" s="1" t="n">
        <v>46117</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15127-2024</t>
        </is>
      </c>
      <c r="B959" s="1" t="n">
        <v>45399.76815972223</v>
      </c>
      <c r="C959" s="1" t="n">
        <v>46117</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20872-2024</t>
        </is>
      </c>
      <c r="B960" s="1" t="n">
        <v>45439.44173611111</v>
      </c>
      <c r="C960" s="1" t="n">
        <v>46117</v>
      </c>
      <c r="D960" t="inlineStr">
        <is>
          <t>VÄRMLANDS LÄN</t>
        </is>
      </c>
      <c r="E960" t="inlineStr">
        <is>
          <t>TORSBY</t>
        </is>
      </c>
      <c r="G960" t="n">
        <v>7.4</v>
      </c>
      <c r="H960" t="n">
        <v>0</v>
      </c>
      <c r="I960" t="n">
        <v>0</v>
      </c>
      <c r="J960" t="n">
        <v>0</v>
      </c>
      <c r="K960" t="n">
        <v>0</v>
      </c>
      <c r="L960" t="n">
        <v>0</v>
      </c>
      <c r="M960" t="n">
        <v>0</v>
      </c>
      <c r="N960" t="n">
        <v>0</v>
      </c>
      <c r="O960" t="n">
        <v>0</v>
      </c>
      <c r="P960" t="n">
        <v>0</v>
      </c>
      <c r="Q960" t="n">
        <v>0</v>
      </c>
      <c r="R960" s="2" t="inlineStr"/>
    </row>
    <row r="961" ht="15" customHeight="1">
      <c r="A961" t="inlineStr">
        <is>
          <t>A 8054-2022</t>
        </is>
      </c>
      <c r="B961" s="1" t="n">
        <v>44609</v>
      </c>
      <c r="C961" s="1" t="n">
        <v>46117</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48721-2024</t>
        </is>
      </c>
      <c r="B962" s="1" t="n">
        <v>45593.54752314815</v>
      </c>
      <c r="C962" s="1" t="n">
        <v>46117</v>
      </c>
      <c r="D962" t="inlineStr">
        <is>
          <t>VÄRMLANDS LÄN</t>
        </is>
      </c>
      <c r="E962" t="inlineStr">
        <is>
          <t>TORSBY</t>
        </is>
      </c>
      <c r="F962" t="inlineStr">
        <is>
          <t>Bergvik skog väst AB</t>
        </is>
      </c>
      <c r="G962" t="n">
        <v>4.6</v>
      </c>
      <c r="H962" t="n">
        <v>0</v>
      </c>
      <c r="I962" t="n">
        <v>0</v>
      </c>
      <c r="J962" t="n">
        <v>0</v>
      </c>
      <c r="K962" t="n">
        <v>0</v>
      </c>
      <c r="L962" t="n">
        <v>0</v>
      </c>
      <c r="M962" t="n">
        <v>0</v>
      </c>
      <c r="N962" t="n">
        <v>0</v>
      </c>
      <c r="O962" t="n">
        <v>0</v>
      </c>
      <c r="P962" t="n">
        <v>0</v>
      </c>
      <c r="Q962" t="n">
        <v>0</v>
      </c>
      <c r="R962" s="2" t="inlineStr"/>
    </row>
    <row r="963" ht="15" customHeight="1">
      <c r="A963" t="inlineStr">
        <is>
          <t>A 43669-2025</t>
        </is>
      </c>
      <c r="B963" s="1" t="n">
        <v>45912.36299768519</v>
      </c>
      <c r="C963" s="1" t="n">
        <v>46117</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49073-2022</t>
        </is>
      </c>
      <c r="B964" s="1" t="n">
        <v>44860</v>
      </c>
      <c r="C964" s="1" t="n">
        <v>46117</v>
      </c>
      <c r="D964" t="inlineStr">
        <is>
          <t>VÄRMLANDS LÄN</t>
        </is>
      </c>
      <c r="E964" t="inlineStr">
        <is>
          <t>TORSBY</t>
        </is>
      </c>
      <c r="G964" t="n">
        <v>4.7</v>
      </c>
      <c r="H964" t="n">
        <v>0</v>
      </c>
      <c r="I964" t="n">
        <v>0</v>
      </c>
      <c r="J964" t="n">
        <v>0</v>
      </c>
      <c r="K964" t="n">
        <v>0</v>
      </c>
      <c r="L964" t="n">
        <v>0</v>
      </c>
      <c r="M964" t="n">
        <v>0</v>
      </c>
      <c r="N964" t="n">
        <v>0</v>
      </c>
      <c r="O964" t="n">
        <v>0</v>
      </c>
      <c r="P964" t="n">
        <v>0</v>
      </c>
      <c r="Q964" t="n">
        <v>0</v>
      </c>
      <c r="R964" s="2" t="inlineStr"/>
    </row>
    <row r="965" ht="15" customHeight="1">
      <c r="A965" t="inlineStr">
        <is>
          <t>A 46915-2024</t>
        </is>
      </c>
      <c r="B965" s="1" t="n">
        <v>45583</v>
      </c>
      <c r="C965" s="1" t="n">
        <v>46117</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50147-2023</t>
        </is>
      </c>
      <c r="B966" s="1" t="n">
        <v>45215</v>
      </c>
      <c r="C966" s="1" t="n">
        <v>46117</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44141-2025</t>
        </is>
      </c>
      <c r="B967" s="1" t="n">
        <v>45915</v>
      </c>
      <c r="C967" s="1" t="n">
        <v>46117</v>
      </c>
      <c r="D967" t="inlineStr">
        <is>
          <t>VÄRMLANDS LÄN</t>
        </is>
      </c>
      <c r="E967" t="inlineStr">
        <is>
          <t>TORSBY</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44590-2025</t>
        </is>
      </c>
      <c r="B968" s="1" t="n">
        <v>45917.42607638889</v>
      </c>
      <c r="C968" s="1" t="n">
        <v>46117</v>
      </c>
      <c r="D968" t="inlineStr">
        <is>
          <t>VÄRMLANDS LÄN</t>
        </is>
      </c>
      <c r="E968" t="inlineStr">
        <is>
          <t>TORSBY</t>
        </is>
      </c>
      <c r="F968" t="inlineStr">
        <is>
          <t>Bergvik skog väst AB</t>
        </is>
      </c>
      <c r="G968" t="n">
        <v>10.3</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46117</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44715-2025</t>
        </is>
      </c>
      <c r="B970" s="1" t="n">
        <v>45917.62854166667</v>
      </c>
      <c r="C970" s="1" t="n">
        <v>46117</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44470-2024</t>
        </is>
      </c>
      <c r="B971" s="1" t="n">
        <v>45574</v>
      </c>
      <c r="C971" s="1" t="n">
        <v>46117</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44497-2023</t>
        </is>
      </c>
      <c r="B972" s="1" t="n">
        <v>45189.45701388889</v>
      </c>
      <c r="C972" s="1" t="n">
        <v>46117</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41936-2024</t>
        </is>
      </c>
      <c r="B973" s="1" t="n">
        <v>45561</v>
      </c>
      <c r="C973" s="1" t="n">
        <v>46117</v>
      </c>
      <c r="D973" t="inlineStr">
        <is>
          <t>VÄRMLANDS LÄN</t>
        </is>
      </c>
      <c r="E973" t="inlineStr">
        <is>
          <t>TORSBY</t>
        </is>
      </c>
      <c r="G973" t="n">
        <v>9.9</v>
      </c>
      <c r="H973" t="n">
        <v>0</v>
      </c>
      <c r="I973" t="n">
        <v>0</v>
      </c>
      <c r="J973" t="n">
        <v>0</v>
      </c>
      <c r="K973" t="n">
        <v>0</v>
      </c>
      <c r="L973" t="n">
        <v>0</v>
      </c>
      <c r="M973" t="n">
        <v>0</v>
      </c>
      <c r="N973" t="n">
        <v>0</v>
      </c>
      <c r="O973" t="n">
        <v>0</v>
      </c>
      <c r="P973" t="n">
        <v>0</v>
      </c>
      <c r="Q973" t="n">
        <v>0</v>
      </c>
      <c r="R973" s="2" t="inlineStr"/>
    </row>
    <row r="974" ht="15" customHeight="1">
      <c r="A974" t="inlineStr">
        <is>
          <t>A 8447-2023</t>
        </is>
      </c>
      <c r="B974" s="1" t="n">
        <v>44977</v>
      </c>
      <c r="C974" s="1" t="n">
        <v>46117</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44507-2025</t>
        </is>
      </c>
      <c r="B975" s="1" t="n">
        <v>45916</v>
      </c>
      <c r="C975" s="1" t="n">
        <v>46117</v>
      </c>
      <c r="D975" t="inlineStr">
        <is>
          <t>VÄRMLANDS LÄN</t>
        </is>
      </c>
      <c r="E975" t="inlineStr">
        <is>
          <t>TORSBY</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44286-2025</t>
        </is>
      </c>
      <c r="B976" s="1" t="n">
        <v>45916</v>
      </c>
      <c r="C976" s="1" t="n">
        <v>46117</v>
      </c>
      <c r="D976" t="inlineStr">
        <is>
          <t>VÄRMLANDS LÄN</t>
        </is>
      </c>
      <c r="E976" t="inlineStr">
        <is>
          <t>TORSBY</t>
        </is>
      </c>
      <c r="F976" t="inlineStr">
        <is>
          <t>Bergvik skog väst AB</t>
        </is>
      </c>
      <c r="G976" t="n">
        <v>13.8</v>
      </c>
      <c r="H976" t="n">
        <v>0</v>
      </c>
      <c r="I976" t="n">
        <v>0</v>
      </c>
      <c r="J976" t="n">
        <v>0</v>
      </c>
      <c r="K976" t="n">
        <v>0</v>
      </c>
      <c r="L976" t="n">
        <v>0</v>
      </c>
      <c r="M976" t="n">
        <v>0</v>
      </c>
      <c r="N976" t="n">
        <v>0</v>
      </c>
      <c r="O976" t="n">
        <v>0</v>
      </c>
      <c r="P976" t="n">
        <v>0</v>
      </c>
      <c r="Q976" t="n">
        <v>0</v>
      </c>
      <c r="R976" s="2" t="inlineStr"/>
    </row>
    <row r="977" ht="15" customHeight="1">
      <c r="A977" t="inlineStr">
        <is>
          <t>A 44290-2025</t>
        </is>
      </c>
      <c r="B977" s="1" t="n">
        <v>45916.35228009259</v>
      </c>
      <c r="C977" s="1" t="n">
        <v>46117</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44273-2025</t>
        </is>
      </c>
      <c r="B978" s="1" t="n">
        <v>45916</v>
      </c>
      <c r="C978" s="1" t="n">
        <v>46117</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44374-2025</t>
        </is>
      </c>
      <c r="B979" s="1" t="n">
        <v>45916.47035879629</v>
      </c>
      <c r="C979" s="1" t="n">
        <v>46117</v>
      </c>
      <c r="D979" t="inlineStr">
        <is>
          <t>VÄRMLANDS LÄN</t>
        </is>
      </c>
      <c r="E979" t="inlineStr">
        <is>
          <t>TORSBY</t>
        </is>
      </c>
      <c r="F979" t="inlineStr">
        <is>
          <t>Bergvik skog väst AB</t>
        </is>
      </c>
      <c r="G979" t="n">
        <v>10.5</v>
      </c>
      <c r="H979" t="n">
        <v>0</v>
      </c>
      <c r="I979" t="n">
        <v>0</v>
      </c>
      <c r="J979" t="n">
        <v>0</v>
      </c>
      <c r="K979" t="n">
        <v>0</v>
      </c>
      <c r="L979" t="n">
        <v>0</v>
      </c>
      <c r="M979" t="n">
        <v>0</v>
      </c>
      <c r="N979" t="n">
        <v>0</v>
      </c>
      <c r="O979" t="n">
        <v>0</v>
      </c>
      <c r="P979" t="n">
        <v>0</v>
      </c>
      <c r="Q979" t="n">
        <v>0</v>
      </c>
      <c r="R979" s="2" t="inlineStr"/>
    </row>
    <row r="980" ht="15" customHeight="1">
      <c r="A980" t="inlineStr">
        <is>
          <t>A 44522-2025</t>
        </is>
      </c>
      <c r="B980" s="1" t="n">
        <v>45916</v>
      </c>
      <c r="C980" s="1" t="n">
        <v>46117</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44288-2025</t>
        </is>
      </c>
      <c r="B981" s="1" t="n">
        <v>45916.3500462963</v>
      </c>
      <c r="C981" s="1" t="n">
        <v>46117</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44710-2025</t>
        </is>
      </c>
      <c r="B982" s="1" t="n">
        <v>45917.61743055555</v>
      </c>
      <c r="C982" s="1" t="n">
        <v>46117</v>
      </c>
      <c r="D982" t="inlineStr">
        <is>
          <t>VÄRMLANDS LÄN</t>
        </is>
      </c>
      <c r="E982" t="inlineStr">
        <is>
          <t>TORSBY</t>
        </is>
      </c>
      <c r="G982" t="n">
        <v>7.5</v>
      </c>
      <c r="H982" t="n">
        <v>0</v>
      </c>
      <c r="I982" t="n">
        <v>0</v>
      </c>
      <c r="J982" t="n">
        <v>0</v>
      </c>
      <c r="K982" t="n">
        <v>0</v>
      </c>
      <c r="L982" t="n">
        <v>0</v>
      </c>
      <c r="M982" t="n">
        <v>0</v>
      </c>
      <c r="N982" t="n">
        <v>0</v>
      </c>
      <c r="O982" t="n">
        <v>0</v>
      </c>
      <c r="P982" t="n">
        <v>0</v>
      </c>
      <c r="Q982" t="n">
        <v>0</v>
      </c>
      <c r="R982" s="2" t="inlineStr"/>
    </row>
    <row r="983" ht="15" customHeight="1">
      <c r="A983" t="inlineStr">
        <is>
          <t>A 21581-2024</t>
        </is>
      </c>
      <c r="B983" s="1" t="n">
        <v>45441</v>
      </c>
      <c r="C983" s="1" t="n">
        <v>46117</v>
      </c>
      <c r="D983" t="inlineStr">
        <is>
          <t>VÄRMLANDS LÄN</t>
        </is>
      </c>
      <c r="E983" t="inlineStr">
        <is>
          <t>TORSBY</t>
        </is>
      </c>
      <c r="G983" t="n">
        <v>5.5</v>
      </c>
      <c r="H983" t="n">
        <v>0</v>
      </c>
      <c r="I983" t="n">
        <v>0</v>
      </c>
      <c r="J983" t="n">
        <v>0</v>
      </c>
      <c r="K983" t="n">
        <v>0</v>
      </c>
      <c r="L983" t="n">
        <v>0</v>
      </c>
      <c r="M983" t="n">
        <v>0</v>
      </c>
      <c r="N983" t="n">
        <v>0</v>
      </c>
      <c r="O983" t="n">
        <v>0</v>
      </c>
      <c r="P983" t="n">
        <v>0</v>
      </c>
      <c r="Q983" t="n">
        <v>0</v>
      </c>
      <c r="R983" s="2" t="inlineStr"/>
    </row>
    <row r="984" ht="15" customHeight="1">
      <c r="A984" t="inlineStr">
        <is>
          <t>A 42481-2025</t>
        </is>
      </c>
      <c r="B984" s="1" t="n">
        <v>45904</v>
      </c>
      <c r="C984" s="1" t="n">
        <v>46117</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8979-2025</t>
        </is>
      </c>
      <c r="B985" s="1" t="n">
        <v>45713</v>
      </c>
      <c r="C985" s="1" t="n">
        <v>46117</v>
      </c>
      <c r="D985" t="inlineStr">
        <is>
          <t>VÄRMLANDS LÄN</t>
        </is>
      </c>
      <c r="E985" t="inlineStr">
        <is>
          <t>TORSBY</t>
        </is>
      </c>
      <c r="G985" t="n">
        <v>6.5</v>
      </c>
      <c r="H985" t="n">
        <v>0</v>
      </c>
      <c r="I985" t="n">
        <v>0</v>
      </c>
      <c r="J985" t="n">
        <v>0</v>
      </c>
      <c r="K985" t="n">
        <v>0</v>
      </c>
      <c r="L985" t="n">
        <v>0</v>
      </c>
      <c r="M985" t="n">
        <v>0</v>
      </c>
      <c r="N985" t="n">
        <v>0</v>
      </c>
      <c r="O985" t="n">
        <v>0</v>
      </c>
      <c r="P985" t="n">
        <v>0</v>
      </c>
      <c r="Q985" t="n">
        <v>0</v>
      </c>
      <c r="R985" s="2" t="inlineStr"/>
    </row>
    <row r="986" ht="15" customHeight="1">
      <c r="A986" t="inlineStr">
        <is>
          <t>A 30735-2025</t>
        </is>
      </c>
      <c r="B986" s="1" t="n">
        <v>45831.57479166667</v>
      </c>
      <c r="C986" s="1" t="n">
        <v>46117</v>
      </c>
      <c r="D986" t="inlineStr">
        <is>
          <t>VÄRMLANDS LÄN</t>
        </is>
      </c>
      <c r="E986" t="inlineStr">
        <is>
          <t>TORSBY</t>
        </is>
      </c>
      <c r="F986" t="inlineStr">
        <is>
          <t>Bergvik skog väst AB</t>
        </is>
      </c>
      <c r="G986" t="n">
        <v>11.2</v>
      </c>
      <c r="H986" t="n">
        <v>0</v>
      </c>
      <c r="I986" t="n">
        <v>0</v>
      </c>
      <c r="J986" t="n">
        <v>0</v>
      </c>
      <c r="K986" t="n">
        <v>0</v>
      </c>
      <c r="L986" t="n">
        <v>0</v>
      </c>
      <c r="M986" t="n">
        <v>0</v>
      </c>
      <c r="N986" t="n">
        <v>0</v>
      </c>
      <c r="O986" t="n">
        <v>0</v>
      </c>
      <c r="P986" t="n">
        <v>0</v>
      </c>
      <c r="Q986" t="n">
        <v>0</v>
      </c>
      <c r="R986" s="2" t="inlineStr"/>
    </row>
    <row r="987" ht="15" customHeight="1">
      <c r="A987" t="inlineStr">
        <is>
          <t>A 45245-2025</t>
        </is>
      </c>
      <c r="B987" s="1" t="n">
        <v>45919.60621527778</v>
      </c>
      <c r="C987" s="1" t="n">
        <v>46117</v>
      </c>
      <c r="D987" t="inlineStr">
        <is>
          <t>VÄRMLANDS LÄN</t>
        </is>
      </c>
      <c r="E987" t="inlineStr">
        <is>
          <t>TORSBY</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39003-2021</t>
        </is>
      </c>
      <c r="B988" s="1" t="n">
        <v>44412</v>
      </c>
      <c r="C988" s="1" t="n">
        <v>46117</v>
      </c>
      <c r="D988" t="inlineStr">
        <is>
          <t>VÄRMLANDS LÄN</t>
        </is>
      </c>
      <c r="E988" t="inlineStr">
        <is>
          <t>TORSBY</t>
        </is>
      </c>
      <c r="F988" t="inlineStr">
        <is>
          <t>Bergvik skog väst AB</t>
        </is>
      </c>
      <c r="G988" t="n">
        <v>3.1</v>
      </c>
      <c r="H988" t="n">
        <v>0</v>
      </c>
      <c r="I988" t="n">
        <v>0</v>
      </c>
      <c r="J988" t="n">
        <v>0</v>
      </c>
      <c r="K988" t="n">
        <v>0</v>
      </c>
      <c r="L988" t="n">
        <v>0</v>
      </c>
      <c r="M988" t="n">
        <v>0</v>
      </c>
      <c r="N988" t="n">
        <v>0</v>
      </c>
      <c r="O988" t="n">
        <v>0</v>
      </c>
      <c r="P988" t="n">
        <v>0</v>
      </c>
      <c r="Q988" t="n">
        <v>0</v>
      </c>
      <c r="R988" s="2" t="inlineStr"/>
    </row>
    <row r="989" ht="15" customHeight="1">
      <c r="A989" t="inlineStr">
        <is>
          <t>A 60148-2024</t>
        </is>
      </c>
      <c r="B989" s="1" t="n">
        <v>45642</v>
      </c>
      <c r="C989" s="1" t="n">
        <v>46117</v>
      </c>
      <c r="D989" t="inlineStr">
        <is>
          <t>VÄRMLANDS LÄN</t>
        </is>
      </c>
      <c r="E989" t="inlineStr">
        <is>
          <t>TORSBY</t>
        </is>
      </c>
      <c r="G989" t="n">
        <v>12.4</v>
      </c>
      <c r="H989" t="n">
        <v>0</v>
      </c>
      <c r="I989" t="n">
        <v>0</v>
      </c>
      <c r="J989" t="n">
        <v>0</v>
      </c>
      <c r="K989" t="n">
        <v>0</v>
      </c>
      <c r="L989" t="n">
        <v>0</v>
      </c>
      <c r="M989" t="n">
        <v>0</v>
      </c>
      <c r="N989" t="n">
        <v>0</v>
      </c>
      <c r="O989" t="n">
        <v>0</v>
      </c>
      <c r="P989" t="n">
        <v>0</v>
      </c>
      <c r="Q989" t="n">
        <v>0</v>
      </c>
      <c r="R989" s="2" t="inlineStr"/>
    </row>
    <row r="990" ht="15" customHeight="1">
      <c r="A990" t="inlineStr">
        <is>
          <t>A 1803-2024</t>
        </is>
      </c>
      <c r="B990" s="1" t="n">
        <v>45307</v>
      </c>
      <c r="C990" s="1" t="n">
        <v>46117</v>
      </c>
      <c r="D990" t="inlineStr">
        <is>
          <t>VÄRMLANDS LÄN</t>
        </is>
      </c>
      <c r="E990" t="inlineStr">
        <is>
          <t>TORSBY</t>
        </is>
      </c>
      <c r="G990" t="n">
        <v>12.9</v>
      </c>
      <c r="H990" t="n">
        <v>0</v>
      </c>
      <c r="I990" t="n">
        <v>0</v>
      </c>
      <c r="J990" t="n">
        <v>0</v>
      </c>
      <c r="K990" t="n">
        <v>0</v>
      </c>
      <c r="L990" t="n">
        <v>0</v>
      </c>
      <c r="M990" t="n">
        <v>0</v>
      </c>
      <c r="N990" t="n">
        <v>0</v>
      </c>
      <c r="O990" t="n">
        <v>0</v>
      </c>
      <c r="P990" t="n">
        <v>0</v>
      </c>
      <c r="Q990" t="n">
        <v>0</v>
      </c>
      <c r="R990" s="2" t="inlineStr"/>
    </row>
    <row r="991" ht="15" customHeight="1">
      <c r="A991" t="inlineStr">
        <is>
          <t>A 44995-2025</t>
        </is>
      </c>
      <c r="B991" s="1" t="n">
        <v>45918</v>
      </c>
      <c r="C991" s="1" t="n">
        <v>46117</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c r="U991">
        <f>HYPERLINK("https://klasma.github.io/Logging_1737/knärot/A 44995-2025 karta knärot.png", "A 44995-2025")</f>
        <v/>
      </c>
      <c r="V991">
        <f>HYPERLINK("https://klasma.github.io/Logging_1737/klagomål/A 44995-2025 FSC-klagomål.docx", "A 44995-2025")</f>
        <v/>
      </c>
      <c r="W991">
        <f>HYPERLINK("https://klasma.github.io/Logging_1737/klagomålsmail/A 44995-2025 FSC-klagomål mail.docx", "A 44995-2025")</f>
        <v/>
      </c>
      <c r="X991">
        <f>HYPERLINK("https://klasma.github.io/Logging_1737/tillsyn/A 44995-2025 tillsynsbegäran.docx", "A 44995-2025")</f>
        <v/>
      </c>
      <c r="Y991">
        <f>HYPERLINK("https://klasma.github.io/Logging_1737/tillsynsmail/A 44995-2025 tillsynsbegäran mail.docx", "A 44995-2025")</f>
        <v/>
      </c>
    </row>
    <row r="992" ht="15" customHeight="1">
      <c r="A992" t="inlineStr">
        <is>
          <t>A 45043-2025</t>
        </is>
      </c>
      <c r="B992" s="1" t="n">
        <v>45918.92902777778</v>
      </c>
      <c r="C992" s="1" t="n">
        <v>46117</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45268-2025</t>
        </is>
      </c>
      <c r="B993" s="1" t="n">
        <v>45919.66782407407</v>
      </c>
      <c r="C993" s="1" t="n">
        <v>46117</v>
      </c>
      <c r="D993" t="inlineStr">
        <is>
          <t>VÄRMLANDS LÄN</t>
        </is>
      </c>
      <c r="E993" t="inlineStr">
        <is>
          <t>TORSBY</t>
        </is>
      </c>
      <c r="F993" t="inlineStr">
        <is>
          <t>Bergvik skog väst AB</t>
        </is>
      </c>
      <c r="G993" t="n">
        <v>2</v>
      </c>
      <c r="H993" t="n">
        <v>0</v>
      </c>
      <c r="I993" t="n">
        <v>0</v>
      </c>
      <c r="J993" t="n">
        <v>0</v>
      </c>
      <c r="K993" t="n">
        <v>0</v>
      </c>
      <c r="L993" t="n">
        <v>0</v>
      </c>
      <c r="M993" t="n">
        <v>0</v>
      </c>
      <c r="N993" t="n">
        <v>0</v>
      </c>
      <c r="O993" t="n">
        <v>0</v>
      </c>
      <c r="P993" t="n">
        <v>0</v>
      </c>
      <c r="Q993" t="n">
        <v>0</v>
      </c>
      <c r="R993" s="2" t="inlineStr"/>
    </row>
    <row r="994" ht="15" customHeight="1">
      <c r="A994" t="inlineStr">
        <is>
          <t>A 45269-2025</t>
        </is>
      </c>
      <c r="B994" s="1" t="n">
        <v>45919.67443287037</v>
      </c>
      <c r="C994" s="1" t="n">
        <v>46117</v>
      </c>
      <c r="D994" t="inlineStr">
        <is>
          <t>VÄRMLANDS LÄN</t>
        </is>
      </c>
      <c r="E994" t="inlineStr">
        <is>
          <t>TORSBY</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44821-2025</t>
        </is>
      </c>
      <c r="B995" s="1" t="n">
        <v>45918</v>
      </c>
      <c r="C995" s="1" t="n">
        <v>46117</v>
      </c>
      <c r="D995" t="inlineStr">
        <is>
          <t>VÄRMLANDS LÄN</t>
        </is>
      </c>
      <c r="E995" t="inlineStr">
        <is>
          <t>TORSBY</t>
        </is>
      </c>
      <c r="F995" t="inlineStr">
        <is>
          <t>Bergvik skog väst AB</t>
        </is>
      </c>
      <c r="G995" t="n">
        <v>10.9</v>
      </c>
      <c r="H995" t="n">
        <v>0</v>
      </c>
      <c r="I995" t="n">
        <v>0</v>
      </c>
      <c r="J995" t="n">
        <v>0</v>
      </c>
      <c r="K995" t="n">
        <v>0</v>
      </c>
      <c r="L995" t="n">
        <v>0</v>
      </c>
      <c r="M995" t="n">
        <v>0</v>
      </c>
      <c r="N995" t="n">
        <v>0</v>
      </c>
      <c r="O995" t="n">
        <v>0</v>
      </c>
      <c r="P995" t="n">
        <v>0</v>
      </c>
      <c r="Q995" t="n">
        <v>0</v>
      </c>
      <c r="R995" s="2" t="inlineStr"/>
    </row>
    <row r="996" ht="15" customHeight="1">
      <c r="A996" t="inlineStr">
        <is>
          <t>A 48903-2024</t>
        </is>
      </c>
      <c r="B996" s="1" t="n">
        <v>45594</v>
      </c>
      <c r="C996" s="1" t="n">
        <v>46117</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45093-2025</t>
        </is>
      </c>
      <c r="B997" s="1" t="n">
        <v>45919.38398148148</v>
      </c>
      <c r="C997" s="1" t="n">
        <v>46117</v>
      </c>
      <c r="D997" t="inlineStr">
        <is>
          <t>VÄRMLANDS LÄN</t>
        </is>
      </c>
      <c r="E997" t="inlineStr">
        <is>
          <t>TORSBY</t>
        </is>
      </c>
      <c r="G997" t="n">
        <v>4.2</v>
      </c>
      <c r="H997" t="n">
        <v>0</v>
      </c>
      <c r="I997" t="n">
        <v>0</v>
      </c>
      <c r="J997" t="n">
        <v>0</v>
      </c>
      <c r="K997" t="n">
        <v>0</v>
      </c>
      <c r="L997" t="n">
        <v>0</v>
      </c>
      <c r="M997" t="n">
        <v>0</v>
      </c>
      <c r="N997" t="n">
        <v>0</v>
      </c>
      <c r="O997" t="n">
        <v>0</v>
      </c>
      <c r="P997" t="n">
        <v>0</v>
      </c>
      <c r="Q997" t="n">
        <v>0</v>
      </c>
      <c r="R997" s="2" t="inlineStr"/>
    </row>
    <row r="998" ht="15" customHeight="1">
      <c r="A998" t="inlineStr">
        <is>
          <t>A 44808-2025</t>
        </is>
      </c>
      <c r="B998" s="1" t="n">
        <v>45918</v>
      </c>
      <c r="C998" s="1" t="n">
        <v>46117</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40036-2022</t>
        </is>
      </c>
      <c r="B999" s="1" t="n">
        <v>44820.43179398148</v>
      </c>
      <c r="C999" s="1" t="n">
        <v>46117</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45108-2025</t>
        </is>
      </c>
      <c r="B1000" s="1" t="n">
        <v>45919.41467592592</v>
      </c>
      <c r="C1000" s="1" t="n">
        <v>46117</v>
      </c>
      <c r="D1000" t="inlineStr">
        <is>
          <t>VÄRMLANDS LÄN</t>
        </is>
      </c>
      <c r="E1000" t="inlineStr">
        <is>
          <t>TORSBY</t>
        </is>
      </c>
      <c r="F1000" t="inlineStr">
        <is>
          <t>Bergvik skog väst AB</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45133-2025</t>
        </is>
      </c>
      <c r="B1001" s="1" t="n">
        <v>45919.4447337963</v>
      </c>
      <c r="C1001" s="1" t="n">
        <v>46117</v>
      </c>
      <c r="D1001" t="inlineStr">
        <is>
          <t>VÄRMLANDS LÄN</t>
        </is>
      </c>
      <c r="E1001" t="inlineStr">
        <is>
          <t>TORSBY</t>
        </is>
      </c>
      <c r="F1001" t="inlineStr">
        <is>
          <t>Bergvik skog väst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44794-2025</t>
        </is>
      </c>
      <c r="B1002" s="1" t="n">
        <v>45918.34465277778</v>
      </c>
      <c r="C1002" s="1" t="n">
        <v>46117</v>
      </c>
      <c r="D1002" t="inlineStr">
        <is>
          <t>VÄRMLANDS LÄN</t>
        </is>
      </c>
      <c r="E1002" t="inlineStr">
        <is>
          <t>TORSBY</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44817-2025</t>
        </is>
      </c>
      <c r="B1003" s="1" t="n">
        <v>45918</v>
      </c>
      <c r="C1003" s="1" t="n">
        <v>46117</v>
      </c>
      <c r="D1003" t="inlineStr">
        <is>
          <t>VÄRMLANDS LÄN</t>
        </is>
      </c>
      <c r="E1003" t="inlineStr">
        <is>
          <t>TORSBY</t>
        </is>
      </c>
      <c r="F1003" t="inlineStr">
        <is>
          <t>Bergvik skog väst AB</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44292-2025</t>
        </is>
      </c>
      <c r="B1004" s="1" t="n">
        <v>45915</v>
      </c>
      <c r="C1004" s="1" t="n">
        <v>46117</v>
      </c>
      <c r="D1004" t="inlineStr">
        <is>
          <t>VÄRMLANDS LÄN</t>
        </is>
      </c>
      <c r="E1004" t="inlineStr">
        <is>
          <t>TORSBY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43256-2024</t>
        </is>
      </c>
      <c r="B1005" s="1" t="n">
        <v>45568</v>
      </c>
      <c r="C1005" s="1" t="n">
        <v>46117</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46117</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53368-2024</t>
        </is>
      </c>
      <c r="B1007" s="1" t="n">
        <v>45614</v>
      </c>
      <c r="C1007" s="1" t="n">
        <v>46117</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44976-2025</t>
        </is>
      </c>
      <c r="B1008" s="1" t="n">
        <v>45918</v>
      </c>
      <c r="C1008" s="1" t="n">
        <v>46117</v>
      </c>
      <c r="D1008" t="inlineStr">
        <is>
          <t>VÄRMLANDS LÄN</t>
        </is>
      </c>
      <c r="E1008" t="inlineStr">
        <is>
          <t>TORSBY</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3397-2022</t>
        </is>
      </c>
      <c r="B1009" s="1" t="n">
        <v>44585</v>
      </c>
      <c r="C1009" s="1" t="n">
        <v>46117</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57809-2024</t>
        </is>
      </c>
      <c r="B1010" s="1" t="n">
        <v>45631</v>
      </c>
      <c r="C1010" s="1" t="n">
        <v>46117</v>
      </c>
      <c r="D1010" t="inlineStr">
        <is>
          <t>VÄRMLANDS LÄN</t>
        </is>
      </c>
      <c r="E1010" t="inlineStr">
        <is>
          <t>TORSBY</t>
        </is>
      </c>
      <c r="F1010" t="inlineStr">
        <is>
          <t>Bergvik skog väst AB</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45380-2025</t>
        </is>
      </c>
      <c r="B1011" s="1" t="n">
        <v>45922</v>
      </c>
      <c r="C1011" s="1" t="n">
        <v>46117</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45425-2025</t>
        </is>
      </c>
      <c r="B1012" s="1" t="n">
        <v>45922.45195601852</v>
      </c>
      <c r="C1012" s="1" t="n">
        <v>46117</v>
      </c>
      <c r="D1012" t="inlineStr">
        <is>
          <t>VÄRMLANDS LÄN</t>
        </is>
      </c>
      <c r="E1012" t="inlineStr">
        <is>
          <t>TORSBY</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32138-2024</t>
        </is>
      </c>
      <c r="B1013" s="1" t="n">
        <v>45511</v>
      </c>
      <c r="C1013" s="1" t="n">
        <v>46117</v>
      </c>
      <c r="D1013" t="inlineStr">
        <is>
          <t>VÄRMLANDS LÄN</t>
        </is>
      </c>
      <c r="E1013" t="inlineStr">
        <is>
          <t>TORSBY</t>
        </is>
      </c>
      <c r="F1013" t="inlineStr">
        <is>
          <t>Bergvik skog väst AB</t>
        </is>
      </c>
      <c r="G1013" t="n">
        <v>26.3</v>
      </c>
      <c r="H1013" t="n">
        <v>0</v>
      </c>
      <c r="I1013" t="n">
        <v>0</v>
      </c>
      <c r="J1013" t="n">
        <v>0</v>
      </c>
      <c r="K1013" t="n">
        <v>0</v>
      </c>
      <c r="L1013" t="n">
        <v>0</v>
      </c>
      <c r="M1013" t="n">
        <v>0</v>
      </c>
      <c r="N1013" t="n">
        <v>0</v>
      </c>
      <c r="O1013" t="n">
        <v>0</v>
      </c>
      <c r="P1013" t="n">
        <v>0</v>
      </c>
      <c r="Q1013" t="n">
        <v>0</v>
      </c>
      <c r="R1013" s="2" t="inlineStr"/>
    </row>
    <row r="1014" ht="15" customHeight="1">
      <c r="A1014" t="inlineStr">
        <is>
          <t>A 45357-2025</t>
        </is>
      </c>
      <c r="B1014" s="1" t="n">
        <v>45922.36716435185</v>
      </c>
      <c r="C1014" s="1" t="n">
        <v>46117</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41065-2022</t>
        </is>
      </c>
      <c r="B1015" s="1" t="n">
        <v>44825.59258101852</v>
      </c>
      <c r="C1015" s="1" t="n">
        <v>46117</v>
      </c>
      <c r="D1015" t="inlineStr">
        <is>
          <t>VÄRMLANDS LÄN</t>
        </is>
      </c>
      <c r="E1015" t="inlineStr">
        <is>
          <t>TORSBY</t>
        </is>
      </c>
      <c r="F1015" t="inlineStr">
        <is>
          <t>Kommuner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20130-2023</t>
        </is>
      </c>
      <c r="B1016" s="1" t="n">
        <v>45055.38503472223</v>
      </c>
      <c r="C1016" s="1" t="n">
        <v>46117</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36239-2023</t>
        </is>
      </c>
      <c r="B1017" s="1" t="n">
        <v>45150</v>
      </c>
      <c r="C1017" s="1" t="n">
        <v>46117</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45360-2025</t>
        </is>
      </c>
      <c r="B1018" s="1" t="n">
        <v>45922.37266203704</v>
      </c>
      <c r="C1018" s="1" t="n">
        <v>46117</v>
      </c>
      <c r="D1018" t="inlineStr">
        <is>
          <t>VÄRMLANDS LÄN</t>
        </is>
      </c>
      <c r="E1018" t="inlineStr">
        <is>
          <t>TORSBY</t>
        </is>
      </c>
      <c r="F1018" t="inlineStr">
        <is>
          <t>Kommuner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45615-2025</t>
        </is>
      </c>
      <c r="B1019" s="1" t="n">
        <v>45921</v>
      </c>
      <c r="C1019" s="1" t="n">
        <v>46117</v>
      </c>
      <c r="D1019" t="inlineStr">
        <is>
          <t>VÄRMLANDS LÄN</t>
        </is>
      </c>
      <c r="E1019" t="inlineStr">
        <is>
          <t>TORSBY</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14292-2023</t>
        </is>
      </c>
      <c r="B1020" s="1" t="n">
        <v>45011</v>
      </c>
      <c r="C1020" s="1" t="n">
        <v>46117</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14293-2023</t>
        </is>
      </c>
      <c r="B1021" s="1" t="n">
        <v>45011</v>
      </c>
      <c r="C1021" s="1" t="n">
        <v>46117</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45489-2025</t>
        </is>
      </c>
      <c r="B1022" s="1" t="n">
        <v>45921</v>
      </c>
      <c r="C1022" s="1" t="n">
        <v>46117</v>
      </c>
      <c r="D1022" t="inlineStr">
        <is>
          <t>VÄRMLANDS LÄN</t>
        </is>
      </c>
      <c r="E1022" t="inlineStr">
        <is>
          <t>TORSBY</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45490-2025</t>
        </is>
      </c>
      <c r="B1023" s="1" t="n">
        <v>45921</v>
      </c>
      <c r="C1023" s="1" t="n">
        <v>46117</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45508-2025</t>
        </is>
      </c>
      <c r="B1024" s="1" t="n">
        <v>45922</v>
      </c>
      <c r="C1024" s="1" t="n">
        <v>46117</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2195-2025</t>
        </is>
      </c>
      <c r="B1025" s="1" t="n">
        <v>45673.38138888889</v>
      </c>
      <c r="C1025" s="1" t="n">
        <v>46117</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45679-2025</t>
        </is>
      </c>
      <c r="B1026" s="1" t="n">
        <v>45923.36864583333</v>
      </c>
      <c r="C1026" s="1" t="n">
        <v>46117</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45825-2025</t>
        </is>
      </c>
      <c r="B1027" s="1" t="n">
        <v>45923.59983796296</v>
      </c>
      <c r="C1027" s="1" t="n">
        <v>46117</v>
      </c>
      <c r="D1027" t="inlineStr">
        <is>
          <t>VÄRMLANDS LÄN</t>
        </is>
      </c>
      <c r="E1027" t="inlineStr">
        <is>
          <t>TORSBY</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2699-2022</t>
        </is>
      </c>
      <c r="B1028" s="1" t="n">
        <v>44580.62828703703</v>
      </c>
      <c r="C1028" s="1" t="n">
        <v>46117</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6532-2025</t>
        </is>
      </c>
      <c r="B1029" s="1" t="n">
        <v>45699</v>
      </c>
      <c r="C1029" s="1" t="n">
        <v>46117</v>
      </c>
      <c r="D1029" t="inlineStr">
        <is>
          <t>VÄRMLANDS LÄN</t>
        </is>
      </c>
      <c r="E1029" t="inlineStr">
        <is>
          <t>TORSBY</t>
        </is>
      </c>
      <c r="F1029" t="inlineStr">
        <is>
          <t>Kommuner</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45967-2025</t>
        </is>
      </c>
      <c r="B1030" s="1" t="n">
        <v>45924</v>
      </c>
      <c r="C1030" s="1" t="n">
        <v>46117</v>
      </c>
      <c r="D1030" t="inlineStr">
        <is>
          <t>VÄRMLANDS LÄN</t>
        </is>
      </c>
      <c r="E1030" t="inlineStr">
        <is>
          <t>TORSBY</t>
        </is>
      </c>
      <c r="F1030" t="inlineStr">
        <is>
          <t>Övriga Aktiebolag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46503-2025</t>
        </is>
      </c>
      <c r="B1031" s="1" t="n">
        <v>45925</v>
      </c>
      <c r="C1031" s="1" t="n">
        <v>46117</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46293-2025</t>
        </is>
      </c>
      <c r="B1032" s="1" t="n">
        <v>45925.39297453704</v>
      </c>
      <c r="C1032" s="1" t="n">
        <v>46117</v>
      </c>
      <c r="D1032" t="inlineStr">
        <is>
          <t>VÄRMLANDS LÄN</t>
        </is>
      </c>
      <c r="E1032" t="inlineStr">
        <is>
          <t>TORSBY</t>
        </is>
      </c>
      <c r="G1032" t="n">
        <v>24.3</v>
      </c>
      <c r="H1032" t="n">
        <v>0</v>
      </c>
      <c r="I1032" t="n">
        <v>0</v>
      </c>
      <c r="J1032" t="n">
        <v>0</v>
      </c>
      <c r="K1032" t="n">
        <v>0</v>
      </c>
      <c r="L1032" t="n">
        <v>0</v>
      </c>
      <c r="M1032" t="n">
        <v>0</v>
      </c>
      <c r="N1032" t="n">
        <v>0</v>
      </c>
      <c r="O1032" t="n">
        <v>0</v>
      </c>
      <c r="P1032" t="n">
        <v>0</v>
      </c>
      <c r="Q1032" t="n">
        <v>0</v>
      </c>
      <c r="R1032" s="2" t="inlineStr"/>
    </row>
    <row r="1033" ht="15" customHeight="1">
      <c r="A1033" t="inlineStr">
        <is>
          <t>A 45966-2025</t>
        </is>
      </c>
      <c r="B1033" s="1" t="n">
        <v>45924</v>
      </c>
      <c r="C1033" s="1" t="n">
        <v>46117</v>
      </c>
      <c r="D1033" t="inlineStr">
        <is>
          <t>VÄRMLANDS LÄN</t>
        </is>
      </c>
      <c r="E1033" t="inlineStr">
        <is>
          <t>TORSBY</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53744-2024</t>
        </is>
      </c>
      <c r="B1034" s="1" t="n">
        <v>45615</v>
      </c>
      <c r="C1034" s="1" t="n">
        <v>46117</v>
      </c>
      <c r="D1034" t="inlineStr">
        <is>
          <t>VÄRMLANDS LÄN</t>
        </is>
      </c>
      <c r="E1034" t="inlineStr">
        <is>
          <t>TORSBY</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33848-2023</t>
        </is>
      </c>
      <c r="B1035" s="1" t="n">
        <v>45133.68835648148</v>
      </c>
      <c r="C1035" s="1" t="n">
        <v>46117</v>
      </c>
      <c r="D1035" t="inlineStr">
        <is>
          <t>VÄRMLANDS LÄN</t>
        </is>
      </c>
      <c r="E1035" t="inlineStr">
        <is>
          <t>TORSBY</t>
        </is>
      </c>
      <c r="F1035" t="inlineStr">
        <is>
          <t>Bergvik skog väst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66978-2021</t>
        </is>
      </c>
      <c r="B1036" s="1" t="n">
        <v>44522</v>
      </c>
      <c r="C1036" s="1" t="n">
        <v>46117</v>
      </c>
      <c r="D1036" t="inlineStr">
        <is>
          <t>VÄRMLANDS LÄN</t>
        </is>
      </c>
      <c r="E1036" t="inlineStr">
        <is>
          <t>TORSBY</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46334-2025</t>
        </is>
      </c>
      <c r="B1037" s="1" t="n">
        <v>45925.45925925926</v>
      </c>
      <c r="C1037" s="1" t="n">
        <v>46117</v>
      </c>
      <c r="D1037" t="inlineStr">
        <is>
          <t>VÄRMLANDS LÄN</t>
        </is>
      </c>
      <c r="E1037" t="inlineStr">
        <is>
          <t>TORSBY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46493-2025</t>
        </is>
      </c>
      <c r="B1038" s="1" t="n">
        <v>45925</v>
      </c>
      <c r="C1038" s="1" t="n">
        <v>46117</v>
      </c>
      <c r="D1038" t="inlineStr">
        <is>
          <t>VÄRMLANDS LÄN</t>
        </is>
      </c>
      <c r="E1038" t="inlineStr">
        <is>
          <t>TORSBY</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18480-2025</t>
        </is>
      </c>
      <c r="B1039" s="1" t="n">
        <v>45762.9171412037</v>
      </c>
      <c r="C1039" s="1" t="n">
        <v>46117</v>
      </c>
      <c r="D1039" t="inlineStr">
        <is>
          <t>VÄRMLANDS LÄN</t>
        </is>
      </c>
      <c r="E1039" t="inlineStr">
        <is>
          <t>TORSBY</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15488-2023</t>
        </is>
      </c>
      <c r="B1040" s="1" t="n">
        <v>45020</v>
      </c>
      <c r="C1040" s="1" t="n">
        <v>46117</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56473-2022</t>
        </is>
      </c>
      <c r="B1041" s="1" t="n">
        <v>44893</v>
      </c>
      <c r="C1041" s="1" t="n">
        <v>46117</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46326-2025</t>
        </is>
      </c>
      <c r="B1042" s="1" t="n">
        <v>45925.45237268518</v>
      </c>
      <c r="C1042" s="1" t="n">
        <v>46117</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46243-2025</t>
        </is>
      </c>
      <c r="B1043" s="1" t="n">
        <v>45925.32122685185</v>
      </c>
      <c r="C1043" s="1" t="n">
        <v>46117</v>
      </c>
      <c r="D1043" t="inlineStr">
        <is>
          <t>VÄRMLANDS LÄN</t>
        </is>
      </c>
      <c r="E1043" t="inlineStr">
        <is>
          <t>TORSBY</t>
        </is>
      </c>
      <c r="F1043" t="inlineStr">
        <is>
          <t>Bergvik skog väst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46102-2025</t>
        </is>
      </c>
      <c r="B1044" s="1" t="n">
        <v>45924</v>
      </c>
      <c r="C1044" s="1" t="n">
        <v>46117</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46110-2025</t>
        </is>
      </c>
      <c r="B1045" s="1" t="n">
        <v>45924</v>
      </c>
      <c r="C1045" s="1" t="n">
        <v>46117</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38699-2022</t>
        </is>
      </c>
      <c r="B1046" s="1" t="n">
        <v>44814.53259259259</v>
      </c>
      <c r="C1046" s="1" t="n">
        <v>46117</v>
      </c>
      <c r="D1046" t="inlineStr">
        <is>
          <t>VÄRMLANDS LÄN</t>
        </is>
      </c>
      <c r="E1046" t="inlineStr">
        <is>
          <t>TORSBY</t>
        </is>
      </c>
      <c r="F1046" t="inlineStr">
        <is>
          <t>Bergvik skog väst AB</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46921-2025</t>
        </is>
      </c>
      <c r="B1047" s="1" t="n">
        <v>45929.43655092592</v>
      </c>
      <c r="C1047" s="1" t="n">
        <v>46117</v>
      </c>
      <c r="D1047" t="inlineStr">
        <is>
          <t>VÄRMLANDS LÄN</t>
        </is>
      </c>
      <c r="E1047" t="inlineStr">
        <is>
          <t>TORSBY</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20321-2023</t>
        </is>
      </c>
      <c r="B1048" s="1" t="n">
        <v>45056.45232638889</v>
      </c>
      <c r="C1048" s="1" t="n">
        <v>46117</v>
      </c>
      <c r="D1048" t="inlineStr">
        <is>
          <t>VÄRMLANDS LÄN</t>
        </is>
      </c>
      <c r="E1048" t="inlineStr">
        <is>
          <t>TORSBY</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46865-2025</t>
        </is>
      </c>
      <c r="B1049" s="1" t="n">
        <v>45929</v>
      </c>
      <c r="C1049" s="1" t="n">
        <v>46117</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46695-2025</t>
        </is>
      </c>
      <c r="B1050" s="1" t="n">
        <v>45926</v>
      </c>
      <c r="C1050" s="1" t="n">
        <v>46117</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46658-2025</t>
        </is>
      </c>
      <c r="B1051" s="1" t="n">
        <v>45926.49914351852</v>
      </c>
      <c r="C1051" s="1" t="n">
        <v>46117</v>
      </c>
      <c r="D1051" t="inlineStr">
        <is>
          <t>VÄRMLANDS LÄN</t>
        </is>
      </c>
      <c r="E1051" t="inlineStr">
        <is>
          <t>TORSBY</t>
        </is>
      </c>
      <c r="F1051" t="inlineStr">
        <is>
          <t>Bergvik skog väst AB</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46578-2025</t>
        </is>
      </c>
      <c r="B1052" s="1" t="n">
        <v>45926.37353009259</v>
      </c>
      <c r="C1052" s="1" t="n">
        <v>46117</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47047-2025</t>
        </is>
      </c>
      <c r="B1053" s="1" t="n">
        <v>45929</v>
      </c>
      <c r="C1053" s="1" t="n">
        <v>46117</v>
      </c>
      <c r="D1053" t="inlineStr">
        <is>
          <t>VÄRMLANDS LÄN</t>
        </is>
      </c>
      <c r="E1053" t="inlineStr">
        <is>
          <t>TORSBY</t>
        </is>
      </c>
      <c r="F1053" t="inlineStr">
        <is>
          <t>Kyrkan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46702-2025</t>
        </is>
      </c>
      <c r="B1054" s="1" t="n">
        <v>45926</v>
      </c>
      <c r="C1054" s="1" t="n">
        <v>46117</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10589-2024</t>
        </is>
      </c>
      <c r="B1055" s="1" t="n">
        <v>45366</v>
      </c>
      <c r="C1055" s="1" t="n">
        <v>46117</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46550-2025</t>
        </is>
      </c>
      <c r="B1056" s="1" t="n">
        <v>45926</v>
      </c>
      <c r="C1056" s="1" t="n">
        <v>46117</v>
      </c>
      <c r="D1056" t="inlineStr">
        <is>
          <t>VÄRMLANDS LÄN</t>
        </is>
      </c>
      <c r="E1056" t="inlineStr">
        <is>
          <t>TORSBY</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21587-2024</t>
        </is>
      </c>
      <c r="B1057" s="1" t="n">
        <v>45441</v>
      </c>
      <c r="C1057" s="1" t="n">
        <v>46117</v>
      </c>
      <c r="D1057" t="inlineStr">
        <is>
          <t>VÄRMLANDS LÄN</t>
        </is>
      </c>
      <c r="E1057" t="inlineStr">
        <is>
          <t>TORSBY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17001-2024</t>
        </is>
      </c>
      <c r="B1058" s="1" t="n">
        <v>45412.35605324074</v>
      </c>
      <c r="C1058" s="1" t="n">
        <v>46117</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17018-2025</t>
        </is>
      </c>
      <c r="B1059" s="1" t="n">
        <v>45755</v>
      </c>
      <c r="C1059" s="1" t="n">
        <v>46117</v>
      </c>
      <c r="D1059" t="inlineStr">
        <is>
          <t>VÄRMLANDS LÄN</t>
        </is>
      </c>
      <c r="E1059" t="inlineStr">
        <is>
          <t>TORSBY</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47049-2025</t>
        </is>
      </c>
      <c r="B1060" s="1" t="n">
        <v>45929.6130324074</v>
      </c>
      <c r="C1060" s="1" t="n">
        <v>46117</v>
      </c>
      <c r="D1060" t="inlineStr">
        <is>
          <t>VÄRMLANDS LÄN</t>
        </is>
      </c>
      <c r="E1060" t="inlineStr">
        <is>
          <t>TORSBY</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58707-2024</t>
        </is>
      </c>
      <c r="B1061" s="1" t="n">
        <v>45635</v>
      </c>
      <c r="C1061" s="1" t="n">
        <v>46117</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47545-2025</t>
        </is>
      </c>
      <c r="B1062" s="1" t="n">
        <v>45931</v>
      </c>
      <c r="C1062" s="1" t="n">
        <v>46117</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47624-2025</t>
        </is>
      </c>
      <c r="B1063" s="1" t="n">
        <v>45931.48381944445</v>
      </c>
      <c r="C1063" s="1" t="n">
        <v>46117</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39069-2022</t>
        </is>
      </c>
      <c r="B1064" s="1" t="n">
        <v>44816</v>
      </c>
      <c r="C1064" s="1" t="n">
        <v>46117</v>
      </c>
      <c r="D1064" t="inlineStr">
        <is>
          <t>VÄRMLANDS LÄN</t>
        </is>
      </c>
      <c r="E1064" t="inlineStr">
        <is>
          <t>TORSBY</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40788-2022</t>
        </is>
      </c>
      <c r="B1065" s="1" t="n">
        <v>44824</v>
      </c>
      <c r="C1065" s="1" t="n">
        <v>46117</v>
      </c>
      <c r="D1065" t="inlineStr">
        <is>
          <t>VÄRMLANDS LÄN</t>
        </is>
      </c>
      <c r="E1065" t="inlineStr">
        <is>
          <t>TORSBY</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47621-2025</t>
        </is>
      </c>
      <c r="B1066" s="1" t="n">
        <v>45931.48322916667</v>
      </c>
      <c r="C1066" s="1" t="n">
        <v>46117</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52483-2022</t>
        </is>
      </c>
      <c r="B1067" s="1" t="n">
        <v>44874.48637731482</v>
      </c>
      <c r="C1067" s="1" t="n">
        <v>46117</v>
      </c>
      <c r="D1067" t="inlineStr">
        <is>
          <t>VÄRMLANDS LÄN</t>
        </is>
      </c>
      <c r="E1067" t="inlineStr">
        <is>
          <t>TORSBY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48762-2023</t>
        </is>
      </c>
      <c r="B1068" s="1" t="n">
        <v>45208</v>
      </c>
      <c r="C1068" s="1" t="n">
        <v>46117</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51661-2024</t>
        </is>
      </c>
      <c r="B1069" s="1" t="n">
        <v>45606.74392361111</v>
      </c>
      <c r="C1069" s="1" t="n">
        <v>46117</v>
      </c>
      <c r="D1069" t="inlineStr">
        <is>
          <t>VÄRMLANDS LÄN</t>
        </is>
      </c>
      <c r="E1069" t="inlineStr">
        <is>
          <t>TORSBY</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51663-2024</t>
        </is>
      </c>
      <c r="B1070" s="1" t="n">
        <v>45606.76396990741</v>
      </c>
      <c r="C1070" s="1" t="n">
        <v>46117</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47366-2025</t>
        </is>
      </c>
      <c r="B1071" s="1" t="n">
        <v>45930</v>
      </c>
      <c r="C1071" s="1" t="n">
        <v>46117</v>
      </c>
      <c r="D1071" t="inlineStr">
        <is>
          <t>VÄRMLANDS LÄN</t>
        </is>
      </c>
      <c r="E1071" t="inlineStr">
        <is>
          <t>TORSBY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3098-2023</t>
        </is>
      </c>
      <c r="B1072" s="1" t="n">
        <v>44946.46096064815</v>
      </c>
      <c r="C1072" s="1" t="n">
        <v>46117</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3103-2023</t>
        </is>
      </c>
      <c r="B1073" s="1" t="n">
        <v>44946</v>
      </c>
      <c r="C1073" s="1" t="n">
        <v>46117</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47494-2025</t>
        </is>
      </c>
      <c r="B1074" s="1" t="n">
        <v>45930.78428240741</v>
      </c>
      <c r="C1074" s="1" t="n">
        <v>46117</v>
      </c>
      <c r="D1074" t="inlineStr">
        <is>
          <t>VÄRMLANDS LÄN</t>
        </is>
      </c>
      <c r="E1074" t="inlineStr">
        <is>
          <t>TORSBY</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47495-2025</t>
        </is>
      </c>
      <c r="B1075" s="1" t="n">
        <v>45930.79185185185</v>
      </c>
      <c r="C1075" s="1" t="n">
        <v>46117</v>
      </c>
      <c r="D1075" t="inlineStr">
        <is>
          <t>VÄRMLANDS LÄN</t>
        </is>
      </c>
      <c r="E1075" t="inlineStr">
        <is>
          <t>TORSBY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47736-2025</t>
        </is>
      </c>
      <c r="B1076" s="1" t="n">
        <v>45931.63822916667</v>
      </c>
      <c r="C1076" s="1" t="n">
        <v>46117</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48020-2025</t>
        </is>
      </c>
      <c r="B1077" s="1" t="n">
        <v>45932</v>
      </c>
      <c r="C1077" s="1" t="n">
        <v>46117</v>
      </c>
      <c r="D1077" t="inlineStr">
        <is>
          <t>VÄRMLANDS LÄN</t>
        </is>
      </c>
      <c r="E1077" t="inlineStr">
        <is>
          <t>TORSBY</t>
        </is>
      </c>
      <c r="F1077" t="inlineStr">
        <is>
          <t>Bergvik skog väst AB</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48375-2025</t>
        </is>
      </c>
      <c r="B1078" s="1" t="n">
        <v>45933.71201388889</v>
      </c>
      <c r="C1078" s="1" t="n">
        <v>46117</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48202-2025</t>
        </is>
      </c>
      <c r="B1079" s="1" t="n">
        <v>45933.48121527778</v>
      </c>
      <c r="C1079" s="1" t="n">
        <v>46117</v>
      </c>
      <c r="D1079" t="inlineStr">
        <is>
          <t>VÄRMLANDS LÄN</t>
        </is>
      </c>
      <c r="E1079" t="inlineStr">
        <is>
          <t>TORSBY</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17941-2021</t>
        </is>
      </c>
      <c r="B1080" s="1" t="n">
        <v>44301</v>
      </c>
      <c r="C1080" s="1" t="n">
        <v>46117</v>
      </c>
      <c r="D1080" t="inlineStr">
        <is>
          <t>VÄRMLANDS LÄN</t>
        </is>
      </c>
      <c r="E1080" t="inlineStr">
        <is>
          <t>TORSBY</t>
        </is>
      </c>
      <c r="F1080" t="inlineStr">
        <is>
          <t>Kommuner</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15660-2025</t>
        </is>
      </c>
      <c r="B1081" s="1" t="n">
        <v>45748</v>
      </c>
      <c r="C1081" s="1" t="n">
        <v>46117</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47927-2025</t>
        </is>
      </c>
      <c r="B1082" s="1" t="n">
        <v>45932.54604166667</v>
      </c>
      <c r="C1082" s="1" t="n">
        <v>46117</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20737-2023</t>
        </is>
      </c>
      <c r="B1083" s="1" t="n">
        <v>45058</v>
      </c>
      <c r="C1083" s="1" t="n">
        <v>46117</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48214-2025</t>
        </is>
      </c>
      <c r="B1084" s="1" t="n">
        <v>45933.49465277778</v>
      </c>
      <c r="C1084" s="1" t="n">
        <v>46117</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62250-2023</t>
        </is>
      </c>
      <c r="B1085" s="1" t="n">
        <v>45266</v>
      </c>
      <c r="C1085" s="1" t="n">
        <v>46117</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8428-2025</t>
        </is>
      </c>
      <c r="B1086" s="1" t="n">
        <v>45709.41995370371</v>
      </c>
      <c r="C1086" s="1" t="n">
        <v>46117</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48180-2025</t>
        </is>
      </c>
      <c r="B1087" s="1" t="n">
        <v>45933.45245370371</v>
      </c>
      <c r="C1087" s="1" t="n">
        <v>46117</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32496-2022</t>
        </is>
      </c>
      <c r="B1088" s="1" t="n">
        <v>44782</v>
      </c>
      <c r="C1088" s="1" t="n">
        <v>46117</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46117</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56170-2023</t>
        </is>
      </c>
      <c r="B1090" s="1" t="n">
        <v>45240.62975694444</v>
      </c>
      <c r="C1090" s="1" t="n">
        <v>46117</v>
      </c>
      <c r="D1090" t="inlineStr">
        <is>
          <t>VÄRMLANDS LÄN</t>
        </is>
      </c>
      <c r="E1090" t="inlineStr">
        <is>
          <t>TORSBY</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9578-2023</t>
        </is>
      </c>
      <c r="B1091" s="1" t="n">
        <v>44982.69790509259</v>
      </c>
      <c r="C1091" s="1" t="n">
        <v>46117</v>
      </c>
      <c r="D1091" t="inlineStr">
        <is>
          <t>VÄRMLANDS LÄN</t>
        </is>
      </c>
      <c r="E1091" t="inlineStr">
        <is>
          <t>TORSBY</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47241-2023</t>
        </is>
      </c>
      <c r="B1092" s="1" t="n">
        <v>45202.39821759259</v>
      </c>
      <c r="C1092" s="1" t="n">
        <v>46117</v>
      </c>
      <c r="D1092" t="inlineStr">
        <is>
          <t>VÄRMLANDS LÄN</t>
        </is>
      </c>
      <c r="E1092" t="inlineStr">
        <is>
          <t>TORSBY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55811-2021</t>
        </is>
      </c>
      <c r="B1093" s="1" t="n">
        <v>44476</v>
      </c>
      <c r="C1093" s="1" t="n">
        <v>46117</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57980-2023</t>
        </is>
      </c>
      <c r="B1094" s="1" t="n">
        <v>45247.59328703704</v>
      </c>
      <c r="C1094" s="1" t="n">
        <v>46117</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48499-2025</t>
        </is>
      </c>
      <c r="B1095" s="1" t="n">
        <v>45936.37533564815</v>
      </c>
      <c r="C1095" s="1" t="n">
        <v>46117</v>
      </c>
      <c r="D1095" t="inlineStr">
        <is>
          <t>VÄRMLANDS LÄN</t>
        </is>
      </c>
      <c r="E1095" t="inlineStr">
        <is>
          <t>TORSBY</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25090-2023</t>
        </is>
      </c>
      <c r="B1096" s="1" t="n">
        <v>45086</v>
      </c>
      <c r="C1096" s="1" t="n">
        <v>46117</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49159-2025</t>
        </is>
      </c>
      <c r="B1097" s="1" t="n">
        <v>45938.35060185185</v>
      </c>
      <c r="C1097" s="1" t="n">
        <v>46117</v>
      </c>
      <c r="D1097" t="inlineStr">
        <is>
          <t>VÄRMLANDS LÄN</t>
        </is>
      </c>
      <c r="E1097" t="inlineStr">
        <is>
          <t>TORSBY</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49167-2025</t>
        </is>
      </c>
      <c r="B1098" s="1" t="n">
        <v>45938</v>
      </c>
      <c r="C1098" s="1" t="n">
        <v>46117</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15315-2024</t>
        </is>
      </c>
      <c r="B1099" s="1" t="n">
        <v>45400</v>
      </c>
      <c r="C1099" s="1" t="n">
        <v>46117</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48947-2025</t>
        </is>
      </c>
      <c r="B1100" s="1" t="n">
        <v>45937.54157407407</v>
      </c>
      <c r="C1100" s="1" t="n">
        <v>46117</v>
      </c>
      <c r="D1100" t="inlineStr">
        <is>
          <t>VÄRMLANDS LÄN</t>
        </is>
      </c>
      <c r="E1100" t="inlineStr">
        <is>
          <t>TORSBY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46233-2023</t>
        </is>
      </c>
      <c r="B1101" s="1" t="n">
        <v>45196.69575231482</v>
      </c>
      <c r="C1101" s="1" t="n">
        <v>46117</v>
      </c>
      <c r="D1101" t="inlineStr">
        <is>
          <t>VÄRMLANDS LÄN</t>
        </is>
      </c>
      <c r="E1101" t="inlineStr">
        <is>
          <t>TORSBY</t>
        </is>
      </c>
      <c r="F1101" t="inlineStr">
        <is>
          <t>Kyrkan</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36850-2024</t>
        </is>
      </c>
      <c r="B1102" s="1" t="n">
        <v>45538</v>
      </c>
      <c r="C1102" s="1" t="n">
        <v>46117</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13924-2025</t>
        </is>
      </c>
      <c r="B1103" s="1" t="n">
        <v>45737</v>
      </c>
      <c r="C1103" s="1" t="n">
        <v>46117</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49108-2025</t>
        </is>
      </c>
      <c r="B1104" s="1" t="n">
        <v>45937.74528935185</v>
      </c>
      <c r="C1104" s="1" t="n">
        <v>46117</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49109-2025</t>
        </is>
      </c>
      <c r="B1105" s="1" t="n">
        <v>45937.74931712963</v>
      </c>
      <c r="C1105" s="1" t="n">
        <v>46117</v>
      </c>
      <c r="D1105" t="inlineStr">
        <is>
          <t>VÄRMLANDS LÄN</t>
        </is>
      </c>
      <c r="E1105" t="inlineStr">
        <is>
          <t>TORSBY</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49181-2025</t>
        </is>
      </c>
      <c r="B1106" s="1" t="n">
        <v>45938.38640046296</v>
      </c>
      <c r="C1106" s="1" t="n">
        <v>46117</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49311-2025</t>
        </is>
      </c>
      <c r="B1107" s="1" t="n">
        <v>45938.56336805555</v>
      </c>
      <c r="C1107" s="1" t="n">
        <v>46117</v>
      </c>
      <c r="D1107" t="inlineStr">
        <is>
          <t>VÄRMLANDS LÄN</t>
        </is>
      </c>
      <c r="E1107" t="inlineStr">
        <is>
          <t>TORSBY</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48991-2025</t>
        </is>
      </c>
      <c r="B1108" s="1" t="n">
        <v>45937.58141203703</v>
      </c>
      <c r="C1108" s="1" t="n">
        <v>46117</v>
      </c>
      <c r="D1108" t="inlineStr">
        <is>
          <t>VÄRMLANDS LÄN</t>
        </is>
      </c>
      <c r="E1108" t="inlineStr">
        <is>
          <t>TORSBY</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46117</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49313-2025</t>
        </is>
      </c>
      <c r="B1110" s="1" t="n">
        <v>45938.56460648148</v>
      </c>
      <c r="C1110" s="1" t="n">
        <v>46117</v>
      </c>
      <c r="D1110" t="inlineStr">
        <is>
          <t>VÄRMLANDS LÄN</t>
        </is>
      </c>
      <c r="E1110" t="inlineStr">
        <is>
          <t>TORSBY</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49203-2025</t>
        </is>
      </c>
      <c r="B1111" s="1" t="n">
        <v>45938</v>
      </c>
      <c r="C1111" s="1" t="n">
        <v>46117</v>
      </c>
      <c r="D1111" t="inlineStr">
        <is>
          <t>VÄRMLANDS LÄN</t>
        </is>
      </c>
      <c r="E1111" t="inlineStr">
        <is>
          <t>TORSBY</t>
        </is>
      </c>
      <c r="F1111" t="inlineStr">
        <is>
          <t>Bergvik skog väst AB</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46117</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11259-2024</t>
        </is>
      </c>
      <c r="B1113" s="1" t="n">
        <v>45371</v>
      </c>
      <c r="C1113" s="1" t="n">
        <v>46117</v>
      </c>
      <c r="D1113" t="inlineStr">
        <is>
          <t>VÄRMLANDS LÄN</t>
        </is>
      </c>
      <c r="E1113" t="inlineStr">
        <is>
          <t>TORSBY</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49622-2025</t>
        </is>
      </c>
      <c r="B1114" s="1" t="n">
        <v>45939</v>
      </c>
      <c r="C1114" s="1" t="n">
        <v>46117</v>
      </c>
      <c r="D1114" t="inlineStr">
        <is>
          <t>VÄRMLANDS LÄN</t>
        </is>
      </c>
      <c r="E1114" t="inlineStr">
        <is>
          <t>TORSBY</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49636-2025</t>
        </is>
      </c>
      <c r="B1115" s="1" t="n">
        <v>45939</v>
      </c>
      <c r="C1115" s="1" t="n">
        <v>46117</v>
      </c>
      <c r="D1115" t="inlineStr">
        <is>
          <t>VÄRMLANDS LÄN</t>
        </is>
      </c>
      <c r="E1115" t="inlineStr">
        <is>
          <t>TORSBY</t>
        </is>
      </c>
      <c r="F1115" t="inlineStr">
        <is>
          <t>Bergvik skog väst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49344-2025</t>
        </is>
      </c>
      <c r="B1116" s="1" t="n">
        <v>45938.60028935185</v>
      </c>
      <c r="C1116" s="1" t="n">
        <v>46117</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49681-2025</t>
        </is>
      </c>
      <c r="B1117" s="1" t="n">
        <v>45939</v>
      </c>
      <c r="C1117" s="1" t="n">
        <v>46117</v>
      </c>
      <c r="D1117" t="inlineStr">
        <is>
          <t>VÄRMLANDS LÄN</t>
        </is>
      </c>
      <c r="E1117" t="inlineStr">
        <is>
          <t>TORSBY</t>
        </is>
      </c>
      <c r="F1117" t="inlineStr">
        <is>
          <t>Bergvik skog väst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49453-2025</t>
        </is>
      </c>
      <c r="B1118" s="1" t="n">
        <v>45939</v>
      </c>
      <c r="C1118" s="1" t="n">
        <v>46117</v>
      </c>
      <c r="D1118" t="inlineStr">
        <is>
          <t>VÄRMLANDS LÄN</t>
        </is>
      </c>
      <c r="E1118" t="inlineStr">
        <is>
          <t>TORSBY</t>
        </is>
      </c>
      <c r="F1118" t="inlineStr">
        <is>
          <t>Bergvik skog väst AB</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34405-2023</t>
        </is>
      </c>
      <c r="B1119" s="1" t="n">
        <v>45139.55131944444</v>
      </c>
      <c r="C1119" s="1" t="n">
        <v>46117</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49638-2025</t>
        </is>
      </c>
      <c r="B1120" s="1" t="n">
        <v>45939.61236111111</v>
      </c>
      <c r="C1120" s="1" t="n">
        <v>46117</v>
      </c>
      <c r="D1120" t="inlineStr">
        <is>
          <t>VÄRMLANDS LÄN</t>
        </is>
      </c>
      <c r="E1120" t="inlineStr">
        <is>
          <t>TORSBY</t>
        </is>
      </c>
      <c r="F1120" t="inlineStr">
        <is>
          <t>Bergvik skog väst AB</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49107-2025</t>
        </is>
      </c>
      <c r="B1121" s="1" t="n">
        <v>45937.74091435185</v>
      </c>
      <c r="C1121" s="1" t="n">
        <v>46117</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34697-2024</t>
        </is>
      </c>
      <c r="B1122" s="1" t="n">
        <v>45526.55518518519</v>
      </c>
      <c r="C1122" s="1" t="n">
        <v>46117</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49504-2025</t>
        </is>
      </c>
      <c r="B1123" s="1" t="n">
        <v>45939</v>
      </c>
      <c r="C1123" s="1" t="n">
        <v>46117</v>
      </c>
      <c r="D1123" t="inlineStr">
        <is>
          <t>VÄRMLANDS LÄN</t>
        </is>
      </c>
      <c r="E1123" t="inlineStr">
        <is>
          <t>TORSBY</t>
        </is>
      </c>
      <c r="F1123" t="inlineStr">
        <is>
          <t>Bergvik skog väst AB</t>
        </is>
      </c>
      <c r="G1123" t="n">
        <v>35.8</v>
      </c>
      <c r="H1123" t="n">
        <v>0</v>
      </c>
      <c r="I1123" t="n">
        <v>0</v>
      </c>
      <c r="J1123" t="n">
        <v>0</v>
      </c>
      <c r="K1123" t="n">
        <v>0</v>
      </c>
      <c r="L1123" t="n">
        <v>0</v>
      </c>
      <c r="M1123" t="n">
        <v>0</v>
      </c>
      <c r="N1123" t="n">
        <v>0</v>
      </c>
      <c r="O1123" t="n">
        <v>0</v>
      </c>
      <c r="P1123" t="n">
        <v>0</v>
      </c>
      <c r="Q1123" t="n">
        <v>0</v>
      </c>
      <c r="R1123" s="2" t="inlineStr"/>
    </row>
    <row r="1124" ht="15" customHeight="1">
      <c r="A1124" t="inlineStr">
        <is>
          <t>A 60383-2024</t>
        </is>
      </c>
      <c r="B1124" s="1" t="n">
        <v>45643.47674768518</v>
      </c>
      <c r="C1124" s="1" t="n">
        <v>46117</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60386-2024</t>
        </is>
      </c>
      <c r="B1125" s="1" t="n">
        <v>45643</v>
      </c>
      <c r="C1125" s="1" t="n">
        <v>46117</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49237-2025</t>
        </is>
      </c>
      <c r="B1126" s="1" t="n">
        <v>45938</v>
      </c>
      <c r="C1126" s="1" t="n">
        <v>46117</v>
      </c>
      <c r="D1126" t="inlineStr">
        <is>
          <t>VÄRMLANDS LÄN</t>
        </is>
      </c>
      <c r="E1126" t="inlineStr">
        <is>
          <t>TORSBY</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49250-2025</t>
        </is>
      </c>
      <c r="B1127" s="1" t="n">
        <v>45938</v>
      </c>
      <c r="C1127" s="1" t="n">
        <v>46117</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17065-2025</t>
        </is>
      </c>
      <c r="B1128" s="1" t="n">
        <v>45754</v>
      </c>
      <c r="C1128" s="1" t="n">
        <v>46117</v>
      </c>
      <c r="D1128" t="inlineStr">
        <is>
          <t>VÄRMLANDS LÄN</t>
        </is>
      </c>
      <c r="E1128" t="inlineStr">
        <is>
          <t>TORSBY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60477-2024</t>
        </is>
      </c>
      <c r="B1129" s="1" t="n">
        <v>45643</v>
      </c>
      <c r="C1129" s="1" t="n">
        <v>46117</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46117</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57647-2023</t>
        </is>
      </c>
      <c r="B1131" s="1" t="n">
        <v>45246.59627314815</v>
      </c>
      <c r="C1131" s="1" t="n">
        <v>46117</v>
      </c>
      <c r="D1131" t="inlineStr">
        <is>
          <t>VÄRMLANDS LÄN</t>
        </is>
      </c>
      <c r="E1131" t="inlineStr">
        <is>
          <t>TORSBY</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21089-2022</t>
        </is>
      </c>
      <c r="B1132" s="1" t="n">
        <v>44704</v>
      </c>
      <c r="C1132" s="1" t="n">
        <v>46117</v>
      </c>
      <c r="D1132" t="inlineStr">
        <is>
          <t>VÄRMLANDS LÄN</t>
        </is>
      </c>
      <c r="E1132" t="inlineStr">
        <is>
          <t>TORSBY</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46117</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53331-2024</t>
        </is>
      </c>
      <c r="B1134" s="1" t="n">
        <v>45614</v>
      </c>
      <c r="C1134" s="1" t="n">
        <v>46117</v>
      </c>
      <c r="D1134" t="inlineStr">
        <is>
          <t>VÄRMLANDS LÄN</t>
        </is>
      </c>
      <c r="E1134" t="inlineStr">
        <is>
          <t>TORSBY</t>
        </is>
      </c>
      <c r="F1134" t="inlineStr">
        <is>
          <t>Bergvik skog väst AB</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16591-2024</t>
        </is>
      </c>
      <c r="B1135" s="1" t="n">
        <v>45408.49420138889</v>
      </c>
      <c r="C1135" s="1" t="n">
        <v>46117</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56021-2023</t>
        </is>
      </c>
      <c r="B1136" s="1" t="n">
        <v>45240</v>
      </c>
      <c r="C1136" s="1" t="n">
        <v>46117</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32340-2024</t>
        </is>
      </c>
      <c r="B1137" s="1" t="n">
        <v>45512.50826388889</v>
      </c>
      <c r="C1137" s="1" t="n">
        <v>46117</v>
      </c>
      <c r="D1137" t="inlineStr">
        <is>
          <t>VÄRMLANDS LÄN</t>
        </is>
      </c>
      <c r="E1137" t="inlineStr">
        <is>
          <t>TORSBY</t>
        </is>
      </c>
      <c r="G1137" t="n">
        <v>9.9</v>
      </c>
      <c r="H1137" t="n">
        <v>0</v>
      </c>
      <c r="I1137" t="n">
        <v>0</v>
      </c>
      <c r="J1137" t="n">
        <v>0</v>
      </c>
      <c r="K1137" t="n">
        <v>0</v>
      </c>
      <c r="L1137" t="n">
        <v>0</v>
      </c>
      <c r="M1137" t="n">
        <v>0</v>
      </c>
      <c r="N1137" t="n">
        <v>0</v>
      </c>
      <c r="O1137" t="n">
        <v>0</v>
      </c>
      <c r="P1137" t="n">
        <v>0</v>
      </c>
      <c r="Q1137" t="n">
        <v>0</v>
      </c>
      <c r="R1137" s="2" t="inlineStr"/>
    </row>
    <row r="1138" ht="15" customHeight="1">
      <c r="A1138" t="inlineStr">
        <is>
          <t>A 36917-2024</t>
        </is>
      </c>
      <c r="B1138" s="1" t="n">
        <v>45538.65065972223</v>
      </c>
      <c r="C1138" s="1" t="n">
        <v>46117</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36922-2024</t>
        </is>
      </c>
      <c r="B1139" s="1" t="n">
        <v>45538</v>
      </c>
      <c r="C1139" s="1" t="n">
        <v>46117</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58956-2022</t>
        </is>
      </c>
      <c r="B1140" s="1" t="n">
        <v>44903.65895833333</v>
      </c>
      <c r="C1140" s="1" t="n">
        <v>46117</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345-2023</t>
        </is>
      </c>
      <c r="B1141" s="1" t="n">
        <v>44923</v>
      </c>
      <c r="C1141" s="1" t="n">
        <v>46117</v>
      </c>
      <c r="D1141" t="inlineStr">
        <is>
          <t>VÄRMLANDS LÄN</t>
        </is>
      </c>
      <c r="E1141" t="inlineStr">
        <is>
          <t>TORSBY</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50373-2025</t>
        </is>
      </c>
      <c r="B1142" s="1" t="n">
        <v>45944.59106481481</v>
      </c>
      <c r="C1142" s="1" t="n">
        <v>46117</v>
      </c>
      <c r="D1142" t="inlineStr">
        <is>
          <t>VÄRMLANDS LÄN</t>
        </is>
      </c>
      <c r="E1142" t="inlineStr">
        <is>
          <t>TORSBY</t>
        </is>
      </c>
      <c r="F1142" t="inlineStr">
        <is>
          <t>Bergvik skog väst AB</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50400-2025</t>
        </is>
      </c>
      <c r="B1143" s="1" t="n">
        <v>45944.63516203704</v>
      </c>
      <c r="C1143" s="1" t="n">
        <v>46117</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11872-2025</t>
        </is>
      </c>
      <c r="B1144" s="1" t="n">
        <v>45728.43021990741</v>
      </c>
      <c r="C1144" s="1" t="n">
        <v>46117</v>
      </c>
      <c r="D1144" t="inlineStr">
        <is>
          <t>VÄRMLANDS LÄN</t>
        </is>
      </c>
      <c r="E1144" t="inlineStr">
        <is>
          <t>TORSBY</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9203-2024</t>
        </is>
      </c>
      <c r="B1145" s="1" t="n">
        <v>45358</v>
      </c>
      <c r="C1145" s="1" t="n">
        <v>46117</v>
      </c>
      <c r="D1145" t="inlineStr">
        <is>
          <t>VÄRMLANDS LÄN</t>
        </is>
      </c>
      <c r="E1145" t="inlineStr">
        <is>
          <t>TORSBY</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27090-2024</t>
        </is>
      </c>
      <c r="B1146" s="1" t="n">
        <v>45471</v>
      </c>
      <c r="C1146" s="1" t="n">
        <v>46117</v>
      </c>
      <c r="D1146" t="inlineStr">
        <is>
          <t>VÄRMLANDS LÄN</t>
        </is>
      </c>
      <c r="E1146" t="inlineStr">
        <is>
          <t>TORSBY</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50906-2025</t>
        </is>
      </c>
      <c r="B1147" s="1" t="n">
        <v>45946.65119212963</v>
      </c>
      <c r="C1147" s="1" t="n">
        <v>46117</v>
      </c>
      <c r="D1147" t="inlineStr">
        <is>
          <t>VÄRMLANDS LÄN</t>
        </is>
      </c>
      <c r="E1147" t="inlineStr">
        <is>
          <t>TORSBY</t>
        </is>
      </c>
      <c r="F1147" t="inlineStr">
        <is>
          <t>Kommuner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50918-2025</t>
        </is>
      </c>
      <c r="B1148" s="1" t="n">
        <v>45946.66516203704</v>
      </c>
      <c r="C1148" s="1" t="n">
        <v>46117</v>
      </c>
      <c r="D1148" t="inlineStr">
        <is>
          <t>VÄRMLANDS LÄN</t>
        </is>
      </c>
      <c r="E1148" t="inlineStr">
        <is>
          <t>TORSBY</t>
        </is>
      </c>
      <c r="F1148" t="inlineStr">
        <is>
          <t>Kommuner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50927-2025</t>
        </is>
      </c>
      <c r="B1149" s="1" t="n">
        <v>45946.67895833333</v>
      </c>
      <c r="C1149" s="1" t="n">
        <v>46117</v>
      </c>
      <c r="D1149" t="inlineStr">
        <is>
          <t>VÄRMLANDS LÄN</t>
        </is>
      </c>
      <c r="E1149" t="inlineStr">
        <is>
          <t>TORSBY</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51215-2025</t>
        </is>
      </c>
      <c r="B1150" s="1" t="n">
        <v>45947.64357638889</v>
      </c>
      <c r="C1150" s="1" t="n">
        <v>46117</v>
      </c>
      <c r="D1150" t="inlineStr">
        <is>
          <t>VÄRMLANDS LÄN</t>
        </is>
      </c>
      <c r="E1150" t="inlineStr">
        <is>
          <t>TORSBY</t>
        </is>
      </c>
      <c r="F1150" t="inlineStr">
        <is>
          <t>Bergvik skog väst AB</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51219-2025</t>
        </is>
      </c>
      <c r="B1151" s="1" t="n">
        <v>45947.64710648148</v>
      </c>
      <c r="C1151" s="1" t="n">
        <v>46117</v>
      </c>
      <c r="D1151" t="inlineStr">
        <is>
          <t>VÄRMLANDS LÄN</t>
        </is>
      </c>
      <c r="E1151" t="inlineStr">
        <is>
          <t>TORSBY</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46117</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53748-2024</t>
        </is>
      </c>
      <c r="B1153" s="1" t="n">
        <v>45615.48322916667</v>
      </c>
      <c r="C1153" s="1" t="n">
        <v>46117</v>
      </c>
      <c r="D1153" t="inlineStr">
        <is>
          <t>VÄRMLANDS LÄN</t>
        </is>
      </c>
      <c r="E1153" t="inlineStr">
        <is>
          <t>TORSBY</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53358-2024</t>
        </is>
      </c>
      <c r="B1154" s="1" t="n">
        <v>45614</v>
      </c>
      <c r="C1154" s="1" t="n">
        <v>46117</v>
      </c>
      <c r="D1154" t="inlineStr">
        <is>
          <t>VÄRMLANDS LÄN</t>
        </is>
      </c>
      <c r="E1154" t="inlineStr">
        <is>
          <t>TORSBY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50892-2025</t>
        </is>
      </c>
      <c r="B1155" s="1" t="n">
        <v>45946.63763888889</v>
      </c>
      <c r="C1155" s="1" t="n">
        <v>46117</v>
      </c>
      <c r="D1155" t="inlineStr">
        <is>
          <t>VÄRMLANDS LÄN</t>
        </is>
      </c>
      <c r="E1155" t="inlineStr">
        <is>
          <t>TORSBY</t>
        </is>
      </c>
      <c r="F1155" t="inlineStr">
        <is>
          <t>Kommuner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44423-2024</t>
        </is>
      </c>
      <c r="B1156" s="1" t="n">
        <v>45573</v>
      </c>
      <c r="C1156" s="1" t="n">
        <v>46117</v>
      </c>
      <c r="D1156" t="inlineStr">
        <is>
          <t>VÄRMLANDS LÄN</t>
        </is>
      </c>
      <c r="E1156" t="inlineStr">
        <is>
          <t>TORSBY</t>
        </is>
      </c>
      <c r="G1156" t="n">
        <v>34.1</v>
      </c>
      <c r="H1156" t="n">
        <v>0</v>
      </c>
      <c r="I1156" t="n">
        <v>0</v>
      </c>
      <c r="J1156" t="n">
        <v>0</v>
      </c>
      <c r="K1156" t="n">
        <v>0</v>
      </c>
      <c r="L1156" t="n">
        <v>0</v>
      </c>
      <c r="M1156" t="n">
        <v>0</v>
      </c>
      <c r="N1156" t="n">
        <v>0</v>
      </c>
      <c r="O1156" t="n">
        <v>0</v>
      </c>
      <c r="P1156" t="n">
        <v>0</v>
      </c>
      <c r="Q1156" t="n">
        <v>0</v>
      </c>
      <c r="R1156" s="2" t="inlineStr"/>
    </row>
    <row r="1157" ht="15" customHeight="1">
      <c r="A1157" t="inlineStr">
        <is>
          <t>A 50921-2025</t>
        </is>
      </c>
      <c r="B1157" s="1" t="n">
        <v>45946.67092592592</v>
      </c>
      <c r="C1157" s="1" t="n">
        <v>46117</v>
      </c>
      <c r="D1157" t="inlineStr">
        <is>
          <t>VÄRMLANDS LÄN</t>
        </is>
      </c>
      <c r="E1157" t="inlineStr">
        <is>
          <t>TORSBY</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25579-2023</t>
        </is>
      </c>
      <c r="B1158" s="1" t="n">
        <v>45089.62266203704</v>
      </c>
      <c r="C1158" s="1" t="n">
        <v>46117</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50750-2025</t>
        </is>
      </c>
      <c r="B1159" s="1" t="n">
        <v>45946.39091435185</v>
      </c>
      <c r="C1159" s="1" t="n">
        <v>46117</v>
      </c>
      <c r="D1159" t="inlineStr">
        <is>
          <t>VÄRMLANDS LÄN</t>
        </is>
      </c>
      <c r="E1159" t="inlineStr">
        <is>
          <t>TORSBY</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7283-2023</t>
        </is>
      </c>
      <c r="B1160" s="1" t="n">
        <v>44970</v>
      </c>
      <c r="C1160" s="1" t="n">
        <v>46117</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54532-2023</t>
        </is>
      </c>
      <c r="B1161" s="1" t="n">
        <v>45233</v>
      </c>
      <c r="C1161" s="1" t="n">
        <v>46117</v>
      </c>
      <c r="D1161" t="inlineStr">
        <is>
          <t>VÄRMLANDS LÄN</t>
        </is>
      </c>
      <c r="E1161" t="inlineStr">
        <is>
          <t>TORSBY</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51793-2025</t>
        </is>
      </c>
      <c r="B1162" s="1" t="n">
        <v>45951.71525462963</v>
      </c>
      <c r="C1162" s="1" t="n">
        <v>46117</v>
      </c>
      <c r="D1162" t="inlineStr">
        <is>
          <t>VÄRMLANDS LÄN</t>
        </is>
      </c>
      <c r="E1162" t="inlineStr">
        <is>
          <t>TORSBY</t>
        </is>
      </c>
      <c r="F1162" t="inlineStr">
        <is>
          <t>Bergvik skog väst AB</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15899-2024</t>
        </is>
      </c>
      <c r="B1163" s="1" t="n">
        <v>45405.4034837963</v>
      </c>
      <c r="C1163" s="1" t="n">
        <v>46117</v>
      </c>
      <c r="D1163" t="inlineStr">
        <is>
          <t>VÄRMLANDS LÄN</t>
        </is>
      </c>
      <c r="E1163" t="inlineStr">
        <is>
          <t>TORSBY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51694-2025</t>
        </is>
      </c>
      <c r="B1164" s="1" t="n">
        <v>45951.54628472222</v>
      </c>
      <c r="C1164" s="1" t="n">
        <v>46117</v>
      </c>
      <c r="D1164" t="inlineStr">
        <is>
          <t>VÄRMLANDS LÄN</t>
        </is>
      </c>
      <c r="E1164" t="inlineStr">
        <is>
          <t>TORSBY</t>
        </is>
      </c>
      <c r="F1164" t="inlineStr">
        <is>
          <t>Bergvik skog väst AB</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51587-2025</t>
        </is>
      </c>
      <c r="B1165" s="1" t="n">
        <v>45951.35355324074</v>
      </c>
      <c r="C1165" s="1" t="n">
        <v>46117</v>
      </c>
      <c r="D1165" t="inlineStr">
        <is>
          <t>VÄRMLANDS LÄN</t>
        </is>
      </c>
      <c r="E1165" t="inlineStr">
        <is>
          <t>TORSBY</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13586-2023</t>
        </is>
      </c>
      <c r="B1166" s="1" t="n">
        <v>45006</v>
      </c>
      <c r="C1166" s="1" t="n">
        <v>46117</v>
      </c>
      <c r="D1166" t="inlineStr">
        <is>
          <t>VÄRMLANDS LÄN</t>
        </is>
      </c>
      <c r="E1166" t="inlineStr">
        <is>
          <t>TORSBY</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62510-2023</t>
        </is>
      </c>
      <c r="B1167" s="1" t="n">
        <v>45268.61853009259</v>
      </c>
      <c r="C1167" s="1" t="n">
        <v>46117</v>
      </c>
      <c r="D1167" t="inlineStr">
        <is>
          <t>VÄRMLANDS LÄN</t>
        </is>
      </c>
      <c r="E1167" t="inlineStr">
        <is>
          <t>TORSBY</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51659-2025</t>
        </is>
      </c>
      <c r="B1168" s="1" t="n">
        <v>45951.47482638889</v>
      </c>
      <c r="C1168" s="1" t="n">
        <v>46117</v>
      </c>
      <c r="D1168" t="inlineStr">
        <is>
          <t>VÄRMLANDS LÄN</t>
        </is>
      </c>
      <c r="E1168" t="inlineStr">
        <is>
          <t>TORSBY</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57071-2022</t>
        </is>
      </c>
      <c r="B1169" s="1" t="n">
        <v>44895.42334490741</v>
      </c>
      <c r="C1169" s="1" t="n">
        <v>46117</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51637-2025</t>
        </is>
      </c>
      <c r="B1170" s="1" t="n">
        <v>45951.43625</v>
      </c>
      <c r="C1170" s="1" t="n">
        <v>46117</v>
      </c>
      <c r="D1170" t="inlineStr">
        <is>
          <t>VÄRMLANDS LÄN</t>
        </is>
      </c>
      <c r="E1170" t="inlineStr">
        <is>
          <t>TORSBY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51754-2025</t>
        </is>
      </c>
      <c r="B1171" s="1" t="n">
        <v>45951.62231481481</v>
      </c>
      <c r="C1171" s="1" t="n">
        <v>46117</v>
      </c>
      <c r="D1171" t="inlineStr">
        <is>
          <t>VÄRMLANDS LÄN</t>
        </is>
      </c>
      <c r="E1171" t="inlineStr">
        <is>
          <t>TORSBY</t>
        </is>
      </c>
      <c r="F1171" t="inlineStr">
        <is>
          <t>Bergvik skog väst AB</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15083-2024</t>
        </is>
      </c>
      <c r="B1172" s="1" t="n">
        <v>45399.63163194444</v>
      </c>
      <c r="C1172" s="1" t="n">
        <v>46117</v>
      </c>
      <c r="D1172" t="inlineStr">
        <is>
          <t>VÄRMLANDS LÄN</t>
        </is>
      </c>
      <c r="E1172" t="inlineStr">
        <is>
          <t>TORSBY</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41022-2023</t>
        </is>
      </c>
      <c r="B1173" s="1" t="n">
        <v>45173</v>
      </c>
      <c r="C1173" s="1" t="n">
        <v>46117</v>
      </c>
      <c r="D1173" t="inlineStr">
        <is>
          <t>VÄRMLANDS LÄN</t>
        </is>
      </c>
      <c r="E1173" t="inlineStr">
        <is>
          <t>TORSBY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27115-2024</t>
        </is>
      </c>
      <c r="B1174" s="1" t="n">
        <v>45471</v>
      </c>
      <c r="C1174" s="1" t="n">
        <v>46117</v>
      </c>
      <c r="D1174" t="inlineStr">
        <is>
          <t>VÄRMLANDS LÄN</t>
        </is>
      </c>
      <c r="E1174" t="inlineStr">
        <is>
          <t>TORSBY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52067-2025</t>
        </is>
      </c>
      <c r="B1175" s="1" t="n">
        <v>45952.64248842592</v>
      </c>
      <c r="C1175" s="1" t="n">
        <v>46117</v>
      </c>
      <c r="D1175" t="inlineStr">
        <is>
          <t>VÄRMLANDS LÄN</t>
        </is>
      </c>
      <c r="E1175" t="inlineStr">
        <is>
          <t>TORSBY</t>
        </is>
      </c>
      <c r="F1175" t="inlineStr">
        <is>
          <t>Bergvik skog väst AB</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46117</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54609-2024</t>
        </is>
      </c>
      <c r="B1177" s="1" t="n">
        <v>45617</v>
      </c>
      <c r="C1177" s="1" t="n">
        <v>46117</v>
      </c>
      <c r="D1177" t="inlineStr">
        <is>
          <t>VÄRMLANDS LÄN</t>
        </is>
      </c>
      <c r="E1177" t="inlineStr">
        <is>
          <t>TORSBY</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52277-2025</t>
        </is>
      </c>
      <c r="B1178" s="1" t="n">
        <v>45953.55915509259</v>
      </c>
      <c r="C1178" s="1" t="n">
        <v>46117</v>
      </c>
      <c r="D1178" t="inlineStr">
        <is>
          <t>VÄRMLANDS LÄN</t>
        </is>
      </c>
      <c r="E1178" t="inlineStr">
        <is>
          <t>TORSBY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51819-2025</t>
        </is>
      </c>
      <c r="B1179" s="1" t="n">
        <v>45951.88194444445</v>
      </c>
      <c r="C1179" s="1" t="n">
        <v>46117</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67933-2021</t>
        </is>
      </c>
      <c r="B1180" s="1" t="n">
        <v>44525</v>
      </c>
      <c r="C1180" s="1" t="n">
        <v>46117</v>
      </c>
      <c r="D1180" t="inlineStr">
        <is>
          <t>VÄRMLANDS LÄN</t>
        </is>
      </c>
      <c r="E1180" t="inlineStr">
        <is>
          <t>TORSBY</t>
        </is>
      </c>
      <c r="F1180" t="inlineStr">
        <is>
          <t>Bergvik skog väst AB</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51873-2025</t>
        </is>
      </c>
      <c r="B1181" s="1" t="n">
        <v>45952.39040509259</v>
      </c>
      <c r="C1181" s="1" t="n">
        <v>46117</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52364-2025</t>
        </is>
      </c>
      <c r="B1182" s="1" t="n">
        <v>45952</v>
      </c>
      <c r="C1182" s="1" t="n">
        <v>46117</v>
      </c>
      <c r="D1182" t="inlineStr">
        <is>
          <t>VÄRMLANDS LÄN</t>
        </is>
      </c>
      <c r="E1182" t="inlineStr">
        <is>
          <t>TORSBY</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34164-2024</t>
        </is>
      </c>
      <c r="B1183" s="1" t="n">
        <v>45524.41924768518</v>
      </c>
      <c r="C1183" s="1" t="n">
        <v>46117</v>
      </c>
      <c r="D1183" t="inlineStr">
        <is>
          <t>VÄRMLANDS LÄN</t>
        </is>
      </c>
      <c r="E1183" t="inlineStr">
        <is>
          <t>TORSBY</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51914-2025</t>
        </is>
      </c>
      <c r="B1184" s="1" t="n">
        <v>45952.47380787037</v>
      </c>
      <c r="C1184" s="1" t="n">
        <v>46117</v>
      </c>
      <c r="D1184" t="inlineStr">
        <is>
          <t>VÄRMLANDS LÄN</t>
        </is>
      </c>
      <c r="E1184" t="inlineStr">
        <is>
          <t>TORSBY</t>
        </is>
      </c>
      <c r="F1184" t="inlineStr">
        <is>
          <t>Kyrkan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51927-2025</t>
        </is>
      </c>
      <c r="B1185" s="1" t="n">
        <v>45952.49587962963</v>
      </c>
      <c r="C1185" s="1" t="n">
        <v>46117</v>
      </c>
      <c r="D1185" t="inlineStr">
        <is>
          <t>VÄRMLANDS LÄN</t>
        </is>
      </c>
      <c r="E1185" t="inlineStr">
        <is>
          <t>TORSBY</t>
        </is>
      </c>
      <c r="F1185" t="inlineStr">
        <is>
          <t>Kyrkan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52089-2025</t>
        </is>
      </c>
      <c r="B1186" s="1" t="n">
        <v>45952.67644675926</v>
      </c>
      <c r="C1186" s="1" t="n">
        <v>46117</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4219-2024</t>
        </is>
      </c>
      <c r="B1187" s="1" t="n">
        <v>45324</v>
      </c>
      <c r="C1187" s="1" t="n">
        <v>46117</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13262-2024</t>
        </is>
      </c>
      <c r="B1188" s="1" t="n">
        <v>45386.59236111111</v>
      </c>
      <c r="C1188" s="1" t="n">
        <v>46117</v>
      </c>
      <c r="D1188" t="inlineStr">
        <is>
          <t>VÄRMLANDS LÄN</t>
        </is>
      </c>
      <c r="E1188" t="inlineStr">
        <is>
          <t>TORSBY</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52359-2025</t>
        </is>
      </c>
      <c r="B1189" s="1" t="n">
        <v>45952</v>
      </c>
      <c r="C1189" s="1" t="n">
        <v>46117</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3223-2025</t>
        </is>
      </c>
      <c r="B1190" s="1" t="n">
        <v>45679</v>
      </c>
      <c r="C1190" s="1" t="n">
        <v>46117</v>
      </c>
      <c r="D1190" t="inlineStr">
        <is>
          <t>VÄRMLANDS LÄN</t>
        </is>
      </c>
      <c r="E1190" t="inlineStr">
        <is>
          <t>TORSBY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3226-2025</t>
        </is>
      </c>
      <c r="B1191" s="1" t="n">
        <v>45679.48003472222</v>
      </c>
      <c r="C1191" s="1" t="n">
        <v>46117</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51944-2025</t>
        </is>
      </c>
      <c r="B1192" s="1" t="n">
        <v>45952.52608796296</v>
      </c>
      <c r="C1192" s="1" t="n">
        <v>46117</v>
      </c>
      <c r="D1192" t="inlineStr">
        <is>
          <t>VÄRMLANDS LÄN</t>
        </is>
      </c>
      <c r="E1192" t="inlineStr">
        <is>
          <t>TORSBY</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60133-2023</t>
        </is>
      </c>
      <c r="B1193" s="1" t="n">
        <v>45258</v>
      </c>
      <c r="C1193" s="1" t="n">
        <v>46117</v>
      </c>
      <c r="D1193" t="inlineStr">
        <is>
          <t>VÄRMLANDS LÄN</t>
        </is>
      </c>
      <c r="E1193" t="inlineStr">
        <is>
          <t>TORSBY</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7133-2023</t>
        </is>
      </c>
      <c r="B1194" s="1" t="n">
        <v>44970.43622685185</v>
      </c>
      <c r="C1194" s="1" t="n">
        <v>46117</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52026-2025</t>
        </is>
      </c>
      <c r="B1195" s="1" t="n">
        <v>45952</v>
      </c>
      <c r="C1195" s="1" t="n">
        <v>46117</v>
      </c>
      <c r="D1195" t="inlineStr">
        <is>
          <t>VÄRMLANDS LÄN</t>
        </is>
      </c>
      <c r="E1195" t="inlineStr">
        <is>
          <t>TORSBY</t>
        </is>
      </c>
      <c r="F1195" t="inlineStr">
        <is>
          <t>Bergvik skog väst AB</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52045-2025</t>
        </is>
      </c>
      <c r="B1196" s="1" t="n">
        <v>45952.61650462963</v>
      </c>
      <c r="C1196" s="1" t="n">
        <v>46117</v>
      </c>
      <c r="D1196" t="inlineStr">
        <is>
          <t>VÄRMLANDS LÄN</t>
        </is>
      </c>
      <c r="E1196" t="inlineStr">
        <is>
          <t>TORSBY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52358-2025</t>
        </is>
      </c>
      <c r="B1197" s="1" t="n">
        <v>45952</v>
      </c>
      <c r="C1197" s="1" t="n">
        <v>46117</v>
      </c>
      <c r="D1197" t="inlineStr">
        <is>
          <t>VÄRMLANDS LÄN</t>
        </is>
      </c>
      <c r="E1197" t="inlineStr">
        <is>
          <t>TORSBY</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52762-2025</t>
        </is>
      </c>
      <c r="B1198" s="1" t="n">
        <v>45957.39813657408</v>
      </c>
      <c r="C1198" s="1" t="n">
        <v>46117</v>
      </c>
      <c r="D1198" t="inlineStr">
        <is>
          <t>VÄRMLANDS LÄN</t>
        </is>
      </c>
      <c r="E1198" t="inlineStr">
        <is>
          <t>TORSBY</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52493-2025</t>
        </is>
      </c>
      <c r="B1199" s="1" t="n">
        <v>45954.48518518519</v>
      </c>
      <c r="C1199" s="1" t="n">
        <v>46117</v>
      </c>
      <c r="D1199" t="inlineStr">
        <is>
          <t>VÄRMLANDS LÄN</t>
        </is>
      </c>
      <c r="E1199" t="inlineStr">
        <is>
          <t>TORSBY</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57393-2022</t>
        </is>
      </c>
      <c r="B1200" s="1" t="n">
        <v>44896.47630787037</v>
      </c>
      <c r="C1200" s="1" t="n">
        <v>46117</v>
      </c>
      <c r="D1200" t="inlineStr">
        <is>
          <t>VÄRMLANDS LÄN</t>
        </is>
      </c>
      <c r="E1200" t="inlineStr">
        <is>
          <t>TORSBY</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52796-2025</t>
        </is>
      </c>
      <c r="B1201" s="1" t="n">
        <v>45957.43682870371</v>
      </c>
      <c r="C1201" s="1" t="n">
        <v>46117</v>
      </c>
      <c r="D1201" t="inlineStr">
        <is>
          <t>VÄRMLANDS LÄN</t>
        </is>
      </c>
      <c r="E1201" t="inlineStr">
        <is>
          <t>TORSBY</t>
        </is>
      </c>
      <c r="G1201" t="n">
        <v>17.7</v>
      </c>
      <c r="H1201" t="n">
        <v>0</v>
      </c>
      <c r="I1201" t="n">
        <v>0</v>
      </c>
      <c r="J1201" t="n">
        <v>0</v>
      </c>
      <c r="K1201" t="n">
        <v>0</v>
      </c>
      <c r="L1201" t="n">
        <v>0</v>
      </c>
      <c r="M1201" t="n">
        <v>0</v>
      </c>
      <c r="N1201" t="n">
        <v>0</v>
      </c>
      <c r="O1201" t="n">
        <v>0</v>
      </c>
      <c r="P1201" t="n">
        <v>0</v>
      </c>
      <c r="Q1201" t="n">
        <v>0</v>
      </c>
      <c r="R1201" s="2" t="inlineStr"/>
    </row>
    <row r="1202" ht="15" customHeight="1">
      <c r="A1202" t="inlineStr">
        <is>
          <t>A 62258-2023</t>
        </is>
      </c>
      <c r="B1202" s="1" t="n">
        <v>45266</v>
      </c>
      <c r="C1202" s="1" t="n">
        <v>46117</v>
      </c>
      <c r="D1202" t="inlineStr">
        <is>
          <t>VÄRMLANDS LÄN</t>
        </is>
      </c>
      <c r="E1202" t="inlineStr">
        <is>
          <t>TORSBY</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52822-2025</t>
        </is>
      </c>
      <c r="B1203" s="1" t="n">
        <v>45957.45693287037</v>
      </c>
      <c r="C1203" s="1" t="n">
        <v>46117</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52918-2025</t>
        </is>
      </c>
      <c r="B1204" s="1" t="n">
        <v>45957.6122337963</v>
      </c>
      <c r="C1204" s="1" t="n">
        <v>46117</v>
      </c>
      <c r="D1204" t="inlineStr">
        <is>
          <t>VÄRMLANDS LÄN</t>
        </is>
      </c>
      <c r="E1204" t="inlineStr">
        <is>
          <t>TORSBY</t>
        </is>
      </c>
      <c r="F1204" t="inlineStr">
        <is>
          <t>Bergvik skog väst AB</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52747-2025</t>
        </is>
      </c>
      <c r="B1205" s="1" t="n">
        <v>45957.38515046296</v>
      </c>
      <c r="C1205" s="1" t="n">
        <v>46117</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52843-2025</t>
        </is>
      </c>
      <c r="B1206" s="1" t="n">
        <v>45957</v>
      </c>
      <c r="C1206" s="1" t="n">
        <v>46117</v>
      </c>
      <c r="D1206" t="inlineStr">
        <is>
          <t>VÄRMLANDS LÄN</t>
        </is>
      </c>
      <c r="E1206" t="inlineStr">
        <is>
          <t>TORSBY</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52564-2025</t>
        </is>
      </c>
      <c r="B1207" s="1" t="n">
        <v>45954</v>
      </c>
      <c r="C1207" s="1" t="n">
        <v>46117</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52587-2025</t>
        </is>
      </c>
      <c r="B1208" s="1" t="n">
        <v>45954.63325231482</v>
      </c>
      <c r="C1208" s="1" t="n">
        <v>46117</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19743-2025</t>
        </is>
      </c>
      <c r="B1209" s="1" t="n">
        <v>45771.37554398148</v>
      </c>
      <c r="C1209" s="1" t="n">
        <v>46117</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15022-2025</t>
        </is>
      </c>
      <c r="B1210" s="1" t="n">
        <v>45743</v>
      </c>
      <c r="C1210" s="1" t="n">
        <v>46117</v>
      </c>
      <c r="D1210" t="inlineStr">
        <is>
          <t>VÄRMLANDS LÄN</t>
        </is>
      </c>
      <c r="E1210" t="inlineStr">
        <is>
          <t>TORSBY</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11364-2023</t>
        </is>
      </c>
      <c r="B1211" s="1" t="n">
        <v>44993.43150462963</v>
      </c>
      <c r="C1211" s="1" t="n">
        <v>46117</v>
      </c>
      <c r="D1211" t="inlineStr">
        <is>
          <t>VÄRMLANDS LÄN</t>
        </is>
      </c>
      <c r="E1211" t="inlineStr">
        <is>
          <t>TORSBY</t>
        </is>
      </c>
      <c r="G1211" t="n">
        <v>31.9</v>
      </c>
      <c r="H1211" t="n">
        <v>0</v>
      </c>
      <c r="I1211" t="n">
        <v>0</v>
      </c>
      <c r="J1211" t="n">
        <v>0</v>
      </c>
      <c r="K1211" t="n">
        <v>0</v>
      </c>
      <c r="L1211" t="n">
        <v>0</v>
      </c>
      <c r="M1211" t="n">
        <v>0</v>
      </c>
      <c r="N1211" t="n">
        <v>0</v>
      </c>
      <c r="O1211" t="n">
        <v>0</v>
      </c>
      <c r="P1211" t="n">
        <v>0</v>
      </c>
      <c r="Q1211" t="n">
        <v>0</v>
      </c>
      <c r="R1211" s="2" t="inlineStr"/>
    </row>
    <row r="1212" ht="15" customHeight="1">
      <c r="A1212" t="inlineStr">
        <is>
          <t>A 52931-2025</t>
        </is>
      </c>
      <c r="B1212" s="1" t="n">
        <v>45957.62225694444</v>
      </c>
      <c r="C1212" s="1" t="n">
        <v>46117</v>
      </c>
      <c r="D1212" t="inlineStr">
        <is>
          <t>VÄRMLANDS LÄN</t>
        </is>
      </c>
      <c r="E1212" t="inlineStr">
        <is>
          <t>TORSBY</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52981-2025</t>
        </is>
      </c>
      <c r="B1213" s="1" t="n">
        <v>45957.68748842592</v>
      </c>
      <c r="C1213" s="1" t="n">
        <v>46117</v>
      </c>
      <c r="D1213" t="inlineStr">
        <is>
          <t>VÄRMLANDS LÄN</t>
        </is>
      </c>
      <c r="E1213" t="inlineStr">
        <is>
          <t>TORSBY</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46503-2024</t>
        </is>
      </c>
      <c r="B1214" s="1" t="n">
        <v>45582</v>
      </c>
      <c r="C1214" s="1" t="n">
        <v>46117</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52731-2025</t>
        </is>
      </c>
      <c r="B1215" s="1" t="n">
        <v>45957.36682870371</v>
      </c>
      <c r="C1215" s="1" t="n">
        <v>46117</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52737-2025</t>
        </is>
      </c>
      <c r="B1216" s="1" t="n">
        <v>45957.37336805555</v>
      </c>
      <c r="C1216" s="1" t="n">
        <v>46117</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52577-2025</t>
        </is>
      </c>
      <c r="B1217" s="1" t="n">
        <v>45954</v>
      </c>
      <c r="C1217" s="1" t="n">
        <v>46117</v>
      </c>
      <c r="D1217" t="inlineStr">
        <is>
          <t>VÄRMLANDS LÄN</t>
        </is>
      </c>
      <c r="E1217" t="inlineStr">
        <is>
          <t>TORSBY</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52609-2025</t>
        </is>
      </c>
      <c r="B1218" s="1" t="n">
        <v>45954.66649305556</v>
      </c>
      <c r="C1218" s="1" t="n">
        <v>46117</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52947-2025</t>
        </is>
      </c>
      <c r="B1219" s="1" t="n">
        <v>45954</v>
      </c>
      <c r="C1219" s="1" t="n">
        <v>46117</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52994-2025</t>
        </is>
      </c>
      <c r="B1220" s="1" t="n">
        <v>45957.72753472222</v>
      </c>
      <c r="C1220" s="1" t="n">
        <v>46117</v>
      </c>
      <c r="D1220" t="inlineStr">
        <is>
          <t>VÄRMLANDS LÄN</t>
        </is>
      </c>
      <c r="E1220" t="inlineStr">
        <is>
          <t>TORSBY</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52512-2025</t>
        </is>
      </c>
      <c r="B1221" s="1" t="n">
        <v>45954.50771990741</v>
      </c>
      <c r="C1221" s="1" t="n">
        <v>46117</v>
      </c>
      <c r="D1221" t="inlineStr">
        <is>
          <t>VÄRMLANDS LÄN</t>
        </is>
      </c>
      <c r="E1221" t="inlineStr">
        <is>
          <t>TORSBY</t>
        </is>
      </c>
      <c r="F1221" t="inlineStr">
        <is>
          <t>Bergvik skog väst AB</t>
        </is>
      </c>
      <c r="G1221" t="n">
        <v>14.6</v>
      </c>
      <c r="H1221" t="n">
        <v>0</v>
      </c>
      <c r="I1221" t="n">
        <v>0</v>
      </c>
      <c r="J1221" t="n">
        <v>0</v>
      </c>
      <c r="K1221" t="n">
        <v>0</v>
      </c>
      <c r="L1221" t="n">
        <v>0</v>
      </c>
      <c r="M1221" t="n">
        <v>0</v>
      </c>
      <c r="N1221" t="n">
        <v>0</v>
      </c>
      <c r="O1221" t="n">
        <v>0</v>
      </c>
      <c r="P1221" t="n">
        <v>0</v>
      </c>
      <c r="Q1221" t="n">
        <v>0</v>
      </c>
      <c r="R1221" s="2" t="inlineStr"/>
    </row>
    <row r="1222" ht="15" customHeight="1">
      <c r="A1222" t="inlineStr">
        <is>
          <t>A 52436-2025</t>
        </is>
      </c>
      <c r="B1222" s="1" t="n">
        <v>45954.39688657408</v>
      </c>
      <c r="C1222" s="1" t="n">
        <v>46117</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52982-2025</t>
        </is>
      </c>
      <c r="B1223" s="1" t="n">
        <v>45957.69270833334</v>
      </c>
      <c r="C1223" s="1" t="n">
        <v>46117</v>
      </c>
      <c r="D1223" t="inlineStr">
        <is>
          <t>VÄRMLANDS LÄN</t>
        </is>
      </c>
      <c r="E1223" t="inlineStr">
        <is>
          <t>TORSBY</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14369-2025</t>
        </is>
      </c>
      <c r="B1224" s="1" t="n">
        <v>45741</v>
      </c>
      <c r="C1224" s="1" t="n">
        <v>46117</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52995-2025</t>
        </is>
      </c>
      <c r="B1225" s="1" t="n">
        <v>45957</v>
      </c>
      <c r="C1225" s="1" t="n">
        <v>46117</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52489-2025</t>
        </is>
      </c>
      <c r="B1226" s="1" t="n">
        <v>45954.48056712963</v>
      </c>
      <c r="C1226" s="1" t="n">
        <v>46117</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52787-2025</t>
        </is>
      </c>
      <c r="B1227" s="1" t="n">
        <v>45957.42736111111</v>
      </c>
      <c r="C1227" s="1" t="n">
        <v>46117</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52847-2025</t>
        </is>
      </c>
      <c r="B1228" s="1" t="n">
        <v>45957.48972222222</v>
      </c>
      <c r="C1228" s="1" t="n">
        <v>46117</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54822-2023</t>
        </is>
      </c>
      <c r="B1229" s="1" t="n">
        <v>45229</v>
      </c>
      <c r="C1229" s="1" t="n">
        <v>46117</v>
      </c>
      <c r="D1229" t="inlineStr">
        <is>
          <t>VÄRMLANDS LÄN</t>
        </is>
      </c>
      <c r="E1229" t="inlineStr">
        <is>
          <t>TORSBY</t>
        </is>
      </c>
      <c r="F1229" t="inlineStr">
        <is>
          <t>Övriga Aktiebolag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36775-2024</t>
        </is>
      </c>
      <c r="B1230" s="1" t="n">
        <v>45538</v>
      </c>
      <c r="C1230" s="1" t="n">
        <v>46117</v>
      </c>
      <c r="D1230" t="inlineStr">
        <is>
          <t>VÄRMLANDS LÄN</t>
        </is>
      </c>
      <c r="E1230" t="inlineStr">
        <is>
          <t>TORSBY</t>
        </is>
      </c>
      <c r="F1230" t="inlineStr">
        <is>
          <t>Kyrkan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52509-2025</t>
        </is>
      </c>
      <c r="B1231" s="1" t="n">
        <v>45954.50586805555</v>
      </c>
      <c r="C1231" s="1" t="n">
        <v>46117</v>
      </c>
      <c r="D1231" t="inlineStr">
        <is>
          <t>VÄRMLANDS LÄN</t>
        </is>
      </c>
      <c r="E1231" t="inlineStr">
        <is>
          <t>TORSBY</t>
        </is>
      </c>
      <c r="F1231" t="inlineStr">
        <is>
          <t>Bergvik skog väst AB</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52852-2025</t>
        </is>
      </c>
      <c r="B1232" s="1" t="n">
        <v>45957.49319444445</v>
      </c>
      <c r="C1232" s="1" t="n">
        <v>46117</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52891-2025</t>
        </is>
      </c>
      <c r="B1233" s="1" t="n">
        <v>45957.57776620371</v>
      </c>
      <c r="C1233" s="1" t="n">
        <v>46117</v>
      </c>
      <c r="D1233" t="inlineStr">
        <is>
          <t>VÄRMLANDS LÄN</t>
        </is>
      </c>
      <c r="E1233" t="inlineStr">
        <is>
          <t>TORSBY</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52741-2025</t>
        </is>
      </c>
      <c r="B1234" s="1" t="n">
        <v>45957.3778587963</v>
      </c>
      <c r="C1234" s="1" t="n">
        <v>46117</v>
      </c>
      <c r="D1234" t="inlineStr">
        <is>
          <t>VÄRMLANDS LÄN</t>
        </is>
      </c>
      <c r="E1234" t="inlineStr">
        <is>
          <t>TORSBY</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52754-2025</t>
        </is>
      </c>
      <c r="B1235" s="1" t="n">
        <v>45957.39010416667</v>
      </c>
      <c r="C1235" s="1" t="n">
        <v>46117</v>
      </c>
      <c r="D1235" t="inlineStr">
        <is>
          <t>VÄRMLANDS LÄN</t>
        </is>
      </c>
      <c r="E1235" t="inlineStr">
        <is>
          <t>TORSBY</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52772-2025</t>
        </is>
      </c>
      <c r="B1236" s="1" t="n">
        <v>45957.41255787037</v>
      </c>
      <c r="C1236" s="1" t="n">
        <v>46117</v>
      </c>
      <c r="D1236" t="inlineStr">
        <is>
          <t>VÄRMLANDS LÄN</t>
        </is>
      </c>
      <c r="E1236" t="inlineStr">
        <is>
          <t>TORSBY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52774-2025</t>
        </is>
      </c>
      <c r="B1237" s="1" t="n">
        <v>45957.41480324074</v>
      </c>
      <c r="C1237" s="1" t="n">
        <v>46117</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53113-2025</t>
        </is>
      </c>
      <c r="B1238" s="1" t="n">
        <v>45958.44431712963</v>
      </c>
      <c r="C1238" s="1" t="n">
        <v>46117</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53123-2025</t>
        </is>
      </c>
      <c r="B1239" s="1" t="n">
        <v>45958.45204861111</v>
      </c>
      <c r="C1239" s="1" t="n">
        <v>46117</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14730-2024</t>
        </is>
      </c>
      <c r="B1240" s="1" t="n">
        <v>45397.58518518518</v>
      </c>
      <c r="C1240" s="1" t="n">
        <v>46117</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36758-2024</t>
        </is>
      </c>
      <c r="B1241" s="1" t="n">
        <v>45538.35525462963</v>
      </c>
      <c r="C1241" s="1" t="n">
        <v>46117</v>
      </c>
      <c r="D1241" t="inlineStr">
        <is>
          <t>VÄRMLANDS LÄN</t>
        </is>
      </c>
      <c r="E1241" t="inlineStr">
        <is>
          <t>TORSBY</t>
        </is>
      </c>
      <c r="F1241" t="inlineStr">
        <is>
          <t>Kyrkan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2390-2025</t>
        </is>
      </c>
      <c r="B1242" s="1" t="n">
        <v>45674.32071759259</v>
      </c>
      <c r="C1242" s="1" t="n">
        <v>46117</v>
      </c>
      <c r="D1242" t="inlineStr">
        <is>
          <t>VÄRMLANDS LÄN</t>
        </is>
      </c>
      <c r="E1242" t="inlineStr">
        <is>
          <t>TORSBY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53383-2025</t>
        </is>
      </c>
      <c r="B1243" s="1" t="n">
        <v>45959.54097222222</v>
      </c>
      <c r="C1243" s="1" t="n">
        <v>46117</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14613-2025</t>
        </is>
      </c>
      <c r="B1244" s="1" t="n">
        <v>45742.39615740741</v>
      </c>
      <c r="C1244" s="1" t="n">
        <v>46117</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53107-2025</t>
        </is>
      </c>
      <c r="B1245" s="1" t="n">
        <v>45958.43576388889</v>
      </c>
      <c r="C1245" s="1" t="n">
        <v>46117</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53165-2025</t>
        </is>
      </c>
      <c r="B1246" s="1" t="n">
        <v>45958.50232638889</v>
      </c>
      <c r="C1246" s="1" t="n">
        <v>46117</v>
      </c>
      <c r="D1246" t="inlineStr">
        <is>
          <t>VÄRMLANDS LÄN</t>
        </is>
      </c>
      <c r="E1246" t="inlineStr">
        <is>
          <t>TORSBY</t>
        </is>
      </c>
      <c r="F1246" t="inlineStr">
        <is>
          <t>Bergvik skog väst AB</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53266-2025</t>
        </is>
      </c>
      <c r="B1247" s="1" t="n">
        <v>45958.6834837963</v>
      </c>
      <c r="C1247" s="1" t="n">
        <v>46117</v>
      </c>
      <c r="D1247" t="inlineStr">
        <is>
          <t>VÄRMLANDS LÄN</t>
        </is>
      </c>
      <c r="E1247" t="inlineStr">
        <is>
          <t>TORSBY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53014-2025</t>
        </is>
      </c>
      <c r="B1248" s="1" t="n">
        <v>45957.81865740741</v>
      </c>
      <c r="C1248" s="1" t="n">
        <v>46117</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37279-2022</t>
        </is>
      </c>
      <c r="B1249" s="1" t="n">
        <v>44807</v>
      </c>
      <c r="C1249" s="1" t="n">
        <v>46117</v>
      </c>
      <c r="D1249" t="inlineStr">
        <is>
          <t>VÄRMLANDS LÄN</t>
        </is>
      </c>
      <c r="E1249" t="inlineStr">
        <is>
          <t>TORSBY</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37340-2022</t>
        </is>
      </c>
      <c r="B1250" s="1" t="n">
        <v>44809</v>
      </c>
      <c r="C1250" s="1" t="n">
        <v>46117</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53049-2025</t>
        </is>
      </c>
      <c r="B1251" s="1" t="n">
        <v>45958.36173611111</v>
      </c>
      <c r="C1251" s="1" t="n">
        <v>46117</v>
      </c>
      <c r="D1251" t="inlineStr">
        <is>
          <t>VÄRMLANDS LÄN</t>
        </is>
      </c>
      <c r="E1251" t="inlineStr">
        <is>
          <t>TORSBY</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53272-2025</t>
        </is>
      </c>
      <c r="B1252" s="1" t="n">
        <v>45958.71019675926</v>
      </c>
      <c r="C1252" s="1" t="n">
        <v>46117</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59236-2023</t>
        </is>
      </c>
      <c r="B1253" s="1" t="n">
        <v>45253</v>
      </c>
      <c r="C1253" s="1" t="n">
        <v>46117</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53605-2025</t>
        </is>
      </c>
      <c r="B1254" s="1" t="n">
        <v>45960.46434027778</v>
      </c>
      <c r="C1254" s="1" t="n">
        <v>46117</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8022-2025</t>
        </is>
      </c>
      <c r="B1255" s="1" t="n">
        <v>45707.57733796296</v>
      </c>
      <c r="C1255" s="1" t="n">
        <v>46117</v>
      </c>
      <c r="D1255" t="inlineStr">
        <is>
          <t>VÄRMLANDS LÄN</t>
        </is>
      </c>
      <c r="E1255" t="inlineStr">
        <is>
          <t>TORSBY</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53493-2025</t>
        </is>
      </c>
      <c r="B1256" s="1" t="n">
        <v>45960</v>
      </c>
      <c r="C1256" s="1" t="n">
        <v>46117</v>
      </c>
      <c r="D1256" t="inlineStr">
        <is>
          <t>VÄRMLANDS LÄN</t>
        </is>
      </c>
      <c r="E1256" t="inlineStr">
        <is>
          <t>TORSBY</t>
        </is>
      </c>
      <c r="F1256" t="inlineStr">
        <is>
          <t>Bergvik skog väst AB</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53677-2025</t>
        </is>
      </c>
      <c r="B1257" s="1" t="n">
        <v>45960.56180555555</v>
      </c>
      <c r="C1257" s="1" t="n">
        <v>46117</v>
      </c>
      <c r="D1257" t="inlineStr">
        <is>
          <t>VÄRMLANDS LÄN</t>
        </is>
      </c>
      <c r="E1257" t="inlineStr">
        <is>
          <t>TORSBY</t>
        </is>
      </c>
      <c r="F1257" t="inlineStr">
        <is>
          <t>Bergvik skog väst AB</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36184-2024</t>
        </is>
      </c>
      <c r="B1258" s="1" t="n">
        <v>45534.4178125</v>
      </c>
      <c r="C1258" s="1" t="n">
        <v>46117</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53520-2025</t>
        </is>
      </c>
      <c r="B1259" s="1" t="n">
        <v>45960.35893518518</v>
      </c>
      <c r="C1259" s="1" t="n">
        <v>46117</v>
      </c>
      <c r="D1259" t="inlineStr">
        <is>
          <t>VÄRMLANDS LÄN</t>
        </is>
      </c>
      <c r="E1259" t="inlineStr">
        <is>
          <t>TORSBY</t>
        </is>
      </c>
      <c r="F1259" t="inlineStr">
        <is>
          <t>Bergvik skog väst AB</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53763-2025</t>
        </is>
      </c>
      <c r="B1260" s="1" t="n">
        <v>45960.67592592593</v>
      </c>
      <c r="C1260" s="1" t="n">
        <v>46117</v>
      </c>
      <c r="D1260" t="inlineStr">
        <is>
          <t>VÄRMLANDS LÄN</t>
        </is>
      </c>
      <c r="E1260" t="inlineStr">
        <is>
          <t>TORSBY</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14801-2025</t>
        </is>
      </c>
      <c r="B1261" s="1" t="n">
        <v>45743</v>
      </c>
      <c r="C1261" s="1" t="n">
        <v>46117</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53596-2025</t>
        </is>
      </c>
      <c r="B1262" s="1" t="n">
        <v>45960.44909722222</v>
      </c>
      <c r="C1262" s="1" t="n">
        <v>46117</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53848-2025</t>
        </is>
      </c>
      <c r="B1263" s="1" t="n">
        <v>45961.36832175926</v>
      </c>
      <c r="C1263" s="1" t="n">
        <v>46117</v>
      </c>
      <c r="D1263" t="inlineStr">
        <is>
          <t>VÄRMLANDS LÄN</t>
        </is>
      </c>
      <c r="E1263" t="inlineStr">
        <is>
          <t>TORSBY</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46117</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53601-2025</t>
        </is>
      </c>
      <c r="B1265" s="1" t="n">
        <v>45960.45984953704</v>
      </c>
      <c r="C1265" s="1" t="n">
        <v>46117</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17548-2023</t>
        </is>
      </c>
      <c r="B1266" s="1" t="n">
        <v>45036</v>
      </c>
      <c r="C1266" s="1" t="n">
        <v>46117</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65134-2023</t>
        </is>
      </c>
      <c r="B1267" s="1" t="n">
        <v>45288.52010416667</v>
      </c>
      <c r="C1267" s="1" t="n">
        <v>46117</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40573-2024</t>
        </is>
      </c>
      <c r="B1268" s="1" t="n">
        <v>45555.69518518518</v>
      </c>
      <c r="C1268" s="1" t="n">
        <v>46117</v>
      </c>
      <c r="D1268" t="inlineStr">
        <is>
          <t>VÄRMLANDS LÄN</t>
        </is>
      </c>
      <c r="E1268" t="inlineStr">
        <is>
          <t>TORSBY</t>
        </is>
      </c>
      <c r="F1268" t="inlineStr">
        <is>
          <t>Bergvik skog väst AB</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502-2024</t>
        </is>
      </c>
      <c r="B1269" s="1" t="n">
        <v>45299</v>
      </c>
      <c r="C1269" s="1" t="n">
        <v>46117</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4302-2025</t>
        </is>
      </c>
      <c r="B1270" s="1" t="n">
        <v>45685.67939814815</v>
      </c>
      <c r="C1270" s="1" t="n">
        <v>46117</v>
      </c>
      <c r="D1270" t="inlineStr">
        <is>
          <t>VÄRMLANDS LÄN</t>
        </is>
      </c>
      <c r="E1270" t="inlineStr">
        <is>
          <t>TORSBY</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54412-2025</t>
        </is>
      </c>
      <c r="B1271" s="1" t="n">
        <v>45965.46076388889</v>
      </c>
      <c r="C1271" s="1" t="n">
        <v>46117</v>
      </c>
      <c r="D1271" t="inlineStr">
        <is>
          <t>VÄRMLANDS LÄN</t>
        </is>
      </c>
      <c r="E1271" t="inlineStr">
        <is>
          <t>TORSBY</t>
        </is>
      </c>
      <c r="F1271" t="inlineStr">
        <is>
          <t>Bergvik skog väst AB</t>
        </is>
      </c>
      <c r="G1271" t="n">
        <v>37.8</v>
      </c>
      <c r="H1271" t="n">
        <v>0</v>
      </c>
      <c r="I1271" t="n">
        <v>0</v>
      </c>
      <c r="J1271" t="n">
        <v>0</v>
      </c>
      <c r="K1271" t="n">
        <v>0</v>
      </c>
      <c r="L1271" t="n">
        <v>0</v>
      </c>
      <c r="M1271" t="n">
        <v>0</v>
      </c>
      <c r="N1271" t="n">
        <v>0</v>
      </c>
      <c r="O1271" t="n">
        <v>0</v>
      </c>
      <c r="P1271" t="n">
        <v>0</v>
      </c>
      <c r="Q1271" t="n">
        <v>0</v>
      </c>
      <c r="R1271" s="2" t="inlineStr"/>
    </row>
    <row r="1272" ht="15" customHeight="1">
      <c r="A1272" t="inlineStr">
        <is>
          <t>A 54101-2025</t>
        </is>
      </c>
      <c r="B1272" s="1" t="n">
        <v>45964.42424768519</v>
      </c>
      <c r="C1272" s="1" t="n">
        <v>46117</v>
      </c>
      <c r="D1272" t="inlineStr">
        <is>
          <t>VÄRMLANDS LÄN</t>
        </is>
      </c>
      <c r="E1272" t="inlineStr">
        <is>
          <t>TORSBY</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54079-2025</t>
        </is>
      </c>
      <c r="B1273" s="1" t="n">
        <v>45964</v>
      </c>
      <c r="C1273" s="1" t="n">
        <v>46117</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54144-2025</t>
        </is>
      </c>
      <c r="B1274" s="1" t="n">
        <v>45964.48305555555</v>
      </c>
      <c r="C1274" s="1" t="n">
        <v>46117</v>
      </c>
      <c r="D1274" t="inlineStr">
        <is>
          <t>VÄRMLANDS LÄN</t>
        </is>
      </c>
      <c r="E1274" t="inlineStr">
        <is>
          <t>TORSBY</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2797-2025</t>
        </is>
      </c>
      <c r="B1275" s="1" t="n">
        <v>45677</v>
      </c>
      <c r="C1275" s="1" t="n">
        <v>46117</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63158-2023</t>
        </is>
      </c>
      <c r="B1276" s="1" t="n">
        <v>45273.51715277778</v>
      </c>
      <c r="C1276" s="1" t="n">
        <v>46117</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34568-2022</t>
        </is>
      </c>
      <c r="B1277" s="1" t="n">
        <v>44795.28277777778</v>
      </c>
      <c r="C1277" s="1" t="n">
        <v>46117</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54091-2025</t>
        </is>
      </c>
      <c r="B1278" s="1" t="n">
        <v>45964.39363425926</v>
      </c>
      <c r="C1278" s="1" t="n">
        <v>46117</v>
      </c>
      <c r="D1278" t="inlineStr">
        <is>
          <t>VÄRMLANDS LÄN</t>
        </is>
      </c>
      <c r="E1278" t="inlineStr">
        <is>
          <t>TORSBY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54071-2025</t>
        </is>
      </c>
      <c r="B1279" s="1" t="n">
        <v>45962</v>
      </c>
      <c r="C1279" s="1" t="n">
        <v>46117</v>
      </c>
      <c r="D1279" t="inlineStr">
        <is>
          <t>VÄRMLANDS LÄN</t>
        </is>
      </c>
      <c r="E1279" t="inlineStr">
        <is>
          <t>TORSBY</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54505-2025</t>
        </is>
      </c>
      <c r="B1280" s="1" t="n">
        <v>45965.6169212963</v>
      </c>
      <c r="C1280" s="1" t="n">
        <v>46117</v>
      </c>
      <c r="D1280" t="inlineStr">
        <is>
          <t>VÄRMLANDS LÄN</t>
        </is>
      </c>
      <c r="E1280" t="inlineStr">
        <is>
          <t>TORSBY</t>
        </is>
      </c>
      <c r="F1280" t="inlineStr">
        <is>
          <t>Bergvik skog väst AB</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4516-2025</t>
        </is>
      </c>
      <c r="B1281" s="1" t="n">
        <v>45686.88212962963</v>
      </c>
      <c r="C1281" s="1" t="n">
        <v>46117</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4517-2025</t>
        </is>
      </c>
      <c r="B1282" s="1" t="n">
        <v>45686</v>
      </c>
      <c r="C1282" s="1" t="n">
        <v>46117</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25537-2022</t>
        </is>
      </c>
      <c r="B1283" s="1" t="n">
        <v>44732</v>
      </c>
      <c r="C1283" s="1" t="n">
        <v>46117</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57642-2023</t>
        </is>
      </c>
      <c r="B1284" s="1" t="n">
        <v>45246.5915625</v>
      </c>
      <c r="C1284" s="1" t="n">
        <v>46117</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58013-2023</t>
        </is>
      </c>
      <c r="B1285" s="1" t="n">
        <v>45247.62346064814</v>
      </c>
      <c r="C1285" s="1" t="n">
        <v>46117</v>
      </c>
      <c r="D1285" t="inlineStr">
        <is>
          <t>VÄRMLANDS LÄN</t>
        </is>
      </c>
      <c r="E1285" t="inlineStr">
        <is>
          <t>TORSBY</t>
        </is>
      </c>
      <c r="F1285" t="inlineStr">
        <is>
          <t>Bergvik skog väst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54168-2025</t>
        </is>
      </c>
      <c r="B1286" s="1" t="n">
        <v>45964.52528935186</v>
      </c>
      <c r="C1286" s="1" t="n">
        <v>46117</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36290-2022</t>
        </is>
      </c>
      <c r="B1287" s="1" t="n">
        <v>44803</v>
      </c>
      <c r="C1287" s="1" t="n">
        <v>46117</v>
      </c>
      <c r="D1287" t="inlineStr">
        <is>
          <t>VÄRMLANDS LÄN</t>
        </is>
      </c>
      <c r="E1287" t="inlineStr">
        <is>
          <t>TORSBY</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39075-2024</t>
        </is>
      </c>
      <c r="B1288" s="1" t="n">
        <v>45548</v>
      </c>
      <c r="C1288" s="1" t="n">
        <v>46117</v>
      </c>
      <c r="D1288" t="inlineStr">
        <is>
          <t>VÄRMLANDS LÄN</t>
        </is>
      </c>
      <c r="E1288" t="inlineStr">
        <is>
          <t>TORSBY</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40007-2023</t>
        </is>
      </c>
      <c r="B1289" s="1" t="n">
        <v>45168</v>
      </c>
      <c r="C1289" s="1" t="n">
        <v>46117</v>
      </c>
      <c r="D1289" t="inlineStr">
        <is>
          <t>VÄRMLANDS LÄN</t>
        </is>
      </c>
      <c r="E1289" t="inlineStr">
        <is>
          <t>TORSBY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7745-2023</t>
        </is>
      </c>
      <c r="B1290" s="1" t="n">
        <v>44973.35336805556</v>
      </c>
      <c r="C1290" s="1" t="n">
        <v>46117</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54762-2025</t>
        </is>
      </c>
      <c r="B1291" s="1" t="n">
        <v>45966.60082175926</v>
      </c>
      <c r="C1291" s="1" t="n">
        <v>46117</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25264-2024</t>
        </is>
      </c>
      <c r="B1292" s="1" t="n">
        <v>45462.61859953704</v>
      </c>
      <c r="C1292" s="1" t="n">
        <v>46117</v>
      </c>
      <c r="D1292" t="inlineStr">
        <is>
          <t>VÄRMLANDS LÄN</t>
        </is>
      </c>
      <c r="E1292" t="inlineStr">
        <is>
          <t>TORSBY</t>
        </is>
      </c>
      <c r="G1292" t="n">
        <v>10.7</v>
      </c>
      <c r="H1292" t="n">
        <v>0</v>
      </c>
      <c r="I1292" t="n">
        <v>0</v>
      </c>
      <c r="J1292" t="n">
        <v>0</v>
      </c>
      <c r="K1292" t="n">
        <v>0</v>
      </c>
      <c r="L1292" t="n">
        <v>0</v>
      </c>
      <c r="M1292" t="n">
        <v>0</v>
      </c>
      <c r="N1292" t="n">
        <v>0</v>
      </c>
      <c r="O1292" t="n">
        <v>0</v>
      </c>
      <c r="P1292" t="n">
        <v>0</v>
      </c>
      <c r="Q1292" t="n">
        <v>0</v>
      </c>
      <c r="R1292" s="2" t="inlineStr"/>
    </row>
    <row r="1293" ht="15" customHeight="1">
      <c r="A1293" t="inlineStr">
        <is>
          <t>A 55071-2025</t>
        </is>
      </c>
      <c r="B1293" s="1" t="n">
        <v>45967</v>
      </c>
      <c r="C1293" s="1" t="n">
        <v>46117</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53714-2025</t>
        </is>
      </c>
      <c r="B1294" s="1" t="n">
        <v>45960</v>
      </c>
      <c r="C1294" s="1" t="n">
        <v>46117</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22826-2022</t>
        </is>
      </c>
      <c r="B1295" s="1" t="n">
        <v>44714</v>
      </c>
      <c r="C1295" s="1" t="n">
        <v>46117</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54732-2025</t>
        </is>
      </c>
      <c r="B1296" s="1" t="n">
        <v>45966.56212962963</v>
      </c>
      <c r="C1296" s="1" t="n">
        <v>46117</v>
      </c>
      <c r="D1296" t="inlineStr">
        <is>
          <t>VÄRMLANDS LÄN</t>
        </is>
      </c>
      <c r="E1296" t="inlineStr">
        <is>
          <t>TORSBY</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54734-2025</t>
        </is>
      </c>
      <c r="B1297" s="1" t="n">
        <v>45966.56431712963</v>
      </c>
      <c r="C1297" s="1" t="n">
        <v>46117</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54784-2025</t>
        </is>
      </c>
      <c r="B1298" s="1" t="n">
        <v>45966.62114583333</v>
      </c>
      <c r="C1298" s="1" t="n">
        <v>46117</v>
      </c>
      <c r="D1298" t="inlineStr">
        <is>
          <t>VÄRMLANDS LÄN</t>
        </is>
      </c>
      <c r="E1298" t="inlineStr">
        <is>
          <t>TORSBY</t>
        </is>
      </c>
      <c r="F1298" t="inlineStr">
        <is>
          <t>Bergvik skog väst AB</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51644-2025</t>
        </is>
      </c>
      <c r="B1299" s="1" t="n">
        <v>45951</v>
      </c>
      <c r="C1299" s="1" t="n">
        <v>46117</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34717-2024</t>
        </is>
      </c>
      <c r="B1300" s="1" t="n">
        <v>45526.56409722222</v>
      </c>
      <c r="C1300" s="1" t="n">
        <v>46117</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14304-2023</t>
        </is>
      </c>
      <c r="B1301" s="1" t="n">
        <v>45011.76541666667</v>
      </c>
      <c r="C1301" s="1" t="n">
        <v>46117</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33620-2024</t>
        </is>
      </c>
      <c r="B1302" s="1" t="n">
        <v>45520.41530092592</v>
      </c>
      <c r="C1302" s="1" t="n">
        <v>46117</v>
      </c>
      <c r="D1302" t="inlineStr">
        <is>
          <t>VÄRMLANDS LÄN</t>
        </is>
      </c>
      <c r="E1302" t="inlineStr">
        <is>
          <t>TORSBY</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54729-2025</t>
        </is>
      </c>
      <c r="B1303" s="1" t="n">
        <v>45966</v>
      </c>
      <c r="C1303" s="1" t="n">
        <v>46117</v>
      </c>
      <c r="D1303" t="inlineStr">
        <is>
          <t>VÄRMLANDS LÄN</t>
        </is>
      </c>
      <c r="E1303" t="inlineStr">
        <is>
          <t>TORSBY</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54817-2025</t>
        </is>
      </c>
      <c r="B1304" s="1" t="n">
        <v>45966.65671296296</v>
      </c>
      <c r="C1304" s="1" t="n">
        <v>46117</v>
      </c>
      <c r="D1304" t="inlineStr">
        <is>
          <t>VÄRMLANDS LÄN</t>
        </is>
      </c>
      <c r="E1304" t="inlineStr">
        <is>
          <t>TORSBY</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42613-2023</t>
        </is>
      </c>
      <c r="B1305" s="1" t="n">
        <v>45181</v>
      </c>
      <c r="C1305" s="1" t="n">
        <v>46117</v>
      </c>
      <c r="D1305" t="inlineStr">
        <is>
          <t>VÄRMLANDS LÄN</t>
        </is>
      </c>
      <c r="E1305" t="inlineStr">
        <is>
          <t>TORSBY</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40971-2023</t>
        </is>
      </c>
      <c r="B1306" s="1" t="n">
        <v>45173</v>
      </c>
      <c r="C1306" s="1" t="n">
        <v>46117</v>
      </c>
      <c r="D1306" t="inlineStr">
        <is>
          <t>VÄRMLANDS LÄN</t>
        </is>
      </c>
      <c r="E1306" t="inlineStr">
        <is>
          <t>TORSBY</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54780-2025</t>
        </is>
      </c>
      <c r="B1307" s="1" t="n">
        <v>45966</v>
      </c>
      <c r="C1307" s="1" t="n">
        <v>46117</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54692-2025</t>
        </is>
      </c>
      <c r="B1308" s="1" t="n">
        <v>45966</v>
      </c>
      <c r="C1308" s="1" t="n">
        <v>46117</v>
      </c>
      <c r="D1308" t="inlineStr">
        <is>
          <t>VÄRMLANDS LÄN</t>
        </is>
      </c>
      <c r="E1308" t="inlineStr">
        <is>
          <t>TORSBY</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54996-2025</t>
        </is>
      </c>
      <c r="B1309" s="1" t="n">
        <v>45967</v>
      </c>
      <c r="C1309" s="1" t="n">
        <v>46117</v>
      </c>
      <c r="D1309" t="inlineStr">
        <is>
          <t>VÄRMLANDS LÄN</t>
        </is>
      </c>
      <c r="E1309" t="inlineStr">
        <is>
          <t>TORSBY</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18314-2025</t>
        </is>
      </c>
      <c r="B1310" s="1" t="n">
        <v>45762.44986111111</v>
      </c>
      <c r="C1310" s="1" t="n">
        <v>46117</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34961-2024</t>
        </is>
      </c>
      <c r="B1311" s="1" t="n">
        <v>45527.48923611111</v>
      </c>
      <c r="C1311" s="1" t="n">
        <v>46117</v>
      </c>
      <c r="D1311" t="inlineStr">
        <is>
          <t>VÄRMLANDS LÄN</t>
        </is>
      </c>
      <c r="E1311" t="inlineStr">
        <is>
          <t>TORSBY</t>
        </is>
      </c>
      <c r="F1311" t="inlineStr">
        <is>
          <t>Bergvik skog väst AB</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52357-2025</t>
        </is>
      </c>
      <c r="B1312" s="1" t="n">
        <v>45952</v>
      </c>
      <c r="C1312" s="1" t="n">
        <v>46117</v>
      </c>
      <c r="D1312" t="inlineStr">
        <is>
          <t>VÄRMLANDS LÄN</t>
        </is>
      </c>
      <c r="E1312" t="inlineStr">
        <is>
          <t>TORSBY</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52362-2025</t>
        </is>
      </c>
      <c r="B1313" s="1" t="n">
        <v>45952</v>
      </c>
      <c r="C1313" s="1" t="n">
        <v>46117</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55269-2025</t>
        </is>
      </c>
      <c r="B1314" s="1" t="n">
        <v>45968</v>
      </c>
      <c r="C1314" s="1" t="n">
        <v>46117</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55386-2025</t>
        </is>
      </c>
      <c r="B1315" s="1" t="n">
        <v>45971</v>
      </c>
      <c r="C1315" s="1" t="n">
        <v>46117</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39746-2024</t>
        </is>
      </c>
      <c r="B1316" s="1" t="n">
        <v>45552</v>
      </c>
      <c r="C1316" s="1" t="n">
        <v>46117</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55177-2025</t>
        </is>
      </c>
      <c r="B1317" s="1" t="n">
        <v>45968</v>
      </c>
      <c r="C1317" s="1" t="n">
        <v>46117</v>
      </c>
      <c r="D1317" t="inlineStr">
        <is>
          <t>VÄRMLANDS LÄN</t>
        </is>
      </c>
      <c r="E1317" t="inlineStr">
        <is>
          <t>TORSBY</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15460-2022</t>
        </is>
      </c>
      <c r="B1318" s="1" t="n">
        <v>44661</v>
      </c>
      <c r="C1318" s="1" t="n">
        <v>46117</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51987-2024</t>
        </is>
      </c>
      <c r="B1319" s="1" t="n">
        <v>45607</v>
      </c>
      <c r="C1319" s="1" t="n">
        <v>46117</v>
      </c>
      <c r="D1319" t="inlineStr">
        <is>
          <t>VÄRMLANDS LÄN</t>
        </is>
      </c>
      <c r="E1319" t="inlineStr">
        <is>
          <t>TORSBY</t>
        </is>
      </c>
      <c r="G1319" t="n">
        <v>17.7</v>
      </c>
      <c r="H1319" t="n">
        <v>0</v>
      </c>
      <c r="I1319" t="n">
        <v>0</v>
      </c>
      <c r="J1319" t="n">
        <v>0</v>
      </c>
      <c r="K1319" t="n">
        <v>0</v>
      </c>
      <c r="L1319" t="n">
        <v>0</v>
      </c>
      <c r="M1319" t="n">
        <v>0</v>
      </c>
      <c r="N1319" t="n">
        <v>0</v>
      </c>
      <c r="O1319" t="n">
        <v>0</v>
      </c>
      <c r="P1319" t="n">
        <v>0</v>
      </c>
      <c r="Q1319" t="n">
        <v>0</v>
      </c>
      <c r="R1319" s="2" t="inlineStr"/>
    </row>
    <row r="1320" ht="15" customHeight="1">
      <c r="A1320" t="inlineStr">
        <is>
          <t>A 57726-2022</t>
        </is>
      </c>
      <c r="B1320" s="1" t="n">
        <v>44897.56420138889</v>
      </c>
      <c r="C1320" s="1" t="n">
        <v>46117</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55296-2025</t>
        </is>
      </c>
      <c r="B1321" s="1" t="n">
        <v>45969.53423611111</v>
      </c>
      <c r="C1321" s="1" t="n">
        <v>46117</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20528-2023</t>
        </is>
      </c>
      <c r="B1322" s="1" t="n">
        <v>45057</v>
      </c>
      <c r="C1322" s="1" t="n">
        <v>46117</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55139-2025</t>
        </is>
      </c>
      <c r="B1323" s="1" t="n">
        <v>45968.42827546296</v>
      </c>
      <c r="C1323" s="1" t="n">
        <v>46117</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55178-2025</t>
        </is>
      </c>
      <c r="B1324" s="1" t="n">
        <v>45968</v>
      </c>
      <c r="C1324" s="1" t="n">
        <v>46117</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18876-2023</t>
        </is>
      </c>
      <c r="B1325" s="1" t="n">
        <v>45044.50101851852</v>
      </c>
      <c r="C1325" s="1" t="n">
        <v>46117</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28624-2024</t>
        </is>
      </c>
      <c r="B1326" s="1" t="n">
        <v>45478.44297453704</v>
      </c>
      <c r="C1326" s="1" t="n">
        <v>46117</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55622-2025</t>
        </is>
      </c>
      <c r="B1327" s="1" t="n">
        <v>45971</v>
      </c>
      <c r="C1327" s="1" t="n">
        <v>46117</v>
      </c>
      <c r="D1327" t="inlineStr">
        <is>
          <t>VÄRMLANDS LÄN</t>
        </is>
      </c>
      <c r="E1327" t="inlineStr">
        <is>
          <t>TORSBY</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55320-2025</t>
        </is>
      </c>
      <c r="B1328" s="1" t="n">
        <v>45971.31269675926</v>
      </c>
      <c r="C1328" s="1" t="n">
        <v>46117</v>
      </c>
      <c r="D1328" t="inlineStr">
        <is>
          <t>VÄRMLANDS LÄN</t>
        </is>
      </c>
      <c r="E1328" t="inlineStr">
        <is>
          <t>TORSBY</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11214-2024</t>
        </is>
      </c>
      <c r="B1329" s="1" t="n">
        <v>45371</v>
      </c>
      <c r="C1329" s="1" t="n">
        <v>46117</v>
      </c>
      <c r="D1329" t="inlineStr">
        <is>
          <t>VÄRMLANDS LÄN</t>
        </is>
      </c>
      <c r="E1329" t="inlineStr">
        <is>
          <t>TORSBY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56098-2025</t>
        </is>
      </c>
      <c r="B1330" s="1" t="n">
        <v>45973</v>
      </c>
      <c r="C1330" s="1" t="n">
        <v>46117</v>
      </c>
      <c r="D1330" t="inlineStr">
        <is>
          <t>VÄRMLANDS LÄN</t>
        </is>
      </c>
      <c r="E1330" t="inlineStr">
        <is>
          <t>TORSBY</t>
        </is>
      </c>
      <c r="F1330" t="inlineStr">
        <is>
          <t>Kyrkan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56129-2025</t>
        </is>
      </c>
      <c r="B1331" s="1" t="n">
        <v>45973</v>
      </c>
      <c r="C1331" s="1" t="n">
        <v>46117</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54076-2025</t>
        </is>
      </c>
      <c r="B1332" s="1" t="n">
        <v>45964</v>
      </c>
      <c r="C1332" s="1" t="n">
        <v>46117</v>
      </c>
      <c r="D1332" t="inlineStr">
        <is>
          <t>VÄRMLANDS LÄN</t>
        </is>
      </c>
      <c r="E1332" t="inlineStr">
        <is>
          <t>TORSBY</t>
        </is>
      </c>
      <c r="F1332" t="inlineStr">
        <is>
          <t>Övriga statliga verk och myndigheter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55953-2025</t>
        </is>
      </c>
      <c r="B1333" s="1" t="n">
        <v>45973</v>
      </c>
      <c r="C1333" s="1" t="n">
        <v>46117</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55958-2025</t>
        </is>
      </c>
      <c r="B1334" s="1" t="n">
        <v>45973</v>
      </c>
      <c r="C1334" s="1" t="n">
        <v>46117</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55938-2025</t>
        </is>
      </c>
      <c r="B1335" s="1" t="n">
        <v>45973.44658564815</v>
      </c>
      <c r="C1335" s="1" t="n">
        <v>46117</v>
      </c>
      <c r="D1335" t="inlineStr">
        <is>
          <t>VÄRMLANDS LÄN</t>
        </is>
      </c>
      <c r="E1335" t="inlineStr">
        <is>
          <t>TORSBY</t>
        </is>
      </c>
      <c r="F1335" t="inlineStr">
        <is>
          <t>Bergvik skog väst AB</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43179-2023</t>
        </is>
      </c>
      <c r="B1336" s="1" t="n">
        <v>45183.37615740741</v>
      </c>
      <c r="C1336" s="1" t="n">
        <v>46117</v>
      </c>
      <c r="D1336" t="inlineStr">
        <is>
          <t>VÄRMLANDS LÄN</t>
        </is>
      </c>
      <c r="E1336" t="inlineStr">
        <is>
          <t>TORSBY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56033-2025</t>
        </is>
      </c>
      <c r="B1337" s="1" t="n">
        <v>45973.6066087963</v>
      </c>
      <c r="C1337" s="1" t="n">
        <v>46117</v>
      </c>
      <c r="D1337" t="inlineStr">
        <is>
          <t>VÄRMLANDS LÄN</t>
        </is>
      </c>
      <c r="E1337" t="inlineStr">
        <is>
          <t>TORSBY</t>
        </is>
      </c>
      <c r="F1337" t="inlineStr">
        <is>
          <t>Bergvik skog väst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56052-2025</t>
        </is>
      </c>
      <c r="B1338" s="1" t="n">
        <v>45973.63180555555</v>
      </c>
      <c r="C1338" s="1" t="n">
        <v>46117</v>
      </c>
      <c r="D1338" t="inlineStr">
        <is>
          <t>VÄRMLANDS LÄN</t>
        </is>
      </c>
      <c r="E1338" t="inlineStr">
        <is>
          <t>TORSBY</t>
        </is>
      </c>
      <c r="F1338" t="inlineStr">
        <is>
          <t>Bergvik skog väst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55664-2025</t>
        </is>
      </c>
      <c r="B1339" s="1" t="n">
        <v>45972.39621527777</v>
      </c>
      <c r="C1339" s="1" t="n">
        <v>46117</v>
      </c>
      <c r="D1339" t="inlineStr">
        <is>
          <t>VÄRMLANDS LÄN</t>
        </is>
      </c>
      <c r="E1339" t="inlineStr">
        <is>
          <t>TORSBY</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55675-2025</t>
        </is>
      </c>
      <c r="B1340" s="1" t="n">
        <v>45972.4175</v>
      </c>
      <c r="C1340" s="1" t="n">
        <v>46117</v>
      </c>
      <c r="D1340" t="inlineStr">
        <is>
          <t>VÄRMLANDS LÄN</t>
        </is>
      </c>
      <c r="E1340" t="inlineStr">
        <is>
          <t>TORSBY</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2308-2024</t>
        </is>
      </c>
      <c r="B1341" s="1" t="n">
        <v>45310</v>
      </c>
      <c r="C1341" s="1" t="n">
        <v>46117</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46195-2023</t>
        </is>
      </c>
      <c r="B1342" s="1" t="n">
        <v>45196</v>
      </c>
      <c r="C1342" s="1" t="n">
        <v>46117</v>
      </c>
      <c r="D1342" t="inlineStr">
        <is>
          <t>VÄRMLANDS LÄN</t>
        </is>
      </c>
      <c r="E1342" t="inlineStr">
        <is>
          <t>TORSBY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56130-2025</t>
        </is>
      </c>
      <c r="B1343" s="1" t="n">
        <v>45973</v>
      </c>
      <c r="C1343" s="1" t="n">
        <v>46117</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55863-2025</t>
        </is>
      </c>
      <c r="B1344" s="1" t="n">
        <v>45973.3465162037</v>
      </c>
      <c r="C1344" s="1" t="n">
        <v>46117</v>
      </c>
      <c r="D1344" t="inlineStr">
        <is>
          <t>VÄRMLANDS LÄN</t>
        </is>
      </c>
      <c r="E1344" t="inlineStr">
        <is>
          <t>TORSBY</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18959-2024</t>
        </is>
      </c>
      <c r="B1345" s="1" t="n">
        <v>45427.53032407408</v>
      </c>
      <c r="C1345" s="1" t="n">
        <v>46117</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56187-2025</t>
        </is>
      </c>
      <c r="B1346" s="1" t="n">
        <v>45974.42451388889</v>
      </c>
      <c r="C1346" s="1" t="n">
        <v>46117</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19630-2025</t>
        </is>
      </c>
      <c r="B1347" s="1" t="n">
        <v>45770.64239583333</v>
      </c>
      <c r="C1347" s="1" t="n">
        <v>46117</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56263-2025</t>
        </is>
      </c>
      <c r="B1348" s="1" t="n">
        <v>45974.57358796296</v>
      </c>
      <c r="C1348" s="1" t="n">
        <v>46117</v>
      </c>
      <c r="D1348" t="inlineStr">
        <is>
          <t>VÄRMLANDS LÄN</t>
        </is>
      </c>
      <c r="E1348" t="inlineStr">
        <is>
          <t>TORSBY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56575-2025</t>
        </is>
      </c>
      <c r="B1349" s="1" t="n">
        <v>45975</v>
      </c>
      <c r="C1349" s="1" t="n">
        <v>46117</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56258-2025</t>
        </is>
      </c>
      <c r="B1350" s="1" t="n">
        <v>45974.56655092593</v>
      </c>
      <c r="C1350" s="1" t="n">
        <v>46117</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29921-2022</t>
        </is>
      </c>
      <c r="B1351" s="1" t="n">
        <v>44756</v>
      </c>
      <c r="C1351" s="1" t="n">
        <v>46117</v>
      </c>
      <c r="D1351" t="inlineStr">
        <is>
          <t>VÄRMLANDS LÄN</t>
        </is>
      </c>
      <c r="E1351" t="inlineStr">
        <is>
          <t>TORSBY</t>
        </is>
      </c>
      <c r="F1351" t="inlineStr">
        <is>
          <t>Kommuner</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56786-2025</t>
        </is>
      </c>
      <c r="B1352" s="1" t="n">
        <v>45978.4254050926</v>
      </c>
      <c r="C1352" s="1" t="n">
        <v>46117</v>
      </c>
      <c r="D1352" t="inlineStr">
        <is>
          <t>VÄRMLANDS LÄN</t>
        </is>
      </c>
      <c r="E1352" t="inlineStr">
        <is>
          <t>TORSBY</t>
        </is>
      </c>
      <c r="F1352" t="inlineStr">
        <is>
          <t>Bergvik skog väst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64641-2023</t>
        </is>
      </c>
      <c r="B1353" s="1" t="n">
        <v>45281.55908564815</v>
      </c>
      <c r="C1353" s="1" t="n">
        <v>46117</v>
      </c>
      <c r="D1353" t="inlineStr">
        <is>
          <t>VÄRMLANDS LÄN</t>
        </is>
      </c>
      <c r="E1353" t="inlineStr">
        <is>
          <t>TORSBY</t>
        </is>
      </c>
      <c r="F1353" t="inlineStr">
        <is>
          <t>Bergvik skog väst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57137-2025</t>
        </is>
      </c>
      <c r="B1354" s="1" t="n">
        <v>45979</v>
      </c>
      <c r="C1354" s="1" t="n">
        <v>46117</v>
      </c>
      <c r="D1354" t="inlineStr">
        <is>
          <t>VÄRMLANDS LÄN</t>
        </is>
      </c>
      <c r="E1354" t="inlineStr">
        <is>
          <t>TORSBY</t>
        </is>
      </c>
      <c r="F1354" t="inlineStr">
        <is>
          <t>Övriga statliga verk och myndigheter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11569-2025</t>
        </is>
      </c>
      <c r="B1355" s="1" t="n">
        <v>45727.37971064815</v>
      </c>
      <c r="C1355" s="1" t="n">
        <v>46117</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56761-2025</t>
        </is>
      </c>
      <c r="B1356" s="1" t="n">
        <v>45978.37505787037</v>
      </c>
      <c r="C1356" s="1" t="n">
        <v>46117</v>
      </c>
      <c r="D1356" t="inlineStr">
        <is>
          <t>VÄRMLANDS LÄN</t>
        </is>
      </c>
      <c r="E1356" t="inlineStr">
        <is>
          <t>TORSBY</t>
        </is>
      </c>
      <c r="F1356" t="inlineStr">
        <is>
          <t>Bergvik skog väst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56772-2025</t>
        </is>
      </c>
      <c r="B1357" s="1" t="n">
        <v>45978</v>
      </c>
      <c r="C1357" s="1" t="n">
        <v>46117</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56778-2025</t>
        </is>
      </c>
      <c r="B1358" s="1" t="n">
        <v>45978</v>
      </c>
      <c r="C1358" s="1" t="n">
        <v>46117</v>
      </c>
      <c r="D1358" t="inlineStr">
        <is>
          <t>VÄRMLANDS LÄN</t>
        </is>
      </c>
      <c r="E1358" t="inlineStr">
        <is>
          <t>TORSBY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56747-2025</t>
        </is>
      </c>
      <c r="B1359" s="1" t="n">
        <v>45978</v>
      </c>
      <c r="C1359" s="1" t="n">
        <v>46117</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57370-2025</t>
        </is>
      </c>
      <c r="B1360" s="1" t="n">
        <v>45979</v>
      </c>
      <c r="C1360" s="1" t="n">
        <v>46117</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16427-2023</t>
        </is>
      </c>
      <c r="B1361" s="1" t="n">
        <v>45022</v>
      </c>
      <c r="C1361" s="1" t="n">
        <v>46117</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34434-2022</t>
        </is>
      </c>
      <c r="B1362" s="1" t="n">
        <v>44792</v>
      </c>
      <c r="C1362" s="1" t="n">
        <v>46117</v>
      </c>
      <c r="D1362" t="inlineStr">
        <is>
          <t>VÄRMLANDS LÄN</t>
        </is>
      </c>
      <c r="E1362" t="inlineStr">
        <is>
          <t>TORSBY</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56889-2025</t>
        </is>
      </c>
      <c r="B1363" s="1" t="n">
        <v>45978</v>
      </c>
      <c r="C1363" s="1" t="n">
        <v>46117</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56848-2025</t>
        </is>
      </c>
      <c r="B1364" s="1" t="n">
        <v>45978.4887037037</v>
      </c>
      <c r="C1364" s="1" t="n">
        <v>46117</v>
      </c>
      <c r="D1364" t="inlineStr">
        <is>
          <t>VÄRMLANDS LÄN</t>
        </is>
      </c>
      <c r="E1364" t="inlineStr">
        <is>
          <t>TORSBY</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7636-2024</t>
        </is>
      </c>
      <c r="B1365" s="1" t="n">
        <v>45348</v>
      </c>
      <c r="C1365" s="1" t="n">
        <v>46117</v>
      </c>
      <c r="D1365" t="inlineStr">
        <is>
          <t>VÄRMLANDS LÄN</t>
        </is>
      </c>
      <c r="E1365" t="inlineStr">
        <is>
          <t>TORSBY</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57073-2025</t>
        </is>
      </c>
      <c r="B1366" s="1" t="n">
        <v>45979</v>
      </c>
      <c r="C1366" s="1" t="n">
        <v>46117</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56784-2025</t>
        </is>
      </c>
      <c r="B1367" s="1" t="n">
        <v>45978.41734953703</v>
      </c>
      <c r="C1367" s="1" t="n">
        <v>46117</v>
      </c>
      <c r="D1367" t="inlineStr">
        <is>
          <t>VÄRMLANDS LÄN</t>
        </is>
      </c>
      <c r="E1367" t="inlineStr">
        <is>
          <t>TORSBY</t>
        </is>
      </c>
      <c r="F1367" t="inlineStr">
        <is>
          <t>Bergvik skog väst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56785-2025</t>
        </is>
      </c>
      <c r="B1368" s="1" t="n">
        <v>45978.42228009259</v>
      </c>
      <c r="C1368" s="1" t="n">
        <v>46117</v>
      </c>
      <c r="D1368" t="inlineStr">
        <is>
          <t>VÄRMLANDS LÄN</t>
        </is>
      </c>
      <c r="E1368" t="inlineStr">
        <is>
          <t>TORSBY</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3590-2024</t>
        </is>
      </c>
      <c r="B1369" s="1" t="n">
        <v>45320</v>
      </c>
      <c r="C1369" s="1" t="n">
        <v>46117</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58246-2025</t>
        </is>
      </c>
      <c r="B1370" s="1" t="n">
        <v>45981</v>
      </c>
      <c r="C1370" s="1" t="n">
        <v>46117</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57364-2025</t>
        </is>
      </c>
      <c r="B1371" s="1" t="n">
        <v>45980</v>
      </c>
      <c r="C1371" s="1" t="n">
        <v>46117</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57348-2025</t>
        </is>
      </c>
      <c r="B1372" s="1" t="n">
        <v>45980.35927083333</v>
      </c>
      <c r="C1372" s="1" t="n">
        <v>46117</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18258-2025</t>
        </is>
      </c>
      <c r="B1373" s="1" t="n">
        <v>45762.35762731481</v>
      </c>
      <c r="C1373" s="1" t="n">
        <v>46117</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37822-2023</t>
        </is>
      </c>
      <c r="B1374" s="1" t="n">
        <v>45160.30215277777</v>
      </c>
      <c r="C1374" s="1" t="n">
        <v>46117</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57695-2025</t>
        </is>
      </c>
      <c r="B1375" s="1" t="n">
        <v>45981.45201388889</v>
      </c>
      <c r="C1375" s="1" t="n">
        <v>46117</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57787-2025</t>
        </is>
      </c>
      <c r="B1376" s="1" t="n">
        <v>45981</v>
      </c>
      <c r="C1376" s="1" t="n">
        <v>46117</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57935-2025</t>
        </is>
      </c>
      <c r="B1377" s="1" t="n">
        <v>45981</v>
      </c>
      <c r="C1377" s="1" t="n">
        <v>46117</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57446-2025</t>
        </is>
      </c>
      <c r="B1378" s="1" t="n">
        <v>45980</v>
      </c>
      <c r="C1378" s="1" t="n">
        <v>46117</v>
      </c>
      <c r="D1378" t="inlineStr">
        <is>
          <t>VÄRMLANDS LÄN</t>
        </is>
      </c>
      <c r="E1378" t="inlineStr">
        <is>
          <t>TORSBY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21825-2024</t>
        </is>
      </c>
      <c r="B1379" s="1" t="n">
        <v>45442</v>
      </c>
      <c r="C1379" s="1" t="n">
        <v>46117</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20721-2023</t>
        </is>
      </c>
      <c r="B1380" s="1" t="n">
        <v>45058</v>
      </c>
      <c r="C1380" s="1" t="n">
        <v>46117</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58396-2025</t>
        </is>
      </c>
      <c r="B1381" s="1" t="n">
        <v>45985</v>
      </c>
      <c r="C1381" s="1" t="n">
        <v>46117</v>
      </c>
      <c r="D1381" t="inlineStr">
        <is>
          <t>VÄRMLANDS LÄN</t>
        </is>
      </c>
      <c r="E1381" t="inlineStr">
        <is>
          <t>TORSBY</t>
        </is>
      </c>
      <c r="F1381" t="inlineStr">
        <is>
          <t>Bergvik skog väst AB</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16369-2024</t>
        </is>
      </c>
      <c r="B1382" s="1" t="n">
        <v>45407</v>
      </c>
      <c r="C1382" s="1" t="n">
        <v>46117</v>
      </c>
      <c r="D1382" t="inlineStr">
        <is>
          <t>VÄRMLANDS LÄN</t>
        </is>
      </c>
      <c r="E1382" t="inlineStr">
        <is>
          <t>TORSBY</t>
        </is>
      </c>
      <c r="F1382" t="inlineStr">
        <is>
          <t>Kommuner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58537-2025</t>
        </is>
      </c>
      <c r="B1383" s="1" t="n">
        <v>45985</v>
      </c>
      <c r="C1383" s="1" t="n">
        <v>46117</v>
      </c>
      <c r="D1383" t="inlineStr">
        <is>
          <t>VÄRMLANDS LÄN</t>
        </is>
      </c>
      <c r="E1383" t="inlineStr">
        <is>
          <t>TORSBY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42615-2021</t>
        </is>
      </c>
      <c r="B1384" s="1" t="n">
        <v>44428</v>
      </c>
      <c r="C1384" s="1" t="n">
        <v>46117</v>
      </c>
      <c r="D1384" t="inlineStr">
        <is>
          <t>VÄRMLANDS LÄN</t>
        </is>
      </c>
      <c r="E1384" t="inlineStr">
        <is>
          <t>TORSBY</t>
        </is>
      </c>
      <c r="F1384" t="inlineStr">
        <is>
          <t>Bergvik skog väst AB</t>
        </is>
      </c>
      <c r="G1384" t="n">
        <v>37.2</v>
      </c>
      <c r="H1384" t="n">
        <v>0</v>
      </c>
      <c r="I1384" t="n">
        <v>0</v>
      </c>
      <c r="J1384" t="n">
        <v>0</v>
      </c>
      <c r="K1384" t="n">
        <v>0</v>
      </c>
      <c r="L1384" t="n">
        <v>0</v>
      </c>
      <c r="M1384" t="n">
        <v>0</v>
      </c>
      <c r="N1384" t="n">
        <v>0</v>
      </c>
      <c r="O1384" t="n">
        <v>0</v>
      </c>
      <c r="P1384" t="n">
        <v>0</v>
      </c>
      <c r="Q1384" t="n">
        <v>0</v>
      </c>
      <c r="R1384" s="2" t="inlineStr"/>
    </row>
    <row r="1385" ht="15" customHeight="1">
      <c r="A1385" t="inlineStr">
        <is>
          <t>A 18337-2024</t>
        </is>
      </c>
      <c r="B1385" s="1" t="n">
        <v>45422</v>
      </c>
      <c r="C1385" s="1" t="n">
        <v>46117</v>
      </c>
      <c r="D1385" t="inlineStr">
        <is>
          <t>VÄRMLANDS LÄN</t>
        </is>
      </c>
      <c r="E1385" t="inlineStr">
        <is>
          <t>TORSBY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43111-2022</t>
        </is>
      </c>
      <c r="B1386" s="1" t="n">
        <v>44833</v>
      </c>
      <c r="C1386" s="1" t="n">
        <v>46117</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57931-2025</t>
        </is>
      </c>
      <c r="B1387" s="1" t="n">
        <v>45981.90670138889</v>
      </c>
      <c r="C1387" s="1" t="n">
        <v>46117</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58363-2025</t>
        </is>
      </c>
      <c r="B1388" s="1" t="n">
        <v>45985</v>
      </c>
      <c r="C1388" s="1" t="n">
        <v>46117</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392-2025</t>
        </is>
      </c>
      <c r="B1389" s="1" t="n">
        <v>45663.35111111111</v>
      </c>
      <c r="C1389" s="1" t="n">
        <v>46117</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19964-2025</t>
        </is>
      </c>
      <c r="B1390" s="1" t="n">
        <v>45771.67315972222</v>
      </c>
      <c r="C1390" s="1" t="n">
        <v>46117</v>
      </c>
      <c r="D1390" t="inlineStr">
        <is>
          <t>VÄRMLANDS LÄN</t>
        </is>
      </c>
      <c r="E1390" t="inlineStr">
        <is>
          <t>TORSBY</t>
        </is>
      </c>
      <c r="F1390" t="inlineStr">
        <is>
          <t>Bergvik skog väst AB</t>
        </is>
      </c>
      <c r="G1390" t="n">
        <v>23.8</v>
      </c>
      <c r="H1390" t="n">
        <v>0</v>
      </c>
      <c r="I1390" t="n">
        <v>0</v>
      </c>
      <c r="J1390" t="n">
        <v>0</v>
      </c>
      <c r="K1390" t="n">
        <v>0</v>
      </c>
      <c r="L1390" t="n">
        <v>0</v>
      </c>
      <c r="M1390" t="n">
        <v>0</v>
      </c>
      <c r="N1390" t="n">
        <v>0</v>
      </c>
      <c r="O1390" t="n">
        <v>0</v>
      </c>
      <c r="P1390" t="n">
        <v>0</v>
      </c>
      <c r="Q1390" t="n">
        <v>0</v>
      </c>
      <c r="R1390" s="2" t="inlineStr"/>
    </row>
    <row r="1391" ht="15" customHeight="1">
      <c r="A1391" t="inlineStr">
        <is>
          <t>A 27273-2024</t>
        </is>
      </c>
      <c r="B1391" s="1" t="n">
        <v>45471.84013888889</v>
      </c>
      <c r="C1391" s="1" t="n">
        <v>46117</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27275-2024</t>
        </is>
      </c>
      <c r="B1392" s="1" t="n">
        <v>45471.85645833334</v>
      </c>
      <c r="C1392" s="1" t="n">
        <v>46117</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58978-2025</t>
        </is>
      </c>
      <c r="B1393" s="1" t="n">
        <v>45987</v>
      </c>
      <c r="C1393" s="1" t="n">
        <v>46117</v>
      </c>
      <c r="D1393" t="inlineStr">
        <is>
          <t>VÄRMLANDS LÄN</t>
        </is>
      </c>
      <c r="E1393" t="inlineStr">
        <is>
          <t>TORSBY</t>
        </is>
      </c>
      <c r="F1393" t="inlineStr">
        <is>
          <t>Bergvik skog väst AB</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1947-2023</t>
        </is>
      </c>
      <c r="B1394" s="1" t="n">
        <v>44939</v>
      </c>
      <c r="C1394" s="1" t="n">
        <v>46117</v>
      </c>
      <c r="D1394" t="inlineStr">
        <is>
          <t>VÄRMLANDS LÄN</t>
        </is>
      </c>
      <c r="E1394" t="inlineStr">
        <is>
          <t>TORSBY</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60537-2024</t>
        </is>
      </c>
      <c r="B1395" s="1" t="n">
        <v>45643.77138888889</v>
      </c>
      <c r="C1395" s="1" t="n">
        <v>46117</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58836-2025</t>
        </is>
      </c>
      <c r="B1396" s="1" t="n">
        <v>45987.35586805556</v>
      </c>
      <c r="C1396" s="1" t="n">
        <v>46117</v>
      </c>
      <c r="D1396" t="inlineStr">
        <is>
          <t>VÄRMLANDS LÄN</t>
        </is>
      </c>
      <c r="E1396" t="inlineStr">
        <is>
          <t>TORSBY</t>
        </is>
      </c>
      <c r="F1396" t="inlineStr">
        <is>
          <t>Bergvik skog väst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44342-2024</t>
        </is>
      </c>
      <c r="B1397" s="1" t="n">
        <v>45573.61793981482</v>
      </c>
      <c r="C1397" s="1" t="n">
        <v>46117</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58678-2025</t>
        </is>
      </c>
      <c r="B1398" s="1" t="n">
        <v>45986.56342592592</v>
      </c>
      <c r="C1398" s="1" t="n">
        <v>46117</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58919-2025</t>
        </is>
      </c>
      <c r="B1399" s="1" t="n">
        <v>45987</v>
      </c>
      <c r="C1399" s="1" t="n">
        <v>46117</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58625-2025</t>
        </is>
      </c>
      <c r="B1400" s="1" t="n">
        <v>45986.4740625</v>
      </c>
      <c r="C1400" s="1" t="n">
        <v>46117</v>
      </c>
      <c r="D1400" t="inlineStr">
        <is>
          <t>VÄRMLANDS LÄN</t>
        </is>
      </c>
      <c r="E1400" t="inlineStr">
        <is>
          <t>TORSBY</t>
        </is>
      </c>
      <c r="F1400" t="inlineStr">
        <is>
          <t>Kyrkan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59009-2025</t>
        </is>
      </c>
      <c r="B1401" s="1" t="n">
        <v>45987</v>
      </c>
      <c r="C1401" s="1" t="n">
        <v>46117</v>
      </c>
      <c r="D1401" t="inlineStr">
        <is>
          <t>VÄRMLANDS LÄN</t>
        </is>
      </c>
      <c r="E1401" t="inlineStr">
        <is>
          <t>TORSBY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52809-2024</t>
        </is>
      </c>
      <c r="B1402" s="1" t="n">
        <v>45610</v>
      </c>
      <c r="C1402" s="1" t="n">
        <v>46117</v>
      </c>
      <c r="D1402" t="inlineStr">
        <is>
          <t>VÄRMLANDS LÄN</t>
        </is>
      </c>
      <c r="E1402" t="inlineStr">
        <is>
          <t>TORSBY</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58928-2025</t>
        </is>
      </c>
      <c r="B1403" s="1" t="n">
        <v>45987</v>
      </c>
      <c r="C1403" s="1" t="n">
        <v>46117</v>
      </c>
      <c r="D1403" t="inlineStr">
        <is>
          <t>VÄRMLANDS LÄN</t>
        </is>
      </c>
      <c r="E1403" t="inlineStr">
        <is>
          <t>TORSBY</t>
        </is>
      </c>
      <c r="F1403" t="inlineStr">
        <is>
          <t>Bergvik skog väst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58840-2025</t>
        </is>
      </c>
      <c r="B1404" s="1" t="n">
        <v>45987.36246527778</v>
      </c>
      <c r="C1404" s="1" t="n">
        <v>46117</v>
      </c>
      <c r="D1404" t="inlineStr">
        <is>
          <t>VÄRMLANDS LÄN</t>
        </is>
      </c>
      <c r="E1404" t="inlineStr">
        <is>
          <t>TORSBY</t>
        </is>
      </c>
      <c r="F1404" t="inlineStr">
        <is>
          <t>Bergvik skog väst AB</t>
        </is>
      </c>
      <c r="G1404" t="n">
        <v>18.9</v>
      </c>
      <c r="H1404" t="n">
        <v>0</v>
      </c>
      <c r="I1404" t="n">
        <v>0</v>
      </c>
      <c r="J1404" t="n">
        <v>0</v>
      </c>
      <c r="K1404" t="n">
        <v>0</v>
      </c>
      <c r="L1404" t="n">
        <v>0</v>
      </c>
      <c r="M1404" t="n">
        <v>0</v>
      </c>
      <c r="N1404" t="n">
        <v>0</v>
      </c>
      <c r="O1404" t="n">
        <v>0</v>
      </c>
      <c r="P1404" t="n">
        <v>0</v>
      </c>
      <c r="Q1404" t="n">
        <v>0</v>
      </c>
      <c r="R1404" s="2" t="inlineStr"/>
    </row>
    <row r="1405" ht="15" customHeight="1">
      <c r="A1405" t="inlineStr">
        <is>
          <t>A 58903-2025</t>
        </is>
      </c>
      <c r="B1405" s="1" t="n">
        <v>45987.50533564815</v>
      </c>
      <c r="C1405" s="1" t="n">
        <v>46117</v>
      </c>
      <c r="D1405" t="inlineStr">
        <is>
          <t>VÄRMLANDS LÄN</t>
        </is>
      </c>
      <c r="E1405" t="inlineStr">
        <is>
          <t>TORSBY</t>
        </is>
      </c>
      <c r="F1405" t="inlineStr">
        <is>
          <t>Bergvik skog väst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58897-2025</t>
        </is>
      </c>
      <c r="B1406" s="1" t="n">
        <v>45987.49574074074</v>
      </c>
      <c r="C1406" s="1" t="n">
        <v>46117</v>
      </c>
      <c r="D1406" t="inlineStr">
        <is>
          <t>VÄRMLANDS LÄN</t>
        </is>
      </c>
      <c r="E1406" t="inlineStr">
        <is>
          <t>TORSBY</t>
        </is>
      </c>
      <c r="F1406" t="inlineStr">
        <is>
          <t>Bergvik skog väst AB</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58899-2025</t>
        </is>
      </c>
      <c r="B1407" s="1" t="n">
        <v>45987.500625</v>
      </c>
      <c r="C1407" s="1" t="n">
        <v>46117</v>
      </c>
      <c r="D1407" t="inlineStr">
        <is>
          <t>VÄRMLANDS LÄN</t>
        </is>
      </c>
      <c r="E1407" t="inlineStr">
        <is>
          <t>TORSBY</t>
        </is>
      </c>
      <c r="F1407" t="inlineStr">
        <is>
          <t>Bergvik skog väst AB</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10979-2025</t>
        </is>
      </c>
      <c r="B1408" s="1" t="n">
        <v>45723.39988425926</v>
      </c>
      <c r="C1408" s="1" t="n">
        <v>46117</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58901-2025</t>
        </is>
      </c>
      <c r="B1409" s="1" t="n">
        <v>45987.50243055556</v>
      </c>
      <c r="C1409" s="1" t="n">
        <v>46117</v>
      </c>
      <c r="D1409" t="inlineStr">
        <is>
          <t>VÄRMLANDS LÄN</t>
        </is>
      </c>
      <c r="E1409" t="inlineStr">
        <is>
          <t>TORSBY</t>
        </is>
      </c>
      <c r="F1409" t="inlineStr">
        <is>
          <t>Bergvik skog väst AB</t>
        </is>
      </c>
      <c r="G1409" t="n">
        <v>25.3</v>
      </c>
      <c r="H1409" t="n">
        <v>0</v>
      </c>
      <c r="I1409" t="n">
        <v>0</v>
      </c>
      <c r="J1409" t="n">
        <v>0</v>
      </c>
      <c r="K1409" t="n">
        <v>0</v>
      </c>
      <c r="L1409" t="n">
        <v>0</v>
      </c>
      <c r="M1409" t="n">
        <v>0</v>
      </c>
      <c r="N1409" t="n">
        <v>0</v>
      </c>
      <c r="O1409" t="n">
        <v>0</v>
      </c>
      <c r="P1409" t="n">
        <v>0</v>
      </c>
      <c r="Q1409" t="n">
        <v>0</v>
      </c>
      <c r="R1409" s="2" t="inlineStr"/>
    </row>
    <row r="1410" ht="15" customHeight="1">
      <c r="A1410" t="inlineStr">
        <is>
          <t>A 58538-2025</t>
        </is>
      </c>
      <c r="B1410" s="1" t="n">
        <v>45985.89356481482</v>
      </c>
      <c r="C1410" s="1" t="n">
        <v>46117</v>
      </c>
      <c r="D1410" t="inlineStr">
        <is>
          <t>VÄRMLANDS LÄN</t>
        </is>
      </c>
      <c r="E1410" t="inlineStr">
        <is>
          <t>TORSBY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58864-2025</t>
        </is>
      </c>
      <c r="B1411" s="1" t="n">
        <v>45987.44736111111</v>
      </c>
      <c r="C1411" s="1" t="n">
        <v>46117</v>
      </c>
      <c r="D1411" t="inlineStr">
        <is>
          <t>VÄRMLANDS LÄN</t>
        </is>
      </c>
      <c r="E1411" t="inlineStr">
        <is>
          <t>TORSBY</t>
        </is>
      </c>
      <c r="F1411" t="inlineStr">
        <is>
          <t>Kyrkan</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27292-2024</t>
        </is>
      </c>
      <c r="B1412" s="1" t="n">
        <v>45471.93378472222</v>
      </c>
      <c r="C1412" s="1" t="n">
        <v>46117</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53044-2024</t>
        </is>
      </c>
      <c r="B1413" s="1" t="n">
        <v>45611.44701388889</v>
      </c>
      <c r="C1413" s="1" t="n">
        <v>46117</v>
      </c>
      <c r="D1413" t="inlineStr">
        <is>
          <t>VÄRMLANDS LÄN</t>
        </is>
      </c>
      <c r="E1413" t="inlineStr">
        <is>
          <t>TORSBY</t>
        </is>
      </c>
      <c r="F1413" t="inlineStr">
        <is>
          <t>Kyrkan</t>
        </is>
      </c>
      <c r="G1413" t="n">
        <v>25.8</v>
      </c>
      <c r="H1413" t="n">
        <v>0</v>
      </c>
      <c r="I1413" t="n">
        <v>0</v>
      </c>
      <c r="J1413" t="n">
        <v>0</v>
      </c>
      <c r="K1413" t="n">
        <v>0</v>
      </c>
      <c r="L1413" t="n">
        <v>0</v>
      </c>
      <c r="M1413" t="n">
        <v>0</v>
      </c>
      <c r="N1413" t="n">
        <v>0</v>
      </c>
      <c r="O1413" t="n">
        <v>0</v>
      </c>
      <c r="P1413" t="n">
        <v>0</v>
      </c>
      <c r="Q1413" t="n">
        <v>0</v>
      </c>
      <c r="R1413" s="2" t="inlineStr"/>
    </row>
    <row r="1414" ht="15" customHeight="1">
      <c r="A1414" t="inlineStr">
        <is>
          <t>A 17039-2025</t>
        </is>
      </c>
      <c r="B1414" s="1" t="n">
        <v>45754</v>
      </c>
      <c r="C1414" s="1" t="n">
        <v>46117</v>
      </c>
      <c r="D1414" t="inlineStr">
        <is>
          <t>VÄRMLANDS LÄN</t>
        </is>
      </c>
      <c r="E1414" t="inlineStr">
        <is>
          <t>TORSBY</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17062-2025</t>
        </is>
      </c>
      <c r="B1415" s="1" t="n">
        <v>45754</v>
      </c>
      <c r="C1415" s="1" t="n">
        <v>46117</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59030-2025</t>
        </is>
      </c>
      <c r="B1416" s="1" t="n">
        <v>45988</v>
      </c>
      <c r="C1416" s="1" t="n">
        <v>46117</v>
      </c>
      <c r="D1416" t="inlineStr">
        <is>
          <t>VÄRMLANDS LÄN</t>
        </is>
      </c>
      <c r="E1416" t="inlineStr">
        <is>
          <t>TORSBY</t>
        </is>
      </c>
      <c r="F1416" t="inlineStr">
        <is>
          <t>Kyrkan</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59536-2025</t>
        </is>
      </c>
      <c r="B1417" s="1" t="n">
        <v>45989</v>
      </c>
      <c r="C1417" s="1" t="n">
        <v>46117</v>
      </c>
      <c r="D1417" t="inlineStr">
        <is>
          <t>VÄRMLANDS LÄN</t>
        </is>
      </c>
      <c r="E1417" t="inlineStr">
        <is>
          <t>TORSBY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11575-2024</t>
        </is>
      </c>
      <c r="B1418" s="1" t="n">
        <v>45373</v>
      </c>
      <c r="C1418" s="1" t="n">
        <v>46117</v>
      </c>
      <c r="D1418" t="inlineStr">
        <is>
          <t>VÄRMLANDS LÄN</t>
        </is>
      </c>
      <c r="E1418" t="inlineStr">
        <is>
          <t>TORSBY</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56299-2025</t>
        </is>
      </c>
      <c r="B1419" s="1" t="n">
        <v>45974</v>
      </c>
      <c r="C1419" s="1" t="n">
        <v>46117</v>
      </c>
      <c r="D1419" t="inlineStr">
        <is>
          <t>VÄRMLANDS LÄN</t>
        </is>
      </c>
      <c r="E1419" t="inlineStr">
        <is>
          <t>TORSBY</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39642-2021</t>
        </is>
      </c>
      <c r="B1420" s="1" t="n">
        <v>44417</v>
      </c>
      <c r="C1420" s="1" t="n">
        <v>46117</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46117</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59744-2025</t>
        </is>
      </c>
      <c r="B1422" s="1" t="n">
        <v>45992</v>
      </c>
      <c r="C1422" s="1" t="n">
        <v>46117</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55100-2023</t>
        </is>
      </c>
      <c r="B1423" s="1" t="n">
        <v>45237.45715277778</v>
      </c>
      <c r="C1423" s="1" t="n">
        <v>46117</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59423-2024</t>
        </is>
      </c>
      <c r="B1424" s="1" t="n">
        <v>45638</v>
      </c>
      <c r="C1424" s="1" t="n">
        <v>46117</v>
      </c>
      <c r="D1424" t="inlineStr">
        <is>
          <t>VÄRMLANDS LÄN</t>
        </is>
      </c>
      <c r="E1424" t="inlineStr">
        <is>
          <t>TORSBY</t>
        </is>
      </c>
      <c r="G1424" t="n">
        <v>23.7</v>
      </c>
      <c r="H1424" t="n">
        <v>0</v>
      </c>
      <c r="I1424" t="n">
        <v>0</v>
      </c>
      <c r="J1424" t="n">
        <v>0</v>
      </c>
      <c r="K1424" t="n">
        <v>0</v>
      </c>
      <c r="L1424" t="n">
        <v>0</v>
      </c>
      <c r="M1424" t="n">
        <v>0</v>
      </c>
      <c r="N1424" t="n">
        <v>0</v>
      </c>
      <c r="O1424" t="n">
        <v>0</v>
      </c>
      <c r="P1424" t="n">
        <v>0</v>
      </c>
      <c r="Q1424" t="n">
        <v>0</v>
      </c>
      <c r="R1424" s="2" t="inlineStr"/>
    </row>
    <row r="1425" ht="15" customHeight="1">
      <c r="A1425" t="inlineStr">
        <is>
          <t>A 59685-2025</t>
        </is>
      </c>
      <c r="B1425" s="1" t="n">
        <v>45992.47407407407</v>
      </c>
      <c r="C1425" s="1" t="n">
        <v>46117</v>
      </c>
      <c r="D1425" t="inlineStr">
        <is>
          <t>VÄRMLANDS LÄN</t>
        </is>
      </c>
      <c r="E1425" t="inlineStr">
        <is>
          <t>TORSBY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59729-2025</t>
        </is>
      </c>
      <c r="B1426" s="1" t="n">
        <v>45992</v>
      </c>
      <c r="C1426" s="1" t="n">
        <v>46117</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27086-2024</t>
        </is>
      </c>
      <c r="B1427" s="1" t="n">
        <v>45471</v>
      </c>
      <c r="C1427" s="1" t="n">
        <v>46117</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59864-2025</t>
        </is>
      </c>
      <c r="B1428" s="1" t="n">
        <v>45992.83108796296</v>
      </c>
      <c r="C1428" s="1" t="n">
        <v>46117</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59913-2025</t>
        </is>
      </c>
      <c r="B1429" s="1" t="n">
        <v>45993.36527777778</v>
      </c>
      <c r="C1429" s="1" t="n">
        <v>46117</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15274-2024</t>
        </is>
      </c>
      <c r="B1430" s="1" t="n">
        <v>45400.58201388889</v>
      </c>
      <c r="C1430" s="1" t="n">
        <v>46117</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60479-2025</t>
        </is>
      </c>
      <c r="B1431" s="1" t="n">
        <v>45995.59563657407</v>
      </c>
      <c r="C1431" s="1" t="n">
        <v>46117</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60485-2025</t>
        </is>
      </c>
      <c r="B1432" s="1" t="n">
        <v>45995.59924768518</v>
      </c>
      <c r="C1432" s="1" t="n">
        <v>46117</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34966-2024</t>
        </is>
      </c>
      <c r="B1433" s="1" t="n">
        <v>45527.49600694444</v>
      </c>
      <c r="C1433" s="1" t="n">
        <v>46117</v>
      </c>
      <c r="D1433" t="inlineStr">
        <is>
          <t>VÄRMLANDS LÄN</t>
        </is>
      </c>
      <c r="E1433" t="inlineStr">
        <is>
          <t>TORSBY</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44670-2023</t>
        </is>
      </c>
      <c r="B1434" s="1" t="n">
        <v>45189</v>
      </c>
      <c r="C1434" s="1" t="n">
        <v>46117</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44710-2023</t>
        </is>
      </c>
      <c r="B1435" s="1" t="n">
        <v>45190</v>
      </c>
      <c r="C1435" s="1" t="n">
        <v>46117</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16488-2024</t>
        </is>
      </c>
      <c r="B1436" s="1" t="n">
        <v>45408.34597222223</v>
      </c>
      <c r="C1436" s="1" t="n">
        <v>46117</v>
      </c>
      <c r="D1436" t="inlineStr">
        <is>
          <t>VÄRMLANDS LÄN</t>
        </is>
      </c>
      <c r="E1436" t="inlineStr">
        <is>
          <t>TORSBY</t>
        </is>
      </c>
      <c r="F1436" t="inlineStr">
        <is>
          <t>Bergvik skog väst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16592-2024</t>
        </is>
      </c>
      <c r="B1437" s="1" t="n">
        <v>45408.49623842593</v>
      </c>
      <c r="C1437" s="1" t="n">
        <v>46117</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60189-2025</t>
        </is>
      </c>
      <c r="B1438" s="1" t="n">
        <v>45994</v>
      </c>
      <c r="C1438" s="1" t="n">
        <v>46117</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60392-2025</t>
        </is>
      </c>
      <c r="B1439" s="1" t="n">
        <v>45995.38917824074</v>
      </c>
      <c r="C1439" s="1" t="n">
        <v>46117</v>
      </c>
      <c r="D1439" t="inlineStr">
        <is>
          <t>VÄRMLANDS LÄN</t>
        </is>
      </c>
      <c r="E1439" t="inlineStr">
        <is>
          <t>TORSBY</t>
        </is>
      </c>
      <c r="F1439" t="inlineStr">
        <is>
          <t>Bergvik skog väst AB</t>
        </is>
      </c>
      <c r="G1439" t="n">
        <v>32.3</v>
      </c>
      <c r="H1439" t="n">
        <v>0</v>
      </c>
      <c r="I1439" t="n">
        <v>0</v>
      </c>
      <c r="J1439" t="n">
        <v>0</v>
      </c>
      <c r="K1439" t="n">
        <v>0</v>
      </c>
      <c r="L1439" t="n">
        <v>0</v>
      </c>
      <c r="M1439" t="n">
        <v>0</v>
      </c>
      <c r="N1439" t="n">
        <v>0</v>
      </c>
      <c r="O1439" t="n">
        <v>0</v>
      </c>
      <c r="P1439" t="n">
        <v>0</v>
      </c>
      <c r="Q1439" t="n">
        <v>0</v>
      </c>
      <c r="R1439" s="2" t="inlineStr"/>
    </row>
    <row r="1440" ht="15" customHeight="1">
      <c r="A1440" t="inlineStr">
        <is>
          <t>A 60459-2025</t>
        </is>
      </c>
      <c r="B1440" s="1" t="n">
        <v>45995.54590277778</v>
      </c>
      <c r="C1440" s="1" t="n">
        <v>46117</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54014-2024</t>
        </is>
      </c>
      <c r="B1441" s="1" t="n">
        <v>45616.38003472222</v>
      </c>
      <c r="C1441" s="1" t="n">
        <v>46117</v>
      </c>
      <c r="D1441" t="inlineStr">
        <is>
          <t>VÄRMLANDS LÄN</t>
        </is>
      </c>
      <c r="E1441" t="inlineStr">
        <is>
          <t>TORSBY</t>
        </is>
      </c>
      <c r="F1441" t="inlineStr">
        <is>
          <t>Kommuner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60411-2025</t>
        </is>
      </c>
      <c r="B1442" s="1" t="n">
        <v>45995</v>
      </c>
      <c r="C1442" s="1" t="n">
        <v>46117</v>
      </c>
      <c r="D1442" t="inlineStr">
        <is>
          <t>VÄRMLANDS LÄN</t>
        </is>
      </c>
      <c r="E1442" t="inlineStr">
        <is>
          <t>TORSBY</t>
        </is>
      </c>
      <c r="F1442" t="inlineStr">
        <is>
          <t>Bergvik skog väst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60414-2025</t>
        </is>
      </c>
      <c r="B1443" s="1" t="n">
        <v>45995</v>
      </c>
      <c r="C1443" s="1" t="n">
        <v>46117</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44448-2024</t>
        </is>
      </c>
      <c r="B1444" s="1" t="n">
        <v>45574</v>
      </c>
      <c r="C1444" s="1" t="n">
        <v>46117</v>
      </c>
      <c r="D1444" t="inlineStr">
        <is>
          <t>VÄRMLANDS LÄN</t>
        </is>
      </c>
      <c r="E1444" t="inlineStr">
        <is>
          <t>TORSBY</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60486-2025</t>
        </is>
      </c>
      <c r="B1445" s="1" t="n">
        <v>45995.60109953704</v>
      </c>
      <c r="C1445" s="1" t="n">
        <v>46117</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46117</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36318-2022</t>
        </is>
      </c>
      <c r="B1447" s="1" t="n">
        <v>44803</v>
      </c>
      <c r="C1447" s="1" t="n">
        <v>46117</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60461-2025</t>
        </is>
      </c>
      <c r="B1448" s="1" t="n">
        <v>45995.54976851852</v>
      </c>
      <c r="C1448" s="1" t="n">
        <v>46117</v>
      </c>
      <c r="D1448" t="inlineStr">
        <is>
          <t>VÄRMLANDS LÄN</t>
        </is>
      </c>
      <c r="E1448" t="inlineStr">
        <is>
          <t>TORSBY</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50380-2024</t>
        </is>
      </c>
      <c r="B1449" s="1" t="n">
        <v>45601.30582175926</v>
      </c>
      <c r="C1449" s="1" t="n">
        <v>46117</v>
      </c>
      <c r="D1449" t="inlineStr">
        <is>
          <t>VÄRMLANDS LÄN</t>
        </is>
      </c>
      <c r="E1449" t="inlineStr">
        <is>
          <t>TORSBY</t>
        </is>
      </c>
      <c r="F1449" t="inlineStr">
        <is>
          <t>Bergvik skog väst AB</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32444-2022</t>
        </is>
      </c>
      <c r="B1450" s="1" t="n">
        <v>44782</v>
      </c>
      <c r="C1450" s="1" t="n">
        <v>46117</v>
      </c>
      <c r="D1450" t="inlineStr">
        <is>
          <t>VÄRMLANDS LÄN</t>
        </is>
      </c>
      <c r="E1450" t="inlineStr">
        <is>
          <t>TORSBY</t>
        </is>
      </c>
      <c r="F1450" t="inlineStr">
        <is>
          <t>Bergvik skog väst AB</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60593-2025</t>
        </is>
      </c>
      <c r="B1451" s="1" t="n">
        <v>45996.34353009259</v>
      </c>
      <c r="C1451" s="1" t="n">
        <v>46117</v>
      </c>
      <c r="D1451" t="inlineStr">
        <is>
          <t>VÄRMLANDS LÄN</t>
        </is>
      </c>
      <c r="E1451" t="inlineStr">
        <is>
          <t>TORSBY</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15773-2023</t>
        </is>
      </c>
      <c r="B1452" s="1" t="n">
        <v>45021</v>
      </c>
      <c r="C1452" s="1" t="n">
        <v>46117</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60592-2025</t>
        </is>
      </c>
      <c r="B1453" s="1" t="n">
        <v>45996</v>
      </c>
      <c r="C1453" s="1" t="n">
        <v>46117</v>
      </c>
      <c r="D1453" t="inlineStr">
        <is>
          <t>VÄRMLANDS LÄN</t>
        </is>
      </c>
      <c r="E1453" t="inlineStr">
        <is>
          <t>TORSBY</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61497-2025</t>
        </is>
      </c>
      <c r="B1454" s="1" t="n">
        <v>46001</v>
      </c>
      <c r="C1454" s="1" t="n">
        <v>46117</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15992-2023</t>
        </is>
      </c>
      <c r="B1455" s="1" t="n">
        <v>45023.5066087963</v>
      </c>
      <c r="C1455" s="1" t="n">
        <v>46117</v>
      </c>
      <c r="D1455" t="inlineStr">
        <is>
          <t>VÄRMLANDS LÄN</t>
        </is>
      </c>
      <c r="E1455" t="inlineStr">
        <is>
          <t>TORSBY</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16044-2023</t>
        </is>
      </c>
      <c r="B1456" s="1" t="n">
        <v>45027</v>
      </c>
      <c r="C1456" s="1" t="n">
        <v>46117</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61531-2025</t>
        </is>
      </c>
      <c r="B1457" s="1" t="n">
        <v>46001</v>
      </c>
      <c r="C1457" s="1" t="n">
        <v>46117</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10288-2025</t>
        </is>
      </c>
      <c r="B1458" s="1" t="n">
        <v>45720.41396990741</v>
      </c>
      <c r="C1458" s="1" t="n">
        <v>46117</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60346-2025</t>
        </is>
      </c>
      <c r="B1459" s="1" t="n">
        <v>45995</v>
      </c>
      <c r="C1459" s="1" t="n">
        <v>46117</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14367-2025</t>
        </is>
      </c>
      <c r="B1460" s="1" t="n">
        <v>45741.38988425926</v>
      </c>
      <c r="C1460" s="1" t="n">
        <v>46117</v>
      </c>
      <c r="D1460" t="inlineStr">
        <is>
          <t>VÄRMLANDS LÄN</t>
        </is>
      </c>
      <c r="E1460" t="inlineStr">
        <is>
          <t>TORSBY</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36050-2023</t>
        </is>
      </c>
      <c r="B1461" s="1" t="n">
        <v>45149</v>
      </c>
      <c r="C1461" s="1" t="n">
        <v>46117</v>
      </c>
      <c r="D1461" t="inlineStr">
        <is>
          <t>VÄRMLANDS LÄN</t>
        </is>
      </c>
      <c r="E1461" t="inlineStr">
        <is>
          <t>TORSBY</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11187-2024</t>
        </is>
      </c>
      <c r="B1462" s="1" t="n">
        <v>45371</v>
      </c>
      <c r="C1462" s="1" t="n">
        <v>46117</v>
      </c>
      <c r="D1462" t="inlineStr">
        <is>
          <t>VÄRMLANDS LÄN</t>
        </is>
      </c>
      <c r="E1462" t="inlineStr">
        <is>
          <t>TORSBY</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67457-2021</t>
        </is>
      </c>
      <c r="B1463" s="1" t="n">
        <v>44524</v>
      </c>
      <c r="C1463" s="1" t="n">
        <v>46117</v>
      </c>
      <c r="D1463" t="inlineStr">
        <is>
          <t>VÄRMLANDS LÄN</t>
        </is>
      </c>
      <c r="E1463" t="inlineStr">
        <is>
          <t>TORSBY</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21308-2024</t>
        </is>
      </c>
      <c r="B1464" s="1" t="n">
        <v>45440</v>
      </c>
      <c r="C1464" s="1" t="n">
        <v>46117</v>
      </c>
      <c r="D1464" t="inlineStr">
        <is>
          <t>VÄRMLANDS LÄN</t>
        </is>
      </c>
      <c r="E1464" t="inlineStr">
        <is>
          <t>TORSBY</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9067-2023</t>
        </is>
      </c>
      <c r="B1465" s="1" t="n">
        <v>44979</v>
      </c>
      <c r="C1465" s="1" t="n">
        <v>46117</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19887-2024</t>
        </is>
      </c>
      <c r="B1466" s="1" t="n">
        <v>45433</v>
      </c>
      <c r="C1466" s="1" t="n">
        <v>46117</v>
      </c>
      <c r="D1466" t="inlineStr">
        <is>
          <t>VÄRMLANDS LÄN</t>
        </is>
      </c>
      <c r="E1466" t="inlineStr">
        <is>
          <t>TORSBY</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61361-2025</t>
        </is>
      </c>
      <c r="B1467" s="1" t="n">
        <v>46001.42508101852</v>
      </c>
      <c r="C1467" s="1" t="n">
        <v>46117</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61365-2025</t>
        </is>
      </c>
      <c r="B1468" s="1" t="n">
        <v>46001</v>
      </c>
      <c r="C1468" s="1" t="n">
        <v>46117</v>
      </c>
      <c r="D1468" t="inlineStr">
        <is>
          <t>VÄRMLANDS LÄN</t>
        </is>
      </c>
      <c r="E1468" t="inlineStr">
        <is>
          <t>TORSBY</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61388-2025</t>
        </is>
      </c>
      <c r="B1469" s="1" t="n">
        <v>46001</v>
      </c>
      <c r="C1469" s="1" t="n">
        <v>46117</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61367-2025</t>
        </is>
      </c>
      <c r="B1470" s="1" t="n">
        <v>46001</v>
      </c>
      <c r="C1470" s="1" t="n">
        <v>46117</v>
      </c>
      <c r="D1470" t="inlineStr">
        <is>
          <t>VÄRMLANDS LÄN</t>
        </is>
      </c>
      <c r="E1470" t="inlineStr">
        <is>
          <t>TORSBY</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61368-2025</t>
        </is>
      </c>
      <c r="B1471" s="1" t="n">
        <v>46001</v>
      </c>
      <c r="C1471" s="1" t="n">
        <v>46117</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61463-2025</t>
        </is>
      </c>
      <c r="B1472" s="1" t="n">
        <v>46001.60186342592</v>
      </c>
      <c r="C1472" s="1" t="n">
        <v>46117</v>
      </c>
      <c r="D1472" t="inlineStr">
        <is>
          <t>VÄRMLANDS LÄN</t>
        </is>
      </c>
      <c r="E1472" t="inlineStr">
        <is>
          <t>TORSBY</t>
        </is>
      </c>
      <c r="F1472" t="inlineStr">
        <is>
          <t>Bergvik skog väst AB</t>
        </is>
      </c>
      <c r="G1472" t="n">
        <v>33.8</v>
      </c>
      <c r="H1472" t="n">
        <v>0</v>
      </c>
      <c r="I1472" t="n">
        <v>0</v>
      </c>
      <c r="J1472" t="n">
        <v>0</v>
      </c>
      <c r="K1472" t="n">
        <v>0</v>
      </c>
      <c r="L1472" t="n">
        <v>0</v>
      </c>
      <c r="M1472" t="n">
        <v>0</v>
      </c>
      <c r="N1472" t="n">
        <v>0</v>
      </c>
      <c r="O1472" t="n">
        <v>0</v>
      </c>
      <c r="P1472" t="n">
        <v>0</v>
      </c>
      <c r="Q1472" t="n">
        <v>0</v>
      </c>
      <c r="R1472" s="2" t="inlineStr"/>
    </row>
    <row r="1473" ht="15" customHeight="1">
      <c r="A1473" t="inlineStr">
        <is>
          <t>A 61504-2025</t>
        </is>
      </c>
      <c r="B1473" s="1" t="n">
        <v>46001</v>
      </c>
      <c r="C1473" s="1" t="n">
        <v>46117</v>
      </c>
      <c r="D1473" t="inlineStr">
        <is>
          <t>VÄRMLANDS LÄN</t>
        </is>
      </c>
      <c r="E1473" t="inlineStr">
        <is>
          <t>TORSBY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61510-2025</t>
        </is>
      </c>
      <c r="B1474" s="1" t="n">
        <v>46001</v>
      </c>
      <c r="C1474" s="1" t="n">
        <v>46117</v>
      </c>
      <c r="D1474" t="inlineStr">
        <is>
          <t>VÄRMLANDS LÄN</t>
        </is>
      </c>
      <c r="E1474" t="inlineStr">
        <is>
          <t>TORSBY</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24965-2023</t>
        </is>
      </c>
      <c r="B1475" s="1" t="n">
        <v>45085</v>
      </c>
      <c r="C1475" s="1" t="n">
        <v>46117</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24969-2023</t>
        </is>
      </c>
      <c r="B1476" s="1" t="n">
        <v>45085.61429398148</v>
      </c>
      <c r="C1476" s="1" t="n">
        <v>46117</v>
      </c>
      <c r="D1476" t="inlineStr">
        <is>
          <t>VÄRMLANDS LÄN</t>
        </is>
      </c>
      <c r="E1476" t="inlineStr">
        <is>
          <t>TORSBY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62007-2025</t>
        </is>
      </c>
      <c r="B1477" s="1" t="n">
        <v>46003</v>
      </c>
      <c r="C1477" s="1" t="n">
        <v>46117</v>
      </c>
      <c r="D1477" t="inlineStr">
        <is>
          <t>VÄRMLANDS LÄN</t>
        </is>
      </c>
      <c r="E1477" t="inlineStr">
        <is>
          <t>TORSBY</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43137-2024</t>
        </is>
      </c>
      <c r="B1478" s="1" t="n">
        <v>45567</v>
      </c>
      <c r="C1478" s="1" t="n">
        <v>46117</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17554-2023</t>
        </is>
      </c>
      <c r="B1479" s="1" t="n">
        <v>45034</v>
      </c>
      <c r="C1479" s="1" t="n">
        <v>46117</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44150-2023</t>
        </is>
      </c>
      <c r="B1480" s="1" t="n">
        <v>45188.47791666666</v>
      </c>
      <c r="C1480" s="1" t="n">
        <v>46117</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62010-2025</t>
        </is>
      </c>
      <c r="B1481" s="1" t="n">
        <v>46003.67737268518</v>
      </c>
      <c r="C1481" s="1" t="n">
        <v>46117</v>
      </c>
      <c r="D1481" t="inlineStr">
        <is>
          <t>VÄRMLANDS LÄN</t>
        </is>
      </c>
      <c r="E1481" t="inlineStr">
        <is>
          <t>TORSBY</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62005-2025</t>
        </is>
      </c>
      <c r="B1482" s="1" t="n">
        <v>46003</v>
      </c>
      <c r="C1482" s="1" t="n">
        <v>46117</v>
      </c>
      <c r="D1482" t="inlineStr">
        <is>
          <t>VÄRMLANDS LÄN</t>
        </is>
      </c>
      <c r="E1482" t="inlineStr">
        <is>
          <t>TORSBY</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37081-2023</t>
        </is>
      </c>
      <c r="B1483" s="1" t="n">
        <v>45155</v>
      </c>
      <c r="C1483" s="1" t="n">
        <v>46117</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62016-2025</t>
        </is>
      </c>
      <c r="B1484" s="1" t="n">
        <v>46003.68759259259</v>
      </c>
      <c r="C1484" s="1" t="n">
        <v>46117</v>
      </c>
      <c r="D1484" t="inlineStr">
        <is>
          <t>VÄRMLANDS LÄN</t>
        </is>
      </c>
      <c r="E1484" t="inlineStr">
        <is>
          <t>TORSBY</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62015-2025</t>
        </is>
      </c>
      <c r="B1485" s="1" t="n">
        <v>46003</v>
      </c>
      <c r="C1485" s="1" t="n">
        <v>46117</v>
      </c>
      <c r="D1485" t="inlineStr">
        <is>
          <t>VÄRMLANDS LÄN</t>
        </is>
      </c>
      <c r="E1485" t="inlineStr">
        <is>
          <t>TORSBY</t>
        </is>
      </c>
      <c r="F1485" t="inlineStr">
        <is>
          <t>Kommuner</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62507-2023</t>
        </is>
      </c>
      <c r="B1486" s="1" t="n">
        <v>45267</v>
      </c>
      <c r="C1486" s="1" t="n">
        <v>46117</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62401-2025</t>
        </is>
      </c>
      <c r="B1487" s="1" t="n">
        <v>46007</v>
      </c>
      <c r="C1487" s="1" t="n">
        <v>46117</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62186-2025</t>
        </is>
      </c>
      <c r="B1488" s="1" t="n">
        <v>46006</v>
      </c>
      <c r="C1488" s="1" t="n">
        <v>46117</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62120-2025</t>
        </is>
      </c>
      <c r="B1489" s="1" t="n">
        <v>46006.44184027778</v>
      </c>
      <c r="C1489" s="1" t="n">
        <v>46117</v>
      </c>
      <c r="D1489" t="inlineStr">
        <is>
          <t>VÄRMLANDS LÄN</t>
        </is>
      </c>
      <c r="E1489" t="inlineStr">
        <is>
          <t>TORSBY</t>
        </is>
      </c>
      <c r="F1489" t="inlineStr">
        <is>
          <t>Övriga statliga verk och myndigheter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62363-2025</t>
        </is>
      </c>
      <c r="B1490" s="1" t="n">
        <v>46006</v>
      </c>
      <c r="C1490" s="1" t="n">
        <v>46117</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15087-2023</t>
        </is>
      </c>
      <c r="B1491" s="1" t="n">
        <v>45016</v>
      </c>
      <c r="C1491" s="1" t="n">
        <v>46117</v>
      </c>
      <c r="D1491" t="inlineStr">
        <is>
          <t>VÄRMLANDS LÄN</t>
        </is>
      </c>
      <c r="E1491" t="inlineStr">
        <is>
          <t>TORSBY</t>
        </is>
      </c>
      <c r="F1491" t="inlineStr">
        <is>
          <t>Bergvik skog väst AB</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20647-2024</t>
        </is>
      </c>
      <c r="B1492" s="1" t="n">
        <v>45436</v>
      </c>
      <c r="C1492" s="1" t="n">
        <v>46117</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17898-2023</t>
        </is>
      </c>
      <c r="B1493" s="1" t="n">
        <v>45039.72086805556</v>
      </c>
      <c r="C1493" s="1" t="n">
        <v>46117</v>
      </c>
      <c r="D1493" t="inlineStr">
        <is>
          <t>VÄRMLANDS LÄN</t>
        </is>
      </c>
      <c r="E1493" t="inlineStr">
        <is>
          <t>TORSBY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13785-2023</t>
        </is>
      </c>
      <c r="B1494" s="1" t="n">
        <v>45007</v>
      </c>
      <c r="C1494" s="1" t="n">
        <v>46117</v>
      </c>
      <c r="D1494" t="inlineStr">
        <is>
          <t>VÄRMLANDS LÄN</t>
        </is>
      </c>
      <c r="E1494" t="inlineStr">
        <is>
          <t>TORSBY</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62518-2025</t>
        </is>
      </c>
      <c r="B1495" s="1" t="n">
        <v>46007</v>
      </c>
      <c r="C1495" s="1" t="n">
        <v>46117</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62538-2025</t>
        </is>
      </c>
      <c r="B1496" s="1" t="n">
        <v>46007</v>
      </c>
      <c r="C1496" s="1" t="n">
        <v>46117</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62559-2025</t>
        </is>
      </c>
      <c r="B1497" s="1" t="n">
        <v>46007</v>
      </c>
      <c r="C1497" s="1" t="n">
        <v>46117</v>
      </c>
      <c r="D1497" t="inlineStr">
        <is>
          <t>VÄRMLANDS LÄN</t>
        </is>
      </c>
      <c r="E1497" t="inlineStr">
        <is>
          <t>TORSBY</t>
        </is>
      </c>
      <c r="F1497" t="inlineStr">
        <is>
          <t>Kommuner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35134-2022</t>
        </is>
      </c>
      <c r="B1498" s="1" t="n">
        <v>44797</v>
      </c>
      <c r="C1498" s="1" t="n">
        <v>46117</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62366-2025</t>
        </is>
      </c>
      <c r="B1499" s="1" t="n">
        <v>46006</v>
      </c>
      <c r="C1499" s="1" t="n">
        <v>46117</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62568-2025</t>
        </is>
      </c>
      <c r="B1500" s="1" t="n">
        <v>46007</v>
      </c>
      <c r="C1500" s="1" t="n">
        <v>46117</v>
      </c>
      <c r="D1500" t="inlineStr">
        <is>
          <t>VÄRMLANDS LÄN</t>
        </is>
      </c>
      <c r="E1500" t="inlineStr">
        <is>
          <t>TORSBY</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8048-2022</t>
        </is>
      </c>
      <c r="B1501" s="1" t="n">
        <v>44609</v>
      </c>
      <c r="C1501" s="1" t="n">
        <v>46117</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55794-2021</t>
        </is>
      </c>
      <c r="B1502" s="1" t="n">
        <v>44476</v>
      </c>
      <c r="C1502" s="1" t="n">
        <v>46117</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41631-2024</t>
        </is>
      </c>
      <c r="B1503" s="1" t="n">
        <v>45560</v>
      </c>
      <c r="C1503" s="1" t="n">
        <v>46117</v>
      </c>
      <c r="D1503" t="inlineStr">
        <is>
          <t>VÄRMLANDS LÄN</t>
        </is>
      </c>
      <c r="E1503" t="inlineStr">
        <is>
          <t>TORSBY</t>
        </is>
      </c>
      <c r="F1503" t="inlineStr">
        <is>
          <t>Bergvik skog väst AB</t>
        </is>
      </c>
      <c r="G1503" t="n">
        <v>16.3</v>
      </c>
      <c r="H1503" t="n">
        <v>0</v>
      </c>
      <c r="I1503" t="n">
        <v>0</v>
      </c>
      <c r="J1503" t="n">
        <v>0</v>
      </c>
      <c r="K1503" t="n">
        <v>0</v>
      </c>
      <c r="L1503" t="n">
        <v>0</v>
      </c>
      <c r="M1503" t="n">
        <v>0</v>
      </c>
      <c r="N1503" t="n">
        <v>0</v>
      </c>
      <c r="O1503" t="n">
        <v>0</v>
      </c>
      <c r="P1503" t="n">
        <v>0</v>
      </c>
      <c r="Q1503" t="n">
        <v>0</v>
      </c>
      <c r="R1503" s="2" t="inlineStr"/>
    </row>
    <row r="1504" ht="15" customHeight="1">
      <c r="A1504" t="inlineStr">
        <is>
          <t>A 70658-2021</t>
        </is>
      </c>
      <c r="B1504" s="1" t="n">
        <v>44537.52368055555</v>
      </c>
      <c r="C1504" s="1" t="n">
        <v>46117</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1979-2023</t>
        </is>
      </c>
      <c r="B1505" s="1" t="n">
        <v>44939</v>
      </c>
      <c r="C1505" s="1" t="n">
        <v>46117</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46909-2024</t>
        </is>
      </c>
      <c r="B1506" s="1" t="n">
        <v>45583</v>
      </c>
      <c r="C1506" s="1" t="n">
        <v>46117</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63036-2025</t>
        </is>
      </c>
      <c r="B1507" s="1" t="n">
        <v>46009.61314814815</v>
      </c>
      <c r="C1507" s="1" t="n">
        <v>46117</v>
      </c>
      <c r="D1507" t="inlineStr">
        <is>
          <t>VÄRMLANDS LÄN</t>
        </is>
      </c>
      <c r="E1507" t="inlineStr">
        <is>
          <t>TORSBY</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26887-2024</t>
        </is>
      </c>
      <c r="B1508" s="1" t="n">
        <v>45470.64864583333</v>
      </c>
      <c r="C1508" s="1" t="n">
        <v>46117</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58727-2021</t>
        </is>
      </c>
      <c r="B1509" s="1" t="n">
        <v>44489.49052083334</v>
      </c>
      <c r="C1509" s="1" t="n">
        <v>46117</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63098-2025</t>
        </is>
      </c>
      <c r="B1510" s="1" t="n">
        <v>46009.69278935185</v>
      </c>
      <c r="C1510" s="1" t="n">
        <v>46117</v>
      </c>
      <c r="D1510" t="inlineStr">
        <is>
          <t>VÄRMLANDS LÄN</t>
        </is>
      </c>
      <c r="E1510" t="inlineStr">
        <is>
          <t>TORSBY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62629-2025</t>
        </is>
      </c>
      <c r="B1511" s="1" t="n">
        <v>46008</v>
      </c>
      <c r="C1511" s="1" t="n">
        <v>46117</v>
      </c>
      <c r="D1511" t="inlineStr">
        <is>
          <t>VÄRMLANDS LÄN</t>
        </is>
      </c>
      <c r="E1511" t="inlineStr">
        <is>
          <t>TORSBY</t>
        </is>
      </c>
      <c r="F1511" t="inlineStr">
        <is>
          <t>Bergvik skog väst AB</t>
        </is>
      </c>
      <c r="G1511" t="n">
        <v>16.2</v>
      </c>
      <c r="H1511" t="n">
        <v>0</v>
      </c>
      <c r="I1511" t="n">
        <v>0</v>
      </c>
      <c r="J1511" t="n">
        <v>0</v>
      </c>
      <c r="K1511" t="n">
        <v>0</v>
      </c>
      <c r="L1511" t="n">
        <v>0</v>
      </c>
      <c r="M1511" t="n">
        <v>0</v>
      </c>
      <c r="N1511" t="n">
        <v>0</v>
      </c>
      <c r="O1511" t="n">
        <v>0</v>
      </c>
      <c r="P1511" t="n">
        <v>0</v>
      </c>
      <c r="Q1511" t="n">
        <v>0</v>
      </c>
      <c r="R1511" s="2" t="inlineStr"/>
    </row>
    <row r="1512" ht="15" customHeight="1">
      <c r="A1512" t="inlineStr">
        <is>
          <t>A 63379-2025</t>
        </is>
      </c>
      <c r="B1512" s="1" t="n">
        <v>46010.75222222223</v>
      </c>
      <c r="C1512" s="1" t="n">
        <v>46117</v>
      </c>
      <c r="D1512" t="inlineStr">
        <is>
          <t>VÄRMLANDS LÄN</t>
        </is>
      </c>
      <c r="E1512" t="inlineStr">
        <is>
          <t>TORSBY</t>
        </is>
      </c>
      <c r="F1512" t="inlineStr">
        <is>
          <t>Bergvik skog väst AB</t>
        </is>
      </c>
      <c r="G1512" t="n">
        <v>21.9</v>
      </c>
      <c r="H1512" t="n">
        <v>0</v>
      </c>
      <c r="I1512" t="n">
        <v>0</v>
      </c>
      <c r="J1512" t="n">
        <v>0</v>
      </c>
      <c r="K1512" t="n">
        <v>0</v>
      </c>
      <c r="L1512" t="n">
        <v>0</v>
      </c>
      <c r="M1512" t="n">
        <v>0</v>
      </c>
      <c r="N1512" t="n">
        <v>0</v>
      </c>
      <c r="O1512" t="n">
        <v>0</v>
      </c>
      <c r="P1512" t="n">
        <v>0</v>
      </c>
      <c r="Q1512" t="n">
        <v>0</v>
      </c>
      <c r="R1512" s="2" t="inlineStr"/>
    </row>
    <row r="1513" ht="15" customHeight="1">
      <c r="A1513" t="inlineStr">
        <is>
          <t>A 36700-2021</t>
        </is>
      </c>
      <c r="B1513" s="1" t="n">
        <v>44392</v>
      </c>
      <c r="C1513" s="1" t="n">
        <v>46117</v>
      </c>
      <c r="D1513" t="inlineStr">
        <is>
          <t>VÄRMLANDS LÄN</t>
        </is>
      </c>
      <c r="E1513" t="inlineStr">
        <is>
          <t>TORSBY</t>
        </is>
      </c>
      <c r="F1513" t="inlineStr">
        <is>
          <t>Bergvik skog väst AB</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43943-2022</t>
        </is>
      </c>
      <c r="B1514" s="1" t="n">
        <v>44838</v>
      </c>
      <c r="C1514" s="1" t="n">
        <v>46117</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46117</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24244-2023</t>
        </is>
      </c>
      <c r="B1516" s="1" t="n">
        <v>45079.61969907407</v>
      </c>
      <c r="C1516" s="1" t="n">
        <v>46117</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47651-2024</t>
        </is>
      </c>
      <c r="B1517" s="1" t="n">
        <v>45588</v>
      </c>
      <c r="C1517" s="1" t="n">
        <v>46117</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61367-2022</t>
        </is>
      </c>
      <c r="B1518" s="1" t="n">
        <v>44915.82997685186</v>
      </c>
      <c r="C1518" s="1" t="n">
        <v>46117</v>
      </c>
      <c r="D1518" t="inlineStr">
        <is>
          <t>VÄRMLANDS LÄN</t>
        </is>
      </c>
      <c r="E1518" t="inlineStr">
        <is>
          <t>TORSBY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30110-2023</t>
        </is>
      </c>
      <c r="B1519" s="1" t="n">
        <v>45110</v>
      </c>
      <c r="C1519" s="1" t="n">
        <v>46117</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62210-2023</t>
        </is>
      </c>
      <c r="B1520" s="1" t="n">
        <v>45267.49430555556</v>
      </c>
      <c r="C1520" s="1" t="n">
        <v>46117</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67147-2021</t>
        </is>
      </c>
      <c r="B1521" s="1" t="n">
        <v>44523</v>
      </c>
      <c r="C1521" s="1" t="n">
        <v>46117</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44340-2022</t>
        </is>
      </c>
      <c r="B1522" s="1" t="n">
        <v>44838</v>
      </c>
      <c r="C1522" s="1" t="n">
        <v>46117</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63512-2025</t>
        </is>
      </c>
      <c r="B1523" s="1" t="n">
        <v>46013</v>
      </c>
      <c r="C1523" s="1" t="n">
        <v>46117</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25328-2025</t>
        </is>
      </c>
      <c r="B1524" s="1" t="n">
        <v>45800</v>
      </c>
      <c r="C1524" s="1" t="n">
        <v>46117</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49206-2022</t>
        </is>
      </c>
      <c r="B1525" s="1" t="n">
        <v>44860.95984953704</v>
      </c>
      <c r="C1525" s="1" t="n">
        <v>46117</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64602-2023</t>
        </is>
      </c>
      <c r="B1526" s="1" t="n">
        <v>45281.50085648148</v>
      </c>
      <c r="C1526" s="1" t="n">
        <v>46117</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18101-2022</t>
        </is>
      </c>
      <c r="B1527" s="1" t="n">
        <v>44684</v>
      </c>
      <c r="C1527" s="1" t="n">
        <v>46117</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15170-2025</t>
        </is>
      </c>
      <c r="B1528" s="1" t="n">
        <v>45743</v>
      </c>
      <c r="C1528" s="1" t="n">
        <v>46117</v>
      </c>
      <c r="D1528" t="inlineStr">
        <is>
          <t>VÄRMLANDS LÄN</t>
        </is>
      </c>
      <c r="E1528" t="inlineStr">
        <is>
          <t>TORSBY</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63507-2025</t>
        </is>
      </c>
      <c r="B1529" s="1" t="n">
        <v>46013</v>
      </c>
      <c r="C1529" s="1" t="n">
        <v>46117</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63390-2025</t>
        </is>
      </c>
      <c r="B1530" s="1" t="n">
        <v>46011</v>
      </c>
      <c r="C1530" s="1" t="n">
        <v>46117</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18883-2024</t>
        </is>
      </c>
      <c r="B1531" s="1" t="n">
        <v>45426</v>
      </c>
      <c r="C1531" s="1" t="n">
        <v>46117</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63626-2025</t>
        </is>
      </c>
      <c r="B1532" s="1" t="n">
        <v>46014</v>
      </c>
      <c r="C1532" s="1" t="n">
        <v>46117</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21076-2023</t>
        </is>
      </c>
      <c r="B1533" s="1" t="n">
        <v>45061</v>
      </c>
      <c r="C1533" s="1" t="n">
        <v>46117</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18244-2023</t>
        </is>
      </c>
      <c r="B1534" s="1" t="n">
        <v>45041</v>
      </c>
      <c r="C1534" s="1" t="n">
        <v>46117</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63609-2025</t>
        </is>
      </c>
      <c r="B1535" s="1" t="n">
        <v>46014.34188657408</v>
      </c>
      <c r="C1535" s="1" t="n">
        <v>46117</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63636-2025</t>
        </is>
      </c>
      <c r="B1536" s="1" t="n">
        <v>46014</v>
      </c>
      <c r="C1536" s="1" t="n">
        <v>46117</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63617-2025</t>
        </is>
      </c>
      <c r="B1537" s="1" t="n">
        <v>46014.34938657407</v>
      </c>
      <c r="C1537" s="1" t="n">
        <v>46117</v>
      </c>
      <c r="D1537" t="inlineStr">
        <is>
          <t>VÄRMLANDS LÄN</t>
        </is>
      </c>
      <c r="E1537" t="inlineStr">
        <is>
          <t>TORSBY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63622-2025</t>
        </is>
      </c>
      <c r="B1538" s="1" t="n">
        <v>46014</v>
      </c>
      <c r="C1538" s="1" t="n">
        <v>46117</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63697-2025</t>
        </is>
      </c>
      <c r="B1539" s="1" t="n">
        <v>46014</v>
      </c>
      <c r="C1539" s="1" t="n">
        <v>46117</v>
      </c>
      <c r="D1539" t="inlineStr">
        <is>
          <t>VÄRMLANDS LÄN</t>
        </is>
      </c>
      <c r="E1539" t="inlineStr">
        <is>
          <t>TORSBY</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20968-2024</t>
        </is>
      </c>
      <c r="B1540" s="1" t="n">
        <v>45439</v>
      </c>
      <c r="C1540" s="1" t="n">
        <v>46117</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19148-2025</t>
        </is>
      </c>
      <c r="B1541" s="1" t="n">
        <v>45769</v>
      </c>
      <c r="C1541" s="1" t="n">
        <v>46117</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63781-2025</t>
        </is>
      </c>
      <c r="B1542" s="1" t="n">
        <v>46019.56042824074</v>
      </c>
      <c r="C1542" s="1" t="n">
        <v>46117</v>
      </c>
      <c r="D1542" t="inlineStr">
        <is>
          <t>VÄRMLANDS LÄN</t>
        </is>
      </c>
      <c r="E1542" t="inlineStr">
        <is>
          <t>TORSBY</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64042-2025</t>
        </is>
      </c>
      <c r="B1543" s="1" t="n">
        <v>46021</v>
      </c>
      <c r="C1543" s="1" t="n">
        <v>46117</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63908-2025</t>
        </is>
      </c>
      <c r="B1544" s="1" t="n">
        <v>46020</v>
      </c>
      <c r="C1544" s="1" t="n">
        <v>46117</v>
      </c>
      <c r="D1544" t="inlineStr">
        <is>
          <t>VÄRMLANDS LÄN</t>
        </is>
      </c>
      <c r="E1544" t="inlineStr">
        <is>
          <t>TORSBY</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54452-2022</t>
        </is>
      </c>
      <c r="B1545" s="1" t="n">
        <v>44880</v>
      </c>
      <c r="C1545" s="1" t="n">
        <v>46117</v>
      </c>
      <c r="D1545" t="inlineStr">
        <is>
          <t>VÄRMLANDS LÄN</t>
        </is>
      </c>
      <c r="E1545" t="inlineStr">
        <is>
          <t>TORSBY</t>
        </is>
      </c>
      <c r="F1545" t="inlineStr">
        <is>
          <t>Kyrkan</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41843-2023</t>
        </is>
      </c>
      <c r="B1546" s="1" t="n">
        <v>45176.60533564815</v>
      </c>
      <c r="C1546" s="1" t="n">
        <v>46117</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41264-2022</t>
        </is>
      </c>
      <c r="B1547" s="1" t="n">
        <v>44823</v>
      </c>
      <c r="C1547" s="1" t="n">
        <v>46117</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64902-2021</t>
        </is>
      </c>
      <c r="B1548" s="1" t="n">
        <v>44512.64336805556</v>
      </c>
      <c r="C1548" s="1" t="n">
        <v>46117</v>
      </c>
      <c r="D1548" t="inlineStr">
        <is>
          <t>VÄRMLANDS LÄN</t>
        </is>
      </c>
      <c r="E1548" t="inlineStr">
        <is>
          <t>TORSBY</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61546-2024</t>
        </is>
      </c>
      <c r="B1549" s="1" t="n">
        <v>45645</v>
      </c>
      <c r="C1549" s="1" t="n">
        <v>46117</v>
      </c>
      <c r="D1549" t="inlineStr">
        <is>
          <t>VÄRMLANDS LÄN</t>
        </is>
      </c>
      <c r="E1549" t="inlineStr">
        <is>
          <t>TORSBY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276-2024</t>
        </is>
      </c>
      <c r="B1550" s="1" t="n">
        <v>45295</v>
      </c>
      <c r="C1550" s="1" t="n">
        <v>46117</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235-2026</t>
        </is>
      </c>
      <c r="B1551" s="1" t="n">
        <v>46027</v>
      </c>
      <c r="C1551" s="1" t="n">
        <v>46117</v>
      </c>
      <c r="D1551" t="inlineStr">
        <is>
          <t>VÄRMLANDS LÄN</t>
        </is>
      </c>
      <c r="E1551" t="inlineStr">
        <is>
          <t>TORSBY</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72-2026</t>
        </is>
      </c>
      <c r="B1552" s="1" t="n">
        <v>46024.46258101852</v>
      </c>
      <c r="C1552" s="1" t="n">
        <v>46117</v>
      </c>
      <c r="D1552" t="inlineStr">
        <is>
          <t>VÄRMLANDS LÄN</t>
        </is>
      </c>
      <c r="E1552" t="inlineStr">
        <is>
          <t>TORSBY</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11135-2024</t>
        </is>
      </c>
      <c r="B1553" s="1" t="n">
        <v>45371</v>
      </c>
      <c r="C1553" s="1" t="n">
        <v>46117</v>
      </c>
      <c r="D1553" t="inlineStr">
        <is>
          <t>VÄRMLANDS LÄN</t>
        </is>
      </c>
      <c r="E1553" t="inlineStr">
        <is>
          <t>TORSBY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38-2026</t>
        </is>
      </c>
      <c r="B1554" s="1" t="n">
        <v>46024</v>
      </c>
      <c r="C1554" s="1" t="n">
        <v>46117</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21258-2023</t>
        </is>
      </c>
      <c r="B1555" s="1" t="n">
        <v>45058</v>
      </c>
      <c r="C1555" s="1" t="n">
        <v>46117</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53988-2022</t>
        </is>
      </c>
      <c r="B1556" s="1" t="n">
        <v>44876</v>
      </c>
      <c r="C1556" s="1" t="n">
        <v>46117</v>
      </c>
      <c r="D1556" t="inlineStr">
        <is>
          <t>VÄRMLANDS LÄN</t>
        </is>
      </c>
      <c r="E1556" t="inlineStr">
        <is>
          <t>TORSBY</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637-2026</t>
        </is>
      </c>
      <c r="B1557" s="1" t="n">
        <v>46029</v>
      </c>
      <c r="C1557" s="1" t="n">
        <v>46117</v>
      </c>
      <c r="D1557" t="inlineStr">
        <is>
          <t>VÄRMLANDS LÄN</t>
        </is>
      </c>
      <c r="E1557" t="inlineStr">
        <is>
          <t>TORSBY</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61128-2022</t>
        </is>
      </c>
      <c r="B1558" s="1" t="n">
        <v>44915.4455787037</v>
      </c>
      <c r="C1558" s="1" t="n">
        <v>46117</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21390-2023</t>
        </is>
      </c>
      <c r="B1559" s="1" t="n">
        <v>45063</v>
      </c>
      <c r="C1559" s="1" t="n">
        <v>46117</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748-2026</t>
        </is>
      </c>
      <c r="B1560" s="1" t="n">
        <v>46029</v>
      </c>
      <c r="C1560" s="1" t="n">
        <v>46117</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7215-2025</t>
        </is>
      </c>
      <c r="B1561" s="1" t="n">
        <v>45702</v>
      </c>
      <c r="C1561" s="1" t="n">
        <v>46117</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56101-2024</t>
        </is>
      </c>
      <c r="B1562" s="1" t="n">
        <v>45624</v>
      </c>
      <c r="C1562" s="1" t="n">
        <v>46117</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991-2026</t>
        </is>
      </c>
      <c r="B1563" s="1" t="n">
        <v>46030.58675925926</v>
      </c>
      <c r="C1563" s="1" t="n">
        <v>46117</v>
      </c>
      <c r="D1563" t="inlineStr">
        <is>
          <t>VÄRMLANDS LÄN</t>
        </is>
      </c>
      <c r="E1563" t="inlineStr">
        <is>
          <t>TORSBY</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45849-2024</t>
        </is>
      </c>
      <c r="B1564" s="1" t="n">
        <v>45580</v>
      </c>
      <c r="C1564" s="1" t="n">
        <v>46117</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1137-2026</t>
        </is>
      </c>
      <c r="B1565" s="1" t="n">
        <v>46030</v>
      </c>
      <c r="C1565" s="1" t="n">
        <v>46117</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1139-2026</t>
        </is>
      </c>
      <c r="B1566" s="1" t="n">
        <v>46030</v>
      </c>
      <c r="C1566" s="1" t="n">
        <v>46117</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41781-2022</t>
        </is>
      </c>
      <c r="B1567" s="1" t="n">
        <v>44827.70537037037</v>
      </c>
      <c r="C1567" s="1" t="n">
        <v>46117</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3387-2025</t>
        </is>
      </c>
      <c r="B1568" s="1" t="n">
        <v>45680</v>
      </c>
      <c r="C1568" s="1" t="n">
        <v>46117</v>
      </c>
      <c r="D1568" t="inlineStr">
        <is>
          <t>VÄRMLANDS LÄN</t>
        </is>
      </c>
      <c r="E1568" t="inlineStr">
        <is>
          <t>TORSBY</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55522-2023</t>
        </is>
      </c>
      <c r="B1569" s="1" t="n">
        <v>45238</v>
      </c>
      <c r="C1569" s="1" t="n">
        <v>46117</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1045-2026</t>
        </is>
      </c>
      <c r="B1570" s="1" t="n">
        <v>46030</v>
      </c>
      <c r="C1570" s="1" t="n">
        <v>46117</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44659-2024</t>
        </is>
      </c>
      <c r="B1571" s="1" t="n">
        <v>45574</v>
      </c>
      <c r="C1571" s="1" t="n">
        <v>46117</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26166-2024</t>
        </is>
      </c>
      <c r="B1572" s="1" t="n">
        <v>45468.55357638889</v>
      </c>
      <c r="C1572" s="1" t="n">
        <v>46117</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6828-2024</t>
        </is>
      </c>
      <c r="B1573" s="1" t="n">
        <v>45342</v>
      </c>
      <c r="C1573" s="1" t="n">
        <v>46117</v>
      </c>
      <c r="D1573" t="inlineStr">
        <is>
          <t>VÄRMLANDS LÄN</t>
        </is>
      </c>
      <c r="E1573" t="inlineStr">
        <is>
          <t>TORSBY</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1148-2026</t>
        </is>
      </c>
      <c r="B1574" s="1" t="n">
        <v>46030</v>
      </c>
      <c r="C1574" s="1" t="n">
        <v>46117</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45127.58094907407</v>
      </c>
      <c r="C1575" s="1" t="n">
        <v>46117</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50445-2023</t>
        </is>
      </c>
      <c r="B1576" s="1" t="n">
        <v>45216</v>
      </c>
      <c r="C1576" s="1" t="n">
        <v>46117</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22426-2024</t>
        </is>
      </c>
      <c r="B1577" s="1" t="n">
        <v>45446</v>
      </c>
      <c r="C1577" s="1" t="n">
        <v>46117</v>
      </c>
      <c r="D1577" t="inlineStr">
        <is>
          <t>VÄRMLANDS LÄN</t>
        </is>
      </c>
      <c r="E1577" t="inlineStr">
        <is>
          <t>TORSBY</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60454-2024</t>
        </is>
      </c>
      <c r="B1578" s="1" t="n">
        <v>45643</v>
      </c>
      <c r="C1578" s="1" t="n">
        <v>46117</v>
      </c>
      <c r="D1578" t="inlineStr">
        <is>
          <t>VÄRMLANDS LÄN</t>
        </is>
      </c>
      <c r="E1578" t="inlineStr">
        <is>
          <t>TORSBY</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60458-2024</t>
        </is>
      </c>
      <c r="B1579" s="1" t="n">
        <v>45643</v>
      </c>
      <c r="C1579" s="1" t="n">
        <v>46117</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1828-2026</t>
        </is>
      </c>
      <c r="B1580" s="1" t="n">
        <v>46035</v>
      </c>
      <c r="C1580" s="1" t="n">
        <v>46117</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2057-2026</t>
        </is>
      </c>
      <c r="B1581" s="1" t="n">
        <v>46033</v>
      </c>
      <c r="C1581" s="1" t="n">
        <v>46117</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10536-2026</t>
        </is>
      </c>
      <c r="B1582" s="1" t="n">
        <v>46077.59946759259</v>
      </c>
      <c r="C1582" s="1" t="n">
        <v>46117</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10587-2024</t>
        </is>
      </c>
      <c r="B1583" s="1" t="n">
        <v>45366</v>
      </c>
      <c r="C1583" s="1" t="n">
        <v>46117</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1095-2025</t>
        </is>
      </c>
      <c r="B1584" s="1" t="n">
        <v>45666.63681712963</v>
      </c>
      <c r="C1584" s="1" t="n">
        <v>46117</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53705-2021</t>
        </is>
      </c>
      <c r="B1585" s="1" t="n">
        <v>44469</v>
      </c>
      <c r="C1585" s="1" t="n">
        <v>46117</v>
      </c>
      <c r="D1585" t="inlineStr">
        <is>
          <t>VÄRMLANDS LÄN</t>
        </is>
      </c>
      <c r="E1585" t="inlineStr">
        <is>
          <t>TORSBY</t>
        </is>
      </c>
      <c r="F1585" t="inlineStr">
        <is>
          <t>Kyrkan</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53396-2024</t>
        </is>
      </c>
      <c r="B1586" s="1" t="n">
        <v>45614</v>
      </c>
      <c r="C1586" s="1" t="n">
        <v>46117</v>
      </c>
      <c r="D1586" t="inlineStr">
        <is>
          <t>VÄRMLANDS LÄN</t>
        </is>
      </c>
      <c r="E1586" t="inlineStr">
        <is>
          <t>TORSBY</t>
        </is>
      </c>
      <c r="F1586" t="inlineStr">
        <is>
          <t>Bergvik skog väst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60781-2024</t>
        </is>
      </c>
      <c r="B1587" s="1" t="n">
        <v>45642</v>
      </c>
      <c r="C1587" s="1" t="n">
        <v>46117</v>
      </c>
      <c r="D1587" t="inlineStr">
        <is>
          <t>VÄRMLANDS LÄN</t>
        </is>
      </c>
      <c r="E1587" t="inlineStr">
        <is>
          <t>TORSBY</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21280-2024</t>
        </is>
      </c>
      <c r="B1588" s="1" t="n">
        <v>45440</v>
      </c>
      <c r="C1588" s="1" t="n">
        <v>46117</v>
      </c>
      <c r="D1588" t="inlineStr">
        <is>
          <t>VÄRMLANDS LÄN</t>
        </is>
      </c>
      <c r="E1588" t="inlineStr">
        <is>
          <t>TORSBY</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10533-2026</t>
        </is>
      </c>
      <c r="B1589" s="1" t="n">
        <v>46077</v>
      </c>
      <c r="C1589" s="1" t="n">
        <v>46117</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36327-2021</t>
        </is>
      </c>
      <c r="B1590" s="1" t="n">
        <v>44390</v>
      </c>
      <c r="C1590" s="1" t="n">
        <v>46117</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27346-2024</t>
        </is>
      </c>
      <c r="B1591" s="1" t="n">
        <v>45473.58984953703</v>
      </c>
      <c r="C1591" s="1" t="n">
        <v>46117</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27349-2024</t>
        </is>
      </c>
      <c r="B1592" s="1" t="n">
        <v>45473.65679398148</v>
      </c>
      <c r="C1592" s="1" t="n">
        <v>46117</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1635-2026</t>
        </is>
      </c>
      <c r="B1593" s="1" t="n">
        <v>46034.491875</v>
      </c>
      <c r="C1593" s="1" t="n">
        <v>46117</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44532-2022</t>
        </is>
      </c>
      <c r="B1594" s="1" t="n">
        <v>44840</v>
      </c>
      <c r="C1594" s="1" t="n">
        <v>46117</v>
      </c>
      <c r="D1594" t="inlineStr">
        <is>
          <t>VÄRMLANDS LÄN</t>
        </is>
      </c>
      <c r="E1594" t="inlineStr">
        <is>
          <t>TORSBY</t>
        </is>
      </c>
      <c r="G1594" t="n">
        <v>12.3</v>
      </c>
      <c r="H1594" t="n">
        <v>0</v>
      </c>
      <c r="I1594" t="n">
        <v>0</v>
      </c>
      <c r="J1594" t="n">
        <v>0</v>
      </c>
      <c r="K1594" t="n">
        <v>0</v>
      </c>
      <c r="L1594" t="n">
        <v>0</v>
      </c>
      <c r="M1594" t="n">
        <v>0</v>
      </c>
      <c r="N1594" t="n">
        <v>0</v>
      </c>
      <c r="O1594" t="n">
        <v>0</v>
      </c>
      <c r="P1594" t="n">
        <v>0</v>
      </c>
      <c r="Q1594" t="n">
        <v>0</v>
      </c>
      <c r="R1594" s="2" t="inlineStr"/>
    </row>
    <row r="1595" ht="15" customHeight="1">
      <c r="A1595" t="inlineStr">
        <is>
          <t>A 10277-2026</t>
        </is>
      </c>
      <c r="B1595" s="1" t="n">
        <v>46076.58681712963</v>
      </c>
      <c r="C1595" s="1" t="n">
        <v>46117</v>
      </c>
      <c r="D1595" t="inlineStr">
        <is>
          <t>VÄRMLANDS LÄN</t>
        </is>
      </c>
      <c r="E1595" t="inlineStr">
        <is>
          <t>TORSBY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10295-2026</t>
        </is>
      </c>
      <c r="B1596" s="1" t="n">
        <v>46076.62011574074</v>
      </c>
      <c r="C1596" s="1" t="n">
        <v>46117</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16073-2024</t>
        </is>
      </c>
      <c r="B1597" s="1" t="n">
        <v>45406</v>
      </c>
      <c r="C1597" s="1" t="n">
        <v>46117</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10596-2026</t>
        </is>
      </c>
      <c r="B1598" s="1" t="n">
        <v>46077.71212962963</v>
      </c>
      <c r="C1598" s="1" t="n">
        <v>46117</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1042-2024</t>
        </is>
      </c>
      <c r="B1599" s="1" t="n">
        <v>45301</v>
      </c>
      <c r="C1599" s="1" t="n">
        <v>46117</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48540-2024</t>
        </is>
      </c>
      <c r="B1600" s="1" t="n">
        <v>45593</v>
      </c>
      <c r="C1600" s="1" t="n">
        <v>46117</v>
      </c>
      <c r="D1600" t="inlineStr">
        <is>
          <t>VÄRMLANDS LÄN</t>
        </is>
      </c>
      <c r="E1600" t="inlineStr">
        <is>
          <t>TORSBY</t>
        </is>
      </c>
      <c r="G1600" t="n">
        <v>16.5</v>
      </c>
      <c r="H1600" t="n">
        <v>0</v>
      </c>
      <c r="I1600" t="n">
        <v>0</v>
      </c>
      <c r="J1600" t="n">
        <v>0</v>
      </c>
      <c r="K1600" t="n">
        <v>0</v>
      </c>
      <c r="L1600" t="n">
        <v>0</v>
      </c>
      <c r="M1600" t="n">
        <v>0</v>
      </c>
      <c r="N1600" t="n">
        <v>0</v>
      </c>
      <c r="O1600" t="n">
        <v>0</v>
      </c>
      <c r="P1600" t="n">
        <v>0</v>
      </c>
      <c r="Q1600" t="n">
        <v>0</v>
      </c>
      <c r="R1600" s="2" t="inlineStr"/>
    </row>
    <row r="1601" ht="15" customHeight="1">
      <c r="A1601" t="inlineStr">
        <is>
          <t>A 43060-2021</t>
        </is>
      </c>
      <c r="B1601" s="1" t="n">
        <v>44431</v>
      </c>
      <c r="C1601" s="1" t="n">
        <v>46117</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2008-2026</t>
        </is>
      </c>
      <c r="B1602" s="1" t="n">
        <v>46035</v>
      </c>
      <c r="C1602" s="1" t="n">
        <v>46117</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10332-2026</t>
        </is>
      </c>
      <c r="B1603" s="1" t="n">
        <v>46076</v>
      </c>
      <c r="C1603" s="1" t="n">
        <v>46117</v>
      </c>
      <c r="D1603" t="inlineStr">
        <is>
          <t>VÄRMLANDS LÄN</t>
        </is>
      </c>
      <c r="E1603" t="inlineStr">
        <is>
          <t>TORSBY</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2005-2026</t>
        </is>
      </c>
      <c r="B1604" s="1" t="n">
        <v>46035.69554398148</v>
      </c>
      <c r="C1604" s="1" t="n">
        <v>46117</v>
      </c>
      <c r="D1604" t="inlineStr">
        <is>
          <t>VÄRMLANDS LÄN</t>
        </is>
      </c>
      <c r="E1604" t="inlineStr">
        <is>
          <t>TORSBY</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1428-2026</t>
        </is>
      </c>
      <c r="B1605" s="1" t="n">
        <v>46032</v>
      </c>
      <c r="C1605" s="1" t="n">
        <v>46117</v>
      </c>
      <c r="D1605" t="inlineStr">
        <is>
          <t>VÄRMLANDS LÄN</t>
        </is>
      </c>
      <c r="E1605" t="inlineStr">
        <is>
          <t>TORSBY</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58948-2024</t>
        </is>
      </c>
      <c r="B1606" s="1" t="n">
        <v>45636</v>
      </c>
      <c r="C1606" s="1" t="n">
        <v>46117</v>
      </c>
      <c r="D1606" t="inlineStr">
        <is>
          <t>VÄRMLANDS LÄN</t>
        </is>
      </c>
      <c r="E1606" t="inlineStr">
        <is>
          <t>TORSBY</t>
        </is>
      </c>
      <c r="F1606" t="inlineStr">
        <is>
          <t>Bergvik skog väst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10119-2026</t>
        </is>
      </c>
      <c r="B1607" s="1" t="n">
        <v>46075.74895833333</v>
      </c>
      <c r="C1607" s="1" t="n">
        <v>46117</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10515-2026</t>
        </is>
      </c>
      <c r="B1608" s="1" t="n">
        <v>46077</v>
      </c>
      <c r="C1608" s="1" t="n">
        <v>46117</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10871-2026</t>
        </is>
      </c>
      <c r="B1609" s="1" t="n">
        <v>46078.6843287037</v>
      </c>
      <c r="C1609" s="1" t="n">
        <v>46117</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18676-2025</t>
        </is>
      </c>
      <c r="B1610" s="1" t="n">
        <v>45763</v>
      </c>
      <c r="C1610" s="1" t="n">
        <v>46117</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59256-2023</t>
        </is>
      </c>
      <c r="B1611" s="1" t="n">
        <v>45251</v>
      </c>
      <c r="C1611" s="1" t="n">
        <v>46117</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55836-2024</t>
        </is>
      </c>
      <c r="B1612" s="1" t="n">
        <v>45623.49150462963</v>
      </c>
      <c r="C1612" s="1" t="n">
        <v>46117</v>
      </c>
      <c r="D1612" t="inlineStr">
        <is>
          <t>VÄRMLANDS LÄN</t>
        </is>
      </c>
      <c r="E1612" t="inlineStr">
        <is>
          <t>TORSBY</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37357-2023</t>
        </is>
      </c>
      <c r="B1613" s="1" t="n">
        <v>45156.48006944444</v>
      </c>
      <c r="C1613" s="1" t="n">
        <v>46117</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5763-2023</t>
        </is>
      </c>
      <c r="B1614" s="1" t="n">
        <v>44963.36383101852</v>
      </c>
      <c r="C1614" s="1" t="n">
        <v>46117</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38467-2021</t>
        </is>
      </c>
      <c r="B1615" s="1" t="n">
        <v>44405</v>
      </c>
      <c r="C1615" s="1" t="n">
        <v>46117</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63177-2023</t>
        </is>
      </c>
      <c r="B1616" s="1" t="n">
        <v>45272</v>
      </c>
      <c r="C1616" s="1" t="n">
        <v>46117</v>
      </c>
      <c r="D1616" t="inlineStr">
        <is>
          <t>VÄRMLANDS LÄN</t>
        </is>
      </c>
      <c r="E1616" t="inlineStr">
        <is>
          <t>TORSBY</t>
        </is>
      </c>
      <c r="G1616" t="n">
        <v>14.9</v>
      </c>
      <c r="H1616" t="n">
        <v>0</v>
      </c>
      <c r="I1616" t="n">
        <v>0</v>
      </c>
      <c r="J1616" t="n">
        <v>0</v>
      </c>
      <c r="K1616" t="n">
        <v>0</v>
      </c>
      <c r="L1616" t="n">
        <v>0</v>
      </c>
      <c r="M1616" t="n">
        <v>0</v>
      </c>
      <c r="N1616" t="n">
        <v>0</v>
      </c>
      <c r="O1616" t="n">
        <v>0</v>
      </c>
      <c r="P1616" t="n">
        <v>0</v>
      </c>
      <c r="Q1616" t="n">
        <v>0</v>
      </c>
      <c r="R1616" s="2" t="inlineStr"/>
    </row>
    <row r="1617" ht="15" customHeight="1">
      <c r="A1617" t="inlineStr">
        <is>
          <t>A 9904-2024</t>
        </is>
      </c>
      <c r="B1617" s="1" t="n">
        <v>45363</v>
      </c>
      <c r="C1617" s="1" t="n">
        <v>46117</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9908-2024</t>
        </is>
      </c>
      <c r="B1618" s="1" t="n">
        <v>45363</v>
      </c>
      <c r="C1618" s="1" t="n">
        <v>46117</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4585-2023</t>
        </is>
      </c>
      <c r="B1619" s="1" t="n">
        <v>44956.79790509259</v>
      </c>
      <c r="C1619" s="1" t="n">
        <v>46117</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29925-2024</t>
        </is>
      </c>
      <c r="B1620" s="1" t="n">
        <v>45488</v>
      </c>
      <c r="C1620" s="1" t="n">
        <v>46117</v>
      </c>
      <c r="D1620" t="inlineStr">
        <is>
          <t>VÄRMLANDS LÄN</t>
        </is>
      </c>
      <c r="E1620" t="inlineStr">
        <is>
          <t>TORSBY</t>
        </is>
      </c>
      <c r="F1620" t="inlineStr">
        <is>
          <t>Kyrkan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2559-2026</t>
        </is>
      </c>
      <c r="B1621" s="1" t="n">
        <v>46037</v>
      </c>
      <c r="C1621" s="1" t="n">
        <v>46117</v>
      </c>
      <c r="D1621" t="inlineStr">
        <is>
          <t>VÄRMLANDS LÄN</t>
        </is>
      </c>
      <c r="E1621" t="inlineStr">
        <is>
          <t>TORSBY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2351-2026</t>
        </is>
      </c>
      <c r="B1622" s="1" t="n">
        <v>46036</v>
      </c>
      <c r="C1622" s="1" t="n">
        <v>46117</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15101-2024</t>
        </is>
      </c>
      <c r="B1623" s="1" t="n">
        <v>45399.66148148148</v>
      </c>
      <c r="C1623" s="1" t="n">
        <v>46117</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41253-2021</t>
        </is>
      </c>
      <c r="B1624" s="1" t="n">
        <v>44424</v>
      </c>
      <c r="C1624" s="1" t="n">
        <v>46117</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10684-2026</t>
        </is>
      </c>
      <c r="B1625" s="1" t="n">
        <v>46078.41681712963</v>
      </c>
      <c r="C1625" s="1" t="n">
        <v>46117</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3667-2023</t>
        </is>
      </c>
      <c r="B1626" s="1" t="n">
        <v>44950</v>
      </c>
      <c r="C1626" s="1" t="n">
        <v>46117</v>
      </c>
      <c r="D1626" t="inlineStr">
        <is>
          <t>VÄRMLANDS LÄN</t>
        </is>
      </c>
      <c r="E1626" t="inlineStr">
        <is>
          <t>TORSBY</t>
        </is>
      </c>
      <c r="G1626" t="n">
        <v>21.2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46117</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52669-2024</t>
        </is>
      </c>
      <c r="B1628" s="1" t="n">
        <v>45610</v>
      </c>
      <c r="C1628" s="1" t="n">
        <v>46117</v>
      </c>
      <c r="D1628" t="inlineStr">
        <is>
          <t>VÄRMLANDS LÄN</t>
        </is>
      </c>
      <c r="E1628" t="inlineStr">
        <is>
          <t>TORSBY</t>
        </is>
      </c>
      <c r="F1628" t="inlineStr">
        <is>
          <t>Kyrkan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2687-2026</t>
        </is>
      </c>
      <c r="B1629" s="1" t="n">
        <v>46037</v>
      </c>
      <c r="C1629" s="1" t="n">
        <v>46117</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23804-2022</t>
        </is>
      </c>
      <c r="B1630" s="1" t="n">
        <v>44722</v>
      </c>
      <c r="C1630" s="1" t="n">
        <v>46117</v>
      </c>
      <c r="D1630" t="inlineStr">
        <is>
          <t>VÄRMLANDS LÄN</t>
        </is>
      </c>
      <c r="E1630" t="inlineStr">
        <is>
          <t>TORSBY</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42457-2024</t>
        </is>
      </c>
      <c r="B1631" s="1" t="n">
        <v>45565.46346064815</v>
      </c>
      <c r="C1631" s="1" t="n">
        <v>46117</v>
      </c>
      <c r="D1631" t="inlineStr">
        <is>
          <t>VÄRMLANDS LÄN</t>
        </is>
      </c>
      <c r="E1631" t="inlineStr">
        <is>
          <t>TORSBY</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8728-2024</t>
        </is>
      </c>
      <c r="B1632" s="1" t="n">
        <v>45356.42799768518</v>
      </c>
      <c r="C1632" s="1" t="n">
        <v>46117</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2510-2026</t>
        </is>
      </c>
      <c r="B1633" s="1" t="n">
        <v>46037</v>
      </c>
      <c r="C1633" s="1" t="n">
        <v>46117</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3211-2026</t>
        </is>
      </c>
      <c r="B1634" s="1" t="n">
        <v>46041</v>
      </c>
      <c r="C1634" s="1" t="n">
        <v>46117</v>
      </c>
      <c r="D1634" t="inlineStr">
        <is>
          <t>VÄRMLANDS LÄN</t>
        </is>
      </c>
      <c r="E1634" t="inlineStr">
        <is>
          <t>TORSBY</t>
        </is>
      </c>
      <c r="F1634" t="inlineStr">
        <is>
          <t>Bergvik skog väst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39771-2024</t>
        </is>
      </c>
      <c r="B1635" s="1" t="n">
        <v>45552</v>
      </c>
      <c r="C1635" s="1" t="n">
        <v>46117</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71679-2021</t>
        </is>
      </c>
      <c r="B1636" s="1" t="n">
        <v>44543</v>
      </c>
      <c r="C1636" s="1" t="n">
        <v>46117</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22124-2022</t>
        </is>
      </c>
      <c r="B1637" s="1" t="n">
        <v>44712</v>
      </c>
      <c r="C1637" s="1" t="n">
        <v>46117</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22943-2023</t>
        </is>
      </c>
      <c r="B1638" s="1" t="n">
        <v>45072</v>
      </c>
      <c r="C1638" s="1" t="n">
        <v>46117</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38497-2024</t>
        </is>
      </c>
      <c r="B1639" s="1" t="n">
        <v>45546.51869212963</v>
      </c>
      <c r="C1639" s="1" t="n">
        <v>46117</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46117</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17931-2024</t>
        </is>
      </c>
      <c r="B1641" s="1" t="n">
        <v>45419</v>
      </c>
      <c r="C1641" s="1" t="n">
        <v>46117</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2856-2026</t>
        </is>
      </c>
      <c r="B1642" s="1" t="n">
        <v>46038.48686342593</v>
      </c>
      <c r="C1642" s="1" t="n">
        <v>46117</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2768-2026</t>
        </is>
      </c>
      <c r="B1643" s="1" t="n">
        <v>46038</v>
      </c>
      <c r="C1643" s="1" t="n">
        <v>46117</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54006-2024</t>
        </is>
      </c>
      <c r="B1644" s="1" t="n">
        <v>45616.3717824074</v>
      </c>
      <c r="C1644" s="1" t="n">
        <v>46117</v>
      </c>
      <c r="D1644" t="inlineStr">
        <is>
          <t>VÄRMLANDS LÄN</t>
        </is>
      </c>
      <c r="E1644" t="inlineStr">
        <is>
          <t>TORSBY</t>
        </is>
      </c>
      <c r="F1644" t="inlineStr">
        <is>
          <t>Kommuner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2845-2026</t>
        </is>
      </c>
      <c r="B1645" s="1" t="n">
        <v>46038.47104166666</v>
      </c>
      <c r="C1645" s="1" t="n">
        <v>46117</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2865-2026</t>
        </is>
      </c>
      <c r="B1646" s="1" t="n">
        <v>46038.49953703704</v>
      </c>
      <c r="C1646" s="1" t="n">
        <v>46117</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2861-2026</t>
        </is>
      </c>
      <c r="B1647" s="1" t="n">
        <v>46038.49465277778</v>
      </c>
      <c r="C1647" s="1" t="n">
        <v>46117</v>
      </c>
      <c r="D1647" t="inlineStr">
        <is>
          <t>VÄRMLANDS LÄN</t>
        </is>
      </c>
      <c r="E1647" t="inlineStr">
        <is>
          <t>TORSBY</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2966-2026</t>
        </is>
      </c>
      <c r="B1648" s="1" t="n">
        <v>46038</v>
      </c>
      <c r="C1648" s="1" t="n">
        <v>46117</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32847-2024</t>
        </is>
      </c>
      <c r="B1649" s="1" t="n">
        <v>45516.63021990741</v>
      </c>
      <c r="C1649" s="1" t="n">
        <v>46117</v>
      </c>
      <c r="D1649" t="inlineStr">
        <is>
          <t>VÄRMLANDS LÄN</t>
        </is>
      </c>
      <c r="E1649" t="inlineStr">
        <is>
          <t>TORSBY</t>
        </is>
      </c>
      <c r="F1649" t="inlineStr">
        <is>
          <t>Bergvik skog väst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8016-2023</t>
        </is>
      </c>
      <c r="B1650" s="1" t="n">
        <v>44973</v>
      </c>
      <c r="C1650" s="1" t="n">
        <v>46117</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11909-2026</t>
        </is>
      </c>
      <c r="B1651" s="1" t="n">
        <v>46085.54694444445</v>
      </c>
      <c r="C1651" s="1" t="n">
        <v>46117</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3409-2026</t>
        </is>
      </c>
      <c r="B1652" s="1" t="n">
        <v>46042</v>
      </c>
      <c r="C1652" s="1" t="n">
        <v>46117</v>
      </c>
      <c r="D1652" t="inlineStr">
        <is>
          <t>VÄRMLANDS LÄN</t>
        </is>
      </c>
      <c r="E1652" t="inlineStr">
        <is>
          <t>TORSBY</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3417-2026</t>
        </is>
      </c>
      <c r="B1653" s="1" t="n">
        <v>46042.42310185185</v>
      </c>
      <c r="C1653" s="1" t="n">
        <v>46117</v>
      </c>
      <c r="D1653" t="inlineStr">
        <is>
          <t>VÄRMLANDS LÄN</t>
        </is>
      </c>
      <c r="E1653" t="inlineStr">
        <is>
          <t>TORSBY</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3411-2026</t>
        </is>
      </c>
      <c r="B1654" s="1" t="n">
        <v>46042.41546296296</v>
      </c>
      <c r="C1654" s="1" t="n">
        <v>46117</v>
      </c>
      <c r="D1654" t="inlineStr">
        <is>
          <t>VÄRMLANDS LÄN</t>
        </is>
      </c>
      <c r="E1654" t="inlineStr">
        <is>
          <t>TORSBY</t>
        </is>
      </c>
      <c r="F1654" t="inlineStr">
        <is>
          <t>Bergvik skog väst AB</t>
        </is>
      </c>
      <c r="G1654" t="n">
        <v>22.9</v>
      </c>
      <c r="H1654" t="n">
        <v>0</v>
      </c>
      <c r="I1654" t="n">
        <v>0</v>
      </c>
      <c r="J1654" t="n">
        <v>0</v>
      </c>
      <c r="K1654" t="n">
        <v>0</v>
      </c>
      <c r="L1654" t="n">
        <v>0</v>
      </c>
      <c r="M1654" t="n">
        <v>0</v>
      </c>
      <c r="N1654" t="n">
        <v>0</v>
      </c>
      <c r="O1654" t="n">
        <v>0</v>
      </c>
      <c r="P1654" t="n">
        <v>0</v>
      </c>
      <c r="Q1654" t="n">
        <v>0</v>
      </c>
      <c r="R1654" s="2" t="inlineStr"/>
    </row>
    <row r="1655" ht="15" customHeight="1">
      <c r="A1655" t="inlineStr">
        <is>
          <t>A 3414-2026</t>
        </is>
      </c>
      <c r="B1655" s="1" t="n">
        <v>46042.41920138889</v>
      </c>
      <c r="C1655" s="1" t="n">
        <v>46117</v>
      </c>
      <c r="D1655" t="inlineStr">
        <is>
          <t>VÄRMLANDS LÄN</t>
        </is>
      </c>
      <c r="E1655" t="inlineStr">
        <is>
          <t>TORSBY</t>
        </is>
      </c>
      <c r="F1655" t="inlineStr">
        <is>
          <t>Bergvik skog väst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11901-2026</t>
        </is>
      </c>
      <c r="B1656" s="1" t="n">
        <v>46085.54050925926</v>
      </c>
      <c r="C1656" s="1" t="n">
        <v>46117</v>
      </c>
      <c r="D1656" t="inlineStr">
        <is>
          <t>VÄRMLANDS LÄN</t>
        </is>
      </c>
      <c r="E1656" t="inlineStr">
        <is>
          <t>TORSBY</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3884-2026</t>
        </is>
      </c>
      <c r="B1657" s="1" t="n">
        <v>46043</v>
      </c>
      <c r="C1657" s="1" t="n">
        <v>46117</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68136-2021</t>
        </is>
      </c>
      <c r="B1658" s="1" t="n">
        <v>44526.40984953703</v>
      </c>
      <c r="C1658" s="1" t="n">
        <v>46117</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3680-2026</t>
        </is>
      </c>
      <c r="B1659" s="1" t="n">
        <v>46043.42990740741</v>
      </c>
      <c r="C1659" s="1" t="n">
        <v>46117</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3606-2026</t>
        </is>
      </c>
      <c r="B1660" s="1" t="n">
        <v>46042.88337962963</v>
      </c>
      <c r="C1660" s="1" t="n">
        <v>46117</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40227-2024</t>
        </is>
      </c>
      <c r="B1661" s="1" t="n">
        <v>45554</v>
      </c>
      <c r="C1661" s="1" t="n">
        <v>46117</v>
      </c>
      <c r="D1661" t="inlineStr">
        <is>
          <t>VÄRMLANDS LÄN</t>
        </is>
      </c>
      <c r="E1661" t="inlineStr">
        <is>
          <t>TORSBY</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41501-2024</t>
        </is>
      </c>
      <c r="B1662" s="1" t="n">
        <v>45560</v>
      </c>
      <c r="C1662" s="1" t="n">
        <v>46117</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3922-2024</t>
        </is>
      </c>
      <c r="B1663" s="1" t="n">
        <v>45322.57271990741</v>
      </c>
      <c r="C1663" s="1" t="n">
        <v>46117</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11274-2026</t>
        </is>
      </c>
      <c r="B1664" s="1" t="n">
        <v>46080</v>
      </c>
      <c r="C1664" s="1" t="n">
        <v>46117</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17944-2021</t>
        </is>
      </c>
      <c r="B1665" s="1" t="n">
        <v>44301</v>
      </c>
      <c r="C1665" s="1" t="n">
        <v>46117</v>
      </c>
      <c r="D1665" t="inlineStr">
        <is>
          <t>VÄRMLANDS LÄN</t>
        </is>
      </c>
      <c r="E1665" t="inlineStr">
        <is>
          <t>TORSBY</t>
        </is>
      </c>
      <c r="F1665" t="inlineStr">
        <is>
          <t>Kommuner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3737-2026</t>
        </is>
      </c>
      <c r="B1666" s="1" t="n">
        <v>46043.52572916666</v>
      </c>
      <c r="C1666" s="1" t="n">
        <v>46117</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11722-2026</t>
        </is>
      </c>
      <c r="B1667" s="1" t="n">
        <v>46084</v>
      </c>
      <c r="C1667" s="1" t="n">
        <v>46117</v>
      </c>
      <c r="D1667" t="inlineStr">
        <is>
          <t>VÄRMLANDS LÄN</t>
        </is>
      </c>
      <c r="E1667" t="inlineStr">
        <is>
          <t>TORSBY</t>
        </is>
      </c>
      <c r="F1667" t="inlineStr">
        <is>
          <t>Bergvik skog väst AB</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11765-2026</t>
        </is>
      </c>
      <c r="B1668" s="1" t="n">
        <v>46084</v>
      </c>
      <c r="C1668" s="1" t="n">
        <v>46117</v>
      </c>
      <c r="D1668" t="inlineStr">
        <is>
          <t>VÄRMLANDS LÄN</t>
        </is>
      </c>
      <c r="E1668" t="inlineStr">
        <is>
          <t>TORSBY</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11583-2026</t>
        </is>
      </c>
      <c r="B1669" s="1" t="n">
        <v>46084</v>
      </c>
      <c r="C1669" s="1" t="n">
        <v>46117</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3658-2026</t>
        </is>
      </c>
      <c r="B1670" s="1" t="n">
        <v>46043.38148148148</v>
      </c>
      <c r="C1670" s="1" t="n">
        <v>46117</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27195-2023</t>
        </is>
      </c>
      <c r="B1671" s="1" t="n">
        <v>45096</v>
      </c>
      <c r="C1671" s="1" t="n">
        <v>46117</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60796-2024</t>
        </is>
      </c>
      <c r="B1672" s="1" t="n">
        <v>45642</v>
      </c>
      <c r="C1672" s="1" t="n">
        <v>46117</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11711-2026</t>
        </is>
      </c>
      <c r="B1673" s="1" t="n">
        <v>46084</v>
      </c>
      <c r="C1673" s="1" t="n">
        <v>46117</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18344-2021</t>
        </is>
      </c>
      <c r="B1674" s="1" t="n">
        <v>44305</v>
      </c>
      <c r="C1674" s="1" t="n">
        <v>46117</v>
      </c>
      <c r="D1674" t="inlineStr">
        <is>
          <t>VÄRMLANDS LÄN</t>
        </is>
      </c>
      <c r="E1674" t="inlineStr">
        <is>
          <t>TORSBY</t>
        </is>
      </c>
      <c r="F1674" t="inlineStr">
        <is>
          <t>Kommuner</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57990-2023</t>
        </is>
      </c>
      <c r="B1675" s="1" t="n">
        <v>45247.60293981482</v>
      </c>
      <c r="C1675" s="1" t="n">
        <v>46117</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3685-2026</t>
        </is>
      </c>
      <c r="B1676" s="1" t="n">
        <v>46043</v>
      </c>
      <c r="C1676" s="1" t="n">
        <v>46117</v>
      </c>
      <c r="D1676" t="inlineStr">
        <is>
          <t>VÄRMLANDS LÄN</t>
        </is>
      </c>
      <c r="E1676" t="inlineStr">
        <is>
          <t>TORSBY</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27223-2022</t>
        </is>
      </c>
      <c r="B1677" s="1" t="n">
        <v>44741</v>
      </c>
      <c r="C1677" s="1" t="n">
        <v>46117</v>
      </c>
      <c r="D1677" t="inlineStr">
        <is>
          <t>VÄRMLANDS LÄN</t>
        </is>
      </c>
      <c r="E1677" t="inlineStr">
        <is>
          <t>TORSBY</t>
        </is>
      </c>
      <c r="F1677" t="inlineStr">
        <is>
          <t>Bergvik skog väst AB</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423-2024</t>
        </is>
      </c>
      <c r="B1678" s="1" t="n">
        <v>45296.53034722222</v>
      </c>
      <c r="C1678" s="1" t="n">
        <v>46117</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11692-2026</t>
        </is>
      </c>
      <c r="B1679" s="1" t="n">
        <v>46084</v>
      </c>
      <c r="C1679" s="1" t="n">
        <v>46117</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12365-2022</t>
        </is>
      </c>
      <c r="B1680" s="1" t="n">
        <v>44637.70670138889</v>
      </c>
      <c r="C1680" s="1" t="n">
        <v>46117</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58430-2023</t>
        </is>
      </c>
      <c r="B1681" s="1" t="n">
        <v>45250.80646990741</v>
      </c>
      <c r="C1681" s="1" t="n">
        <v>46117</v>
      </c>
      <c r="D1681" t="inlineStr">
        <is>
          <t>VÄRMLANDS LÄN</t>
        </is>
      </c>
      <c r="E1681" t="inlineStr">
        <is>
          <t>TORSBY</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4171-2026</t>
        </is>
      </c>
      <c r="B1682" s="1" t="n">
        <v>46044.6733912037</v>
      </c>
      <c r="C1682" s="1" t="n">
        <v>46117</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27270-2024</t>
        </is>
      </c>
      <c r="B1683" s="1" t="n">
        <v>45471.81967592592</v>
      </c>
      <c r="C1683" s="1" t="n">
        <v>46117</v>
      </c>
      <c r="D1683" t="inlineStr">
        <is>
          <t>VÄRMLANDS LÄN</t>
        </is>
      </c>
      <c r="E1683" t="inlineStr">
        <is>
          <t>TORSBY</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40180-2024</t>
        </is>
      </c>
      <c r="B1684" s="1" t="n">
        <v>45554.55413194445</v>
      </c>
      <c r="C1684" s="1" t="n">
        <v>46117</v>
      </c>
      <c r="D1684" t="inlineStr">
        <is>
          <t>VÄRMLANDS LÄN</t>
        </is>
      </c>
      <c r="E1684" t="inlineStr">
        <is>
          <t>TORSBY</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16017-2025</t>
        </is>
      </c>
      <c r="B1685" s="1" t="n">
        <v>45749</v>
      </c>
      <c r="C1685" s="1" t="n">
        <v>46117</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12933-2023</t>
        </is>
      </c>
      <c r="B1686" s="1" t="n">
        <v>45001</v>
      </c>
      <c r="C1686" s="1" t="n">
        <v>46117</v>
      </c>
      <c r="D1686" t="inlineStr">
        <is>
          <t>VÄRMLANDS LÄN</t>
        </is>
      </c>
      <c r="E1686" t="inlineStr">
        <is>
          <t>TORSBY</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18447-2025</t>
        </is>
      </c>
      <c r="B1687" s="1" t="n">
        <v>45762</v>
      </c>
      <c r="C1687" s="1" t="n">
        <v>46117</v>
      </c>
      <c r="D1687" t="inlineStr">
        <is>
          <t>VÄRMLANDS LÄN</t>
        </is>
      </c>
      <c r="E1687" t="inlineStr">
        <is>
          <t>TORSBY</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12271-2026</t>
        </is>
      </c>
      <c r="B1688" s="1" t="n">
        <v>46087.51574074074</v>
      </c>
      <c r="C1688" s="1" t="n">
        <v>46117</v>
      </c>
      <c r="D1688" t="inlineStr">
        <is>
          <t>VÄRMLANDS LÄN</t>
        </is>
      </c>
      <c r="E1688" t="inlineStr">
        <is>
          <t>TORSBY</t>
        </is>
      </c>
      <c r="F1688" t="inlineStr">
        <is>
          <t>Bergvik skog väst AB</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10584-2023</t>
        </is>
      </c>
      <c r="B1689" s="1" t="n">
        <v>44988.36736111111</v>
      </c>
      <c r="C1689" s="1" t="n">
        <v>46117</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42632-2023</t>
        </is>
      </c>
      <c r="B1690" s="1" t="n">
        <v>45181</v>
      </c>
      <c r="C1690" s="1" t="n">
        <v>46117</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42635-2023</t>
        </is>
      </c>
      <c r="B1691" s="1" t="n">
        <v>45181.49310185185</v>
      </c>
      <c r="C1691" s="1" t="n">
        <v>46117</v>
      </c>
      <c r="D1691" t="inlineStr">
        <is>
          <t>VÄRMLANDS LÄN</t>
        </is>
      </c>
      <c r="E1691" t="inlineStr">
        <is>
          <t>TORSBY</t>
        </is>
      </c>
      <c r="G1691" t="n">
        <v>16.1</v>
      </c>
      <c r="H1691" t="n">
        <v>0</v>
      </c>
      <c r="I1691" t="n">
        <v>0</v>
      </c>
      <c r="J1691" t="n">
        <v>0</v>
      </c>
      <c r="K1691" t="n">
        <v>0</v>
      </c>
      <c r="L1691" t="n">
        <v>0</v>
      </c>
      <c r="M1691" t="n">
        <v>0</v>
      </c>
      <c r="N1691" t="n">
        <v>0</v>
      </c>
      <c r="O1691" t="n">
        <v>0</v>
      </c>
      <c r="P1691" t="n">
        <v>0</v>
      </c>
      <c r="Q1691" t="n">
        <v>0</v>
      </c>
      <c r="R1691" s="2" t="inlineStr"/>
    </row>
    <row r="1692" ht="15" customHeight="1">
      <c r="A1692" t="inlineStr">
        <is>
          <t>A 10976-2026</t>
        </is>
      </c>
      <c r="B1692" s="1" t="n">
        <v>46079</v>
      </c>
      <c r="C1692" s="1" t="n">
        <v>46117</v>
      </c>
      <c r="D1692" t="inlineStr">
        <is>
          <t>VÄRMLANDS LÄN</t>
        </is>
      </c>
      <c r="E1692" t="inlineStr">
        <is>
          <t>TORSBY</t>
        </is>
      </c>
      <c r="F1692" t="inlineStr">
        <is>
          <t>Bergvik skog väst AB</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12289-2026</t>
        </is>
      </c>
      <c r="B1693" s="1" t="n">
        <v>46087.55357638889</v>
      </c>
      <c r="C1693" s="1" t="n">
        <v>46117</v>
      </c>
      <c r="D1693" t="inlineStr">
        <is>
          <t>VÄRMLANDS LÄN</t>
        </is>
      </c>
      <c r="E1693" t="inlineStr">
        <is>
          <t>TORSBY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14413-2025</t>
        </is>
      </c>
      <c r="B1694" s="1" t="n">
        <v>45741</v>
      </c>
      <c r="C1694" s="1" t="n">
        <v>46117</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14419-2025</t>
        </is>
      </c>
      <c r="B1695" s="1" t="n">
        <v>45741</v>
      </c>
      <c r="C1695" s="1" t="n">
        <v>46117</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44838-2024</t>
        </is>
      </c>
      <c r="B1696" s="1" t="n">
        <v>45574.7069675926</v>
      </c>
      <c r="C1696" s="1" t="n">
        <v>46117</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16362-2025</t>
        </is>
      </c>
      <c r="B1697" s="1" t="n">
        <v>45751</v>
      </c>
      <c r="C1697" s="1" t="n">
        <v>46117</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20060-2025</t>
        </is>
      </c>
      <c r="B1698" s="1" t="n">
        <v>45772.41831018519</v>
      </c>
      <c r="C1698" s="1" t="n">
        <v>46117</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4510-2023</t>
        </is>
      </c>
      <c r="B1699" s="1" t="n">
        <v>44956.57528935185</v>
      </c>
      <c r="C1699" s="1" t="n">
        <v>46117</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53570-2024</t>
        </is>
      </c>
      <c r="B1700" s="1" t="n">
        <v>45614.65956018519</v>
      </c>
      <c r="C1700" s="1" t="n">
        <v>46117</v>
      </c>
      <c r="D1700" t="inlineStr">
        <is>
          <t>VÄRMLANDS LÄN</t>
        </is>
      </c>
      <c r="E1700" t="inlineStr">
        <is>
          <t>TORSBY</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11489-2026</t>
        </is>
      </c>
      <c r="B1701" s="1" t="n">
        <v>46083</v>
      </c>
      <c r="C1701" s="1" t="n">
        <v>46117</v>
      </c>
      <c r="D1701" t="inlineStr">
        <is>
          <t>VÄRMLANDS LÄN</t>
        </is>
      </c>
      <c r="E1701" t="inlineStr">
        <is>
          <t>TORSBY</t>
        </is>
      </c>
      <c r="F1701" t="inlineStr">
        <is>
          <t>Bergvik skog väst AB</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29702-2025</t>
        </is>
      </c>
      <c r="B1702" s="1" t="n">
        <v>45825.55667824074</v>
      </c>
      <c r="C1702" s="1" t="n">
        <v>46117</v>
      </c>
      <c r="D1702" t="inlineStr">
        <is>
          <t>VÄRMLANDS LÄN</t>
        </is>
      </c>
      <c r="E1702" t="inlineStr">
        <is>
          <t>TORSBY</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38397-2025</t>
        </is>
      </c>
      <c r="B1703" s="1" t="n">
        <v>45883</v>
      </c>
      <c r="C1703" s="1" t="n">
        <v>46117</v>
      </c>
      <c r="D1703" t="inlineStr">
        <is>
          <t>VÄRMLANDS LÄN</t>
        </is>
      </c>
      <c r="E1703" t="inlineStr">
        <is>
          <t>TORSBY</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37381-2025</t>
        </is>
      </c>
      <c r="B1704" s="1" t="n">
        <v>45877</v>
      </c>
      <c r="C1704" s="1" t="n">
        <v>46117</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3940-2026</t>
        </is>
      </c>
      <c r="B1705" s="1" t="n">
        <v>46043.88917824074</v>
      </c>
      <c r="C1705" s="1" t="n">
        <v>46117</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12250-2026</t>
        </is>
      </c>
      <c r="B1706" s="1" t="n">
        <v>46087.4499537037</v>
      </c>
      <c r="C1706" s="1" t="n">
        <v>46117</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33189-2025</t>
        </is>
      </c>
      <c r="B1707" s="1" t="n">
        <v>45840.59884259259</v>
      </c>
      <c r="C1707" s="1" t="n">
        <v>46117</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33196-2025</t>
        </is>
      </c>
      <c r="B1708" s="1" t="n">
        <v>45840.60381944444</v>
      </c>
      <c r="C1708" s="1" t="n">
        <v>46117</v>
      </c>
      <c r="D1708" t="inlineStr">
        <is>
          <t>VÄRMLANDS LÄN</t>
        </is>
      </c>
      <c r="E1708" t="inlineStr">
        <is>
          <t>TORSBY</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11362-2026</t>
        </is>
      </c>
      <c r="B1709" s="1" t="n">
        <v>46083</v>
      </c>
      <c r="C1709" s="1" t="n">
        <v>46117</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53583-2024</t>
        </is>
      </c>
      <c r="B1710" s="1" t="n">
        <v>45614.66449074074</v>
      </c>
      <c r="C1710" s="1" t="n">
        <v>46117</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17488-2023</t>
        </is>
      </c>
      <c r="B1711" s="1" t="n">
        <v>45036</v>
      </c>
      <c r="C1711" s="1" t="n">
        <v>46117</v>
      </c>
      <c r="D1711" t="inlineStr">
        <is>
          <t>VÄRMLANDS LÄN</t>
        </is>
      </c>
      <c r="E1711" t="inlineStr">
        <is>
          <t>TORSBY</t>
        </is>
      </c>
      <c r="G1711" t="n">
        <v>15.6</v>
      </c>
      <c r="H1711" t="n">
        <v>0</v>
      </c>
      <c r="I1711" t="n">
        <v>0</v>
      </c>
      <c r="J1711" t="n">
        <v>0</v>
      </c>
      <c r="K1711" t="n">
        <v>0</v>
      </c>
      <c r="L1711" t="n">
        <v>0</v>
      </c>
      <c r="M1711" t="n">
        <v>0</v>
      </c>
      <c r="N1711" t="n">
        <v>0</v>
      </c>
      <c r="O1711" t="n">
        <v>0</v>
      </c>
      <c r="P1711" t="n">
        <v>0</v>
      </c>
      <c r="Q1711" t="n">
        <v>0</v>
      </c>
      <c r="R1711" s="2" t="inlineStr"/>
    </row>
    <row r="1712" ht="15" customHeight="1">
      <c r="A1712" t="inlineStr">
        <is>
          <t>A 44262-2023</t>
        </is>
      </c>
      <c r="B1712" s="1" t="n">
        <v>45188.59809027778</v>
      </c>
      <c r="C1712" s="1" t="n">
        <v>46117</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15885-2025</t>
        </is>
      </c>
      <c r="B1713" s="1" t="n">
        <v>45749</v>
      </c>
      <c r="C1713" s="1" t="n">
        <v>46117</v>
      </c>
      <c r="D1713" t="inlineStr">
        <is>
          <t>VÄRMLANDS LÄN</t>
        </is>
      </c>
      <c r="E1713" t="inlineStr">
        <is>
          <t>TORSBY</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33499-2024</t>
        </is>
      </c>
      <c r="B1714" s="1" t="n">
        <v>45519.62280092593</v>
      </c>
      <c r="C1714" s="1" t="n">
        <v>46117</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12458-2023</t>
        </is>
      </c>
      <c r="B1715" s="1" t="n">
        <v>44999</v>
      </c>
      <c r="C1715" s="1" t="n">
        <v>46117</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11153-2024</t>
        </is>
      </c>
      <c r="B1716" s="1" t="n">
        <v>45371.4759837963</v>
      </c>
      <c r="C1716" s="1" t="n">
        <v>46117</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45548-2024</t>
        </is>
      </c>
      <c r="B1717" s="1" t="n">
        <v>45579</v>
      </c>
      <c r="C1717" s="1" t="n">
        <v>46117</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52057-2024</t>
        </is>
      </c>
      <c r="B1718" s="1" t="n">
        <v>45608</v>
      </c>
      <c r="C1718" s="1" t="n">
        <v>46117</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52062-2024</t>
        </is>
      </c>
      <c r="B1719" s="1" t="n">
        <v>45608</v>
      </c>
      <c r="C1719" s="1" t="n">
        <v>46117</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4707-2023</t>
        </is>
      </c>
      <c r="B1720" s="1" t="n">
        <v>44957</v>
      </c>
      <c r="C1720" s="1" t="n">
        <v>46117</v>
      </c>
      <c r="D1720" t="inlineStr">
        <is>
          <t>VÄRMLANDS LÄN</t>
        </is>
      </c>
      <c r="E1720" t="inlineStr">
        <is>
          <t>TORSBY</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11670-2025</t>
        </is>
      </c>
      <c r="B1721" s="1" t="n">
        <v>45727</v>
      </c>
      <c r="C1721" s="1" t="n">
        <v>46117</v>
      </c>
      <c r="D1721" t="inlineStr">
        <is>
          <t>VÄRMLANDS LÄN</t>
        </is>
      </c>
      <c r="E1721" t="inlineStr">
        <is>
          <t>TORSBY</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11672-2025</t>
        </is>
      </c>
      <c r="B1722" s="1" t="n">
        <v>45727</v>
      </c>
      <c r="C1722" s="1" t="n">
        <v>46117</v>
      </c>
      <c r="D1722" t="inlineStr">
        <is>
          <t>VÄRMLANDS LÄN</t>
        </is>
      </c>
      <c r="E1722" t="inlineStr">
        <is>
          <t>TORSBY</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15873-2025</t>
        </is>
      </c>
      <c r="B1723" s="1" t="n">
        <v>45749.3759375</v>
      </c>
      <c r="C1723" s="1" t="n">
        <v>46117</v>
      </c>
      <c r="D1723" t="inlineStr">
        <is>
          <t>VÄRMLANDS LÄN</t>
        </is>
      </c>
      <c r="E1723" t="inlineStr">
        <is>
          <t>TORSBY</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31052-2023</t>
        </is>
      </c>
      <c r="B1724" s="1" t="n">
        <v>45113</v>
      </c>
      <c r="C1724" s="1" t="n">
        <v>46117</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28380-2025</t>
        </is>
      </c>
      <c r="B1725" s="1" t="n">
        <v>45819.30581018519</v>
      </c>
      <c r="C1725" s="1" t="n">
        <v>46117</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4908-2024</t>
        </is>
      </c>
      <c r="B1726" s="1" t="n">
        <v>45329</v>
      </c>
      <c r="C1726" s="1" t="n">
        <v>46117</v>
      </c>
      <c r="D1726" t="inlineStr">
        <is>
          <t>VÄRMLANDS LÄN</t>
        </is>
      </c>
      <c r="E1726" t="inlineStr">
        <is>
          <t>TORSBY</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27358-2024</t>
        </is>
      </c>
      <c r="B1727" s="1" t="n">
        <v>45473.71635416667</v>
      </c>
      <c r="C1727" s="1" t="n">
        <v>46117</v>
      </c>
      <c r="D1727" t="inlineStr">
        <is>
          <t>VÄRMLANDS LÄN</t>
        </is>
      </c>
      <c r="E1727" t="inlineStr">
        <is>
          <t>TORSBY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27360-2024</t>
        </is>
      </c>
      <c r="B1728" s="1" t="n">
        <v>45473</v>
      </c>
      <c r="C1728" s="1" t="n">
        <v>46117</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39768-2024</t>
        </is>
      </c>
      <c r="B1729" s="1" t="n">
        <v>45552</v>
      </c>
      <c r="C1729" s="1" t="n">
        <v>46117</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31936-2023</t>
        </is>
      </c>
      <c r="B1730" s="1" t="n">
        <v>45107</v>
      </c>
      <c r="C1730" s="1" t="n">
        <v>46117</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4782-2026</t>
        </is>
      </c>
      <c r="B1731" s="1" t="n">
        <v>46048</v>
      </c>
      <c r="C1731" s="1" t="n">
        <v>46117</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12707-2026</t>
        </is>
      </c>
      <c r="B1732" s="1" t="n">
        <v>46091.58415509259</v>
      </c>
      <c r="C1732" s="1" t="n">
        <v>46117</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54011-2024</t>
        </is>
      </c>
      <c r="B1733" s="1" t="n">
        <v>45616.37576388889</v>
      </c>
      <c r="C1733" s="1" t="n">
        <v>46117</v>
      </c>
      <c r="D1733" t="inlineStr">
        <is>
          <t>VÄRMLANDS LÄN</t>
        </is>
      </c>
      <c r="E1733" t="inlineStr">
        <is>
          <t>TORSBY</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54026-2024</t>
        </is>
      </c>
      <c r="B1734" s="1" t="n">
        <v>45616</v>
      </c>
      <c r="C1734" s="1" t="n">
        <v>46117</v>
      </c>
      <c r="D1734" t="inlineStr">
        <is>
          <t>VÄRMLANDS LÄN</t>
        </is>
      </c>
      <c r="E1734" t="inlineStr">
        <is>
          <t>TORSBY</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10728-2026</t>
        </is>
      </c>
      <c r="B1735" s="1" t="n">
        <v>46078</v>
      </c>
      <c r="C1735" s="1" t="n">
        <v>46117</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11896-2026</t>
        </is>
      </c>
      <c r="B1736" s="1" t="n">
        <v>46085</v>
      </c>
      <c r="C1736" s="1" t="n">
        <v>46117</v>
      </c>
      <c r="D1736" t="inlineStr">
        <is>
          <t>VÄRMLANDS LÄN</t>
        </is>
      </c>
      <c r="E1736" t="inlineStr">
        <is>
          <t>TORSBY</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5088-2026</t>
        </is>
      </c>
      <c r="B1737" s="1" t="n">
        <v>46049.55236111111</v>
      </c>
      <c r="C1737" s="1" t="n">
        <v>46117</v>
      </c>
      <c r="D1737" t="inlineStr">
        <is>
          <t>VÄRMLANDS LÄN</t>
        </is>
      </c>
      <c r="E1737" t="inlineStr">
        <is>
          <t>TORSBY</t>
        </is>
      </c>
      <c r="F1737" t="inlineStr">
        <is>
          <t>Bergvik skog väst AB</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56509-2024</t>
        </is>
      </c>
      <c r="B1738" s="1" t="n">
        <v>45625</v>
      </c>
      <c r="C1738" s="1" t="n">
        <v>46117</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54223-2023</t>
        </is>
      </c>
      <c r="B1739" s="1" t="n">
        <v>45232</v>
      </c>
      <c r="C1739" s="1" t="n">
        <v>46117</v>
      </c>
      <c r="D1739" t="inlineStr">
        <is>
          <t>VÄRMLANDS LÄN</t>
        </is>
      </c>
      <c r="E1739" t="inlineStr">
        <is>
          <t>TORSBY</t>
        </is>
      </c>
      <c r="F1739" t="inlineStr">
        <is>
          <t>Bergvik skog väst AB</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40157-2024</t>
        </is>
      </c>
      <c r="B1740" s="1" t="n">
        <v>45554</v>
      </c>
      <c r="C1740" s="1" t="n">
        <v>46117</v>
      </c>
      <c r="D1740" t="inlineStr">
        <is>
          <t>VÄRMLANDS LÄN</t>
        </is>
      </c>
      <c r="E1740" t="inlineStr">
        <is>
          <t>TORSBY</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56880-2023</t>
        </is>
      </c>
      <c r="B1741" s="1" t="n">
        <v>45244</v>
      </c>
      <c r="C1741" s="1" t="n">
        <v>46117</v>
      </c>
      <c r="D1741" t="inlineStr">
        <is>
          <t>VÄRMLANDS LÄN</t>
        </is>
      </c>
      <c r="E1741" t="inlineStr">
        <is>
          <t>TORSBY</t>
        </is>
      </c>
      <c r="F1741" t="inlineStr">
        <is>
          <t>Övriga Aktiebolag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40207-2023</t>
        </is>
      </c>
      <c r="B1742" s="1" t="n">
        <v>45169.44604166667</v>
      </c>
      <c r="C1742" s="1" t="n">
        <v>46117</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55485-2023</t>
        </is>
      </c>
      <c r="B1743" s="1" t="n">
        <v>45238.52023148148</v>
      </c>
      <c r="C1743" s="1" t="n">
        <v>46117</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4789-2026</t>
        </is>
      </c>
      <c r="B1744" s="1" t="n">
        <v>46048</v>
      </c>
      <c r="C1744" s="1" t="n">
        <v>46117</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54714-2023</t>
        </is>
      </c>
      <c r="B1745" s="1" t="n">
        <v>45236.3515162037</v>
      </c>
      <c r="C1745" s="1" t="n">
        <v>46117</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21094-2022</t>
        </is>
      </c>
      <c r="B1746" s="1" t="n">
        <v>44704</v>
      </c>
      <c r="C1746" s="1" t="n">
        <v>46117</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4703-2026</t>
        </is>
      </c>
      <c r="B1747" s="1" t="n">
        <v>46048.45079861111</v>
      </c>
      <c r="C1747" s="1" t="n">
        <v>46117</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50973-2023</t>
        </is>
      </c>
      <c r="B1748" s="1" t="n">
        <v>45218.50408564815</v>
      </c>
      <c r="C1748" s="1" t="n">
        <v>46117</v>
      </c>
      <c r="D1748" t="inlineStr">
        <is>
          <t>VÄRMLANDS LÄN</t>
        </is>
      </c>
      <c r="E1748" t="inlineStr">
        <is>
          <t>TORSBY</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4988-2026</t>
        </is>
      </c>
      <c r="B1749" s="1" t="n">
        <v>46049</v>
      </c>
      <c r="C1749" s="1" t="n">
        <v>46117</v>
      </c>
      <c r="D1749" t="inlineStr">
        <is>
          <t>VÄRMLANDS LÄN</t>
        </is>
      </c>
      <c r="E1749" t="inlineStr">
        <is>
          <t>TORSBY</t>
        </is>
      </c>
      <c r="F1749" t="inlineStr">
        <is>
          <t>Bergvik skog väst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51836-2024</t>
        </is>
      </c>
      <c r="B1750" s="1" t="n">
        <v>45607</v>
      </c>
      <c r="C1750" s="1" t="n">
        <v>46117</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5084-2026</t>
        </is>
      </c>
      <c r="B1751" s="1" t="n">
        <v>46049.54569444444</v>
      </c>
      <c r="C1751" s="1" t="n">
        <v>46117</v>
      </c>
      <c r="D1751" t="inlineStr">
        <is>
          <t>VÄRMLANDS LÄN</t>
        </is>
      </c>
      <c r="E1751" t="inlineStr">
        <is>
          <t>TORSBY</t>
        </is>
      </c>
      <c r="F1751" t="inlineStr">
        <is>
          <t>Bergvik skog väst AB</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54489-2024</t>
        </is>
      </c>
      <c r="B1752" s="1" t="n">
        <v>45617.56674768519</v>
      </c>
      <c r="C1752" s="1" t="n">
        <v>46117</v>
      </c>
      <c r="D1752" t="inlineStr">
        <is>
          <t>VÄRMLANDS LÄN</t>
        </is>
      </c>
      <c r="E1752" t="inlineStr">
        <is>
          <t>TORSBY</t>
        </is>
      </c>
      <c r="F1752" t="inlineStr">
        <is>
          <t>Bergvik skog väst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5193-2026</t>
        </is>
      </c>
      <c r="B1753" s="1" t="n">
        <v>46049</v>
      </c>
      <c r="C1753" s="1" t="n">
        <v>46117</v>
      </c>
      <c r="D1753" t="inlineStr">
        <is>
          <t>VÄRMLANDS LÄN</t>
        </is>
      </c>
      <c r="E1753" t="inlineStr">
        <is>
          <t>TORSBY</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924-2024</t>
        </is>
      </c>
      <c r="B1754" s="1" t="n">
        <v>45301</v>
      </c>
      <c r="C1754" s="1" t="n">
        <v>46117</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20309-2025</t>
        </is>
      </c>
      <c r="B1755" s="1" t="n">
        <v>45775.28427083333</v>
      </c>
      <c r="C1755" s="1" t="n">
        <v>46117</v>
      </c>
      <c r="D1755" t="inlineStr">
        <is>
          <t>VÄRMLANDS LÄN</t>
        </is>
      </c>
      <c r="E1755" t="inlineStr">
        <is>
          <t>TORSBY</t>
        </is>
      </c>
      <c r="F1755" t="inlineStr">
        <is>
          <t>Bergvik skog väst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16498-2022</t>
        </is>
      </c>
      <c r="B1756" s="1" t="n">
        <v>44671</v>
      </c>
      <c r="C1756" s="1" t="n">
        <v>46117</v>
      </c>
      <c r="D1756" t="inlineStr">
        <is>
          <t>VÄRMLANDS LÄN</t>
        </is>
      </c>
      <c r="E1756" t="inlineStr">
        <is>
          <t>TORSBY</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21411-2023</t>
        </is>
      </c>
      <c r="B1757" s="1" t="n">
        <v>45063.38505787037</v>
      </c>
      <c r="C1757" s="1" t="n">
        <v>46117</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48320-2022</t>
        </is>
      </c>
      <c r="B1758" s="1" t="n">
        <v>44853</v>
      </c>
      <c r="C1758" s="1" t="n">
        <v>46117</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3841-2022</t>
        </is>
      </c>
      <c r="B1759" s="1" t="n">
        <v>44587</v>
      </c>
      <c r="C1759" s="1" t="n">
        <v>46117</v>
      </c>
      <c r="D1759" t="inlineStr">
        <is>
          <t>VÄRMLANDS LÄN</t>
        </is>
      </c>
      <c r="E1759" t="inlineStr">
        <is>
          <t>TORSBY</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58185-2023</t>
        </is>
      </c>
      <c r="B1760" s="1" t="n">
        <v>45250.41873842593</v>
      </c>
      <c r="C1760" s="1" t="n">
        <v>46117</v>
      </c>
      <c r="D1760" t="inlineStr">
        <is>
          <t>VÄRMLANDS LÄN</t>
        </is>
      </c>
      <c r="E1760" t="inlineStr">
        <is>
          <t>TORSBY</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27038-2024</t>
        </is>
      </c>
      <c r="B1761" s="1" t="n">
        <v>45471</v>
      </c>
      <c r="C1761" s="1" t="n">
        <v>46117</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27045-2024</t>
        </is>
      </c>
      <c r="B1762" s="1" t="n">
        <v>45471</v>
      </c>
      <c r="C1762" s="1" t="n">
        <v>46117</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5562-2026</t>
        </is>
      </c>
      <c r="B1763" s="1" t="n">
        <v>46050</v>
      </c>
      <c r="C1763" s="1" t="n">
        <v>46117</v>
      </c>
      <c r="D1763" t="inlineStr">
        <is>
          <t>VÄRMLANDS LÄN</t>
        </is>
      </c>
      <c r="E1763" t="inlineStr">
        <is>
          <t>TORSBY</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12178-2026</t>
        </is>
      </c>
      <c r="B1764" s="1" t="n">
        <v>46086</v>
      </c>
      <c r="C1764" s="1" t="n">
        <v>46117</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5639-2026</t>
        </is>
      </c>
      <c r="B1765" s="1" t="n">
        <v>46051</v>
      </c>
      <c r="C1765" s="1" t="n">
        <v>46117</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13050-2026</t>
        </is>
      </c>
      <c r="B1766" s="1" t="n">
        <v>46093.32957175926</v>
      </c>
      <c r="C1766" s="1" t="n">
        <v>46117</v>
      </c>
      <c r="D1766" t="inlineStr">
        <is>
          <t>VÄRMLANDS LÄN</t>
        </is>
      </c>
      <c r="E1766" t="inlineStr">
        <is>
          <t>TORSBY</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5493-2026</t>
        </is>
      </c>
      <c r="B1767" s="1" t="n">
        <v>46050</v>
      </c>
      <c r="C1767" s="1" t="n">
        <v>46117</v>
      </c>
      <c r="D1767" t="inlineStr">
        <is>
          <t>VÄRMLANDS LÄN</t>
        </is>
      </c>
      <c r="E1767" t="inlineStr">
        <is>
          <t>TORSBY</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5554-2026</t>
        </is>
      </c>
      <c r="B1768" s="1" t="n">
        <v>46050.72899305556</v>
      </c>
      <c r="C1768" s="1" t="n">
        <v>46117</v>
      </c>
      <c r="D1768" t="inlineStr">
        <is>
          <t>VÄRMLANDS LÄN</t>
        </is>
      </c>
      <c r="E1768" t="inlineStr">
        <is>
          <t>TORSBY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12972-2026</t>
        </is>
      </c>
      <c r="B1769" s="1" t="n">
        <v>46092.65572916667</v>
      </c>
      <c r="C1769" s="1" t="n">
        <v>46117</v>
      </c>
      <c r="D1769" t="inlineStr">
        <is>
          <t>VÄRMLANDS LÄN</t>
        </is>
      </c>
      <c r="E1769" t="inlineStr">
        <is>
          <t>TORSBY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5714-2026</t>
        </is>
      </c>
      <c r="B1770" s="1" t="n">
        <v>46051.52498842592</v>
      </c>
      <c r="C1770" s="1" t="n">
        <v>46117</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5553-2026</t>
        </is>
      </c>
      <c r="B1771" s="1" t="n">
        <v>46050.72769675926</v>
      </c>
      <c r="C1771" s="1" t="n">
        <v>46117</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27920-2023</t>
        </is>
      </c>
      <c r="B1772" s="1" t="n">
        <v>45098.64269675926</v>
      </c>
      <c r="C1772" s="1" t="n">
        <v>46117</v>
      </c>
      <c r="D1772" t="inlineStr">
        <is>
          <t>VÄRMLANDS LÄN</t>
        </is>
      </c>
      <c r="E1772" t="inlineStr">
        <is>
          <t>TORSBY</t>
        </is>
      </c>
      <c r="F1772" t="inlineStr">
        <is>
          <t>Kyrkan</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12964-2026</t>
        </is>
      </c>
      <c r="B1773" s="1" t="n">
        <v>46092.64571759259</v>
      </c>
      <c r="C1773" s="1" t="n">
        <v>46117</v>
      </c>
      <c r="D1773" t="inlineStr">
        <is>
          <t>VÄRMLANDS LÄN</t>
        </is>
      </c>
      <c r="E1773" t="inlineStr">
        <is>
          <t>TORSBY</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12890-2026</t>
        </is>
      </c>
      <c r="B1774" s="1" t="n">
        <v>46092</v>
      </c>
      <c r="C1774" s="1" t="n">
        <v>46117</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12915-2026</t>
        </is>
      </c>
      <c r="B1775" s="1" t="n">
        <v>46092.59122685185</v>
      </c>
      <c r="C1775" s="1" t="n">
        <v>46117</v>
      </c>
      <c r="D1775" t="inlineStr">
        <is>
          <t>VÄRMLANDS LÄN</t>
        </is>
      </c>
      <c r="E1775" t="inlineStr">
        <is>
          <t>TORSBY</t>
        </is>
      </c>
      <c r="F1775" t="inlineStr">
        <is>
          <t>Bergvik skog väst AB</t>
        </is>
      </c>
      <c r="G1775" t="n">
        <v>16.4</v>
      </c>
      <c r="H1775" t="n">
        <v>0</v>
      </c>
      <c r="I1775" t="n">
        <v>0</v>
      </c>
      <c r="J1775" t="n">
        <v>0</v>
      </c>
      <c r="K1775" t="n">
        <v>0</v>
      </c>
      <c r="L1775" t="n">
        <v>0</v>
      </c>
      <c r="M1775" t="n">
        <v>0</v>
      </c>
      <c r="N1775" t="n">
        <v>0</v>
      </c>
      <c r="O1775" t="n">
        <v>0</v>
      </c>
      <c r="P1775" t="n">
        <v>0</v>
      </c>
      <c r="Q1775" t="n">
        <v>0</v>
      </c>
      <c r="R1775" s="2" t="inlineStr"/>
    </row>
    <row r="1776" ht="15" customHeight="1">
      <c r="A1776" t="inlineStr">
        <is>
          <t>A 14614-2025</t>
        </is>
      </c>
      <c r="B1776" s="1" t="n">
        <v>45742</v>
      </c>
      <c r="C1776" s="1" t="n">
        <v>46117</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24639-2023</t>
        </is>
      </c>
      <c r="B1777" s="1" t="n">
        <v>45084</v>
      </c>
      <c r="C1777" s="1" t="n">
        <v>46117</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5720-2026</t>
        </is>
      </c>
      <c r="B1778" s="1" t="n">
        <v>46051.54165509259</v>
      </c>
      <c r="C1778" s="1" t="n">
        <v>46117</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57072-2022</t>
        </is>
      </c>
      <c r="B1779" s="1" t="n">
        <v>44895.4252662037</v>
      </c>
      <c r="C1779" s="1" t="n">
        <v>46117</v>
      </c>
      <c r="D1779" t="inlineStr">
        <is>
          <t>VÄRMLANDS LÄN</t>
        </is>
      </c>
      <c r="E1779" t="inlineStr">
        <is>
          <t>TORSBY</t>
        </is>
      </c>
      <c r="F1779" t="inlineStr">
        <is>
          <t>Övriga statliga verk och myndigheter</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12790-2026</t>
        </is>
      </c>
      <c r="B1780" s="1" t="n">
        <v>46092</v>
      </c>
      <c r="C1780" s="1" t="n">
        <v>46117</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18544-2023</t>
        </is>
      </c>
      <c r="B1781" s="1" t="n">
        <v>45041</v>
      </c>
      <c r="C1781" s="1" t="n">
        <v>46117</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52581-2024</t>
        </is>
      </c>
      <c r="B1782" s="1" t="n">
        <v>45609</v>
      </c>
      <c r="C1782" s="1" t="n">
        <v>46117</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44708-2022</t>
        </is>
      </c>
      <c r="B1783" s="1" t="n">
        <v>44840.73633101852</v>
      </c>
      <c r="C1783" s="1" t="n">
        <v>46117</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56970-2023</t>
        </is>
      </c>
      <c r="B1784" s="1" t="n">
        <v>45244.63689814815</v>
      </c>
      <c r="C1784" s="1" t="n">
        <v>46117</v>
      </c>
      <c r="D1784" t="inlineStr">
        <is>
          <t>VÄRMLANDS LÄN</t>
        </is>
      </c>
      <c r="E1784" t="inlineStr">
        <is>
          <t>TORSBY</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13479-2026</t>
        </is>
      </c>
      <c r="B1785" s="1" t="n">
        <v>46094.57594907407</v>
      </c>
      <c r="C1785" s="1" t="n">
        <v>46117</v>
      </c>
      <c r="D1785" t="inlineStr">
        <is>
          <t>VÄRMLANDS LÄN</t>
        </is>
      </c>
      <c r="E1785" t="inlineStr">
        <is>
          <t>TORSBY</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38100-2024</t>
        </is>
      </c>
      <c r="B1786" s="1" t="n">
        <v>45545</v>
      </c>
      <c r="C1786" s="1" t="n">
        <v>46117</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41529-2024</t>
        </is>
      </c>
      <c r="B1787" s="1" t="n">
        <v>45560.48552083333</v>
      </c>
      <c r="C1787" s="1" t="n">
        <v>46117</v>
      </c>
      <c r="D1787" t="inlineStr">
        <is>
          <t>VÄRMLANDS LÄN</t>
        </is>
      </c>
      <c r="E1787" t="inlineStr">
        <is>
          <t>TORSBY</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56281-2022</t>
        </is>
      </c>
      <c r="B1788" s="1" t="n">
        <v>44890</v>
      </c>
      <c r="C1788" s="1" t="n">
        <v>46117</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13155-2026</t>
        </is>
      </c>
      <c r="B1789" s="1" t="n">
        <v>46093</v>
      </c>
      <c r="C1789" s="1" t="n">
        <v>46117</v>
      </c>
      <c r="D1789" t="inlineStr">
        <is>
          <t>VÄRMLANDS LÄN</t>
        </is>
      </c>
      <c r="E1789" t="inlineStr">
        <is>
          <t>TORSBY</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46117</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5979-2026</t>
        </is>
      </c>
      <c r="B1791" s="1" t="n">
        <v>46052</v>
      </c>
      <c r="C1791" s="1" t="n">
        <v>46117</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40997-2022</t>
        </is>
      </c>
      <c r="B1792" s="1" t="n">
        <v>44825.50576388889</v>
      </c>
      <c r="C1792" s="1" t="n">
        <v>46117</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39770-2024</t>
        </is>
      </c>
      <c r="B1793" s="1" t="n">
        <v>45552</v>
      </c>
      <c r="C1793" s="1" t="n">
        <v>46117</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18682-2024</t>
        </is>
      </c>
      <c r="B1794" s="1" t="n">
        <v>45426.37251157407</v>
      </c>
      <c r="C1794" s="1" t="n">
        <v>46117</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5976-2026</t>
        </is>
      </c>
      <c r="B1795" s="1" t="n">
        <v>46052</v>
      </c>
      <c r="C1795" s="1" t="n">
        <v>46117</v>
      </c>
      <c r="D1795" t="inlineStr">
        <is>
          <t>VÄRMLANDS LÄN</t>
        </is>
      </c>
      <c r="E1795" t="inlineStr">
        <is>
          <t>TORSBY</t>
        </is>
      </c>
      <c r="F1795" t="inlineStr">
        <is>
          <t>Bergvik skog väst AB</t>
        </is>
      </c>
      <c r="G1795" t="n">
        <v>18.4</v>
      </c>
      <c r="H1795" t="n">
        <v>0</v>
      </c>
      <c r="I1795" t="n">
        <v>0</v>
      </c>
      <c r="J1795" t="n">
        <v>0</v>
      </c>
      <c r="K1795" t="n">
        <v>0</v>
      </c>
      <c r="L1795" t="n">
        <v>0</v>
      </c>
      <c r="M1795" t="n">
        <v>0</v>
      </c>
      <c r="N1795" t="n">
        <v>0</v>
      </c>
      <c r="O1795" t="n">
        <v>0</v>
      </c>
      <c r="P1795" t="n">
        <v>0</v>
      </c>
      <c r="Q1795" t="n">
        <v>0</v>
      </c>
      <c r="R1795" s="2" t="inlineStr"/>
    </row>
    <row r="1796" ht="15" customHeight="1">
      <c r="A1796" t="inlineStr">
        <is>
          <t>A 3542-2023</t>
        </is>
      </c>
      <c r="B1796" s="1" t="n">
        <v>44950</v>
      </c>
      <c r="C1796" s="1" t="n">
        <v>46117</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60737-2022</t>
        </is>
      </c>
      <c r="B1797" s="1" t="n">
        <v>44913.88537037037</v>
      </c>
      <c r="C1797" s="1" t="n">
        <v>46117</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13603-2026</t>
        </is>
      </c>
      <c r="B1798" s="1" t="n">
        <v>46097.32181712963</v>
      </c>
      <c r="C1798" s="1" t="n">
        <v>46117</v>
      </c>
      <c r="D1798" t="inlineStr">
        <is>
          <t>VÄRMLANDS LÄN</t>
        </is>
      </c>
      <c r="E1798" t="inlineStr">
        <is>
          <t>TORSBY</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37929-2022</t>
        </is>
      </c>
      <c r="B1799" s="1" t="n">
        <v>44811.45628472222</v>
      </c>
      <c r="C1799" s="1" t="n">
        <v>46117</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53297-2024</t>
        </is>
      </c>
      <c r="B1800" s="1" t="n">
        <v>45614.38802083334</v>
      </c>
      <c r="C1800" s="1" t="n">
        <v>46117</v>
      </c>
      <c r="D1800" t="inlineStr">
        <is>
          <t>VÄRMLANDS LÄN</t>
        </is>
      </c>
      <c r="E1800" t="inlineStr">
        <is>
          <t>TORSBY</t>
        </is>
      </c>
      <c r="F1800" t="inlineStr">
        <is>
          <t>Bergvik skog väst AB</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46117</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6322-2026</t>
        </is>
      </c>
      <c r="B1802" s="1" t="n">
        <v>46055</v>
      </c>
      <c r="C1802" s="1" t="n">
        <v>46117</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5983-2026</t>
        </is>
      </c>
      <c r="B1803" s="1" t="n">
        <v>46052</v>
      </c>
      <c r="C1803" s="1" t="n">
        <v>46117</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9057-2022</t>
        </is>
      </c>
      <c r="B1804" s="1" t="n">
        <v>44615</v>
      </c>
      <c r="C1804" s="1" t="n">
        <v>46117</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13189-2025</t>
        </is>
      </c>
      <c r="B1805" s="1" t="n">
        <v>45735.39708333334</v>
      </c>
      <c r="C1805" s="1" t="n">
        <v>46117</v>
      </c>
      <c r="D1805" t="inlineStr">
        <is>
          <t>VÄRMLANDS LÄN</t>
        </is>
      </c>
      <c r="E1805" t="inlineStr">
        <is>
          <t>TORSBY</t>
        </is>
      </c>
      <c r="G1805" t="n">
        <v>15.4</v>
      </c>
      <c r="H1805" t="n">
        <v>0</v>
      </c>
      <c r="I1805" t="n">
        <v>0</v>
      </c>
      <c r="J1805" t="n">
        <v>0</v>
      </c>
      <c r="K1805" t="n">
        <v>0</v>
      </c>
      <c r="L1805" t="n">
        <v>0</v>
      </c>
      <c r="M1805" t="n">
        <v>0</v>
      </c>
      <c r="N1805" t="n">
        <v>0</v>
      </c>
      <c r="O1805" t="n">
        <v>0</v>
      </c>
      <c r="P1805" t="n">
        <v>0</v>
      </c>
      <c r="Q1805" t="n">
        <v>0</v>
      </c>
      <c r="R1805" s="2" t="inlineStr"/>
    </row>
    <row r="1806" ht="15" customHeight="1">
      <c r="A1806" t="inlineStr">
        <is>
          <t>A 6084-2026</t>
        </is>
      </c>
      <c r="B1806" s="1" t="n">
        <v>46052.69313657407</v>
      </c>
      <c r="C1806" s="1" t="n">
        <v>46117</v>
      </c>
      <c r="D1806" t="inlineStr">
        <is>
          <t>VÄRMLANDS LÄN</t>
        </is>
      </c>
      <c r="E1806" t="inlineStr">
        <is>
          <t>TORSBY</t>
        </is>
      </c>
      <c r="G1806" t="n">
        <v>19.5</v>
      </c>
      <c r="H1806" t="n">
        <v>0</v>
      </c>
      <c r="I1806" t="n">
        <v>0</v>
      </c>
      <c r="J1806" t="n">
        <v>0</v>
      </c>
      <c r="K1806" t="n">
        <v>0</v>
      </c>
      <c r="L1806" t="n">
        <v>0</v>
      </c>
      <c r="M1806" t="n">
        <v>0</v>
      </c>
      <c r="N1806" t="n">
        <v>0</v>
      </c>
      <c r="O1806" t="n">
        <v>0</v>
      </c>
      <c r="P1806" t="n">
        <v>0</v>
      </c>
      <c r="Q1806" t="n">
        <v>0</v>
      </c>
      <c r="R1806" s="2" t="inlineStr"/>
    </row>
    <row r="1807" ht="15" customHeight="1">
      <c r="A1807" t="inlineStr">
        <is>
          <t>A 13651-2026</t>
        </is>
      </c>
      <c r="B1807" s="1" t="n">
        <v>46097.43918981482</v>
      </c>
      <c r="C1807" s="1" t="n">
        <v>46117</v>
      </c>
      <c r="D1807" t="inlineStr">
        <is>
          <t>VÄRMLANDS LÄN</t>
        </is>
      </c>
      <c r="E1807" t="inlineStr">
        <is>
          <t>TORSBY</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3326-2024</t>
        </is>
      </c>
      <c r="B1808" s="1" t="n">
        <v>45317</v>
      </c>
      <c r="C1808" s="1" t="n">
        <v>46117</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10329-2025</t>
        </is>
      </c>
      <c r="B1809" s="1" t="n">
        <v>45720</v>
      </c>
      <c r="C1809" s="1" t="n">
        <v>46117</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10343-2025</t>
        </is>
      </c>
      <c r="B1810" s="1" t="n">
        <v>45720</v>
      </c>
      <c r="C1810" s="1" t="n">
        <v>46117</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14316-2026</t>
        </is>
      </c>
      <c r="B1811" s="1" t="n">
        <v>46099.86015046296</v>
      </c>
      <c r="C1811" s="1" t="n">
        <v>46117</v>
      </c>
      <c r="D1811" t="inlineStr">
        <is>
          <t>VÄRMLANDS LÄN</t>
        </is>
      </c>
      <c r="E1811" t="inlineStr">
        <is>
          <t>TORSBY</t>
        </is>
      </c>
      <c r="F1811" t="inlineStr">
        <is>
          <t>Bergvik skog väst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52901-2022</t>
        </is>
      </c>
      <c r="B1812" s="1" t="n">
        <v>44872</v>
      </c>
      <c r="C1812" s="1" t="n">
        <v>46117</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47077-2023</t>
        </is>
      </c>
      <c r="B1813" s="1" t="n">
        <v>45201</v>
      </c>
      <c r="C1813" s="1" t="n">
        <v>46117</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20745-2023</t>
        </is>
      </c>
      <c r="B1814" s="1" t="n">
        <v>45058</v>
      </c>
      <c r="C1814" s="1" t="n">
        <v>46117</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70926-2021</t>
        </is>
      </c>
      <c r="B1815" s="1" t="n">
        <v>44538</v>
      </c>
      <c r="C1815" s="1" t="n">
        <v>46117</v>
      </c>
      <c r="D1815" t="inlineStr">
        <is>
          <t>VÄRMLANDS LÄN</t>
        </is>
      </c>
      <c r="E1815" t="inlineStr">
        <is>
          <t>TORSBY</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13880-2026</t>
        </is>
      </c>
      <c r="B1816" s="1" t="n">
        <v>46098.44478009259</v>
      </c>
      <c r="C1816" s="1" t="n">
        <v>46117</v>
      </c>
      <c r="D1816" t="inlineStr">
        <is>
          <t>VÄRMLANDS LÄN</t>
        </is>
      </c>
      <c r="E1816" t="inlineStr">
        <is>
          <t>TORSBY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72200-2021</t>
        </is>
      </c>
      <c r="B1817" s="1" t="n">
        <v>44544.67358796296</v>
      </c>
      <c r="C1817" s="1" t="n">
        <v>46117</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13877-2026</t>
        </is>
      </c>
      <c r="B1818" s="1" t="n">
        <v>46098.4414699074</v>
      </c>
      <c r="C1818" s="1" t="n">
        <v>46117</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52592-2024</t>
        </is>
      </c>
      <c r="B1819" s="1" t="n">
        <v>45609</v>
      </c>
      <c r="C1819" s="1" t="n">
        <v>46117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18877-2022</t>
        </is>
      </c>
      <c r="B1820" s="1" t="n">
        <v>44690.52556712963</v>
      </c>
      <c r="C1820" s="1" t="n">
        <v>46117</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14051-2026</t>
        </is>
      </c>
      <c r="B1821" s="1" t="n">
        <v>46099.30069444444</v>
      </c>
      <c r="C1821" s="1" t="n">
        <v>46117</v>
      </c>
      <c r="D1821" t="inlineStr">
        <is>
          <t>VÄRMLANDS LÄN</t>
        </is>
      </c>
      <c r="E1821" t="inlineStr">
        <is>
          <t>TORSBY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13900-2026</t>
        </is>
      </c>
      <c r="B1822" s="1" t="n">
        <v>46098.46788194445</v>
      </c>
      <c r="C1822" s="1" t="n">
        <v>46117</v>
      </c>
      <c r="D1822" t="inlineStr">
        <is>
          <t>VÄRMLANDS LÄN</t>
        </is>
      </c>
      <c r="E1822" t="inlineStr">
        <is>
          <t>TORSBY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5830-2023</t>
        </is>
      </c>
      <c r="B1823" s="1" t="n">
        <v>44963</v>
      </c>
      <c r="C1823" s="1" t="n">
        <v>46117</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13895-2026</t>
        </is>
      </c>
      <c r="B1824" s="1" t="n">
        <v>46098.46354166666</v>
      </c>
      <c r="C1824" s="1" t="n">
        <v>46117</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22158-2022</t>
        </is>
      </c>
      <c r="B1825" s="1" t="n">
        <v>44708</v>
      </c>
      <c r="C1825" s="1" t="n">
        <v>46117</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13887-2026</t>
        </is>
      </c>
      <c r="B1826" s="1" t="n">
        <v>46098.45368055555</v>
      </c>
      <c r="C1826" s="1" t="n">
        <v>46117</v>
      </c>
      <c r="D1826" t="inlineStr">
        <is>
          <t>VÄRMLANDS LÄN</t>
        </is>
      </c>
      <c r="E1826" t="inlineStr">
        <is>
          <t>TORSBY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13891-2026</t>
        </is>
      </c>
      <c r="B1827" s="1" t="n">
        <v>46098.45974537037</v>
      </c>
      <c r="C1827" s="1" t="n">
        <v>46117</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20175-2022</t>
        </is>
      </c>
      <c r="B1828" s="1" t="n">
        <v>44698</v>
      </c>
      <c r="C1828" s="1" t="n">
        <v>46117</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13884-2026</t>
        </is>
      </c>
      <c r="B1829" s="1" t="n">
        <v>46098.44921296297</v>
      </c>
      <c r="C1829" s="1" t="n">
        <v>46117</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12434-2026</t>
        </is>
      </c>
      <c r="B1830" s="1" t="n">
        <v>46090.46603009259</v>
      </c>
      <c r="C1830" s="1" t="n">
        <v>46117</v>
      </c>
      <c r="D1830" t="inlineStr">
        <is>
          <t>VÄRMLANDS LÄN</t>
        </is>
      </c>
      <c r="E1830" t="inlineStr">
        <is>
          <t>TORSBY</t>
        </is>
      </c>
      <c r="G1830" t="n">
        <v>15.4</v>
      </c>
      <c r="H1830" t="n">
        <v>0</v>
      </c>
      <c r="I1830" t="n">
        <v>0</v>
      </c>
      <c r="J1830" t="n">
        <v>0</v>
      </c>
      <c r="K1830" t="n">
        <v>0</v>
      </c>
      <c r="L1830" t="n">
        <v>0</v>
      </c>
      <c r="M1830" t="n">
        <v>0</v>
      </c>
      <c r="N1830" t="n">
        <v>0</v>
      </c>
      <c r="O1830" t="n">
        <v>0</v>
      </c>
      <c r="P1830" t="n">
        <v>0</v>
      </c>
      <c r="Q1830" t="n">
        <v>0</v>
      </c>
      <c r="R1830" s="2" t="inlineStr"/>
    </row>
    <row r="1831" ht="15" customHeight="1">
      <c r="A1831" t="inlineStr">
        <is>
          <t>A 13909-2026</t>
        </is>
      </c>
      <c r="B1831" s="1" t="n">
        <v>46098.47471064814</v>
      </c>
      <c r="C1831" s="1" t="n">
        <v>46117</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6646-2024</t>
        </is>
      </c>
      <c r="B1832" s="1" t="n">
        <v>45341.66643518519</v>
      </c>
      <c r="C1832" s="1" t="n">
        <v>46117</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6648-2024</t>
        </is>
      </c>
      <c r="B1833" s="1" t="n">
        <v>45341</v>
      </c>
      <c r="C1833" s="1" t="n">
        <v>46117</v>
      </c>
      <c r="D1833" t="inlineStr">
        <is>
          <t>VÄRMLANDS LÄN</t>
        </is>
      </c>
      <c r="E1833" t="inlineStr">
        <is>
          <t>TORSBY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6603-2026</t>
        </is>
      </c>
      <c r="B1834" s="1" t="n">
        <v>46056.47186342593</v>
      </c>
      <c r="C1834" s="1" t="n">
        <v>46117</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13837-2026</t>
        </is>
      </c>
      <c r="B1835" s="1" t="n">
        <v>46098.36577546296</v>
      </c>
      <c r="C1835" s="1" t="n">
        <v>46117</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41841-2023</t>
        </is>
      </c>
      <c r="B1836" s="1" t="n">
        <v>45176.60436342593</v>
      </c>
      <c r="C1836" s="1" t="n">
        <v>46117</v>
      </c>
      <c r="D1836" t="inlineStr">
        <is>
          <t>VÄRMLANDS LÄN</t>
        </is>
      </c>
      <c r="E1836" t="inlineStr">
        <is>
          <t>TORSBY</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6713-2023</t>
        </is>
      </c>
      <c r="B1837" s="1" t="n">
        <v>44960</v>
      </c>
      <c r="C1837" s="1" t="n">
        <v>46117</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7190-2026</t>
        </is>
      </c>
      <c r="B1838" s="1" t="n">
        <v>46058.49616898148</v>
      </c>
      <c r="C1838" s="1" t="n">
        <v>46117</v>
      </c>
      <c r="D1838" t="inlineStr">
        <is>
          <t>VÄRMLANDS LÄN</t>
        </is>
      </c>
      <c r="E1838" t="inlineStr">
        <is>
          <t>TORSBY</t>
        </is>
      </c>
      <c r="F1838" t="inlineStr">
        <is>
          <t>Bergvik skog väst AB</t>
        </is>
      </c>
      <c r="G1838" t="n">
        <v>18.2</v>
      </c>
      <c r="H1838" t="n">
        <v>0</v>
      </c>
      <c r="I1838" t="n">
        <v>0</v>
      </c>
      <c r="J1838" t="n">
        <v>0</v>
      </c>
      <c r="K1838" t="n">
        <v>0</v>
      </c>
      <c r="L1838" t="n">
        <v>0</v>
      </c>
      <c r="M1838" t="n">
        <v>0</v>
      </c>
      <c r="N1838" t="n">
        <v>0</v>
      </c>
      <c r="O1838" t="n">
        <v>0</v>
      </c>
      <c r="P1838" t="n">
        <v>0</v>
      </c>
      <c r="Q1838" t="n">
        <v>0</v>
      </c>
      <c r="R1838" s="2" t="inlineStr"/>
    </row>
    <row r="1839" ht="15" customHeight="1">
      <c r="A1839" t="inlineStr">
        <is>
          <t>A 14495-2026</t>
        </is>
      </c>
      <c r="B1839" s="1" t="n">
        <v>46100.59685185185</v>
      </c>
      <c r="C1839" s="1" t="n">
        <v>46117</v>
      </c>
      <c r="D1839" t="inlineStr">
        <is>
          <t>VÄRMLANDS LÄN</t>
        </is>
      </c>
      <c r="E1839" t="inlineStr">
        <is>
          <t>TORSBY</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63409-2023</t>
        </is>
      </c>
      <c r="B1840" s="1" t="n">
        <v>45274.51719907407</v>
      </c>
      <c r="C1840" s="1" t="n">
        <v>46117</v>
      </c>
      <c r="D1840" t="inlineStr">
        <is>
          <t>VÄRMLANDS LÄN</t>
        </is>
      </c>
      <c r="E1840" t="inlineStr">
        <is>
          <t>TORSBY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12051-2024</t>
        </is>
      </c>
      <c r="B1841" s="1" t="n">
        <v>45377</v>
      </c>
      <c r="C1841" s="1" t="n">
        <v>46117</v>
      </c>
      <c r="D1841" t="inlineStr">
        <is>
          <t>VÄRMLANDS LÄN</t>
        </is>
      </c>
      <c r="E1841" t="inlineStr">
        <is>
          <t>TORSBY</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73553-2021</t>
        </is>
      </c>
      <c r="B1842" s="1" t="n">
        <v>44551</v>
      </c>
      <c r="C1842" s="1" t="n">
        <v>46117</v>
      </c>
      <c r="D1842" t="inlineStr">
        <is>
          <t>VÄRMLANDS LÄN</t>
        </is>
      </c>
      <c r="E1842" t="inlineStr">
        <is>
          <t>TORSBY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18099-2022</t>
        </is>
      </c>
      <c r="B1843" s="1" t="n">
        <v>44684</v>
      </c>
      <c r="C1843" s="1" t="n">
        <v>46117</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54306-2024</t>
        </is>
      </c>
      <c r="B1844" s="1" t="n">
        <v>45617</v>
      </c>
      <c r="C1844" s="1" t="n">
        <v>46117</v>
      </c>
      <c r="D1844" t="inlineStr">
        <is>
          <t>VÄRMLANDS LÄN</t>
        </is>
      </c>
      <c r="E1844" t="inlineStr">
        <is>
          <t>TORSBY</t>
        </is>
      </c>
      <c r="F1844" t="inlineStr">
        <is>
          <t>Bergvik skog väst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7311-2026</t>
        </is>
      </c>
      <c r="B1845" s="1" t="n">
        <v>46058</v>
      </c>
      <c r="C1845" s="1" t="n">
        <v>46117</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46166-2024</t>
        </is>
      </c>
      <c r="B1846" s="1" t="n">
        <v>45581</v>
      </c>
      <c r="C1846" s="1" t="n">
        <v>46117</v>
      </c>
      <c r="D1846" t="inlineStr">
        <is>
          <t>VÄRMLANDS LÄN</t>
        </is>
      </c>
      <c r="E1846" t="inlineStr">
        <is>
          <t>TORSBY</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54265-2024</t>
        </is>
      </c>
      <c r="B1847" s="1" t="n">
        <v>45616</v>
      </c>
      <c r="C1847" s="1" t="n">
        <v>46117</v>
      </c>
      <c r="D1847" t="inlineStr">
        <is>
          <t>VÄRMLANDS LÄN</t>
        </is>
      </c>
      <c r="E1847" t="inlineStr">
        <is>
          <t>TORSBY</t>
        </is>
      </c>
      <c r="F1847" t="inlineStr">
        <is>
          <t>Kommuner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1161-2025</t>
        </is>
      </c>
      <c r="B1848" s="1" t="n">
        <v>45666</v>
      </c>
      <c r="C1848" s="1" t="n">
        <v>46117</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14301-2025</t>
        </is>
      </c>
      <c r="B1849" s="1" t="n">
        <v>45740</v>
      </c>
      <c r="C1849" s="1" t="n">
        <v>46117</v>
      </c>
      <c r="D1849" t="inlineStr">
        <is>
          <t>VÄRMLANDS LÄN</t>
        </is>
      </c>
      <c r="E1849" t="inlineStr">
        <is>
          <t>TORSBY</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11395-2025</t>
        </is>
      </c>
      <c r="B1850" s="1" t="n">
        <v>45726.5728125</v>
      </c>
      <c r="C1850" s="1" t="n">
        <v>46117</v>
      </c>
      <c r="D1850" t="inlineStr">
        <is>
          <t>VÄRMLANDS LÄN</t>
        </is>
      </c>
      <c r="E1850" t="inlineStr">
        <is>
          <t>TORSBY</t>
        </is>
      </c>
      <c r="G1850" t="n">
        <v>25.3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46117</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19575-2025</t>
        </is>
      </c>
      <c r="B1852" s="1" t="n">
        <v>45770.55957175926</v>
      </c>
      <c r="C1852" s="1" t="n">
        <v>46117</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1100-2025</t>
        </is>
      </c>
      <c r="B1853" s="1" t="n">
        <v>45666.64099537037</v>
      </c>
      <c r="C1853" s="1" t="n">
        <v>46117</v>
      </c>
      <c r="D1853" t="inlineStr">
        <is>
          <t>VÄRMLANDS LÄN</t>
        </is>
      </c>
      <c r="E1853" t="inlineStr">
        <is>
          <t>TORSBY</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45215.4216087963</v>
      </c>
      <c r="C1854" s="1" t="n">
        <v>46117</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7322-2026</t>
        </is>
      </c>
      <c r="B1855" s="1" t="n">
        <v>46058.6759837963</v>
      </c>
      <c r="C1855" s="1" t="n">
        <v>46117</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48874-2024</t>
        </is>
      </c>
      <c r="B1856" s="1" t="n">
        <v>45594</v>
      </c>
      <c r="C1856" s="1" t="n">
        <v>46117</v>
      </c>
      <c r="D1856" t="inlineStr">
        <is>
          <t>VÄRMLANDS LÄN</t>
        </is>
      </c>
      <c r="E1856" t="inlineStr">
        <is>
          <t>TORSBY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7362-2026</t>
        </is>
      </c>
      <c r="B1857" s="1" t="n">
        <v>46059.3088425926</v>
      </c>
      <c r="C1857" s="1" t="n">
        <v>46117</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10027-2023</t>
        </is>
      </c>
      <c r="B1858" s="1" t="n">
        <v>44979</v>
      </c>
      <c r="C1858" s="1" t="n">
        <v>46117</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26343-2023</t>
        </is>
      </c>
      <c r="B1859" s="1" t="n">
        <v>45091</v>
      </c>
      <c r="C1859" s="1" t="n">
        <v>46117</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7394-2026</t>
        </is>
      </c>
      <c r="B1860" s="1" t="n">
        <v>46059.37266203704</v>
      </c>
      <c r="C1860" s="1" t="n">
        <v>46117</v>
      </c>
      <c r="D1860" t="inlineStr">
        <is>
          <t>VÄRMLANDS LÄN</t>
        </is>
      </c>
      <c r="E1860" t="inlineStr">
        <is>
          <t>TORSBY</t>
        </is>
      </c>
      <c r="F1860" t="inlineStr">
        <is>
          <t>Bergvik skog väst AB</t>
        </is>
      </c>
      <c r="G1860" t="n">
        <v>15.3</v>
      </c>
      <c r="H1860" t="n">
        <v>0</v>
      </c>
      <c r="I1860" t="n">
        <v>0</v>
      </c>
      <c r="J1860" t="n">
        <v>0</v>
      </c>
      <c r="K1860" t="n">
        <v>0</v>
      </c>
      <c r="L1860" t="n">
        <v>0</v>
      </c>
      <c r="M1860" t="n">
        <v>0</v>
      </c>
      <c r="N1860" t="n">
        <v>0</v>
      </c>
      <c r="O1860" t="n">
        <v>0</v>
      </c>
      <c r="P1860" t="n">
        <v>0</v>
      </c>
      <c r="Q1860" t="n">
        <v>0</v>
      </c>
      <c r="R1860" s="2" t="inlineStr"/>
    </row>
    <row r="1861" ht="15" customHeight="1">
      <c r="A1861" t="inlineStr">
        <is>
          <t>A 24148-2024</t>
        </is>
      </c>
      <c r="B1861" s="1" t="n">
        <v>45456</v>
      </c>
      <c r="C1861" s="1" t="n">
        <v>46117</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34427-2023</t>
        </is>
      </c>
      <c r="B1862" s="1" t="n">
        <v>45139.61741898148</v>
      </c>
      <c r="C1862" s="1" t="n">
        <v>46117</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23264-2022</t>
        </is>
      </c>
      <c r="B1863" s="1" t="n">
        <v>44720.40818287037</v>
      </c>
      <c r="C1863" s="1" t="n">
        <v>46117</v>
      </c>
      <c r="D1863" t="inlineStr">
        <is>
          <t>VÄRMLANDS LÄN</t>
        </is>
      </c>
      <c r="E1863" t="inlineStr">
        <is>
          <t>TORSBY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9574-2023</t>
        </is>
      </c>
      <c r="B1864" s="1" t="n">
        <v>44982.55168981481</v>
      </c>
      <c r="C1864" s="1" t="n">
        <v>46117</v>
      </c>
      <c r="D1864" t="inlineStr">
        <is>
          <t>VÄRMLANDS LÄN</t>
        </is>
      </c>
      <c r="E1864" t="inlineStr">
        <is>
          <t>TORSBY</t>
        </is>
      </c>
      <c r="F1864" t="inlineStr">
        <is>
          <t>Övriga statliga verk och myndigheter</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7356-2026</t>
        </is>
      </c>
      <c r="B1865" s="1" t="n">
        <v>46059.30347222222</v>
      </c>
      <c r="C1865" s="1" t="n">
        <v>46117</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15154-2026</t>
        </is>
      </c>
      <c r="B1866" s="1" t="n">
        <v>46105</v>
      </c>
      <c r="C1866" s="1" t="n">
        <v>46117</v>
      </c>
      <c r="D1866" t="inlineStr">
        <is>
          <t>VÄRMLANDS LÄN</t>
        </is>
      </c>
      <c r="E1866" t="inlineStr">
        <is>
          <t>TORSBY</t>
        </is>
      </c>
      <c r="F1866" t="inlineStr">
        <is>
          <t>Bergvik skog väst AB</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35777-2024</t>
        </is>
      </c>
      <c r="B1867" s="1" t="n">
        <v>45532</v>
      </c>
      <c r="C1867" s="1" t="n">
        <v>46117</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7623-2026</t>
        </is>
      </c>
      <c r="B1868" s="1" t="n">
        <v>46062</v>
      </c>
      <c r="C1868" s="1" t="n">
        <v>46117</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37752-2022</t>
        </is>
      </c>
      <c r="B1869" s="1" t="n">
        <v>44810</v>
      </c>
      <c r="C1869" s="1" t="n">
        <v>46117</v>
      </c>
      <c r="D1869" t="inlineStr">
        <is>
          <t>VÄRMLANDS LÄN</t>
        </is>
      </c>
      <c r="E1869" t="inlineStr">
        <is>
          <t>TORSBY</t>
        </is>
      </c>
      <c r="F1869" t="inlineStr">
        <is>
          <t>Kyrkan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17841-2025</t>
        </is>
      </c>
      <c r="B1870" s="1" t="n">
        <v>45758</v>
      </c>
      <c r="C1870" s="1" t="n">
        <v>46117</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41156-2023</t>
        </is>
      </c>
      <c r="B1871" s="1" t="n">
        <v>45174</v>
      </c>
      <c r="C1871" s="1" t="n">
        <v>46117</v>
      </c>
      <c r="D1871" t="inlineStr">
        <is>
          <t>VÄRMLANDS LÄN</t>
        </is>
      </c>
      <c r="E1871" t="inlineStr">
        <is>
          <t>TORSBY</t>
        </is>
      </c>
      <c r="F1871" t="inlineStr">
        <is>
          <t>Kyrkan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64672-2023</t>
        </is>
      </c>
      <c r="B1872" s="1" t="n">
        <v>45281.61913194445</v>
      </c>
      <c r="C1872" s="1" t="n">
        <v>46117</v>
      </c>
      <c r="D1872" t="inlineStr">
        <is>
          <t>VÄRMLANDS LÄN</t>
        </is>
      </c>
      <c r="E1872" t="inlineStr">
        <is>
          <t>TORSBY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8038-2026</t>
        </is>
      </c>
      <c r="B1873" s="1" t="n">
        <v>46063.59967592593</v>
      </c>
      <c r="C1873" s="1" t="n">
        <v>46117</v>
      </c>
      <c r="D1873" t="inlineStr">
        <is>
          <t>VÄRMLANDS LÄN</t>
        </is>
      </c>
      <c r="E1873" t="inlineStr">
        <is>
          <t>TORSBY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55031-2023</t>
        </is>
      </c>
      <c r="B1874" s="1" t="n">
        <v>45237.34733796296</v>
      </c>
      <c r="C1874" s="1" t="n">
        <v>46117</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9871-2024</t>
        </is>
      </c>
      <c r="B1875" s="1" t="n">
        <v>45363</v>
      </c>
      <c r="C1875" s="1" t="n">
        <v>46117</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15119-2026</t>
        </is>
      </c>
      <c r="B1876" s="1" t="n">
        <v>46105</v>
      </c>
      <c r="C1876" s="1" t="n">
        <v>46117</v>
      </c>
      <c r="D1876" t="inlineStr">
        <is>
          <t>VÄRMLANDS LÄN</t>
        </is>
      </c>
      <c r="E1876" t="inlineStr">
        <is>
          <t>TORSBY</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29043-2023</t>
        </is>
      </c>
      <c r="B1877" s="1" t="n">
        <v>45104</v>
      </c>
      <c r="C1877" s="1" t="n">
        <v>46117</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60058-2023</t>
        </is>
      </c>
      <c r="B1878" s="1" t="n">
        <v>45258.37978009259</v>
      </c>
      <c r="C1878" s="1" t="n">
        <v>46117</v>
      </c>
      <c r="D1878" t="inlineStr">
        <is>
          <t>VÄRMLANDS LÄN</t>
        </is>
      </c>
      <c r="E1878" t="inlineStr">
        <is>
          <t>TORSBY</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27363-2024</t>
        </is>
      </c>
      <c r="B1879" s="1" t="n">
        <v>45473</v>
      </c>
      <c r="C1879" s="1" t="n">
        <v>46117</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8197-2025</t>
        </is>
      </c>
      <c r="B1880" s="1" t="n">
        <v>45708.4318287037</v>
      </c>
      <c r="C1880" s="1" t="n">
        <v>46117</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56571-2024</t>
        </is>
      </c>
      <c r="B1881" s="1" t="n">
        <v>45625</v>
      </c>
      <c r="C1881" s="1" t="n">
        <v>46117</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33232-2024</t>
        </is>
      </c>
      <c r="B1882" s="1" t="n">
        <v>45518</v>
      </c>
      <c r="C1882" s="1" t="n">
        <v>46117</v>
      </c>
      <c r="D1882" t="inlineStr">
        <is>
          <t>VÄRMLANDS LÄN</t>
        </is>
      </c>
      <c r="E1882" t="inlineStr">
        <is>
          <t>TORSBY</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48253-2024</t>
        </is>
      </c>
      <c r="B1883" s="1" t="n">
        <v>45590</v>
      </c>
      <c r="C1883" s="1" t="n">
        <v>46117</v>
      </c>
      <c r="D1883" t="inlineStr">
        <is>
          <t>VÄRMLANDS LÄN</t>
        </is>
      </c>
      <c r="E1883" t="inlineStr">
        <is>
          <t>TORSBY</t>
        </is>
      </c>
      <c r="F1883" t="inlineStr">
        <is>
          <t>Bergvik skog väst AB</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15900-2026</t>
        </is>
      </c>
      <c r="B1884" s="1" t="n">
        <v>46107.63597222222</v>
      </c>
      <c r="C1884" s="1" t="n">
        <v>46117</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15894-2026</t>
        </is>
      </c>
      <c r="B1885" s="1" t="n">
        <v>46107.61783564815</v>
      </c>
      <c r="C1885" s="1" t="n">
        <v>46117</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43301-2024</t>
        </is>
      </c>
      <c r="B1886" s="1" t="n">
        <v>45568</v>
      </c>
      <c r="C1886" s="1" t="n">
        <v>46117</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8297-2026</t>
        </is>
      </c>
      <c r="B1887" s="1" t="n">
        <v>46064.575625</v>
      </c>
      <c r="C1887" s="1" t="n">
        <v>46117</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15451-2026</t>
        </is>
      </c>
      <c r="B1888" s="1" t="n">
        <v>46106.41583333333</v>
      </c>
      <c r="C1888" s="1" t="n">
        <v>46117</v>
      </c>
      <c r="D1888" t="inlineStr">
        <is>
          <t>VÄRMLANDS LÄN</t>
        </is>
      </c>
      <c r="E1888" t="inlineStr">
        <is>
          <t>TORSBY</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15611-2026</t>
        </is>
      </c>
      <c r="B1889" s="1" t="n">
        <v>46106.59672453703</v>
      </c>
      <c r="C1889" s="1" t="n">
        <v>46117</v>
      </c>
      <c r="D1889" t="inlineStr">
        <is>
          <t>VÄRMLANDS LÄN</t>
        </is>
      </c>
      <c r="E1889" t="inlineStr">
        <is>
          <t>TORSBY</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24004-2024</t>
        </is>
      </c>
      <c r="B1890" s="1" t="n">
        <v>45456</v>
      </c>
      <c r="C1890" s="1" t="n">
        <v>46117</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8222-2026</t>
        </is>
      </c>
      <c r="B1891" s="1" t="n">
        <v>46064.46728009259</v>
      </c>
      <c r="C1891" s="1" t="n">
        <v>46117</v>
      </c>
      <c r="D1891" t="inlineStr">
        <is>
          <t>VÄRMLANDS LÄN</t>
        </is>
      </c>
      <c r="E1891" t="inlineStr">
        <is>
          <t>TORSBY</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8263-2026</t>
        </is>
      </c>
      <c r="B1892" s="1" t="n">
        <v>46064.5361574074</v>
      </c>
      <c r="C1892" s="1" t="n">
        <v>46117</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8147-2026</t>
        </is>
      </c>
      <c r="B1893" s="1" t="n">
        <v>46064.35064814815</v>
      </c>
      <c r="C1893" s="1" t="n">
        <v>46117</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15664-2026</t>
        </is>
      </c>
      <c r="B1894" s="1" t="n">
        <v>46106.67813657408</v>
      </c>
      <c r="C1894" s="1" t="n">
        <v>46117</v>
      </c>
      <c r="D1894" t="inlineStr">
        <is>
          <t>VÄRMLANDS LÄN</t>
        </is>
      </c>
      <c r="E1894" t="inlineStr">
        <is>
          <t>TORSBY</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8149-2026</t>
        </is>
      </c>
      <c r="B1895" s="1" t="n">
        <v>46064.3527662037</v>
      </c>
      <c r="C1895" s="1" t="n">
        <v>46117</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37623-2023</t>
        </is>
      </c>
      <c r="B1896" s="1" t="n">
        <v>45159.45560185185</v>
      </c>
      <c r="C1896" s="1" t="n">
        <v>46117</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42347-2021</t>
        </is>
      </c>
      <c r="B1897" s="1" t="n">
        <v>44427</v>
      </c>
      <c r="C1897" s="1" t="n">
        <v>46117</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15909-2026</t>
        </is>
      </c>
      <c r="B1898" s="1" t="n">
        <v>46107.64012731481</v>
      </c>
      <c r="C1898" s="1" t="n">
        <v>46117</v>
      </c>
      <c r="D1898" t="inlineStr">
        <is>
          <t>VÄRMLANDS LÄN</t>
        </is>
      </c>
      <c r="E1898" t="inlineStr">
        <is>
          <t>TORSBY</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8164-2026</t>
        </is>
      </c>
      <c r="B1899" s="1" t="n">
        <v>46064.38511574074</v>
      </c>
      <c r="C1899" s="1" t="n">
        <v>46117</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23044-2024</t>
        </is>
      </c>
      <c r="B1900" s="1" t="n">
        <v>45450</v>
      </c>
      <c r="C1900" s="1" t="n">
        <v>46117</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15662-2026</t>
        </is>
      </c>
      <c r="B1901" s="1" t="n">
        <v>46106.66996527778</v>
      </c>
      <c r="C1901" s="1" t="n">
        <v>46117</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8224-2026</t>
        </is>
      </c>
      <c r="B1902" s="1" t="n">
        <v>46064.47239583333</v>
      </c>
      <c r="C1902" s="1" t="n">
        <v>46117</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18354-2021</t>
        </is>
      </c>
      <c r="B1903" s="1" t="n">
        <v>44305.56186342592</v>
      </c>
      <c r="C1903" s="1" t="n">
        <v>46117</v>
      </c>
      <c r="D1903" t="inlineStr">
        <is>
          <t>VÄRMLANDS LÄN</t>
        </is>
      </c>
      <c r="E1903" t="inlineStr">
        <is>
          <t>TORSBY</t>
        </is>
      </c>
      <c r="F1903" t="inlineStr">
        <is>
          <t>Kommuner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14998-2026</t>
        </is>
      </c>
      <c r="B1904" s="1" t="n">
        <v>46104</v>
      </c>
      <c r="C1904" s="1" t="n">
        <v>46117</v>
      </c>
      <c r="D1904" t="inlineStr">
        <is>
          <t>VÄRMLANDS LÄN</t>
        </is>
      </c>
      <c r="E1904" t="inlineStr">
        <is>
          <t>TORSBY</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17184-2023</t>
        </is>
      </c>
      <c r="B1905" s="1" t="n">
        <v>45034.69127314815</v>
      </c>
      <c r="C1905" s="1" t="n">
        <v>46117</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15907-2026</t>
        </is>
      </c>
      <c r="B1906" s="1" t="n">
        <v>46107.63809027777</v>
      </c>
      <c r="C1906" s="1" t="n">
        <v>46117</v>
      </c>
      <c r="D1906" t="inlineStr">
        <is>
          <t>VÄRMLANDS LÄN</t>
        </is>
      </c>
      <c r="E1906" t="inlineStr">
        <is>
          <t>TORSBY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44424-2024</t>
        </is>
      </c>
      <c r="B1907" s="1" t="n">
        <v>45573</v>
      </c>
      <c r="C1907" s="1" t="n">
        <v>46117</v>
      </c>
      <c r="D1907" t="inlineStr">
        <is>
          <t>VÄRMLANDS LÄN</t>
        </is>
      </c>
      <c r="E1907" t="inlineStr">
        <is>
          <t>TORSBY</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33853-2021</t>
        </is>
      </c>
      <c r="B1908" s="1" t="n">
        <v>44378.61460648148</v>
      </c>
      <c r="C1908" s="1" t="n">
        <v>46117</v>
      </c>
      <c r="D1908" t="inlineStr">
        <is>
          <t>VÄRMLANDS LÄN</t>
        </is>
      </c>
      <c r="E1908" t="inlineStr">
        <is>
          <t>TORSBY</t>
        </is>
      </c>
      <c r="F1908" t="inlineStr">
        <is>
          <t>Bergvik skog väst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49936-2024</t>
        </is>
      </c>
      <c r="B1909" s="1" t="n">
        <v>45597</v>
      </c>
      <c r="C1909" s="1" t="n">
        <v>46117</v>
      </c>
      <c r="D1909" t="inlineStr">
        <is>
          <t>VÄRMLANDS LÄN</t>
        </is>
      </c>
      <c r="E1909" t="inlineStr">
        <is>
          <t>TORSBY</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33072-2023</t>
        </is>
      </c>
      <c r="B1910" s="1" t="n">
        <v>45126</v>
      </c>
      <c r="C1910" s="1" t="n">
        <v>46117</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52078-2023</t>
        </is>
      </c>
      <c r="B1911" s="1" t="n">
        <v>45223</v>
      </c>
      <c r="C1911" s="1" t="n">
        <v>46117</v>
      </c>
      <c r="D1911" t="inlineStr">
        <is>
          <t>VÄRMLANDS LÄN</t>
        </is>
      </c>
      <c r="E1911" t="inlineStr">
        <is>
          <t>TORSBY</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3670-2023</t>
        </is>
      </c>
      <c r="B1912" s="1" t="n">
        <v>44950</v>
      </c>
      <c r="C1912" s="1" t="n">
        <v>46117</v>
      </c>
      <c r="D1912" t="inlineStr">
        <is>
          <t>VÄRMLANDS LÄN</t>
        </is>
      </c>
      <c r="E1912" t="inlineStr">
        <is>
          <t>TORSBY</t>
        </is>
      </c>
      <c r="G1912" t="n">
        <v>15.4</v>
      </c>
      <c r="H1912" t="n">
        <v>0</v>
      </c>
      <c r="I1912" t="n">
        <v>0</v>
      </c>
      <c r="J1912" t="n">
        <v>0</v>
      </c>
      <c r="K1912" t="n">
        <v>0</v>
      </c>
      <c r="L1912" t="n">
        <v>0</v>
      </c>
      <c r="M1912" t="n">
        <v>0</v>
      </c>
      <c r="N1912" t="n">
        <v>0</v>
      </c>
      <c r="O1912" t="n">
        <v>0</v>
      </c>
      <c r="P1912" t="n">
        <v>0</v>
      </c>
      <c r="Q1912" t="n">
        <v>0</v>
      </c>
      <c r="R1912" s="2" t="inlineStr"/>
    </row>
    <row r="1913" ht="15" customHeight="1">
      <c r="A1913" t="inlineStr">
        <is>
          <t>A 26979-2023</t>
        </is>
      </c>
      <c r="B1913" s="1" t="n">
        <v>45091</v>
      </c>
      <c r="C1913" s="1" t="n">
        <v>46117</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15596-2026</t>
        </is>
      </c>
      <c r="B1914" s="1" t="n">
        <v>46106.58655092592</v>
      </c>
      <c r="C1914" s="1" t="n">
        <v>46117</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15477-2026</t>
        </is>
      </c>
      <c r="B1915" s="1" t="n">
        <v>46106.44114583333</v>
      </c>
      <c r="C1915" s="1" t="n">
        <v>46117</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22702-2023</t>
        </is>
      </c>
      <c r="B1916" s="1" t="n">
        <v>45071</v>
      </c>
      <c r="C1916" s="1" t="n">
        <v>46117</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15659-2026</t>
        </is>
      </c>
      <c r="B1917" s="1" t="n">
        <v>46106.66850694444</v>
      </c>
      <c r="C1917" s="1" t="n">
        <v>46117</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58540-2025</t>
        </is>
      </c>
      <c r="B1918" s="1" t="n">
        <v>45985</v>
      </c>
      <c r="C1918" s="1" t="n">
        <v>46117</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8317-2026</t>
        </is>
      </c>
      <c r="B1919" s="1" t="n">
        <v>46064.60416666666</v>
      </c>
      <c r="C1919" s="1" t="n">
        <v>46117</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15360-2026</t>
        </is>
      </c>
      <c r="B1920" s="1" t="n">
        <v>46105.70240740741</v>
      </c>
      <c r="C1920" s="1" t="n">
        <v>46117</v>
      </c>
      <c r="D1920" t="inlineStr">
        <is>
          <t>VÄRMLANDS LÄN</t>
        </is>
      </c>
      <c r="E1920" t="inlineStr">
        <is>
          <t>TORSBY</t>
        </is>
      </c>
      <c r="F1920" t="inlineStr">
        <is>
          <t>Bergvik skog väst AB</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8188-2025</t>
        </is>
      </c>
      <c r="B1921" s="1" t="n">
        <v>45708.40246527778</v>
      </c>
      <c r="C1921" s="1" t="n">
        <v>46117</v>
      </c>
      <c r="D1921" t="inlineStr">
        <is>
          <t>VÄRMLANDS LÄN</t>
        </is>
      </c>
      <c r="E1921" t="inlineStr">
        <is>
          <t>TORSBY</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8165-2026</t>
        </is>
      </c>
      <c r="B1922" s="1" t="n">
        <v>46064.38872685185</v>
      </c>
      <c r="C1922" s="1" t="n">
        <v>46117</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10888-2023</t>
        </is>
      </c>
      <c r="B1923" s="1" t="n">
        <v>44985</v>
      </c>
      <c r="C1923" s="1" t="n">
        <v>46117</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50608-2023</t>
        </is>
      </c>
      <c r="B1924" s="1" t="n">
        <v>45217</v>
      </c>
      <c r="C1924" s="1" t="n">
        <v>46117</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8705-2026</t>
        </is>
      </c>
      <c r="B1925" s="1" t="n">
        <v>46066.47086805556</v>
      </c>
      <c r="C1925" s="1" t="n">
        <v>46117</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16117-2026</t>
        </is>
      </c>
      <c r="B1926" s="1" t="n">
        <v>46108.61511574074</v>
      </c>
      <c r="C1926" s="1" t="n">
        <v>46117</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56716-2023</t>
        </is>
      </c>
      <c r="B1927" s="1" t="n">
        <v>45238</v>
      </c>
      <c r="C1927" s="1" t="n">
        <v>46117</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54556-2023</t>
        </is>
      </c>
      <c r="B1928" s="1" t="n">
        <v>45233.63445601852</v>
      </c>
      <c r="C1928" s="1" t="n">
        <v>46117</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30700-2024</t>
        </is>
      </c>
      <c r="B1929" s="1" t="n">
        <v>45496.35869212963</v>
      </c>
      <c r="C1929" s="1" t="n">
        <v>46117</v>
      </c>
      <c r="D1929" t="inlineStr">
        <is>
          <t>VÄRMLANDS LÄN</t>
        </is>
      </c>
      <c r="E1929" t="inlineStr">
        <is>
          <t>TORSBY</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30705-2024</t>
        </is>
      </c>
      <c r="B1930" s="1" t="n">
        <v>45496.38092592593</v>
      </c>
      <c r="C1930" s="1" t="n">
        <v>46117</v>
      </c>
      <c r="D1930" t="inlineStr">
        <is>
          <t>VÄRMLANDS LÄN</t>
        </is>
      </c>
      <c r="E1930" t="inlineStr">
        <is>
          <t>TORSBY</t>
        </is>
      </c>
      <c r="F1930" t="inlineStr">
        <is>
          <t>Bergvik skog väst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26686-2022</t>
        </is>
      </c>
      <c r="B1931" s="1" t="n">
        <v>44739.67833333334</v>
      </c>
      <c r="C1931" s="1" t="n">
        <v>46117</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63266-2023</t>
        </is>
      </c>
      <c r="B1932" s="1" t="n">
        <v>45273.741875</v>
      </c>
      <c r="C1932" s="1" t="n">
        <v>46117</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38914-2022</t>
        </is>
      </c>
      <c r="B1933" s="1" t="n">
        <v>44816.61194444444</v>
      </c>
      <c r="C1933" s="1" t="n">
        <v>46117</v>
      </c>
      <c r="D1933" t="inlineStr">
        <is>
          <t>VÄRMLANDS LÄN</t>
        </is>
      </c>
      <c r="E1933" t="inlineStr">
        <is>
          <t>TORSBY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38882-2022</t>
        </is>
      </c>
      <c r="B1934" s="1" t="n">
        <v>44816.565625</v>
      </c>
      <c r="C1934" s="1" t="n">
        <v>46117</v>
      </c>
      <c r="D1934" t="inlineStr">
        <is>
          <t>VÄRMLANDS LÄN</t>
        </is>
      </c>
      <c r="E1934" t="inlineStr">
        <is>
          <t>TORSBY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10895-2024</t>
        </is>
      </c>
      <c r="B1935" s="1" t="n">
        <v>45370.34901620371</v>
      </c>
      <c r="C1935" s="1" t="n">
        <v>46117</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44170-2022</t>
        </is>
      </c>
      <c r="B1936" s="1" t="n">
        <v>44838</v>
      </c>
      <c r="C1936" s="1" t="n">
        <v>46117</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7907-2025</t>
        </is>
      </c>
      <c r="B1937" s="1" t="n">
        <v>45707</v>
      </c>
      <c r="C1937" s="1" t="n">
        <v>46117</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6529-2025</t>
        </is>
      </c>
      <c r="B1938" s="1" t="n">
        <v>45699</v>
      </c>
      <c r="C1938" s="1" t="n">
        <v>46117</v>
      </c>
      <c r="D1938" t="inlineStr">
        <is>
          <t>VÄRMLANDS LÄN</t>
        </is>
      </c>
      <c r="E1938" t="inlineStr">
        <is>
          <t>TORSBY</t>
        </is>
      </c>
      <c r="F1938" t="inlineStr">
        <is>
          <t>Kommuner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33469-2024</t>
        </is>
      </c>
      <c r="B1939" s="1" t="n">
        <v>45519.5996875</v>
      </c>
      <c r="C1939" s="1" t="n">
        <v>46117</v>
      </c>
      <c r="D1939" t="inlineStr">
        <is>
          <t>VÄRMLANDS LÄN</t>
        </is>
      </c>
      <c r="E1939" t="inlineStr">
        <is>
          <t>TORSBY</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16300-2026</t>
        </is>
      </c>
      <c r="B1940" s="1" t="n">
        <v>46111.53894675926</v>
      </c>
      <c r="C1940" s="1" t="n">
        <v>46117</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3071-2022</t>
        </is>
      </c>
      <c r="B1941" s="1" t="n">
        <v>44582.42109953704</v>
      </c>
      <c r="C1941" s="1" t="n">
        <v>46117</v>
      </c>
      <c r="D1941" t="inlineStr">
        <is>
          <t>VÄRMLANDS LÄN</t>
        </is>
      </c>
      <c r="E1941" t="inlineStr">
        <is>
          <t>TORSBY</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16108-2026</t>
        </is>
      </c>
      <c r="B1942" s="1" t="n">
        <v>46108.60444444444</v>
      </c>
      <c r="C1942" s="1" t="n">
        <v>46117</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16111-2026</t>
        </is>
      </c>
      <c r="B1943" s="1" t="n">
        <v>46108.60780092593</v>
      </c>
      <c r="C1943" s="1" t="n">
        <v>46117</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8958-2026</t>
        </is>
      </c>
      <c r="B1944" s="1" t="n">
        <v>46069.40876157407</v>
      </c>
      <c r="C1944" s="1" t="n">
        <v>46117</v>
      </c>
      <c r="D1944" t="inlineStr">
        <is>
          <t>VÄRMLANDS LÄN</t>
        </is>
      </c>
      <c r="E1944" t="inlineStr">
        <is>
          <t>TORSBY</t>
        </is>
      </c>
      <c r="F1944" t="inlineStr">
        <is>
          <t>Bergvik skog väst AB</t>
        </is>
      </c>
      <c r="G1944" t="n">
        <v>11.9</v>
      </c>
      <c r="H1944" t="n">
        <v>0</v>
      </c>
      <c r="I1944" t="n">
        <v>0</v>
      </c>
      <c r="J1944" t="n">
        <v>0</v>
      </c>
      <c r="K1944" t="n">
        <v>0</v>
      </c>
      <c r="L1944" t="n">
        <v>0</v>
      </c>
      <c r="M1944" t="n">
        <v>0</v>
      </c>
      <c r="N1944" t="n">
        <v>0</v>
      </c>
      <c r="O1944" t="n">
        <v>0</v>
      </c>
      <c r="P1944" t="n">
        <v>0</v>
      </c>
      <c r="Q1944" t="n">
        <v>0</v>
      </c>
      <c r="R1944" s="2" t="inlineStr"/>
    </row>
    <row r="1945" ht="15" customHeight="1">
      <c r="A1945" t="inlineStr">
        <is>
          <t>A 15154-2025</t>
        </is>
      </c>
      <c r="B1945" s="1" t="n">
        <v>45744.46157407408</v>
      </c>
      <c r="C1945" s="1" t="n">
        <v>46117</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8736-2026</t>
        </is>
      </c>
      <c r="B1946" s="1" t="n">
        <v>46066.50328703703</v>
      </c>
      <c r="C1946" s="1" t="n">
        <v>46117</v>
      </c>
      <c r="D1946" t="inlineStr">
        <is>
          <t>VÄRMLANDS LÄN</t>
        </is>
      </c>
      <c r="E1946" t="inlineStr">
        <is>
          <t>TORSBY</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19307-2022</t>
        </is>
      </c>
      <c r="B1947" s="1" t="n">
        <v>44692.55497685185</v>
      </c>
      <c r="C1947" s="1" t="n">
        <v>46117</v>
      </c>
      <c r="D1947" t="inlineStr">
        <is>
          <t>VÄRMLANDS LÄN</t>
        </is>
      </c>
      <c r="E1947" t="inlineStr">
        <is>
          <t>TORSBY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58945-2024</t>
        </is>
      </c>
      <c r="B1948" s="1" t="n">
        <v>45636</v>
      </c>
      <c r="C1948" s="1" t="n">
        <v>46117</v>
      </c>
      <c r="D1948" t="inlineStr">
        <is>
          <t>VÄRMLANDS LÄN</t>
        </is>
      </c>
      <c r="E1948" t="inlineStr">
        <is>
          <t>TORSBY</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46117</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46117</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3904-2025</t>
        </is>
      </c>
      <c r="B1951" s="1" t="n">
        <v>45684</v>
      </c>
      <c r="C1951" s="1" t="n">
        <v>46117</v>
      </c>
      <c r="D1951" t="inlineStr">
        <is>
          <t>VÄRMLANDS LÄN</t>
        </is>
      </c>
      <c r="E1951" t="inlineStr">
        <is>
          <t>TORSBY</t>
        </is>
      </c>
      <c r="F1951" t="inlineStr">
        <is>
          <t>Övriga statliga verk och myndigheter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3951-2025</t>
        </is>
      </c>
      <c r="B1952" s="1" t="n">
        <v>45684.49333333333</v>
      </c>
      <c r="C1952" s="1" t="n">
        <v>46117</v>
      </c>
      <c r="D1952" t="inlineStr">
        <is>
          <t>VÄRMLANDS LÄN</t>
        </is>
      </c>
      <c r="E1952" t="inlineStr">
        <is>
          <t>TORSBY</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16318-2026</t>
        </is>
      </c>
      <c r="B1953" s="1" t="n">
        <v>46111.55763888889</v>
      </c>
      <c r="C1953" s="1" t="n">
        <v>46117</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4030-2024</t>
        </is>
      </c>
      <c r="B1954" s="1" t="n">
        <v>45323</v>
      </c>
      <c r="C1954" s="1" t="n">
        <v>46117</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11235-2024</t>
        </is>
      </c>
      <c r="B1955" s="1" t="n">
        <v>45371</v>
      </c>
      <c r="C1955" s="1" t="n">
        <v>46117</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11242-2024</t>
        </is>
      </c>
      <c r="B1956" s="1" t="n">
        <v>45371</v>
      </c>
      <c r="C1956" s="1" t="n">
        <v>46117</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11253-2024</t>
        </is>
      </c>
      <c r="B1957" s="1" t="n">
        <v>45371</v>
      </c>
      <c r="C1957" s="1" t="n">
        <v>46117</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38991-2023</t>
        </is>
      </c>
      <c r="B1958" s="1" t="n">
        <v>45163.65929398148</v>
      </c>
      <c r="C1958" s="1" t="n">
        <v>46117</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16408-2026</t>
        </is>
      </c>
      <c r="B1959" s="1" t="n">
        <v>46111.64943287037</v>
      </c>
      <c r="C1959" s="1" t="n">
        <v>46117</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16032-2026</t>
        </is>
      </c>
      <c r="B1960" s="1" t="n">
        <v>46108.45645833333</v>
      </c>
      <c r="C1960" s="1" t="n">
        <v>46117</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8967-2026</t>
        </is>
      </c>
      <c r="B1961" s="1" t="n">
        <v>46069.4278587963</v>
      </c>
      <c r="C1961" s="1" t="n">
        <v>46117</v>
      </c>
      <c r="D1961" t="inlineStr">
        <is>
          <t>VÄRMLANDS LÄN</t>
        </is>
      </c>
      <c r="E1961" t="inlineStr">
        <is>
          <t>TORSBY</t>
        </is>
      </c>
      <c r="F1961" t="inlineStr">
        <is>
          <t>Bergvik skog väst AB</t>
        </is>
      </c>
      <c r="G1961" t="n">
        <v>22.5</v>
      </c>
      <c r="H1961" t="n">
        <v>0</v>
      </c>
      <c r="I1961" t="n">
        <v>0</v>
      </c>
      <c r="J1961" t="n">
        <v>0</v>
      </c>
      <c r="K1961" t="n">
        <v>0</v>
      </c>
      <c r="L1961" t="n">
        <v>0</v>
      </c>
      <c r="M1961" t="n">
        <v>0</v>
      </c>
      <c r="N1961" t="n">
        <v>0</v>
      </c>
      <c r="O1961" t="n">
        <v>0</v>
      </c>
      <c r="P1961" t="n">
        <v>0</v>
      </c>
      <c r="Q1961" t="n">
        <v>0</v>
      </c>
      <c r="R1961" s="2" t="inlineStr"/>
    </row>
    <row r="1962" ht="15" customHeight="1">
      <c r="A1962" t="inlineStr">
        <is>
          <t>A 16452-2026</t>
        </is>
      </c>
      <c r="B1962" s="1" t="n">
        <v>46112.34243055555</v>
      </c>
      <c r="C1962" s="1" t="n">
        <v>46117</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15023-2026</t>
        </is>
      </c>
      <c r="B1963" s="1" t="n">
        <v>46104</v>
      </c>
      <c r="C1963" s="1" t="n">
        <v>46117</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16867-2026</t>
        </is>
      </c>
      <c r="B1964" s="1" t="n">
        <v>46113.57570601852</v>
      </c>
      <c r="C1964" s="1" t="n">
        <v>46117</v>
      </c>
      <c r="D1964" t="inlineStr">
        <is>
          <t>VÄRMLANDS LÄN</t>
        </is>
      </c>
      <c r="E1964" t="inlineStr">
        <is>
          <t>TORSBY</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16919-2026</t>
        </is>
      </c>
      <c r="B1965" s="1" t="n">
        <v>46113.67354166666</v>
      </c>
      <c r="C1965" s="1" t="n">
        <v>46117</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16910-2026</t>
        </is>
      </c>
      <c r="B1966" s="1" t="n">
        <v>46113.64369212963</v>
      </c>
      <c r="C1966" s="1" t="n">
        <v>46117</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9240-2026</t>
        </is>
      </c>
      <c r="B1967" s="1" t="n">
        <v>46070.47997685185</v>
      </c>
      <c r="C1967" s="1" t="n">
        <v>46117</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9245-2026</t>
        </is>
      </c>
      <c r="B1968" s="1" t="n">
        <v>46070.48952546297</v>
      </c>
      <c r="C1968" s="1" t="n">
        <v>46117</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9248-2026</t>
        </is>
      </c>
      <c r="B1969" s="1" t="n">
        <v>46070.49686342593</v>
      </c>
      <c r="C1969" s="1" t="n">
        <v>46117</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16949-2025</t>
        </is>
      </c>
      <c r="B1970" s="1" t="n">
        <v>45755</v>
      </c>
      <c r="C1970" s="1" t="n">
        <v>46117</v>
      </c>
      <c r="D1970" t="inlineStr">
        <is>
          <t>VÄRMLANDS LÄN</t>
        </is>
      </c>
      <c r="E1970" t="inlineStr">
        <is>
          <t>TORSBY</t>
        </is>
      </c>
      <c r="F1970" t="inlineStr">
        <is>
          <t>Bergvik skog väst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55436-2022</t>
        </is>
      </c>
      <c r="B1971" s="1" t="n">
        <v>44887</v>
      </c>
      <c r="C1971" s="1" t="n">
        <v>46117</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1911-2022</t>
        </is>
      </c>
      <c r="B1972" s="1" t="n">
        <v>44575</v>
      </c>
      <c r="C1972" s="1" t="n">
        <v>46117</v>
      </c>
      <c r="D1972" t="inlineStr">
        <is>
          <t>VÄRMLANDS LÄN</t>
        </is>
      </c>
      <c r="E1972" t="inlineStr">
        <is>
          <t>TORSBY</t>
        </is>
      </c>
      <c r="F1972" t="inlineStr">
        <is>
          <t>Kommuner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53921-2023</t>
        </is>
      </c>
      <c r="B1973" s="1" t="n">
        <v>45231</v>
      </c>
      <c r="C1973" s="1" t="n">
        <v>46117</v>
      </c>
      <c r="D1973" t="inlineStr">
        <is>
          <t>VÄRMLANDS LÄN</t>
        </is>
      </c>
      <c r="E1973" t="inlineStr">
        <is>
          <t>TORSBY</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16906-2026</t>
        </is>
      </c>
      <c r="B1974" s="1" t="n">
        <v>46113.63795138889</v>
      </c>
      <c r="C1974" s="1" t="n">
        <v>46117</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16543-2026</t>
        </is>
      </c>
      <c r="B1975" s="1" t="n">
        <v>46112.50520833334</v>
      </c>
      <c r="C1975" s="1" t="n">
        <v>46117</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15363-2026</t>
        </is>
      </c>
      <c r="B1976" s="1" t="n">
        <v>46105</v>
      </c>
      <c r="C1976" s="1" t="n">
        <v>46117</v>
      </c>
      <c r="D1976" t="inlineStr">
        <is>
          <t>VÄRMLANDS LÄN</t>
        </is>
      </c>
      <c r="E1976" t="inlineStr">
        <is>
          <t>TORSBY</t>
        </is>
      </c>
      <c r="F1976" t="inlineStr">
        <is>
          <t>Bergvik skog väst AB</t>
        </is>
      </c>
      <c r="G1976" t="n">
        <v>25.8</v>
      </c>
      <c r="H1976" t="n">
        <v>0</v>
      </c>
      <c r="I1976" t="n">
        <v>0</v>
      </c>
      <c r="J1976" t="n">
        <v>0</v>
      </c>
      <c r="K1976" t="n">
        <v>0</v>
      </c>
      <c r="L1976" t="n">
        <v>0</v>
      </c>
      <c r="M1976" t="n">
        <v>0</v>
      </c>
      <c r="N1976" t="n">
        <v>0</v>
      </c>
      <c r="O1976" t="n">
        <v>0</v>
      </c>
      <c r="P1976" t="n">
        <v>0</v>
      </c>
      <c r="Q1976" t="n">
        <v>0</v>
      </c>
      <c r="R1976" s="2" t="inlineStr"/>
    </row>
    <row r="1977" ht="15" customHeight="1">
      <c r="A1977" t="inlineStr">
        <is>
          <t>A 4342-2025</t>
        </is>
      </c>
      <c r="B1977" s="1" t="n">
        <v>45685</v>
      </c>
      <c r="C1977" s="1" t="n">
        <v>46117</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16679-2026</t>
        </is>
      </c>
      <c r="B1978" s="1" t="n">
        <v>46112.69729166666</v>
      </c>
      <c r="C1978" s="1" t="n">
        <v>46117</v>
      </c>
      <c r="D1978" t="inlineStr">
        <is>
          <t>VÄRMLANDS LÄN</t>
        </is>
      </c>
      <c r="E1978" t="inlineStr">
        <is>
          <t>TORSBY</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45812-2024</t>
        </is>
      </c>
      <c r="B1979" s="1" t="n">
        <v>45579</v>
      </c>
      <c r="C1979" s="1" t="n">
        <v>46117</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49814-2022</t>
        </is>
      </c>
      <c r="B1980" s="1" t="n">
        <v>44859</v>
      </c>
      <c r="C1980" s="1" t="n">
        <v>46117</v>
      </c>
      <c r="D1980" t="inlineStr">
        <is>
          <t>VÄRMLANDS LÄN</t>
        </is>
      </c>
      <c r="E1980" t="inlineStr">
        <is>
          <t>TORSBY</t>
        </is>
      </c>
      <c r="F1980" t="inlineStr">
        <is>
          <t>Kyrkan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40541-2024</t>
        </is>
      </c>
      <c r="B1981" s="1" t="n">
        <v>45555.62736111111</v>
      </c>
      <c r="C1981" s="1" t="n">
        <v>46117</v>
      </c>
      <c r="D1981" t="inlineStr">
        <is>
          <t>VÄRMLANDS LÄN</t>
        </is>
      </c>
      <c r="E1981" t="inlineStr">
        <is>
          <t>TORSBY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234-2024</t>
        </is>
      </c>
      <c r="B1982" s="1" t="n">
        <v>45294.8253587963</v>
      </c>
      <c r="C1982" s="1" t="n">
        <v>46117</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236-2024</t>
        </is>
      </c>
      <c r="B1983" s="1" t="n">
        <v>45294.85927083333</v>
      </c>
      <c r="C1983" s="1" t="n">
        <v>46117</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16963-2026</t>
        </is>
      </c>
      <c r="B1984" s="1" t="n">
        <v>46114.35603009259</v>
      </c>
      <c r="C1984" s="1" t="n">
        <v>46117</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16763-2026</t>
        </is>
      </c>
      <c r="B1985" s="1" t="n">
        <v>46113.41421296296</v>
      </c>
      <c r="C1985" s="1" t="n">
        <v>46117</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9752-2026</t>
        </is>
      </c>
      <c r="B1986" s="1" t="n">
        <v>46072.53912037037</v>
      </c>
      <c r="C1986" s="1" t="n">
        <v>46117</v>
      </c>
      <c r="D1986" t="inlineStr">
        <is>
          <t>VÄRMLANDS LÄN</t>
        </is>
      </c>
      <c r="E1986" t="inlineStr">
        <is>
          <t>TORSBY</t>
        </is>
      </c>
      <c r="G1986" t="n">
        <v>26.8</v>
      </c>
      <c r="H1986" t="n">
        <v>0</v>
      </c>
      <c r="I1986" t="n">
        <v>0</v>
      </c>
      <c r="J1986" t="n">
        <v>0</v>
      </c>
      <c r="K1986" t="n">
        <v>0</v>
      </c>
      <c r="L1986" t="n">
        <v>0</v>
      </c>
      <c r="M1986" t="n">
        <v>0</v>
      </c>
      <c r="N1986" t="n">
        <v>0</v>
      </c>
      <c r="O1986" t="n">
        <v>0</v>
      </c>
      <c r="P1986" t="n">
        <v>0</v>
      </c>
      <c r="Q1986" t="n">
        <v>0</v>
      </c>
      <c r="R1986" s="2" t="inlineStr"/>
    </row>
    <row r="1987" ht="15" customHeight="1">
      <c r="A1987" t="inlineStr">
        <is>
          <t>A 30104-2023</t>
        </is>
      </c>
      <c r="B1987" s="1" t="n">
        <v>45110</v>
      </c>
      <c r="C1987" s="1" t="n">
        <v>46117</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1839-2022</t>
        </is>
      </c>
      <c r="B1988" s="1" t="n">
        <v>44574</v>
      </c>
      <c r="C1988" s="1" t="n">
        <v>46117</v>
      </c>
      <c r="D1988" t="inlineStr">
        <is>
          <t>VÄRMLANDS LÄN</t>
        </is>
      </c>
      <c r="E1988" t="inlineStr">
        <is>
          <t>TORSBY</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21465-2022</t>
        </is>
      </c>
      <c r="B1989" s="1" t="n">
        <v>44706.38893518518</v>
      </c>
      <c r="C1989" s="1" t="n">
        <v>46117</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21078-2023</t>
        </is>
      </c>
      <c r="B1990" s="1" t="n">
        <v>45061</v>
      </c>
      <c r="C1990" s="1" t="n">
        <v>46117</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36718-2024</t>
        </is>
      </c>
      <c r="B1991" s="1" t="n">
        <v>45537</v>
      </c>
      <c r="C1991" s="1" t="n">
        <v>46117</v>
      </c>
      <c r="D1991" t="inlineStr">
        <is>
          <t>VÄRMLANDS LÄN</t>
        </is>
      </c>
      <c r="E1991" t="inlineStr">
        <is>
          <t>TORSBY</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14687-2026</t>
        </is>
      </c>
      <c r="B1992" s="1" t="n">
        <v>46101</v>
      </c>
      <c r="C1992" s="1" t="n">
        <v>46117</v>
      </c>
      <c r="D1992" t="inlineStr">
        <is>
          <t>VÄRMLANDS LÄN</t>
        </is>
      </c>
      <c r="E1992" t="inlineStr">
        <is>
          <t>TORSBY</t>
        </is>
      </c>
      <c r="F1992" t="inlineStr">
        <is>
          <t>Bergvik skog väst AB</t>
        </is>
      </c>
      <c r="G1992" t="n">
        <v>32.1</v>
      </c>
      <c r="H1992" t="n">
        <v>0</v>
      </c>
      <c r="I1992" t="n">
        <v>0</v>
      </c>
      <c r="J1992" t="n">
        <v>0</v>
      </c>
      <c r="K1992" t="n">
        <v>0</v>
      </c>
      <c r="L1992" t="n">
        <v>0</v>
      </c>
      <c r="M1992" t="n">
        <v>0</v>
      </c>
      <c r="N1992" t="n">
        <v>0</v>
      </c>
      <c r="O1992" t="n">
        <v>0</v>
      </c>
      <c r="P1992" t="n">
        <v>0</v>
      </c>
      <c r="Q1992" t="n">
        <v>0</v>
      </c>
      <c r="R1992" s="2" t="inlineStr"/>
    </row>
    <row r="1993" ht="15" customHeight="1">
      <c r="A1993" t="inlineStr">
        <is>
          <t>A 15019-2025</t>
        </is>
      </c>
      <c r="B1993" s="1" t="n">
        <v>45743.63811342593</v>
      </c>
      <c r="C1993" s="1" t="n">
        <v>46117</v>
      </c>
      <c r="D1993" t="inlineStr">
        <is>
          <t>VÄRMLANDS LÄN</t>
        </is>
      </c>
      <c r="E1993" t="inlineStr">
        <is>
          <t>TORSBY</t>
        </is>
      </c>
      <c r="F1993" t="inlineStr">
        <is>
          <t>Övriga statliga verk och myndigheter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17146-2026</t>
        </is>
      </c>
      <c r="B1994" s="1" t="n">
        <v>46114.8704050926</v>
      </c>
      <c r="C1994" s="1" t="n">
        <v>46117</v>
      </c>
      <c r="D1994" t="inlineStr">
        <is>
          <t>VÄRMLANDS LÄN</t>
        </is>
      </c>
      <c r="E1994" t="inlineStr">
        <is>
          <t>TORSBY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45328-2022</t>
        </is>
      </c>
      <c r="B1995" s="1" t="n">
        <v>44844</v>
      </c>
      <c r="C1995" s="1" t="n">
        <v>46117</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10608-2022</t>
        </is>
      </c>
      <c r="B1996" s="1" t="n">
        <v>44624</v>
      </c>
      <c r="C1996" s="1" t="n">
        <v>46117</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33429-2024</t>
        </is>
      </c>
      <c r="B1997" s="1" t="n">
        <v>45519.52792824074</v>
      </c>
      <c r="C1997" s="1" t="n">
        <v>46117</v>
      </c>
      <c r="D1997" t="inlineStr">
        <is>
          <t>VÄRMLANDS LÄN</t>
        </is>
      </c>
      <c r="E1997" t="inlineStr">
        <is>
          <t>TORSBY</t>
        </is>
      </c>
      <c r="F1997" t="inlineStr">
        <is>
          <t>Bergvik skog väst AB</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61073-2024</t>
        </is>
      </c>
      <c r="B1998" s="1" t="n">
        <v>45645.50665509259</v>
      </c>
      <c r="C1998" s="1" t="n">
        <v>46117</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1997-2025</t>
        </is>
      </c>
      <c r="B1999" s="1" t="n">
        <v>45672.44431712963</v>
      </c>
      <c r="C1999" s="1" t="n">
        <v>46117</v>
      </c>
      <c r="D1999" t="inlineStr">
        <is>
          <t>VÄRMLANDS LÄN</t>
        </is>
      </c>
      <c r="E1999" t="inlineStr">
        <is>
          <t>TORSBY</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25932-2024</t>
        </is>
      </c>
      <c r="B2000" s="1" t="n">
        <v>45467.62097222222</v>
      </c>
      <c r="C2000" s="1" t="n">
        <v>46117</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48185-2024</t>
        </is>
      </c>
      <c r="B2001" s="1" t="n">
        <v>45589.90284722222</v>
      </c>
      <c r="C2001" s="1" t="n">
        <v>46117</v>
      </c>
      <c r="D2001" t="inlineStr">
        <is>
          <t>VÄRMLANDS LÄN</t>
        </is>
      </c>
      <c r="E2001" t="inlineStr">
        <is>
          <t>TORSBY</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38541-2023</t>
        </is>
      </c>
      <c r="B2002" s="1" t="n">
        <v>45162</v>
      </c>
      <c r="C2002" s="1" t="n">
        <v>46117</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19878-2025</t>
        </is>
      </c>
      <c r="B2003" s="1" t="n">
        <v>45771.55361111111</v>
      </c>
      <c r="C2003" s="1" t="n">
        <v>46117</v>
      </c>
      <c r="D2003" t="inlineStr">
        <is>
          <t>VÄRMLANDS LÄN</t>
        </is>
      </c>
      <c r="E2003" t="inlineStr">
        <is>
          <t>TORSBY</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2616-2025</t>
        </is>
      </c>
      <c r="B2004" s="1" t="n">
        <v>45675</v>
      </c>
      <c r="C2004" s="1" t="n">
        <v>46117</v>
      </c>
      <c r="D2004" t="inlineStr">
        <is>
          <t>VÄRMLANDS LÄN</t>
        </is>
      </c>
      <c r="E2004" t="inlineStr">
        <is>
          <t>TORSBY</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14026-2025</t>
        </is>
      </c>
      <c r="B2005" s="1" t="n">
        <v>45740.35003472222</v>
      </c>
      <c r="C2005" s="1" t="n">
        <v>46117</v>
      </c>
      <c r="D2005" t="inlineStr">
        <is>
          <t>VÄRMLANDS LÄN</t>
        </is>
      </c>
      <c r="E2005" t="inlineStr">
        <is>
          <t>TORSBY</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32747-2021</t>
        </is>
      </c>
      <c r="B2006" s="1" t="n">
        <v>44375</v>
      </c>
      <c r="C2006" s="1" t="n">
        <v>46117</v>
      </c>
      <c r="D2006" t="inlineStr">
        <is>
          <t>VÄRMLANDS LÄN</t>
        </is>
      </c>
      <c r="E2006" t="inlineStr">
        <is>
          <t>TORSBY</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9286-2025</t>
        </is>
      </c>
      <c r="B2007" s="1" t="n">
        <v>45714</v>
      </c>
      <c r="C2007" s="1" t="n">
        <v>46117</v>
      </c>
      <c r="D2007" t="inlineStr">
        <is>
          <t>VÄRMLANDS LÄN</t>
        </is>
      </c>
      <c r="E2007" t="inlineStr">
        <is>
          <t>TORSBY</t>
        </is>
      </c>
      <c r="F2007" t="inlineStr">
        <is>
          <t>Kommuner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51505-2021</t>
        </is>
      </c>
      <c r="B2008" s="1" t="n">
        <v>44460</v>
      </c>
      <c r="C2008" s="1" t="n">
        <v>46117</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15052-2024</t>
        </is>
      </c>
      <c r="B2009" s="1" t="n">
        <v>45399.52613425926</v>
      </c>
      <c r="C2009" s="1" t="n">
        <v>46117</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19787-2025</t>
        </is>
      </c>
      <c r="B2010" s="1" t="n">
        <v>45771.4408912037</v>
      </c>
      <c r="C2010" s="1" t="n">
        <v>46117</v>
      </c>
      <c r="D2010" t="inlineStr">
        <is>
          <t>VÄRMLANDS LÄN</t>
        </is>
      </c>
      <c r="E2010" t="inlineStr">
        <is>
          <t>TORSBY</t>
        </is>
      </c>
      <c r="F2010" t="inlineStr">
        <is>
          <t>Bergvik skog väst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49298-2024</t>
        </is>
      </c>
      <c r="B2011" s="1" t="n">
        <v>45595.54357638889</v>
      </c>
      <c r="C2011" s="1" t="n">
        <v>46117</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1040-2024</t>
        </is>
      </c>
      <c r="B2012" s="1" t="n">
        <v>45301</v>
      </c>
      <c r="C2012" s="1" t="n">
        <v>46117</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14303-2023</t>
        </is>
      </c>
      <c r="B2013" s="1" t="n">
        <v>45011.75886574074</v>
      </c>
      <c r="C2013" s="1" t="n">
        <v>46117</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21828-2024</t>
        </is>
      </c>
      <c r="B2014" s="1" t="n">
        <v>45442</v>
      </c>
      <c r="C2014" s="1" t="n">
        <v>46117</v>
      </c>
      <c r="D2014" t="inlineStr">
        <is>
          <t>VÄRMLANDS LÄN</t>
        </is>
      </c>
      <c r="E2014" t="inlineStr">
        <is>
          <t>TORSBY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17153-2025</t>
        </is>
      </c>
      <c r="B2015" s="1" t="n">
        <v>45756</v>
      </c>
      <c r="C2015" s="1" t="n">
        <v>46117</v>
      </c>
      <c r="D2015" t="inlineStr">
        <is>
          <t>VÄRMLANDS LÄN</t>
        </is>
      </c>
      <c r="E2015" t="inlineStr">
        <is>
          <t>TORSBY</t>
        </is>
      </c>
      <c r="F2015" t="inlineStr">
        <is>
          <t>Bergvik skog väst AB</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41671-2021</t>
        </is>
      </c>
      <c r="B2016" s="1" t="n">
        <v>44425</v>
      </c>
      <c r="C2016" s="1" t="n">
        <v>46117</v>
      </c>
      <c r="D2016" t="inlineStr">
        <is>
          <t>VÄRMLANDS LÄN</t>
        </is>
      </c>
      <c r="E2016" t="inlineStr">
        <is>
          <t>TORSBY</t>
        </is>
      </c>
      <c r="F2016" t="inlineStr">
        <is>
          <t>Övriga Aktiebolag</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13191-2025</t>
        </is>
      </c>
      <c r="B2017" s="1" t="n">
        <v>45735.40501157408</v>
      </c>
      <c r="C2017" s="1" t="n">
        <v>46117</v>
      </c>
      <c r="D2017" t="inlineStr">
        <is>
          <t>VÄRMLANDS LÄN</t>
        </is>
      </c>
      <c r="E2017" t="inlineStr">
        <is>
          <t>TORSBY</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33133-2024</t>
        </is>
      </c>
      <c r="B2018" s="1" t="n">
        <v>45518.31722222222</v>
      </c>
      <c r="C2018" s="1" t="n">
        <v>46117</v>
      </c>
      <c r="D2018" t="inlineStr">
        <is>
          <t>VÄRMLANDS LÄN</t>
        </is>
      </c>
      <c r="E2018" t="inlineStr">
        <is>
          <t>TORSBY</t>
        </is>
      </c>
      <c r="F2018" t="inlineStr">
        <is>
          <t>Bergvik skog väst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14162-2025</t>
        </is>
      </c>
      <c r="B2019" s="1" t="n">
        <v>45740</v>
      </c>
      <c r="C2019" s="1" t="n">
        <v>46117</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43545-2024</t>
        </is>
      </c>
      <c r="B2020" s="1" t="n">
        <v>45569.36980324074</v>
      </c>
      <c r="C2020" s="1" t="n">
        <v>46117</v>
      </c>
      <c r="D2020" t="inlineStr">
        <is>
          <t>VÄRMLANDS LÄN</t>
        </is>
      </c>
      <c r="E2020" t="inlineStr">
        <is>
          <t>TORSBY</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21365-2023</t>
        </is>
      </c>
      <c r="B2021" s="1" t="n">
        <v>45063.26761574074</v>
      </c>
      <c r="C2021" s="1" t="n">
        <v>46117</v>
      </c>
      <c r="D2021" t="inlineStr">
        <is>
          <t>VÄRMLANDS LÄN</t>
        </is>
      </c>
      <c r="E2021" t="inlineStr">
        <is>
          <t>TORSBY</t>
        </is>
      </c>
      <c r="F2021" t="inlineStr">
        <is>
          <t>Kyrkan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19527-2023</t>
        </is>
      </c>
      <c r="B2022" s="1" t="n">
        <v>45050</v>
      </c>
      <c r="C2022" s="1" t="n">
        <v>46117</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4236-2023</t>
        </is>
      </c>
      <c r="B2023" s="1" t="n">
        <v>44953.48950231481</v>
      </c>
      <c r="C2023" s="1" t="n">
        <v>46117</v>
      </c>
      <c r="D2023" t="inlineStr">
        <is>
          <t>VÄRMLANDS LÄN</t>
        </is>
      </c>
      <c r="E2023" t="inlineStr">
        <is>
          <t>TORSBY</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4250-2023</t>
        </is>
      </c>
      <c r="B2024" s="1" t="n">
        <v>44953.51747685186</v>
      </c>
      <c r="C2024" s="1" t="n">
        <v>46117</v>
      </c>
      <c r="D2024" t="inlineStr">
        <is>
          <t>VÄRMLANDS LÄN</t>
        </is>
      </c>
      <c r="E2024" t="inlineStr">
        <is>
          <t>TORSBY</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29256-2023</t>
        </is>
      </c>
      <c r="B2025" s="1" t="n">
        <v>45105.65310185185</v>
      </c>
      <c r="C2025" s="1" t="n">
        <v>46117</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29990-2022</t>
        </is>
      </c>
      <c r="B2026" s="1" t="n">
        <v>44756.73530092592</v>
      </c>
      <c r="C2026" s="1" t="n">
        <v>46117</v>
      </c>
      <c r="D2026" t="inlineStr">
        <is>
          <t>VÄRMLANDS LÄN</t>
        </is>
      </c>
      <c r="E2026" t="inlineStr">
        <is>
          <t>TORSBY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18308-2024</t>
        </is>
      </c>
      <c r="B2027" s="1" t="n">
        <v>45422</v>
      </c>
      <c r="C2027" s="1" t="n">
        <v>46117</v>
      </c>
      <c r="D2027" t="inlineStr">
        <is>
          <t>VÄRMLANDS LÄN</t>
        </is>
      </c>
      <c r="E2027" t="inlineStr">
        <is>
          <t>TORSBY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25355-2024</t>
        </is>
      </c>
      <c r="B2028" s="1" t="n">
        <v>45462.92868055555</v>
      </c>
      <c r="C2028" s="1" t="n">
        <v>46117</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12701-2024</t>
        </is>
      </c>
      <c r="B2029" s="1" t="n">
        <v>45384</v>
      </c>
      <c r="C2029" s="1" t="n">
        <v>46117</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39781-2022</t>
        </is>
      </c>
      <c r="B2030" s="1" t="n">
        <v>44819</v>
      </c>
      <c r="C2030" s="1" t="n">
        <v>46117</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6013-2024</t>
        </is>
      </c>
      <c r="B2031" s="1" t="n">
        <v>45336.60763888889</v>
      </c>
      <c r="C2031" s="1" t="n">
        <v>46117</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43289-2022</t>
        </is>
      </c>
      <c r="B2032" s="1" t="n">
        <v>44834.51623842592</v>
      </c>
      <c r="C2032" s="1" t="n">
        <v>46117</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35553-2023</t>
        </is>
      </c>
      <c r="B2033" s="1" t="n">
        <v>45147</v>
      </c>
      <c r="C2033" s="1" t="n">
        <v>46117</v>
      </c>
      <c r="D2033" t="inlineStr">
        <is>
          <t>VÄRMLANDS LÄN</t>
        </is>
      </c>
      <c r="E2033" t="inlineStr">
        <is>
          <t>TORSBY</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60272-2024</t>
        </is>
      </c>
      <c r="B2034" s="1" t="n">
        <v>45642</v>
      </c>
      <c r="C2034" s="1" t="n">
        <v>46117</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37075-2021</t>
        </is>
      </c>
      <c r="B2035" s="1" t="n">
        <v>44394</v>
      </c>
      <c r="C2035" s="1" t="n">
        <v>46117</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22565-2024</t>
        </is>
      </c>
      <c r="B2036" s="1" t="n">
        <v>45447</v>
      </c>
      <c r="C2036" s="1" t="n">
        <v>46117</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53460-2024</t>
        </is>
      </c>
      <c r="B2037" s="1" t="n">
        <v>45611</v>
      </c>
      <c r="C2037" s="1" t="n">
        <v>46117</v>
      </c>
      <c r="D2037" t="inlineStr">
        <is>
          <t>VÄRMLANDS LÄN</t>
        </is>
      </c>
      <c r="E2037" t="inlineStr">
        <is>
          <t>TORSBY</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46914-2024</t>
        </is>
      </c>
      <c r="B2038" s="1" t="n">
        <v>45583.7577662037</v>
      </c>
      <c r="C2038" s="1" t="n">
        <v>46117</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35057-2023</t>
        </is>
      </c>
      <c r="B2039" s="1" t="n">
        <v>45145.3909375</v>
      </c>
      <c r="C2039" s="1" t="n">
        <v>46117</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8012-2023</t>
        </is>
      </c>
      <c r="B2040" s="1" t="n">
        <v>44973</v>
      </c>
      <c r="C2040" s="1" t="n">
        <v>46117</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27446-2021</t>
        </is>
      </c>
      <c r="B2041" s="1" t="n">
        <v>44351</v>
      </c>
      <c r="C2041" s="1" t="n">
        <v>46117</v>
      </c>
      <c r="D2041" t="inlineStr">
        <is>
          <t>VÄRMLANDS LÄN</t>
        </is>
      </c>
      <c r="E2041" t="inlineStr">
        <is>
          <t>TORSBY</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28559-2021</t>
        </is>
      </c>
      <c r="B2042" s="1" t="n">
        <v>44356</v>
      </c>
      <c r="C2042" s="1" t="n">
        <v>46117</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21757-2024</t>
        </is>
      </c>
      <c r="B2043" s="1" t="n">
        <v>45442</v>
      </c>
      <c r="C2043" s="1" t="n">
        <v>46117</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34430-2023</t>
        </is>
      </c>
      <c r="B2044" s="1" t="n">
        <v>45139.62216435185</v>
      </c>
      <c r="C2044" s="1" t="n">
        <v>46117</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43988-2024</t>
        </is>
      </c>
      <c r="B2045" s="1" t="n">
        <v>45572</v>
      </c>
      <c r="C2045" s="1" t="n">
        <v>46117</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18331-2025</t>
        </is>
      </c>
      <c r="B2046" s="1" t="n">
        <v>45762</v>
      </c>
      <c r="C2046" s="1" t="n">
        <v>46117</v>
      </c>
      <c r="D2046" t="inlineStr">
        <is>
          <t>VÄRMLANDS LÄN</t>
        </is>
      </c>
      <c r="E2046" t="inlineStr">
        <is>
          <t>TORSBY</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47271-2021</t>
        </is>
      </c>
      <c r="B2047" s="1" t="n">
        <v>44447</v>
      </c>
      <c r="C2047" s="1" t="n">
        <v>46117</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50680-2023</t>
        </is>
      </c>
      <c r="B2048" s="1" t="n">
        <v>45217.5165625</v>
      </c>
      <c r="C2048" s="1" t="n">
        <v>46117</v>
      </c>
      <c r="D2048" t="inlineStr">
        <is>
          <t>VÄRMLANDS LÄN</t>
        </is>
      </c>
      <c r="E2048" t="inlineStr">
        <is>
          <t>TORSBY</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21409-2023</t>
        </is>
      </c>
      <c r="B2049" s="1" t="n">
        <v>45063</v>
      </c>
      <c r="C2049" s="1" t="n">
        <v>46117</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14025-2025</t>
        </is>
      </c>
      <c r="B2050" s="1" t="n">
        <v>45740</v>
      </c>
      <c r="C2050" s="1" t="n">
        <v>46117</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42945-2024</t>
        </is>
      </c>
      <c r="B2051" s="1" t="n">
        <v>45567</v>
      </c>
      <c r="C2051" s="1" t="n">
        <v>46117</v>
      </c>
      <c r="D2051" t="inlineStr">
        <is>
          <t>VÄRMLANDS LÄN</t>
        </is>
      </c>
      <c r="E2051" t="inlineStr">
        <is>
          <t>TORSBY</t>
        </is>
      </c>
      <c r="F2051" t="inlineStr">
        <is>
          <t>Bergvik skog väst AB</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20725-2024</t>
        </is>
      </c>
      <c r="B2052" s="1" t="n">
        <v>45436.65284722222</v>
      </c>
      <c r="C2052" s="1" t="n">
        <v>46117</v>
      </c>
      <c r="D2052" t="inlineStr">
        <is>
          <t>VÄRMLANDS LÄN</t>
        </is>
      </c>
      <c r="E2052" t="inlineStr">
        <is>
          <t>TORSBY</t>
        </is>
      </c>
      <c r="F2052" t="inlineStr">
        <is>
          <t>Bergvik skog väst AB</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20461-2025</t>
        </is>
      </c>
      <c r="B2053" s="1" t="n">
        <v>45775.53158564815</v>
      </c>
      <c r="C2053" s="1" t="n">
        <v>46117</v>
      </c>
      <c r="D2053" t="inlineStr">
        <is>
          <t>VÄRMLANDS LÄN</t>
        </is>
      </c>
      <c r="E2053" t="inlineStr">
        <is>
          <t>TORSBY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11211-2024</t>
        </is>
      </c>
      <c r="B2054" s="1" t="n">
        <v>45371</v>
      </c>
      <c r="C2054" s="1" t="n">
        <v>46117</v>
      </c>
      <c r="D2054" t="inlineStr">
        <is>
          <t>VÄRMLANDS LÄN</t>
        </is>
      </c>
      <c r="E2054" t="inlineStr">
        <is>
          <t>TORSBY</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31547-2023</t>
        </is>
      </c>
      <c r="B2055" s="1" t="n">
        <v>45117</v>
      </c>
      <c r="C2055" s="1" t="n">
        <v>46117</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22301-2023</t>
        </is>
      </c>
      <c r="B2056" s="1" t="n">
        <v>45070</v>
      </c>
      <c r="C2056" s="1" t="n">
        <v>46117</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14709-2023</t>
        </is>
      </c>
      <c r="B2057" s="1" t="n">
        <v>45014.41900462963</v>
      </c>
      <c r="C2057" s="1" t="n">
        <v>46117</v>
      </c>
      <c r="D2057" t="inlineStr">
        <is>
          <t>VÄRMLANDS LÄN</t>
        </is>
      </c>
      <c r="E2057" t="inlineStr">
        <is>
          <t>TORSBY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19489-2022</t>
        </is>
      </c>
      <c r="B2058" s="1" t="n">
        <v>44693</v>
      </c>
      <c r="C2058" s="1" t="n">
        <v>46117</v>
      </c>
      <c r="D2058" t="inlineStr">
        <is>
          <t>VÄRMLANDS LÄN</t>
        </is>
      </c>
      <c r="E2058" t="inlineStr">
        <is>
          <t>TORSBY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36558-2024</t>
        </is>
      </c>
      <c r="B2059" s="1" t="n">
        <v>45537</v>
      </c>
      <c r="C2059" s="1" t="n">
        <v>46117</v>
      </c>
      <c r="D2059" t="inlineStr">
        <is>
          <t>VÄRMLANDS LÄN</t>
        </is>
      </c>
      <c r="E2059" t="inlineStr">
        <is>
          <t>TORSBY</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11581-2025</t>
        </is>
      </c>
      <c r="B2060" s="1" t="n">
        <v>45727</v>
      </c>
      <c r="C2060" s="1" t="n">
        <v>46117</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23073-2023</t>
        </is>
      </c>
      <c r="B2061" s="1" t="n">
        <v>45070</v>
      </c>
      <c r="C2061" s="1" t="n">
        <v>46117</v>
      </c>
      <c r="D2061" t="inlineStr">
        <is>
          <t>VÄRMLANDS LÄN</t>
        </is>
      </c>
      <c r="E2061" t="inlineStr">
        <is>
          <t>TORSBY</t>
        </is>
      </c>
      <c r="G2061" t="n">
        <v>15.1</v>
      </c>
      <c r="H2061" t="n">
        <v>0</v>
      </c>
      <c r="I2061" t="n">
        <v>0</v>
      </c>
      <c r="J2061" t="n">
        <v>0</v>
      </c>
      <c r="K2061" t="n">
        <v>0</v>
      </c>
      <c r="L2061" t="n">
        <v>0</v>
      </c>
      <c r="M2061" t="n">
        <v>0</v>
      </c>
      <c r="N2061" t="n">
        <v>0</v>
      </c>
      <c r="O2061" t="n">
        <v>0</v>
      </c>
      <c r="P2061" t="n">
        <v>0</v>
      </c>
      <c r="Q2061" t="n">
        <v>0</v>
      </c>
      <c r="R2061" s="2" t="inlineStr"/>
    </row>
    <row r="2062" ht="15" customHeight="1">
      <c r="A2062" t="inlineStr">
        <is>
          <t>A 63083-2023</t>
        </is>
      </c>
      <c r="B2062" s="1" t="n">
        <v>45273.348125</v>
      </c>
      <c r="C2062" s="1" t="n">
        <v>46117</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54004-2024</t>
        </is>
      </c>
      <c r="B2063" s="1" t="n">
        <v>45616.36659722222</v>
      </c>
      <c r="C2063" s="1" t="n">
        <v>46117</v>
      </c>
      <c r="D2063" t="inlineStr">
        <is>
          <t>VÄRMLANDS LÄN</t>
        </is>
      </c>
      <c r="E2063" t="inlineStr">
        <is>
          <t>TORSBY</t>
        </is>
      </c>
      <c r="F2063" t="inlineStr">
        <is>
          <t>Kommuner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33862-2024</t>
        </is>
      </c>
      <c r="B2064" s="1" t="n">
        <v>45520.69163194444</v>
      </c>
      <c r="C2064" s="1" t="n">
        <v>46117</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57536-2024</t>
        </is>
      </c>
      <c r="B2065" s="1" t="n">
        <v>45630.43023148148</v>
      </c>
      <c r="C2065" s="1" t="n">
        <v>46117</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26086-2024</t>
        </is>
      </c>
      <c r="B2066" s="1" t="n">
        <v>45468</v>
      </c>
      <c r="C2066" s="1" t="n">
        <v>46117</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22536-2024</t>
        </is>
      </c>
      <c r="B2067" s="1" t="n">
        <v>45447</v>
      </c>
      <c r="C2067" s="1" t="n">
        <v>46117</v>
      </c>
      <c r="D2067" t="inlineStr">
        <is>
          <t>VÄRMLANDS LÄN</t>
        </is>
      </c>
      <c r="E2067" t="inlineStr">
        <is>
          <t>TORSBY</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62574-2022</t>
        </is>
      </c>
      <c r="B2068" s="1" t="n">
        <v>44924.85943287037</v>
      </c>
      <c r="C2068" s="1" t="n">
        <v>46117</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59005-2024</t>
        </is>
      </c>
      <c r="B2069" s="1" t="n">
        <v>45636.65234953703</v>
      </c>
      <c r="C2069" s="1" t="n">
        <v>46117</v>
      </c>
      <c r="D2069" t="inlineStr">
        <is>
          <t>VÄRMLANDS LÄN</t>
        </is>
      </c>
      <c r="E2069" t="inlineStr">
        <is>
          <t>TORSBY</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21580-2024</t>
        </is>
      </c>
      <c r="B2070" s="1" t="n">
        <v>45441</v>
      </c>
      <c r="C2070" s="1" t="n">
        <v>46117</v>
      </c>
      <c r="D2070" t="inlineStr">
        <is>
          <t>VÄRMLANDS LÄN</t>
        </is>
      </c>
      <c r="E2070" t="inlineStr">
        <is>
          <t>TORSBY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45587-2023</t>
        </is>
      </c>
      <c r="B2071" s="1" t="n">
        <v>45194.62877314815</v>
      </c>
      <c r="C2071" s="1" t="n">
        <v>46117</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20393-2023</t>
        </is>
      </c>
      <c r="B2072" s="1" t="n">
        <v>45056</v>
      </c>
      <c r="C2072" s="1" t="n">
        <v>46117</v>
      </c>
      <c r="D2072" t="inlineStr">
        <is>
          <t>VÄRMLANDS LÄN</t>
        </is>
      </c>
      <c r="E2072" t="inlineStr">
        <is>
          <t>TORSBY</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14917-2023</t>
        </is>
      </c>
      <c r="B2073" s="1" t="n">
        <v>45015.39938657408</v>
      </c>
      <c r="C2073" s="1" t="n">
        <v>46117</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19614-2022</t>
        </is>
      </c>
      <c r="B2074" s="1" t="n">
        <v>44694</v>
      </c>
      <c r="C2074" s="1" t="n">
        <v>46117</v>
      </c>
      <c r="D2074" t="inlineStr">
        <is>
          <t>VÄRMLANDS LÄN</t>
        </is>
      </c>
      <c r="E2074" t="inlineStr">
        <is>
          <t>TORSBY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45306.48456018518</v>
      </c>
      <c r="C2075" s="1" t="n">
        <v>46117</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11842-2025</t>
        </is>
      </c>
      <c r="B2076" s="1" t="n">
        <v>45728.36950231482</v>
      </c>
      <c r="C2076" s="1" t="n">
        <v>46117</v>
      </c>
      <c r="D2076" t="inlineStr">
        <is>
          <t>VÄRMLANDS LÄN</t>
        </is>
      </c>
      <c r="E2076" t="inlineStr">
        <is>
          <t>TORSBY</t>
        </is>
      </c>
      <c r="F2076" t="inlineStr">
        <is>
          <t>Bergvik skog väst AB</t>
        </is>
      </c>
      <c r="G2076" t="n">
        <v>32.1</v>
      </c>
      <c r="H2076" t="n">
        <v>0</v>
      </c>
      <c r="I2076" t="n">
        <v>0</v>
      </c>
      <c r="J2076" t="n">
        <v>0</v>
      </c>
      <c r="K2076" t="n">
        <v>0</v>
      </c>
      <c r="L2076" t="n">
        <v>0</v>
      </c>
      <c r="M2076" t="n">
        <v>0</v>
      </c>
      <c r="N2076" t="n">
        <v>0</v>
      </c>
      <c r="O2076" t="n">
        <v>0</v>
      </c>
      <c r="P2076" t="n">
        <v>0</v>
      </c>
      <c r="Q2076" t="n">
        <v>0</v>
      </c>
      <c r="R2076" s="2" t="inlineStr"/>
    </row>
    <row r="2077" ht="15" customHeight="1">
      <c r="A2077" t="inlineStr">
        <is>
          <t>A 34968-2024</t>
        </is>
      </c>
      <c r="B2077" s="1" t="n">
        <v>45527.49986111111</v>
      </c>
      <c r="C2077" s="1" t="n">
        <v>46117</v>
      </c>
      <c r="D2077" t="inlineStr">
        <is>
          <t>VÄRMLANDS LÄN</t>
        </is>
      </c>
      <c r="E2077" t="inlineStr">
        <is>
          <t>TORSBY</t>
        </is>
      </c>
      <c r="F2077" t="inlineStr">
        <is>
          <t>Bergvik skog väst AB</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22705-2023</t>
        </is>
      </c>
      <c r="B2078" s="1" t="n">
        <v>45071</v>
      </c>
      <c r="C2078" s="1" t="n">
        <v>46117</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61206-2024</t>
        </is>
      </c>
      <c r="B2079" s="1" t="n">
        <v>45645.64626157407</v>
      </c>
      <c r="C2079" s="1" t="n">
        <v>46117</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46117</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20843-2025</t>
        </is>
      </c>
      <c r="B2081" s="1" t="n">
        <v>45776.9233912037</v>
      </c>
      <c r="C2081" s="1" t="n">
        <v>46117</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20816-2025</t>
        </is>
      </c>
      <c r="B2082" s="1" t="n">
        <v>45776</v>
      </c>
      <c r="C2082" s="1" t="n">
        <v>46117</v>
      </c>
      <c r="D2082" t="inlineStr">
        <is>
          <t>VÄRMLANDS LÄN</t>
        </is>
      </c>
      <c r="E2082" t="inlineStr">
        <is>
          <t>TORSBY</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20740-2025</t>
        </is>
      </c>
      <c r="B2083" s="1" t="n">
        <v>45776.54284722222</v>
      </c>
      <c r="C2083" s="1" t="n">
        <v>46117</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20914-2025</t>
        </is>
      </c>
      <c r="B2084" s="1" t="n">
        <v>45777</v>
      </c>
      <c r="C2084" s="1" t="n">
        <v>46117</v>
      </c>
      <c r="D2084" t="inlineStr">
        <is>
          <t>VÄRMLANDS LÄN</t>
        </is>
      </c>
      <c r="E2084" t="inlineStr">
        <is>
          <t>TORSBY</t>
        </is>
      </c>
      <c r="F2084" t="inlineStr">
        <is>
          <t>Bergvik skog väst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20773-2025</t>
        </is>
      </c>
      <c r="B2085" s="1" t="n">
        <v>45776.59321759259</v>
      </c>
      <c r="C2085" s="1" t="n">
        <v>46117</v>
      </c>
      <c r="D2085" t="inlineStr">
        <is>
          <t>VÄRMLANDS LÄN</t>
        </is>
      </c>
      <c r="E2085" t="inlineStr">
        <is>
          <t>TORSBY</t>
        </is>
      </c>
      <c r="F2085" t="inlineStr">
        <is>
          <t>Bergvik skog väst AB</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21274-2025</t>
        </is>
      </c>
      <c r="B2086" s="1" t="n">
        <v>45779.62877314815</v>
      </c>
      <c r="C2086" s="1" t="n">
        <v>46117</v>
      </c>
      <c r="D2086" t="inlineStr">
        <is>
          <t>VÄRMLANDS LÄN</t>
        </is>
      </c>
      <c r="E2086" t="inlineStr">
        <is>
          <t>TORSBY</t>
        </is>
      </c>
      <c r="F2086" t="inlineStr">
        <is>
          <t>Bergvik skog väst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21462-2025</t>
        </is>
      </c>
      <c r="B2087" s="1" t="n">
        <v>45782.56770833334</v>
      </c>
      <c r="C2087" s="1" t="n">
        <v>46117</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21808-2025</t>
        </is>
      </c>
      <c r="B2088" s="1" t="n">
        <v>45783.70846064815</v>
      </c>
      <c r="C2088" s="1" t="n">
        <v>46117</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21759-2025</t>
        </is>
      </c>
      <c r="B2089" s="1" t="n">
        <v>45783</v>
      </c>
      <c r="C2089" s="1" t="n">
        <v>46117</v>
      </c>
      <c r="D2089" t="inlineStr">
        <is>
          <t>VÄRMLANDS LÄN</t>
        </is>
      </c>
      <c r="E2089" t="inlineStr">
        <is>
          <t>TORSBY</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21324-2025</t>
        </is>
      </c>
      <c r="B2090" s="1" t="n">
        <v>45782.34947916667</v>
      </c>
      <c r="C2090" s="1" t="n">
        <v>46117</v>
      </c>
      <c r="D2090" t="inlineStr">
        <is>
          <t>VÄRMLANDS LÄN</t>
        </is>
      </c>
      <c r="E2090" t="inlineStr">
        <is>
          <t>TORSBY</t>
        </is>
      </c>
      <c r="F2090" t="inlineStr">
        <is>
          <t>Bergvik skog väst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21576-2025</t>
        </is>
      </c>
      <c r="B2091" s="1" t="n">
        <v>45782.86440972222</v>
      </c>
      <c r="C2091" s="1" t="n">
        <v>46117</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41633-2021</t>
        </is>
      </c>
      <c r="B2092" s="1" t="n">
        <v>44425</v>
      </c>
      <c r="C2092" s="1" t="n">
        <v>46117</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25313-2024</t>
        </is>
      </c>
      <c r="B2093" s="1" t="n">
        <v>45462</v>
      </c>
      <c r="C2093" s="1" t="n">
        <v>46117</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33495-2024</t>
        </is>
      </c>
      <c r="B2094" s="1" t="n">
        <v>45519</v>
      </c>
      <c r="C2094" s="1" t="n">
        <v>46117</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33085-2024</t>
        </is>
      </c>
      <c r="B2095" s="1" t="n">
        <v>45517.67784722222</v>
      </c>
      <c r="C2095" s="1" t="n">
        <v>46117</v>
      </c>
      <c r="D2095" t="inlineStr">
        <is>
          <t>VÄRMLANDS LÄN</t>
        </is>
      </c>
      <c r="E2095" t="inlineStr">
        <is>
          <t>TORSBY</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6448-2025</t>
        </is>
      </c>
      <c r="B2096" s="1" t="n">
        <v>45699</v>
      </c>
      <c r="C2096" s="1" t="n">
        <v>46117</v>
      </c>
      <c r="D2096" t="inlineStr">
        <is>
          <t>VÄRMLANDS LÄN</t>
        </is>
      </c>
      <c r="E2096" t="inlineStr">
        <is>
          <t>TORSBY</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21744-2024</t>
        </is>
      </c>
      <c r="B2097" s="1" t="n">
        <v>45442</v>
      </c>
      <c r="C2097" s="1" t="n">
        <v>46117</v>
      </c>
      <c r="D2097" t="inlineStr">
        <is>
          <t>VÄRMLANDS LÄN</t>
        </is>
      </c>
      <c r="E2097" t="inlineStr">
        <is>
          <t>TORSBY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20170-2021</t>
        </is>
      </c>
      <c r="B2098" s="1" t="n">
        <v>44312</v>
      </c>
      <c r="C2098" s="1" t="n">
        <v>46117</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22090-2025</t>
        </is>
      </c>
      <c r="B2099" s="1" t="n">
        <v>45785.45212962963</v>
      </c>
      <c r="C2099" s="1" t="n">
        <v>46117</v>
      </c>
      <c r="D2099" t="inlineStr">
        <is>
          <t>VÄRMLANDS LÄN</t>
        </is>
      </c>
      <c r="E2099" t="inlineStr">
        <is>
          <t>TORSBY</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21963-2025</t>
        </is>
      </c>
      <c r="B2100" s="1" t="n">
        <v>45784</v>
      </c>
      <c r="C2100" s="1" t="n">
        <v>46117</v>
      </c>
      <c r="D2100" t="inlineStr">
        <is>
          <t>VÄRMLANDS LÄN</t>
        </is>
      </c>
      <c r="E2100" t="inlineStr">
        <is>
          <t>TORSBY</t>
        </is>
      </c>
      <c r="F2100" t="inlineStr">
        <is>
          <t>Bergvik skog väst AB</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21974-2025</t>
        </is>
      </c>
      <c r="B2101" s="1" t="n">
        <v>45784.63689814815</v>
      </c>
      <c r="C2101" s="1" t="n">
        <v>46117</v>
      </c>
      <c r="D2101" t="inlineStr">
        <is>
          <t>VÄRMLANDS LÄN</t>
        </is>
      </c>
      <c r="E2101" t="inlineStr">
        <is>
          <t>TORSBY</t>
        </is>
      </c>
      <c r="F2101" t="inlineStr">
        <is>
          <t>Bergvik skog väst AB</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24113-2024</t>
        </is>
      </c>
      <c r="B2102" s="1" t="n">
        <v>45456.61590277778</v>
      </c>
      <c r="C2102" s="1" t="n">
        <v>46117</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55036-2024</t>
        </is>
      </c>
      <c r="B2103" s="1" t="n">
        <v>45621.38342592592</v>
      </c>
      <c r="C2103" s="1" t="n">
        <v>46117</v>
      </c>
      <c r="D2103" t="inlineStr">
        <is>
          <t>VÄRMLANDS LÄN</t>
        </is>
      </c>
      <c r="E2103" t="inlineStr">
        <is>
          <t>TORSBY</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19031-2021</t>
        </is>
      </c>
      <c r="B2104" s="1" t="n">
        <v>44308.51076388889</v>
      </c>
      <c r="C2104" s="1" t="n">
        <v>46117</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22178-2025</t>
        </is>
      </c>
      <c r="B2105" s="1" t="n">
        <v>45785</v>
      </c>
      <c r="C2105" s="1" t="n">
        <v>46117</v>
      </c>
      <c r="D2105" t="inlineStr">
        <is>
          <t>VÄRMLANDS LÄN</t>
        </is>
      </c>
      <c r="E2105" t="inlineStr">
        <is>
          <t>TORSBY</t>
        </is>
      </c>
      <c r="G2105" t="n">
        <v>25.5</v>
      </c>
      <c r="H2105" t="n">
        <v>0</v>
      </c>
      <c r="I2105" t="n">
        <v>0</v>
      </c>
      <c r="J2105" t="n">
        <v>0</v>
      </c>
      <c r="K2105" t="n">
        <v>0</v>
      </c>
      <c r="L2105" t="n">
        <v>0</v>
      </c>
      <c r="M2105" t="n">
        <v>0</v>
      </c>
      <c r="N2105" t="n">
        <v>0</v>
      </c>
      <c r="O2105" t="n">
        <v>0</v>
      </c>
      <c r="P2105" t="n">
        <v>0</v>
      </c>
      <c r="Q2105" t="n">
        <v>0</v>
      </c>
      <c r="R2105" s="2" t="inlineStr"/>
    </row>
    <row r="2106" ht="15" customHeight="1">
      <c r="A2106" t="inlineStr">
        <is>
          <t>A 73874-2021</t>
        </is>
      </c>
      <c r="B2106" s="1" t="n">
        <v>44553.39755787037</v>
      </c>
      <c r="C2106" s="1" t="n">
        <v>46117</v>
      </c>
      <c r="D2106" t="inlineStr">
        <is>
          <t>VÄRMLANDS LÄN</t>
        </is>
      </c>
      <c r="E2106" t="inlineStr">
        <is>
          <t>TORSBY</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22269-2025</t>
        </is>
      </c>
      <c r="B2107" s="1" t="n">
        <v>45785</v>
      </c>
      <c r="C2107" s="1" t="n">
        <v>46117</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22076-2025</t>
        </is>
      </c>
      <c r="B2108" s="1" t="n">
        <v>45785.41473379629</v>
      </c>
      <c r="C2108" s="1" t="n">
        <v>46117</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21858-2025</t>
        </is>
      </c>
      <c r="B2109" s="1" t="n">
        <v>45784.36265046296</v>
      </c>
      <c r="C2109" s="1" t="n">
        <v>46117</v>
      </c>
      <c r="D2109" t="inlineStr">
        <is>
          <t>VÄRMLANDS LÄN</t>
        </is>
      </c>
      <c r="E2109" t="inlineStr">
        <is>
          <t>TORSBY</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29897-2024</t>
        </is>
      </c>
      <c r="B2110" s="1" t="n">
        <v>45487.51834490741</v>
      </c>
      <c r="C2110" s="1" t="n">
        <v>46117</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33088-2024</t>
        </is>
      </c>
      <c r="B2111" s="1" t="n">
        <v>45517</v>
      </c>
      <c r="C2111" s="1" t="n">
        <v>46117</v>
      </c>
      <c r="D2111" t="inlineStr">
        <is>
          <t>VÄRMLANDS LÄN</t>
        </is>
      </c>
      <c r="E2111" t="inlineStr">
        <is>
          <t>TORSBY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22715-2025</t>
        </is>
      </c>
      <c r="B2112" s="1" t="n">
        <v>45789.56496527778</v>
      </c>
      <c r="C2112" s="1" t="n">
        <v>46117</v>
      </c>
      <c r="D2112" t="inlineStr">
        <is>
          <t>VÄRMLANDS LÄN</t>
        </is>
      </c>
      <c r="E2112" t="inlineStr">
        <is>
          <t>TORSBY</t>
        </is>
      </c>
      <c r="F2112" t="inlineStr">
        <is>
          <t>Kyrkan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60626-2024</t>
        </is>
      </c>
      <c r="B2113" s="1" t="n">
        <v>45642</v>
      </c>
      <c r="C2113" s="1" t="n">
        <v>46117</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22596-2025</t>
        </is>
      </c>
      <c r="B2114" s="1" t="n">
        <v>45789.41362268518</v>
      </c>
      <c r="C2114" s="1" t="n">
        <v>46117</v>
      </c>
      <c r="D2114" t="inlineStr">
        <is>
          <t>VÄRMLANDS LÄN</t>
        </is>
      </c>
      <c r="E2114" t="inlineStr">
        <is>
          <t>TORSBY</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22278-2025</t>
        </is>
      </c>
      <c r="B2115" s="1" t="n">
        <v>45786.33332175926</v>
      </c>
      <c r="C2115" s="1" t="n">
        <v>46117</v>
      </c>
      <c r="D2115" t="inlineStr">
        <is>
          <t>VÄRMLANDS LÄN</t>
        </is>
      </c>
      <c r="E2115" t="inlineStr">
        <is>
          <t>TORSBY</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22316-2025</t>
        </is>
      </c>
      <c r="B2116" s="1" t="n">
        <v>45786.39013888889</v>
      </c>
      <c r="C2116" s="1" t="n">
        <v>46117</v>
      </c>
      <c r="D2116" t="inlineStr">
        <is>
          <t>VÄRMLANDS LÄN</t>
        </is>
      </c>
      <c r="E2116" t="inlineStr">
        <is>
          <t>TORSBY</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22593-2025</t>
        </is>
      </c>
      <c r="B2117" s="1" t="n">
        <v>45789.41113425926</v>
      </c>
      <c r="C2117" s="1" t="n">
        <v>46117</v>
      </c>
      <c r="D2117" t="inlineStr">
        <is>
          <t>VÄRMLANDS LÄN</t>
        </is>
      </c>
      <c r="E2117" t="inlineStr">
        <is>
          <t>TORSBY</t>
        </is>
      </c>
      <c r="F2117" t="inlineStr">
        <is>
          <t>Bergvik skog väst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22708-2025</t>
        </is>
      </c>
      <c r="B2118" s="1" t="n">
        <v>45789.55561342592</v>
      </c>
      <c r="C2118" s="1" t="n">
        <v>46117</v>
      </c>
      <c r="D2118" t="inlineStr">
        <is>
          <t>VÄRMLANDS LÄN</t>
        </is>
      </c>
      <c r="E2118" t="inlineStr">
        <is>
          <t>TORSBY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15014-2025</t>
        </is>
      </c>
      <c r="B2119" s="1" t="n">
        <v>45743</v>
      </c>
      <c r="C2119" s="1" t="n">
        <v>46117</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19253-2025</t>
        </is>
      </c>
      <c r="B2120" s="1" t="n">
        <v>45769</v>
      </c>
      <c r="C2120" s="1" t="n">
        <v>46117</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22320-2025</t>
        </is>
      </c>
      <c r="B2121" s="1" t="n">
        <v>45786.40542824074</v>
      </c>
      <c r="C2121" s="1" t="n">
        <v>46117</v>
      </c>
      <c r="D2121" t="inlineStr">
        <is>
          <t>VÄRMLANDS LÄN</t>
        </is>
      </c>
      <c r="E2121" t="inlineStr">
        <is>
          <t>TORSBY</t>
        </is>
      </c>
      <c r="F2121" t="inlineStr">
        <is>
          <t>Bergvik skog väst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22339-2025</t>
        </is>
      </c>
      <c r="B2122" s="1" t="n">
        <v>45786</v>
      </c>
      <c r="C2122" s="1" t="n">
        <v>46117</v>
      </c>
      <c r="D2122" t="inlineStr">
        <is>
          <t>VÄRMLANDS LÄN</t>
        </is>
      </c>
      <c r="E2122" t="inlineStr">
        <is>
          <t>TORSBY</t>
        </is>
      </c>
      <c r="F2122" t="inlineStr">
        <is>
          <t>Bergvik skog väst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22760-2025</t>
        </is>
      </c>
      <c r="B2123" s="1" t="n">
        <v>45789</v>
      </c>
      <c r="C2123" s="1" t="n">
        <v>46117</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22331-2025</t>
        </is>
      </c>
      <c r="B2124" s="1" t="n">
        <v>45786</v>
      </c>
      <c r="C2124" s="1" t="n">
        <v>46117</v>
      </c>
      <c r="D2124" t="inlineStr">
        <is>
          <t>VÄRMLANDS LÄN</t>
        </is>
      </c>
      <c r="E2124" t="inlineStr">
        <is>
          <t>TORSBY</t>
        </is>
      </c>
      <c r="F2124" t="inlineStr">
        <is>
          <t>Bergvik skog väst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22757-2025</t>
        </is>
      </c>
      <c r="B2125" s="1" t="n">
        <v>45789.61908564815</v>
      </c>
      <c r="C2125" s="1" t="n">
        <v>46117</v>
      </c>
      <c r="D2125" t="inlineStr">
        <is>
          <t>VÄRMLANDS LÄN</t>
        </is>
      </c>
      <c r="E2125" t="inlineStr">
        <is>
          <t>TORSBY</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60207-2024</t>
        </is>
      </c>
      <c r="B2126" s="1" t="n">
        <v>45642.67428240741</v>
      </c>
      <c r="C2126" s="1" t="n">
        <v>46117</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23367-2025</t>
        </is>
      </c>
      <c r="B2127" s="1" t="n">
        <v>45791.69582175926</v>
      </c>
      <c r="C2127" s="1" t="n">
        <v>46117</v>
      </c>
      <c r="D2127" t="inlineStr">
        <is>
          <t>VÄRMLANDS LÄN</t>
        </is>
      </c>
      <c r="E2127" t="inlineStr">
        <is>
          <t>TORSBY</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7101-2025</t>
        </is>
      </c>
      <c r="B2128" s="1" t="n">
        <v>45701</v>
      </c>
      <c r="C2128" s="1" t="n">
        <v>46117</v>
      </c>
      <c r="D2128" t="inlineStr">
        <is>
          <t>VÄRMLANDS LÄN</t>
        </is>
      </c>
      <c r="E2128" t="inlineStr">
        <is>
          <t>TORSBY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23287-2025</t>
        </is>
      </c>
      <c r="B2129" s="1" t="n">
        <v>45791.5816087963</v>
      </c>
      <c r="C2129" s="1" t="n">
        <v>46117</v>
      </c>
      <c r="D2129" t="inlineStr">
        <is>
          <t>VÄRMLANDS LÄN</t>
        </is>
      </c>
      <c r="E2129" t="inlineStr">
        <is>
          <t>TORSBY</t>
        </is>
      </c>
      <c r="F2129" t="inlineStr">
        <is>
          <t>Bergvik skog väst AB</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58259-2024</t>
        </is>
      </c>
      <c r="B2130" s="1" t="n">
        <v>45632.56155092592</v>
      </c>
      <c r="C2130" s="1" t="n">
        <v>46117</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22845-2025</t>
        </is>
      </c>
      <c r="B2131" s="1" t="n">
        <v>45790</v>
      </c>
      <c r="C2131" s="1" t="n">
        <v>46117</v>
      </c>
      <c r="D2131" t="inlineStr">
        <is>
          <t>VÄRMLANDS LÄN</t>
        </is>
      </c>
      <c r="E2131" t="inlineStr">
        <is>
          <t>TORSBY</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34906-2024</t>
        </is>
      </c>
      <c r="B2132" s="1" t="n">
        <v>45527</v>
      </c>
      <c r="C2132" s="1" t="n">
        <v>46117</v>
      </c>
      <c r="D2132" t="inlineStr">
        <is>
          <t>VÄRMLANDS LÄN</t>
        </is>
      </c>
      <c r="E2132" t="inlineStr">
        <is>
          <t>TORSBY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22954-2025</t>
        </is>
      </c>
      <c r="B2133" s="1" t="n">
        <v>45790.5184375</v>
      </c>
      <c r="C2133" s="1" t="n">
        <v>46117</v>
      </c>
      <c r="D2133" t="inlineStr">
        <is>
          <t>VÄRMLANDS LÄN</t>
        </is>
      </c>
      <c r="E2133" t="inlineStr">
        <is>
          <t>TORSBY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42403-2023</t>
        </is>
      </c>
      <c r="B2134" s="1" t="n">
        <v>45180.59174768518</v>
      </c>
      <c r="C2134" s="1" t="n">
        <v>46117</v>
      </c>
      <c r="D2134" t="inlineStr">
        <is>
          <t>VÄRMLANDS LÄN</t>
        </is>
      </c>
      <c r="E2134" t="inlineStr">
        <is>
          <t>TORSBY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34568-2024</t>
        </is>
      </c>
      <c r="B2135" s="1" t="n">
        <v>45526</v>
      </c>
      <c r="C2135" s="1" t="n">
        <v>46117</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54790-2024</t>
        </is>
      </c>
      <c r="B2136" s="1" t="n">
        <v>45618</v>
      </c>
      <c r="C2136" s="1" t="n">
        <v>46117</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14575-2025</t>
        </is>
      </c>
      <c r="B2137" s="1" t="n">
        <v>45742.29048611111</v>
      </c>
      <c r="C2137" s="1" t="n">
        <v>46117</v>
      </c>
      <c r="D2137" t="inlineStr">
        <is>
          <t>VÄRMLANDS LÄN</t>
        </is>
      </c>
      <c r="E2137" t="inlineStr">
        <is>
          <t>TORSBY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46117</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30370-2023</t>
        </is>
      </c>
      <c r="B2139" s="1" t="n">
        <v>45111</v>
      </c>
      <c r="C2139" s="1" t="n">
        <v>46117</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2471-2023</t>
        </is>
      </c>
      <c r="B2140" s="1" t="n">
        <v>44943.48373842592</v>
      </c>
      <c r="C2140" s="1" t="n">
        <v>46117</v>
      </c>
      <c r="D2140" t="inlineStr">
        <is>
          <t>VÄRMLANDS LÄN</t>
        </is>
      </c>
      <c r="E2140" t="inlineStr">
        <is>
          <t>TORSBY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23280-2025</t>
        </is>
      </c>
      <c r="B2141" s="1" t="n">
        <v>45791.57217592592</v>
      </c>
      <c r="C2141" s="1" t="n">
        <v>46117</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31945-2024</t>
        </is>
      </c>
      <c r="B2142" s="1" t="n">
        <v>45510</v>
      </c>
      <c r="C2142" s="1" t="n">
        <v>46117</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23557-2025</t>
        </is>
      </c>
      <c r="B2143" s="1" t="n">
        <v>45792.58086805556</v>
      </c>
      <c r="C2143" s="1" t="n">
        <v>46117</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42656-2023</t>
        </is>
      </c>
      <c r="B2144" s="1" t="n">
        <v>45181.53928240741</v>
      </c>
      <c r="C2144" s="1" t="n">
        <v>46117</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62957-2023</t>
        </is>
      </c>
      <c r="B2145" s="1" t="n">
        <v>45271</v>
      </c>
      <c r="C2145" s="1" t="n">
        <v>46117</v>
      </c>
      <c r="D2145" t="inlineStr">
        <is>
          <t>VÄRMLANDS LÄN</t>
        </is>
      </c>
      <c r="E2145" t="inlineStr">
        <is>
          <t>TORSBY</t>
        </is>
      </c>
      <c r="F2145" t="inlineStr">
        <is>
          <t>Övriga statliga verk och myndigheter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23677-2025</t>
        </is>
      </c>
      <c r="B2146" s="1" t="n">
        <v>45793.31969907408</v>
      </c>
      <c r="C2146" s="1" t="n">
        <v>46117</v>
      </c>
      <c r="D2146" t="inlineStr">
        <is>
          <t>VÄRMLANDS LÄN</t>
        </is>
      </c>
      <c r="E2146" t="inlineStr">
        <is>
          <t>TORSBY</t>
        </is>
      </c>
      <c r="F2146" t="inlineStr">
        <is>
          <t>Kyrkan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23741-2025</t>
        </is>
      </c>
      <c r="B2147" s="1" t="n">
        <v>45793</v>
      </c>
      <c r="C2147" s="1" t="n">
        <v>46117</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4078-2024</t>
        </is>
      </c>
      <c r="B2148" s="1" t="n">
        <v>45323</v>
      </c>
      <c r="C2148" s="1" t="n">
        <v>46117</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33069-2022</t>
        </is>
      </c>
      <c r="B2149" s="1" t="n">
        <v>44785</v>
      </c>
      <c r="C2149" s="1" t="n">
        <v>46117</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23455-2025</t>
        </is>
      </c>
      <c r="B2150" s="1" t="n">
        <v>45792.42520833333</v>
      </c>
      <c r="C2150" s="1" t="n">
        <v>46117</v>
      </c>
      <c r="D2150" t="inlineStr">
        <is>
          <t>VÄRMLANDS LÄN</t>
        </is>
      </c>
      <c r="E2150" t="inlineStr">
        <is>
          <t>TORSBY</t>
        </is>
      </c>
      <c r="F2150" t="inlineStr">
        <is>
          <t>Kyrkan</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42473-2023</t>
        </is>
      </c>
      <c r="B2151" s="1" t="n">
        <v>45180</v>
      </c>
      <c r="C2151" s="1" t="n">
        <v>46117</v>
      </c>
      <c r="D2151" t="inlineStr">
        <is>
          <t>VÄRMLANDS LÄN</t>
        </is>
      </c>
      <c r="E2151" t="inlineStr">
        <is>
          <t>TORSBY</t>
        </is>
      </c>
      <c r="F2151" t="inlineStr">
        <is>
          <t>Bergvik skog väst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11427-2025</t>
        </is>
      </c>
      <c r="B2152" s="1" t="n">
        <v>45726</v>
      </c>
      <c r="C2152" s="1" t="n">
        <v>46117</v>
      </c>
      <c r="D2152" t="inlineStr">
        <is>
          <t>VÄRMLANDS LÄN</t>
        </is>
      </c>
      <c r="E2152" t="inlineStr">
        <is>
          <t>TORSBY</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24069-2025</t>
        </is>
      </c>
      <c r="B2153" s="1" t="n">
        <v>45796.53997685185</v>
      </c>
      <c r="C2153" s="1" t="n">
        <v>46117</v>
      </c>
      <c r="D2153" t="inlineStr">
        <is>
          <t>VÄRMLANDS LÄN</t>
        </is>
      </c>
      <c r="E2153" t="inlineStr">
        <is>
          <t>TORSBY</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37985-2022</t>
        </is>
      </c>
      <c r="B2154" s="1" t="n">
        <v>44811</v>
      </c>
      <c r="C2154" s="1" t="n">
        <v>46117</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14624-2023</t>
        </is>
      </c>
      <c r="B2155" s="1" t="n">
        <v>45013</v>
      </c>
      <c r="C2155" s="1" t="n">
        <v>46117</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24204-2025</t>
        </is>
      </c>
      <c r="B2156" s="1" t="n">
        <v>45797.31824074074</v>
      </c>
      <c r="C2156" s="1" t="n">
        <v>46117</v>
      </c>
      <c r="D2156" t="inlineStr">
        <is>
          <t>VÄRMLANDS LÄN</t>
        </is>
      </c>
      <c r="E2156" t="inlineStr">
        <is>
          <t>TORSBY</t>
        </is>
      </c>
      <c r="F2156" t="inlineStr">
        <is>
          <t>Bergvik skog väst AB</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24112-2025</t>
        </is>
      </c>
      <c r="B2157" s="1" t="n">
        <v>45796</v>
      </c>
      <c r="C2157" s="1" t="n">
        <v>46117</v>
      </c>
      <c r="D2157" t="inlineStr">
        <is>
          <t>VÄRMLANDS LÄN</t>
        </is>
      </c>
      <c r="E2157" t="inlineStr">
        <is>
          <t>TORSBY</t>
        </is>
      </c>
      <c r="F2157" t="inlineStr">
        <is>
          <t>Bergvik skog väst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24260-2025</t>
        </is>
      </c>
      <c r="B2158" s="1" t="n">
        <v>45797</v>
      </c>
      <c r="C2158" s="1" t="n">
        <v>46117</v>
      </c>
      <c r="D2158" t="inlineStr">
        <is>
          <t>VÄRMLANDS LÄN</t>
        </is>
      </c>
      <c r="E2158" t="inlineStr">
        <is>
          <t>TORSBY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24425-2025</t>
        </is>
      </c>
      <c r="B2159" s="1" t="n">
        <v>45797</v>
      </c>
      <c r="C2159" s="1" t="n">
        <v>46117</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24026-2025</t>
        </is>
      </c>
      <c r="B2160" s="1" t="n">
        <v>45796.46841435185</v>
      </c>
      <c r="C2160" s="1" t="n">
        <v>46117</v>
      </c>
      <c r="D2160" t="inlineStr">
        <is>
          <t>VÄRMLANDS LÄN</t>
        </is>
      </c>
      <c r="E2160" t="inlineStr">
        <is>
          <t>TORSBY</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24318-2025</t>
        </is>
      </c>
      <c r="B2161" s="1" t="n">
        <v>45797.54879629629</v>
      </c>
      <c r="C2161" s="1" t="n">
        <v>46117</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24251-2025</t>
        </is>
      </c>
      <c r="B2162" s="1" t="n">
        <v>45797</v>
      </c>
      <c r="C2162" s="1" t="n">
        <v>46117</v>
      </c>
      <c r="D2162" t="inlineStr">
        <is>
          <t>VÄRMLANDS LÄN</t>
        </is>
      </c>
      <c r="E2162" t="inlineStr">
        <is>
          <t>TORSBY</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11868-2025</t>
        </is>
      </c>
      <c r="B2163" s="1" t="n">
        <v>45728.4225</v>
      </c>
      <c r="C2163" s="1" t="n">
        <v>46117</v>
      </c>
      <c r="D2163" t="inlineStr">
        <is>
          <t>VÄRMLANDS LÄN</t>
        </is>
      </c>
      <c r="E2163" t="inlineStr">
        <is>
          <t>TORSBY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24411-2025</t>
        </is>
      </c>
      <c r="B2164" s="1" t="n">
        <v>45797</v>
      </c>
      <c r="C2164" s="1" t="n">
        <v>46117</v>
      </c>
      <c r="D2164" t="inlineStr">
        <is>
          <t>VÄRMLANDS LÄN</t>
        </is>
      </c>
      <c r="E2164" t="inlineStr">
        <is>
          <t>TORSBY</t>
        </is>
      </c>
      <c r="F2164" t="inlineStr">
        <is>
          <t>Övriga statliga verk och myndigheter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24726-2025</t>
        </is>
      </c>
      <c r="B2165" s="1" t="n">
        <v>45799.32805555555</v>
      </c>
      <c r="C2165" s="1" t="n">
        <v>46117</v>
      </c>
      <c r="D2165" t="inlineStr">
        <is>
          <t>VÄRMLANDS LÄN</t>
        </is>
      </c>
      <c r="E2165" t="inlineStr">
        <is>
          <t>TORSBY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24528-2025</t>
        </is>
      </c>
      <c r="B2166" s="1" t="n">
        <v>45798.42680555556</v>
      </c>
      <c r="C2166" s="1" t="n">
        <v>46117</v>
      </c>
      <c r="D2166" t="inlineStr">
        <is>
          <t>VÄRMLANDS LÄN</t>
        </is>
      </c>
      <c r="E2166" t="inlineStr">
        <is>
          <t>TORSBY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24597-2025</t>
        </is>
      </c>
      <c r="B2167" s="1" t="n">
        <v>45798</v>
      </c>
      <c r="C2167" s="1" t="n">
        <v>46117</v>
      </c>
      <c r="D2167" t="inlineStr">
        <is>
          <t>VÄRMLANDS LÄN</t>
        </is>
      </c>
      <c r="E2167" t="inlineStr">
        <is>
          <t>TORSBY</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24599-2025</t>
        </is>
      </c>
      <c r="B2168" s="1" t="n">
        <v>45798.56230324074</v>
      </c>
      <c r="C2168" s="1" t="n">
        <v>46117</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24607-2025</t>
        </is>
      </c>
      <c r="B2169" s="1" t="n">
        <v>45798.57608796296</v>
      </c>
      <c r="C2169" s="1" t="n">
        <v>46117</v>
      </c>
      <c r="D2169" t="inlineStr">
        <is>
          <t>VÄRMLANDS LÄN</t>
        </is>
      </c>
      <c r="E2169" t="inlineStr">
        <is>
          <t>TORSBY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25050-2025</t>
        </is>
      </c>
      <c r="B2170" s="1" t="n">
        <v>45799</v>
      </c>
      <c r="C2170" s="1" t="n">
        <v>46117</v>
      </c>
      <c r="D2170" t="inlineStr">
        <is>
          <t>VÄRMLANDS LÄN</t>
        </is>
      </c>
      <c r="E2170" t="inlineStr">
        <is>
          <t>TORSBY</t>
        </is>
      </c>
      <c r="F2170" t="inlineStr">
        <is>
          <t>Bergvik skog väst AB</t>
        </is>
      </c>
      <c r="G2170" t="n">
        <v>39.7</v>
      </c>
      <c r="H2170" t="n">
        <v>0</v>
      </c>
      <c r="I2170" t="n">
        <v>0</v>
      </c>
      <c r="J2170" t="n">
        <v>0</v>
      </c>
      <c r="K2170" t="n">
        <v>0</v>
      </c>
      <c r="L2170" t="n">
        <v>0</v>
      </c>
      <c r="M2170" t="n">
        <v>0</v>
      </c>
      <c r="N2170" t="n">
        <v>0</v>
      </c>
      <c r="O2170" t="n">
        <v>0</v>
      </c>
      <c r="P2170" t="n">
        <v>0</v>
      </c>
      <c r="Q2170" t="n">
        <v>0</v>
      </c>
      <c r="R2170" s="2" t="inlineStr"/>
    </row>
    <row r="2171" ht="15" customHeight="1">
      <c r="A2171" t="inlineStr">
        <is>
          <t>A 24757-2025</t>
        </is>
      </c>
      <c r="B2171" s="1" t="n">
        <v>45799</v>
      </c>
      <c r="C2171" s="1" t="n">
        <v>46117</v>
      </c>
      <c r="D2171" t="inlineStr">
        <is>
          <t>VÄRMLANDS LÄN</t>
        </is>
      </c>
      <c r="E2171" t="inlineStr">
        <is>
          <t>TORSBY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24967-2025</t>
        </is>
      </c>
      <c r="B2172" s="1" t="n">
        <v>45799.58332175926</v>
      </c>
      <c r="C2172" s="1" t="n">
        <v>46117</v>
      </c>
      <c r="D2172" t="inlineStr">
        <is>
          <t>VÄRMLANDS LÄN</t>
        </is>
      </c>
      <c r="E2172" t="inlineStr">
        <is>
          <t>TORSBY</t>
        </is>
      </c>
      <c r="F2172" t="inlineStr">
        <is>
          <t>Bergvik skog väst AB</t>
        </is>
      </c>
      <c r="G2172" t="n">
        <v>17.6</v>
      </c>
      <c r="H2172" t="n">
        <v>0</v>
      </c>
      <c r="I2172" t="n">
        <v>0</v>
      </c>
      <c r="J2172" t="n">
        <v>0</v>
      </c>
      <c r="K2172" t="n">
        <v>0</v>
      </c>
      <c r="L2172" t="n">
        <v>0</v>
      </c>
      <c r="M2172" t="n">
        <v>0</v>
      </c>
      <c r="N2172" t="n">
        <v>0</v>
      </c>
      <c r="O2172" t="n">
        <v>0</v>
      </c>
      <c r="P2172" t="n">
        <v>0</v>
      </c>
      <c r="Q2172" t="n">
        <v>0</v>
      </c>
      <c r="R2172" s="2" t="inlineStr"/>
    </row>
    <row r="2173" ht="15" customHeight="1">
      <c r="A2173" t="inlineStr">
        <is>
          <t>A 25653-2025</t>
        </is>
      </c>
      <c r="B2173" s="1" t="n">
        <v>45803.61072916666</v>
      </c>
      <c r="C2173" s="1" t="n">
        <v>46117</v>
      </c>
      <c r="D2173" t="inlineStr">
        <is>
          <t>VÄRMLANDS LÄN</t>
        </is>
      </c>
      <c r="E2173" t="inlineStr">
        <is>
          <t>TORSBY</t>
        </is>
      </c>
      <c r="F2173" t="inlineStr">
        <is>
          <t>Bergvik skog väst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25508-2025</t>
        </is>
      </c>
      <c r="B2174" s="1" t="n">
        <v>45803.35520833333</v>
      </c>
      <c r="C2174" s="1" t="n">
        <v>46117</v>
      </c>
      <c r="D2174" t="inlineStr">
        <is>
          <t>VÄRMLANDS LÄN</t>
        </is>
      </c>
      <c r="E2174" t="inlineStr">
        <is>
          <t>TORSBY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25464-2025</t>
        </is>
      </c>
      <c r="B2175" s="1" t="n">
        <v>45802.46032407408</v>
      </c>
      <c r="C2175" s="1" t="n">
        <v>46117</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25465-2025</t>
        </is>
      </c>
      <c r="B2176" s="1" t="n">
        <v>45802.48196759259</v>
      </c>
      <c r="C2176" s="1" t="n">
        <v>46117</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25218-2025</t>
        </is>
      </c>
      <c r="B2177" s="1" t="n">
        <v>45800.4766087963</v>
      </c>
      <c r="C2177" s="1" t="n">
        <v>46117</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25186-2025</t>
        </is>
      </c>
      <c r="B2178" s="1" t="n">
        <v>45800.45247685185</v>
      </c>
      <c r="C2178" s="1" t="n">
        <v>46117</v>
      </c>
      <c r="D2178" t="inlineStr">
        <is>
          <t>VÄRMLANDS LÄN</t>
        </is>
      </c>
      <c r="E2178" t="inlineStr">
        <is>
          <t>TORSBY</t>
        </is>
      </c>
      <c r="F2178" t="inlineStr">
        <is>
          <t>Kyrkan</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25353-2025</t>
        </is>
      </c>
      <c r="B2179" s="1" t="n">
        <v>45800.61553240741</v>
      </c>
      <c r="C2179" s="1" t="n">
        <v>46117</v>
      </c>
      <c r="D2179" t="inlineStr">
        <is>
          <t>VÄRMLANDS LÄN</t>
        </is>
      </c>
      <c r="E2179" t="inlineStr">
        <is>
          <t>TORSBY</t>
        </is>
      </c>
      <c r="F2179" t="inlineStr">
        <is>
          <t>Bergvik skog väst AB</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25428-2025</t>
        </is>
      </c>
      <c r="B2180" s="1" t="n">
        <v>45800.71540509259</v>
      </c>
      <c r="C2180" s="1" t="n">
        <v>46117</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25443-2025</t>
        </is>
      </c>
      <c r="B2181" s="1" t="n">
        <v>45801.49258101852</v>
      </c>
      <c r="C2181" s="1" t="n">
        <v>46117</v>
      </c>
      <c r="D2181" t="inlineStr">
        <is>
          <t>VÄRMLANDS LÄN</t>
        </is>
      </c>
      <c r="E2181" t="inlineStr">
        <is>
          <t>TORSBY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25369-2025</t>
        </is>
      </c>
      <c r="B2182" s="1" t="n">
        <v>45800.63046296296</v>
      </c>
      <c r="C2182" s="1" t="n">
        <v>46117</v>
      </c>
      <c r="D2182" t="inlineStr">
        <is>
          <t>VÄRMLANDS LÄN</t>
        </is>
      </c>
      <c r="E2182" t="inlineStr">
        <is>
          <t>TORSBY</t>
        </is>
      </c>
      <c r="F2182" t="inlineStr">
        <is>
          <t>Bergvik skog väst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25545-2025</t>
        </is>
      </c>
      <c r="B2183" s="1" t="n">
        <v>45803.43763888889</v>
      </c>
      <c r="C2183" s="1" t="n">
        <v>46117</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26231-2025</t>
        </is>
      </c>
      <c r="B2184" s="1" t="n">
        <v>45805</v>
      </c>
      <c r="C2184" s="1" t="n">
        <v>46117</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25807-2025</t>
        </is>
      </c>
      <c r="B2185" s="1" t="n">
        <v>45804.41055555556</v>
      </c>
      <c r="C2185" s="1" t="n">
        <v>46117</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25959-2025</t>
        </is>
      </c>
      <c r="B2186" s="1" t="n">
        <v>45804.60914351852</v>
      </c>
      <c r="C2186" s="1" t="n">
        <v>46117</v>
      </c>
      <c r="D2186" t="inlineStr">
        <is>
          <t>VÄRMLANDS LÄN</t>
        </is>
      </c>
      <c r="E2186" t="inlineStr">
        <is>
          <t>TORSBY</t>
        </is>
      </c>
      <c r="F2186" t="inlineStr">
        <is>
          <t>Bergvik skog väst AB</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25917-2025</t>
        </is>
      </c>
      <c r="B2187" s="1" t="n">
        <v>45804.56704861111</v>
      </c>
      <c r="C2187" s="1" t="n">
        <v>46117</v>
      </c>
      <c r="D2187" t="inlineStr">
        <is>
          <t>VÄRMLANDS LÄN</t>
        </is>
      </c>
      <c r="E2187" t="inlineStr">
        <is>
          <t>TORSBY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26061-2025</t>
        </is>
      </c>
      <c r="B2188" s="1" t="n">
        <v>45805.24886574074</v>
      </c>
      <c r="C2188" s="1" t="n">
        <v>46117</v>
      </c>
      <c r="D2188" t="inlineStr">
        <is>
          <t>VÄRMLANDS LÄN</t>
        </is>
      </c>
      <c r="E2188" t="inlineStr">
        <is>
          <t>TORSBY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26158-2025</t>
        </is>
      </c>
      <c r="B2189" s="1" t="n">
        <v>45805</v>
      </c>
      <c r="C2189" s="1" t="n">
        <v>46117</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25881-2025</t>
        </is>
      </c>
      <c r="B2190" s="1" t="n">
        <v>45804.49729166667</v>
      </c>
      <c r="C2190" s="1" t="n">
        <v>46117</v>
      </c>
      <c r="D2190" t="inlineStr">
        <is>
          <t>VÄRMLANDS LÄN</t>
        </is>
      </c>
      <c r="E2190" t="inlineStr">
        <is>
          <t>TORSBY</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25803-2025</t>
        </is>
      </c>
      <c r="B2191" s="1" t="n">
        <v>45804.40886574074</v>
      </c>
      <c r="C2191" s="1" t="n">
        <v>46117</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26342-2025</t>
        </is>
      </c>
      <c r="B2192" s="1" t="n">
        <v>45805.70604166666</v>
      </c>
      <c r="C2192" s="1" t="n">
        <v>46117</v>
      </c>
      <c r="D2192" t="inlineStr">
        <is>
          <t>VÄRMLANDS LÄN</t>
        </is>
      </c>
      <c r="E2192" t="inlineStr">
        <is>
          <t>TORSBY</t>
        </is>
      </c>
      <c r="F2192" t="inlineStr">
        <is>
          <t>Bergvik skog väst AB</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26108-2025</t>
        </is>
      </c>
      <c r="B2193" s="1" t="n">
        <v>45805</v>
      </c>
      <c r="C2193" s="1" t="n">
        <v>46117</v>
      </c>
      <c r="D2193" t="inlineStr">
        <is>
          <t>VÄRMLANDS LÄN</t>
        </is>
      </c>
      <c r="E2193" t="inlineStr">
        <is>
          <t>TORSBY</t>
        </is>
      </c>
      <c r="F2193" t="inlineStr">
        <is>
          <t>Bergvik skog väst AB</t>
        </is>
      </c>
      <c r="G2193" t="n">
        <v>22.8</v>
      </c>
      <c r="H2193" t="n">
        <v>0</v>
      </c>
      <c r="I2193" t="n">
        <v>0</v>
      </c>
      <c r="J2193" t="n">
        <v>0</v>
      </c>
      <c r="K2193" t="n">
        <v>0</v>
      </c>
      <c r="L2193" t="n">
        <v>0</v>
      </c>
      <c r="M2193" t="n">
        <v>0</v>
      </c>
      <c r="N2193" t="n">
        <v>0</v>
      </c>
      <c r="O2193" t="n">
        <v>0</v>
      </c>
      <c r="P2193" t="n">
        <v>0</v>
      </c>
      <c r="Q2193" t="n">
        <v>0</v>
      </c>
      <c r="R2193" s="2" t="inlineStr"/>
    </row>
    <row r="2194" ht="15" customHeight="1">
      <c r="A2194" t="inlineStr">
        <is>
          <t>A 25859-2025</t>
        </is>
      </c>
      <c r="B2194" s="1" t="n">
        <v>45804.47244212963</v>
      </c>
      <c r="C2194" s="1" t="n">
        <v>46117</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25915-2025</t>
        </is>
      </c>
      <c r="B2195" s="1" t="n">
        <v>45804.56549768519</v>
      </c>
      <c r="C2195" s="1" t="n">
        <v>46117</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25808-2025</t>
        </is>
      </c>
      <c r="B2196" s="1" t="n">
        <v>45804.41528935185</v>
      </c>
      <c r="C2196" s="1" t="n">
        <v>46117</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26563-2025</t>
        </is>
      </c>
      <c r="B2197" s="1" t="n">
        <v>45807.65767361111</v>
      </c>
      <c r="C2197" s="1" t="n">
        <v>46117</v>
      </c>
      <c r="D2197" t="inlineStr">
        <is>
          <t>VÄRMLANDS LÄN</t>
        </is>
      </c>
      <c r="E2197" t="inlineStr">
        <is>
          <t>TORSBY</t>
        </is>
      </c>
      <c r="F2197" t="inlineStr">
        <is>
          <t>Bergvik skog väst AB</t>
        </is>
      </c>
      <c r="G2197" t="n">
        <v>19.5</v>
      </c>
      <c r="H2197" t="n">
        <v>0</v>
      </c>
      <c r="I2197" t="n">
        <v>0</v>
      </c>
      <c r="J2197" t="n">
        <v>0</v>
      </c>
      <c r="K2197" t="n">
        <v>0</v>
      </c>
      <c r="L2197" t="n">
        <v>0</v>
      </c>
      <c r="M2197" t="n">
        <v>0</v>
      </c>
      <c r="N2197" t="n">
        <v>0</v>
      </c>
      <c r="O2197" t="n">
        <v>0</v>
      </c>
      <c r="P2197" t="n">
        <v>0</v>
      </c>
      <c r="Q2197" t="n">
        <v>0</v>
      </c>
      <c r="R2197" s="2" t="inlineStr"/>
    </row>
    <row r="2198" ht="15" customHeight="1">
      <c r="A2198" t="inlineStr">
        <is>
          <t>A 26504-2025</t>
        </is>
      </c>
      <c r="B2198" s="1" t="n">
        <v>45807.519375</v>
      </c>
      <c r="C2198" s="1" t="n">
        <v>46117</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26505-2025</t>
        </is>
      </c>
      <c r="B2199" s="1" t="n">
        <v>45807.52231481481</v>
      </c>
      <c r="C2199" s="1" t="n">
        <v>46117</v>
      </c>
      <c r="D2199" t="inlineStr">
        <is>
          <t>VÄRMLANDS LÄN</t>
        </is>
      </c>
      <c r="E2199" t="inlineStr">
        <is>
          <t>TORSBY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26511-2025</t>
        </is>
      </c>
      <c r="B2200" s="1" t="n">
        <v>45807.54571759259</v>
      </c>
      <c r="C2200" s="1" t="n">
        <v>46117</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26539-2025</t>
        </is>
      </c>
      <c r="B2201" s="1" t="n">
        <v>45807.58127314815</v>
      </c>
      <c r="C2201" s="1" t="n">
        <v>46117</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26418-2025</t>
        </is>
      </c>
      <c r="B2202" s="1" t="n">
        <v>45807.36436342593</v>
      </c>
      <c r="C2202" s="1" t="n">
        <v>46117</v>
      </c>
      <c r="D2202" t="inlineStr">
        <is>
          <t>VÄRMLANDS LÄN</t>
        </is>
      </c>
      <c r="E2202" t="inlineStr">
        <is>
          <t>TORSBY</t>
        </is>
      </c>
      <c r="F2202" t="inlineStr">
        <is>
          <t>Bergvik skog väst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26507-2025</t>
        </is>
      </c>
      <c r="B2203" s="1" t="n">
        <v>45807.52539351852</v>
      </c>
      <c r="C2203" s="1" t="n">
        <v>46117</v>
      </c>
      <c r="D2203" t="inlineStr">
        <is>
          <t>VÄRMLANDS LÄN</t>
        </is>
      </c>
      <c r="E2203" t="inlineStr">
        <is>
          <t>TORSBY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26564-2025</t>
        </is>
      </c>
      <c r="B2204" s="1" t="n">
        <v>45807.66306712963</v>
      </c>
      <c r="C2204" s="1" t="n">
        <v>46117</v>
      </c>
      <c r="D2204" t="inlineStr">
        <is>
          <t>VÄRMLANDS LÄN</t>
        </is>
      </c>
      <c r="E2204" t="inlineStr">
        <is>
          <t>TORSBY</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26479-2025</t>
        </is>
      </c>
      <c r="B2205" s="1" t="n">
        <v>45807.47021990741</v>
      </c>
      <c r="C2205" s="1" t="n">
        <v>46117</v>
      </c>
      <c r="D2205" t="inlineStr">
        <is>
          <t>VÄRMLANDS LÄN</t>
        </is>
      </c>
      <c r="E2205" t="inlineStr">
        <is>
          <t>TORSBY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26491-2025</t>
        </is>
      </c>
      <c r="B2206" s="1" t="n">
        <v>45807.48939814815</v>
      </c>
      <c r="C2206" s="1" t="n">
        <v>46117</v>
      </c>
      <c r="D2206" t="inlineStr">
        <is>
          <t>VÄRMLANDS LÄN</t>
        </is>
      </c>
      <c r="E2206" t="inlineStr">
        <is>
          <t>TORSBY</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26533-2025</t>
        </is>
      </c>
      <c r="B2207" s="1" t="n">
        <v>45807.57259259259</v>
      </c>
      <c r="C2207" s="1" t="n">
        <v>46117</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26487-2025</t>
        </is>
      </c>
      <c r="B2208" s="1" t="n">
        <v>45807.47644675926</v>
      </c>
      <c r="C2208" s="1" t="n">
        <v>46117</v>
      </c>
      <c r="D2208" t="inlineStr">
        <is>
          <t>VÄRMLANDS LÄN</t>
        </is>
      </c>
      <c r="E2208" t="inlineStr">
        <is>
          <t>TORSBY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56724-2023</t>
        </is>
      </c>
      <c r="B2209" s="1" t="n">
        <v>45244.3393287037</v>
      </c>
      <c r="C2209" s="1" t="n">
        <v>46117</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28545-2024</t>
        </is>
      </c>
      <c r="B2210" s="1" t="n">
        <v>45478.3559375</v>
      </c>
      <c r="C2210" s="1" t="n">
        <v>46117</v>
      </c>
      <c r="D2210" t="inlineStr">
        <is>
          <t>VÄRMLANDS LÄN</t>
        </is>
      </c>
      <c r="E2210" t="inlineStr">
        <is>
          <t>TORSBY</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16380-2025</t>
        </is>
      </c>
      <c r="B2211" s="1" t="n">
        <v>45751</v>
      </c>
      <c r="C2211" s="1" t="n">
        <v>46117</v>
      </c>
      <c r="D2211" t="inlineStr">
        <is>
          <t>VÄRMLANDS LÄN</t>
        </is>
      </c>
      <c r="E2211" t="inlineStr">
        <is>
          <t>TORSBY</t>
        </is>
      </c>
      <c r="F2211" t="inlineStr">
        <is>
          <t>Bergvik skog väst AB</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27056-2025</t>
        </is>
      </c>
      <c r="B2212" s="1" t="n">
        <v>45811.63118055555</v>
      </c>
      <c r="C2212" s="1" t="n">
        <v>46117</v>
      </c>
      <c r="D2212" t="inlineStr">
        <is>
          <t>VÄRMLANDS LÄN</t>
        </is>
      </c>
      <c r="E2212" t="inlineStr">
        <is>
          <t>TORSBY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27116-2025</t>
        </is>
      </c>
      <c r="B2213" s="1" t="n">
        <v>45811.74233796296</v>
      </c>
      <c r="C2213" s="1" t="n">
        <v>46117</v>
      </c>
      <c r="D2213" t="inlineStr">
        <is>
          <t>VÄRMLANDS LÄN</t>
        </is>
      </c>
      <c r="E2213" t="inlineStr">
        <is>
          <t>TORSBY</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43144-2024</t>
        </is>
      </c>
      <c r="B2214" s="1" t="n">
        <v>45567</v>
      </c>
      <c r="C2214" s="1" t="n">
        <v>46117</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27043-2025</t>
        </is>
      </c>
      <c r="B2215" s="1" t="n">
        <v>45811.61342592593</v>
      </c>
      <c r="C2215" s="1" t="n">
        <v>46117</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26898-2025</t>
        </is>
      </c>
      <c r="B2216" s="1" t="n">
        <v>45811</v>
      </c>
      <c r="C2216" s="1" t="n">
        <v>46117</v>
      </c>
      <c r="D2216" t="inlineStr">
        <is>
          <t>VÄRMLANDS LÄN</t>
        </is>
      </c>
      <c r="E2216" t="inlineStr">
        <is>
          <t>TORSBY</t>
        </is>
      </c>
      <c r="F2216" t="inlineStr">
        <is>
          <t>Övriga Aktiebolag</t>
        </is>
      </c>
      <c r="G2216" t="n">
        <v>37.8</v>
      </c>
      <c r="H2216" t="n">
        <v>0</v>
      </c>
      <c r="I2216" t="n">
        <v>0</v>
      </c>
      <c r="J2216" t="n">
        <v>0</v>
      </c>
      <c r="K2216" t="n">
        <v>0</v>
      </c>
      <c r="L2216" t="n">
        <v>0</v>
      </c>
      <c r="M2216" t="n">
        <v>0</v>
      </c>
      <c r="N2216" t="n">
        <v>0</v>
      </c>
      <c r="O2216" t="n">
        <v>0</v>
      </c>
      <c r="P2216" t="n">
        <v>0</v>
      </c>
      <c r="Q2216" t="n">
        <v>0</v>
      </c>
      <c r="R2216" s="2" t="inlineStr"/>
    </row>
    <row r="2217" ht="15" customHeight="1">
      <c r="A2217" t="inlineStr">
        <is>
          <t>A 11222-2024</t>
        </is>
      </c>
      <c r="B2217" s="1" t="n">
        <v>45371</v>
      </c>
      <c r="C2217" s="1" t="n">
        <v>46117</v>
      </c>
      <c r="D2217" t="inlineStr">
        <is>
          <t>VÄRMLANDS LÄN</t>
        </is>
      </c>
      <c r="E2217" t="inlineStr">
        <is>
          <t>TORSBY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754-2025</t>
        </is>
      </c>
      <c r="B2218" s="1" t="n">
        <v>45665</v>
      </c>
      <c r="C2218" s="1" t="n">
        <v>46117</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26892-2025</t>
        </is>
      </c>
      <c r="B2219" s="1" t="n">
        <v>45811.3334837963</v>
      </c>
      <c r="C2219" s="1" t="n">
        <v>46117</v>
      </c>
      <c r="D2219" t="inlineStr">
        <is>
          <t>VÄRMLANDS LÄN</t>
        </is>
      </c>
      <c r="E2219" t="inlineStr">
        <is>
          <t>TORSBY</t>
        </is>
      </c>
      <c r="F2219" t="inlineStr">
        <is>
          <t>Bergvik skog väst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27094-2025</t>
        </is>
      </c>
      <c r="B2220" s="1" t="n">
        <v>45811.6766087963</v>
      </c>
      <c r="C2220" s="1" t="n">
        <v>46117</v>
      </c>
      <c r="D2220" t="inlineStr">
        <is>
          <t>VÄRMLANDS LÄN</t>
        </is>
      </c>
      <c r="E2220" t="inlineStr">
        <is>
          <t>TORSBY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26822-2025</t>
        </is>
      </c>
      <c r="B2221" s="1" t="n">
        <v>45810</v>
      </c>
      <c r="C2221" s="1" t="n">
        <v>46117</v>
      </c>
      <c r="D2221" t="inlineStr">
        <is>
          <t>VÄRMLANDS LÄN</t>
        </is>
      </c>
      <c r="E2221" t="inlineStr">
        <is>
          <t>TORSBY</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26890-2025</t>
        </is>
      </c>
      <c r="B2222" s="1" t="n">
        <v>45811</v>
      </c>
      <c r="C2222" s="1" t="n">
        <v>46117</v>
      </c>
      <c r="D2222" t="inlineStr">
        <is>
          <t>VÄRMLANDS LÄN</t>
        </is>
      </c>
      <c r="E2222" t="inlineStr">
        <is>
          <t>TORSBY</t>
        </is>
      </c>
      <c r="F2222" t="inlineStr">
        <is>
          <t>Bergvik skog väst AB</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25956-2025</t>
        </is>
      </c>
      <c r="B2223" s="1" t="n">
        <v>45804</v>
      </c>
      <c r="C2223" s="1" t="n">
        <v>46117</v>
      </c>
      <c r="D2223" t="inlineStr">
        <is>
          <t>VÄRMLANDS LÄN</t>
        </is>
      </c>
      <c r="E2223" t="inlineStr">
        <is>
          <t>TORSBY</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26607-2025</t>
        </is>
      </c>
      <c r="B2224" s="1" t="n">
        <v>45809.92239583333</v>
      </c>
      <c r="C2224" s="1" t="n">
        <v>46117</v>
      </c>
      <c r="D2224" t="inlineStr">
        <is>
          <t>VÄRMLANDS LÄN</t>
        </is>
      </c>
      <c r="E2224" t="inlineStr">
        <is>
          <t>TORSBY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26960-2025</t>
        </is>
      </c>
      <c r="B2225" s="1" t="n">
        <v>45811.46167824074</v>
      </c>
      <c r="C2225" s="1" t="n">
        <v>46117</v>
      </c>
      <c r="D2225" t="inlineStr">
        <is>
          <t>VÄRMLANDS LÄN</t>
        </is>
      </c>
      <c r="E2225" t="inlineStr">
        <is>
          <t>TORSBY</t>
        </is>
      </c>
      <c r="F2225" t="inlineStr">
        <is>
          <t>Kyrkan</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27093-2025</t>
        </is>
      </c>
      <c r="B2226" s="1" t="n">
        <v>45811.67347222222</v>
      </c>
      <c r="C2226" s="1" t="n">
        <v>46117</v>
      </c>
      <c r="D2226" t="inlineStr">
        <is>
          <t>VÄRMLANDS LÄN</t>
        </is>
      </c>
      <c r="E2226" t="inlineStr">
        <is>
          <t>TORSBY</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26897-2025</t>
        </is>
      </c>
      <c r="B2227" s="1" t="n">
        <v>45811.34108796297</v>
      </c>
      <c r="C2227" s="1" t="n">
        <v>46117</v>
      </c>
      <c r="D2227" t="inlineStr">
        <is>
          <t>VÄRMLANDS LÄN</t>
        </is>
      </c>
      <c r="E2227" t="inlineStr">
        <is>
          <t>TORSBY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26876-2024</t>
        </is>
      </c>
      <c r="B2228" s="1" t="n">
        <v>45470.62181712963</v>
      </c>
      <c r="C2228" s="1" t="n">
        <v>46117</v>
      </c>
      <c r="D2228" t="inlineStr">
        <is>
          <t>VÄRMLANDS LÄN</t>
        </is>
      </c>
      <c r="E2228" t="inlineStr">
        <is>
          <t>TORSBY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24087-2024</t>
        </is>
      </c>
      <c r="B2229" s="1" t="n">
        <v>45456</v>
      </c>
      <c r="C2229" s="1" t="n">
        <v>46117</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30002-2024</t>
        </is>
      </c>
      <c r="B2230" s="1" t="n">
        <v>45488</v>
      </c>
      <c r="C2230" s="1" t="n">
        <v>46117</v>
      </c>
      <c r="D2230" t="inlineStr">
        <is>
          <t>VÄRMLANDS LÄN</t>
        </is>
      </c>
      <c r="E2230" t="inlineStr">
        <is>
          <t>TORSBY</t>
        </is>
      </c>
      <c r="F2230" t="inlineStr">
        <is>
          <t>Kommuner</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27149-2025</t>
        </is>
      </c>
      <c r="B2231" s="1" t="n">
        <v>45812.31924768518</v>
      </c>
      <c r="C2231" s="1" t="n">
        <v>46117</v>
      </c>
      <c r="D2231" t="inlineStr">
        <is>
          <t>VÄRMLANDS LÄN</t>
        </is>
      </c>
      <c r="E2231" t="inlineStr">
        <is>
          <t>TORSBY</t>
        </is>
      </c>
      <c r="F2231" t="inlineStr">
        <is>
          <t>Bergvik skog väst AB</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27667-2025</t>
        </is>
      </c>
      <c r="B2232" s="1" t="n">
        <v>45813.62092592593</v>
      </c>
      <c r="C2232" s="1" t="n">
        <v>46117</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27674-2025</t>
        </is>
      </c>
      <c r="B2233" s="1" t="n">
        <v>45813.62936342593</v>
      </c>
      <c r="C2233" s="1" t="n">
        <v>46117</v>
      </c>
      <c r="D2233" t="inlineStr">
        <is>
          <t>VÄRMLANDS LÄN</t>
        </is>
      </c>
      <c r="E2233" t="inlineStr">
        <is>
          <t>TORSBY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27467-2025</t>
        </is>
      </c>
      <c r="B2234" s="1" t="n">
        <v>45813.35497685185</v>
      </c>
      <c r="C2234" s="1" t="n">
        <v>46117</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27450-2025</t>
        </is>
      </c>
      <c r="B2235" s="1" t="n">
        <v>45813.33738425926</v>
      </c>
      <c r="C2235" s="1" t="n">
        <v>46117</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27470-2025</t>
        </is>
      </c>
      <c r="B2236" s="1" t="n">
        <v>45813.36284722222</v>
      </c>
      <c r="C2236" s="1" t="n">
        <v>46117</v>
      </c>
      <c r="D2236" t="inlineStr">
        <is>
          <t>VÄRMLANDS LÄN</t>
        </is>
      </c>
      <c r="E2236" t="inlineStr">
        <is>
          <t>TORSBY</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27291-2025</t>
        </is>
      </c>
      <c r="B2237" s="1" t="n">
        <v>45812.55769675926</v>
      </c>
      <c r="C2237" s="1" t="n">
        <v>46117</v>
      </c>
      <c r="D2237" t="inlineStr">
        <is>
          <t>VÄRMLANDS LÄN</t>
        </is>
      </c>
      <c r="E2237" t="inlineStr">
        <is>
          <t>TORSBY</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27174-2025</t>
        </is>
      </c>
      <c r="B2238" s="1" t="n">
        <v>45812.34997685185</v>
      </c>
      <c r="C2238" s="1" t="n">
        <v>46117</v>
      </c>
      <c r="D2238" t="inlineStr">
        <is>
          <t>VÄRMLANDS LÄN</t>
        </is>
      </c>
      <c r="E2238" t="inlineStr">
        <is>
          <t>TORSBY</t>
        </is>
      </c>
      <c r="F2238" t="inlineStr">
        <is>
          <t>Kyrkan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27759-2025</t>
        </is>
      </c>
      <c r="B2239" s="1" t="n">
        <v>45816.48986111111</v>
      </c>
      <c r="C2239" s="1" t="n">
        <v>46117</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27863-2025</t>
        </is>
      </c>
      <c r="B2240" s="1" t="n">
        <v>45817.42118055555</v>
      </c>
      <c r="C2240" s="1" t="n">
        <v>46117</v>
      </c>
      <c r="D2240" t="inlineStr">
        <is>
          <t>VÄRMLANDS LÄN</t>
        </is>
      </c>
      <c r="E2240" t="inlineStr">
        <is>
          <t>TORSBY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27730-2025</t>
        </is>
      </c>
      <c r="B2241" s="1" t="n">
        <v>45814</v>
      </c>
      <c r="C2241" s="1" t="n">
        <v>46117</v>
      </c>
      <c r="D2241" t="inlineStr">
        <is>
          <t>VÄRMLANDS LÄN</t>
        </is>
      </c>
      <c r="E2241" t="inlineStr">
        <is>
          <t>TORSBY</t>
        </is>
      </c>
      <c r="F2241" t="inlineStr">
        <is>
          <t>Bergvik skog väst AB</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27968-2025</t>
        </is>
      </c>
      <c r="B2242" s="1" t="n">
        <v>45817.55846064815</v>
      </c>
      <c r="C2242" s="1" t="n">
        <v>46117</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27856-2025</t>
        </is>
      </c>
      <c r="B2243" s="1" t="n">
        <v>45817.41006944444</v>
      </c>
      <c r="C2243" s="1" t="n">
        <v>46117</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24493-2024</t>
        </is>
      </c>
      <c r="B2244" s="1" t="n">
        <v>45459.72136574074</v>
      </c>
      <c r="C2244" s="1" t="n">
        <v>46117</v>
      </c>
      <c r="D2244" t="inlineStr">
        <is>
          <t>VÄRMLANDS LÄN</t>
        </is>
      </c>
      <c r="E2244" t="inlineStr">
        <is>
          <t>TORSBY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27906-2025</t>
        </is>
      </c>
      <c r="B2245" s="1" t="n">
        <v>45817.47108796296</v>
      </c>
      <c r="C2245" s="1" t="n">
        <v>46117</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27962-2025</t>
        </is>
      </c>
      <c r="B2246" s="1" t="n">
        <v>45817.54878472222</v>
      </c>
      <c r="C2246" s="1" t="n">
        <v>46117</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20255-2025</t>
        </is>
      </c>
      <c r="B2247" s="1" t="n">
        <v>45772.9009375</v>
      </c>
      <c r="C2247" s="1" t="n">
        <v>46117</v>
      </c>
      <c r="D2247" t="inlineStr">
        <is>
          <t>VÄRMLANDS LÄN</t>
        </is>
      </c>
      <c r="E2247" t="inlineStr">
        <is>
          <t>TORSBY</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27758-2025</t>
        </is>
      </c>
      <c r="B2248" s="1" t="n">
        <v>45816</v>
      </c>
      <c r="C2248" s="1" t="n">
        <v>46117</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27728-2025</t>
        </is>
      </c>
      <c r="B2249" s="1" t="n">
        <v>45814</v>
      </c>
      <c r="C2249" s="1" t="n">
        <v>46117</v>
      </c>
      <c r="D2249" t="inlineStr">
        <is>
          <t>VÄRMLANDS LÄN</t>
        </is>
      </c>
      <c r="E2249" t="inlineStr">
        <is>
          <t>TORSBY</t>
        </is>
      </c>
      <c r="F2249" t="inlineStr">
        <is>
          <t>Bergvik skog väst AB</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28214-2025</t>
        </is>
      </c>
      <c r="B2250" s="1" t="n">
        <v>45818</v>
      </c>
      <c r="C2250" s="1" t="n">
        <v>46117</v>
      </c>
      <c r="D2250" t="inlineStr">
        <is>
          <t>VÄRMLANDS LÄN</t>
        </is>
      </c>
      <c r="E2250" t="inlineStr">
        <is>
          <t>TORSBY</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28116-2025</t>
        </is>
      </c>
      <c r="B2251" s="1" t="n">
        <v>45818.28697916667</v>
      </c>
      <c r="C2251" s="1" t="n">
        <v>46117</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28117-2025</t>
        </is>
      </c>
      <c r="B2252" s="1" t="n">
        <v>45818</v>
      </c>
      <c r="C2252" s="1" t="n">
        <v>46117</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28118-2025</t>
        </is>
      </c>
      <c r="B2253" s="1" t="n">
        <v>45818</v>
      </c>
      <c r="C2253" s="1" t="n">
        <v>46117</v>
      </c>
      <c r="D2253" t="inlineStr">
        <is>
          <t>VÄRMLANDS LÄN</t>
        </is>
      </c>
      <c r="E2253" t="inlineStr">
        <is>
          <t>TORSBY</t>
        </is>
      </c>
      <c r="F2253" t="inlineStr">
        <is>
          <t>Bergvik skog väst AB</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28612-2025</t>
        </is>
      </c>
      <c r="B2254" s="1" t="n">
        <v>45819</v>
      </c>
      <c r="C2254" s="1" t="n">
        <v>46117</v>
      </c>
      <c r="D2254" t="inlineStr">
        <is>
          <t>VÄRMLANDS LÄN</t>
        </is>
      </c>
      <c r="E2254" t="inlineStr">
        <is>
          <t>TORSBY</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28511-2025</t>
        </is>
      </c>
      <c r="B2255" s="1" t="n">
        <v>45819</v>
      </c>
      <c r="C2255" s="1" t="n">
        <v>46117</v>
      </c>
      <c r="D2255" t="inlineStr">
        <is>
          <t>VÄRMLANDS LÄN</t>
        </is>
      </c>
      <c r="E2255" t="inlineStr">
        <is>
          <t>TORSBY</t>
        </is>
      </c>
      <c r="F2255" t="inlineStr">
        <is>
          <t>Bergvik skog väst AB</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28765-2025</t>
        </is>
      </c>
      <c r="B2256" s="1" t="n">
        <v>45820.41982638889</v>
      </c>
      <c r="C2256" s="1" t="n">
        <v>46117</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28791-2025</t>
        </is>
      </c>
      <c r="B2257" s="1" t="n">
        <v>45820</v>
      </c>
      <c r="C2257" s="1" t="n">
        <v>46117</v>
      </c>
      <c r="D2257" t="inlineStr">
        <is>
          <t>VÄRMLANDS LÄN</t>
        </is>
      </c>
      <c r="E2257" t="inlineStr">
        <is>
          <t>TORSBY</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28774-2025</t>
        </is>
      </c>
      <c r="B2258" s="1" t="n">
        <v>45820.4434375</v>
      </c>
      <c r="C2258" s="1" t="n">
        <v>46117</v>
      </c>
      <c r="D2258" t="inlineStr">
        <is>
          <t>VÄRMLANDS LÄN</t>
        </is>
      </c>
      <c r="E2258" t="inlineStr">
        <is>
          <t>TORSBY</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28898-2025</t>
        </is>
      </c>
      <c r="B2259" s="1" t="n">
        <v>45820.63644675926</v>
      </c>
      <c r="C2259" s="1" t="n">
        <v>46117</v>
      </c>
      <c r="D2259" t="inlineStr">
        <is>
          <t>VÄRMLANDS LÄN</t>
        </is>
      </c>
      <c r="E2259" t="inlineStr">
        <is>
          <t>TORSBY</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29071-2025</t>
        </is>
      </c>
      <c r="B2260" s="1" t="n">
        <v>45821</v>
      </c>
      <c r="C2260" s="1" t="n">
        <v>46117</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28761-2025</t>
        </is>
      </c>
      <c r="B2261" s="1" t="n">
        <v>45820.41648148148</v>
      </c>
      <c r="C2261" s="1" t="n">
        <v>46117</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28939-2025</t>
        </is>
      </c>
      <c r="B2262" s="1" t="n">
        <v>45820.71350694444</v>
      </c>
      <c r="C2262" s="1" t="n">
        <v>46117</v>
      </c>
      <c r="D2262" t="inlineStr">
        <is>
          <t>VÄRMLANDS LÄN</t>
        </is>
      </c>
      <c r="E2262" t="inlineStr">
        <is>
          <t>TORSBY</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29063-2025</t>
        </is>
      </c>
      <c r="B2263" s="1" t="n">
        <v>45821</v>
      </c>
      <c r="C2263" s="1" t="n">
        <v>46117</v>
      </c>
      <c r="D2263" t="inlineStr">
        <is>
          <t>VÄRMLANDS LÄN</t>
        </is>
      </c>
      <c r="E2263" t="inlineStr">
        <is>
          <t>TORSBY</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28784-2025</t>
        </is>
      </c>
      <c r="B2264" s="1" t="n">
        <v>45820</v>
      </c>
      <c r="C2264" s="1" t="n">
        <v>46117</v>
      </c>
      <c r="D2264" t="inlineStr">
        <is>
          <t>VÄRMLANDS LÄN</t>
        </is>
      </c>
      <c r="E2264" t="inlineStr">
        <is>
          <t>TORSBY</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29512-2025</t>
        </is>
      </c>
      <c r="B2265" s="1" t="n">
        <v>45825.31002314815</v>
      </c>
      <c r="C2265" s="1" t="n">
        <v>46117</v>
      </c>
      <c r="D2265" t="inlineStr">
        <is>
          <t>VÄRMLANDS LÄN</t>
        </is>
      </c>
      <c r="E2265" t="inlineStr">
        <is>
          <t>TORSBY</t>
        </is>
      </c>
      <c r="F2265" t="inlineStr">
        <is>
          <t>Bergvik skog väst AB</t>
        </is>
      </c>
      <c r="G2265" t="n">
        <v>17.9</v>
      </c>
      <c r="H2265" t="n">
        <v>0</v>
      </c>
      <c r="I2265" t="n">
        <v>0</v>
      </c>
      <c r="J2265" t="n">
        <v>0</v>
      </c>
      <c r="K2265" t="n">
        <v>0</v>
      </c>
      <c r="L2265" t="n">
        <v>0</v>
      </c>
      <c r="M2265" t="n">
        <v>0</v>
      </c>
      <c r="N2265" t="n">
        <v>0</v>
      </c>
      <c r="O2265" t="n">
        <v>0</v>
      </c>
      <c r="P2265" t="n">
        <v>0</v>
      </c>
      <c r="Q2265" t="n">
        <v>0</v>
      </c>
      <c r="R2265" s="2" t="inlineStr"/>
    </row>
    <row r="2266" ht="15" customHeight="1">
      <c r="A2266" t="inlineStr">
        <is>
          <t>A 29312-2025</t>
        </is>
      </c>
      <c r="B2266" s="1" t="n">
        <v>45824</v>
      </c>
      <c r="C2266" s="1" t="n">
        <v>46117</v>
      </c>
      <c r="D2266" t="inlineStr">
        <is>
          <t>VÄRMLANDS LÄN</t>
        </is>
      </c>
      <c r="E2266" t="inlineStr">
        <is>
          <t>TORSBY</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29251-2025</t>
        </is>
      </c>
      <c r="B2267" s="1" t="n">
        <v>45824</v>
      </c>
      <c r="C2267" s="1" t="n">
        <v>46117</v>
      </c>
      <c r="D2267" t="inlineStr">
        <is>
          <t>VÄRMLANDS LÄN</t>
        </is>
      </c>
      <c r="E2267" t="inlineStr">
        <is>
          <t>TORSBY</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29587-2025</t>
        </is>
      </c>
      <c r="B2268" s="1" t="n">
        <v>45825.39394675926</v>
      </c>
      <c r="C2268" s="1" t="n">
        <v>46117</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29650-2025</t>
        </is>
      </c>
      <c r="B2269" s="1" t="n">
        <v>45825.47546296296</v>
      </c>
      <c r="C2269" s="1" t="n">
        <v>46117</v>
      </c>
      <c r="D2269" t="inlineStr">
        <is>
          <t>VÄRMLANDS LÄN</t>
        </is>
      </c>
      <c r="E2269" t="inlineStr">
        <is>
          <t>TORSBY</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28757-2025</t>
        </is>
      </c>
      <c r="B2270" s="1" t="n">
        <v>45820</v>
      </c>
      <c r="C2270" s="1" t="n">
        <v>46117</v>
      </c>
      <c r="D2270" t="inlineStr">
        <is>
          <t>VÄRMLANDS LÄN</t>
        </is>
      </c>
      <c r="E2270" t="inlineStr">
        <is>
          <t>TORSBY</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29641-2025</t>
        </is>
      </c>
      <c r="B2271" s="1" t="n">
        <v>45825.46285879629</v>
      </c>
      <c r="C2271" s="1" t="n">
        <v>46117</v>
      </c>
      <c r="D2271" t="inlineStr">
        <is>
          <t>VÄRMLANDS LÄN</t>
        </is>
      </c>
      <c r="E2271" t="inlineStr">
        <is>
          <t>TORSBY</t>
        </is>
      </c>
      <c r="G2271" t="n">
        <v>23.4</v>
      </c>
      <c r="H2271" t="n">
        <v>0</v>
      </c>
      <c r="I2271" t="n">
        <v>0</v>
      </c>
      <c r="J2271" t="n">
        <v>0</v>
      </c>
      <c r="K2271" t="n">
        <v>0</v>
      </c>
      <c r="L2271" t="n">
        <v>0</v>
      </c>
      <c r="M2271" t="n">
        <v>0</v>
      </c>
      <c r="N2271" t="n">
        <v>0</v>
      </c>
      <c r="O2271" t="n">
        <v>0</v>
      </c>
      <c r="P2271" t="n">
        <v>0</v>
      </c>
      <c r="Q2271" t="n">
        <v>0</v>
      </c>
      <c r="R2271" s="2" t="inlineStr"/>
    </row>
    <row r="2272" ht="15" customHeight="1">
      <c r="A2272" t="inlineStr">
        <is>
          <t>A 29307-2025</t>
        </is>
      </c>
      <c r="B2272" s="1" t="n">
        <v>45824</v>
      </c>
      <c r="C2272" s="1" t="n">
        <v>46117</v>
      </c>
      <c r="D2272" t="inlineStr">
        <is>
          <t>VÄRMLANDS LÄN</t>
        </is>
      </c>
      <c r="E2272" t="inlineStr">
        <is>
          <t>TORSBY</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29403-2025</t>
        </is>
      </c>
      <c r="B2273" s="1" t="n">
        <v>45824.61469907407</v>
      </c>
      <c r="C2273" s="1" t="n">
        <v>46117</v>
      </c>
      <c r="D2273" t="inlineStr">
        <is>
          <t>VÄRMLANDS LÄN</t>
        </is>
      </c>
      <c r="E2273" t="inlineStr">
        <is>
          <t>TORSBY</t>
        </is>
      </c>
      <c r="F2273" t="inlineStr">
        <is>
          <t>Bergvik skog väst AB</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30078-2025</t>
        </is>
      </c>
      <c r="B2274" s="1" t="n">
        <v>45826.64291666666</v>
      </c>
      <c r="C2274" s="1" t="n">
        <v>46117</v>
      </c>
      <c r="D2274" t="inlineStr">
        <is>
          <t>VÄRMLANDS LÄN</t>
        </is>
      </c>
      <c r="E2274" t="inlineStr">
        <is>
          <t>TORSBY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30433-2025</t>
        </is>
      </c>
      <c r="B2275" s="1" t="n">
        <v>45827</v>
      </c>
      <c r="C2275" s="1" t="n">
        <v>46117</v>
      </c>
      <c r="D2275" t="inlineStr">
        <is>
          <t>VÄRMLANDS LÄN</t>
        </is>
      </c>
      <c r="E2275" t="inlineStr">
        <is>
          <t>TORSBY</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30074-2025</t>
        </is>
      </c>
      <c r="B2276" s="1" t="n">
        <v>45826.63672453703</v>
      </c>
      <c r="C2276" s="1" t="n">
        <v>46117</v>
      </c>
      <c r="D2276" t="inlineStr">
        <is>
          <t>VÄRMLANDS LÄN</t>
        </is>
      </c>
      <c r="E2276" t="inlineStr">
        <is>
          <t>TORSBY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30380-2025</t>
        </is>
      </c>
      <c r="B2277" s="1" t="n">
        <v>45827</v>
      </c>
      <c r="C2277" s="1" t="n">
        <v>46117</v>
      </c>
      <c r="D2277" t="inlineStr">
        <is>
          <t>VÄRMLANDS LÄN</t>
        </is>
      </c>
      <c r="E2277" t="inlineStr">
        <is>
          <t>TORSBY</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30199-2025</t>
        </is>
      </c>
      <c r="B2278" s="1" t="n">
        <v>45827</v>
      </c>
      <c r="C2278" s="1" t="n">
        <v>46117</v>
      </c>
      <c r="D2278" t="inlineStr">
        <is>
          <t>VÄRMLANDS LÄN</t>
        </is>
      </c>
      <c r="E2278" t="inlineStr">
        <is>
          <t>TORSBY</t>
        </is>
      </c>
      <c r="F2278" t="inlineStr">
        <is>
          <t>Bergvik skog väst AB</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30377-2025</t>
        </is>
      </c>
      <c r="B2279" s="1" t="n">
        <v>45827</v>
      </c>
      <c r="C2279" s="1" t="n">
        <v>46117</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30388-2025</t>
        </is>
      </c>
      <c r="B2280" s="1" t="n">
        <v>45827.5734837963</v>
      </c>
      <c r="C2280" s="1" t="n">
        <v>46117</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30153-2025</t>
        </is>
      </c>
      <c r="B2281" s="1" t="n">
        <v>45827.31736111111</v>
      </c>
      <c r="C2281" s="1" t="n">
        <v>46117</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30026-2025</t>
        </is>
      </c>
      <c r="B2282" s="1" t="n">
        <v>45826.5637037037</v>
      </c>
      <c r="C2282" s="1" t="n">
        <v>46117</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30151-2025</t>
        </is>
      </c>
      <c r="B2283" s="1" t="n">
        <v>45827</v>
      </c>
      <c r="C2283" s="1" t="n">
        <v>46117</v>
      </c>
      <c r="D2283" t="inlineStr">
        <is>
          <t>VÄRMLANDS LÄN</t>
        </is>
      </c>
      <c r="E2283" t="inlineStr">
        <is>
          <t>TORSBY</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30214-2025</t>
        </is>
      </c>
      <c r="B2284" s="1" t="n">
        <v>45827</v>
      </c>
      <c r="C2284" s="1" t="n">
        <v>46117</v>
      </c>
      <c r="D2284" t="inlineStr">
        <is>
          <t>VÄRMLANDS LÄN</t>
        </is>
      </c>
      <c r="E2284" t="inlineStr">
        <is>
          <t>TORSBY</t>
        </is>
      </c>
      <c r="F2284" t="inlineStr">
        <is>
          <t>Bergvik skog väst AB</t>
        </is>
      </c>
      <c r="G2284" t="n">
        <v>13.9</v>
      </c>
      <c r="H2284" t="n">
        <v>0</v>
      </c>
      <c r="I2284" t="n">
        <v>0</v>
      </c>
      <c r="J2284" t="n">
        <v>0</v>
      </c>
      <c r="K2284" t="n">
        <v>0</v>
      </c>
      <c r="L2284" t="n">
        <v>0</v>
      </c>
      <c r="M2284" t="n">
        <v>0</v>
      </c>
      <c r="N2284" t="n">
        <v>0</v>
      </c>
      <c r="O2284" t="n">
        <v>0</v>
      </c>
      <c r="P2284" t="n">
        <v>0</v>
      </c>
      <c r="Q2284" t="n">
        <v>0</v>
      </c>
      <c r="R2284" s="2" t="inlineStr"/>
    </row>
    <row r="2285" ht="15" customHeight="1">
      <c r="A2285" t="inlineStr">
        <is>
          <t>A 30333-2025</t>
        </is>
      </c>
      <c r="B2285" s="1" t="n">
        <v>45827</v>
      </c>
      <c r="C2285" s="1" t="n">
        <v>46117</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30607-2025</t>
        </is>
      </c>
      <c r="B2286" s="1" t="n">
        <v>45831.4584375</v>
      </c>
      <c r="C2286" s="1" t="n">
        <v>46117</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30717-2025</t>
        </is>
      </c>
      <c r="B2287" s="1" t="n">
        <v>45831.56103009259</v>
      </c>
      <c r="C2287" s="1" t="n">
        <v>46117</v>
      </c>
      <c r="D2287" t="inlineStr">
        <is>
          <t>VÄRMLANDS LÄN</t>
        </is>
      </c>
      <c r="E2287" t="inlineStr">
        <is>
          <t>TORSBY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30560-2025</t>
        </is>
      </c>
      <c r="B2288" s="1" t="n">
        <v>45831.39497685185</v>
      </c>
      <c r="C2288" s="1" t="n">
        <v>46117</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30738-2025</t>
        </is>
      </c>
      <c r="B2289" s="1" t="n">
        <v>45831.57583333334</v>
      </c>
      <c r="C2289" s="1" t="n">
        <v>46117</v>
      </c>
      <c r="D2289" t="inlineStr">
        <is>
          <t>VÄRMLANDS LÄN</t>
        </is>
      </c>
      <c r="E2289" t="inlineStr">
        <is>
          <t>TORSBY</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31101-2025</t>
        </is>
      </c>
      <c r="B2290" s="1" t="n">
        <v>45832</v>
      </c>
      <c r="C2290" s="1" t="n">
        <v>46117</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31547-2025</t>
        </is>
      </c>
      <c r="B2291" s="1" t="n">
        <v>45833.63733796297</v>
      </c>
      <c r="C2291" s="1" t="n">
        <v>46117</v>
      </c>
      <c r="D2291" t="inlineStr">
        <is>
          <t>VÄRMLANDS LÄN</t>
        </is>
      </c>
      <c r="E2291" t="inlineStr">
        <is>
          <t>TORSBY</t>
        </is>
      </c>
      <c r="F2291" t="inlineStr">
        <is>
          <t>Bergvik skog väst AB</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31335-2025</t>
        </is>
      </c>
      <c r="B2292" s="1" t="n">
        <v>45833.42608796297</v>
      </c>
      <c r="C2292" s="1" t="n">
        <v>46117</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30974-2025</t>
        </is>
      </c>
      <c r="B2293" s="1" t="n">
        <v>45832.46305555556</v>
      </c>
      <c r="C2293" s="1" t="n">
        <v>46117</v>
      </c>
      <c r="D2293" t="inlineStr">
        <is>
          <t>VÄRMLANDS LÄN</t>
        </is>
      </c>
      <c r="E2293" t="inlineStr">
        <is>
          <t>TORSBY</t>
        </is>
      </c>
      <c r="G2293" t="n">
        <v>29.2</v>
      </c>
      <c r="H2293" t="n">
        <v>0</v>
      </c>
      <c r="I2293" t="n">
        <v>0</v>
      </c>
      <c r="J2293" t="n">
        <v>0</v>
      </c>
      <c r="K2293" t="n">
        <v>0</v>
      </c>
      <c r="L2293" t="n">
        <v>0</v>
      </c>
      <c r="M2293" t="n">
        <v>0</v>
      </c>
      <c r="N2293" t="n">
        <v>0</v>
      </c>
      <c r="O2293" t="n">
        <v>0</v>
      </c>
      <c r="P2293" t="n">
        <v>0</v>
      </c>
      <c r="Q2293" t="n">
        <v>0</v>
      </c>
      <c r="R2293" s="2" t="inlineStr"/>
    </row>
    <row r="2294" ht="15" customHeight="1">
      <c r="A2294" t="inlineStr">
        <is>
          <t>A 31416-2025</t>
        </is>
      </c>
      <c r="B2294" s="1" t="n">
        <v>45833.48278935185</v>
      </c>
      <c r="C2294" s="1" t="n">
        <v>46117</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32298-2025</t>
        </is>
      </c>
      <c r="B2295" s="1" t="n">
        <v>45835.7144675926</v>
      </c>
      <c r="C2295" s="1" t="n">
        <v>46117</v>
      </c>
      <c r="D2295" t="inlineStr">
        <is>
          <t>VÄRMLANDS LÄN</t>
        </is>
      </c>
      <c r="E2295" t="inlineStr">
        <is>
          <t>TORSBY</t>
        </is>
      </c>
      <c r="G2295" t="n">
        <v>19.2</v>
      </c>
      <c r="H2295" t="n">
        <v>0</v>
      </c>
      <c r="I2295" t="n">
        <v>0</v>
      </c>
      <c r="J2295" t="n">
        <v>0</v>
      </c>
      <c r="K2295" t="n">
        <v>0</v>
      </c>
      <c r="L2295" t="n">
        <v>0</v>
      </c>
      <c r="M2295" t="n">
        <v>0</v>
      </c>
      <c r="N2295" t="n">
        <v>0</v>
      </c>
      <c r="O2295" t="n">
        <v>0</v>
      </c>
      <c r="P2295" t="n">
        <v>0</v>
      </c>
      <c r="Q2295" t="n">
        <v>0</v>
      </c>
      <c r="R2295" s="2" t="inlineStr"/>
    </row>
    <row r="2296" ht="15" customHeight="1">
      <c r="A2296" t="inlineStr">
        <is>
          <t>A 31850-2025</t>
        </is>
      </c>
      <c r="B2296" s="1" t="n">
        <v>45834</v>
      </c>
      <c r="C2296" s="1" t="n">
        <v>46117</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32084-2025</t>
        </is>
      </c>
      <c r="B2297" s="1" t="n">
        <v>45835.45379629629</v>
      </c>
      <c r="C2297" s="1" t="n">
        <v>46117</v>
      </c>
      <c r="D2297" t="inlineStr">
        <is>
          <t>VÄRMLANDS LÄN</t>
        </is>
      </c>
      <c r="E2297" t="inlineStr">
        <is>
          <t>TORSBY</t>
        </is>
      </c>
      <c r="F2297" t="inlineStr">
        <is>
          <t>Bergvik skog väst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31906-2025</t>
        </is>
      </c>
      <c r="B2298" s="1" t="n">
        <v>45834.69046296296</v>
      </c>
      <c r="C2298" s="1" t="n">
        <v>46117</v>
      </c>
      <c r="D2298" t="inlineStr">
        <is>
          <t>VÄRMLANDS LÄN</t>
        </is>
      </c>
      <c r="E2298" t="inlineStr">
        <is>
          <t>TORSBY</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32054-2025</t>
        </is>
      </c>
      <c r="B2299" s="1" t="n">
        <v>45835</v>
      </c>
      <c r="C2299" s="1" t="n">
        <v>46117</v>
      </c>
      <c r="D2299" t="inlineStr">
        <is>
          <t>VÄRMLANDS LÄN</t>
        </is>
      </c>
      <c r="E2299" t="inlineStr">
        <is>
          <t>TORSBY</t>
        </is>
      </c>
      <c r="G2299" t="n">
        <v>13.1</v>
      </c>
      <c r="H2299" t="n">
        <v>0</v>
      </c>
      <c r="I2299" t="n">
        <v>0</v>
      </c>
      <c r="J2299" t="n">
        <v>0</v>
      </c>
      <c r="K2299" t="n">
        <v>0</v>
      </c>
      <c r="L2299" t="n">
        <v>0</v>
      </c>
      <c r="M2299" t="n">
        <v>0</v>
      </c>
      <c r="N2299" t="n">
        <v>0</v>
      </c>
      <c r="O2299" t="n">
        <v>0</v>
      </c>
      <c r="P2299" t="n">
        <v>0</v>
      </c>
      <c r="Q2299" t="n">
        <v>0</v>
      </c>
      <c r="R2299" s="2" t="inlineStr"/>
    </row>
    <row r="2300" ht="15" customHeight="1">
      <c r="A2300" t="inlineStr">
        <is>
          <t>A 31672-2025</t>
        </is>
      </c>
      <c r="B2300" s="1" t="n">
        <v>45834.36979166666</v>
      </c>
      <c r="C2300" s="1" t="n">
        <v>46117</v>
      </c>
      <c r="D2300" t="inlineStr">
        <is>
          <t>VÄRMLANDS LÄN</t>
        </is>
      </c>
      <c r="E2300" t="inlineStr">
        <is>
          <t>TORSBY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31902-2025</t>
        </is>
      </c>
      <c r="B2301" s="1" t="n">
        <v>45834.68592592593</v>
      </c>
      <c r="C2301" s="1" t="n">
        <v>46117</v>
      </c>
      <c r="D2301" t="inlineStr">
        <is>
          <t>VÄRMLANDS LÄN</t>
        </is>
      </c>
      <c r="E2301" t="inlineStr">
        <is>
          <t>TORSBY</t>
        </is>
      </c>
      <c r="G2301" t="n">
        <v>27.1</v>
      </c>
      <c r="H2301" t="n">
        <v>0</v>
      </c>
      <c r="I2301" t="n">
        <v>0</v>
      </c>
      <c r="J2301" t="n">
        <v>0</v>
      </c>
      <c r="K2301" t="n">
        <v>0</v>
      </c>
      <c r="L2301" t="n">
        <v>0</v>
      </c>
      <c r="M2301" t="n">
        <v>0</v>
      </c>
      <c r="N2301" t="n">
        <v>0</v>
      </c>
      <c r="O2301" t="n">
        <v>0</v>
      </c>
      <c r="P2301" t="n">
        <v>0</v>
      </c>
      <c r="Q2301" t="n">
        <v>0</v>
      </c>
      <c r="R2301" s="2" t="inlineStr"/>
    </row>
    <row r="2302" ht="15" customHeight="1">
      <c r="A2302" t="inlineStr">
        <is>
          <t>A 32134-2025</t>
        </is>
      </c>
      <c r="B2302" s="1" t="n">
        <v>45835.5102662037</v>
      </c>
      <c r="C2302" s="1" t="n">
        <v>46117</v>
      </c>
      <c r="D2302" t="inlineStr">
        <is>
          <t>VÄRMLANDS LÄN</t>
        </is>
      </c>
      <c r="E2302" t="inlineStr">
        <is>
          <t>TORSBY</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32191-2025</t>
        </is>
      </c>
      <c r="B2303" s="1" t="n">
        <v>45835.57099537037</v>
      </c>
      <c r="C2303" s="1" t="n">
        <v>46117</v>
      </c>
      <c r="D2303" t="inlineStr">
        <is>
          <t>VÄRMLANDS LÄN</t>
        </is>
      </c>
      <c r="E2303" t="inlineStr">
        <is>
          <t>TORSBY</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31630-2025</t>
        </is>
      </c>
      <c r="B2304" s="1" t="n">
        <v>45834.32670138889</v>
      </c>
      <c r="C2304" s="1" t="n">
        <v>46117</v>
      </c>
      <c r="D2304" t="inlineStr">
        <is>
          <t>VÄRMLANDS LÄN</t>
        </is>
      </c>
      <c r="E2304" t="inlineStr">
        <is>
          <t>TORSBY</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32618-2025</t>
        </is>
      </c>
      <c r="B2305" s="1" t="n">
        <v>45838.6435300926</v>
      </c>
      <c r="C2305" s="1" t="n">
        <v>46117</v>
      </c>
      <c r="D2305" t="inlineStr">
        <is>
          <t>VÄRMLANDS LÄN</t>
        </is>
      </c>
      <c r="E2305" t="inlineStr">
        <is>
          <t>TORSBY</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32995-2025</t>
        </is>
      </c>
      <c r="B2306" s="1" t="n">
        <v>45839</v>
      </c>
      <c r="C2306" s="1" t="n">
        <v>46117</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32348-2025</t>
        </is>
      </c>
      <c r="B2307" s="1" t="n">
        <v>45837.47078703704</v>
      </c>
      <c r="C2307" s="1" t="n">
        <v>46117</v>
      </c>
      <c r="D2307" t="inlineStr">
        <is>
          <t>VÄRMLANDS LÄN</t>
        </is>
      </c>
      <c r="E2307" t="inlineStr">
        <is>
          <t>TORSBY</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12574-2025</t>
        </is>
      </c>
      <c r="B2308" s="1" t="n">
        <v>45732</v>
      </c>
      <c r="C2308" s="1" t="n">
        <v>46117</v>
      </c>
      <c r="D2308" t="inlineStr">
        <is>
          <t>VÄRMLANDS LÄN</t>
        </is>
      </c>
      <c r="E2308" t="inlineStr">
        <is>
          <t>TORSBY</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32331-2025</t>
        </is>
      </c>
      <c r="B2309" s="1" t="n">
        <v>45836.50674768518</v>
      </c>
      <c r="C2309" s="1" t="n">
        <v>46117</v>
      </c>
      <c r="D2309" t="inlineStr">
        <is>
          <t>VÄRMLANDS LÄN</t>
        </is>
      </c>
      <c r="E2309" t="inlineStr">
        <is>
          <t>TORSBY</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32342-2025</t>
        </is>
      </c>
      <c r="B2310" s="1" t="n">
        <v>45837.34560185186</v>
      </c>
      <c r="C2310" s="1" t="n">
        <v>46117</v>
      </c>
      <c r="D2310" t="inlineStr">
        <is>
          <t>VÄRMLANDS LÄN</t>
        </is>
      </c>
      <c r="E2310" t="inlineStr">
        <is>
          <t>TORSBY</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32433-2025</t>
        </is>
      </c>
      <c r="B2311" s="1" t="n">
        <v>45838.37252314815</v>
      </c>
      <c r="C2311" s="1" t="n">
        <v>46117</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32710-2025</t>
        </is>
      </c>
      <c r="B2312" s="1" t="n">
        <v>45839.36722222222</v>
      </c>
      <c r="C2312" s="1" t="n">
        <v>46117</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32622-2025</t>
        </is>
      </c>
      <c r="B2313" s="1" t="n">
        <v>45838</v>
      </c>
      <c r="C2313" s="1" t="n">
        <v>46117</v>
      </c>
      <c r="D2313" t="inlineStr">
        <is>
          <t>VÄRMLANDS LÄN</t>
        </is>
      </c>
      <c r="E2313" t="inlineStr">
        <is>
          <t>TORSBY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32555-2025</t>
        </is>
      </c>
      <c r="B2314" s="1" t="n">
        <v>45838.56084490741</v>
      </c>
      <c r="C2314" s="1" t="n">
        <v>46117</v>
      </c>
      <c r="D2314" t="inlineStr">
        <is>
          <t>VÄRMLANDS LÄN</t>
        </is>
      </c>
      <c r="E2314" t="inlineStr">
        <is>
          <t>TORSBY</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32343-2025</t>
        </is>
      </c>
      <c r="B2315" s="1" t="n">
        <v>45837.37171296297</v>
      </c>
      <c r="C2315" s="1" t="n">
        <v>46117</v>
      </c>
      <c r="D2315" t="inlineStr">
        <is>
          <t>VÄRMLANDS LÄN</t>
        </is>
      </c>
      <c r="E2315" t="inlineStr">
        <is>
          <t>TORSBY</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32345-2025</t>
        </is>
      </c>
      <c r="B2316" s="1" t="n">
        <v>45837.44293981481</v>
      </c>
      <c r="C2316" s="1" t="n">
        <v>46117</v>
      </c>
      <c r="D2316" t="inlineStr">
        <is>
          <t>VÄRMLANDS LÄN</t>
        </is>
      </c>
      <c r="E2316" t="inlineStr">
        <is>
          <t>TORSBY</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32339-2025</t>
        </is>
      </c>
      <c r="B2317" s="1" t="n">
        <v>45836.68836805555</v>
      </c>
      <c r="C2317" s="1" t="n">
        <v>46117</v>
      </c>
      <c r="D2317" t="inlineStr">
        <is>
          <t>VÄRMLANDS LÄN</t>
        </is>
      </c>
      <c r="E2317" t="inlineStr">
        <is>
          <t>TORSBY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33192-2025</t>
        </is>
      </c>
      <c r="B2318" s="1" t="n">
        <v>45840.60081018518</v>
      </c>
      <c r="C2318" s="1" t="n">
        <v>46117</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33712-2025</t>
        </is>
      </c>
      <c r="B2319" s="1" t="n">
        <v>45841</v>
      </c>
      <c r="C2319" s="1" t="n">
        <v>46117</v>
      </c>
      <c r="D2319" t="inlineStr">
        <is>
          <t>VÄRMLANDS LÄN</t>
        </is>
      </c>
      <c r="E2319" t="inlineStr">
        <is>
          <t>TORSBY</t>
        </is>
      </c>
      <c r="F2319" t="inlineStr">
        <is>
          <t>Bergvik skog väst AB</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33221-2025</t>
        </is>
      </c>
      <c r="B2320" s="1" t="n">
        <v>45840.63471064815</v>
      </c>
      <c r="C2320" s="1" t="n">
        <v>46117</v>
      </c>
      <c r="D2320" t="inlineStr">
        <is>
          <t>VÄRMLANDS LÄN</t>
        </is>
      </c>
      <c r="E2320" t="inlineStr">
        <is>
          <t>TORSBY</t>
        </is>
      </c>
      <c r="F2320" t="inlineStr">
        <is>
          <t>Bergvik skog väst AB</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33567-2025</t>
        </is>
      </c>
      <c r="B2321" s="1" t="n">
        <v>45841.58232638889</v>
      </c>
      <c r="C2321" s="1" t="n">
        <v>46117</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8018-2025</t>
        </is>
      </c>
      <c r="B2322" s="1" t="n">
        <v>45707</v>
      </c>
      <c r="C2322" s="1" t="n">
        <v>46117</v>
      </c>
      <c r="D2322" t="inlineStr">
        <is>
          <t>VÄRMLANDS LÄN</t>
        </is>
      </c>
      <c r="E2322" t="inlineStr">
        <is>
          <t>TORSBY</t>
        </is>
      </c>
      <c r="G2322" t="n">
        <v>22.6</v>
      </c>
      <c r="H2322" t="n">
        <v>0</v>
      </c>
      <c r="I2322" t="n">
        <v>0</v>
      </c>
      <c r="J2322" t="n">
        <v>0</v>
      </c>
      <c r="K2322" t="n">
        <v>0</v>
      </c>
      <c r="L2322" t="n">
        <v>0</v>
      </c>
      <c r="M2322" t="n">
        <v>0</v>
      </c>
      <c r="N2322" t="n">
        <v>0</v>
      </c>
      <c r="O2322" t="n">
        <v>0</v>
      </c>
      <c r="P2322" t="n">
        <v>0</v>
      </c>
      <c r="Q2322" t="n">
        <v>0</v>
      </c>
      <c r="R2322" s="2" t="inlineStr"/>
    </row>
    <row r="2323" ht="15" customHeight="1">
      <c r="A2323" t="inlineStr">
        <is>
          <t>A 32983-2025</t>
        </is>
      </c>
      <c r="B2323" s="1" t="n">
        <v>45839.92967592592</v>
      </c>
      <c r="C2323" s="1" t="n">
        <v>46117</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33161-2025</t>
        </is>
      </c>
      <c r="B2324" s="1" t="n">
        <v>45840.56846064814</v>
      </c>
      <c r="C2324" s="1" t="n">
        <v>46117</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34268-2025</t>
        </is>
      </c>
      <c r="B2325" s="1" t="n">
        <v>45845</v>
      </c>
      <c r="C2325" s="1" t="n">
        <v>46117</v>
      </c>
      <c r="D2325" t="inlineStr">
        <is>
          <t>VÄRMLANDS LÄN</t>
        </is>
      </c>
      <c r="E2325" t="inlineStr">
        <is>
          <t>TORSBY</t>
        </is>
      </c>
      <c r="F2325" t="inlineStr">
        <is>
          <t>Bergvik skog väst AB</t>
        </is>
      </c>
      <c r="G2325" t="n">
        <v>19.7</v>
      </c>
      <c r="H2325" t="n">
        <v>0</v>
      </c>
      <c r="I2325" t="n">
        <v>0</v>
      </c>
      <c r="J2325" t="n">
        <v>0</v>
      </c>
      <c r="K2325" t="n">
        <v>0</v>
      </c>
      <c r="L2325" t="n">
        <v>0</v>
      </c>
      <c r="M2325" t="n">
        <v>0</v>
      </c>
      <c r="N2325" t="n">
        <v>0</v>
      </c>
      <c r="O2325" t="n">
        <v>0</v>
      </c>
      <c r="P2325" t="n">
        <v>0</v>
      </c>
      <c r="Q2325" t="n">
        <v>0</v>
      </c>
      <c r="R2325" s="2" t="inlineStr"/>
    </row>
    <row r="2326" ht="15" customHeight="1">
      <c r="A2326" t="inlineStr">
        <is>
          <t>A 33897-2025</t>
        </is>
      </c>
      <c r="B2326" s="1" t="n">
        <v>45842</v>
      </c>
      <c r="C2326" s="1" t="n">
        <v>46117</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34140-2025</t>
        </is>
      </c>
      <c r="B2327" s="1" t="n">
        <v>45845.54896990741</v>
      </c>
      <c r="C2327" s="1" t="n">
        <v>46117</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8281-2023</t>
        </is>
      </c>
      <c r="B2328" s="1" t="n">
        <v>44974</v>
      </c>
      <c r="C2328" s="1" t="n">
        <v>46117</v>
      </c>
      <c r="D2328" t="inlineStr">
        <is>
          <t>VÄRMLANDS LÄN</t>
        </is>
      </c>
      <c r="E2328" t="inlineStr">
        <is>
          <t>TORSBY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34136-2025</t>
        </is>
      </c>
      <c r="B2329" s="1" t="n">
        <v>45845.54184027778</v>
      </c>
      <c r="C2329" s="1" t="n">
        <v>46117</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34179-2025</t>
        </is>
      </c>
      <c r="B2330" s="1" t="n">
        <v>45845</v>
      </c>
      <c r="C2330" s="1" t="n">
        <v>46117</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34145-2025</t>
        </is>
      </c>
      <c r="B2331" s="1" t="n">
        <v>45845.55372685185</v>
      </c>
      <c r="C2331" s="1" t="n">
        <v>46117</v>
      </c>
      <c r="D2331" t="inlineStr">
        <is>
          <t>VÄRMLANDS LÄN</t>
        </is>
      </c>
      <c r="E2331" t="inlineStr">
        <is>
          <t>TORSBY</t>
        </is>
      </c>
      <c r="G2331" t="n">
        <v>19.2</v>
      </c>
      <c r="H2331" t="n">
        <v>0</v>
      </c>
      <c r="I2331" t="n">
        <v>0</v>
      </c>
      <c r="J2331" t="n">
        <v>0</v>
      </c>
      <c r="K2331" t="n">
        <v>0</v>
      </c>
      <c r="L2331" t="n">
        <v>0</v>
      </c>
      <c r="M2331" t="n">
        <v>0</v>
      </c>
      <c r="N2331" t="n">
        <v>0</v>
      </c>
      <c r="O2331" t="n">
        <v>0</v>
      </c>
      <c r="P2331" t="n">
        <v>0</v>
      </c>
      <c r="Q2331" t="n">
        <v>0</v>
      </c>
      <c r="R2331" s="2" t="inlineStr"/>
    </row>
    <row r="2332" ht="15" customHeight="1">
      <c r="A2332" t="inlineStr">
        <is>
          <t>A 34137-2025</t>
        </is>
      </c>
      <c r="B2332" s="1" t="n">
        <v>45845.54340277778</v>
      </c>
      <c r="C2332" s="1" t="n">
        <v>46117</v>
      </c>
      <c r="D2332" t="inlineStr">
        <is>
          <t>VÄRMLANDS LÄN</t>
        </is>
      </c>
      <c r="E2332" t="inlineStr">
        <is>
          <t>TORSBY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34138-2025</t>
        </is>
      </c>
      <c r="B2333" s="1" t="n">
        <v>45845.54486111111</v>
      </c>
      <c r="C2333" s="1" t="n">
        <v>46117</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34146-2025</t>
        </is>
      </c>
      <c r="B2334" s="1" t="n">
        <v>45845.56008101852</v>
      </c>
      <c r="C2334" s="1" t="n">
        <v>46117</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34046-2025</t>
        </is>
      </c>
      <c r="B2335" s="1" t="n">
        <v>45845.38671296297</v>
      </c>
      <c r="C2335" s="1" t="n">
        <v>46117</v>
      </c>
      <c r="D2335" t="inlineStr">
        <is>
          <t>VÄRMLANDS LÄN</t>
        </is>
      </c>
      <c r="E2335" t="inlineStr">
        <is>
          <t>TORSBY</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34398-2025</t>
        </is>
      </c>
      <c r="B2336" s="1" t="n">
        <v>45846.60688657407</v>
      </c>
      <c r="C2336" s="1" t="n">
        <v>46117</v>
      </c>
      <c r="D2336" t="inlineStr">
        <is>
          <t>VÄRMLANDS LÄN</t>
        </is>
      </c>
      <c r="E2336" t="inlineStr">
        <is>
          <t>TORSBY</t>
        </is>
      </c>
      <c r="F2336" t="inlineStr">
        <is>
          <t>Bergvik skog väst AB</t>
        </is>
      </c>
      <c r="G2336" t="n">
        <v>22.3</v>
      </c>
      <c r="H2336" t="n">
        <v>0</v>
      </c>
      <c r="I2336" t="n">
        <v>0</v>
      </c>
      <c r="J2336" t="n">
        <v>0</v>
      </c>
      <c r="K2336" t="n">
        <v>0</v>
      </c>
      <c r="L2336" t="n">
        <v>0</v>
      </c>
      <c r="M2336" t="n">
        <v>0</v>
      </c>
      <c r="N2336" t="n">
        <v>0</v>
      </c>
      <c r="O2336" t="n">
        <v>0</v>
      </c>
      <c r="P2336" t="n">
        <v>0</v>
      </c>
      <c r="Q2336" t="n">
        <v>0</v>
      </c>
      <c r="R2336" s="2" t="inlineStr"/>
    </row>
    <row r="2337" ht="15" customHeight="1">
      <c r="A2337" t="inlineStr">
        <is>
          <t>A 34399-2025</t>
        </is>
      </c>
      <c r="B2337" s="1" t="n">
        <v>45846.610625</v>
      </c>
      <c r="C2337" s="1" t="n">
        <v>46117</v>
      </c>
      <c r="D2337" t="inlineStr">
        <is>
          <t>VÄRMLANDS LÄN</t>
        </is>
      </c>
      <c r="E2337" t="inlineStr">
        <is>
          <t>TORSBY</t>
        </is>
      </c>
      <c r="F2337" t="inlineStr">
        <is>
          <t>Bergvik skog väst AB</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34355-2025</t>
        </is>
      </c>
      <c r="B2338" s="1" t="n">
        <v>45846.48114583334</v>
      </c>
      <c r="C2338" s="1" t="n">
        <v>46117</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34358-2025</t>
        </is>
      </c>
      <c r="B2339" s="1" t="n">
        <v>45846.48637731482</v>
      </c>
      <c r="C2339" s="1" t="n">
        <v>46117</v>
      </c>
      <c r="D2339" t="inlineStr">
        <is>
          <t>VÄRMLANDS LÄN</t>
        </is>
      </c>
      <c r="E2339" t="inlineStr">
        <is>
          <t>TORSBY</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34365-2025</t>
        </is>
      </c>
      <c r="B2340" s="1" t="n">
        <v>45846.49326388889</v>
      </c>
      <c r="C2340" s="1" t="n">
        <v>46117</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34451-2025</t>
        </is>
      </c>
      <c r="B2341" s="1" t="n">
        <v>45846.85114583333</v>
      </c>
      <c r="C2341" s="1" t="n">
        <v>46117</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34480-2025</t>
        </is>
      </c>
      <c r="B2342" s="1" t="n">
        <v>45847.37582175926</v>
      </c>
      <c r="C2342" s="1" t="n">
        <v>46117</v>
      </c>
      <c r="D2342" t="inlineStr">
        <is>
          <t>VÄRMLANDS LÄN</t>
        </is>
      </c>
      <c r="E2342" t="inlineStr">
        <is>
          <t>TORSBY</t>
        </is>
      </c>
      <c r="F2342" t="inlineStr">
        <is>
          <t>Övriga Aktiebolag</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34495-2025</t>
        </is>
      </c>
      <c r="B2343" s="1" t="n">
        <v>45847.42686342593</v>
      </c>
      <c r="C2343" s="1" t="n">
        <v>46117</v>
      </c>
      <c r="D2343" t="inlineStr">
        <is>
          <t>VÄRMLANDS LÄN</t>
        </is>
      </c>
      <c r="E2343" t="inlineStr">
        <is>
          <t>TORSBY</t>
        </is>
      </c>
      <c r="F2343" t="inlineStr">
        <is>
          <t>Övriga Aktiebolag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34517-2025</t>
        </is>
      </c>
      <c r="B2344" s="1" t="n">
        <v>45847.46900462963</v>
      </c>
      <c r="C2344" s="1" t="n">
        <v>46117</v>
      </c>
      <c r="D2344" t="inlineStr">
        <is>
          <t>VÄRMLANDS LÄN</t>
        </is>
      </c>
      <c r="E2344" t="inlineStr">
        <is>
          <t>TORSBY</t>
        </is>
      </c>
      <c r="F2344" t="inlineStr">
        <is>
          <t>Övriga Aktiebolag</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34388-2025</t>
        </is>
      </c>
      <c r="B2345" s="1" t="n">
        <v>45846.57305555556</v>
      </c>
      <c r="C2345" s="1" t="n">
        <v>46117</v>
      </c>
      <c r="D2345" t="inlineStr">
        <is>
          <t>VÄRMLANDS LÄN</t>
        </is>
      </c>
      <c r="E2345" t="inlineStr">
        <is>
          <t>TORSBY</t>
        </is>
      </c>
      <c r="G2345" t="n">
        <v>3.1</v>
      </c>
      <c r="H2345" t="n">
        <v>0</v>
      </c>
      <c r="I2345" t="n">
        <v>0</v>
      </c>
      <c r="J2345" t="n">
        <v>0</v>
      </c>
      <c r="K2345" t="n">
        <v>0</v>
      </c>
      <c r="L2345" t="n">
        <v>0</v>
      </c>
      <c r="M2345" t="n">
        <v>0</v>
      </c>
      <c r="N2345" t="n">
        <v>0</v>
      </c>
      <c r="O2345" t="n">
        <v>0</v>
      </c>
      <c r="P2345" t="n">
        <v>0</v>
      </c>
      <c r="Q2345" t="n">
        <v>0</v>
      </c>
      <c r="R2345" s="2" t="inlineStr"/>
    </row>
    <row r="2346">
      <c r="A2346" t="inlineStr">
        <is>
          <t>A 34372-2025</t>
        </is>
      </c>
      <c r="B2346" s="1" t="n">
        <v>45846.5134837963</v>
      </c>
      <c r="C2346" s="1" t="n">
        <v>46117</v>
      </c>
      <c r="D2346" t="inlineStr">
        <is>
          <t>VÄRMLANDS LÄN</t>
        </is>
      </c>
      <c r="E2346" t="inlineStr">
        <is>
          <t>TORSBY</t>
        </is>
      </c>
      <c r="G2346" t="n">
        <v>4.3</v>
      </c>
      <c r="H2346" t="n">
        <v>0</v>
      </c>
      <c r="I2346" t="n">
        <v>0</v>
      </c>
      <c r="J2346" t="n">
        <v>0</v>
      </c>
      <c r="K2346" t="n">
        <v>0</v>
      </c>
      <c r="L2346" t="n">
        <v>0</v>
      </c>
      <c r="M2346" t="n">
        <v>0</v>
      </c>
      <c r="N2346" t="n">
        <v>0</v>
      </c>
      <c r="O2346" t="n">
        <v>0</v>
      </c>
      <c r="P2346" t="n">
        <v>0</v>
      </c>
      <c r="Q2346" t="n">
        <v>0</v>
      </c>
      <c r="R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2026-04-05T10:45:15Z</dcterms:created>
  <dcterms:modified xmlns:dcterms="http://purl.org/dc/terms/" xmlns:xsi="http://www.w3.org/2001/XMLSchema-instance" xsi:type="dcterms:W3CDTF">2026-04-05T10:45:17Z</dcterms:modified>
</cp:coreProperties>
</file>