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45662</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45662</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45662</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45662</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45662</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45662</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45662</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45662</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45662</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45662</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45662</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45662</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45662</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45662</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45662</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45662</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45662</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45662</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45662</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45662</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45662</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45662</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45662</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45662</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45662</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45662</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45662</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45662</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45662</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45662</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45662</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45662</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45662</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45662</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45662</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45662</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45662</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45662</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45662</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45662</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45662</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45662</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45662</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45662</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45662</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45662</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45662</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45662</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45662</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45662</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45662</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45662</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45662</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45662</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45662</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45662</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45662</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45662</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45662</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45662</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45662</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45662</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45662</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45662</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45662</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45662</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45662</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45662</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45662</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45662</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45662</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45662</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45662</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45662</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45662</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45662</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45662</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45662</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45662</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45662</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45662</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45662</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45662</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45662</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45662</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45662</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45662</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45662</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45662</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18499-2019</t>
        </is>
      </c>
      <c r="B106" s="1" t="n">
        <v>43559</v>
      </c>
      <c r="C106" s="1" t="n">
        <v>45662</v>
      </c>
      <c r="D106" t="inlineStr">
        <is>
          <t>VÄRMLANDS LÄN</t>
        </is>
      </c>
      <c r="E106" t="inlineStr">
        <is>
          <t>TORSBY</t>
        </is>
      </c>
      <c r="G106" t="n">
        <v>4.8</v>
      </c>
      <c r="H106" t="n">
        <v>0</v>
      </c>
      <c r="I106" t="n">
        <v>0</v>
      </c>
      <c r="J106" t="n">
        <v>0</v>
      </c>
      <c r="K106" t="n">
        <v>1</v>
      </c>
      <c r="L106" t="n">
        <v>0</v>
      </c>
      <c r="M106" t="n">
        <v>0</v>
      </c>
      <c r="N106" t="n">
        <v>0</v>
      </c>
      <c r="O106" t="n">
        <v>1</v>
      </c>
      <c r="P106" t="n">
        <v>1</v>
      </c>
      <c r="Q106" t="n">
        <v>1</v>
      </c>
      <c r="R106" s="2" t="inlineStr">
        <is>
          <t>Raggbock</t>
        </is>
      </c>
      <c r="S106">
        <f>HYPERLINK("https://klasma.github.io/Logging_1737/artfynd/A 18499-2019 artfynd.xlsx", "A 18499-2019")</f>
        <v/>
      </c>
      <c r="T106">
        <f>HYPERLINK("https://klasma.github.io/Logging_1737/kartor/A 18499-2019 karta.png", "A 18499-2019")</f>
        <v/>
      </c>
      <c r="V106">
        <f>HYPERLINK("https://klasma.github.io/Logging_1737/klagomål/A 18499-2019 FSC-klagomål.docx", "A 18499-2019")</f>
        <v/>
      </c>
      <c r="W106">
        <f>HYPERLINK("https://klasma.github.io/Logging_1737/klagomålsmail/A 18499-2019 FSC-klagomål mail.docx", "A 18499-2019")</f>
        <v/>
      </c>
      <c r="X106">
        <f>HYPERLINK("https://klasma.github.io/Logging_1737/tillsyn/A 18499-2019 tillsynsbegäran.docx", "A 18499-2019")</f>
        <v/>
      </c>
      <c r="Y106">
        <f>HYPERLINK("https://klasma.github.io/Logging_1737/tillsynsmail/A 18499-2019 tillsynsbegäran mail.docx", "A 18499-2019")</f>
        <v/>
      </c>
    </row>
    <row r="107" ht="15" customHeight="1">
      <c r="A107" t="inlineStr">
        <is>
          <t>A 31848-2019</t>
        </is>
      </c>
      <c r="B107" s="1" t="n">
        <v>43642</v>
      </c>
      <c r="C107" s="1" t="n">
        <v>45662</v>
      </c>
      <c r="D107" t="inlineStr">
        <is>
          <t>VÄRMLANDS LÄN</t>
        </is>
      </c>
      <c r="E107" t="inlineStr">
        <is>
          <t>TORSBY</t>
        </is>
      </c>
      <c r="G107" t="n">
        <v>6.1</v>
      </c>
      <c r="H107" t="n">
        <v>1</v>
      </c>
      <c r="I107" t="n">
        <v>0</v>
      </c>
      <c r="J107" t="n">
        <v>0</v>
      </c>
      <c r="K107" t="n">
        <v>1</v>
      </c>
      <c r="L107" t="n">
        <v>0</v>
      </c>
      <c r="M107" t="n">
        <v>0</v>
      </c>
      <c r="N107" t="n">
        <v>0</v>
      </c>
      <c r="O107" t="n">
        <v>1</v>
      </c>
      <c r="P107" t="n">
        <v>1</v>
      </c>
      <c r="Q107" t="n">
        <v>1</v>
      </c>
      <c r="R107" s="2" t="inlineStr">
        <is>
          <t>Knärot</t>
        </is>
      </c>
      <c r="S107">
        <f>HYPERLINK("https://klasma.github.io/Logging_1737/artfynd/A 31848-2019 artfynd.xlsx", "A 31848-2019")</f>
        <v/>
      </c>
      <c r="T107">
        <f>HYPERLINK("https://klasma.github.io/Logging_1737/kartor/A 31848-2019 karta.png", "A 31848-2019")</f>
        <v/>
      </c>
      <c r="U107">
        <f>HYPERLINK("https://klasma.github.io/Logging_1737/knärot/A 31848-2019 karta knärot.png", "A 31848-2019")</f>
        <v/>
      </c>
      <c r="V107">
        <f>HYPERLINK("https://klasma.github.io/Logging_1737/klagomål/A 31848-2019 FSC-klagomål.docx", "A 31848-2019")</f>
        <v/>
      </c>
      <c r="W107">
        <f>HYPERLINK("https://klasma.github.io/Logging_1737/klagomålsmail/A 31848-2019 FSC-klagomål mail.docx", "A 31848-2019")</f>
        <v/>
      </c>
      <c r="X107">
        <f>HYPERLINK("https://klasma.github.io/Logging_1737/tillsyn/A 31848-2019 tillsynsbegäran.docx", "A 31848-2019")</f>
        <v/>
      </c>
      <c r="Y107">
        <f>HYPERLINK("https://klasma.github.io/Logging_1737/tillsynsmail/A 31848-2019 tillsynsbegäran mail.docx", "A 31848-2019")</f>
        <v/>
      </c>
    </row>
    <row r="108" ht="15" customHeight="1">
      <c r="A108" t="inlineStr">
        <is>
          <t>A 45844-2019</t>
        </is>
      </c>
      <c r="B108" s="1" t="n">
        <v>43717</v>
      </c>
      <c r="C108" s="1" t="n">
        <v>45662</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Talltita</t>
        </is>
      </c>
      <c r="S108">
        <f>HYPERLINK("https://klasma.github.io/Logging_1737/artfynd/A 45844-2019 artfynd.xlsx", "A 45844-2019")</f>
        <v/>
      </c>
      <c r="T108">
        <f>HYPERLINK("https://klasma.github.io/Logging_1737/kartor/A 45844-2019 karta.png", "A 45844-2019")</f>
        <v/>
      </c>
      <c r="V108">
        <f>HYPERLINK("https://klasma.github.io/Logging_1737/klagomål/A 45844-2019 FSC-klagomål.docx", "A 45844-2019")</f>
        <v/>
      </c>
      <c r="W108">
        <f>HYPERLINK("https://klasma.github.io/Logging_1737/klagomålsmail/A 45844-2019 FSC-klagomål mail.docx", "A 45844-2019")</f>
        <v/>
      </c>
      <c r="X108">
        <f>HYPERLINK("https://klasma.github.io/Logging_1737/tillsyn/A 45844-2019 tillsynsbegäran.docx", "A 45844-2019")</f>
        <v/>
      </c>
      <c r="Y108">
        <f>HYPERLINK("https://klasma.github.io/Logging_1737/tillsynsmail/A 45844-2019 tillsynsbegäran mail.docx", "A 45844-2019")</f>
        <v/>
      </c>
      <c r="Z108">
        <f>HYPERLINK("https://klasma.github.io/Logging_1737/fåglar/A 45844-2019 prioriterade fågelarter.docx", "A 45844-2019")</f>
        <v/>
      </c>
    </row>
    <row r="109" ht="15" customHeight="1">
      <c r="A109" t="inlineStr">
        <is>
          <t>A 47731-2019</t>
        </is>
      </c>
      <c r="B109" s="1" t="n">
        <v>43724</v>
      </c>
      <c r="C109" s="1" t="n">
        <v>45662</v>
      </c>
      <c r="D109" t="inlineStr">
        <is>
          <t>VÄRMLANDS LÄN</t>
        </is>
      </c>
      <c r="E109" t="inlineStr">
        <is>
          <t>TORSBY</t>
        </is>
      </c>
      <c r="G109" t="n">
        <v>3.5</v>
      </c>
      <c r="H109" t="n">
        <v>1</v>
      </c>
      <c r="I109" t="n">
        <v>0</v>
      </c>
      <c r="J109" t="n">
        <v>1</v>
      </c>
      <c r="K109" t="n">
        <v>0</v>
      </c>
      <c r="L109" t="n">
        <v>0</v>
      </c>
      <c r="M109" t="n">
        <v>0</v>
      </c>
      <c r="N109" t="n">
        <v>0</v>
      </c>
      <c r="O109" t="n">
        <v>1</v>
      </c>
      <c r="P109" t="n">
        <v>0</v>
      </c>
      <c r="Q109" t="n">
        <v>1</v>
      </c>
      <c r="R109" s="2" t="inlineStr">
        <is>
          <t>Gulsparv</t>
        </is>
      </c>
      <c r="S109">
        <f>HYPERLINK("https://klasma.github.io/Logging_1737/artfynd/A 47731-2019 artfynd.xlsx", "A 47731-2019")</f>
        <v/>
      </c>
      <c r="T109">
        <f>HYPERLINK("https://klasma.github.io/Logging_1737/kartor/A 47731-2019 karta.png", "A 47731-2019")</f>
        <v/>
      </c>
      <c r="V109">
        <f>HYPERLINK("https://klasma.github.io/Logging_1737/klagomål/A 47731-2019 FSC-klagomål.docx", "A 47731-2019")</f>
        <v/>
      </c>
      <c r="W109">
        <f>HYPERLINK("https://klasma.github.io/Logging_1737/klagomålsmail/A 47731-2019 FSC-klagomål mail.docx", "A 47731-2019")</f>
        <v/>
      </c>
      <c r="X109">
        <f>HYPERLINK("https://klasma.github.io/Logging_1737/tillsyn/A 47731-2019 tillsynsbegäran.docx", "A 47731-2019")</f>
        <v/>
      </c>
      <c r="Y109">
        <f>HYPERLINK("https://klasma.github.io/Logging_1737/tillsynsmail/A 47731-2019 tillsynsbegäran mail.docx", "A 47731-2019")</f>
        <v/>
      </c>
      <c r="Z109">
        <f>HYPERLINK("https://klasma.github.io/Logging_1737/fåglar/A 47731-2019 prioriterade fågelarter.docx", "A 47731-2019")</f>
        <v/>
      </c>
    </row>
    <row r="110" ht="15" customHeight="1">
      <c r="A110" t="inlineStr">
        <is>
          <t>A 53924-2019</t>
        </is>
      </c>
      <c r="B110" s="1" t="n">
        <v>43742</v>
      </c>
      <c r="C110" s="1" t="n">
        <v>45662</v>
      </c>
      <c r="D110" t="inlineStr">
        <is>
          <t>VÄRMLANDS LÄN</t>
        </is>
      </c>
      <c r="E110" t="inlineStr">
        <is>
          <t>TORSBY</t>
        </is>
      </c>
      <c r="G110" t="n">
        <v>7.1</v>
      </c>
      <c r="H110" t="n">
        <v>1</v>
      </c>
      <c r="I110" t="n">
        <v>0</v>
      </c>
      <c r="J110" t="n">
        <v>0</v>
      </c>
      <c r="K110" t="n">
        <v>0</v>
      </c>
      <c r="L110" t="n">
        <v>0</v>
      </c>
      <c r="M110" t="n">
        <v>0</v>
      </c>
      <c r="N110" t="n">
        <v>0</v>
      </c>
      <c r="O110" t="n">
        <v>0</v>
      </c>
      <c r="P110" t="n">
        <v>0</v>
      </c>
      <c r="Q110" t="n">
        <v>1</v>
      </c>
      <c r="R110" s="2" t="inlineStr">
        <is>
          <t>Fläcknycklar</t>
        </is>
      </c>
      <c r="S110">
        <f>HYPERLINK("https://klasma.github.io/Logging_1737/artfynd/A 53924-2019 artfynd.xlsx", "A 53924-2019")</f>
        <v/>
      </c>
      <c r="T110">
        <f>HYPERLINK("https://klasma.github.io/Logging_1737/kartor/A 53924-2019 karta.png", "A 53924-2019")</f>
        <v/>
      </c>
      <c r="V110">
        <f>HYPERLINK("https://klasma.github.io/Logging_1737/klagomål/A 53924-2019 FSC-klagomål.docx", "A 53924-2019")</f>
        <v/>
      </c>
      <c r="W110">
        <f>HYPERLINK("https://klasma.github.io/Logging_1737/klagomålsmail/A 53924-2019 FSC-klagomål mail.docx", "A 53924-2019")</f>
        <v/>
      </c>
      <c r="X110">
        <f>HYPERLINK("https://klasma.github.io/Logging_1737/tillsyn/A 53924-2019 tillsynsbegäran.docx", "A 53924-2019")</f>
        <v/>
      </c>
      <c r="Y110">
        <f>HYPERLINK("https://klasma.github.io/Logging_1737/tillsynsmail/A 53924-2019 tillsynsbegäran mail.docx", "A 53924-2019")</f>
        <v/>
      </c>
    </row>
    <row r="111" ht="15" customHeight="1">
      <c r="A111" t="inlineStr">
        <is>
          <t>A 63767-2019</t>
        </is>
      </c>
      <c r="B111" s="1" t="n">
        <v>43795</v>
      </c>
      <c r="C111" s="1" t="n">
        <v>45662</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Garnlav</t>
        </is>
      </c>
      <c r="S111">
        <f>HYPERLINK("https://klasma.github.io/Logging_1737/artfynd/A 63767-2019 artfynd.xlsx", "A 63767-2019")</f>
        <v/>
      </c>
      <c r="T111">
        <f>HYPERLINK("https://klasma.github.io/Logging_1737/kartor/A 63767-2019 karta.png", "A 63767-2019")</f>
        <v/>
      </c>
      <c r="V111">
        <f>HYPERLINK("https://klasma.github.io/Logging_1737/klagomål/A 63767-2019 FSC-klagomål.docx", "A 63767-2019")</f>
        <v/>
      </c>
      <c r="W111">
        <f>HYPERLINK("https://klasma.github.io/Logging_1737/klagomålsmail/A 63767-2019 FSC-klagomål mail.docx", "A 63767-2019")</f>
        <v/>
      </c>
      <c r="X111">
        <f>HYPERLINK("https://klasma.github.io/Logging_1737/tillsyn/A 63767-2019 tillsynsbegäran.docx", "A 63767-2019")</f>
        <v/>
      </c>
      <c r="Y111">
        <f>HYPERLINK("https://klasma.github.io/Logging_1737/tillsynsmail/A 63767-2019 tillsynsbegäran mail.docx", "A 63767-2019")</f>
        <v/>
      </c>
    </row>
    <row r="112" ht="15" customHeight="1">
      <c r="A112" t="inlineStr">
        <is>
          <t>A 65129-2019</t>
        </is>
      </c>
      <c r="B112" s="1" t="n">
        <v>43802</v>
      </c>
      <c r="C112" s="1" t="n">
        <v>45662</v>
      </c>
      <c r="D112" t="inlineStr">
        <is>
          <t>VÄRMLANDS LÄN</t>
        </is>
      </c>
      <c r="E112" t="inlineStr">
        <is>
          <t>TORSBY</t>
        </is>
      </c>
      <c r="G112" t="n">
        <v>3.3</v>
      </c>
      <c r="H112" t="n">
        <v>0</v>
      </c>
      <c r="I112" t="n">
        <v>0</v>
      </c>
      <c r="J112" t="n">
        <v>1</v>
      </c>
      <c r="K112" t="n">
        <v>0</v>
      </c>
      <c r="L112" t="n">
        <v>0</v>
      </c>
      <c r="M112" t="n">
        <v>0</v>
      </c>
      <c r="N112" t="n">
        <v>0</v>
      </c>
      <c r="O112" t="n">
        <v>1</v>
      </c>
      <c r="P112" t="n">
        <v>0</v>
      </c>
      <c r="Q112" t="n">
        <v>1</v>
      </c>
      <c r="R112" s="2" t="inlineStr">
        <is>
          <t>Garnlav</t>
        </is>
      </c>
      <c r="S112">
        <f>HYPERLINK("https://klasma.github.io/Logging_1737/artfynd/A 65129-2019 artfynd.xlsx", "A 65129-2019")</f>
        <v/>
      </c>
      <c r="T112">
        <f>HYPERLINK("https://klasma.github.io/Logging_1737/kartor/A 65129-2019 karta.png", "A 65129-2019")</f>
        <v/>
      </c>
      <c r="V112">
        <f>HYPERLINK("https://klasma.github.io/Logging_1737/klagomål/A 65129-2019 FSC-klagomål.docx", "A 65129-2019")</f>
        <v/>
      </c>
      <c r="W112">
        <f>HYPERLINK("https://klasma.github.io/Logging_1737/klagomålsmail/A 65129-2019 FSC-klagomål mail.docx", "A 65129-2019")</f>
        <v/>
      </c>
      <c r="X112">
        <f>HYPERLINK("https://klasma.github.io/Logging_1737/tillsyn/A 65129-2019 tillsynsbegäran.docx", "A 65129-2019")</f>
        <v/>
      </c>
      <c r="Y112">
        <f>HYPERLINK("https://klasma.github.io/Logging_1737/tillsynsmail/A 65129-2019 tillsynsbegäran mail.docx", "A 65129-2019")</f>
        <v/>
      </c>
    </row>
    <row r="113" ht="15" customHeight="1">
      <c r="A113" t="inlineStr">
        <is>
          <t>A 37035-2020</t>
        </is>
      </c>
      <c r="B113" s="1" t="n">
        <v>44054</v>
      </c>
      <c r="C113" s="1" t="n">
        <v>45662</v>
      </c>
      <c r="D113" t="inlineStr">
        <is>
          <t>VÄRMLANDS LÄN</t>
        </is>
      </c>
      <c r="E113" t="inlineStr">
        <is>
          <t>TORSBY</t>
        </is>
      </c>
      <c r="G113" t="n">
        <v>2.7</v>
      </c>
      <c r="H113" t="n">
        <v>0</v>
      </c>
      <c r="I113" t="n">
        <v>0</v>
      </c>
      <c r="J113" t="n">
        <v>0</v>
      </c>
      <c r="K113" t="n">
        <v>1</v>
      </c>
      <c r="L113" t="n">
        <v>0</v>
      </c>
      <c r="M113" t="n">
        <v>0</v>
      </c>
      <c r="N113" t="n">
        <v>0</v>
      </c>
      <c r="O113" t="n">
        <v>1</v>
      </c>
      <c r="P113" t="n">
        <v>1</v>
      </c>
      <c r="Q113" t="n">
        <v>1</v>
      </c>
      <c r="R113" s="2" t="inlineStr">
        <is>
          <t>Raggbock</t>
        </is>
      </c>
      <c r="S113">
        <f>HYPERLINK("https://klasma.github.io/Logging_1737/artfynd/A 37035-2020 artfynd.xlsx", "A 37035-2020")</f>
        <v/>
      </c>
      <c r="T113">
        <f>HYPERLINK("https://klasma.github.io/Logging_1737/kartor/A 37035-2020 karta.png", "A 37035-2020")</f>
        <v/>
      </c>
      <c r="V113">
        <f>HYPERLINK("https://klasma.github.io/Logging_1737/klagomål/A 37035-2020 FSC-klagomål.docx", "A 37035-2020")</f>
        <v/>
      </c>
      <c r="W113">
        <f>HYPERLINK("https://klasma.github.io/Logging_1737/klagomålsmail/A 37035-2020 FSC-klagomål mail.docx", "A 37035-2020")</f>
        <v/>
      </c>
      <c r="X113">
        <f>HYPERLINK("https://klasma.github.io/Logging_1737/tillsyn/A 37035-2020 tillsynsbegäran.docx", "A 37035-2020")</f>
        <v/>
      </c>
      <c r="Y113">
        <f>HYPERLINK("https://klasma.github.io/Logging_1737/tillsynsmail/A 37035-2020 tillsynsbegäran mail.docx", "A 37035-2020")</f>
        <v/>
      </c>
    </row>
    <row r="114" ht="15" customHeight="1">
      <c r="A114" t="inlineStr">
        <is>
          <t>A 50854-2020</t>
        </is>
      </c>
      <c r="B114" s="1" t="n">
        <v>44105</v>
      </c>
      <c r="C114" s="1" t="n">
        <v>45662</v>
      </c>
      <c r="D114" t="inlineStr">
        <is>
          <t>VÄRMLANDS LÄN</t>
        </is>
      </c>
      <c r="E114" t="inlineStr">
        <is>
          <t>TORSBY</t>
        </is>
      </c>
      <c r="G114" t="n">
        <v>6.5</v>
      </c>
      <c r="H114" t="n">
        <v>1</v>
      </c>
      <c r="I114" t="n">
        <v>0</v>
      </c>
      <c r="J114" t="n">
        <v>0</v>
      </c>
      <c r="K114" t="n">
        <v>1</v>
      </c>
      <c r="L114" t="n">
        <v>0</v>
      </c>
      <c r="M114" t="n">
        <v>0</v>
      </c>
      <c r="N114" t="n">
        <v>0</v>
      </c>
      <c r="O114" t="n">
        <v>1</v>
      </c>
      <c r="P114" t="n">
        <v>1</v>
      </c>
      <c r="Q114" t="n">
        <v>1</v>
      </c>
      <c r="R114" s="2" t="inlineStr">
        <is>
          <t>Knärot</t>
        </is>
      </c>
      <c r="S114">
        <f>HYPERLINK("https://klasma.github.io/Logging_1737/artfynd/A 50854-2020 artfynd.xlsx", "A 50854-2020")</f>
        <v/>
      </c>
      <c r="T114">
        <f>HYPERLINK("https://klasma.github.io/Logging_1737/kartor/A 50854-2020 karta.png", "A 50854-2020")</f>
        <v/>
      </c>
      <c r="U114">
        <f>HYPERLINK("https://klasma.github.io/Logging_1737/knärot/A 50854-2020 karta knärot.png", "A 50854-2020")</f>
        <v/>
      </c>
      <c r="V114">
        <f>HYPERLINK("https://klasma.github.io/Logging_1737/klagomål/A 50854-2020 FSC-klagomål.docx", "A 50854-2020")</f>
        <v/>
      </c>
      <c r="W114">
        <f>HYPERLINK("https://klasma.github.io/Logging_1737/klagomålsmail/A 50854-2020 FSC-klagomål mail.docx", "A 50854-2020")</f>
        <v/>
      </c>
      <c r="X114">
        <f>HYPERLINK("https://klasma.github.io/Logging_1737/tillsyn/A 50854-2020 tillsynsbegäran.docx", "A 50854-2020")</f>
        <v/>
      </c>
      <c r="Y114">
        <f>HYPERLINK("https://klasma.github.io/Logging_1737/tillsynsmail/A 50854-2020 tillsynsbegäran mail.docx", "A 50854-2020")</f>
        <v/>
      </c>
    </row>
    <row r="115" ht="15" customHeight="1">
      <c r="A115" t="inlineStr">
        <is>
          <t>A 50089-2020</t>
        </is>
      </c>
      <c r="B115" s="1" t="n">
        <v>44109</v>
      </c>
      <c r="C115" s="1" t="n">
        <v>45662</v>
      </c>
      <c r="D115" t="inlineStr">
        <is>
          <t>VÄRMLANDS LÄN</t>
        </is>
      </c>
      <c r="E115" t="inlineStr">
        <is>
          <t>TORSBY</t>
        </is>
      </c>
      <c r="G115" t="n">
        <v>0.9</v>
      </c>
      <c r="H115" t="n">
        <v>1</v>
      </c>
      <c r="I115" t="n">
        <v>0</v>
      </c>
      <c r="J115" t="n">
        <v>1</v>
      </c>
      <c r="K115" t="n">
        <v>0</v>
      </c>
      <c r="L115" t="n">
        <v>0</v>
      </c>
      <c r="M115" t="n">
        <v>0</v>
      </c>
      <c r="N115" t="n">
        <v>0</v>
      </c>
      <c r="O115" t="n">
        <v>1</v>
      </c>
      <c r="P115" t="n">
        <v>0</v>
      </c>
      <c r="Q115" t="n">
        <v>1</v>
      </c>
      <c r="R115" s="2" t="inlineStr">
        <is>
          <t>Spillkråka</t>
        </is>
      </c>
      <c r="S115">
        <f>HYPERLINK("https://klasma.github.io/Logging_1737/artfynd/A 50089-2020 artfynd.xlsx", "A 50089-2020")</f>
        <v/>
      </c>
      <c r="T115">
        <f>HYPERLINK("https://klasma.github.io/Logging_1737/kartor/A 50089-2020 karta.png", "A 50089-2020")</f>
        <v/>
      </c>
      <c r="V115">
        <f>HYPERLINK("https://klasma.github.io/Logging_1737/klagomål/A 50089-2020 FSC-klagomål.docx", "A 50089-2020")</f>
        <v/>
      </c>
      <c r="W115">
        <f>HYPERLINK("https://klasma.github.io/Logging_1737/klagomålsmail/A 50089-2020 FSC-klagomål mail.docx", "A 50089-2020")</f>
        <v/>
      </c>
      <c r="X115">
        <f>HYPERLINK("https://klasma.github.io/Logging_1737/tillsyn/A 50089-2020 tillsynsbegäran.docx", "A 50089-2020")</f>
        <v/>
      </c>
      <c r="Y115">
        <f>HYPERLINK("https://klasma.github.io/Logging_1737/tillsynsmail/A 50089-2020 tillsynsbegäran mail.docx", "A 50089-2020")</f>
        <v/>
      </c>
      <c r="Z115">
        <f>HYPERLINK("https://klasma.github.io/Logging_1737/fåglar/A 50089-2020 prioriterade fågelarter.docx", "A 50089-2020")</f>
        <v/>
      </c>
    </row>
    <row r="116" ht="15" customHeight="1">
      <c r="A116" t="inlineStr">
        <is>
          <t>A 53491-2020</t>
        </is>
      </c>
      <c r="B116" s="1" t="n">
        <v>44123</v>
      </c>
      <c r="C116" s="1" t="n">
        <v>45662</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53491-2020 artfynd.xlsx", "A 53491-2020")</f>
        <v/>
      </c>
      <c r="T116">
        <f>HYPERLINK("https://klasma.github.io/Logging_1737/kartor/A 53491-2020 karta.png", "A 53491-2020")</f>
        <v/>
      </c>
      <c r="V116">
        <f>HYPERLINK("https://klasma.github.io/Logging_1737/klagomål/A 53491-2020 FSC-klagomål.docx", "A 53491-2020")</f>
        <v/>
      </c>
      <c r="W116">
        <f>HYPERLINK("https://klasma.github.io/Logging_1737/klagomålsmail/A 53491-2020 FSC-klagomål mail.docx", "A 53491-2020")</f>
        <v/>
      </c>
      <c r="X116">
        <f>HYPERLINK("https://klasma.github.io/Logging_1737/tillsyn/A 53491-2020 tillsynsbegäran.docx", "A 53491-2020")</f>
        <v/>
      </c>
      <c r="Y116">
        <f>HYPERLINK("https://klasma.github.io/Logging_1737/tillsynsmail/A 53491-2020 tillsynsbegäran mail.docx", "A 53491-2020")</f>
        <v/>
      </c>
    </row>
    <row r="117" ht="15" customHeight="1">
      <c r="A117" t="inlineStr">
        <is>
          <t>A 8747-2021</t>
        </is>
      </c>
      <c r="B117" s="1" t="n">
        <v>44246</v>
      </c>
      <c r="C117" s="1" t="n">
        <v>45662</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24042-2021</t>
        </is>
      </c>
      <c r="B118" s="1" t="n">
        <v>44336</v>
      </c>
      <c r="C118" s="1" t="n">
        <v>45662</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34876-2021</t>
        </is>
      </c>
      <c r="B119" s="1" t="n">
        <v>44383</v>
      </c>
      <c r="C119" s="1" t="n">
        <v>45662</v>
      </c>
      <c r="D119" t="inlineStr">
        <is>
          <t>VÄRMLANDS LÄN</t>
        </is>
      </c>
      <c r="E119" t="inlineStr">
        <is>
          <t>TORSBY</t>
        </is>
      </c>
      <c r="G119" t="n">
        <v>4.7</v>
      </c>
      <c r="H119" t="n">
        <v>0</v>
      </c>
      <c r="I119" t="n">
        <v>0</v>
      </c>
      <c r="J119" t="n">
        <v>1</v>
      </c>
      <c r="K119" t="n">
        <v>0</v>
      </c>
      <c r="L119" t="n">
        <v>0</v>
      </c>
      <c r="M119" t="n">
        <v>0</v>
      </c>
      <c r="N119" t="n">
        <v>0</v>
      </c>
      <c r="O119" t="n">
        <v>1</v>
      </c>
      <c r="P119" t="n">
        <v>0</v>
      </c>
      <c r="Q119" t="n">
        <v>1</v>
      </c>
      <c r="R119" s="2" t="inlineStr">
        <is>
          <t>Doftskinn</t>
        </is>
      </c>
      <c r="S119">
        <f>HYPERLINK("https://klasma.github.io/Logging_1737/artfynd/A 34876-2021 artfynd.xlsx", "A 34876-2021")</f>
        <v/>
      </c>
      <c r="T119">
        <f>HYPERLINK("https://klasma.github.io/Logging_1737/kartor/A 34876-2021 karta.png", "A 34876-2021")</f>
        <v/>
      </c>
      <c r="V119">
        <f>HYPERLINK("https://klasma.github.io/Logging_1737/klagomål/A 34876-2021 FSC-klagomål.docx", "A 34876-2021")</f>
        <v/>
      </c>
      <c r="W119">
        <f>HYPERLINK("https://klasma.github.io/Logging_1737/klagomålsmail/A 34876-2021 FSC-klagomål mail.docx", "A 34876-2021")</f>
        <v/>
      </c>
      <c r="X119">
        <f>HYPERLINK("https://klasma.github.io/Logging_1737/tillsyn/A 34876-2021 tillsynsbegäran.docx", "A 34876-2021")</f>
        <v/>
      </c>
      <c r="Y119">
        <f>HYPERLINK("https://klasma.github.io/Logging_1737/tillsynsmail/A 34876-2021 tillsynsbegäran mail.docx", "A 34876-2021")</f>
        <v/>
      </c>
    </row>
    <row r="120" ht="15" customHeight="1">
      <c r="A120" t="inlineStr">
        <is>
          <t>A 34853-2021</t>
        </is>
      </c>
      <c r="B120" s="1" t="n">
        <v>44383</v>
      </c>
      <c r="C120" s="1" t="n">
        <v>45662</v>
      </c>
      <c r="D120" t="inlineStr">
        <is>
          <t>VÄRMLANDS LÄN</t>
        </is>
      </c>
      <c r="E120" t="inlineStr">
        <is>
          <t>TORSBY</t>
        </is>
      </c>
      <c r="G120" t="n">
        <v>14.8</v>
      </c>
      <c r="H120" t="n">
        <v>1</v>
      </c>
      <c r="I120" t="n">
        <v>0</v>
      </c>
      <c r="J120" t="n">
        <v>1</v>
      </c>
      <c r="K120" t="n">
        <v>0</v>
      </c>
      <c r="L120" t="n">
        <v>0</v>
      </c>
      <c r="M120" t="n">
        <v>0</v>
      </c>
      <c r="N120" t="n">
        <v>0</v>
      </c>
      <c r="O120" t="n">
        <v>1</v>
      </c>
      <c r="P120" t="n">
        <v>0</v>
      </c>
      <c r="Q120" t="n">
        <v>1</v>
      </c>
      <c r="R120" s="2" t="inlineStr">
        <is>
          <t>Talltita</t>
        </is>
      </c>
      <c r="S120">
        <f>HYPERLINK("https://klasma.github.io/Logging_1737/artfynd/A 34853-2021 artfynd.xlsx", "A 34853-2021")</f>
        <v/>
      </c>
      <c r="T120">
        <f>HYPERLINK("https://klasma.github.io/Logging_1737/kartor/A 34853-2021 karta.png", "A 34853-2021")</f>
        <v/>
      </c>
      <c r="V120">
        <f>HYPERLINK("https://klasma.github.io/Logging_1737/klagomål/A 34853-2021 FSC-klagomål.docx", "A 34853-2021")</f>
        <v/>
      </c>
      <c r="W120">
        <f>HYPERLINK("https://klasma.github.io/Logging_1737/klagomålsmail/A 34853-2021 FSC-klagomål mail.docx", "A 34853-2021")</f>
        <v/>
      </c>
      <c r="X120">
        <f>HYPERLINK("https://klasma.github.io/Logging_1737/tillsyn/A 34853-2021 tillsynsbegäran.docx", "A 34853-2021")</f>
        <v/>
      </c>
      <c r="Y120">
        <f>HYPERLINK("https://klasma.github.io/Logging_1737/tillsynsmail/A 34853-2021 tillsynsbegäran mail.docx", "A 34853-2021")</f>
        <v/>
      </c>
      <c r="Z120">
        <f>HYPERLINK("https://klasma.github.io/Logging_1737/fåglar/A 34853-2021 prioriterade fågelarter.docx", "A 34853-2021")</f>
        <v/>
      </c>
    </row>
    <row r="121" ht="15" customHeight="1">
      <c r="A121" t="inlineStr">
        <is>
          <t>A 40265-2021</t>
        </is>
      </c>
      <c r="B121" s="1" t="n">
        <v>44419</v>
      </c>
      <c r="C121" s="1" t="n">
        <v>45662</v>
      </c>
      <c r="D121" t="inlineStr">
        <is>
          <t>VÄRMLANDS LÄN</t>
        </is>
      </c>
      <c r="E121" t="inlineStr">
        <is>
          <t>TORSBY</t>
        </is>
      </c>
      <c r="F121" t="inlineStr">
        <is>
          <t>Bergvik skog väst AB</t>
        </is>
      </c>
      <c r="G121" t="n">
        <v>5.7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40265-2021 artfynd.xlsx", "A 40265-2021")</f>
        <v/>
      </c>
      <c r="T121">
        <f>HYPERLINK("https://klasma.github.io/Logging_1737/kartor/A 40265-2021 karta.png", "A 40265-2021")</f>
        <v/>
      </c>
      <c r="V121">
        <f>HYPERLINK("https://klasma.github.io/Logging_1737/klagomål/A 40265-2021 FSC-klagomål.docx", "A 40265-2021")</f>
        <v/>
      </c>
      <c r="W121">
        <f>HYPERLINK("https://klasma.github.io/Logging_1737/klagomålsmail/A 40265-2021 FSC-klagomål mail.docx", "A 40265-2021")</f>
        <v/>
      </c>
      <c r="X121">
        <f>HYPERLINK("https://klasma.github.io/Logging_1737/tillsyn/A 40265-2021 tillsynsbegäran.docx", "A 40265-2021")</f>
        <v/>
      </c>
      <c r="Y121">
        <f>HYPERLINK("https://klasma.github.io/Logging_1737/tillsynsmail/A 40265-2021 tillsynsbegäran mail.docx", "A 40265-2021")</f>
        <v/>
      </c>
    </row>
    <row r="122" ht="15" customHeight="1">
      <c r="A122" t="inlineStr">
        <is>
          <t>A 43784-2021</t>
        </is>
      </c>
      <c r="B122" s="1" t="n">
        <v>44433</v>
      </c>
      <c r="C122" s="1" t="n">
        <v>45662</v>
      </c>
      <c r="D122" t="inlineStr">
        <is>
          <t>VÄRMLANDS LÄN</t>
        </is>
      </c>
      <c r="E122" t="inlineStr">
        <is>
          <t>TORSBY</t>
        </is>
      </c>
      <c r="G122" t="n">
        <v>5.2</v>
      </c>
      <c r="H122" t="n">
        <v>1</v>
      </c>
      <c r="I122" t="n">
        <v>0</v>
      </c>
      <c r="J122" t="n">
        <v>0</v>
      </c>
      <c r="K122" t="n">
        <v>0</v>
      </c>
      <c r="L122" t="n">
        <v>0</v>
      </c>
      <c r="M122" t="n">
        <v>0</v>
      </c>
      <c r="N122" t="n">
        <v>0</v>
      </c>
      <c r="O122" t="n">
        <v>0</v>
      </c>
      <c r="P122" t="n">
        <v>0</v>
      </c>
      <c r="Q122" t="n">
        <v>1</v>
      </c>
      <c r="R122" s="2" t="inlineStr">
        <is>
          <t>Kopparödla</t>
        </is>
      </c>
      <c r="S122">
        <f>HYPERLINK("https://klasma.github.io/Logging_1737/artfynd/A 43784-2021 artfynd.xlsx", "A 43784-2021")</f>
        <v/>
      </c>
      <c r="T122">
        <f>HYPERLINK("https://klasma.github.io/Logging_1737/kartor/A 43784-2021 karta.png", "A 43784-2021")</f>
        <v/>
      </c>
      <c r="V122">
        <f>HYPERLINK("https://klasma.github.io/Logging_1737/klagomål/A 43784-2021 FSC-klagomål.docx", "A 43784-2021")</f>
        <v/>
      </c>
      <c r="W122">
        <f>HYPERLINK("https://klasma.github.io/Logging_1737/klagomålsmail/A 43784-2021 FSC-klagomål mail.docx", "A 43784-2021")</f>
        <v/>
      </c>
      <c r="X122">
        <f>HYPERLINK("https://klasma.github.io/Logging_1737/tillsyn/A 43784-2021 tillsynsbegäran.docx", "A 43784-2021")</f>
        <v/>
      </c>
      <c r="Y122">
        <f>HYPERLINK("https://klasma.github.io/Logging_1737/tillsynsmail/A 43784-2021 tillsynsbegäran mail.docx", "A 43784-2021")</f>
        <v/>
      </c>
    </row>
    <row r="123" ht="15" customHeight="1">
      <c r="A123" t="inlineStr">
        <is>
          <t>A 49110-2021</t>
        </is>
      </c>
      <c r="B123" s="1" t="n">
        <v>44453</v>
      </c>
      <c r="C123" s="1" t="n">
        <v>45662</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54982-2021</t>
        </is>
      </c>
      <c r="B124" s="1" t="n">
        <v>44469</v>
      </c>
      <c r="C124" s="1" t="n">
        <v>45662</v>
      </c>
      <c r="D124" t="inlineStr">
        <is>
          <t>VÄRMLANDS LÄN</t>
        </is>
      </c>
      <c r="E124" t="inlineStr">
        <is>
          <t>TORSBY</t>
        </is>
      </c>
      <c r="G124" t="n">
        <v>4.1</v>
      </c>
      <c r="H124" t="n">
        <v>0</v>
      </c>
      <c r="I124" t="n">
        <v>1</v>
      </c>
      <c r="J124" t="n">
        <v>0</v>
      </c>
      <c r="K124" t="n">
        <v>0</v>
      </c>
      <c r="L124" t="n">
        <v>0</v>
      </c>
      <c r="M124" t="n">
        <v>0</v>
      </c>
      <c r="N124" t="n">
        <v>0</v>
      </c>
      <c r="O124" t="n">
        <v>0</v>
      </c>
      <c r="P124" t="n">
        <v>0</v>
      </c>
      <c r="Q124" t="n">
        <v>1</v>
      </c>
      <c r="R124" s="2" t="inlineStr">
        <is>
          <t>Tibast</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row>
    <row r="125" ht="15" customHeight="1">
      <c r="A125" t="inlineStr">
        <is>
          <t>A 58471-2021</t>
        </is>
      </c>
      <c r="B125" s="1" t="n">
        <v>44488</v>
      </c>
      <c r="C125" s="1" t="n">
        <v>45662</v>
      </c>
      <c r="D125" t="inlineStr">
        <is>
          <t>VÄRMLANDS LÄN</t>
        </is>
      </c>
      <c r="E125" t="inlineStr">
        <is>
          <t>TORSBY</t>
        </is>
      </c>
      <c r="G125" t="n">
        <v>2.5</v>
      </c>
      <c r="H125" t="n">
        <v>0</v>
      </c>
      <c r="I125" t="n">
        <v>1</v>
      </c>
      <c r="J125" t="n">
        <v>0</v>
      </c>
      <c r="K125" t="n">
        <v>0</v>
      </c>
      <c r="L125" t="n">
        <v>0</v>
      </c>
      <c r="M125" t="n">
        <v>0</v>
      </c>
      <c r="N125" t="n">
        <v>0</v>
      </c>
      <c r="O125" t="n">
        <v>0</v>
      </c>
      <c r="P125" t="n">
        <v>0</v>
      </c>
      <c r="Q125" t="n">
        <v>1</v>
      </c>
      <c r="R125" s="2" t="inlineStr">
        <is>
          <t>Korallblylav</t>
        </is>
      </c>
      <c r="S125">
        <f>HYPERLINK("https://klasma.github.io/Logging_1737/artfynd/A 58471-2021 artfynd.xlsx", "A 58471-2021")</f>
        <v/>
      </c>
      <c r="T125">
        <f>HYPERLINK("https://klasma.github.io/Logging_1737/kartor/A 58471-2021 karta.png", "A 58471-2021")</f>
        <v/>
      </c>
      <c r="V125">
        <f>HYPERLINK("https://klasma.github.io/Logging_1737/klagomål/A 58471-2021 FSC-klagomål.docx", "A 58471-2021")</f>
        <v/>
      </c>
      <c r="W125">
        <f>HYPERLINK("https://klasma.github.io/Logging_1737/klagomålsmail/A 58471-2021 FSC-klagomål mail.docx", "A 58471-2021")</f>
        <v/>
      </c>
      <c r="X125">
        <f>HYPERLINK("https://klasma.github.io/Logging_1737/tillsyn/A 58471-2021 tillsynsbegäran.docx", "A 58471-2021")</f>
        <v/>
      </c>
      <c r="Y125">
        <f>HYPERLINK("https://klasma.github.io/Logging_1737/tillsynsmail/A 58471-2021 tillsynsbegäran mail.docx", "A 58471-2021")</f>
        <v/>
      </c>
    </row>
    <row r="126" ht="15" customHeight="1">
      <c r="A126" t="inlineStr">
        <is>
          <t>A 61813-2021</t>
        </is>
      </c>
      <c r="B126" s="1" t="n">
        <v>44501</v>
      </c>
      <c r="C126" s="1" t="n">
        <v>45662</v>
      </c>
      <c r="D126" t="inlineStr">
        <is>
          <t>VÄRMLANDS LÄN</t>
        </is>
      </c>
      <c r="E126" t="inlineStr">
        <is>
          <t>TORSBY</t>
        </is>
      </c>
      <c r="G126" t="n">
        <v>4.9</v>
      </c>
      <c r="H126" t="n">
        <v>0</v>
      </c>
      <c r="I126" t="n">
        <v>0</v>
      </c>
      <c r="J126" t="n">
        <v>1</v>
      </c>
      <c r="K126" t="n">
        <v>0</v>
      </c>
      <c r="L126" t="n">
        <v>0</v>
      </c>
      <c r="M126" t="n">
        <v>0</v>
      </c>
      <c r="N126" t="n">
        <v>0</v>
      </c>
      <c r="O126" t="n">
        <v>1</v>
      </c>
      <c r="P126" t="n">
        <v>0</v>
      </c>
      <c r="Q126" t="n">
        <v>1</v>
      </c>
      <c r="R126" s="2" t="inlineStr">
        <is>
          <t>Tallticka</t>
        </is>
      </c>
      <c r="S126">
        <f>HYPERLINK("https://klasma.github.io/Logging_1737/artfynd/A 61813-2021 artfynd.xlsx", "A 61813-2021")</f>
        <v/>
      </c>
      <c r="T126">
        <f>HYPERLINK("https://klasma.github.io/Logging_1737/kartor/A 61813-2021 karta.png", "A 61813-2021")</f>
        <v/>
      </c>
      <c r="V126">
        <f>HYPERLINK("https://klasma.github.io/Logging_1737/klagomål/A 61813-2021 FSC-klagomål.docx", "A 61813-2021")</f>
        <v/>
      </c>
      <c r="W126">
        <f>HYPERLINK("https://klasma.github.io/Logging_1737/klagomålsmail/A 61813-2021 FSC-klagomål mail.docx", "A 61813-2021")</f>
        <v/>
      </c>
      <c r="X126">
        <f>HYPERLINK("https://klasma.github.io/Logging_1737/tillsyn/A 61813-2021 tillsynsbegäran.docx", "A 61813-2021")</f>
        <v/>
      </c>
      <c r="Y126">
        <f>HYPERLINK("https://klasma.github.io/Logging_1737/tillsynsmail/A 61813-2021 tillsynsbegäran mail.docx", "A 61813-2021")</f>
        <v/>
      </c>
    </row>
    <row r="127" ht="15" customHeight="1">
      <c r="A127" t="inlineStr">
        <is>
          <t>A 65767-2021</t>
        </is>
      </c>
      <c r="B127" s="1" t="n">
        <v>44516</v>
      </c>
      <c r="C127" s="1" t="n">
        <v>45662</v>
      </c>
      <c r="D127" t="inlineStr">
        <is>
          <t>VÄRMLANDS LÄN</t>
        </is>
      </c>
      <c r="E127" t="inlineStr">
        <is>
          <t>TORSBY</t>
        </is>
      </c>
      <c r="G127" t="n">
        <v>7.5</v>
      </c>
      <c r="H127" t="n">
        <v>0</v>
      </c>
      <c r="I127" t="n">
        <v>1</v>
      </c>
      <c r="J127" t="n">
        <v>0</v>
      </c>
      <c r="K127" t="n">
        <v>0</v>
      </c>
      <c r="L127" t="n">
        <v>0</v>
      </c>
      <c r="M127" t="n">
        <v>0</v>
      </c>
      <c r="N127" t="n">
        <v>0</v>
      </c>
      <c r="O127" t="n">
        <v>0</v>
      </c>
      <c r="P127" t="n">
        <v>0</v>
      </c>
      <c r="Q127" t="n">
        <v>1</v>
      </c>
      <c r="R127" s="2" t="inlineStr">
        <is>
          <t>Mörk husmossa</t>
        </is>
      </c>
      <c r="S127">
        <f>HYPERLINK("https://klasma.github.io/Logging_1737/artfynd/A 65767-2021 artfynd.xlsx", "A 65767-2021")</f>
        <v/>
      </c>
      <c r="T127">
        <f>HYPERLINK("https://klasma.github.io/Logging_1737/kartor/A 65767-2021 karta.png", "A 65767-2021")</f>
        <v/>
      </c>
      <c r="V127">
        <f>HYPERLINK("https://klasma.github.io/Logging_1737/klagomål/A 65767-2021 FSC-klagomål.docx", "A 65767-2021")</f>
        <v/>
      </c>
      <c r="W127">
        <f>HYPERLINK("https://klasma.github.io/Logging_1737/klagomålsmail/A 65767-2021 FSC-klagomål mail.docx", "A 65767-2021")</f>
        <v/>
      </c>
      <c r="X127">
        <f>HYPERLINK("https://klasma.github.io/Logging_1737/tillsyn/A 65767-2021 tillsynsbegäran.docx", "A 65767-2021")</f>
        <v/>
      </c>
      <c r="Y127">
        <f>HYPERLINK("https://klasma.github.io/Logging_1737/tillsynsmail/A 65767-2021 tillsynsbegäran mail.docx", "A 65767-2021")</f>
        <v/>
      </c>
    </row>
    <row r="128" ht="15" customHeight="1">
      <c r="A128" t="inlineStr">
        <is>
          <t>A 71594-2021</t>
        </is>
      </c>
      <c r="B128" s="1" t="n">
        <v>44541</v>
      </c>
      <c r="C128" s="1" t="n">
        <v>45662</v>
      </c>
      <c r="D128" t="inlineStr">
        <is>
          <t>VÄRMLANDS LÄN</t>
        </is>
      </c>
      <c r="E128" t="inlineStr">
        <is>
          <t>TORSBY</t>
        </is>
      </c>
      <c r="G128" t="n">
        <v>13.1</v>
      </c>
      <c r="H128" t="n">
        <v>0</v>
      </c>
      <c r="I128" t="n">
        <v>0</v>
      </c>
      <c r="J128" t="n">
        <v>1</v>
      </c>
      <c r="K128" t="n">
        <v>0</v>
      </c>
      <c r="L128" t="n">
        <v>0</v>
      </c>
      <c r="M128" t="n">
        <v>0</v>
      </c>
      <c r="N128" t="n">
        <v>0</v>
      </c>
      <c r="O128" t="n">
        <v>1</v>
      </c>
      <c r="P128" t="n">
        <v>0</v>
      </c>
      <c r="Q128" t="n">
        <v>1</v>
      </c>
      <c r="R128" s="2" t="inlineStr">
        <is>
          <t>Garnlav</t>
        </is>
      </c>
      <c r="S128">
        <f>HYPERLINK("https://klasma.github.io/Logging_1737/artfynd/A 71594-2021 artfynd.xlsx", "A 71594-2021")</f>
        <v/>
      </c>
      <c r="T128">
        <f>HYPERLINK("https://klasma.github.io/Logging_1737/kartor/A 71594-2021 karta.png", "A 71594-2021")</f>
        <v/>
      </c>
      <c r="V128">
        <f>HYPERLINK("https://klasma.github.io/Logging_1737/klagomål/A 71594-2021 FSC-klagomål.docx", "A 71594-2021")</f>
        <v/>
      </c>
      <c r="W128">
        <f>HYPERLINK("https://klasma.github.io/Logging_1737/klagomålsmail/A 71594-2021 FSC-klagomål mail.docx", "A 71594-2021")</f>
        <v/>
      </c>
      <c r="X128">
        <f>HYPERLINK("https://klasma.github.io/Logging_1737/tillsyn/A 71594-2021 tillsynsbegäran.docx", "A 71594-2021")</f>
        <v/>
      </c>
      <c r="Y128">
        <f>HYPERLINK("https://klasma.github.io/Logging_1737/tillsynsmail/A 71594-2021 tillsynsbegäran mail.docx", "A 71594-2021")</f>
        <v/>
      </c>
    </row>
    <row r="129" ht="15" customHeight="1">
      <c r="A129" t="inlineStr">
        <is>
          <t>A 3404-2022</t>
        </is>
      </c>
      <c r="B129" s="1" t="n">
        <v>44585</v>
      </c>
      <c r="C129" s="1" t="n">
        <v>45662</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Vedtrappmossa</t>
        </is>
      </c>
      <c r="S129">
        <f>HYPERLINK("https://klasma.github.io/Logging_1737/artfynd/A 3404-2022 artfynd.xlsx", "A 3404-2022")</f>
        <v/>
      </c>
      <c r="T129">
        <f>HYPERLINK("https://klasma.github.io/Logging_1737/kartor/A 3404-2022 karta.png", "A 3404-2022")</f>
        <v/>
      </c>
      <c r="V129">
        <f>HYPERLINK("https://klasma.github.io/Logging_1737/klagomål/A 3404-2022 FSC-klagomål.docx", "A 3404-2022")</f>
        <v/>
      </c>
      <c r="W129">
        <f>HYPERLINK("https://klasma.github.io/Logging_1737/klagomålsmail/A 3404-2022 FSC-klagomål mail.docx", "A 3404-2022")</f>
        <v/>
      </c>
      <c r="X129">
        <f>HYPERLINK("https://klasma.github.io/Logging_1737/tillsyn/A 3404-2022 tillsynsbegäran.docx", "A 3404-2022")</f>
        <v/>
      </c>
      <c r="Y129">
        <f>HYPERLINK("https://klasma.github.io/Logging_1737/tillsynsmail/A 3404-2022 tillsynsbegäran mail.docx", "A 3404-2022")</f>
        <v/>
      </c>
    </row>
    <row r="130" ht="15" customHeight="1">
      <c r="A130" t="inlineStr">
        <is>
          <t>A 16572-2022</t>
        </is>
      </c>
      <c r="B130" s="1" t="n">
        <v>44672</v>
      </c>
      <c r="C130" s="1" t="n">
        <v>45662</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23486-2022</t>
        </is>
      </c>
      <c r="B131" s="1" t="n">
        <v>44721</v>
      </c>
      <c r="C131" s="1" t="n">
        <v>45662</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Tallriska</t>
        </is>
      </c>
      <c r="S131">
        <f>HYPERLINK("https://klasma.github.io/Logging_1737/artfynd/A 23486-2022 artfynd.xlsx", "A 23486-2022")</f>
        <v/>
      </c>
      <c r="T131">
        <f>HYPERLINK("https://klasma.github.io/Logging_1737/kartor/A 23486-2022 karta.png", "A 23486-2022")</f>
        <v/>
      </c>
      <c r="V131">
        <f>HYPERLINK("https://klasma.github.io/Logging_1737/klagomål/A 23486-2022 FSC-klagomål.docx", "A 23486-2022")</f>
        <v/>
      </c>
      <c r="W131">
        <f>HYPERLINK("https://klasma.github.io/Logging_1737/klagomålsmail/A 23486-2022 FSC-klagomål mail.docx", "A 23486-2022")</f>
        <v/>
      </c>
      <c r="X131">
        <f>HYPERLINK("https://klasma.github.io/Logging_1737/tillsyn/A 23486-2022 tillsynsbegäran.docx", "A 23486-2022")</f>
        <v/>
      </c>
      <c r="Y131">
        <f>HYPERLINK("https://klasma.github.io/Logging_1737/tillsynsmail/A 23486-2022 tillsynsbegäran mail.docx", "A 23486-2022")</f>
        <v/>
      </c>
    </row>
    <row r="132" ht="15" customHeight="1">
      <c r="A132" t="inlineStr">
        <is>
          <t>A 25999-2022</t>
        </is>
      </c>
      <c r="B132" s="1" t="n">
        <v>44734</v>
      </c>
      <c r="C132" s="1" t="n">
        <v>45662</v>
      </c>
      <c r="D132" t="inlineStr">
        <is>
          <t>VÄRMLANDS LÄN</t>
        </is>
      </c>
      <c r="E132" t="inlineStr">
        <is>
          <t>TORSBY</t>
        </is>
      </c>
      <c r="G132" t="n">
        <v>0.6</v>
      </c>
      <c r="H132" t="n">
        <v>0</v>
      </c>
      <c r="I132" t="n">
        <v>1</v>
      </c>
      <c r="J132" t="n">
        <v>0</v>
      </c>
      <c r="K132" t="n">
        <v>0</v>
      </c>
      <c r="L132" t="n">
        <v>0</v>
      </c>
      <c r="M132" t="n">
        <v>0</v>
      </c>
      <c r="N132" t="n">
        <v>0</v>
      </c>
      <c r="O132" t="n">
        <v>0</v>
      </c>
      <c r="P132" t="n">
        <v>0</v>
      </c>
      <c r="Q132" t="n">
        <v>1</v>
      </c>
      <c r="R132" s="2" t="inlineStr">
        <is>
          <t>Korallblylav</t>
        </is>
      </c>
      <c r="S132">
        <f>HYPERLINK("https://klasma.github.io/Logging_1737/artfynd/A 25999-2022 artfynd.xlsx", "A 25999-2022")</f>
        <v/>
      </c>
      <c r="T132">
        <f>HYPERLINK("https://klasma.github.io/Logging_1737/kartor/A 25999-2022 karta.png", "A 25999-2022")</f>
        <v/>
      </c>
      <c r="V132">
        <f>HYPERLINK("https://klasma.github.io/Logging_1737/klagomål/A 25999-2022 FSC-klagomål.docx", "A 25999-2022")</f>
        <v/>
      </c>
      <c r="W132">
        <f>HYPERLINK("https://klasma.github.io/Logging_1737/klagomålsmail/A 25999-2022 FSC-klagomål mail.docx", "A 25999-2022")</f>
        <v/>
      </c>
      <c r="X132">
        <f>HYPERLINK("https://klasma.github.io/Logging_1737/tillsyn/A 25999-2022 tillsynsbegäran.docx", "A 25999-2022")</f>
        <v/>
      </c>
      <c r="Y132">
        <f>HYPERLINK("https://klasma.github.io/Logging_1737/tillsynsmail/A 25999-2022 tillsynsbegäran mail.docx", "A 25999-2022")</f>
        <v/>
      </c>
    </row>
    <row r="133" ht="15" customHeight="1">
      <c r="A133" t="inlineStr">
        <is>
          <t>A 35709-2022</t>
        </is>
      </c>
      <c r="B133" s="1" t="n">
        <v>44799</v>
      </c>
      <c r="C133" s="1" t="n">
        <v>45662</v>
      </c>
      <c r="D133" t="inlineStr">
        <is>
          <t>VÄRMLANDS LÄN</t>
        </is>
      </c>
      <c r="E133" t="inlineStr">
        <is>
          <t>TORSBY</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HYPERLINK("https://klasma.github.io/Logging_1737/artfynd/A 35709-2022 artfynd.xlsx", "A 35709-2022")</f>
        <v/>
      </c>
      <c r="T133">
        <f>HYPERLINK("https://klasma.github.io/Logging_1737/kartor/A 35709-2022 karta.png", "A 35709-2022")</f>
        <v/>
      </c>
      <c r="V133">
        <f>HYPERLINK("https://klasma.github.io/Logging_1737/klagomål/A 35709-2022 FSC-klagomål.docx", "A 35709-2022")</f>
        <v/>
      </c>
      <c r="W133">
        <f>HYPERLINK("https://klasma.github.io/Logging_1737/klagomålsmail/A 35709-2022 FSC-klagomål mail.docx", "A 35709-2022")</f>
        <v/>
      </c>
      <c r="X133">
        <f>HYPERLINK("https://klasma.github.io/Logging_1737/tillsyn/A 35709-2022 tillsynsbegäran.docx", "A 35709-2022")</f>
        <v/>
      </c>
      <c r="Y133">
        <f>HYPERLINK("https://klasma.github.io/Logging_1737/tillsynsmail/A 35709-2022 tillsynsbegäran mail.docx", "A 35709-2022")</f>
        <v/>
      </c>
    </row>
    <row r="134" ht="15" customHeight="1">
      <c r="A134" t="inlineStr">
        <is>
          <t>A 42500-2022</t>
        </is>
      </c>
      <c r="B134" s="1" t="n">
        <v>44831</v>
      </c>
      <c r="C134" s="1" t="n">
        <v>45662</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44007-2022</t>
        </is>
      </c>
      <c r="B135" s="1" t="n">
        <v>44838</v>
      </c>
      <c r="C135" s="1" t="n">
        <v>45662</v>
      </c>
      <c r="D135" t="inlineStr">
        <is>
          <t>VÄRMLANDS LÄN</t>
        </is>
      </c>
      <c r="E135" t="inlineStr">
        <is>
          <t>TORSBY</t>
        </is>
      </c>
      <c r="F135" t="inlineStr">
        <is>
          <t>Bergvik skog väst AB</t>
        </is>
      </c>
      <c r="G135" t="n">
        <v>8</v>
      </c>
      <c r="H135" t="n">
        <v>1</v>
      </c>
      <c r="I135" t="n">
        <v>0</v>
      </c>
      <c r="J135" t="n">
        <v>1</v>
      </c>
      <c r="K135" t="n">
        <v>0</v>
      </c>
      <c r="L135" t="n">
        <v>0</v>
      </c>
      <c r="M135" t="n">
        <v>0</v>
      </c>
      <c r="N135" t="n">
        <v>0</v>
      </c>
      <c r="O135" t="n">
        <v>1</v>
      </c>
      <c r="P135" t="n">
        <v>0</v>
      </c>
      <c r="Q135" t="n">
        <v>1</v>
      </c>
      <c r="R135" s="2" t="inlineStr">
        <is>
          <t>Utter</t>
        </is>
      </c>
      <c r="S135">
        <f>HYPERLINK("https://klasma.github.io/Logging_1737/artfynd/A 44007-2022 artfynd.xlsx", "A 44007-2022")</f>
        <v/>
      </c>
      <c r="T135">
        <f>HYPERLINK("https://klasma.github.io/Logging_1737/kartor/A 44007-2022 karta.png", "A 44007-2022")</f>
        <v/>
      </c>
      <c r="V135">
        <f>HYPERLINK("https://klasma.github.io/Logging_1737/klagomål/A 44007-2022 FSC-klagomål.docx", "A 44007-2022")</f>
        <v/>
      </c>
      <c r="W135">
        <f>HYPERLINK("https://klasma.github.io/Logging_1737/klagomålsmail/A 44007-2022 FSC-klagomål mail.docx", "A 44007-2022")</f>
        <v/>
      </c>
      <c r="X135">
        <f>HYPERLINK("https://klasma.github.io/Logging_1737/tillsyn/A 44007-2022 tillsynsbegäran.docx", "A 44007-2022")</f>
        <v/>
      </c>
      <c r="Y135">
        <f>HYPERLINK("https://klasma.github.io/Logging_1737/tillsynsmail/A 44007-2022 tillsynsbegäran mail.docx", "A 44007-2022")</f>
        <v/>
      </c>
    </row>
    <row r="136" ht="15" customHeight="1">
      <c r="A136" t="inlineStr">
        <is>
          <t>A 50236-2022</t>
        </is>
      </c>
      <c r="B136" s="1" t="n">
        <v>44865</v>
      </c>
      <c r="C136" s="1" t="n">
        <v>45662</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51288-2022</t>
        </is>
      </c>
      <c r="B137" s="1" t="n">
        <v>44868</v>
      </c>
      <c r="C137" s="1" t="n">
        <v>45662</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13361-2023</t>
        </is>
      </c>
      <c r="B138" s="1" t="n">
        <v>45005</v>
      </c>
      <c r="C138" s="1" t="n">
        <v>45662</v>
      </c>
      <c r="D138" t="inlineStr">
        <is>
          <t>VÄRMLANDS LÄN</t>
        </is>
      </c>
      <c r="E138" t="inlineStr">
        <is>
          <t>TORSBY</t>
        </is>
      </c>
      <c r="G138" t="n">
        <v>8.5</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13361-2023 artfynd.xlsx", "A 13361-2023")</f>
        <v/>
      </c>
      <c r="T138">
        <f>HYPERLINK("https://klasma.github.io/Logging_1737/kartor/A 13361-2023 karta.png", "A 13361-2023")</f>
        <v/>
      </c>
      <c r="V138">
        <f>HYPERLINK("https://klasma.github.io/Logging_1737/klagomål/A 13361-2023 FSC-klagomål.docx", "A 13361-2023")</f>
        <v/>
      </c>
      <c r="W138">
        <f>HYPERLINK("https://klasma.github.io/Logging_1737/klagomålsmail/A 13361-2023 FSC-klagomål mail.docx", "A 13361-2023")</f>
        <v/>
      </c>
      <c r="X138">
        <f>HYPERLINK("https://klasma.github.io/Logging_1737/tillsyn/A 13361-2023 tillsynsbegäran.docx", "A 13361-2023")</f>
        <v/>
      </c>
      <c r="Y138">
        <f>HYPERLINK("https://klasma.github.io/Logging_1737/tillsynsmail/A 13361-2023 tillsynsbegäran mail.docx", "A 13361-2023")</f>
        <v/>
      </c>
    </row>
    <row r="139" ht="15" customHeight="1">
      <c r="A139" t="inlineStr">
        <is>
          <t>A 13359-2023</t>
        </is>
      </c>
      <c r="B139" s="1" t="n">
        <v>45005</v>
      </c>
      <c r="C139" s="1" t="n">
        <v>45662</v>
      </c>
      <c r="D139" t="inlineStr">
        <is>
          <t>VÄRMLANDS LÄN</t>
        </is>
      </c>
      <c r="E139" t="inlineStr">
        <is>
          <t>TORSBY</t>
        </is>
      </c>
      <c r="G139" t="n">
        <v>12.9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15548-2023</t>
        </is>
      </c>
      <c r="B140" s="1" t="n">
        <v>45020</v>
      </c>
      <c r="C140" s="1" t="n">
        <v>45662</v>
      </c>
      <c r="D140" t="inlineStr">
        <is>
          <t>VÄRMLANDS LÄN</t>
        </is>
      </c>
      <c r="E140" t="inlineStr">
        <is>
          <t>TORSBY</t>
        </is>
      </c>
      <c r="G140" t="n">
        <v>0.6</v>
      </c>
      <c r="H140" t="n">
        <v>1</v>
      </c>
      <c r="I140" t="n">
        <v>0</v>
      </c>
      <c r="J140" t="n">
        <v>1</v>
      </c>
      <c r="K140" t="n">
        <v>0</v>
      </c>
      <c r="L140" t="n">
        <v>0</v>
      </c>
      <c r="M140" t="n">
        <v>0</v>
      </c>
      <c r="N140" t="n">
        <v>0</v>
      </c>
      <c r="O140" t="n">
        <v>1</v>
      </c>
      <c r="P140" t="n">
        <v>0</v>
      </c>
      <c r="Q140" t="n">
        <v>1</v>
      </c>
      <c r="R140" s="2" t="inlineStr">
        <is>
          <t>Spillkråka</t>
        </is>
      </c>
      <c r="S140">
        <f>HYPERLINK("https://klasma.github.io/Logging_1737/artfynd/A 15548-2023 artfynd.xlsx", "A 15548-2023")</f>
        <v/>
      </c>
      <c r="T140">
        <f>HYPERLINK("https://klasma.github.io/Logging_1737/kartor/A 15548-2023 karta.png", "A 15548-2023")</f>
        <v/>
      </c>
      <c r="V140">
        <f>HYPERLINK("https://klasma.github.io/Logging_1737/klagomål/A 15548-2023 FSC-klagomål.docx", "A 15548-2023")</f>
        <v/>
      </c>
      <c r="W140">
        <f>HYPERLINK("https://klasma.github.io/Logging_1737/klagomålsmail/A 15548-2023 FSC-klagomål mail.docx", "A 15548-2023")</f>
        <v/>
      </c>
      <c r="X140">
        <f>HYPERLINK("https://klasma.github.io/Logging_1737/tillsyn/A 15548-2023 tillsynsbegäran.docx", "A 15548-2023")</f>
        <v/>
      </c>
      <c r="Y140">
        <f>HYPERLINK("https://klasma.github.io/Logging_1737/tillsynsmail/A 15548-2023 tillsynsbegäran mail.docx", "A 15548-2023")</f>
        <v/>
      </c>
      <c r="Z140">
        <f>HYPERLINK("https://klasma.github.io/Logging_1737/fåglar/A 15548-2023 prioriterade fågelarter.docx", "A 15548-2023")</f>
        <v/>
      </c>
    </row>
    <row r="141" ht="15" customHeight="1">
      <c r="A141" t="inlineStr">
        <is>
          <t>A 18882-2023</t>
        </is>
      </c>
      <c r="B141" s="1" t="n">
        <v>45044</v>
      </c>
      <c r="C141" s="1" t="n">
        <v>45662</v>
      </c>
      <c r="D141" t="inlineStr">
        <is>
          <t>VÄRMLANDS LÄN</t>
        </is>
      </c>
      <c r="E141" t="inlineStr">
        <is>
          <t>TORSBY</t>
        </is>
      </c>
      <c r="G141" t="n">
        <v>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18882-2023 artfynd.xlsx", "A 18882-2023")</f>
        <v/>
      </c>
      <c r="T141">
        <f>HYPERLINK("https://klasma.github.io/Logging_1737/kartor/A 18882-2023 karta.png", "A 18882-2023")</f>
        <v/>
      </c>
      <c r="V141">
        <f>HYPERLINK("https://klasma.github.io/Logging_1737/klagomål/A 18882-2023 FSC-klagomål.docx", "A 18882-2023")</f>
        <v/>
      </c>
      <c r="W141">
        <f>HYPERLINK("https://klasma.github.io/Logging_1737/klagomålsmail/A 18882-2023 FSC-klagomål mail.docx", "A 18882-2023")</f>
        <v/>
      </c>
      <c r="X141">
        <f>HYPERLINK("https://klasma.github.io/Logging_1737/tillsyn/A 18882-2023 tillsynsbegäran.docx", "A 18882-2023")</f>
        <v/>
      </c>
      <c r="Y141">
        <f>HYPERLINK("https://klasma.github.io/Logging_1737/tillsynsmail/A 18882-2023 tillsynsbegäran mail.docx", "A 18882-2023")</f>
        <v/>
      </c>
    </row>
    <row r="142" ht="15" customHeight="1">
      <c r="A142" t="inlineStr">
        <is>
          <t>A 19669-2023</t>
        </is>
      </c>
      <c r="B142" s="1" t="n">
        <v>45051</v>
      </c>
      <c r="C142" s="1" t="n">
        <v>45662</v>
      </c>
      <c r="D142" t="inlineStr">
        <is>
          <t>VÄRMLANDS LÄN</t>
        </is>
      </c>
      <c r="E142" t="inlineStr">
        <is>
          <t>TORSBY</t>
        </is>
      </c>
      <c r="F142" t="inlineStr">
        <is>
          <t>Kyrkan</t>
        </is>
      </c>
      <c r="G142" t="n">
        <v>5.2</v>
      </c>
      <c r="H142" t="n">
        <v>1</v>
      </c>
      <c r="I142" t="n">
        <v>0</v>
      </c>
      <c r="J142" t="n">
        <v>1</v>
      </c>
      <c r="K142" t="n">
        <v>0</v>
      </c>
      <c r="L142" t="n">
        <v>0</v>
      </c>
      <c r="M142" t="n">
        <v>0</v>
      </c>
      <c r="N142" t="n">
        <v>0</v>
      </c>
      <c r="O142" t="n">
        <v>1</v>
      </c>
      <c r="P142" t="n">
        <v>0</v>
      </c>
      <c r="Q142" t="n">
        <v>1</v>
      </c>
      <c r="R142" s="2" t="inlineStr">
        <is>
          <t>Utter</t>
        </is>
      </c>
      <c r="S142">
        <f>HYPERLINK("https://klasma.github.io/Logging_1737/artfynd/A 19669-2023 artfynd.xlsx", "A 19669-2023")</f>
        <v/>
      </c>
      <c r="T142">
        <f>HYPERLINK("https://klasma.github.io/Logging_1737/kartor/A 19669-2023 karta.png", "A 19669-2023")</f>
        <v/>
      </c>
      <c r="V142">
        <f>HYPERLINK("https://klasma.github.io/Logging_1737/klagomål/A 19669-2023 FSC-klagomål.docx", "A 19669-2023")</f>
        <v/>
      </c>
      <c r="W142">
        <f>HYPERLINK("https://klasma.github.io/Logging_1737/klagomålsmail/A 19669-2023 FSC-klagomål mail.docx", "A 19669-2023")</f>
        <v/>
      </c>
      <c r="X142">
        <f>HYPERLINK("https://klasma.github.io/Logging_1737/tillsyn/A 19669-2023 tillsynsbegäran.docx", "A 19669-2023")</f>
        <v/>
      </c>
      <c r="Y142">
        <f>HYPERLINK("https://klasma.github.io/Logging_1737/tillsynsmail/A 19669-2023 tillsynsbegäran mail.docx", "A 19669-2023")</f>
        <v/>
      </c>
    </row>
    <row r="143" ht="15" customHeight="1">
      <c r="A143" t="inlineStr">
        <is>
          <t>A 26747-2023</t>
        </is>
      </c>
      <c r="B143" s="1" t="n">
        <v>45090</v>
      </c>
      <c r="C143" s="1" t="n">
        <v>45662</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33835-2023</t>
        </is>
      </c>
      <c r="B144" s="1" t="n">
        <v>45133</v>
      </c>
      <c r="C144" s="1" t="n">
        <v>45662</v>
      </c>
      <c r="D144" t="inlineStr">
        <is>
          <t>VÄRMLANDS LÄN</t>
        </is>
      </c>
      <c r="E144" t="inlineStr">
        <is>
          <t>TORSBY</t>
        </is>
      </c>
      <c r="F144" t="inlineStr">
        <is>
          <t>Bergvik skog väst AB</t>
        </is>
      </c>
      <c r="G144" t="n">
        <v>17.3</v>
      </c>
      <c r="H144" t="n">
        <v>1</v>
      </c>
      <c r="I144" t="n">
        <v>0</v>
      </c>
      <c r="J144" t="n">
        <v>0</v>
      </c>
      <c r="K144" t="n">
        <v>0</v>
      </c>
      <c r="L144" t="n">
        <v>0</v>
      </c>
      <c r="M144" t="n">
        <v>0</v>
      </c>
      <c r="N144" t="n">
        <v>0</v>
      </c>
      <c r="O144" t="n">
        <v>0</v>
      </c>
      <c r="P144" t="n">
        <v>0</v>
      </c>
      <c r="Q144" t="n">
        <v>1</v>
      </c>
      <c r="R144" s="2" t="inlineStr">
        <is>
          <t>Sparvuggla</t>
        </is>
      </c>
      <c r="S144">
        <f>HYPERLINK("https://klasma.github.io/Logging_1737/artfynd/A 33835-2023 artfynd.xlsx", "A 33835-2023")</f>
        <v/>
      </c>
      <c r="T144">
        <f>HYPERLINK("https://klasma.github.io/Logging_1737/kartor/A 33835-2023 karta.png", "A 33835-2023")</f>
        <v/>
      </c>
      <c r="V144">
        <f>HYPERLINK("https://klasma.github.io/Logging_1737/klagomål/A 33835-2023 FSC-klagomål.docx", "A 33835-2023")</f>
        <v/>
      </c>
      <c r="W144">
        <f>HYPERLINK("https://klasma.github.io/Logging_1737/klagomålsmail/A 33835-2023 FSC-klagomål mail.docx", "A 33835-2023")</f>
        <v/>
      </c>
      <c r="X144">
        <f>HYPERLINK("https://klasma.github.io/Logging_1737/tillsyn/A 33835-2023 tillsynsbegäran.docx", "A 33835-2023")</f>
        <v/>
      </c>
      <c r="Y144">
        <f>HYPERLINK("https://klasma.github.io/Logging_1737/tillsynsmail/A 33835-2023 tillsynsbegäran mail.docx", "A 33835-2023")</f>
        <v/>
      </c>
      <c r="Z144">
        <f>HYPERLINK("https://klasma.github.io/Logging_1737/fåglar/A 33835-2023 prioriterade fågelarter.docx", "A 33835-2023")</f>
        <v/>
      </c>
    </row>
    <row r="145" ht="15" customHeight="1">
      <c r="A145" t="inlineStr">
        <is>
          <t>A 35809-2023</t>
        </is>
      </c>
      <c r="B145" s="1" t="n">
        <v>45147</v>
      </c>
      <c r="C145" s="1" t="n">
        <v>45662</v>
      </c>
      <c r="D145" t="inlineStr">
        <is>
          <t>VÄRMLANDS LÄN</t>
        </is>
      </c>
      <c r="E145" t="inlineStr">
        <is>
          <t>TORSBY</t>
        </is>
      </c>
      <c r="F145" t="inlineStr">
        <is>
          <t>Övriga statliga verk och myndigheter</t>
        </is>
      </c>
      <c r="G145" t="n">
        <v>7.2</v>
      </c>
      <c r="H145" t="n">
        <v>1</v>
      </c>
      <c r="I145" t="n">
        <v>0</v>
      </c>
      <c r="J145" t="n">
        <v>0</v>
      </c>
      <c r="K145" t="n">
        <v>0</v>
      </c>
      <c r="L145" t="n">
        <v>0</v>
      </c>
      <c r="M145" t="n">
        <v>0</v>
      </c>
      <c r="N145" t="n">
        <v>0</v>
      </c>
      <c r="O145" t="n">
        <v>0</v>
      </c>
      <c r="P145" t="n">
        <v>0</v>
      </c>
      <c r="Q145" t="n">
        <v>1</v>
      </c>
      <c r="R145" s="2" t="inlineStr">
        <is>
          <t>Fläcknycklar</t>
        </is>
      </c>
      <c r="S145">
        <f>HYPERLINK("https://klasma.github.io/Logging_1737/artfynd/A 35809-2023 artfynd.xlsx", "A 35809-2023")</f>
        <v/>
      </c>
      <c r="T145">
        <f>HYPERLINK("https://klasma.github.io/Logging_1737/kartor/A 35809-2023 karta.png", "A 35809-2023")</f>
        <v/>
      </c>
      <c r="V145">
        <f>HYPERLINK("https://klasma.github.io/Logging_1737/klagomål/A 35809-2023 FSC-klagomål.docx", "A 35809-2023")</f>
        <v/>
      </c>
      <c r="W145">
        <f>HYPERLINK("https://klasma.github.io/Logging_1737/klagomålsmail/A 35809-2023 FSC-klagomål mail.docx", "A 35809-2023")</f>
        <v/>
      </c>
      <c r="X145">
        <f>HYPERLINK("https://klasma.github.io/Logging_1737/tillsyn/A 35809-2023 tillsynsbegäran.docx", "A 35809-2023")</f>
        <v/>
      </c>
      <c r="Y145">
        <f>HYPERLINK("https://klasma.github.io/Logging_1737/tillsynsmail/A 35809-2023 tillsynsbegäran mail.docx", "A 35809-2023")</f>
        <v/>
      </c>
    </row>
    <row r="146" ht="15" customHeight="1">
      <c r="A146" t="inlineStr">
        <is>
          <t>A 39681-2023</t>
        </is>
      </c>
      <c r="B146" s="1" t="n">
        <v>45167</v>
      </c>
      <c r="C146" s="1" t="n">
        <v>45662</v>
      </c>
      <c r="D146" t="inlineStr">
        <is>
          <t>VÄRMLANDS LÄN</t>
        </is>
      </c>
      <c r="E146" t="inlineStr">
        <is>
          <t>TORSBY</t>
        </is>
      </c>
      <c r="G146" t="n">
        <v>5.2</v>
      </c>
      <c r="H146" t="n">
        <v>0</v>
      </c>
      <c r="I146" t="n">
        <v>0</v>
      </c>
      <c r="J146" t="n">
        <v>1</v>
      </c>
      <c r="K146" t="n">
        <v>0</v>
      </c>
      <c r="L146" t="n">
        <v>0</v>
      </c>
      <c r="M146" t="n">
        <v>0</v>
      </c>
      <c r="N146" t="n">
        <v>0</v>
      </c>
      <c r="O146" t="n">
        <v>1</v>
      </c>
      <c r="P146" t="n">
        <v>0</v>
      </c>
      <c r="Q146" t="n">
        <v>1</v>
      </c>
      <c r="R146" s="2" t="inlineStr">
        <is>
          <t>Garnlav</t>
        </is>
      </c>
      <c r="S146">
        <f>HYPERLINK("https://klasma.github.io/Logging_1737/artfynd/A 39681-2023 artfynd.xlsx", "A 39681-2023")</f>
        <v/>
      </c>
      <c r="T146">
        <f>HYPERLINK("https://klasma.github.io/Logging_1737/kartor/A 39681-2023 karta.png", "A 39681-2023")</f>
        <v/>
      </c>
      <c r="V146">
        <f>HYPERLINK("https://klasma.github.io/Logging_1737/klagomål/A 39681-2023 FSC-klagomål.docx", "A 39681-2023")</f>
        <v/>
      </c>
      <c r="W146">
        <f>HYPERLINK("https://klasma.github.io/Logging_1737/klagomålsmail/A 39681-2023 FSC-klagomål mail.docx", "A 39681-2023")</f>
        <v/>
      </c>
      <c r="X146">
        <f>HYPERLINK("https://klasma.github.io/Logging_1737/tillsyn/A 39681-2023 tillsynsbegäran.docx", "A 39681-2023")</f>
        <v/>
      </c>
      <c r="Y146">
        <f>HYPERLINK("https://klasma.github.io/Logging_1737/tillsynsmail/A 39681-2023 tillsynsbegäran mail.docx", "A 39681-2023")</f>
        <v/>
      </c>
    </row>
    <row r="147" ht="15" customHeight="1">
      <c r="A147" t="inlineStr">
        <is>
          <t>A 39983-2023</t>
        </is>
      </c>
      <c r="B147" s="1" t="n">
        <v>45168</v>
      </c>
      <c r="C147" s="1" t="n">
        <v>45662</v>
      </c>
      <c r="D147" t="inlineStr">
        <is>
          <t>VÄRMLANDS LÄN</t>
        </is>
      </c>
      <c r="E147" t="inlineStr">
        <is>
          <t>TORSBY</t>
        </is>
      </c>
      <c r="G147" t="n">
        <v>17.2</v>
      </c>
      <c r="H147" t="n">
        <v>1</v>
      </c>
      <c r="I147" t="n">
        <v>0</v>
      </c>
      <c r="J147" t="n">
        <v>1</v>
      </c>
      <c r="K147" t="n">
        <v>0</v>
      </c>
      <c r="L147" t="n">
        <v>0</v>
      </c>
      <c r="M147" t="n">
        <v>0</v>
      </c>
      <c r="N147" t="n">
        <v>0</v>
      </c>
      <c r="O147" t="n">
        <v>1</v>
      </c>
      <c r="P147" t="n">
        <v>0</v>
      </c>
      <c r="Q147" t="n">
        <v>1</v>
      </c>
      <c r="R147" s="2" t="inlineStr">
        <is>
          <t>Kråka</t>
        </is>
      </c>
      <c r="S147">
        <f>HYPERLINK("https://klasma.github.io/Logging_1737/artfynd/A 39983-2023 artfynd.xlsx", "A 39983-2023")</f>
        <v/>
      </c>
      <c r="T147">
        <f>HYPERLINK("https://klasma.github.io/Logging_1737/kartor/A 39983-2023 karta.png", "A 39983-2023")</f>
        <v/>
      </c>
      <c r="V147">
        <f>HYPERLINK("https://klasma.github.io/Logging_1737/klagomål/A 39983-2023 FSC-klagomål.docx", "A 39983-2023")</f>
        <v/>
      </c>
      <c r="W147">
        <f>HYPERLINK("https://klasma.github.io/Logging_1737/klagomålsmail/A 39983-2023 FSC-klagomål mail.docx", "A 39983-2023")</f>
        <v/>
      </c>
      <c r="X147">
        <f>HYPERLINK("https://klasma.github.io/Logging_1737/tillsyn/A 39983-2023 tillsynsbegäran.docx", "A 39983-2023")</f>
        <v/>
      </c>
      <c r="Y147">
        <f>HYPERLINK("https://klasma.github.io/Logging_1737/tillsynsmail/A 39983-2023 tillsynsbegäran mail.docx", "A 39983-2023")</f>
        <v/>
      </c>
      <c r="Z147">
        <f>HYPERLINK("https://klasma.github.io/Logging_1737/fåglar/A 39983-2023 prioriterade fågelarter.docx", "A 39983-2023")</f>
        <v/>
      </c>
    </row>
    <row r="148" ht="15" customHeight="1">
      <c r="A148" t="inlineStr">
        <is>
          <t>A 46099-2023</t>
        </is>
      </c>
      <c r="B148" s="1" t="n">
        <v>45196</v>
      </c>
      <c r="C148" s="1" t="n">
        <v>45662</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49724-2023</t>
        </is>
      </c>
      <c r="B149" s="1" t="n">
        <v>45208</v>
      </c>
      <c r="C149" s="1" t="n">
        <v>45662</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Garnlav</t>
        </is>
      </c>
      <c r="S149">
        <f>HYPERLINK("https://klasma.github.io/Logging_1737/artfynd/A 49724-2023 artfynd.xlsx", "A 49724-2023")</f>
        <v/>
      </c>
      <c r="T149">
        <f>HYPERLINK("https://klasma.github.io/Logging_1737/kartor/A 49724-2023 karta.png", "A 49724-2023")</f>
        <v/>
      </c>
      <c r="V149">
        <f>HYPERLINK("https://klasma.github.io/Logging_1737/klagomål/A 49724-2023 FSC-klagomål.docx", "A 49724-2023")</f>
        <v/>
      </c>
      <c r="W149">
        <f>HYPERLINK("https://klasma.github.io/Logging_1737/klagomålsmail/A 49724-2023 FSC-klagomål mail.docx", "A 49724-2023")</f>
        <v/>
      </c>
      <c r="X149">
        <f>HYPERLINK("https://klasma.github.io/Logging_1737/tillsyn/A 49724-2023 tillsynsbegäran.docx", "A 49724-2023")</f>
        <v/>
      </c>
      <c r="Y149">
        <f>HYPERLINK("https://klasma.github.io/Logging_1737/tillsynsmail/A 49724-2023 tillsynsbegäran mail.docx", "A 49724-2023")</f>
        <v/>
      </c>
    </row>
    <row r="150" ht="15" customHeight="1">
      <c r="A150" t="inlineStr">
        <is>
          <t>A 57971-2023</t>
        </is>
      </c>
      <c r="B150" s="1" t="n">
        <v>45247</v>
      </c>
      <c r="C150" s="1" t="n">
        <v>45662</v>
      </c>
      <c r="D150" t="inlineStr">
        <is>
          <t>VÄRMLANDS LÄN</t>
        </is>
      </c>
      <c r="E150" t="inlineStr">
        <is>
          <t>TORSBY</t>
        </is>
      </c>
      <c r="G150" t="n">
        <v>12.4</v>
      </c>
      <c r="H150" t="n">
        <v>0</v>
      </c>
      <c r="I150" t="n">
        <v>0</v>
      </c>
      <c r="J150" t="n">
        <v>1</v>
      </c>
      <c r="K150" t="n">
        <v>0</v>
      </c>
      <c r="L150" t="n">
        <v>0</v>
      </c>
      <c r="M150" t="n">
        <v>0</v>
      </c>
      <c r="N150" t="n">
        <v>0</v>
      </c>
      <c r="O150" t="n">
        <v>1</v>
      </c>
      <c r="P150" t="n">
        <v>0</v>
      </c>
      <c r="Q150" t="n">
        <v>1</v>
      </c>
      <c r="R150" s="2" t="inlineStr">
        <is>
          <t>Garnlav</t>
        </is>
      </c>
      <c r="S150">
        <f>HYPERLINK("https://klasma.github.io/Logging_1737/artfynd/A 57971-2023 artfynd.xlsx", "A 57971-2023")</f>
        <v/>
      </c>
      <c r="T150">
        <f>HYPERLINK("https://klasma.github.io/Logging_1737/kartor/A 57971-2023 karta.png", "A 57971-2023")</f>
        <v/>
      </c>
      <c r="V150">
        <f>HYPERLINK("https://klasma.github.io/Logging_1737/klagomål/A 57971-2023 FSC-klagomål.docx", "A 57971-2023")</f>
        <v/>
      </c>
      <c r="W150">
        <f>HYPERLINK("https://klasma.github.io/Logging_1737/klagomålsmail/A 57971-2023 FSC-klagomål mail.docx", "A 57971-2023")</f>
        <v/>
      </c>
      <c r="X150">
        <f>HYPERLINK("https://klasma.github.io/Logging_1737/tillsyn/A 57971-2023 tillsynsbegäran.docx", "A 57971-2023")</f>
        <v/>
      </c>
      <c r="Y150">
        <f>HYPERLINK("https://klasma.github.io/Logging_1737/tillsynsmail/A 57971-2023 tillsynsbegäran mail.docx", "A 57971-2023")</f>
        <v/>
      </c>
    </row>
    <row r="151" ht="15" customHeight="1">
      <c r="A151" t="inlineStr">
        <is>
          <t>A 61911-2023</t>
        </is>
      </c>
      <c r="B151" s="1" t="n">
        <v>45266</v>
      </c>
      <c r="C151" s="1" t="n">
        <v>45662</v>
      </c>
      <c r="D151" t="inlineStr">
        <is>
          <t>VÄRMLANDS LÄN</t>
        </is>
      </c>
      <c r="E151" t="inlineStr">
        <is>
          <t>TORSBY</t>
        </is>
      </c>
      <c r="F151" t="inlineStr">
        <is>
          <t>Kommuner</t>
        </is>
      </c>
      <c r="G151" t="n">
        <v>9.1</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61911-2023 artfynd.xlsx", "A 61911-2023")</f>
        <v/>
      </c>
      <c r="T151">
        <f>HYPERLINK("https://klasma.github.io/Logging_1737/kartor/A 61911-2023 karta.png", "A 61911-2023")</f>
        <v/>
      </c>
      <c r="V151">
        <f>HYPERLINK("https://klasma.github.io/Logging_1737/klagomål/A 61911-2023 FSC-klagomål.docx", "A 61911-2023")</f>
        <v/>
      </c>
      <c r="W151">
        <f>HYPERLINK("https://klasma.github.io/Logging_1737/klagomålsmail/A 61911-2023 FSC-klagomål mail.docx", "A 61911-2023")</f>
        <v/>
      </c>
      <c r="X151">
        <f>HYPERLINK("https://klasma.github.io/Logging_1737/tillsyn/A 61911-2023 tillsynsbegäran.docx", "A 61911-2023")</f>
        <v/>
      </c>
      <c r="Y151">
        <f>HYPERLINK("https://klasma.github.io/Logging_1737/tillsynsmail/A 61911-2023 tillsynsbegäran mail.docx", "A 61911-2023")</f>
        <v/>
      </c>
    </row>
    <row r="152" ht="15" customHeight="1">
      <c r="A152" t="inlineStr">
        <is>
          <t>A 1811-2024</t>
        </is>
      </c>
      <c r="B152" s="1" t="n">
        <v>45307</v>
      </c>
      <c r="C152" s="1" t="n">
        <v>45662</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2039-2024</t>
        </is>
      </c>
      <c r="B153" s="1" t="n">
        <v>45308</v>
      </c>
      <c r="C153" s="1" t="n">
        <v>45662</v>
      </c>
      <c r="D153" t="inlineStr">
        <is>
          <t>VÄRMLANDS LÄN</t>
        </is>
      </c>
      <c r="E153" t="inlineStr">
        <is>
          <t>TORSBY</t>
        </is>
      </c>
      <c r="G153" t="n">
        <v>6.4</v>
      </c>
      <c r="H153" t="n">
        <v>1</v>
      </c>
      <c r="I153" t="n">
        <v>0</v>
      </c>
      <c r="J153" t="n">
        <v>1</v>
      </c>
      <c r="K153" t="n">
        <v>0</v>
      </c>
      <c r="L153" t="n">
        <v>0</v>
      </c>
      <c r="M153" t="n">
        <v>0</v>
      </c>
      <c r="N153" t="n">
        <v>0</v>
      </c>
      <c r="O153" t="n">
        <v>1</v>
      </c>
      <c r="P153" t="n">
        <v>0</v>
      </c>
      <c r="Q153" t="n">
        <v>1</v>
      </c>
      <c r="R153" s="2" t="inlineStr">
        <is>
          <t>Kungsörn</t>
        </is>
      </c>
      <c r="S153">
        <f>HYPERLINK("https://klasma.github.io/Logging_1737/artfynd/A 2039-2024 artfynd.xlsx", "A 2039-2024")</f>
        <v/>
      </c>
      <c r="T153">
        <f>HYPERLINK("https://klasma.github.io/Logging_1737/kartor/A 2039-2024 karta.png", "A 2039-2024")</f>
        <v/>
      </c>
      <c r="V153">
        <f>HYPERLINK("https://klasma.github.io/Logging_1737/klagomål/A 2039-2024 FSC-klagomål.docx", "A 2039-2024")</f>
        <v/>
      </c>
      <c r="W153">
        <f>HYPERLINK("https://klasma.github.io/Logging_1737/klagomålsmail/A 2039-2024 FSC-klagomål mail.docx", "A 2039-2024")</f>
        <v/>
      </c>
      <c r="X153">
        <f>HYPERLINK("https://klasma.github.io/Logging_1737/tillsyn/A 2039-2024 tillsynsbegäran.docx", "A 2039-2024")</f>
        <v/>
      </c>
      <c r="Y153">
        <f>HYPERLINK("https://klasma.github.io/Logging_1737/tillsynsmail/A 2039-2024 tillsynsbegäran mail.docx", "A 2039-2024")</f>
        <v/>
      </c>
      <c r="Z153">
        <f>HYPERLINK("https://klasma.github.io/Logging_1737/fåglar/A 2039-2024 prioriterade fågelarter.docx", "A 2039-2024")</f>
        <v/>
      </c>
    </row>
    <row r="154" ht="15" customHeight="1">
      <c r="A154" t="inlineStr">
        <is>
          <t>A 4985-2024</t>
        </is>
      </c>
      <c r="B154" s="1" t="n">
        <v>45329</v>
      </c>
      <c r="C154" s="1" t="n">
        <v>45662</v>
      </c>
      <c r="D154" t="inlineStr">
        <is>
          <t>VÄRMLANDS LÄN</t>
        </is>
      </c>
      <c r="E154" t="inlineStr">
        <is>
          <t>TORSBY</t>
        </is>
      </c>
      <c r="G154" t="n">
        <v>4.9</v>
      </c>
      <c r="H154" t="n">
        <v>0</v>
      </c>
      <c r="I154" t="n">
        <v>0</v>
      </c>
      <c r="J154" t="n">
        <v>1</v>
      </c>
      <c r="K154" t="n">
        <v>0</v>
      </c>
      <c r="L154" t="n">
        <v>0</v>
      </c>
      <c r="M154" t="n">
        <v>0</v>
      </c>
      <c r="N154" t="n">
        <v>0</v>
      </c>
      <c r="O154" t="n">
        <v>1</v>
      </c>
      <c r="P154" t="n">
        <v>0</v>
      </c>
      <c r="Q154" t="n">
        <v>1</v>
      </c>
      <c r="R154" s="2" t="inlineStr">
        <is>
          <t>Garnlav</t>
        </is>
      </c>
      <c r="S154">
        <f>HYPERLINK("https://klasma.github.io/Logging_1737/artfynd/A 4985-2024 artfynd.xlsx", "A 4985-2024")</f>
        <v/>
      </c>
      <c r="T154">
        <f>HYPERLINK("https://klasma.github.io/Logging_1737/kartor/A 4985-2024 karta.png", "A 4985-2024")</f>
        <v/>
      </c>
      <c r="V154">
        <f>HYPERLINK("https://klasma.github.io/Logging_1737/klagomål/A 4985-2024 FSC-klagomål.docx", "A 4985-2024")</f>
        <v/>
      </c>
      <c r="W154">
        <f>HYPERLINK("https://klasma.github.io/Logging_1737/klagomålsmail/A 4985-2024 FSC-klagomål mail.docx", "A 4985-2024")</f>
        <v/>
      </c>
      <c r="X154">
        <f>HYPERLINK("https://klasma.github.io/Logging_1737/tillsyn/A 4985-2024 tillsynsbegäran.docx", "A 4985-2024")</f>
        <v/>
      </c>
      <c r="Y154">
        <f>HYPERLINK("https://klasma.github.io/Logging_1737/tillsynsmail/A 4985-2024 tillsynsbegäran mail.docx", "A 4985-2024")</f>
        <v/>
      </c>
    </row>
    <row r="155" ht="15" customHeight="1">
      <c r="A155" t="inlineStr">
        <is>
          <t>A 19760-2024</t>
        </is>
      </c>
      <c r="B155" s="1" t="n">
        <v>45432</v>
      </c>
      <c r="C155" s="1" t="n">
        <v>45662</v>
      </c>
      <c r="D155" t="inlineStr">
        <is>
          <t>VÄRMLANDS LÄN</t>
        </is>
      </c>
      <c r="E155" t="inlineStr">
        <is>
          <t>TORSBY</t>
        </is>
      </c>
      <c r="F155" t="inlineStr">
        <is>
          <t>Bergvik skog väst AB</t>
        </is>
      </c>
      <c r="G155" t="n">
        <v>7.9</v>
      </c>
      <c r="H155" t="n">
        <v>1</v>
      </c>
      <c r="I155" t="n">
        <v>0</v>
      </c>
      <c r="J155" t="n">
        <v>1</v>
      </c>
      <c r="K155" t="n">
        <v>0</v>
      </c>
      <c r="L155" t="n">
        <v>0</v>
      </c>
      <c r="M155" t="n">
        <v>0</v>
      </c>
      <c r="N155" t="n">
        <v>0</v>
      </c>
      <c r="O155" t="n">
        <v>1</v>
      </c>
      <c r="P155" t="n">
        <v>0</v>
      </c>
      <c r="Q155" t="n">
        <v>1</v>
      </c>
      <c r="R155" s="2" t="inlineStr">
        <is>
          <t>Utter</t>
        </is>
      </c>
      <c r="S155">
        <f>HYPERLINK("https://klasma.github.io/Logging_1737/artfynd/A 19760-2024 artfynd.xlsx", "A 19760-2024")</f>
        <v/>
      </c>
      <c r="T155">
        <f>HYPERLINK("https://klasma.github.io/Logging_1737/kartor/A 19760-2024 karta.png", "A 19760-2024")</f>
        <v/>
      </c>
      <c r="V155">
        <f>HYPERLINK("https://klasma.github.io/Logging_1737/klagomål/A 19760-2024 FSC-klagomål.docx", "A 19760-2024")</f>
        <v/>
      </c>
      <c r="W155">
        <f>HYPERLINK("https://klasma.github.io/Logging_1737/klagomålsmail/A 19760-2024 FSC-klagomål mail.docx", "A 19760-2024")</f>
        <v/>
      </c>
      <c r="X155">
        <f>HYPERLINK("https://klasma.github.io/Logging_1737/tillsyn/A 19760-2024 tillsynsbegäran.docx", "A 19760-2024")</f>
        <v/>
      </c>
      <c r="Y155">
        <f>HYPERLINK("https://klasma.github.io/Logging_1737/tillsynsmail/A 19760-2024 tillsynsbegäran mail.docx", "A 19760-2024")</f>
        <v/>
      </c>
    </row>
    <row r="156" ht="15" customHeight="1">
      <c r="A156" t="inlineStr">
        <is>
          <t>A 25789-2024</t>
        </is>
      </c>
      <c r="B156" s="1" t="n">
        <v>45467</v>
      </c>
      <c r="C156" s="1" t="n">
        <v>45662</v>
      </c>
      <c r="D156" t="inlineStr">
        <is>
          <t>VÄRMLANDS LÄN</t>
        </is>
      </c>
      <c r="E156" t="inlineStr">
        <is>
          <t>TORSBY</t>
        </is>
      </c>
      <c r="F156" t="inlineStr">
        <is>
          <t>Bergvik skog väst AB</t>
        </is>
      </c>
      <c r="G156" t="n">
        <v>9</v>
      </c>
      <c r="H156" t="n">
        <v>1</v>
      </c>
      <c r="I156" t="n">
        <v>0</v>
      </c>
      <c r="J156" t="n">
        <v>1</v>
      </c>
      <c r="K156" t="n">
        <v>0</v>
      </c>
      <c r="L156" t="n">
        <v>0</v>
      </c>
      <c r="M156" t="n">
        <v>0</v>
      </c>
      <c r="N156" t="n">
        <v>0</v>
      </c>
      <c r="O156" t="n">
        <v>1</v>
      </c>
      <c r="P156" t="n">
        <v>0</v>
      </c>
      <c r="Q156" t="n">
        <v>1</v>
      </c>
      <c r="R156" s="2" t="inlineStr">
        <is>
          <t>Järpe</t>
        </is>
      </c>
      <c r="S156">
        <f>HYPERLINK("https://klasma.github.io/Logging_1737/artfynd/A 25789-2024 artfynd.xlsx", "A 25789-2024")</f>
        <v/>
      </c>
      <c r="T156">
        <f>HYPERLINK("https://klasma.github.io/Logging_1737/kartor/A 25789-2024 karta.png", "A 25789-2024")</f>
        <v/>
      </c>
      <c r="V156">
        <f>HYPERLINK("https://klasma.github.io/Logging_1737/klagomål/A 25789-2024 FSC-klagomål.docx", "A 25789-2024")</f>
        <v/>
      </c>
      <c r="W156">
        <f>HYPERLINK("https://klasma.github.io/Logging_1737/klagomålsmail/A 25789-2024 FSC-klagomål mail.docx", "A 25789-2024")</f>
        <v/>
      </c>
      <c r="X156">
        <f>HYPERLINK("https://klasma.github.io/Logging_1737/tillsyn/A 25789-2024 tillsynsbegäran.docx", "A 25789-2024")</f>
        <v/>
      </c>
      <c r="Y156">
        <f>HYPERLINK("https://klasma.github.io/Logging_1737/tillsynsmail/A 25789-2024 tillsynsbegäran mail.docx", "A 25789-2024")</f>
        <v/>
      </c>
      <c r="Z156">
        <f>HYPERLINK("https://klasma.github.io/Logging_1737/fåglar/A 25789-2024 prioriterade fågelarter.docx", "A 25789-2024")</f>
        <v/>
      </c>
    </row>
    <row r="157" ht="15" customHeight="1">
      <c r="A157" t="inlineStr">
        <is>
          <t>A 36962-2024</t>
        </is>
      </c>
      <c r="B157" s="1" t="n">
        <v>45538</v>
      </c>
      <c r="C157" s="1" t="n">
        <v>45662</v>
      </c>
      <c r="D157" t="inlineStr">
        <is>
          <t>VÄRMLANDS LÄN</t>
        </is>
      </c>
      <c r="E157" t="inlineStr">
        <is>
          <t>TORSBY</t>
        </is>
      </c>
      <c r="G157" t="n">
        <v>17</v>
      </c>
      <c r="H157" t="n">
        <v>0</v>
      </c>
      <c r="I157" t="n">
        <v>1</v>
      </c>
      <c r="J157" t="n">
        <v>0</v>
      </c>
      <c r="K157" t="n">
        <v>0</v>
      </c>
      <c r="L157" t="n">
        <v>0</v>
      </c>
      <c r="M157" t="n">
        <v>0</v>
      </c>
      <c r="N157" t="n">
        <v>0</v>
      </c>
      <c r="O157" t="n">
        <v>0</v>
      </c>
      <c r="P157" t="n">
        <v>0</v>
      </c>
      <c r="Q157" t="n">
        <v>1</v>
      </c>
      <c r="R157" s="2" t="inlineStr">
        <is>
          <t>Dropptaggsvamp</t>
        </is>
      </c>
      <c r="S157">
        <f>HYPERLINK("https://klasma.github.io/Logging_1737/artfynd/A 36962-2024 artfynd.xlsx", "A 36962-2024")</f>
        <v/>
      </c>
      <c r="T157">
        <f>HYPERLINK("https://klasma.github.io/Logging_1737/kartor/A 36962-2024 karta.png", "A 36962-2024")</f>
        <v/>
      </c>
      <c r="V157">
        <f>HYPERLINK("https://klasma.github.io/Logging_1737/klagomål/A 36962-2024 FSC-klagomål.docx", "A 36962-2024")</f>
        <v/>
      </c>
      <c r="W157">
        <f>HYPERLINK("https://klasma.github.io/Logging_1737/klagomålsmail/A 36962-2024 FSC-klagomål mail.docx", "A 36962-2024")</f>
        <v/>
      </c>
      <c r="X157">
        <f>HYPERLINK("https://klasma.github.io/Logging_1737/tillsyn/A 36962-2024 tillsynsbegäran.docx", "A 36962-2024")</f>
        <v/>
      </c>
      <c r="Y157">
        <f>HYPERLINK("https://klasma.github.io/Logging_1737/tillsynsmail/A 36962-2024 tillsynsbegäran mail.docx", "A 36962-2024")</f>
        <v/>
      </c>
    </row>
    <row r="158" ht="15" customHeight="1">
      <c r="A158" t="inlineStr">
        <is>
          <t>A 40033-2024</t>
        </is>
      </c>
      <c r="B158" s="1" t="n">
        <v>45553</v>
      </c>
      <c r="C158" s="1" t="n">
        <v>45662</v>
      </c>
      <c r="D158" t="inlineStr">
        <is>
          <t>VÄRMLANDS LÄN</t>
        </is>
      </c>
      <c r="E158" t="inlineStr">
        <is>
          <t>TORSBY</t>
        </is>
      </c>
      <c r="G158" t="n">
        <v>6.2</v>
      </c>
      <c r="H158" t="n">
        <v>0</v>
      </c>
      <c r="I158" t="n">
        <v>0</v>
      </c>
      <c r="J158" t="n">
        <v>1</v>
      </c>
      <c r="K158" t="n">
        <v>0</v>
      </c>
      <c r="L158" t="n">
        <v>0</v>
      </c>
      <c r="M158" t="n">
        <v>0</v>
      </c>
      <c r="N158" t="n">
        <v>0</v>
      </c>
      <c r="O158" t="n">
        <v>1</v>
      </c>
      <c r="P158" t="n">
        <v>0</v>
      </c>
      <c r="Q158" t="n">
        <v>1</v>
      </c>
      <c r="R158" s="2" t="inlineStr">
        <is>
          <t>Violettgrå tagellav</t>
        </is>
      </c>
      <c r="S158">
        <f>HYPERLINK("https://klasma.github.io/Logging_1737/artfynd/A 40033-2024 artfynd.xlsx", "A 40033-2024")</f>
        <v/>
      </c>
      <c r="T158">
        <f>HYPERLINK("https://klasma.github.io/Logging_1737/kartor/A 40033-2024 karta.png", "A 40033-2024")</f>
        <v/>
      </c>
      <c r="V158">
        <f>HYPERLINK("https://klasma.github.io/Logging_1737/klagomål/A 40033-2024 FSC-klagomål.docx", "A 40033-2024")</f>
        <v/>
      </c>
      <c r="W158">
        <f>HYPERLINK("https://klasma.github.io/Logging_1737/klagomålsmail/A 40033-2024 FSC-klagomål mail.docx", "A 40033-2024")</f>
        <v/>
      </c>
      <c r="X158">
        <f>HYPERLINK("https://klasma.github.io/Logging_1737/tillsyn/A 40033-2024 tillsynsbegäran.docx", "A 40033-2024")</f>
        <v/>
      </c>
      <c r="Y158">
        <f>HYPERLINK("https://klasma.github.io/Logging_1737/tillsynsmail/A 40033-2024 tillsynsbegäran mail.docx", "A 40033-2024")</f>
        <v/>
      </c>
    </row>
    <row r="159" ht="15" customHeight="1">
      <c r="A159" t="inlineStr">
        <is>
          <t>A 40934-2024</t>
        </is>
      </c>
      <c r="B159" s="1" t="n">
        <v>45558</v>
      </c>
      <c r="C159" s="1" t="n">
        <v>45662</v>
      </c>
      <c r="D159" t="inlineStr">
        <is>
          <t>VÄRMLANDS LÄN</t>
        </is>
      </c>
      <c r="E159" t="inlineStr">
        <is>
          <t>TORSBY</t>
        </is>
      </c>
      <c r="G159" t="n">
        <v>8.1</v>
      </c>
      <c r="H159" t="n">
        <v>0</v>
      </c>
      <c r="I159" t="n">
        <v>0</v>
      </c>
      <c r="J159" t="n">
        <v>1</v>
      </c>
      <c r="K159" t="n">
        <v>0</v>
      </c>
      <c r="L159" t="n">
        <v>0</v>
      </c>
      <c r="M159" t="n">
        <v>0</v>
      </c>
      <c r="N159" t="n">
        <v>0</v>
      </c>
      <c r="O159" t="n">
        <v>1</v>
      </c>
      <c r="P159" t="n">
        <v>0</v>
      </c>
      <c r="Q159" t="n">
        <v>1</v>
      </c>
      <c r="R159" s="2" t="inlineStr">
        <is>
          <t>Lunglav</t>
        </is>
      </c>
      <c r="S159">
        <f>HYPERLINK("https://klasma.github.io/Logging_1737/artfynd/A 40934-2024 artfynd.xlsx", "A 40934-2024")</f>
        <v/>
      </c>
      <c r="T159">
        <f>HYPERLINK("https://klasma.github.io/Logging_1737/kartor/A 40934-2024 karta.png", "A 40934-2024")</f>
        <v/>
      </c>
      <c r="V159">
        <f>HYPERLINK("https://klasma.github.io/Logging_1737/klagomål/A 40934-2024 FSC-klagomål.docx", "A 40934-2024")</f>
        <v/>
      </c>
      <c r="W159">
        <f>HYPERLINK("https://klasma.github.io/Logging_1737/klagomålsmail/A 40934-2024 FSC-klagomål mail.docx", "A 40934-2024")</f>
        <v/>
      </c>
      <c r="X159">
        <f>HYPERLINK("https://klasma.github.io/Logging_1737/tillsyn/A 40934-2024 tillsynsbegäran.docx", "A 40934-2024")</f>
        <v/>
      </c>
      <c r="Y159">
        <f>HYPERLINK("https://klasma.github.io/Logging_1737/tillsynsmail/A 40934-2024 tillsynsbegäran mail.docx", "A 40934-2024")</f>
        <v/>
      </c>
    </row>
    <row r="160" ht="15" customHeight="1">
      <c r="A160" t="inlineStr">
        <is>
          <t>A 41350-2024</t>
        </is>
      </c>
      <c r="B160" s="1" t="n">
        <v>45559</v>
      </c>
      <c r="C160" s="1" t="n">
        <v>45662</v>
      </c>
      <c r="D160" t="inlineStr">
        <is>
          <t>VÄRMLANDS LÄN</t>
        </is>
      </c>
      <c r="E160" t="inlineStr">
        <is>
          <t>TORSBY</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HYPERLINK("https://klasma.github.io/Logging_1737/artfynd/A 41350-2024 artfynd.xlsx", "A 41350-2024")</f>
        <v/>
      </c>
      <c r="T160">
        <f>HYPERLINK("https://klasma.github.io/Logging_1737/kartor/A 41350-2024 karta.png", "A 41350-2024")</f>
        <v/>
      </c>
      <c r="V160">
        <f>HYPERLINK("https://klasma.github.io/Logging_1737/klagomål/A 41350-2024 FSC-klagomål.docx", "A 41350-2024")</f>
        <v/>
      </c>
      <c r="W160">
        <f>HYPERLINK("https://klasma.github.io/Logging_1737/klagomålsmail/A 41350-2024 FSC-klagomål mail.docx", "A 41350-2024")</f>
        <v/>
      </c>
      <c r="X160">
        <f>HYPERLINK("https://klasma.github.io/Logging_1737/tillsyn/A 41350-2024 tillsynsbegäran.docx", "A 41350-2024")</f>
        <v/>
      </c>
      <c r="Y160">
        <f>HYPERLINK("https://klasma.github.io/Logging_1737/tillsynsmail/A 41350-2024 tillsynsbegäran mail.docx", "A 41350-2024")</f>
        <v/>
      </c>
    </row>
    <row r="161" ht="15" customHeight="1">
      <c r="A161" t="inlineStr">
        <is>
          <t>A 41477-2024</t>
        </is>
      </c>
      <c r="B161" s="1" t="n">
        <v>45560</v>
      </c>
      <c r="C161" s="1" t="n">
        <v>45662</v>
      </c>
      <c r="D161" t="inlineStr">
        <is>
          <t>VÄRMLANDS LÄN</t>
        </is>
      </c>
      <c r="E161" t="inlineStr">
        <is>
          <t>TORSBY</t>
        </is>
      </c>
      <c r="G161" t="n">
        <v>6.7</v>
      </c>
      <c r="H161" t="n">
        <v>0</v>
      </c>
      <c r="I161" t="n">
        <v>0</v>
      </c>
      <c r="J161" t="n">
        <v>1</v>
      </c>
      <c r="K161" t="n">
        <v>0</v>
      </c>
      <c r="L161" t="n">
        <v>0</v>
      </c>
      <c r="M161" t="n">
        <v>0</v>
      </c>
      <c r="N161" t="n">
        <v>0</v>
      </c>
      <c r="O161" t="n">
        <v>1</v>
      </c>
      <c r="P161" t="n">
        <v>0</v>
      </c>
      <c r="Q161" t="n">
        <v>1</v>
      </c>
      <c r="R161" s="2" t="inlineStr">
        <is>
          <t>Garnlav</t>
        </is>
      </c>
      <c r="S161">
        <f>HYPERLINK("https://klasma.github.io/Logging_1737/artfynd/A 41477-2024 artfynd.xlsx", "A 41477-2024")</f>
        <v/>
      </c>
      <c r="T161">
        <f>HYPERLINK("https://klasma.github.io/Logging_1737/kartor/A 41477-2024 karta.png", "A 41477-2024")</f>
        <v/>
      </c>
      <c r="V161">
        <f>HYPERLINK("https://klasma.github.io/Logging_1737/klagomål/A 41477-2024 FSC-klagomål.docx", "A 41477-2024")</f>
        <v/>
      </c>
      <c r="W161">
        <f>HYPERLINK("https://klasma.github.io/Logging_1737/klagomålsmail/A 41477-2024 FSC-klagomål mail.docx", "A 41477-2024")</f>
        <v/>
      </c>
      <c r="X161">
        <f>HYPERLINK("https://klasma.github.io/Logging_1737/tillsyn/A 41477-2024 tillsynsbegäran.docx", "A 41477-2024")</f>
        <v/>
      </c>
      <c r="Y161">
        <f>HYPERLINK("https://klasma.github.io/Logging_1737/tillsynsmail/A 41477-2024 tillsynsbegäran mail.docx", "A 41477-2024")</f>
        <v/>
      </c>
    </row>
    <row r="162" ht="15" customHeight="1">
      <c r="A162" t="inlineStr">
        <is>
          <t>A 47689-2024</t>
        </is>
      </c>
      <c r="B162" s="1" t="n">
        <v>45588</v>
      </c>
      <c r="C162" s="1" t="n">
        <v>45662</v>
      </c>
      <c r="D162" t="inlineStr">
        <is>
          <t>VÄRMLANDS LÄN</t>
        </is>
      </c>
      <c r="E162" t="inlineStr">
        <is>
          <t>TORSBY</t>
        </is>
      </c>
      <c r="G162" t="n">
        <v>3.1</v>
      </c>
      <c r="H162" t="n">
        <v>0</v>
      </c>
      <c r="I162" t="n">
        <v>0</v>
      </c>
      <c r="J162" t="n">
        <v>1</v>
      </c>
      <c r="K162" t="n">
        <v>0</v>
      </c>
      <c r="L162" t="n">
        <v>0</v>
      </c>
      <c r="M162" t="n">
        <v>0</v>
      </c>
      <c r="N162" t="n">
        <v>0</v>
      </c>
      <c r="O162" t="n">
        <v>1</v>
      </c>
      <c r="P162" t="n">
        <v>0</v>
      </c>
      <c r="Q162" t="n">
        <v>1</v>
      </c>
      <c r="R162" s="2" t="inlineStr">
        <is>
          <t>Garnlav</t>
        </is>
      </c>
      <c r="S162">
        <f>HYPERLINK("https://klasma.github.io/Logging_1737/artfynd/A 47689-2024 artfynd.xlsx", "A 47689-2024")</f>
        <v/>
      </c>
      <c r="T162">
        <f>HYPERLINK("https://klasma.github.io/Logging_1737/kartor/A 47689-2024 karta.png", "A 47689-2024")</f>
        <v/>
      </c>
      <c r="V162">
        <f>HYPERLINK("https://klasma.github.io/Logging_1737/klagomål/A 47689-2024 FSC-klagomål.docx", "A 47689-2024")</f>
        <v/>
      </c>
      <c r="W162">
        <f>HYPERLINK("https://klasma.github.io/Logging_1737/klagomålsmail/A 47689-2024 FSC-klagomål mail.docx", "A 47689-2024")</f>
        <v/>
      </c>
      <c r="X162">
        <f>HYPERLINK("https://klasma.github.io/Logging_1737/tillsyn/A 47689-2024 tillsynsbegäran.docx", "A 47689-2024")</f>
        <v/>
      </c>
      <c r="Y162">
        <f>HYPERLINK("https://klasma.github.io/Logging_1737/tillsynsmail/A 47689-2024 tillsynsbegäran mail.docx", "A 47689-2024")</f>
        <v/>
      </c>
    </row>
    <row r="163" ht="15" customHeight="1">
      <c r="A163" t="inlineStr">
        <is>
          <t>A 53862-2024</t>
        </is>
      </c>
      <c r="B163" s="1" t="n">
        <v>45615</v>
      </c>
      <c r="C163" s="1" t="n">
        <v>45662</v>
      </c>
      <c r="D163" t="inlineStr">
        <is>
          <t>VÄRMLANDS LÄN</t>
        </is>
      </c>
      <c r="E163" t="inlineStr">
        <is>
          <t>TORSBY</t>
        </is>
      </c>
      <c r="G163" t="n">
        <v>3.4</v>
      </c>
      <c r="H163" t="n">
        <v>0</v>
      </c>
      <c r="I163" t="n">
        <v>0</v>
      </c>
      <c r="J163" t="n">
        <v>1</v>
      </c>
      <c r="K163" t="n">
        <v>0</v>
      </c>
      <c r="L163" t="n">
        <v>0</v>
      </c>
      <c r="M163" t="n">
        <v>0</v>
      </c>
      <c r="N163" t="n">
        <v>0</v>
      </c>
      <c r="O163" t="n">
        <v>1</v>
      </c>
      <c r="P163" t="n">
        <v>0</v>
      </c>
      <c r="Q163" t="n">
        <v>1</v>
      </c>
      <c r="R163" s="2" t="inlineStr">
        <is>
          <t>Kolflarnlav</t>
        </is>
      </c>
      <c r="S163">
        <f>HYPERLINK("https://klasma.github.io/Logging_1737/artfynd/A 53862-2024 artfynd.xlsx", "A 53862-2024")</f>
        <v/>
      </c>
      <c r="T163">
        <f>HYPERLINK("https://klasma.github.io/Logging_1737/kartor/A 53862-2024 karta.png", "A 53862-2024")</f>
        <v/>
      </c>
      <c r="V163">
        <f>HYPERLINK("https://klasma.github.io/Logging_1737/klagomål/A 53862-2024 FSC-klagomål.docx", "A 53862-2024")</f>
        <v/>
      </c>
      <c r="W163">
        <f>HYPERLINK("https://klasma.github.io/Logging_1737/klagomålsmail/A 53862-2024 FSC-klagomål mail.docx", "A 53862-2024")</f>
        <v/>
      </c>
      <c r="X163">
        <f>HYPERLINK("https://klasma.github.io/Logging_1737/tillsyn/A 53862-2024 tillsynsbegäran.docx", "A 53862-2024")</f>
        <v/>
      </c>
      <c r="Y163">
        <f>HYPERLINK("https://klasma.github.io/Logging_1737/tillsynsmail/A 53862-2024 tillsynsbegäran mail.docx", "A 53862-2024")</f>
        <v/>
      </c>
    </row>
    <row r="164" ht="15" customHeight="1">
      <c r="A164" t="inlineStr">
        <is>
          <t>A 54009-2024</t>
        </is>
      </c>
      <c r="B164" s="1" t="n">
        <v>45616</v>
      </c>
      <c r="C164" s="1" t="n">
        <v>45662</v>
      </c>
      <c r="D164" t="inlineStr">
        <is>
          <t>VÄRMLANDS LÄN</t>
        </is>
      </c>
      <c r="E164" t="inlineStr">
        <is>
          <t>TORSBY</t>
        </is>
      </c>
      <c r="F164" t="inlineStr">
        <is>
          <t>Bergvik skog väst AB</t>
        </is>
      </c>
      <c r="G164" t="n">
        <v>8.800000000000001</v>
      </c>
      <c r="H164" t="n">
        <v>1</v>
      </c>
      <c r="I164" t="n">
        <v>1</v>
      </c>
      <c r="J164" t="n">
        <v>0</v>
      </c>
      <c r="K164" t="n">
        <v>0</v>
      </c>
      <c r="L164" t="n">
        <v>0</v>
      </c>
      <c r="M164" t="n">
        <v>0</v>
      </c>
      <c r="N164" t="n">
        <v>0</v>
      </c>
      <c r="O164" t="n">
        <v>0</v>
      </c>
      <c r="P164" t="n">
        <v>0</v>
      </c>
      <c r="Q164" t="n">
        <v>1</v>
      </c>
      <c r="R164" s="2" t="inlineStr">
        <is>
          <t>Korallrot</t>
        </is>
      </c>
      <c r="S164">
        <f>HYPERLINK("https://klasma.github.io/Logging_1737/artfynd/A 54009-2024 artfynd.xlsx", "A 54009-2024")</f>
        <v/>
      </c>
      <c r="T164">
        <f>HYPERLINK("https://klasma.github.io/Logging_1737/kartor/A 54009-2024 karta.png", "A 54009-2024")</f>
        <v/>
      </c>
      <c r="V164">
        <f>HYPERLINK("https://klasma.github.io/Logging_1737/klagomål/A 54009-2024 FSC-klagomål.docx", "A 54009-2024")</f>
        <v/>
      </c>
      <c r="W164">
        <f>HYPERLINK("https://klasma.github.io/Logging_1737/klagomålsmail/A 54009-2024 FSC-klagomål mail.docx", "A 54009-2024")</f>
        <v/>
      </c>
      <c r="X164">
        <f>HYPERLINK("https://klasma.github.io/Logging_1737/tillsyn/A 54009-2024 tillsynsbegäran.docx", "A 54009-2024")</f>
        <v/>
      </c>
      <c r="Y164">
        <f>HYPERLINK("https://klasma.github.io/Logging_1737/tillsynsmail/A 54009-2024 tillsynsbegäran mail.docx", "A 54009-2024")</f>
        <v/>
      </c>
    </row>
    <row r="165" ht="15" customHeight="1">
      <c r="A165" t="inlineStr">
        <is>
          <t>A 54029-2024</t>
        </is>
      </c>
      <c r="B165" s="1" t="n">
        <v>45616</v>
      </c>
      <c r="C165" s="1" t="n">
        <v>45662</v>
      </c>
      <c r="D165" t="inlineStr">
        <is>
          <t>VÄRMLANDS LÄN</t>
        </is>
      </c>
      <c r="E165" t="inlineStr">
        <is>
          <t>TORSBY</t>
        </is>
      </c>
      <c r="G165" t="n">
        <v>10.2</v>
      </c>
      <c r="H165" t="n">
        <v>0</v>
      </c>
      <c r="I165" t="n">
        <v>1</v>
      </c>
      <c r="J165" t="n">
        <v>0</v>
      </c>
      <c r="K165" t="n">
        <v>0</v>
      </c>
      <c r="L165" t="n">
        <v>0</v>
      </c>
      <c r="M165" t="n">
        <v>0</v>
      </c>
      <c r="N165" t="n">
        <v>0</v>
      </c>
      <c r="O165" t="n">
        <v>0</v>
      </c>
      <c r="P165" t="n">
        <v>0</v>
      </c>
      <c r="Q165" t="n">
        <v>1</v>
      </c>
      <c r="R165" s="2" t="inlineStr">
        <is>
          <t>Vedticka</t>
        </is>
      </c>
      <c r="S165">
        <f>HYPERLINK("https://klasma.github.io/Logging_1737/artfynd/A 54029-2024 artfynd.xlsx", "A 54029-2024")</f>
        <v/>
      </c>
      <c r="T165">
        <f>HYPERLINK("https://klasma.github.io/Logging_1737/kartor/A 54029-2024 karta.png", "A 54029-2024")</f>
        <v/>
      </c>
      <c r="V165">
        <f>HYPERLINK("https://klasma.github.io/Logging_1737/klagomål/A 54029-2024 FSC-klagomål.docx", "A 54029-2024")</f>
        <v/>
      </c>
      <c r="W165">
        <f>HYPERLINK("https://klasma.github.io/Logging_1737/klagomålsmail/A 54029-2024 FSC-klagomål mail.docx", "A 54029-2024")</f>
        <v/>
      </c>
      <c r="X165">
        <f>HYPERLINK("https://klasma.github.io/Logging_1737/tillsyn/A 54029-2024 tillsynsbegäran.docx", "A 54029-2024")</f>
        <v/>
      </c>
      <c r="Y165">
        <f>HYPERLINK("https://klasma.github.io/Logging_1737/tillsynsmail/A 54029-2024 tillsynsbegäran mail.docx", "A 54029-2024")</f>
        <v/>
      </c>
    </row>
    <row r="166" ht="15" customHeight="1">
      <c r="A166" t="inlineStr">
        <is>
          <t>A 54788-2024</t>
        </is>
      </c>
      <c r="B166" s="1" t="n">
        <v>45618</v>
      </c>
      <c r="C166" s="1" t="n">
        <v>45662</v>
      </c>
      <c r="D166" t="inlineStr">
        <is>
          <t>VÄRMLANDS LÄN</t>
        </is>
      </c>
      <c r="E166" t="inlineStr">
        <is>
          <t>TORSBY</t>
        </is>
      </c>
      <c r="G166" t="n">
        <v>2.4</v>
      </c>
      <c r="H166" t="n">
        <v>0</v>
      </c>
      <c r="I166" t="n">
        <v>0</v>
      </c>
      <c r="J166" t="n">
        <v>1</v>
      </c>
      <c r="K166" t="n">
        <v>0</v>
      </c>
      <c r="L166" t="n">
        <v>0</v>
      </c>
      <c r="M166" t="n">
        <v>0</v>
      </c>
      <c r="N166" t="n">
        <v>0</v>
      </c>
      <c r="O166" t="n">
        <v>1</v>
      </c>
      <c r="P166" t="n">
        <v>0</v>
      </c>
      <c r="Q166" t="n">
        <v>1</v>
      </c>
      <c r="R166" s="2" t="inlineStr">
        <is>
          <t>Mörk kolflarnlav</t>
        </is>
      </c>
      <c r="S166">
        <f>HYPERLINK("https://klasma.github.io/Logging_1737/artfynd/A 54788-2024 artfynd.xlsx", "A 54788-2024")</f>
        <v/>
      </c>
      <c r="T166">
        <f>HYPERLINK("https://klasma.github.io/Logging_1737/kartor/A 54788-2024 karta.png", "A 54788-2024")</f>
        <v/>
      </c>
      <c r="V166">
        <f>HYPERLINK("https://klasma.github.io/Logging_1737/klagomål/A 54788-2024 FSC-klagomål.docx", "A 54788-2024")</f>
        <v/>
      </c>
      <c r="W166">
        <f>HYPERLINK("https://klasma.github.io/Logging_1737/klagomålsmail/A 54788-2024 FSC-klagomål mail.docx", "A 54788-2024")</f>
        <v/>
      </c>
      <c r="X166">
        <f>HYPERLINK("https://klasma.github.io/Logging_1737/tillsyn/A 54788-2024 tillsynsbegäran.docx", "A 54788-2024")</f>
        <v/>
      </c>
      <c r="Y166">
        <f>HYPERLINK("https://klasma.github.io/Logging_1737/tillsynsmail/A 54788-2024 tillsynsbegäran mail.docx", "A 54788-2024")</f>
        <v/>
      </c>
    </row>
    <row r="167" ht="15" customHeight="1">
      <c r="A167" t="inlineStr">
        <is>
          <t>A 54786-2024</t>
        </is>
      </c>
      <c r="B167" s="1" t="n">
        <v>45618</v>
      </c>
      <c r="C167" s="1" t="n">
        <v>45662</v>
      </c>
      <c r="D167" t="inlineStr">
        <is>
          <t>VÄRMLANDS LÄN</t>
        </is>
      </c>
      <c r="E167" t="inlineStr">
        <is>
          <t>TORSBY</t>
        </is>
      </c>
      <c r="G167" t="n">
        <v>3.8</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54786-2024 artfynd.xlsx", "A 54786-2024")</f>
        <v/>
      </c>
      <c r="T167">
        <f>HYPERLINK("https://klasma.github.io/Logging_1737/kartor/A 54786-2024 karta.png", "A 54786-2024")</f>
        <v/>
      </c>
      <c r="V167">
        <f>HYPERLINK("https://klasma.github.io/Logging_1737/klagomål/A 54786-2024 FSC-klagomål.docx", "A 54786-2024")</f>
        <v/>
      </c>
      <c r="W167">
        <f>HYPERLINK("https://klasma.github.io/Logging_1737/klagomålsmail/A 54786-2024 FSC-klagomål mail.docx", "A 54786-2024")</f>
        <v/>
      </c>
      <c r="X167">
        <f>HYPERLINK("https://klasma.github.io/Logging_1737/tillsyn/A 54786-2024 tillsynsbegäran.docx", "A 54786-2024")</f>
        <v/>
      </c>
      <c r="Y167">
        <f>HYPERLINK("https://klasma.github.io/Logging_1737/tillsynsmail/A 54786-2024 tillsynsbegäran mail.docx", "A 54786-2024")</f>
        <v/>
      </c>
    </row>
    <row r="168" ht="15" customHeight="1">
      <c r="A168" t="inlineStr">
        <is>
          <t>A 56133-2024</t>
        </is>
      </c>
      <c r="B168" s="1" t="n">
        <v>45624</v>
      </c>
      <c r="C168" s="1" t="n">
        <v>45662</v>
      </c>
      <c r="D168" t="inlineStr">
        <is>
          <t>VÄRMLANDS LÄN</t>
        </is>
      </c>
      <c r="E168" t="inlineStr">
        <is>
          <t>TORSBY</t>
        </is>
      </c>
      <c r="G168" t="n">
        <v>2.4</v>
      </c>
      <c r="H168" t="n">
        <v>0</v>
      </c>
      <c r="I168" t="n">
        <v>1</v>
      </c>
      <c r="J168" t="n">
        <v>0</v>
      </c>
      <c r="K168" t="n">
        <v>0</v>
      </c>
      <c r="L168" t="n">
        <v>0</v>
      </c>
      <c r="M168" t="n">
        <v>0</v>
      </c>
      <c r="N168" t="n">
        <v>0</v>
      </c>
      <c r="O168" t="n">
        <v>0</v>
      </c>
      <c r="P168" t="n">
        <v>0</v>
      </c>
      <c r="Q168" t="n">
        <v>1</v>
      </c>
      <c r="R168" s="2" t="inlineStr">
        <is>
          <t>Vedticka</t>
        </is>
      </c>
      <c r="S168">
        <f>HYPERLINK("https://klasma.github.io/Logging_1737/artfynd/A 56133-2024 artfynd.xlsx", "A 56133-2024")</f>
        <v/>
      </c>
      <c r="T168">
        <f>HYPERLINK("https://klasma.github.io/Logging_1737/kartor/A 56133-2024 karta.png", "A 56133-2024")</f>
        <v/>
      </c>
      <c r="V168">
        <f>HYPERLINK("https://klasma.github.io/Logging_1737/klagomål/A 56133-2024 FSC-klagomål.docx", "A 56133-2024")</f>
        <v/>
      </c>
      <c r="W168">
        <f>HYPERLINK("https://klasma.github.io/Logging_1737/klagomålsmail/A 56133-2024 FSC-klagomål mail.docx", "A 56133-2024")</f>
        <v/>
      </c>
      <c r="X168">
        <f>HYPERLINK("https://klasma.github.io/Logging_1737/tillsyn/A 56133-2024 tillsynsbegäran.docx", "A 56133-2024")</f>
        <v/>
      </c>
      <c r="Y168">
        <f>HYPERLINK("https://klasma.github.io/Logging_1737/tillsynsmail/A 56133-2024 tillsynsbegäran mail.docx", "A 56133-2024")</f>
        <v/>
      </c>
    </row>
    <row r="169" ht="15" customHeight="1">
      <c r="A169" t="inlineStr">
        <is>
          <t>A 56990-2024</t>
        </is>
      </c>
      <c r="B169" s="1" t="n">
        <v>45628</v>
      </c>
      <c r="C169" s="1" t="n">
        <v>45662</v>
      </c>
      <c r="D169" t="inlineStr">
        <is>
          <t>VÄRMLANDS LÄN</t>
        </is>
      </c>
      <c r="E169" t="inlineStr">
        <is>
          <t>TORSBY</t>
        </is>
      </c>
      <c r="F169" t="inlineStr">
        <is>
          <t>Bergvik skog väst AB</t>
        </is>
      </c>
      <c r="G169" t="n">
        <v>8.699999999999999</v>
      </c>
      <c r="H169" t="n">
        <v>1</v>
      </c>
      <c r="I169" t="n">
        <v>0</v>
      </c>
      <c r="J169" t="n">
        <v>1</v>
      </c>
      <c r="K169" t="n">
        <v>0</v>
      </c>
      <c r="L169" t="n">
        <v>0</v>
      </c>
      <c r="M169" t="n">
        <v>0</v>
      </c>
      <c r="N169" t="n">
        <v>0</v>
      </c>
      <c r="O169" t="n">
        <v>1</v>
      </c>
      <c r="P169" t="n">
        <v>0</v>
      </c>
      <c r="Q169" t="n">
        <v>1</v>
      </c>
      <c r="R169" s="2" t="inlineStr">
        <is>
          <t>Grönsångare</t>
        </is>
      </c>
      <c r="S169">
        <f>HYPERLINK("https://klasma.github.io/Logging_1737/artfynd/A 56990-2024 artfynd.xlsx", "A 56990-2024")</f>
        <v/>
      </c>
      <c r="T169">
        <f>HYPERLINK("https://klasma.github.io/Logging_1737/kartor/A 56990-2024 karta.png", "A 56990-2024")</f>
        <v/>
      </c>
      <c r="V169">
        <f>HYPERLINK("https://klasma.github.io/Logging_1737/klagomål/A 56990-2024 FSC-klagomål.docx", "A 56990-2024")</f>
        <v/>
      </c>
      <c r="W169">
        <f>HYPERLINK("https://klasma.github.io/Logging_1737/klagomålsmail/A 56990-2024 FSC-klagomål mail.docx", "A 56990-2024")</f>
        <v/>
      </c>
      <c r="X169">
        <f>HYPERLINK("https://klasma.github.io/Logging_1737/tillsyn/A 56990-2024 tillsynsbegäran.docx", "A 56990-2024")</f>
        <v/>
      </c>
      <c r="Y169">
        <f>HYPERLINK("https://klasma.github.io/Logging_1737/tillsynsmail/A 56990-2024 tillsynsbegäran mail.docx", "A 56990-2024")</f>
        <v/>
      </c>
      <c r="Z169">
        <f>HYPERLINK("https://klasma.github.io/Logging_1737/fåglar/A 56990-2024 prioriterade fågelarter.docx", "A 56990-2024")</f>
        <v/>
      </c>
    </row>
    <row r="170" ht="15" customHeight="1">
      <c r="A170" t="inlineStr">
        <is>
          <t>A 58014-2024</t>
        </is>
      </c>
      <c r="B170" s="1" t="n">
        <v>45631</v>
      </c>
      <c r="C170" s="1" t="n">
        <v>45662</v>
      </c>
      <c r="D170" t="inlineStr">
        <is>
          <t>VÄRMLANDS LÄN</t>
        </is>
      </c>
      <c r="E170" t="inlineStr">
        <is>
          <t>TORSBY</t>
        </is>
      </c>
      <c r="G170" t="n">
        <v>2.2</v>
      </c>
      <c r="H170" t="n">
        <v>0</v>
      </c>
      <c r="I170" t="n">
        <v>1</v>
      </c>
      <c r="J170" t="n">
        <v>0</v>
      </c>
      <c r="K170" t="n">
        <v>0</v>
      </c>
      <c r="L170" t="n">
        <v>0</v>
      </c>
      <c r="M170" t="n">
        <v>0</v>
      </c>
      <c r="N170" t="n">
        <v>0</v>
      </c>
      <c r="O170" t="n">
        <v>0</v>
      </c>
      <c r="P170" t="n">
        <v>0</v>
      </c>
      <c r="Q170" t="n">
        <v>1</v>
      </c>
      <c r="R170" s="2" t="inlineStr">
        <is>
          <t>Kattfotslav</t>
        </is>
      </c>
      <c r="S170">
        <f>HYPERLINK("https://klasma.github.io/Logging_1737/artfynd/A 58014-2024 artfynd.xlsx", "A 58014-2024")</f>
        <v/>
      </c>
      <c r="T170">
        <f>HYPERLINK("https://klasma.github.io/Logging_1737/kartor/A 58014-2024 karta.png", "A 58014-2024")</f>
        <v/>
      </c>
      <c r="V170">
        <f>HYPERLINK("https://klasma.github.io/Logging_1737/klagomål/A 58014-2024 FSC-klagomål.docx", "A 58014-2024")</f>
        <v/>
      </c>
      <c r="W170">
        <f>HYPERLINK("https://klasma.github.io/Logging_1737/klagomålsmail/A 58014-2024 FSC-klagomål mail.docx", "A 58014-2024")</f>
        <v/>
      </c>
      <c r="X170">
        <f>HYPERLINK("https://klasma.github.io/Logging_1737/tillsyn/A 58014-2024 tillsynsbegäran.docx", "A 58014-2024")</f>
        <v/>
      </c>
      <c r="Y170">
        <f>HYPERLINK("https://klasma.github.io/Logging_1737/tillsynsmail/A 58014-2024 tillsynsbegäran mail.docx", "A 58014-2024")</f>
        <v/>
      </c>
    </row>
    <row r="171" ht="15" customHeight="1">
      <c r="A171" t="inlineStr">
        <is>
          <t>A 17808-2019</t>
        </is>
      </c>
      <c r="B171" s="1" t="n">
        <v>43556</v>
      </c>
      <c r="C171" s="1" t="n">
        <v>45662</v>
      </c>
      <c r="D171" t="inlineStr">
        <is>
          <t>VÄRMLANDS LÄN</t>
        </is>
      </c>
      <c r="E171" t="inlineStr">
        <is>
          <t>TORSBY</t>
        </is>
      </c>
      <c r="G171" t="n">
        <v>2.1</v>
      </c>
      <c r="H171" t="n">
        <v>0</v>
      </c>
      <c r="I171" t="n">
        <v>0</v>
      </c>
      <c r="J171" t="n">
        <v>0</v>
      </c>
      <c r="K171" t="n">
        <v>0</v>
      </c>
      <c r="L171" t="n">
        <v>0</v>
      </c>
      <c r="M171" t="n">
        <v>0</v>
      </c>
      <c r="N171" t="n">
        <v>0</v>
      </c>
      <c r="O171" t="n">
        <v>0</v>
      </c>
      <c r="P171" t="n">
        <v>0</v>
      </c>
      <c r="Q171" t="n">
        <v>0</v>
      </c>
      <c r="R171" s="2" t="inlineStr"/>
    </row>
    <row r="172" ht="15" customHeight="1">
      <c r="A172" t="inlineStr">
        <is>
          <t>A 17788-2019</t>
        </is>
      </c>
      <c r="B172" s="1" t="n">
        <v>43556</v>
      </c>
      <c r="C172" s="1" t="n">
        <v>45662</v>
      </c>
      <c r="D172" t="inlineStr">
        <is>
          <t>VÄRMLANDS LÄN</t>
        </is>
      </c>
      <c r="E172" t="inlineStr">
        <is>
          <t>TORSBY</t>
        </is>
      </c>
      <c r="G172" t="n">
        <v>2.3</v>
      </c>
      <c r="H172" t="n">
        <v>0</v>
      </c>
      <c r="I172" t="n">
        <v>0</v>
      </c>
      <c r="J172" t="n">
        <v>0</v>
      </c>
      <c r="K172" t="n">
        <v>0</v>
      </c>
      <c r="L172" t="n">
        <v>0</v>
      </c>
      <c r="M172" t="n">
        <v>0</v>
      </c>
      <c r="N172" t="n">
        <v>0</v>
      </c>
      <c r="O172" t="n">
        <v>0</v>
      </c>
      <c r="P172" t="n">
        <v>0</v>
      </c>
      <c r="Q172" t="n">
        <v>0</v>
      </c>
      <c r="R172" s="2" t="inlineStr"/>
    </row>
    <row r="173" ht="15" customHeight="1">
      <c r="A173" t="inlineStr">
        <is>
          <t>A 17957-2019</t>
        </is>
      </c>
      <c r="B173" s="1" t="n">
        <v>43557</v>
      </c>
      <c r="C173" s="1" t="n">
        <v>45662</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17864-2019</t>
        </is>
      </c>
      <c r="B174" s="1" t="n">
        <v>43557</v>
      </c>
      <c r="C174" s="1" t="n">
        <v>45662</v>
      </c>
      <c r="D174" t="inlineStr">
        <is>
          <t>VÄRMLANDS LÄN</t>
        </is>
      </c>
      <c r="E174" t="inlineStr">
        <is>
          <t>TORSBY</t>
        </is>
      </c>
      <c r="G174" t="n">
        <v>1.4</v>
      </c>
      <c r="H174" t="n">
        <v>0</v>
      </c>
      <c r="I174" t="n">
        <v>0</v>
      </c>
      <c r="J174" t="n">
        <v>0</v>
      </c>
      <c r="K174" t="n">
        <v>0</v>
      </c>
      <c r="L174" t="n">
        <v>0</v>
      </c>
      <c r="M174" t="n">
        <v>0</v>
      </c>
      <c r="N174" t="n">
        <v>0</v>
      </c>
      <c r="O174" t="n">
        <v>0</v>
      </c>
      <c r="P174" t="n">
        <v>0</v>
      </c>
      <c r="Q174" t="n">
        <v>0</v>
      </c>
      <c r="R174" s="2" t="inlineStr"/>
    </row>
    <row r="175" ht="15" customHeight="1">
      <c r="A175" t="inlineStr">
        <is>
          <t>A 18551-2019</t>
        </is>
      </c>
      <c r="B175" s="1" t="n">
        <v>43559</v>
      </c>
      <c r="C175" s="1" t="n">
        <v>45662</v>
      </c>
      <c r="D175" t="inlineStr">
        <is>
          <t>VÄRMLANDS LÄN</t>
        </is>
      </c>
      <c r="E175" t="inlineStr">
        <is>
          <t>TORSBY</t>
        </is>
      </c>
      <c r="G175" t="n">
        <v>1.5</v>
      </c>
      <c r="H175" t="n">
        <v>0</v>
      </c>
      <c r="I175" t="n">
        <v>0</v>
      </c>
      <c r="J175" t="n">
        <v>0</v>
      </c>
      <c r="K175" t="n">
        <v>0</v>
      </c>
      <c r="L175" t="n">
        <v>0</v>
      </c>
      <c r="M175" t="n">
        <v>0</v>
      </c>
      <c r="N175" t="n">
        <v>0</v>
      </c>
      <c r="O175" t="n">
        <v>0</v>
      </c>
      <c r="P175" t="n">
        <v>0</v>
      </c>
      <c r="Q175" t="n">
        <v>0</v>
      </c>
      <c r="R175" s="2" t="inlineStr"/>
    </row>
    <row r="176" ht="15" customHeight="1">
      <c r="A176" t="inlineStr">
        <is>
          <t>A 18947-2019</t>
        </is>
      </c>
      <c r="B176" s="1" t="n">
        <v>43563</v>
      </c>
      <c r="C176" s="1" t="n">
        <v>45662</v>
      </c>
      <c r="D176" t="inlineStr">
        <is>
          <t>VÄRMLANDS LÄN</t>
        </is>
      </c>
      <c r="E176" t="inlineStr">
        <is>
          <t>TORSBY</t>
        </is>
      </c>
      <c r="G176" t="n">
        <v>7.6</v>
      </c>
      <c r="H176" t="n">
        <v>0</v>
      </c>
      <c r="I176" t="n">
        <v>0</v>
      </c>
      <c r="J176" t="n">
        <v>0</v>
      </c>
      <c r="K176" t="n">
        <v>0</v>
      </c>
      <c r="L176" t="n">
        <v>0</v>
      </c>
      <c r="M176" t="n">
        <v>0</v>
      </c>
      <c r="N176" t="n">
        <v>0</v>
      </c>
      <c r="O176" t="n">
        <v>0</v>
      </c>
      <c r="P176" t="n">
        <v>0</v>
      </c>
      <c r="Q176" t="n">
        <v>0</v>
      </c>
      <c r="R176" s="2" t="inlineStr"/>
    </row>
    <row r="177" ht="15" customHeight="1">
      <c r="A177" t="inlineStr">
        <is>
          <t>A 19974-2019</t>
        </is>
      </c>
      <c r="B177" s="1" t="n">
        <v>43564</v>
      </c>
      <c r="C177" s="1" t="n">
        <v>45662</v>
      </c>
      <c r="D177" t="inlineStr">
        <is>
          <t>VÄRMLANDS LÄN</t>
        </is>
      </c>
      <c r="E177" t="inlineStr">
        <is>
          <t>TORSBY</t>
        </is>
      </c>
      <c r="G177" t="n">
        <v>5.1</v>
      </c>
      <c r="H177" t="n">
        <v>0</v>
      </c>
      <c r="I177" t="n">
        <v>0</v>
      </c>
      <c r="J177" t="n">
        <v>0</v>
      </c>
      <c r="K177" t="n">
        <v>0</v>
      </c>
      <c r="L177" t="n">
        <v>0</v>
      </c>
      <c r="M177" t="n">
        <v>0</v>
      </c>
      <c r="N177" t="n">
        <v>0</v>
      </c>
      <c r="O177" t="n">
        <v>0</v>
      </c>
      <c r="P177" t="n">
        <v>0</v>
      </c>
      <c r="Q177" t="n">
        <v>0</v>
      </c>
      <c r="R177" s="2" t="inlineStr"/>
    </row>
    <row r="178" ht="15" customHeight="1">
      <c r="A178" t="inlineStr">
        <is>
          <t>A 19125-2019</t>
        </is>
      </c>
      <c r="B178" s="1" t="n">
        <v>43564</v>
      </c>
      <c r="C178" s="1" t="n">
        <v>45662</v>
      </c>
      <c r="D178" t="inlineStr">
        <is>
          <t>VÄRMLANDS LÄN</t>
        </is>
      </c>
      <c r="E178" t="inlineStr">
        <is>
          <t>TORSBY</t>
        </is>
      </c>
      <c r="G178" t="n">
        <v>18.3</v>
      </c>
      <c r="H178" t="n">
        <v>0</v>
      </c>
      <c r="I178" t="n">
        <v>0</v>
      </c>
      <c r="J178" t="n">
        <v>0</v>
      </c>
      <c r="K178" t="n">
        <v>0</v>
      </c>
      <c r="L178" t="n">
        <v>0</v>
      </c>
      <c r="M178" t="n">
        <v>0</v>
      </c>
      <c r="N178" t="n">
        <v>0</v>
      </c>
      <c r="O178" t="n">
        <v>0</v>
      </c>
      <c r="P178" t="n">
        <v>0</v>
      </c>
      <c r="Q178" t="n">
        <v>0</v>
      </c>
      <c r="R178" s="2" t="inlineStr"/>
    </row>
    <row r="179" ht="15" customHeight="1">
      <c r="A179" t="inlineStr">
        <is>
          <t>A 19591-2019</t>
        </is>
      </c>
      <c r="B179" s="1" t="n">
        <v>43566</v>
      </c>
      <c r="C179" s="1" t="n">
        <v>45662</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20167-2019</t>
        </is>
      </c>
      <c r="B180" s="1" t="n">
        <v>43570</v>
      </c>
      <c r="C180" s="1" t="n">
        <v>45662</v>
      </c>
      <c r="D180" t="inlineStr">
        <is>
          <t>VÄRMLANDS LÄN</t>
        </is>
      </c>
      <c r="E180" t="inlineStr">
        <is>
          <t>TORSBY</t>
        </is>
      </c>
      <c r="G180" t="n">
        <v>5</v>
      </c>
      <c r="H180" t="n">
        <v>0</v>
      </c>
      <c r="I180" t="n">
        <v>0</v>
      </c>
      <c r="J180" t="n">
        <v>0</v>
      </c>
      <c r="K180" t="n">
        <v>0</v>
      </c>
      <c r="L180" t="n">
        <v>0</v>
      </c>
      <c r="M180" t="n">
        <v>0</v>
      </c>
      <c r="N180" t="n">
        <v>0</v>
      </c>
      <c r="O180" t="n">
        <v>0</v>
      </c>
      <c r="P180" t="n">
        <v>0</v>
      </c>
      <c r="Q180" t="n">
        <v>0</v>
      </c>
      <c r="R180" s="2" t="inlineStr"/>
    </row>
    <row r="181" ht="15" customHeight="1">
      <c r="A181" t="inlineStr">
        <is>
          <t>A 20190-2019</t>
        </is>
      </c>
      <c r="B181" s="1" t="n">
        <v>43570</v>
      </c>
      <c r="C181" s="1" t="n">
        <v>45662</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20244-2019</t>
        </is>
      </c>
      <c r="B182" s="1" t="n">
        <v>43571</v>
      </c>
      <c r="C182" s="1" t="n">
        <v>45662</v>
      </c>
      <c r="D182" t="inlineStr">
        <is>
          <t>VÄRMLANDS LÄN</t>
        </is>
      </c>
      <c r="E182" t="inlineStr">
        <is>
          <t>TORSBY</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20616-2019</t>
        </is>
      </c>
      <c r="B183" s="1" t="n">
        <v>43572</v>
      </c>
      <c r="C183" s="1" t="n">
        <v>45662</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20468-2019</t>
        </is>
      </c>
      <c r="B184" s="1" t="n">
        <v>43572</v>
      </c>
      <c r="C184" s="1" t="n">
        <v>45662</v>
      </c>
      <c r="D184" t="inlineStr">
        <is>
          <t>VÄRMLANDS LÄN</t>
        </is>
      </c>
      <c r="E184" t="inlineStr">
        <is>
          <t>TORSBY</t>
        </is>
      </c>
      <c r="G184" t="n">
        <v>2.9</v>
      </c>
      <c r="H184" t="n">
        <v>0</v>
      </c>
      <c r="I184" t="n">
        <v>0</v>
      </c>
      <c r="J184" t="n">
        <v>0</v>
      </c>
      <c r="K184" t="n">
        <v>0</v>
      </c>
      <c r="L184" t="n">
        <v>0</v>
      </c>
      <c r="M184" t="n">
        <v>0</v>
      </c>
      <c r="N184" t="n">
        <v>0</v>
      </c>
      <c r="O184" t="n">
        <v>0</v>
      </c>
      <c r="P184" t="n">
        <v>0</v>
      </c>
      <c r="Q184" t="n">
        <v>0</v>
      </c>
      <c r="R184" s="2" t="inlineStr"/>
    </row>
    <row r="185" ht="15" customHeight="1">
      <c r="A185" t="inlineStr">
        <is>
          <t>A 21166-2019</t>
        </is>
      </c>
      <c r="B185" s="1" t="n">
        <v>43578</v>
      </c>
      <c r="C185" s="1" t="n">
        <v>45662</v>
      </c>
      <c r="D185" t="inlineStr">
        <is>
          <t>VÄRMLANDS LÄN</t>
        </is>
      </c>
      <c r="E185" t="inlineStr">
        <is>
          <t>TORSBY</t>
        </is>
      </c>
      <c r="G185" t="n">
        <v>3.4</v>
      </c>
      <c r="H185" t="n">
        <v>0</v>
      </c>
      <c r="I185" t="n">
        <v>0</v>
      </c>
      <c r="J185" t="n">
        <v>0</v>
      </c>
      <c r="K185" t="n">
        <v>0</v>
      </c>
      <c r="L185" t="n">
        <v>0</v>
      </c>
      <c r="M185" t="n">
        <v>0</v>
      </c>
      <c r="N185" t="n">
        <v>0</v>
      </c>
      <c r="O185" t="n">
        <v>0</v>
      </c>
      <c r="P185" t="n">
        <v>0</v>
      </c>
      <c r="Q185" t="n">
        <v>0</v>
      </c>
      <c r="R185" s="2" t="inlineStr"/>
    </row>
    <row r="186" ht="15" customHeight="1">
      <c r="A186" t="inlineStr">
        <is>
          <t>A 21387-2019</t>
        </is>
      </c>
      <c r="B186" s="1" t="n">
        <v>43580</v>
      </c>
      <c r="C186" s="1" t="n">
        <v>45662</v>
      </c>
      <c r="D186" t="inlineStr">
        <is>
          <t>VÄRMLANDS LÄN</t>
        </is>
      </c>
      <c r="E186" t="inlineStr">
        <is>
          <t>TORSBY</t>
        </is>
      </c>
      <c r="G186" t="n">
        <v>2.4</v>
      </c>
      <c r="H186" t="n">
        <v>0</v>
      </c>
      <c r="I186" t="n">
        <v>0</v>
      </c>
      <c r="J186" t="n">
        <v>0</v>
      </c>
      <c r="K186" t="n">
        <v>0</v>
      </c>
      <c r="L186" t="n">
        <v>0</v>
      </c>
      <c r="M186" t="n">
        <v>0</v>
      </c>
      <c r="N186" t="n">
        <v>0</v>
      </c>
      <c r="O186" t="n">
        <v>0</v>
      </c>
      <c r="P186" t="n">
        <v>0</v>
      </c>
      <c r="Q186" t="n">
        <v>0</v>
      </c>
      <c r="R186" s="2" t="inlineStr"/>
    </row>
    <row r="187" ht="15" customHeight="1">
      <c r="A187" t="inlineStr">
        <is>
          <t>A 21958-2019</t>
        </is>
      </c>
      <c r="B187" s="1" t="n">
        <v>43584</v>
      </c>
      <c r="C187" s="1" t="n">
        <v>45662</v>
      </c>
      <c r="D187" t="inlineStr">
        <is>
          <t>VÄRMLANDS LÄN</t>
        </is>
      </c>
      <c r="E187" t="inlineStr">
        <is>
          <t>TORSBY</t>
        </is>
      </c>
      <c r="G187" t="n">
        <v>3.5</v>
      </c>
      <c r="H187" t="n">
        <v>0</v>
      </c>
      <c r="I187" t="n">
        <v>0</v>
      </c>
      <c r="J187" t="n">
        <v>0</v>
      </c>
      <c r="K187" t="n">
        <v>0</v>
      </c>
      <c r="L187" t="n">
        <v>0</v>
      </c>
      <c r="M187" t="n">
        <v>0</v>
      </c>
      <c r="N187" t="n">
        <v>0</v>
      </c>
      <c r="O187" t="n">
        <v>0</v>
      </c>
      <c r="P187" t="n">
        <v>0</v>
      </c>
      <c r="Q187" t="n">
        <v>0</v>
      </c>
      <c r="R187" s="2" t="inlineStr"/>
    </row>
    <row r="188" ht="15" customHeight="1">
      <c r="A188" t="inlineStr">
        <is>
          <t>A 22252-2019</t>
        </is>
      </c>
      <c r="B188" s="1" t="n">
        <v>43585</v>
      </c>
      <c r="C188" s="1" t="n">
        <v>45662</v>
      </c>
      <c r="D188" t="inlineStr">
        <is>
          <t>VÄRMLANDS LÄN</t>
        </is>
      </c>
      <c r="E188" t="inlineStr">
        <is>
          <t>TORSBY</t>
        </is>
      </c>
      <c r="G188" t="n">
        <v>3.7</v>
      </c>
      <c r="H188" t="n">
        <v>0</v>
      </c>
      <c r="I188" t="n">
        <v>0</v>
      </c>
      <c r="J188" t="n">
        <v>0</v>
      </c>
      <c r="K188" t="n">
        <v>0</v>
      </c>
      <c r="L188" t="n">
        <v>0</v>
      </c>
      <c r="M188" t="n">
        <v>0</v>
      </c>
      <c r="N188" t="n">
        <v>0</v>
      </c>
      <c r="O188" t="n">
        <v>0</v>
      </c>
      <c r="P188" t="n">
        <v>0</v>
      </c>
      <c r="Q188" t="n">
        <v>0</v>
      </c>
      <c r="R188" s="2" t="inlineStr"/>
    </row>
    <row r="189" ht="15" customHeight="1">
      <c r="A189" t="inlineStr">
        <is>
          <t>A 22158-2019</t>
        </is>
      </c>
      <c r="B189" s="1" t="n">
        <v>43585</v>
      </c>
      <c r="C189" s="1" t="n">
        <v>45662</v>
      </c>
      <c r="D189" t="inlineStr">
        <is>
          <t>VÄRMLANDS LÄN</t>
        </is>
      </c>
      <c r="E189" t="inlineStr">
        <is>
          <t>TORSBY</t>
        </is>
      </c>
      <c r="G189" t="n">
        <v>4.5</v>
      </c>
      <c r="H189" t="n">
        <v>0</v>
      </c>
      <c r="I189" t="n">
        <v>0</v>
      </c>
      <c r="J189" t="n">
        <v>0</v>
      </c>
      <c r="K189" t="n">
        <v>0</v>
      </c>
      <c r="L189" t="n">
        <v>0</v>
      </c>
      <c r="M189" t="n">
        <v>0</v>
      </c>
      <c r="N189" t="n">
        <v>0</v>
      </c>
      <c r="O189" t="n">
        <v>0</v>
      </c>
      <c r="P189" t="n">
        <v>0</v>
      </c>
      <c r="Q189" t="n">
        <v>0</v>
      </c>
      <c r="R189" s="2" t="inlineStr"/>
    </row>
    <row r="190" ht="15" customHeight="1">
      <c r="A190" t="inlineStr">
        <is>
          <t>A 22416-2019</t>
        </is>
      </c>
      <c r="B190" s="1" t="n">
        <v>43587</v>
      </c>
      <c r="C190" s="1" t="n">
        <v>45662</v>
      </c>
      <c r="D190" t="inlineStr">
        <is>
          <t>VÄRMLANDS LÄN</t>
        </is>
      </c>
      <c r="E190" t="inlineStr">
        <is>
          <t>TORSBY</t>
        </is>
      </c>
      <c r="G190" t="n">
        <v>1.9</v>
      </c>
      <c r="H190" t="n">
        <v>0</v>
      </c>
      <c r="I190" t="n">
        <v>0</v>
      </c>
      <c r="J190" t="n">
        <v>0</v>
      </c>
      <c r="K190" t="n">
        <v>0</v>
      </c>
      <c r="L190" t="n">
        <v>0</v>
      </c>
      <c r="M190" t="n">
        <v>0</v>
      </c>
      <c r="N190" t="n">
        <v>0</v>
      </c>
      <c r="O190" t="n">
        <v>0</v>
      </c>
      <c r="P190" t="n">
        <v>0</v>
      </c>
      <c r="Q190" t="n">
        <v>0</v>
      </c>
      <c r="R190" s="2" t="inlineStr"/>
    </row>
    <row r="191" ht="15" customHeight="1">
      <c r="A191" t="inlineStr">
        <is>
          <t>A 22351-2019</t>
        </is>
      </c>
      <c r="B191" s="1" t="n">
        <v>43587</v>
      </c>
      <c r="C191" s="1" t="n">
        <v>45662</v>
      </c>
      <c r="D191" t="inlineStr">
        <is>
          <t>VÄRMLANDS LÄN</t>
        </is>
      </c>
      <c r="E191" t="inlineStr">
        <is>
          <t>TORSBY</t>
        </is>
      </c>
      <c r="G191" t="n">
        <v>4.3</v>
      </c>
      <c r="H191" t="n">
        <v>0</v>
      </c>
      <c r="I191" t="n">
        <v>0</v>
      </c>
      <c r="J191" t="n">
        <v>0</v>
      </c>
      <c r="K191" t="n">
        <v>0</v>
      </c>
      <c r="L191" t="n">
        <v>0</v>
      </c>
      <c r="M191" t="n">
        <v>0</v>
      </c>
      <c r="N191" t="n">
        <v>0</v>
      </c>
      <c r="O191" t="n">
        <v>0</v>
      </c>
      <c r="P191" t="n">
        <v>0</v>
      </c>
      <c r="Q191" t="n">
        <v>0</v>
      </c>
      <c r="R191" s="2" t="inlineStr"/>
    </row>
    <row r="192" ht="15" customHeight="1">
      <c r="A192" t="inlineStr">
        <is>
          <t>A 22692-2019</t>
        </is>
      </c>
      <c r="B192" s="1" t="n">
        <v>43588</v>
      </c>
      <c r="C192" s="1" t="n">
        <v>45662</v>
      </c>
      <c r="D192" t="inlineStr">
        <is>
          <t>VÄRMLANDS LÄN</t>
        </is>
      </c>
      <c r="E192" t="inlineStr">
        <is>
          <t>TORSBY</t>
        </is>
      </c>
      <c r="F192" t="inlineStr">
        <is>
          <t>Bergvik skog väst AB</t>
        </is>
      </c>
      <c r="G192" t="n">
        <v>5.4</v>
      </c>
      <c r="H192" t="n">
        <v>0</v>
      </c>
      <c r="I192" t="n">
        <v>0</v>
      </c>
      <c r="J192" t="n">
        <v>0</v>
      </c>
      <c r="K192" t="n">
        <v>0</v>
      </c>
      <c r="L192" t="n">
        <v>0</v>
      </c>
      <c r="M192" t="n">
        <v>0</v>
      </c>
      <c r="N192" t="n">
        <v>0</v>
      </c>
      <c r="O192" t="n">
        <v>0</v>
      </c>
      <c r="P192" t="n">
        <v>0</v>
      </c>
      <c r="Q192" t="n">
        <v>0</v>
      </c>
      <c r="R192" s="2" t="inlineStr"/>
    </row>
    <row r="193" ht="15" customHeight="1">
      <c r="A193" t="inlineStr">
        <is>
          <t>A 22717-2019</t>
        </is>
      </c>
      <c r="B193" s="1" t="n">
        <v>43588</v>
      </c>
      <c r="C193" s="1" t="n">
        <v>45662</v>
      </c>
      <c r="D193" t="inlineStr">
        <is>
          <t>VÄRMLANDS LÄN</t>
        </is>
      </c>
      <c r="E193" t="inlineStr">
        <is>
          <t>TORSBY</t>
        </is>
      </c>
      <c r="G193" t="n">
        <v>8</v>
      </c>
      <c r="H193" t="n">
        <v>0</v>
      </c>
      <c r="I193" t="n">
        <v>0</v>
      </c>
      <c r="J193" t="n">
        <v>0</v>
      </c>
      <c r="K193" t="n">
        <v>0</v>
      </c>
      <c r="L193" t="n">
        <v>0</v>
      </c>
      <c r="M193" t="n">
        <v>0</v>
      </c>
      <c r="N193" t="n">
        <v>0</v>
      </c>
      <c r="O193" t="n">
        <v>0</v>
      </c>
      <c r="P193" t="n">
        <v>0</v>
      </c>
      <c r="Q193" t="n">
        <v>0</v>
      </c>
      <c r="R193" s="2" t="inlineStr"/>
    </row>
    <row r="194" ht="15" customHeight="1">
      <c r="A194" t="inlineStr">
        <is>
          <t>A 23412-2019</t>
        </is>
      </c>
      <c r="B194" s="1" t="n">
        <v>43593</v>
      </c>
      <c r="C194" s="1" t="n">
        <v>45662</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23892-2019</t>
        </is>
      </c>
      <c r="B195" s="1" t="n">
        <v>43595</v>
      </c>
      <c r="C195" s="1" t="n">
        <v>45662</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23771-2019</t>
        </is>
      </c>
      <c r="B196" s="1" t="n">
        <v>43595</v>
      </c>
      <c r="C196" s="1" t="n">
        <v>45662</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24667-2019</t>
        </is>
      </c>
      <c r="B197" s="1" t="n">
        <v>43599</v>
      </c>
      <c r="C197" s="1" t="n">
        <v>45662</v>
      </c>
      <c r="D197" t="inlineStr">
        <is>
          <t>VÄRMLANDS LÄN</t>
        </is>
      </c>
      <c r="E197" t="inlineStr">
        <is>
          <t>TORSBY</t>
        </is>
      </c>
      <c r="G197" t="n">
        <v>6.7</v>
      </c>
      <c r="H197" t="n">
        <v>0</v>
      </c>
      <c r="I197" t="n">
        <v>0</v>
      </c>
      <c r="J197" t="n">
        <v>0</v>
      </c>
      <c r="K197" t="n">
        <v>0</v>
      </c>
      <c r="L197" t="n">
        <v>0</v>
      </c>
      <c r="M197" t="n">
        <v>0</v>
      </c>
      <c r="N197" t="n">
        <v>0</v>
      </c>
      <c r="O197" t="n">
        <v>0</v>
      </c>
      <c r="P197" t="n">
        <v>0</v>
      </c>
      <c r="Q197" t="n">
        <v>0</v>
      </c>
      <c r="R197" s="2" t="inlineStr"/>
    </row>
    <row r="198" ht="15" customHeight="1">
      <c r="A198" t="inlineStr">
        <is>
          <t>A 24703-2019</t>
        </is>
      </c>
      <c r="B198" s="1" t="n">
        <v>43601</v>
      </c>
      <c r="C198" s="1" t="n">
        <v>45662</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26493-2019</t>
        </is>
      </c>
      <c r="B199" s="1" t="n">
        <v>43612</v>
      </c>
      <c r="C199" s="1" t="n">
        <v>45662</v>
      </c>
      <c r="D199" t="inlineStr">
        <is>
          <t>VÄRMLANDS LÄN</t>
        </is>
      </c>
      <c r="E199" t="inlineStr">
        <is>
          <t>TORSBY</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27907-2019</t>
        </is>
      </c>
      <c r="B200" s="1" t="n">
        <v>43612</v>
      </c>
      <c r="C200" s="1" t="n">
        <v>45662</v>
      </c>
      <c r="D200" t="inlineStr">
        <is>
          <t>VÄRMLANDS LÄN</t>
        </is>
      </c>
      <c r="E200" t="inlineStr">
        <is>
          <t>TORSBY</t>
        </is>
      </c>
      <c r="G200" t="n">
        <v>7.5</v>
      </c>
      <c r="H200" t="n">
        <v>0</v>
      </c>
      <c r="I200" t="n">
        <v>0</v>
      </c>
      <c r="J200" t="n">
        <v>0</v>
      </c>
      <c r="K200" t="n">
        <v>0</v>
      </c>
      <c r="L200" t="n">
        <v>0</v>
      </c>
      <c r="M200" t="n">
        <v>0</v>
      </c>
      <c r="N200" t="n">
        <v>0</v>
      </c>
      <c r="O200" t="n">
        <v>0</v>
      </c>
      <c r="P200" t="n">
        <v>0</v>
      </c>
      <c r="Q200" t="n">
        <v>0</v>
      </c>
      <c r="R200" s="2" t="inlineStr"/>
    </row>
    <row r="201" ht="15" customHeight="1">
      <c r="A201" t="inlineStr">
        <is>
          <t>A 26783-2019</t>
        </is>
      </c>
      <c r="B201" s="1" t="n">
        <v>43613</v>
      </c>
      <c r="C201" s="1" t="n">
        <v>45662</v>
      </c>
      <c r="D201" t="inlineStr">
        <is>
          <t>VÄRMLANDS LÄN</t>
        </is>
      </c>
      <c r="E201" t="inlineStr">
        <is>
          <t>TORSBY</t>
        </is>
      </c>
      <c r="G201" t="n">
        <v>0.6</v>
      </c>
      <c r="H201" t="n">
        <v>0</v>
      </c>
      <c r="I201" t="n">
        <v>0</v>
      </c>
      <c r="J201" t="n">
        <v>0</v>
      </c>
      <c r="K201" t="n">
        <v>0</v>
      </c>
      <c r="L201" t="n">
        <v>0</v>
      </c>
      <c r="M201" t="n">
        <v>0</v>
      </c>
      <c r="N201" t="n">
        <v>0</v>
      </c>
      <c r="O201" t="n">
        <v>0</v>
      </c>
      <c r="P201" t="n">
        <v>0</v>
      </c>
      <c r="Q201" t="n">
        <v>0</v>
      </c>
      <c r="R201" s="2" t="inlineStr"/>
    </row>
    <row r="202" ht="15" customHeight="1">
      <c r="A202" t="inlineStr">
        <is>
          <t>A 27711-2019</t>
        </is>
      </c>
      <c r="B202" s="1" t="n">
        <v>43619</v>
      </c>
      <c r="C202" s="1" t="n">
        <v>45662</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27682-2019</t>
        </is>
      </c>
      <c r="B203" s="1" t="n">
        <v>43619</v>
      </c>
      <c r="C203" s="1" t="n">
        <v>45662</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28975-2019</t>
        </is>
      </c>
      <c r="B204" s="1" t="n">
        <v>43619</v>
      </c>
      <c r="C204" s="1" t="n">
        <v>45662</v>
      </c>
      <c r="D204" t="inlineStr">
        <is>
          <t>VÄRMLANDS LÄN</t>
        </is>
      </c>
      <c r="E204" t="inlineStr">
        <is>
          <t>TORSBY</t>
        </is>
      </c>
      <c r="G204" t="n">
        <v>6.5</v>
      </c>
      <c r="H204" t="n">
        <v>0</v>
      </c>
      <c r="I204" t="n">
        <v>0</v>
      </c>
      <c r="J204" t="n">
        <v>0</v>
      </c>
      <c r="K204" t="n">
        <v>0</v>
      </c>
      <c r="L204" t="n">
        <v>0</v>
      </c>
      <c r="M204" t="n">
        <v>0</v>
      </c>
      <c r="N204" t="n">
        <v>0</v>
      </c>
      <c r="O204" t="n">
        <v>0</v>
      </c>
      <c r="P204" t="n">
        <v>0</v>
      </c>
      <c r="Q204" t="n">
        <v>0</v>
      </c>
      <c r="R204" s="2" t="inlineStr"/>
    </row>
    <row r="205" ht="15" customHeight="1">
      <c r="A205" t="inlineStr">
        <is>
          <t>A 28487-2019</t>
        </is>
      </c>
      <c r="B205" s="1" t="n">
        <v>43621</v>
      </c>
      <c r="C205" s="1" t="n">
        <v>45662</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28653-2019</t>
        </is>
      </c>
      <c r="B206" s="1" t="n">
        <v>43627</v>
      </c>
      <c r="C206" s="1" t="n">
        <v>45662</v>
      </c>
      <c r="D206" t="inlineStr">
        <is>
          <t>VÄRMLANDS LÄN</t>
        </is>
      </c>
      <c r="E206" t="inlineStr">
        <is>
          <t>TORSBY</t>
        </is>
      </c>
      <c r="G206" t="n">
        <v>5.2</v>
      </c>
      <c r="H206" t="n">
        <v>0</v>
      </c>
      <c r="I206" t="n">
        <v>0</v>
      </c>
      <c r="J206" t="n">
        <v>0</v>
      </c>
      <c r="K206" t="n">
        <v>0</v>
      </c>
      <c r="L206" t="n">
        <v>0</v>
      </c>
      <c r="M206" t="n">
        <v>0</v>
      </c>
      <c r="N206" t="n">
        <v>0</v>
      </c>
      <c r="O206" t="n">
        <v>0</v>
      </c>
      <c r="P206" t="n">
        <v>0</v>
      </c>
      <c r="Q206" t="n">
        <v>0</v>
      </c>
      <c r="R206" s="2" t="inlineStr"/>
    </row>
    <row r="207" ht="15" customHeight="1">
      <c r="A207" t="inlineStr">
        <is>
          <t>A 28818-2019</t>
        </is>
      </c>
      <c r="B207" s="1" t="n">
        <v>43627</v>
      </c>
      <c r="C207" s="1" t="n">
        <v>45662</v>
      </c>
      <c r="D207" t="inlineStr">
        <is>
          <t>VÄRMLANDS LÄN</t>
        </is>
      </c>
      <c r="E207" t="inlineStr">
        <is>
          <t>TORSBY</t>
        </is>
      </c>
      <c r="F207" t="inlineStr">
        <is>
          <t>Bergvik skog väst AB</t>
        </is>
      </c>
      <c r="G207" t="n">
        <v>58.6</v>
      </c>
      <c r="H207" t="n">
        <v>0</v>
      </c>
      <c r="I207" t="n">
        <v>0</v>
      </c>
      <c r="J207" t="n">
        <v>0</v>
      </c>
      <c r="K207" t="n">
        <v>0</v>
      </c>
      <c r="L207" t="n">
        <v>0</v>
      </c>
      <c r="M207" t="n">
        <v>0</v>
      </c>
      <c r="N207" t="n">
        <v>0</v>
      </c>
      <c r="O207" t="n">
        <v>0</v>
      </c>
      <c r="P207" t="n">
        <v>0</v>
      </c>
      <c r="Q207" t="n">
        <v>0</v>
      </c>
      <c r="R207" s="2" t="inlineStr"/>
    </row>
    <row r="208" ht="15" customHeight="1">
      <c r="A208" t="inlineStr">
        <is>
          <t>A 28889-2019</t>
        </is>
      </c>
      <c r="B208" s="1" t="n">
        <v>43628</v>
      </c>
      <c r="C208" s="1" t="n">
        <v>45662</v>
      </c>
      <c r="D208" t="inlineStr">
        <is>
          <t>VÄRMLANDS LÄN</t>
        </is>
      </c>
      <c r="E208" t="inlineStr">
        <is>
          <t>TORSBY</t>
        </is>
      </c>
      <c r="G208" t="n">
        <v>2</v>
      </c>
      <c r="H208" t="n">
        <v>0</v>
      </c>
      <c r="I208" t="n">
        <v>0</v>
      </c>
      <c r="J208" t="n">
        <v>0</v>
      </c>
      <c r="K208" t="n">
        <v>0</v>
      </c>
      <c r="L208" t="n">
        <v>0</v>
      </c>
      <c r="M208" t="n">
        <v>0</v>
      </c>
      <c r="N208" t="n">
        <v>0</v>
      </c>
      <c r="O208" t="n">
        <v>0</v>
      </c>
      <c r="P208" t="n">
        <v>0</v>
      </c>
      <c r="Q208" t="n">
        <v>0</v>
      </c>
      <c r="R208" s="2" t="inlineStr"/>
    </row>
    <row r="209" ht="15" customHeight="1">
      <c r="A209" t="inlineStr">
        <is>
          <t>A 29436-2019</t>
        </is>
      </c>
      <c r="B209" s="1" t="n">
        <v>43629</v>
      </c>
      <c r="C209" s="1" t="n">
        <v>45662</v>
      </c>
      <c r="D209" t="inlineStr">
        <is>
          <t>VÄRMLANDS LÄN</t>
        </is>
      </c>
      <c r="E209" t="inlineStr">
        <is>
          <t>TORSBY</t>
        </is>
      </c>
      <c r="F209" t="inlineStr">
        <is>
          <t>Bergvik skog väst AB</t>
        </is>
      </c>
      <c r="G209" t="n">
        <v>33.7</v>
      </c>
      <c r="H209" t="n">
        <v>0</v>
      </c>
      <c r="I209" t="n">
        <v>0</v>
      </c>
      <c r="J209" t="n">
        <v>0</v>
      </c>
      <c r="K209" t="n">
        <v>0</v>
      </c>
      <c r="L209" t="n">
        <v>0</v>
      </c>
      <c r="M209" t="n">
        <v>0</v>
      </c>
      <c r="N209" t="n">
        <v>0</v>
      </c>
      <c r="O209" t="n">
        <v>0</v>
      </c>
      <c r="P209" t="n">
        <v>0</v>
      </c>
      <c r="Q209" t="n">
        <v>0</v>
      </c>
      <c r="R209" s="2" t="inlineStr"/>
    </row>
    <row r="210" ht="15" customHeight="1">
      <c r="A210" t="inlineStr">
        <is>
          <t>A 30031-2019</t>
        </is>
      </c>
      <c r="B210" s="1" t="n">
        <v>43633</v>
      </c>
      <c r="C210" s="1" t="n">
        <v>45662</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30049-2019</t>
        </is>
      </c>
      <c r="B211" s="1" t="n">
        <v>43633</v>
      </c>
      <c r="C211" s="1" t="n">
        <v>45662</v>
      </c>
      <c r="D211" t="inlineStr">
        <is>
          <t>VÄRMLANDS LÄN</t>
        </is>
      </c>
      <c r="E211" t="inlineStr">
        <is>
          <t>TORSBY</t>
        </is>
      </c>
      <c r="G211" t="n">
        <v>7.1</v>
      </c>
      <c r="H211" t="n">
        <v>0</v>
      </c>
      <c r="I211" t="n">
        <v>0</v>
      </c>
      <c r="J211" t="n">
        <v>0</v>
      </c>
      <c r="K211" t="n">
        <v>0</v>
      </c>
      <c r="L211" t="n">
        <v>0</v>
      </c>
      <c r="M211" t="n">
        <v>0</v>
      </c>
      <c r="N211" t="n">
        <v>0</v>
      </c>
      <c r="O211" t="n">
        <v>0</v>
      </c>
      <c r="P211" t="n">
        <v>0</v>
      </c>
      <c r="Q211" t="n">
        <v>0</v>
      </c>
      <c r="R211" s="2" t="inlineStr"/>
    </row>
    <row r="212" ht="15" customHeight="1">
      <c r="A212" t="inlineStr">
        <is>
          <t>A 29984-2019</t>
        </is>
      </c>
      <c r="B212" s="1" t="n">
        <v>43633</v>
      </c>
      <c r="C212" s="1" t="n">
        <v>45662</v>
      </c>
      <c r="D212" t="inlineStr">
        <is>
          <t>VÄRMLANDS LÄN</t>
        </is>
      </c>
      <c r="E212" t="inlineStr">
        <is>
          <t>TORSBY</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30158-2019</t>
        </is>
      </c>
      <c r="B213" s="1" t="n">
        <v>43634</v>
      </c>
      <c r="C213" s="1" t="n">
        <v>45662</v>
      </c>
      <c r="D213" t="inlineStr">
        <is>
          <t>VÄRMLANDS LÄN</t>
        </is>
      </c>
      <c r="E213" t="inlineStr">
        <is>
          <t>TORSBY</t>
        </is>
      </c>
      <c r="G213" t="n">
        <v>3.3</v>
      </c>
      <c r="H213" t="n">
        <v>0</v>
      </c>
      <c r="I213" t="n">
        <v>0</v>
      </c>
      <c r="J213" t="n">
        <v>0</v>
      </c>
      <c r="K213" t="n">
        <v>0</v>
      </c>
      <c r="L213" t="n">
        <v>0</v>
      </c>
      <c r="M213" t="n">
        <v>0</v>
      </c>
      <c r="N213" t="n">
        <v>0</v>
      </c>
      <c r="O213" t="n">
        <v>0</v>
      </c>
      <c r="P213" t="n">
        <v>0</v>
      </c>
      <c r="Q213" t="n">
        <v>0</v>
      </c>
      <c r="R213" s="2" t="inlineStr"/>
    </row>
    <row r="214" ht="15" customHeight="1">
      <c r="A214" t="inlineStr">
        <is>
          <t>A 30596-2019</t>
        </is>
      </c>
      <c r="B214" s="1" t="n">
        <v>43635</v>
      </c>
      <c r="C214" s="1" t="n">
        <v>45662</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30860-2019</t>
        </is>
      </c>
      <c r="B215" s="1" t="n">
        <v>43636</v>
      </c>
      <c r="C215" s="1" t="n">
        <v>45662</v>
      </c>
      <c r="D215" t="inlineStr">
        <is>
          <t>VÄRMLANDS LÄN</t>
        </is>
      </c>
      <c r="E215" t="inlineStr">
        <is>
          <t>TORSBY</t>
        </is>
      </c>
      <c r="G215" t="n">
        <v>11.7</v>
      </c>
      <c r="H215" t="n">
        <v>0</v>
      </c>
      <c r="I215" t="n">
        <v>0</v>
      </c>
      <c r="J215" t="n">
        <v>0</v>
      </c>
      <c r="K215" t="n">
        <v>0</v>
      </c>
      <c r="L215" t="n">
        <v>0</v>
      </c>
      <c r="M215" t="n">
        <v>0</v>
      </c>
      <c r="N215" t="n">
        <v>0</v>
      </c>
      <c r="O215" t="n">
        <v>0</v>
      </c>
      <c r="P215" t="n">
        <v>0</v>
      </c>
      <c r="Q215" t="n">
        <v>0</v>
      </c>
      <c r="R215" s="2" t="inlineStr"/>
    </row>
    <row r="216" ht="15" customHeight="1">
      <c r="A216" t="inlineStr">
        <is>
          <t>A 31109-2019</t>
        </is>
      </c>
      <c r="B216" s="1" t="n">
        <v>43640</v>
      </c>
      <c r="C216" s="1" t="n">
        <v>45662</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31010-2019</t>
        </is>
      </c>
      <c r="B217" s="1" t="n">
        <v>43640</v>
      </c>
      <c r="C217" s="1" t="n">
        <v>45662</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31138-2019</t>
        </is>
      </c>
      <c r="B218" s="1" t="n">
        <v>43640</v>
      </c>
      <c r="C218" s="1" t="n">
        <v>45662</v>
      </c>
      <c r="D218" t="inlineStr">
        <is>
          <t>VÄRMLANDS LÄN</t>
        </is>
      </c>
      <c r="E218" t="inlineStr">
        <is>
          <t>TORSBY</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31543-2019</t>
        </is>
      </c>
      <c r="B219" s="1" t="n">
        <v>43641</v>
      </c>
      <c r="C219" s="1" t="n">
        <v>45662</v>
      </c>
      <c r="D219" t="inlineStr">
        <is>
          <t>VÄRMLANDS LÄN</t>
        </is>
      </c>
      <c r="E219" t="inlineStr">
        <is>
          <t>TORSBY</t>
        </is>
      </c>
      <c r="G219" t="n">
        <v>6</v>
      </c>
      <c r="H219" t="n">
        <v>0</v>
      </c>
      <c r="I219" t="n">
        <v>0</v>
      </c>
      <c r="J219" t="n">
        <v>0</v>
      </c>
      <c r="K219" t="n">
        <v>0</v>
      </c>
      <c r="L219" t="n">
        <v>0</v>
      </c>
      <c r="M219" t="n">
        <v>0</v>
      </c>
      <c r="N219" t="n">
        <v>0</v>
      </c>
      <c r="O219" t="n">
        <v>0</v>
      </c>
      <c r="P219" t="n">
        <v>0</v>
      </c>
      <c r="Q219" t="n">
        <v>0</v>
      </c>
      <c r="R219" s="2" t="inlineStr"/>
    </row>
    <row r="220" ht="15" customHeight="1">
      <c r="A220" t="inlineStr">
        <is>
          <t>A 31930-2019</t>
        </is>
      </c>
      <c r="B220" s="1" t="n">
        <v>43642</v>
      </c>
      <c r="C220" s="1" t="n">
        <v>45662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32170-2019</t>
        </is>
      </c>
      <c r="B221" s="1" t="n">
        <v>43643</v>
      </c>
      <c r="C221" s="1" t="n">
        <v>45662</v>
      </c>
      <c r="D221" t="inlineStr">
        <is>
          <t>VÄRMLANDS LÄN</t>
        </is>
      </c>
      <c r="E221" t="inlineStr">
        <is>
          <t>TORSBY</t>
        </is>
      </c>
      <c r="G221" t="n">
        <v>4.6</v>
      </c>
      <c r="H221" t="n">
        <v>0</v>
      </c>
      <c r="I221" t="n">
        <v>0</v>
      </c>
      <c r="J221" t="n">
        <v>0</v>
      </c>
      <c r="K221" t="n">
        <v>0</v>
      </c>
      <c r="L221" t="n">
        <v>0</v>
      </c>
      <c r="M221" t="n">
        <v>0</v>
      </c>
      <c r="N221" t="n">
        <v>0</v>
      </c>
      <c r="O221" t="n">
        <v>0</v>
      </c>
      <c r="P221" t="n">
        <v>0</v>
      </c>
      <c r="Q221" t="n">
        <v>0</v>
      </c>
      <c r="R221" s="2" t="inlineStr"/>
    </row>
    <row r="222" ht="15" customHeight="1">
      <c r="A222" t="inlineStr">
        <is>
          <t>A 32443-2019</t>
        </is>
      </c>
      <c r="B222" s="1" t="n">
        <v>43644</v>
      </c>
      <c r="C222" s="1" t="n">
        <v>45662</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32298-2019</t>
        </is>
      </c>
      <c r="B223" s="1" t="n">
        <v>43644</v>
      </c>
      <c r="C223" s="1" t="n">
        <v>45662</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32468-2019</t>
        </is>
      </c>
      <c r="B224" s="1" t="n">
        <v>43644</v>
      </c>
      <c r="C224" s="1" t="n">
        <v>45662</v>
      </c>
      <c r="D224" t="inlineStr">
        <is>
          <t>VÄRMLANDS LÄN</t>
        </is>
      </c>
      <c r="E224" t="inlineStr">
        <is>
          <t>TORSBY</t>
        </is>
      </c>
      <c r="G224" t="n">
        <v>4.7</v>
      </c>
      <c r="H224" t="n">
        <v>0</v>
      </c>
      <c r="I224" t="n">
        <v>0</v>
      </c>
      <c r="J224" t="n">
        <v>0</v>
      </c>
      <c r="K224" t="n">
        <v>0</v>
      </c>
      <c r="L224" t="n">
        <v>0</v>
      </c>
      <c r="M224" t="n">
        <v>0</v>
      </c>
      <c r="N224" t="n">
        <v>0</v>
      </c>
      <c r="O224" t="n">
        <v>0</v>
      </c>
      <c r="P224" t="n">
        <v>0</v>
      </c>
      <c r="Q224" t="n">
        <v>0</v>
      </c>
      <c r="R224" s="2" t="inlineStr"/>
    </row>
    <row r="225" ht="15" customHeight="1">
      <c r="A225" t="inlineStr">
        <is>
          <t>A 32444-2019</t>
        </is>
      </c>
      <c r="B225" s="1" t="n">
        <v>43644</v>
      </c>
      <c r="C225" s="1" t="n">
        <v>45662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33918-2019</t>
        </is>
      </c>
      <c r="B226" s="1" t="n">
        <v>43654</v>
      </c>
      <c r="C226" s="1" t="n">
        <v>45662</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35505-2019</t>
        </is>
      </c>
      <c r="B227" s="1" t="n">
        <v>43654</v>
      </c>
      <c r="C227" s="1" t="n">
        <v>45662</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35788-2019</t>
        </is>
      </c>
      <c r="B228" s="1" t="n">
        <v>43656</v>
      </c>
      <c r="C228" s="1" t="n">
        <v>45662</v>
      </c>
      <c r="D228" t="inlineStr">
        <is>
          <t>VÄRMLANDS LÄN</t>
        </is>
      </c>
      <c r="E228" t="inlineStr">
        <is>
          <t>TORSBY</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34541-2019</t>
        </is>
      </c>
      <c r="B229" s="1" t="n">
        <v>43657</v>
      </c>
      <c r="C229" s="1" t="n">
        <v>45662</v>
      </c>
      <c r="D229" t="inlineStr">
        <is>
          <t>VÄRMLANDS LÄN</t>
        </is>
      </c>
      <c r="E229" t="inlineStr">
        <is>
          <t>TORSBY</t>
        </is>
      </c>
      <c r="G229" t="n">
        <v>5.7</v>
      </c>
      <c r="H229" t="n">
        <v>0</v>
      </c>
      <c r="I229" t="n">
        <v>0</v>
      </c>
      <c r="J229" t="n">
        <v>0</v>
      </c>
      <c r="K229" t="n">
        <v>0</v>
      </c>
      <c r="L229" t="n">
        <v>0</v>
      </c>
      <c r="M229" t="n">
        <v>0</v>
      </c>
      <c r="N229" t="n">
        <v>0</v>
      </c>
      <c r="O229" t="n">
        <v>0</v>
      </c>
      <c r="P229" t="n">
        <v>0</v>
      </c>
      <c r="Q229" t="n">
        <v>0</v>
      </c>
      <c r="R229" s="2" t="inlineStr"/>
    </row>
    <row r="230" ht="15" customHeight="1">
      <c r="A230" t="inlineStr">
        <is>
          <t>A 36480-2019</t>
        </is>
      </c>
      <c r="B230" s="1" t="n">
        <v>43668</v>
      </c>
      <c r="C230" s="1" t="n">
        <v>45662</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38010-2019</t>
        </is>
      </c>
      <c r="B231" s="1" t="n">
        <v>43669</v>
      </c>
      <c r="C231" s="1" t="n">
        <v>45662</v>
      </c>
      <c r="D231" t="inlineStr">
        <is>
          <t>VÄRMLANDS LÄN</t>
        </is>
      </c>
      <c r="E231" t="inlineStr">
        <is>
          <t>TORSBY</t>
        </is>
      </c>
      <c r="G231" t="n">
        <v>6.2</v>
      </c>
      <c r="H231" t="n">
        <v>0</v>
      </c>
      <c r="I231" t="n">
        <v>0</v>
      </c>
      <c r="J231" t="n">
        <v>0</v>
      </c>
      <c r="K231" t="n">
        <v>0</v>
      </c>
      <c r="L231" t="n">
        <v>0</v>
      </c>
      <c r="M231" t="n">
        <v>0</v>
      </c>
      <c r="N231" t="n">
        <v>0</v>
      </c>
      <c r="O231" t="n">
        <v>0</v>
      </c>
      <c r="P231" t="n">
        <v>0</v>
      </c>
      <c r="Q231" t="n">
        <v>0</v>
      </c>
      <c r="R231" s="2" t="inlineStr"/>
    </row>
    <row r="232" ht="15" customHeight="1">
      <c r="A232" t="inlineStr">
        <is>
          <t>A 38003-2019</t>
        </is>
      </c>
      <c r="B232" s="1" t="n">
        <v>43669</v>
      </c>
      <c r="C232" s="1" t="n">
        <v>45662</v>
      </c>
      <c r="D232" t="inlineStr">
        <is>
          <t>VÄRMLANDS LÄN</t>
        </is>
      </c>
      <c r="E232" t="inlineStr">
        <is>
          <t>TORSBY</t>
        </is>
      </c>
      <c r="G232" t="n">
        <v>3.1</v>
      </c>
      <c r="H232" t="n">
        <v>0</v>
      </c>
      <c r="I232" t="n">
        <v>0</v>
      </c>
      <c r="J232" t="n">
        <v>0</v>
      </c>
      <c r="K232" t="n">
        <v>0</v>
      </c>
      <c r="L232" t="n">
        <v>0</v>
      </c>
      <c r="M232" t="n">
        <v>0</v>
      </c>
      <c r="N232" t="n">
        <v>0</v>
      </c>
      <c r="O232" t="n">
        <v>0</v>
      </c>
      <c r="P232" t="n">
        <v>0</v>
      </c>
      <c r="Q232" t="n">
        <v>0</v>
      </c>
      <c r="R232" s="2" t="inlineStr"/>
    </row>
    <row r="233" ht="15" customHeight="1">
      <c r="A233" t="inlineStr">
        <is>
          <t>A 36712-2019</t>
        </is>
      </c>
      <c r="B233" s="1" t="n">
        <v>43669</v>
      </c>
      <c r="C233" s="1" t="n">
        <v>45662</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36682-2019</t>
        </is>
      </c>
      <c r="B234" s="1" t="n">
        <v>43670</v>
      </c>
      <c r="C234" s="1" t="n">
        <v>45662</v>
      </c>
      <c r="D234" t="inlineStr">
        <is>
          <t>VÄRMLANDS LÄN</t>
        </is>
      </c>
      <c r="E234" t="inlineStr">
        <is>
          <t>TORSBY</t>
        </is>
      </c>
      <c r="G234" t="n">
        <v>8.1</v>
      </c>
      <c r="H234" t="n">
        <v>0</v>
      </c>
      <c r="I234" t="n">
        <v>0</v>
      </c>
      <c r="J234" t="n">
        <v>0</v>
      </c>
      <c r="K234" t="n">
        <v>0</v>
      </c>
      <c r="L234" t="n">
        <v>0</v>
      </c>
      <c r="M234" t="n">
        <v>0</v>
      </c>
      <c r="N234" t="n">
        <v>0</v>
      </c>
      <c r="O234" t="n">
        <v>0</v>
      </c>
      <c r="P234" t="n">
        <v>0</v>
      </c>
      <c r="Q234" t="n">
        <v>0</v>
      </c>
      <c r="R234" s="2" t="inlineStr"/>
    </row>
    <row r="235" ht="15" customHeight="1">
      <c r="A235" t="inlineStr">
        <is>
          <t>A 36734-2019</t>
        </is>
      </c>
      <c r="B235" s="1" t="n">
        <v>43672</v>
      </c>
      <c r="C235" s="1" t="n">
        <v>45662</v>
      </c>
      <c r="D235" t="inlineStr">
        <is>
          <t>VÄRMLANDS LÄN</t>
        </is>
      </c>
      <c r="E235" t="inlineStr">
        <is>
          <t>TORSBY</t>
        </is>
      </c>
      <c r="G235" t="n">
        <v>2.4</v>
      </c>
      <c r="H235" t="n">
        <v>0</v>
      </c>
      <c r="I235" t="n">
        <v>0</v>
      </c>
      <c r="J235" t="n">
        <v>0</v>
      </c>
      <c r="K235" t="n">
        <v>0</v>
      </c>
      <c r="L235" t="n">
        <v>0</v>
      </c>
      <c r="M235" t="n">
        <v>0</v>
      </c>
      <c r="N235" t="n">
        <v>0</v>
      </c>
      <c r="O235" t="n">
        <v>0</v>
      </c>
      <c r="P235" t="n">
        <v>0</v>
      </c>
      <c r="Q235" t="n">
        <v>0</v>
      </c>
      <c r="R235" s="2" t="inlineStr"/>
    </row>
    <row r="236" ht="15" customHeight="1">
      <c r="A236" t="inlineStr">
        <is>
          <t>A 36820-2019</t>
        </is>
      </c>
      <c r="B236" s="1" t="n">
        <v>43673</v>
      </c>
      <c r="C236" s="1" t="n">
        <v>45662</v>
      </c>
      <c r="D236" t="inlineStr">
        <is>
          <t>VÄRMLANDS LÄN</t>
        </is>
      </c>
      <c r="E236" t="inlineStr">
        <is>
          <t>TORSBY</t>
        </is>
      </c>
      <c r="G236" t="n">
        <v>0.2</v>
      </c>
      <c r="H236" t="n">
        <v>0</v>
      </c>
      <c r="I236" t="n">
        <v>0</v>
      </c>
      <c r="J236" t="n">
        <v>0</v>
      </c>
      <c r="K236" t="n">
        <v>0</v>
      </c>
      <c r="L236" t="n">
        <v>0</v>
      </c>
      <c r="M236" t="n">
        <v>0</v>
      </c>
      <c r="N236" t="n">
        <v>0</v>
      </c>
      <c r="O236" t="n">
        <v>0</v>
      </c>
      <c r="P236" t="n">
        <v>0</v>
      </c>
      <c r="Q236" t="n">
        <v>0</v>
      </c>
      <c r="R236" s="2" t="inlineStr"/>
    </row>
    <row r="237" ht="15" customHeight="1">
      <c r="A237" t="inlineStr">
        <is>
          <t>A 37005-2019</t>
        </is>
      </c>
      <c r="B237" s="1" t="n">
        <v>43676</v>
      </c>
      <c r="C237" s="1" t="n">
        <v>45662</v>
      </c>
      <c r="D237" t="inlineStr">
        <is>
          <t>VÄRMLANDS LÄN</t>
        </is>
      </c>
      <c r="E237" t="inlineStr">
        <is>
          <t>TORSBY</t>
        </is>
      </c>
      <c r="G237" t="n">
        <v>1.6</v>
      </c>
      <c r="H237" t="n">
        <v>0</v>
      </c>
      <c r="I237" t="n">
        <v>0</v>
      </c>
      <c r="J237" t="n">
        <v>0</v>
      </c>
      <c r="K237" t="n">
        <v>0</v>
      </c>
      <c r="L237" t="n">
        <v>0</v>
      </c>
      <c r="M237" t="n">
        <v>0</v>
      </c>
      <c r="N237" t="n">
        <v>0</v>
      </c>
      <c r="O237" t="n">
        <v>0</v>
      </c>
      <c r="P237" t="n">
        <v>0</v>
      </c>
      <c r="Q237" t="n">
        <v>0</v>
      </c>
      <c r="R237" s="2" t="inlineStr"/>
    </row>
    <row r="238" ht="15" customHeight="1">
      <c r="A238" t="inlineStr">
        <is>
          <t>A 37719-2019</t>
        </is>
      </c>
      <c r="B238" s="1" t="n">
        <v>43682</v>
      </c>
      <c r="C238" s="1" t="n">
        <v>45662</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38068-2019</t>
        </is>
      </c>
      <c r="B239" s="1" t="n">
        <v>43683</v>
      </c>
      <c r="C239" s="1" t="n">
        <v>45662</v>
      </c>
      <c r="D239" t="inlineStr">
        <is>
          <t>VÄRMLANDS LÄN</t>
        </is>
      </c>
      <c r="E239" t="inlineStr">
        <is>
          <t>TORSBY</t>
        </is>
      </c>
      <c r="G239" t="n">
        <v>2.7</v>
      </c>
      <c r="H239" t="n">
        <v>0</v>
      </c>
      <c r="I239" t="n">
        <v>0</v>
      </c>
      <c r="J239" t="n">
        <v>0</v>
      </c>
      <c r="K239" t="n">
        <v>0</v>
      </c>
      <c r="L239" t="n">
        <v>0</v>
      </c>
      <c r="M239" t="n">
        <v>0</v>
      </c>
      <c r="N239" t="n">
        <v>0</v>
      </c>
      <c r="O239" t="n">
        <v>0</v>
      </c>
      <c r="P239" t="n">
        <v>0</v>
      </c>
      <c r="Q239" t="n">
        <v>0</v>
      </c>
      <c r="R239" s="2" t="inlineStr"/>
    </row>
    <row r="240" ht="15" customHeight="1">
      <c r="A240" t="inlineStr">
        <is>
          <t>A 38265-2019</t>
        </is>
      </c>
      <c r="B240" s="1" t="n">
        <v>43684</v>
      </c>
      <c r="C240" s="1" t="n">
        <v>45662</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39213-2019</t>
        </is>
      </c>
      <c r="B241" s="1" t="n">
        <v>43690</v>
      </c>
      <c r="C241" s="1" t="n">
        <v>45662</v>
      </c>
      <c r="D241" t="inlineStr">
        <is>
          <t>VÄRMLANDS LÄN</t>
        </is>
      </c>
      <c r="E241" t="inlineStr">
        <is>
          <t>TORSBY</t>
        </is>
      </c>
      <c r="G241" t="n">
        <v>1.8</v>
      </c>
      <c r="H241" t="n">
        <v>0</v>
      </c>
      <c r="I241" t="n">
        <v>0</v>
      </c>
      <c r="J241" t="n">
        <v>0</v>
      </c>
      <c r="K241" t="n">
        <v>0</v>
      </c>
      <c r="L241" t="n">
        <v>0</v>
      </c>
      <c r="M241" t="n">
        <v>0</v>
      </c>
      <c r="N241" t="n">
        <v>0</v>
      </c>
      <c r="O241" t="n">
        <v>0</v>
      </c>
      <c r="P241" t="n">
        <v>0</v>
      </c>
      <c r="Q241" t="n">
        <v>0</v>
      </c>
      <c r="R241" s="2" t="inlineStr"/>
    </row>
    <row r="242" ht="15" customHeight="1">
      <c r="A242" t="inlineStr">
        <is>
          <t>A 40632-2019</t>
        </is>
      </c>
      <c r="B242" s="1" t="n">
        <v>43696</v>
      </c>
      <c r="C242" s="1" t="n">
        <v>45662</v>
      </c>
      <c r="D242" t="inlineStr">
        <is>
          <t>VÄRMLANDS LÄN</t>
        </is>
      </c>
      <c r="E242" t="inlineStr">
        <is>
          <t>TORSBY</t>
        </is>
      </c>
      <c r="G242" t="n">
        <v>4.2</v>
      </c>
      <c r="H242" t="n">
        <v>0</v>
      </c>
      <c r="I242" t="n">
        <v>0</v>
      </c>
      <c r="J242" t="n">
        <v>0</v>
      </c>
      <c r="K242" t="n">
        <v>0</v>
      </c>
      <c r="L242" t="n">
        <v>0</v>
      </c>
      <c r="M242" t="n">
        <v>0</v>
      </c>
      <c r="N242" t="n">
        <v>0</v>
      </c>
      <c r="O242" t="n">
        <v>0</v>
      </c>
      <c r="P242" t="n">
        <v>0</v>
      </c>
      <c r="Q242" t="n">
        <v>0</v>
      </c>
      <c r="R242" s="2" t="inlineStr"/>
    </row>
    <row r="243" ht="15" customHeight="1">
      <c r="A243" t="inlineStr">
        <is>
          <t>A 40589-2019</t>
        </is>
      </c>
      <c r="B243" s="1" t="n">
        <v>43696</v>
      </c>
      <c r="C243" s="1" t="n">
        <v>45662</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40810-2019</t>
        </is>
      </c>
      <c r="B244" s="1" t="n">
        <v>43697</v>
      </c>
      <c r="C244" s="1" t="n">
        <v>45662</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41698-2019</t>
        </is>
      </c>
      <c r="B245" s="1" t="n">
        <v>43697</v>
      </c>
      <c r="C245" s="1" t="n">
        <v>45662</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42441-2019</t>
        </is>
      </c>
      <c r="B246" s="1" t="n">
        <v>43697</v>
      </c>
      <c r="C246" s="1" t="n">
        <v>45662</v>
      </c>
      <c r="D246" t="inlineStr">
        <is>
          <t>VÄRMLANDS LÄN</t>
        </is>
      </c>
      <c r="E246" t="inlineStr">
        <is>
          <t>TORSBY</t>
        </is>
      </c>
      <c r="G246" t="n">
        <v>2.4</v>
      </c>
      <c r="H246" t="n">
        <v>0</v>
      </c>
      <c r="I246" t="n">
        <v>0</v>
      </c>
      <c r="J246" t="n">
        <v>0</v>
      </c>
      <c r="K246" t="n">
        <v>0</v>
      </c>
      <c r="L246" t="n">
        <v>0</v>
      </c>
      <c r="M246" t="n">
        <v>0</v>
      </c>
      <c r="N246" t="n">
        <v>0</v>
      </c>
      <c r="O246" t="n">
        <v>0</v>
      </c>
      <c r="P246" t="n">
        <v>0</v>
      </c>
      <c r="Q246" t="n">
        <v>0</v>
      </c>
      <c r="R246" s="2" t="inlineStr"/>
    </row>
    <row r="247" ht="15" customHeight="1">
      <c r="A247" t="inlineStr">
        <is>
          <t>A 41436-2019</t>
        </is>
      </c>
      <c r="B247" s="1" t="n">
        <v>43698</v>
      </c>
      <c r="C247" s="1" t="n">
        <v>45662</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41435-2019</t>
        </is>
      </c>
      <c r="B248" s="1" t="n">
        <v>43698</v>
      </c>
      <c r="C248" s="1" t="n">
        <v>45662</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41438-2019</t>
        </is>
      </c>
      <c r="B249" s="1" t="n">
        <v>43698</v>
      </c>
      <c r="C249" s="1" t="n">
        <v>45662</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41621-2019</t>
        </is>
      </c>
      <c r="B250" s="1" t="n">
        <v>43699</v>
      </c>
      <c r="C250" s="1" t="n">
        <v>45662</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42230-2019</t>
        </is>
      </c>
      <c r="B251" s="1" t="n">
        <v>43703</v>
      </c>
      <c r="C251" s="1" t="n">
        <v>45662</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43273-2019</t>
        </is>
      </c>
      <c r="B252" s="1" t="n">
        <v>43704</v>
      </c>
      <c r="C252" s="1" t="n">
        <v>45662</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43897-2019</t>
        </is>
      </c>
      <c r="B253" s="1" t="n">
        <v>43707</v>
      </c>
      <c r="C253" s="1" t="n">
        <v>45662</v>
      </c>
      <c r="D253" t="inlineStr">
        <is>
          <t>VÄRMLANDS LÄN</t>
        </is>
      </c>
      <c r="E253" t="inlineStr">
        <is>
          <t>TORSBY</t>
        </is>
      </c>
      <c r="G253" t="n">
        <v>3.2</v>
      </c>
      <c r="H253" t="n">
        <v>0</v>
      </c>
      <c r="I253" t="n">
        <v>0</v>
      </c>
      <c r="J253" t="n">
        <v>0</v>
      </c>
      <c r="K253" t="n">
        <v>0</v>
      </c>
      <c r="L253" t="n">
        <v>0</v>
      </c>
      <c r="M253" t="n">
        <v>0</v>
      </c>
      <c r="N253" t="n">
        <v>0</v>
      </c>
      <c r="O253" t="n">
        <v>0</v>
      </c>
      <c r="P253" t="n">
        <v>0</v>
      </c>
      <c r="Q253" t="n">
        <v>0</v>
      </c>
      <c r="R253" s="2" t="inlineStr"/>
    </row>
    <row r="254" ht="15" customHeight="1">
      <c r="A254" t="inlineStr">
        <is>
          <t>A 44832-2019</t>
        </is>
      </c>
      <c r="B254" s="1" t="n">
        <v>43707</v>
      </c>
      <c r="C254" s="1" t="n">
        <v>45662</v>
      </c>
      <c r="D254" t="inlineStr">
        <is>
          <t>VÄRMLANDS LÄN</t>
        </is>
      </c>
      <c r="E254" t="inlineStr">
        <is>
          <t>TORSBY</t>
        </is>
      </c>
      <c r="G254" t="n">
        <v>27.1</v>
      </c>
      <c r="H254" t="n">
        <v>0</v>
      </c>
      <c r="I254" t="n">
        <v>0</v>
      </c>
      <c r="J254" t="n">
        <v>0</v>
      </c>
      <c r="K254" t="n">
        <v>0</v>
      </c>
      <c r="L254" t="n">
        <v>0</v>
      </c>
      <c r="M254" t="n">
        <v>0</v>
      </c>
      <c r="N254" t="n">
        <v>0</v>
      </c>
      <c r="O254" t="n">
        <v>0</v>
      </c>
      <c r="P254" t="n">
        <v>0</v>
      </c>
      <c r="Q254" t="n">
        <v>0</v>
      </c>
      <c r="R254" s="2" t="inlineStr"/>
    </row>
    <row r="255" ht="15" customHeight="1">
      <c r="A255" t="inlineStr">
        <is>
          <t>A 44708-2019</t>
        </is>
      </c>
      <c r="B255" s="1" t="n">
        <v>43712</v>
      </c>
      <c r="C255" s="1" t="n">
        <v>45662</v>
      </c>
      <c r="D255" t="inlineStr">
        <is>
          <t>VÄRMLANDS LÄN</t>
        </is>
      </c>
      <c r="E255" t="inlineStr">
        <is>
          <t>TORSBY</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44706-2019</t>
        </is>
      </c>
      <c r="B256" s="1" t="n">
        <v>43712</v>
      </c>
      <c r="C256" s="1" t="n">
        <v>45662</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45053-2019</t>
        </is>
      </c>
      <c r="B257" s="1" t="n">
        <v>43713</v>
      </c>
      <c r="C257" s="1" t="n">
        <v>45662</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45083-2019</t>
        </is>
      </c>
      <c r="B258" s="1" t="n">
        <v>43713</v>
      </c>
      <c r="C258" s="1" t="n">
        <v>45662</v>
      </c>
      <c r="D258" t="inlineStr">
        <is>
          <t>VÄRMLANDS LÄN</t>
        </is>
      </c>
      <c r="E258" t="inlineStr">
        <is>
          <t>TORSBY</t>
        </is>
      </c>
      <c r="F258" t="inlineStr">
        <is>
          <t>Bergvik skog väst AB</t>
        </is>
      </c>
      <c r="G258" t="n">
        <v>37.8</v>
      </c>
      <c r="H258" t="n">
        <v>0</v>
      </c>
      <c r="I258" t="n">
        <v>0</v>
      </c>
      <c r="J258" t="n">
        <v>0</v>
      </c>
      <c r="K258" t="n">
        <v>0</v>
      </c>
      <c r="L258" t="n">
        <v>0</v>
      </c>
      <c r="M258" t="n">
        <v>0</v>
      </c>
      <c r="N258" t="n">
        <v>0</v>
      </c>
      <c r="O258" t="n">
        <v>0</v>
      </c>
      <c r="P258" t="n">
        <v>0</v>
      </c>
      <c r="Q258" t="n">
        <v>0</v>
      </c>
      <c r="R258" s="2" t="inlineStr"/>
    </row>
    <row r="259" ht="15" customHeight="1">
      <c r="A259" t="inlineStr">
        <is>
          <t>A 45189-2019</t>
        </is>
      </c>
      <c r="B259" s="1" t="n">
        <v>43713</v>
      </c>
      <c r="C259" s="1" t="n">
        <v>45662</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45068-2019</t>
        </is>
      </c>
      <c r="B260" s="1" t="n">
        <v>43713</v>
      </c>
      <c r="C260" s="1" t="n">
        <v>45662</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45891-2019</t>
        </is>
      </c>
      <c r="B261" s="1" t="n">
        <v>43717</v>
      </c>
      <c r="C261" s="1" t="n">
        <v>45662</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46738-2019</t>
        </is>
      </c>
      <c r="B262" s="1" t="n">
        <v>43719</v>
      </c>
      <c r="C262" s="1" t="n">
        <v>45662</v>
      </c>
      <c r="D262" t="inlineStr">
        <is>
          <t>VÄRMLANDS LÄN</t>
        </is>
      </c>
      <c r="E262" t="inlineStr">
        <is>
          <t>TORSBY</t>
        </is>
      </c>
      <c r="G262" t="n">
        <v>1.5</v>
      </c>
      <c r="H262" t="n">
        <v>0</v>
      </c>
      <c r="I262" t="n">
        <v>0</v>
      </c>
      <c r="J262" t="n">
        <v>0</v>
      </c>
      <c r="K262" t="n">
        <v>0</v>
      </c>
      <c r="L262" t="n">
        <v>0</v>
      </c>
      <c r="M262" t="n">
        <v>0</v>
      </c>
      <c r="N262" t="n">
        <v>0</v>
      </c>
      <c r="O262" t="n">
        <v>0</v>
      </c>
      <c r="P262" t="n">
        <v>0</v>
      </c>
      <c r="Q262" t="n">
        <v>0</v>
      </c>
      <c r="R262" s="2" t="inlineStr"/>
    </row>
    <row r="263" ht="15" customHeight="1">
      <c r="A263" t="inlineStr">
        <is>
          <t>A 46743-2019</t>
        </is>
      </c>
      <c r="B263" s="1" t="n">
        <v>43719</v>
      </c>
      <c r="C263" s="1" t="n">
        <v>45662</v>
      </c>
      <c r="D263" t="inlineStr">
        <is>
          <t>VÄRMLANDS LÄN</t>
        </is>
      </c>
      <c r="E263" t="inlineStr">
        <is>
          <t>TORSBY</t>
        </is>
      </c>
      <c r="G263" t="n">
        <v>7</v>
      </c>
      <c r="H263" t="n">
        <v>0</v>
      </c>
      <c r="I263" t="n">
        <v>0</v>
      </c>
      <c r="J263" t="n">
        <v>0</v>
      </c>
      <c r="K263" t="n">
        <v>0</v>
      </c>
      <c r="L263" t="n">
        <v>0</v>
      </c>
      <c r="M263" t="n">
        <v>0</v>
      </c>
      <c r="N263" t="n">
        <v>0</v>
      </c>
      <c r="O263" t="n">
        <v>0</v>
      </c>
      <c r="P263" t="n">
        <v>0</v>
      </c>
      <c r="Q263" t="n">
        <v>0</v>
      </c>
      <c r="R263" s="2" t="inlineStr"/>
    </row>
    <row r="264" ht="15" customHeight="1">
      <c r="A264" t="inlineStr">
        <is>
          <t>A 47114-2019</t>
        </is>
      </c>
      <c r="B264" s="1" t="n">
        <v>43720</v>
      </c>
      <c r="C264" s="1" t="n">
        <v>45662</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47214-2019</t>
        </is>
      </c>
      <c r="B265" s="1" t="n">
        <v>43721</v>
      </c>
      <c r="C265" s="1" t="n">
        <v>45662</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47137-2019</t>
        </is>
      </c>
      <c r="B266" s="1" t="n">
        <v>43721</v>
      </c>
      <c r="C266" s="1" t="n">
        <v>45662</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47316-2019</t>
        </is>
      </c>
      <c r="B267" s="1" t="n">
        <v>43721</v>
      </c>
      <c r="C267" s="1" t="n">
        <v>45662</v>
      </c>
      <c r="D267" t="inlineStr">
        <is>
          <t>VÄRMLANDS LÄN</t>
        </is>
      </c>
      <c r="E267" t="inlineStr">
        <is>
          <t>TORSBY</t>
        </is>
      </c>
      <c r="F267" t="inlineStr">
        <is>
          <t>Bergvik skog väst AB</t>
        </is>
      </c>
      <c r="G267" t="n">
        <v>6.6</v>
      </c>
      <c r="H267" t="n">
        <v>0</v>
      </c>
      <c r="I267" t="n">
        <v>0</v>
      </c>
      <c r="J267" t="n">
        <v>0</v>
      </c>
      <c r="K267" t="n">
        <v>0</v>
      </c>
      <c r="L267" t="n">
        <v>0</v>
      </c>
      <c r="M267" t="n">
        <v>0</v>
      </c>
      <c r="N267" t="n">
        <v>0</v>
      </c>
      <c r="O267" t="n">
        <v>0</v>
      </c>
      <c r="P267" t="n">
        <v>0</v>
      </c>
      <c r="Q267" t="n">
        <v>0</v>
      </c>
      <c r="R267" s="2" t="inlineStr"/>
    </row>
    <row r="268" ht="15" customHeight="1">
      <c r="A268" t="inlineStr">
        <is>
          <t>A 47608-2019</t>
        </is>
      </c>
      <c r="B268" s="1" t="n">
        <v>43724</v>
      </c>
      <c r="C268" s="1" t="n">
        <v>45662</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47772-2019</t>
        </is>
      </c>
      <c r="B269" s="1" t="n">
        <v>43724</v>
      </c>
      <c r="C269" s="1" t="n">
        <v>45662</v>
      </c>
      <c r="D269" t="inlineStr">
        <is>
          <t>VÄRMLANDS LÄN</t>
        </is>
      </c>
      <c r="E269" t="inlineStr">
        <is>
          <t>TORSBY</t>
        </is>
      </c>
      <c r="G269" t="n">
        <v>3.9</v>
      </c>
      <c r="H269" t="n">
        <v>0</v>
      </c>
      <c r="I269" t="n">
        <v>0</v>
      </c>
      <c r="J269" t="n">
        <v>0</v>
      </c>
      <c r="K269" t="n">
        <v>0</v>
      </c>
      <c r="L269" t="n">
        <v>0</v>
      </c>
      <c r="M269" t="n">
        <v>0</v>
      </c>
      <c r="N269" t="n">
        <v>0</v>
      </c>
      <c r="O269" t="n">
        <v>0</v>
      </c>
      <c r="P269" t="n">
        <v>0</v>
      </c>
      <c r="Q269" t="n">
        <v>0</v>
      </c>
      <c r="R269" s="2" t="inlineStr"/>
    </row>
    <row r="270" ht="15" customHeight="1">
      <c r="A270" t="inlineStr">
        <is>
          <t>A 47648-2019</t>
        </is>
      </c>
      <c r="B270" s="1" t="n">
        <v>43724</v>
      </c>
      <c r="C270" s="1" t="n">
        <v>45662</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47502-2019</t>
        </is>
      </c>
      <c r="B271" s="1" t="n">
        <v>43724</v>
      </c>
      <c r="C271" s="1" t="n">
        <v>45662</v>
      </c>
      <c r="D271" t="inlineStr">
        <is>
          <t>VÄRMLANDS LÄN</t>
        </is>
      </c>
      <c r="E271" t="inlineStr">
        <is>
          <t>TORSBY</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47869-2019</t>
        </is>
      </c>
      <c r="B272" s="1" t="n">
        <v>43725</v>
      </c>
      <c r="C272" s="1" t="n">
        <v>45662</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47979-2019</t>
        </is>
      </c>
      <c r="B273" s="1" t="n">
        <v>43725</v>
      </c>
      <c r="C273" s="1" t="n">
        <v>45662</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48040-2019</t>
        </is>
      </c>
      <c r="B274" s="1" t="n">
        <v>43725</v>
      </c>
      <c r="C274" s="1" t="n">
        <v>45662</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48346-2019</t>
        </is>
      </c>
      <c r="B275" s="1" t="n">
        <v>43726</v>
      </c>
      <c r="C275" s="1" t="n">
        <v>45662</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48366-2019</t>
        </is>
      </c>
      <c r="B276" s="1" t="n">
        <v>43726</v>
      </c>
      <c r="C276" s="1" t="n">
        <v>45662</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49550-2019</t>
        </is>
      </c>
      <c r="B277" s="1" t="n">
        <v>43727</v>
      </c>
      <c r="C277" s="1" t="n">
        <v>45662</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51497-2019</t>
        </is>
      </c>
      <c r="B278" s="1" t="n">
        <v>43734</v>
      </c>
      <c r="C278" s="1" t="n">
        <v>45662</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50428-2019</t>
        </is>
      </c>
      <c r="B279" s="1" t="n">
        <v>43735</v>
      </c>
      <c r="C279" s="1" t="n">
        <v>45662</v>
      </c>
      <c r="D279" t="inlineStr">
        <is>
          <t>VÄRMLANDS LÄN</t>
        </is>
      </c>
      <c r="E279" t="inlineStr">
        <is>
          <t>TORSBY</t>
        </is>
      </c>
      <c r="G279" t="n">
        <v>0.4</v>
      </c>
      <c r="H279" t="n">
        <v>0</v>
      </c>
      <c r="I279" t="n">
        <v>0</v>
      </c>
      <c r="J279" t="n">
        <v>0</v>
      </c>
      <c r="K279" t="n">
        <v>0</v>
      </c>
      <c r="L279" t="n">
        <v>0</v>
      </c>
      <c r="M279" t="n">
        <v>0</v>
      </c>
      <c r="N279" t="n">
        <v>0</v>
      </c>
      <c r="O279" t="n">
        <v>0</v>
      </c>
      <c r="P279" t="n">
        <v>0</v>
      </c>
      <c r="Q279" t="n">
        <v>0</v>
      </c>
      <c r="R279" s="2" t="inlineStr"/>
    </row>
    <row r="280" ht="15" customHeight="1">
      <c r="A280" t="inlineStr">
        <is>
          <t>A 52319-2019</t>
        </is>
      </c>
      <c r="B280" s="1" t="n">
        <v>43735</v>
      </c>
      <c r="C280" s="1" t="n">
        <v>45662</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52326-2019</t>
        </is>
      </c>
      <c r="B281" s="1" t="n">
        <v>43735</v>
      </c>
      <c r="C281" s="1" t="n">
        <v>45662</v>
      </c>
      <c r="D281" t="inlineStr">
        <is>
          <t>VÄRMLANDS LÄN</t>
        </is>
      </c>
      <c r="E281" t="inlineStr">
        <is>
          <t>TORSBY</t>
        </is>
      </c>
      <c r="G281" t="n">
        <v>6.2</v>
      </c>
      <c r="H281" t="n">
        <v>0</v>
      </c>
      <c r="I281" t="n">
        <v>0</v>
      </c>
      <c r="J281" t="n">
        <v>0</v>
      </c>
      <c r="K281" t="n">
        <v>0</v>
      </c>
      <c r="L281" t="n">
        <v>0</v>
      </c>
      <c r="M281" t="n">
        <v>0</v>
      </c>
      <c r="N281" t="n">
        <v>0</v>
      </c>
      <c r="O281" t="n">
        <v>0</v>
      </c>
      <c r="P281" t="n">
        <v>0</v>
      </c>
      <c r="Q281" t="n">
        <v>0</v>
      </c>
      <c r="R281" s="2" t="inlineStr"/>
    </row>
    <row r="282" ht="15" customHeight="1">
      <c r="A282" t="inlineStr">
        <is>
          <t>A 52317-2019</t>
        </is>
      </c>
      <c r="B282" s="1" t="n">
        <v>43735</v>
      </c>
      <c r="C282" s="1" t="n">
        <v>45662</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51254-2019</t>
        </is>
      </c>
      <c r="B283" s="1" t="n">
        <v>43739</v>
      </c>
      <c r="C283" s="1" t="n">
        <v>45662</v>
      </c>
      <c r="D283" t="inlineStr">
        <is>
          <t>VÄRMLANDS LÄN</t>
        </is>
      </c>
      <c r="E283" t="inlineStr">
        <is>
          <t>TORSBY</t>
        </is>
      </c>
      <c r="F283" t="inlineStr">
        <is>
          <t>Bergvik skog väst AB</t>
        </is>
      </c>
      <c r="G283" t="n">
        <v>4.5</v>
      </c>
      <c r="H283" t="n">
        <v>0</v>
      </c>
      <c r="I283" t="n">
        <v>0</v>
      </c>
      <c r="J283" t="n">
        <v>0</v>
      </c>
      <c r="K283" t="n">
        <v>0</v>
      </c>
      <c r="L283" t="n">
        <v>0</v>
      </c>
      <c r="M283" t="n">
        <v>0</v>
      </c>
      <c r="N283" t="n">
        <v>0</v>
      </c>
      <c r="O283" t="n">
        <v>0</v>
      </c>
      <c r="P283" t="n">
        <v>0</v>
      </c>
      <c r="Q283" t="n">
        <v>0</v>
      </c>
      <c r="R283" s="2" t="inlineStr"/>
    </row>
    <row r="284" ht="15" customHeight="1">
      <c r="A284" t="inlineStr">
        <is>
          <t>A 52186-2019</t>
        </is>
      </c>
      <c r="B284" s="1" t="n">
        <v>43742</v>
      </c>
      <c r="C284" s="1" t="n">
        <v>45662</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52311-2019</t>
        </is>
      </c>
      <c r="B285" s="1" t="n">
        <v>43745</v>
      </c>
      <c r="C285" s="1" t="n">
        <v>45662</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52674-2019</t>
        </is>
      </c>
      <c r="B286" s="1" t="n">
        <v>43746</v>
      </c>
      <c r="C286" s="1" t="n">
        <v>45662</v>
      </c>
      <c r="D286" t="inlineStr">
        <is>
          <t>VÄRMLANDS LÄN</t>
        </is>
      </c>
      <c r="E286" t="inlineStr">
        <is>
          <t>TORSBY</t>
        </is>
      </c>
      <c r="F286" t="inlineStr">
        <is>
          <t>Bergvik skog väst AB</t>
        </is>
      </c>
      <c r="G286" t="n">
        <v>26.4</v>
      </c>
      <c r="H286" t="n">
        <v>0</v>
      </c>
      <c r="I286" t="n">
        <v>0</v>
      </c>
      <c r="J286" t="n">
        <v>0</v>
      </c>
      <c r="K286" t="n">
        <v>0</v>
      </c>
      <c r="L286" t="n">
        <v>0</v>
      </c>
      <c r="M286" t="n">
        <v>0</v>
      </c>
      <c r="N286" t="n">
        <v>0</v>
      </c>
      <c r="O286" t="n">
        <v>0</v>
      </c>
      <c r="P286" t="n">
        <v>0</v>
      </c>
      <c r="Q286" t="n">
        <v>0</v>
      </c>
      <c r="R286" s="2" t="inlineStr"/>
    </row>
    <row r="287" ht="15" customHeight="1">
      <c r="A287" t="inlineStr">
        <is>
          <t>A 52885-2019</t>
        </is>
      </c>
      <c r="B287" s="1" t="n">
        <v>43746</v>
      </c>
      <c r="C287" s="1" t="n">
        <v>45662</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53271-2019</t>
        </is>
      </c>
      <c r="B288" s="1" t="n">
        <v>43748</v>
      </c>
      <c r="C288" s="1" t="n">
        <v>45662</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54764-2019</t>
        </is>
      </c>
      <c r="B289" s="1" t="n">
        <v>43748</v>
      </c>
      <c r="C289" s="1" t="n">
        <v>45662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53635-2019</t>
        </is>
      </c>
      <c r="B290" s="1" t="n">
        <v>43749</v>
      </c>
      <c r="C290" s="1" t="n">
        <v>45662</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53746-2019</t>
        </is>
      </c>
      <c r="B291" s="1" t="n">
        <v>43749</v>
      </c>
      <c r="C291" s="1" t="n">
        <v>45662</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53744-2019</t>
        </is>
      </c>
      <c r="B292" s="1" t="n">
        <v>43749</v>
      </c>
      <c r="C292" s="1" t="n">
        <v>45662</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54437-2019</t>
        </is>
      </c>
      <c r="B293" s="1" t="n">
        <v>43754</v>
      </c>
      <c r="C293" s="1" t="n">
        <v>45662</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56256-2019</t>
        </is>
      </c>
      <c r="B294" s="1" t="n">
        <v>43756</v>
      </c>
      <c r="C294" s="1" t="n">
        <v>45662</v>
      </c>
      <c r="D294" t="inlineStr">
        <is>
          <t>VÄRMLANDS LÄN</t>
        </is>
      </c>
      <c r="E294" t="inlineStr">
        <is>
          <t>TORSBY</t>
        </is>
      </c>
      <c r="G294" t="n">
        <v>2.2</v>
      </c>
      <c r="H294" t="n">
        <v>0</v>
      </c>
      <c r="I294" t="n">
        <v>0</v>
      </c>
      <c r="J294" t="n">
        <v>0</v>
      </c>
      <c r="K294" t="n">
        <v>0</v>
      </c>
      <c r="L294" t="n">
        <v>0</v>
      </c>
      <c r="M294" t="n">
        <v>0</v>
      </c>
      <c r="N294" t="n">
        <v>0</v>
      </c>
      <c r="O294" t="n">
        <v>0</v>
      </c>
      <c r="P294" t="n">
        <v>0</v>
      </c>
      <c r="Q294" t="n">
        <v>0</v>
      </c>
      <c r="R294" s="2" t="inlineStr"/>
    </row>
    <row r="295" ht="15" customHeight="1">
      <c r="A295" t="inlineStr">
        <is>
          <t>A 55988-2019</t>
        </is>
      </c>
      <c r="B295" s="1" t="n">
        <v>43759</v>
      </c>
      <c r="C295" s="1" t="n">
        <v>45662</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56704-2019</t>
        </is>
      </c>
      <c r="B296" s="1" t="n">
        <v>43759</v>
      </c>
      <c r="C296" s="1" t="n">
        <v>45662</v>
      </c>
      <c r="D296" t="inlineStr">
        <is>
          <t>VÄRMLANDS LÄN</t>
        </is>
      </c>
      <c r="E296" t="inlineStr">
        <is>
          <t>TORSBY</t>
        </is>
      </c>
      <c r="G296" t="n">
        <v>2.6</v>
      </c>
      <c r="H296" t="n">
        <v>0</v>
      </c>
      <c r="I296" t="n">
        <v>0</v>
      </c>
      <c r="J296" t="n">
        <v>0</v>
      </c>
      <c r="K296" t="n">
        <v>0</v>
      </c>
      <c r="L296" t="n">
        <v>0</v>
      </c>
      <c r="M296" t="n">
        <v>0</v>
      </c>
      <c r="N296" t="n">
        <v>0</v>
      </c>
      <c r="O296" t="n">
        <v>0</v>
      </c>
      <c r="P296" t="n">
        <v>0</v>
      </c>
      <c r="Q296" t="n">
        <v>0</v>
      </c>
      <c r="R296" s="2" t="inlineStr"/>
    </row>
    <row r="297" ht="15" customHeight="1">
      <c r="A297" t="inlineStr">
        <is>
          <t>A 55927-2019</t>
        </is>
      </c>
      <c r="B297" s="1" t="n">
        <v>43761</v>
      </c>
      <c r="C297" s="1" t="n">
        <v>45662</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56021-2019</t>
        </is>
      </c>
      <c r="B298" s="1" t="n">
        <v>43761</v>
      </c>
      <c r="C298" s="1" t="n">
        <v>45662</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56305-2019</t>
        </is>
      </c>
      <c r="B299" s="1" t="n">
        <v>43762</v>
      </c>
      <c r="C299" s="1" t="n">
        <v>45662</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56594-2019</t>
        </is>
      </c>
      <c r="B300" s="1" t="n">
        <v>43763</v>
      </c>
      <c r="C300" s="1" t="n">
        <v>45662</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56633-2019</t>
        </is>
      </c>
      <c r="B301" s="1" t="n">
        <v>43763</v>
      </c>
      <c r="C301" s="1" t="n">
        <v>45662</v>
      </c>
      <c r="D301" t="inlineStr">
        <is>
          <t>VÄRMLANDS LÄN</t>
        </is>
      </c>
      <c r="E301" t="inlineStr">
        <is>
          <t>TORSBY</t>
        </is>
      </c>
      <c r="G301" t="n">
        <v>1.6</v>
      </c>
      <c r="H301" t="n">
        <v>0</v>
      </c>
      <c r="I301" t="n">
        <v>0</v>
      </c>
      <c r="J301" t="n">
        <v>0</v>
      </c>
      <c r="K301" t="n">
        <v>0</v>
      </c>
      <c r="L301" t="n">
        <v>0</v>
      </c>
      <c r="M301" t="n">
        <v>0</v>
      </c>
      <c r="N301" t="n">
        <v>0</v>
      </c>
      <c r="O301" t="n">
        <v>0</v>
      </c>
      <c r="P301" t="n">
        <v>0</v>
      </c>
      <c r="Q301" t="n">
        <v>0</v>
      </c>
      <c r="R301" s="2" t="inlineStr"/>
    </row>
    <row r="302" ht="15" customHeight="1">
      <c r="A302" t="inlineStr">
        <is>
          <t>A 56824-2019</t>
        </is>
      </c>
      <c r="B302" s="1" t="n">
        <v>43764</v>
      </c>
      <c r="C302" s="1" t="n">
        <v>45662</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56935-2019</t>
        </is>
      </c>
      <c r="B303" s="1" t="n">
        <v>43766</v>
      </c>
      <c r="C303" s="1" t="n">
        <v>45662</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57399-2019</t>
        </is>
      </c>
      <c r="B304" s="1" t="n">
        <v>43767</v>
      </c>
      <c r="C304" s="1" t="n">
        <v>45662</v>
      </c>
      <c r="D304" t="inlineStr">
        <is>
          <t>VÄRMLANDS LÄN</t>
        </is>
      </c>
      <c r="E304" t="inlineStr">
        <is>
          <t>TORSBY</t>
        </is>
      </c>
      <c r="F304" t="inlineStr">
        <is>
          <t>Bergvik skog väst AB</t>
        </is>
      </c>
      <c r="G304" t="n">
        <v>18.9</v>
      </c>
      <c r="H304" t="n">
        <v>0</v>
      </c>
      <c r="I304" t="n">
        <v>0</v>
      </c>
      <c r="J304" t="n">
        <v>0</v>
      </c>
      <c r="K304" t="n">
        <v>0</v>
      </c>
      <c r="L304" t="n">
        <v>0</v>
      </c>
      <c r="M304" t="n">
        <v>0</v>
      </c>
      <c r="N304" t="n">
        <v>0</v>
      </c>
      <c r="O304" t="n">
        <v>0</v>
      </c>
      <c r="P304" t="n">
        <v>0</v>
      </c>
      <c r="Q304" t="n">
        <v>0</v>
      </c>
      <c r="R304" s="2" t="inlineStr"/>
    </row>
    <row r="305" ht="15" customHeight="1">
      <c r="A305" t="inlineStr">
        <is>
          <t>A 57251-2019</t>
        </is>
      </c>
      <c r="B305" s="1" t="n">
        <v>43767</v>
      </c>
      <c r="C305" s="1" t="n">
        <v>45662</v>
      </c>
      <c r="D305" t="inlineStr">
        <is>
          <t>VÄRMLANDS LÄN</t>
        </is>
      </c>
      <c r="E305" t="inlineStr">
        <is>
          <t>TORSBY</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57301-2019</t>
        </is>
      </c>
      <c r="B306" s="1" t="n">
        <v>43767</v>
      </c>
      <c r="C306" s="1" t="n">
        <v>45662</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57268-2019</t>
        </is>
      </c>
      <c r="B307" s="1" t="n">
        <v>43767</v>
      </c>
      <c r="C307" s="1" t="n">
        <v>45662</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58530-2019</t>
        </is>
      </c>
      <c r="B308" s="1" t="n">
        <v>43767</v>
      </c>
      <c r="C308" s="1" t="n">
        <v>45662</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57223-2019</t>
        </is>
      </c>
      <c r="B309" s="1" t="n">
        <v>43767</v>
      </c>
      <c r="C309" s="1" t="n">
        <v>45662</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57566-2019</t>
        </is>
      </c>
      <c r="B310" s="1" t="n">
        <v>43768</v>
      </c>
      <c r="C310" s="1" t="n">
        <v>45662</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57704-2019</t>
        </is>
      </c>
      <c r="B311" s="1" t="n">
        <v>43768</v>
      </c>
      <c r="C311" s="1" t="n">
        <v>45662</v>
      </c>
      <c r="D311" t="inlineStr">
        <is>
          <t>VÄRMLANDS LÄN</t>
        </is>
      </c>
      <c r="E311" t="inlineStr">
        <is>
          <t>TORSBY</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57565-2019</t>
        </is>
      </c>
      <c r="B312" s="1" t="n">
        <v>43768</v>
      </c>
      <c r="C312" s="1" t="n">
        <v>45662</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58004-2019</t>
        </is>
      </c>
      <c r="B313" s="1" t="n">
        <v>43769</v>
      </c>
      <c r="C313" s="1" t="n">
        <v>45662</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58678-2019</t>
        </is>
      </c>
      <c r="B314" s="1" t="n">
        <v>43773</v>
      </c>
      <c r="C314" s="1" t="n">
        <v>45662</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59127-2019</t>
        </is>
      </c>
      <c r="B315" s="1" t="n">
        <v>43775</v>
      </c>
      <c r="C315" s="1" t="n">
        <v>45662</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59593-2019</t>
        </is>
      </c>
      <c r="B316" s="1" t="n">
        <v>43776</v>
      </c>
      <c r="C316" s="1" t="n">
        <v>45662</v>
      </c>
      <c r="D316" t="inlineStr">
        <is>
          <t>VÄRMLANDS LÄN</t>
        </is>
      </c>
      <c r="E316" t="inlineStr">
        <is>
          <t>TORSBY</t>
        </is>
      </c>
      <c r="F316" t="inlineStr">
        <is>
          <t>Bergvik skog väst AB</t>
        </is>
      </c>
      <c r="G316" t="n">
        <v>6.8</v>
      </c>
      <c r="H316" t="n">
        <v>0</v>
      </c>
      <c r="I316" t="n">
        <v>0</v>
      </c>
      <c r="J316" t="n">
        <v>0</v>
      </c>
      <c r="K316" t="n">
        <v>0</v>
      </c>
      <c r="L316" t="n">
        <v>0</v>
      </c>
      <c r="M316" t="n">
        <v>0</v>
      </c>
      <c r="N316" t="n">
        <v>0</v>
      </c>
      <c r="O316" t="n">
        <v>0</v>
      </c>
      <c r="P316" t="n">
        <v>0</v>
      </c>
      <c r="Q316" t="n">
        <v>0</v>
      </c>
      <c r="R316" s="2" t="inlineStr"/>
    </row>
    <row r="317" ht="15" customHeight="1">
      <c r="A317" t="inlineStr">
        <is>
          <t>A 60545-2019</t>
        </is>
      </c>
      <c r="B317" s="1" t="n">
        <v>43781</v>
      </c>
      <c r="C317" s="1" t="n">
        <v>45662</v>
      </c>
      <c r="D317" t="inlineStr">
        <is>
          <t>VÄRMLANDS LÄN</t>
        </is>
      </c>
      <c r="E317" t="inlineStr">
        <is>
          <t>TORSBY</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61074-2019</t>
        </is>
      </c>
      <c r="B318" s="1" t="n">
        <v>43782</v>
      </c>
      <c r="C318" s="1" t="n">
        <v>45662</v>
      </c>
      <c r="D318" t="inlineStr">
        <is>
          <t>VÄRMLANDS LÄN</t>
        </is>
      </c>
      <c r="E318" t="inlineStr">
        <is>
          <t>TORSBY</t>
        </is>
      </c>
      <c r="G318" t="n">
        <v>6.4</v>
      </c>
      <c r="H318" t="n">
        <v>0</v>
      </c>
      <c r="I318" t="n">
        <v>0</v>
      </c>
      <c r="J318" t="n">
        <v>0</v>
      </c>
      <c r="K318" t="n">
        <v>0</v>
      </c>
      <c r="L318" t="n">
        <v>0</v>
      </c>
      <c r="M318" t="n">
        <v>0</v>
      </c>
      <c r="N318" t="n">
        <v>0</v>
      </c>
      <c r="O318" t="n">
        <v>0</v>
      </c>
      <c r="P318" t="n">
        <v>0</v>
      </c>
      <c r="Q318" t="n">
        <v>0</v>
      </c>
      <c r="R318" s="2" t="inlineStr"/>
    </row>
    <row r="319" ht="15" customHeight="1">
      <c r="A319" t="inlineStr">
        <is>
          <t>A 62050-2019</t>
        </is>
      </c>
      <c r="B319" s="1" t="n">
        <v>43787</v>
      </c>
      <c r="C319" s="1" t="n">
        <v>45662</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61958-2019</t>
        </is>
      </c>
      <c r="B320" s="1" t="n">
        <v>43787</v>
      </c>
      <c r="C320" s="1" t="n">
        <v>45662</v>
      </c>
      <c r="D320" t="inlineStr">
        <is>
          <t>VÄRMLANDS LÄN</t>
        </is>
      </c>
      <c r="E320" t="inlineStr">
        <is>
          <t>TORSBY</t>
        </is>
      </c>
      <c r="G320" t="n">
        <v>2.4</v>
      </c>
      <c r="H320" t="n">
        <v>0</v>
      </c>
      <c r="I320" t="n">
        <v>0</v>
      </c>
      <c r="J320" t="n">
        <v>0</v>
      </c>
      <c r="K320" t="n">
        <v>0</v>
      </c>
      <c r="L320" t="n">
        <v>0</v>
      </c>
      <c r="M320" t="n">
        <v>0</v>
      </c>
      <c r="N320" t="n">
        <v>0</v>
      </c>
      <c r="O320" t="n">
        <v>0</v>
      </c>
      <c r="P320" t="n">
        <v>0</v>
      </c>
      <c r="Q320" t="n">
        <v>0</v>
      </c>
      <c r="R320" s="2" t="inlineStr"/>
    </row>
    <row r="321" ht="15" customHeight="1">
      <c r="A321" t="inlineStr">
        <is>
          <t>A 62255-2019</t>
        </is>
      </c>
      <c r="B321" s="1" t="n">
        <v>43788</v>
      </c>
      <c r="C321" s="1" t="n">
        <v>45662</v>
      </c>
      <c r="D321" t="inlineStr">
        <is>
          <t>VÄRMLANDS LÄN</t>
        </is>
      </c>
      <c r="E321" t="inlineStr">
        <is>
          <t>TORSBY</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62286-2019</t>
        </is>
      </c>
      <c r="B322" s="1" t="n">
        <v>43788</v>
      </c>
      <c r="C322" s="1" t="n">
        <v>45662</v>
      </c>
      <c r="D322" t="inlineStr">
        <is>
          <t>VÄRMLANDS LÄN</t>
        </is>
      </c>
      <c r="E322" t="inlineStr">
        <is>
          <t>TORSBY</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63743-2019</t>
        </is>
      </c>
      <c r="B323" s="1" t="n">
        <v>43795</v>
      </c>
      <c r="C323" s="1" t="n">
        <v>45662</v>
      </c>
      <c r="D323" t="inlineStr">
        <is>
          <t>VÄRMLANDS LÄN</t>
        </is>
      </c>
      <c r="E323" t="inlineStr">
        <is>
          <t>TORSBY</t>
        </is>
      </c>
      <c r="F323" t="inlineStr">
        <is>
          <t>Bergvik skog väst AB</t>
        </is>
      </c>
      <c r="G323" t="n">
        <v>6.3</v>
      </c>
      <c r="H323" t="n">
        <v>0</v>
      </c>
      <c r="I323" t="n">
        <v>0</v>
      </c>
      <c r="J323" t="n">
        <v>0</v>
      </c>
      <c r="K323" t="n">
        <v>0</v>
      </c>
      <c r="L323" t="n">
        <v>0</v>
      </c>
      <c r="M323" t="n">
        <v>0</v>
      </c>
      <c r="N323" t="n">
        <v>0</v>
      </c>
      <c r="O323" t="n">
        <v>0</v>
      </c>
      <c r="P323" t="n">
        <v>0</v>
      </c>
      <c r="Q323" t="n">
        <v>0</v>
      </c>
      <c r="R323" s="2" t="inlineStr"/>
    </row>
    <row r="324" ht="15" customHeight="1">
      <c r="A324" t="inlineStr">
        <is>
          <t>A 64114-2019</t>
        </is>
      </c>
      <c r="B324" s="1" t="n">
        <v>43796</v>
      </c>
      <c r="C324" s="1" t="n">
        <v>45662</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64444-2019</t>
        </is>
      </c>
      <c r="B325" s="1" t="n">
        <v>43797</v>
      </c>
      <c r="C325" s="1" t="n">
        <v>45662</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65187-2019</t>
        </is>
      </c>
      <c r="B326" s="1" t="n">
        <v>43797</v>
      </c>
      <c r="C326" s="1" t="n">
        <v>45662</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65243-2019</t>
        </is>
      </c>
      <c r="B327" s="1" t="n">
        <v>43797</v>
      </c>
      <c r="C327" s="1" t="n">
        <v>45662</v>
      </c>
      <c r="D327" t="inlineStr">
        <is>
          <t>VÄRMLANDS LÄN</t>
        </is>
      </c>
      <c r="E327" t="inlineStr">
        <is>
          <t>TORSBY</t>
        </is>
      </c>
      <c r="F327" t="inlineStr">
        <is>
          <t>Övriga statliga verk och myndigheter</t>
        </is>
      </c>
      <c r="G327" t="n">
        <v>20.3</v>
      </c>
      <c r="H327" t="n">
        <v>0</v>
      </c>
      <c r="I327" t="n">
        <v>0</v>
      </c>
      <c r="J327" t="n">
        <v>0</v>
      </c>
      <c r="K327" t="n">
        <v>0</v>
      </c>
      <c r="L327" t="n">
        <v>0</v>
      </c>
      <c r="M327" t="n">
        <v>0</v>
      </c>
      <c r="N327" t="n">
        <v>0</v>
      </c>
      <c r="O327" t="n">
        <v>0</v>
      </c>
      <c r="P327" t="n">
        <v>0</v>
      </c>
      <c r="Q327" t="n">
        <v>0</v>
      </c>
      <c r="R327" s="2" t="inlineStr"/>
    </row>
    <row r="328" ht="15" customHeight="1">
      <c r="A328" t="inlineStr">
        <is>
          <t>A 64803-2019</t>
        </is>
      </c>
      <c r="B328" s="1" t="n">
        <v>43801</v>
      </c>
      <c r="C328" s="1" t="n">
        <v>45662</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65132-2019</t>
        </is>
      </c>
      <c r="B329" s="1" t="n">
        <v>43802</v>
      </c>
      <c r="C329" s="1" t="n">
        <v>45662</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65076-2019</t>
        </is>
      </c>
      <c r="B330" s="1" t="n">
        <v>43802</v>
      </c>
      <c r="C330" s="1" t="n">
        <v>45662</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65465-2019</t>
        </is>
      </c>
      <c r="B331" s="1" t="n">
        <v>43803</v>
      </c>
      <c r="C331" s="1" t="n">
        <v>45662</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65914-2019</t>
        </is>
      </c>
      <c r="B332" s="1" t="n">
        <v>43805</v>
      </c>
      <c r="C332" s="1" t="n">
        <v>45662</v>
      </c>
      <c r="D332" t="inlineStr">
        <is>
          <t>VÄRMLANDS LÄN</t>
        </is>
      </c>
      <c r="E332" t="inlineStr">
        <is>
          <t>TORSBY</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67527-2019</t>
        </is>
      </c>
      <c r="B333" s="1" t="n">
        <v>43808</v>
      </c>
      <c r="C333" s="1" t="n">
        <v>45662</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66690-2019</t>
        </is>
      </c>
      <c r="B334" s="1" t="n">
        <v>43809</v>
      </c>
      <c r="C334" s="1" t="n">
        <v>45662</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66689-2019</t>
        </is>
      </c>
      <c r="B335" s="1" t="n">
        <v>43809</v>
      </c>
      <c r="C335" s="1" t="n">
        <v>45662</v>
      </c>
      <c r="D335" t="inlineStr">
        <is>
          <t>VÄRMLANDS LÄN</t>
        </is>
      </c>
      <c r="E335" t="inlineStr">
        <is>
          <t>TORSBY</t>
        </is>
      </c>
      <c r="G335" t="n">
        <v>1.7</v>
      </c>
      <c r="H335" t="n">
        <v>0</v>
      </c>
      <c r="I335" t="n">
        <v>0</v>
      </c>
      <c r="J335" t="n">
        <v>0</v>
      </c>
      <c r="K335" t="n">
        <v>0</v>
      </c>
      <c r="L335" t="n">
        <v>0</v>
      </c>
      <c r="M335" t="n">
        <v>0</v>
      </c>
      <c r="N335" t="n">
        <v>0</v>
      </c>
      <c r="O335" t="n">
        <v>0</v>
      </c>
      <c r="P335" t="n">
        <v>0</v>
      </c>
      <c r="Q335" t="n">
        <v>0</v>
      </c>
      <c r="R335" s="2" t="inlineStr"/>
    </row>
    <row r="336" ht="15" customHeight="1">
      <c r="A336" t="inlineStr">
        <is>
          <t>A 67686-2019</t>
        </is>
      </c>
      <c r="B336" s="1" t="n">
        <v>43809</v>
      </c>
      <c r="C336" s="1" t="n">
        <v>45662</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66688-2019</t>
        </is>
      </c>
      <c r="B337" s="1" t="n">
        <v>43809</v>
      </c>
      <c r="C337" s="1" t="n">
        <v>45662</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67690-2019</t>
        </is>
      </c>
      <c r="B338" s="1" t="n">
        <v>43809</v>
      </c>
      <c r="C338" s="1" t="n">
        <v>45662</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67671-2019</t>
        </is>
      </c>
      <c r="B339" s="1" t="n">
        <v>43810</v>
      </c>
      <c r="C339" s="1" t="n">
        <v>45662</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67728-2019</t>
        </is>
      </c>
      <c r="B340" s="1" t="n">
        <v>43815</v>
      </c>
      <c r="C340" s="1" t="n">
        <v>45662</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68354-2019</t>
        </is>
      </c>
      <c r="B341" s="1" t="n">
        <v>43818</v>
      </c>
      <c r="C341" s="1" t="n">
        <v>45662</v>
      </c>
      <c r="D341" t="inlineStr">
        <is>
          <t>VÄRMLANDS LÄN</t>
        </is>
      </c>
      <c r="E341" t="inlineStr">
        <is>
          <t>TORSBY</t>
        </is>
      </c>
      <c r="G341" t="n">
        <v>61.1</v>
      </c>
      <c r="H341" t="n">
        <v>0</v>
      </c>
      <c r="I341" t="n">
        <v>0</v>
      </c>
      <c r="J341" t="n">
        <v>0</v>
      </c>
      <c r="K341" t="n">
        <v>0</v>
      </c>
      <c r="L341" t="n">
        <v>0</v>
      </c>
      <c r="M341" t="n">
        <v>0</v>
      </c>
      <c r="N341" t="n">
        <v>0</v>
      </c>
      <c r="O341" t="n">
        <v>0</v>
      </c>
      <c r="P341" t="n">
        <v>0</v>
      </c>
      <c r="Q341" t="n">
        <v>0</v>
      </c>
      <c r="R341" s="2" t="inlineStr"/>
    </row>
    <row r="342" ht="15" customHeight="1">
      <c r="A342" t="inlineStr">
        <is>
          <t>A 68360-2019</t>
        </is>
      </c>
      <c r="B342" s="1" t="n">
        <v>43818</v>
      </c>
      <c r="C342" s="1" t="n">
        <v>45662</v>
      </c>
      <c r="D342" t="inlineStr">
        <is>
          <t>VÄRMLANDS LÄN</t>
        </is>
      </c>
      <c r="E342" t="inlineStr">
        <is>
          <t>TORSBY</t>
        </is>
      </c>
      <c r="G342" t="n">
        <v>9</v>
      </c>
      <c r="H342" t="n">
        <v>0</v>
      </c>
      <c r="I342" t="n">
        <v>0</v>
      </c>
      <c r="J342" t="n">
        <v>0</v>
      </c>
      <c r="K342" t="n">
        <v>0</v>
      </c>
      <c r="L342" t="n">
        <v>0</v>
      </c>
      <c r="M342" t="n">
        <v>0</v>
      </c>
      <c r="N342" t="n">
        <v>0</v>
      </c>
      <c r="O342" t="n">
        <v>0</v>
      </c>
      <c r="P342" t="n">
        <v>0</v>
      </c>
      <c r="Q342" t="n">
        <v>0</v>
      </c>
      <c r="R342" s="2" t="inlineStr"/>
    </row>
    <row r="343" ht="15" customHeight="1">
      <c r="A343" t="inlineStr">
        <is>
          <t>A 68553-2019</t>
        </is>
      </c>
      <c r="B343" s="1" t="n">
        <v>43818</v>
      </c>
      <c r="C343" s="1" t="n">
        <v>45662</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140-2020</t>
        </is>
      </c>
      <c r="B344" s="1" t="n">
        <v>43833</v>
      </c>
      <c r="C344" s="1" t="n">
        <v>45662</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338-2020</t>
        </is>
      </c>
      <c r="B345" s="1" t="n">
        <v>43837</v>
      </c>
      <c r="C345" s="1" t="n">
        <v>45662</v>
      </c>
      <c r="D345" t="inlineStr">
        <is>
          <t>VÄRMLANDS LÄN</t>
        </is>
      </c>
      <c r="E345" t="inlineStr">
        <is>
          <t>TORSBY</t>
        </is>
      </c>
      <c r="G345" t="n">
        <v>3.2</v>
      </c>
      <c r="H345" t="n">
        <v>0</v>
      </c>
      <c r="I345" t="n">
        <v>0</v>
      </c>
      <c r="J345" t="n">
        <v>0</v>
      </c>
      <c r="K345" t="n">
        <v>0</v>
      </c>
      <c r="L345" t="n">
        <v>0</v>
      </c>
      <c r="M345" t="n">
        <v>0</v>
      </c>
      <c r="N345" t="n">
        <v>0</v>
      </c>
      <c r="O345" t="n">
        <v>0</v>
      </c>
      <c r="P345" t="n">
        <v>0</v>
      </c>
      <c r="Q345" t="n">
        <v>0</v>
      </c>
      <c r="R345" s="2" t="inlineStr"/>
    </row>
    <row r="346" ht="15" customHeight="1">
      <c r="A346" t="inlineStr">
        <is>
          <t>A 388-2020</t>
        </is>
      </c>
      <c r="B346" s="1" t="n">
        <v>43837</v>
      </c>
      <c r="C346" s="1" t="n">
        <v>45662</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3263-2020</t>
        </is>
      </c>
      <c r="B347" s="1" t="n">
        <v>43844</v>
      </c>
      <c r="C347" s="1" t="n">
        <v>45662</v>
      </c>
      <c r="D347" t="inlineStr">
        <is>
          <t>VÄRMLANDS LÄN</t>
        </is>
      </c>
      <c r="E347" t="inlineStr">
        <is>
          <t>TORSBY</t>
        </is>
      </c>
      <c r="G347" t="n">
        <v>14.7</v>
      </c>
      <c r="H347" t="n">
        <v>0</v>
      </c>
      <c r="I347" t="n">
        <v>0</v>
      </c>
      <c r="J347" t="n">
        <v>0</v>
      </c>
      <c r="K347" t="n">
        <v>0</v>
      </c>
      <c r="L347" t="n">
        <v>0</v>
      </c>
      <c r="M347" t="n">
        <v>0</v>
      </c>
      <c r="N347" t="n">
        <v>0</v>
      </c>
      <c r="O347" t="n">
        <v>0</v>
      </c>
      <c r="P347" t="n">
        <v>0</v>
      </c>
      <c r="Q347" t="n">
        <v>0</v>
      </c>
      <c r="R347" s="2" t="inlineStr"/>
    </row>
    <row r="348" ht="15" customHeight="1">
      <c r="A348" t="inlineStr">
        <is>
          <t>A 3172-2020</t>
        </is>
      </c>
      <c r="B348" s="1" t="n">
        <v>43844</v>
      </c>
      <c r="C348" s="1" t="n">
        <v>45662</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2082-2020</t>
        </is>
      </c>
      <c r="B349" s="1" t="n">
        <v>43845</v>
      </c>
      <c r="C349" s="1" t="n">
        <v>45662</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1875-2020</t>
        </is>
      </c>
      <c r="B350" s="1" t="n">
        <v>43845</v>
      </c>
      <c r="C350" s="1" t="n">
        <v>45662</v>
      </c>
      <c r="D350" t="inlineStr">
        <is>
          <t>VÄRMLANDS LÄN</t>
        </is>
      </c>
      <c r="E350" t="inlineStr">
        <is>
          <t>TORSBY</t>
        </is>
      </c>
      <c r="G350" t="n">
        <v>3</v>
      </c>
      <c r="H350" t="n">
        <v>0</v>
      </c>
      <c r="I350" t="n">
        <v>0</v>
      </c>
      <c r="J350" t="n">
        <v>0</v>
      </c>
      <c r="K350" t="n">
        <v>0</v>
      </c>
      <c r="L350" t="n">
        <v>0</v>
      </c>
      <c r="M350" t="n">
        <v>0</v>
      </c>
      <c r="N350" t="n">
        <v>0</v>
      </c>
      <c r="O350" t="n">
        <v>0</v>
      </c>
      <c r="P350" t="n">
        <v>0</v>
      </c>
      <c r="Q350" t="n">
        <v>0</v>
      </c>
      <c r="R350" s="2" t="inlineStr"/>
    </row>
    <row r="351" ht="15" customHeight="1">
      <c r="A351" t="inlineStr">
        <is>
          <t>A 2068-2020</t>
        </is>
      </c>
      <c r="B351" s="1" t="n">
        <v>43845</v>
      </c>
      <c r="C351" s="1" t="n">
        <v>45662</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4017-2020</t>
        </is>
      </c>
      <c r="B352" s="1" t="n">
        <v>43846</v>
      </c>
      <c r="C352" s="1" t="n">
        <v>45662</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4753-2020</t>
        </is>
      </c>
      <c r="B353" s="1" t="n">
        <v>43859</v>
      </c>
      <c r="C353" s="1" t="n">
        <v>45662</v>
      </c>
      <c r="D353" t="inlineStr">
        <is>
          <t>VÄRMLANDS LÄN</t>
        </is>
      </c>
      <c r="E353" t="inlineStr">
        <is>
          <t>TORSBY</t>
        </is>
      </c>
      <c r="G353" t="n">
        <v>4.5</v>
      </c>
      <c r="H353" t="n">
        <v>0</v>
      </c>
      <c r="I353" t="n">
        <v>0</v>
      </c>
      <c r="J353" t="n">
        <v>0</v>
      </c>
      <c r="K353" t="n">
        <v>0</v>
      </c>
      <c r="L353" t="n">
        <v>0</v>
      </c>
      <c r="M353" t="n">
        <v>0</v>
      </c>
      <c r="N353" t="n">
        <v>0</v>
      </c>
      <c r="O353" t="n">
        <v>0</v>
      </c>
      <c r="P353" t="n">
        <v>0</v>
      </c>
      <c r="Q353" t="n">
        <v>0</v>
      </c>
      <c r="R353" s="2" t="inlineStr"/>
    </row>
    <row r="354" ht="15" customHeight="1">
      <c r="A354" t="inlineStr">
        <is>
          <t>A 5180-2020</t>
        </is>
      </c>
      <c r="B354" s="1" t="n">
        <v>43860</v>
      </c>
      <c r="C354" s="1" t="n">
        <v>45662</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5426-2020</t>
        </is>
      </c>
      <c r="B355" s="1" t="n">
        <v>43861</v>
      </c>
      <c r="C355" s="1" t="n">
        <v>45662</v>
      </c>
      <c r="D355" t="inlineStr">
        <is>
          <t>VÄRMLANDS LÄN</t>
        </is>
      </c>
      <c r="E355" t="inlineStr">
        <is>
          <t>TORSBY</t>
        </is>
      </c>
      <c r="G355" t="n">
        <v>7.2</v>
      </c>
      <c r="H355" t="n">
        <v>0</v>
      </c>
      <c r="I355" t="n">
        <v>0</v>
      </c>
      <c r="J355" t="n">
        <v>0</v>
      </c>
      <c r="K355" t="n">
        <v>0</v>
      </c>
      <c r="L355" t="n">
        <v>0</v>
      </c>
      <c r="M355" t="n">
        <v>0</v>
      </c>
      <c r="N355" t="n">
        <v>0</v>
      </c>
      <c r="O355" t="n">
        <v>0</v>
      </c>
      <c r="P355" t="n">
        <v>0</v>
      </c>
      <c r="Q355" t="n">
        <v>0</v>
      </c>
      <c r="R355" s="2" t="inlineStr"/>
    </row>
    <row r="356" ht="15" customHeight="1">
      <c r="A356" t="inlineStr">
        <is>
          <t>A 5425-2020</t>
        </is>
      </c>
      <c r="B356" s="1" t="n">
        <v>43861</v>
      </c>
      <c r="C356" s="1" t="n">
        <v>45662</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5427-2020</t>
        </is>
      </c>
      <c r="B357" s="1" t="n">
        <v>43861</v>
      </c>
      <c r="C357" s="1" t="n">
        <v>45662</v>
      </c>
      <c r="D357" t="inlineStr">
        <is>
          <t>VÄRMLANDS LÄN</t>
        </is>
      </c>
      <c r="E357" t="inlineStr">
        <is>
          <t>TORSBY</t>
        </is>
      </c>
      <c r="G357" t="n">
        <v>0.6</v>
      </c>
      <c r="H357" t="n">
        <v>0</v>
      </c>
      <c r="I357" t="n">
        <v>0</v>
      </c>
      <c r="J357" t="n">
        <v>0</v>
      </c>
      <c r="K357" t="n">
        <v>0</v>
      </c>
      <c r="L357" t="n">
        <v>0</v>
      </c>
      <c r="M357" t="n">
        <v>0</v>
      </c>
      <c r="N357" t="n">
        <v>0</v>
      </c>
      <c r="O357" t="n">
        <v>0</v>
      </c>
      <c r="P357" t="n">
        <v>0</v>
      </c>
      <c r="Q357" t="n">
        <v>0</v>
      </c>
      <c r="R357" s="2" t="inlineStr"/>
    </row>
    <row r="358" ht="15" customHeight="1">
      <c r="A358" t="inlineStr">
        <is>
          <t>A 7000-2020</t>
        </is>
      </c>
      <c r="B358" s="1" t="n">
        <v>43868</v>
      </c>
      <c r="C358" s="1" t="n">
        <v>45662</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6862-2020</t>
        </is>
      </c>
      <c r="B359" s="1" t="n">
        <v>43868</v>
      </c>
      <c r="C359" s="1" t="n">
        <v>45662</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7153-2020</t>
        </is>
      </c>
      <c r="B360" s="1" t="n">
        <v>43870</v>
      </c>
      <c r="C360" s="1" t="n">
        <v>45662</v>
      </c>
      <c r="D360" t="inlineStr">
        <is>
          <t>VÄRMLANDS LÄN</t>
        </is>
      </c>
      <c r="E360" t="inlineStr">
        <is>
          <t>TORSBY</t>
        </is>
      </c>
      <c r="G360" t="n">
        <v>2.5</v>
      </c>
      <c r="H360" t="n">
        <v>0</v>
      </c>
      <c r="I360" t="n">
        <v>0</v>
      </c>
      <c r="J360" t="n">
        <v>0</v>
      </c>
      <c r="K360" t="n">
        <v>0</v>
      </c>
      <c r="L360" t="n">
        <v>0</v>
      </c>
      <c r="M360" t="n">
        <v>0</v>
      </c>
      <c r="N360" t="n">
        <v>0</v>
      </c>
      <c r="O360" t="n">
        <v>0</v>
      </c>
      <c r="P360" t="n">
        <v>0</v>
      </c>
      <c r="Q360" t="n">
        <v>0</v>
      </c>
      <c r="R360" s="2" t="inlineStr"/>
    </row>
    <row r="361" ht="15" customHeight="1">
      <c r="A361" t="inlineStr">
        <is>
          <t>A 7279-2020</t>
        </is>
      </c>
      <c r="B361" s="1" t="n">
        <v>43871</v>
      </c>
      <c r="C361" s="1" t="n">
        <v>45662</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7526-2020</t>
        </is>
      </c>
      <c r="B362" s="1" t="n">
        <v>43871</v>
      </c>
      <c r="C362" s="1" t="n">
        <v>45662</v>
      </c>
      <c r="D362" t="inlineStr">
        <is>
          <t>VÄRMLANDS LÄN</t>
        </is>
      </c>
      <c r="E362" t="inlineStr">
        <is>
          <t>TORSBY</t>
        </is>
      </c>
      <c r="G362" t="n">
        <v>11.8</v>
      </c>
      <c r="H362" t="n">
        <v>0</v>
      </c>
      <c r="I362" t="n">
        <v>0</v>
      </c>
      <c r="J362" t="n">
        <v>0</v>
      </c>
      <c r="K362" t="n">
        <v>0</v>
      </c>
      <c r="L362" t="n">
        <v>0</v>
      </c>
      <c r="M362" t="n">
        <v>0</v>
      </c>
      <c r="N362" t="n">
        <v>0</v>
      </c>
      <c r="O362" t="n">
        <v>0</v>
      </c>
      <c r="P362" t="n">
        <v>0</v>
      </c>
      <c r="Q362" t="n">
        <v>0</v>
      </c>
      <c r="R362" s="2" t="inlineStr"/>
    </row>
    <row r="363" ht="15" customHeight="1">
      <c r="A363" t="inlineStr">
        <is>
          <t>A 7582-2020</t>
        </is>
      </c>
      <c r="B363" s="1" t="n">
        <v>43871</v>
      </c>
      <c r="C363" s="1" t="n">
        <v>45662</v>
      </c>
      <c r="D363" t="inlineStr">
        <is>
          <t>VÄRMLANDS LÄN</t>
        </is>
      </c>
      <c r="E363" t="inlineStr">
        <is>
          <t>TORSBY</t>
        </is>
      </c>
      <c r="G363" t="n">
        <v>7.4</v>
      </c>
      <c r="H363" t="n">
        <v>0</v>
      </c>
      <c r="I363" t="n">
        <v>0</v>
      </c>
      <c r="J363" t="n">
        <v>0</v>
      </c>
      <c r="K363" t="n">
        <v>0</v>
      </c>
      <c r="L363" t="n">
        <v>0</v>
      </c>
      <c r="M363" t="n">
        <v>0</v>
      </c>
      <c r="N363" t="n">
        <v>0</v>
      </c>
      <c r="O363" t="n">
        <v>0</v>
      </c>
      <c r="P363" t="n">
        <v>0</v>
      </c>
      <c r="Q363" t="n">
        <v>0</v>
      </c>
      <c r="R363" s="2" t="inlineStr"/>
    </row>
    <row r="364" ht="15" customHeight="1">
      <c r="A364" t="inlineStr">
        <is>
          <t>A 7749-2020</t>
        </is>
      </c>
      <c r="B364" s="1" t="n">
        <v>43872</v>
      </c>
      <c r="C364" s="1" t="n">
        <v>45662</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7856-2020</t>
        </is>
      </c>
      <c r="B365" s="1" t="n">
        <v>43873</v>
      </c>
      <c r="C365" s="1" t="n">
        <v>45662</v>
      </c>
      <c r="D365" t="inlineStr">
        <is>
          <t>VÄRMLANDS LÄN</t>
        </is>
      </c>
      <c r="E365" t="inlineStr">
        <is>
          <t>TORSBY</t>
        </is>
      </c>
      <c r="G365" t="n">
        <v>4.5</v>
      </c>
      <c r="H365" t="n">
        <v>0</v>
      </c>
      <c r="I365" t="n">
        <v>0</v>
      </c>
      <c r="J365" t="n">
        <v>0</v>
      </c>
      <c r="K365" t="n">
        <v>0</v>
      </c>
      <c r="L365" t="n">
        <v>0</v>
      </c>
      <c r="M365" t="n">
        <v>0</v>
      </c>
      <c r="N365" t="n">
        <v>0</v>
      </c>
      <c r="O365" t="n">
        <v>0</v>
      </c>
      <c r="P365" t="n">
        <v>0</v>
      </c>
      <c r="Q365" t="n">
        <v>0</v>
      </c>
      <c r="R365" s="2" t="inlineStr"/>
    </row>
    <row r="366" ht="15" customHeight="1">
      <c r="A366" t="inlineStr">
        <is>
          <t>A 8631-2020</t>
        </is>
      </c>
      <c r="B366" s="1" t="n">
        <v>43874</v>
      </c>
      <c r="C366" s="1" t="n">
        <v>45662</v>
      </c>
      <c r="D366" t="inlineStr">
        <is>
          <t>VÄRMLANDS LÄN</t>
        </is>
      </c>
      <c r="E366" t="inlineStr">
        <is>
          <t>TORSBY</t>
        </is>
      </c>
      <c r="G366" t="n">
        <v>3.3</v>
      </c>
      <c r="H366" t="n">
        <v>0</v>
      </c>
      <c r="I366" t="n">
        <v>0</v>
      </c>
      <c r="J366" t="n">
        <v>0</v>
      </c>
      <c r="K366" t="n">
        <v>0</v>
      </c>
      <c r="L366" t="n">
        <v>0</v>
      </c>
      <c r="M366" t="n">
        <v>0</v>
      </c>
      <c r="N366" t="n">
        <v>0</v>
      </c>
      <c r="O366" t="n">
        <v>0</v>
      </c>
      <c r="P366" t="n">
        <v>0</v>
      </c>
      <c r="Q366" t="n">
        <v>0</v>
      </c>
      <c r="R366" s="2" t="inlineStr"/>
    </row>
    <row r="367" ht="15" customHeight="1">
      <c r="A367" t="inlineStr">
        <is>
          <t>A 8899-2020</t>
        </is>
      </c>
      <c r="B367" s="1" t="n">
        <v>43878</v>
      </c>
      <c r="C367" s="1" t="n">
        <v>45662</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9192-2020</t>
        </is>
      </c>
      <c r="B368" s="1" t="n">
        <v>43879</v>
      </c>
      <c r="C368" s="1" t="n">
        <v>45662</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9766-2020</t>
        </is>
      </c>
      <c r="B369" s="1" t="n">
        <v>43879</v>
      </c>
      <c r="C369" s="1" t="n">
        <v>45662</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9760-2020</t>
        </is>
      </c>
      <c r="B370" s="1" t="n">
        <v>43879</v>
      </c>
      <c r="C370" s="1" t="n">
        <v>45662</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9600-2020</t>
        </is>
      </c>
      <c r="B371" s="1" t="n">
        <v>43881</v>
      </c>
      <c r="C371" s="1" t="n">
        <v>45662</v>
      </c>
      <c r="D371" t="inlineStr">
        <is>
          <t>VÄRMLANDS LÄN</t>
        </is>
      </c>
      <c r="E371" t="inlineStr">
        <is>
          <t>TORSBY</t>
        </is>
      </c>
      <c r="G371" t="n">
        <v>0.8</v>
      </c>
      <c r="H371" t="n">
        <v>0</v>
      </c>
      <c r="I371" t="n">
        <v>0</v>
      </c>
      <c r="J371" t="n">
        <v>0</v>
      </c>
      <c r="K371" t="n">
        <v>0</v>
      </c>
      <c r="L371" t="n">
        <v>0</v>
      </c>
      <c r="M371" t="n">
        <v>0</v>
      </c>
      <c r="N371" t="n">
        <v>0</v>
      </c>
      <c r="O371" t="n">
        <v>0</v>
      </c>
      <c r="P371" t="n">
        <v>0</v>
      </c>
      <c r="Q371" t="n">
        <v>0</v>
      </c>
      <c r="R371" s="2" t="inlineStr"/>
    </row>
    <row r="372" ht="15" customHeight="1">
      <c r="A372" t="inlineStr">
        <is>
          <t>A 10899-2020</t>
        </is>
      </c>
      <c r="B372" s="1" t="n">
        <v>43885</v>
      </c>
      <c r="C372" s="1" t="n">
        <v>45662</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10422-2020</t>
        </is>
      </c>
      <c r="B373" s="1" t="n">
        <v>43886</v>
      </c>
      <c r="C373" s="1" t="n">
        <v>45662</v>
      </c>
      <c r="D373" t="inlineStr">
        <is>
          <t>VÄRMLANDS LÄN</t>
        </is>
      </c>
      <c r="E373" t="inlineStr">
        <is>
          <t>TORSBY</t>
        </is>
      </c>
      <c r="G373" t="n">
        <v>3.4</v>
      </c>
      <c r="H373" t="n">
        <v>0</v>
      </c>
      <c r="I373" t="n">
        <v>0</v>
      </c>
      <c r="J373" t="n">
        <v>0</v>
      </c>
      <c r="K373" t="n">
        <v>0</v>
      </c>
      <c r="L373" t="n">
        <v>0</v>
      </c>
      <c r="M373" t="n">
        <v>0</v>
      </c>
      <c r="N373" t="n">
        <v>0</v>
      </c>
      <c r="O373" t="n">
        <v>0</v>
      </c>
      <c r="P373" t="n">
        <v>0</v>
      </c>
      <c r="Q373" t="n">
        <v>0</v>
      </c>
      <c r="R373" s="2" t="inlineStr"/>
    </row>
    <row r="374" ht="15" customHeight="1">
      <c r="A374" t="inlineStr">
        <is>
          <t>A 10449-2020</t>
        </is>
      </c>
      <c r="B374" s="1" t="n">
        <v>43886</v>
      </c>
      <c r="C374" s="1" t="n">
        <v>45662</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11213-2020</t>
        </is>
      </c>
      <c r="B375" s="1" t="n">
        <v>43892</v>
      </c>
      <c r="C375" s="1" t="n">
        <v>45662</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12428-2020</t>
        </is>
      </c>
      <c r="B376" s="1" t="n">
        <v>43896</v>
      </c>
      <c r="C376" s="1" t="n">
        <v>45662</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12855-2020</t>
        </is>
      </c>
      <c r="B377" s="1" t="n">
        <v>43899</v>
      </c>
      <c r="C377" s="1" t="n">
        <v>45662</v>
      </c>
      <c r="D377" t="inlineStr">
        <is>
          <t>VÄRMLANDS LÄN</t>
        </is>
      </c>
      <c r="E377" t="inlineStr">
        <is>
          <t>TORSBY</t>
        </is>
      </c>
      <c r="G377" t="n">
        <v>5.9</v>
      </c>
      <c r="H377" t="n">
        <v>0</v>
      </c>
      <c r="I377" t="n">
        <v>0</v>
      </c>
      <c r="J377" t="n">
        <v>0</v>
      </c>
      <c r="K377" t="n">
        <v>0</v>
      </c>
      <c r="L377" t="n">
        <v>0</v>
      </c>
      <c r="M377" t="n">
        <v>0</v>
      </c>
      <c r="N377" t="n">
        <v>0</v>
      </c>
      <c r="O377" t="n">
        <v>0</v>
      </c>
      <c r="P377" t="n">
        <v>0</v>
      </c>
      <c r="Q377" t="n">
        <v>0</v>
      </c>
      <c r="R377" s="2" t="inlineStr"/>
    </row>
    <row r="378" ht="15" customHeight="1">
      <c r="A378" t="inlineStr">
        <is>
          <t>A 12881-2020</t>
        </is>
      </c>
      <c r="B378" s="1" t="n">
        <v>43900</v>
      </c>
      <c r="C378" s="1" t="n">
        <v>45662</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14246-2020</t>
        </is>
      </c>
      <c r="B379" s="1" t="n">
        <v>43900</v>
      </c>
      <c r="C379" s="1" t="n">
        <v>45662</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13153-2020</t>
        </is>
      </c>
      <c r="B380" s="1" t="n">
        <v>43901</v>
      </c>
      <c r="C380" s="1" t="n">
        <v>45662</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13250-2020</t>
        </is>
      </c>
      <c r="B381" s="1" t="n">
        <v>43901</v>
      </c>
      <c r="C381" s="1" t="n">
        <v>45662</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14695-2020</t>
        </is>
      </c>
      <c r="B382" s="1" t="n">
        <v>43903</v>
      </c>
      <c r="C382" s="1" t="n">
        <v>45662</v>
      </c>
      <c r="D382" t="inlineStr">
        <is>
          <t>VÄRMLANDS LÄN</t>
        </is>
      </c>
      <c r="E382" t="inlineStr">
        <is>
          <t>TORSBY</t>
        </is>
      </c>
      <c r="G382" t="n">
        <v>8</v>
      </c>
      <c r="H382" t="n">
        <v>0</v>
      </c>
      <c r="I382" t="n">
        <v>0</v>
      </c>
      <c r="J382" t="n">
        <v>0</v>
      </c>
      <c r="K382" t="n">
        <v>0</v>
      </c>
      <c r="L382" t="n">
        <v>0</v>
      </c>
      <c r="M382" t="n">
        <v>0</v>
      </c>
      <c r="N382" t="n">
        <v>0</v>
      </c>
      <c r="O382" t="n">
        <v>0</v>
      </c>
      <c r="P382" t="n">
        <v>0</v>
      </c>
      <c r="Q382" t="n">
        <v>0</v>
      </c>
      <c r="R382" s="2" t="inlineStr"/>
    </row>
    <row r="383" ht="15" customHeight="1">
      <c r="A383" t="inlineStr">
        <is>
          <t>A 14693-2020</t>
        </is>
      </c>
      <c r="B383" s="1" t="n">
        <v>43903</v>
      </c>
      <c r="C383" s="1" t="n">
        <v>45662</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14962-2020</t>
        </is>
      </c>
      <c r="B384" s="1" t="n">
        <v>43907</v>
      </c>
      <c r="C384" s="1" t="n">
        <v>45662</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14968-2020</t>
        </is>
      </c>
      <c r="B385" s="1" t="n">
        <v>43907</v>
      </c>
      <c r="C385" s="1" t="n">
        <v>45662</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14702-2020</t>
        </is>
      </c>
      <c r="B386" s="1" t="n">
        <v>43909</v>
      </c>
      <c r="C386" s="1" t="n">
        <v>45662</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14694-2020</t>
        </is>
      </c>
      <c r="B387" s="1" t="n">
        <v>43909</v>
      </c>
      <c r="C387" s="1" t="n">
        <v>45662</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14851-2020</t>
        </is>
      </c>
      <c r="B388" s="1" t="n">
        <v>43909</v>
      </c>
      <c r="C388" s="1" t="n">
        <v>45662</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15161-2020</t>
        </is>
      </c>
      <c r="B389" s="1" t="n">
        <v>43912</v>
      </c>
      <c r="C389" s="1" t="n">
        <v>45662</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15280-2020</t>
        </is>
      </c>
      <c r="B390" s="1" t="n">
        <v>43913</v>
      </c>
      <c r="C390" s="1" t="n">
        <v>45662</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15589-2020</t>
        </is>
      </c>
      <c r="B391" s="1" t="n">
        <v>43914</v>
      </c>
      <c r="C391" s="1" t="n">
        <v>45662</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15701-2020</t>
        </is>
      </c>
      <c r="B392" s="1" t="n">
        <v>43915</v>
      </c>
      <c r="C392" s="1" t="n">
        <v>45662</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15768-2020</t>
        </is>
      </c>
      <c r="B393" s="1" t="n">
        <v>43915</v>
      </c>
      <c r="C393" s="1" t="n">
        <v>45662</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16101-2020</t>
        </is>
      </c>
      <c r="B394" s="1" t="n">
        <v>43916</v>
      </c>
      <c r="C394" s="1" t="n">
        <v>45662</v>
      </c>
      <c r="D394" t="inlineStr">
        <is>
          <t>VÄRMLANDS LÄN</t>
        </is>
      </c>
      <c r="E394" t="inlineStr">
        <is>
          <t>TORSBY</t>
        </is>
      </c>
      <c r="G394" t="n">
        <v>14.6</v>
      </c>
      <c r="H394" t="n">
        <v>0</v>
      </c>
      <c r="I394" t="n">
        <v>0</v>
      </c>
      <c r="J394" t="n">
        <v>0</v>
      </c>
      <c r="K394" t="n">
        <v>0</v>
      </c>
      <c r="L394" t="n">
        <v>0</v>
      </c>
      <c r="M394" t="n">
        <v>0</v>
      </c>
      <c r="N394" t="n">
        <v>0</v>
      </c>
      <c r="O394" t="n">
        <v>0</v>
      </c>
      <c r="P394" t="n">
        <v>0</v>
      </c>
      <c r="Q394" t="n">
        <v>0</v>
      </c>
      <c r="R394" s="2" t="inlineStr"/>
    </row>
    <row r="395" ht="15" customHeight="1">
      <c r="A395" t="inlineStr">
        <is>
          <t>A 16364-2020</t>
        </is>
      </c>
      <c r="B395" s="1" t="n">
        <v>43917</v>
      </c>
      <c r="C395" s="1" t="n">
        <v>45662</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16437-2020</t>
        </is>
      </c>
      <c r="B396" s="1" t="n">
        <v>43919</v>
      </c>
      <c r="C396" s="1" t="n">
        <v>45662</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17021-2020</t>
        </is>
      </c>
      <c r="B397" s="1" t="n">
        <v>43921</v>
      </c>
      <c r="C397" s="1" t="n">
        <v>45662</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16999-2020</t>
        </is>
      </c>
      <c r="B398" s="1" t="n">
        <v>43921</v>
      </c>
      <c r="C398" s="1" t="n">
        <v>45662</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17009-2020</t>
        </is>
      </c>
      <c r="B399" s="1" t="n">
        <v>43921</v>
      </c>
      <c r="C399" s="1" t="n">
        <v>45662</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18155-2020</t>
        </is>
      </c>
      <c r="B400" s="1" t="n">
        <v>43927</v>
      </c>
      <c r="C400" s="1" t="n">
        <v>45662</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18641-2020</t>
        </is>
      </c>
      <c r="B401" s="1" t="n">
        <v>43928</v>
      </c>
      <c r="C401" s="1" t="n">
        <v>45662</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18769-2020</t>
        </is>
      </c>
      <c r="B402" s="1" t="n">
        <v>43930</v>
      </c>
      <c r="C402" s="1" t="n">
        <v>45662</v>
      </c>
      <c r="D402" t="inlineStr">
        <is>
          <t>VÄRMLANDS LÄN</t>
        </is>
      </c>
      <c r="E402" t="inlineStr">
        <is>
          <t>TORSBY</t>
        </is>
      </c>
      <c r="G402" t="n">
        <v>5.2</v>
      </c>
      <c r="H402" t="n">
        <v>0</v>
      </c>
      <c r="I402" t="n">
        <v>0</v>
      </c>
      <c r="J402" t="n">
        <v>0</v>
      </c>
      <c r="K402" t="n">
        <v>0</v>
      </c>
      <c r="L402" t="n">
        <v>0</v>
      </c>
      <c r="M402" t="n">
        <v>0</v>
      </c>
      <c r="N402" t="n">
        <v>0</v>
      </c>
      <c r="O402" t="n">
        <v>0</v>
      </c>
      <c r="P402" t="n">
        <v>0</v>
      </c>
      <c r="Q402" t="n">
        <v>0</v>
      </c>
      <c r="R402" s="2" t="inlineStr"/>
    </row>
    <row r="403" ht="15" customHeight="1">
      <c r="A403" t="inlineStr">
        <is>
          <t>A 18770-2020</t>
        </is>
      </c>
      <c r="B403" s="1" t="n">
        <v>43930</v>
      </c>
      <c r="C403" s="1" t="n">
        <v>45662</v>
      </c>
      <c r="D403" t="inlineStr">
        <is>
          <t>VÄRMLANDS LÄN</t>
        </is>
      </c>
      <c r="E403" t="inlineStr">
        <is>
          <t>TORSBY</t>
        </is>
      </c>
      <c r="G403" t="n">
        <v>4.2</v>
      </c>
      <c r="H403" t="n">
        <v>0</v>
      </c>
      <c r="I403" t="n">
        <v>0</v>
      </c>
      <c r="J403" t="n">
        <v>0</v>
      </c>
      <c r="K403" t="n">
        <v>0</v>
      </c>
      <c r="L403" t="n">
        <v>0</v>
      </c>
      <c r="M403" t="n">
        <v>0</v>
      </c>
      <c r="N403" t="n">
        <v>0</v>
      </c>
      <c r="O403" t="n">
        <v>0</v>
      </c>
      <c r="P403" t="n">
        <v>0</v>
      </c>
      <c r="Q403" t="n">
        <v>0</v>
      </c>
      <c r="R403" s="2" t="inlineStr"/>
    </row>
    <row r="404" ht="15" customHeight="1">
      <c r="A404" t="inlineStr">
        <is>
          <t>A 18972-2020</t>
        </is>
      </c>
      <c r="B404" s="1" t="n">
        <v>43935</v>
      </c>
      <c r="C404" s="1" t="n">
        <v>45662</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19032-2020</t>
        </is>
      </c>
      <c r="B405" s="1" t="n">
        <v>43936</v>
      </c>
      <c r="C405" s="1" t="n">
        <v>45662</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19181-2020</t>
        </is>
      </c>
      <c r="B406" s="1" t="n">
        <v>43937</v>
      </c>
      <c r="C406" s="1" t="n">
        <v>45662</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19384-2020</t>
        </is>
      </c>
      <c r="B407" s="1" t="n">
        <v>43938</v>
      </c>
      <c r="C407" s="1" t="n">
        <v>45662</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19963-2020</t>
        </is>
      </c>
      <c r="B408" s="1" t="n">
        <v>43941</v>
      </c>
      <c r="C408" s="1" t="n">
        <v>45662</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20025-2020</t>
        </is>
      </c>
      <c r="B409" s="1" t="n">
        <v>43943</v>
      </c>
      <c r="C409" s="1" t="n">
        <v>45662</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20280-2020</t>
        </is>
      </c>
      <c r="B410" s="1" t="n">
        <v>43945</v>
      </c>
      <c r="C410" s="1" t="n">
        <v>45662</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20464-2020</t>
        </is>
      </c>
      <c r="B411" s="1" t="n">
        <v>43948</v>
      </c>
      <c r="C411" s="1" t="n">
        <v>45662</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21099-2020</t>
        </is>
      </c>
      <c r="B412" s="1" t="n">
        <v>43951</v>
      </c>
      <c r="C412" s="1" t="n">
        <v>45662</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21335-2020</t>
        </is>
      </c>
      <c r="B413" s="1" t="n">
        <v>43951</v>
      </c>
      <c r="C413" s="1" t="n">
        <v>45662</v>
      </c>
      <c r="D413" t="inlineStr">
        <is>
          <t>VÄRMLANDS LÄN</t>
        </is>
      </c>
      <c r="E413" t="inlineStr">
        <is>
          <t>TORSBY</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21369-2020</t>
        </is>
      </c>
      <c r="B414" s="1" t="n">
        <v>43951</v>
      </c>
      <c r="C414" s="1" t="n">
        <v>45662</v>
      </c>
      <c r="D414" t="inlineStr">
        <is>
          <t>VÄRMLANDS LÄN</t>
        </is>
      </c>
      <c r="E414" t="inlineStr">
        <is>
          <t>TORSBY</t>
        </is>
      </c>
      <c r="F414" t="inlineStr">
        <is>
          <t>Övriga Aktiebolag</t>
        </is>
      </c>
      <c r="G414" t="n">
        <v>3.5</v>
      </c>
      <c r="H414" t="n">
        <v>0</v>
      </c>
      <c r="I414" t="n">
        <v>0</v>
      </c>
      <c r="J414" t="n">
        <v>0</v>
      </c>
      <c r="K414" t="n">
        <v>0</v>
      </c>
      <c r="L414" t="n">
        <v>0</v>
      </c>
      <c r="M414" t="n">
        <v>0</v>
      </c>
      <c r="N414" t="n">
        <v>0</v>
      </c>
      <c r="O414" t="n">
        <v>0</v>
      </c>
      <c r="P414" t="n">
        <v>0</v>
      </c>
      <c r="Q414" t="n">
        <v>0</v>
      </c>
      <c r="R414" s="2" t="inlineStr"/>
    </row>
    <row r="415" ht="15" customHeight="1">
      <c r="A415" t="inlineStr">
        <is>
          <t>A 21045-2020</t>
        </is>
      </c>
      <c r="B415" s="1" t="n">
        <v>43951</v>
      </c>
      <c r="C415" s="1" t="n">
        <v>45662</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21347-2020</t>
        </is>
      </c>
      <c r="B416" s="1" t="n">
        <v>43951</v>
      </c>
      <c r="C416" s="1" t="n">
        <v>45662</v>
      </c>
      <c r="D416" t="inlineStr">
        <is>
          <t>VÄRMLANDS LÄN</t>
        </is>
      </c>
      <c r="E416" t="inlineStr">
        <is>
          <t>TORSBY</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21900-2020</t>
        </is>
      </c>
      <c r="B417" s="1" t="n">
        <v>43955</v>
      </c>
      <c r="C417" s="1" t="n">
        <v>45662</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21672-2020</t>
        </is>
      </c>
      <c r="B418" s="1" t="n">
        <v>43957</v>
      </c>
      <c r="C418" s="1" t="n">
        <v>45662</v>
      </c>
      <c r="D418" t="inlineStr">
        <is>
          <t>VÄRMLANDS LÄN</t>
        </is>
      </c>
      <c r="E418" t="inlineStr">
        <is>
          <t>TORSBY</t>
        </is>
      </c>
      <c r="F418" t="inlineStr">
        <is>
          <t>Bergvik skog väst AB</t>
        </is>
      </c>
      <c r="G418" t="n">
        <v>44.1</v>
      </c>
      <c r="H418" t="n">
        <v>0</v>
      </c>
      <c r="I418" t="n">
        <v>0</v>
      </c>
      <c r="J418" t="n">
        <v>0</v>
      </c>
      <c r="K418" t="n">
        <v>0</v>
      </c>
      <c r="L418" t="n">
        <v>0</v>
      </c>
      <c r="M418" t="n">
        <v>0</v>
      </c>
      <c r="N418" t="n">
        <v>0</v>
      </c>
      <c r="O418" t="n">
        <v>0</v>
      </c>
      <c r="P418" t="n">
        <v>0</v>
      </c>
      <c r="Q418" t="n">
        <v>0</v>
      </c>
      <c r="R418" s="2" t="inlineStr"/>
    </row>
    <row r="419" ht="15" customHeight="1">
      <c r="A419" t="inlineStr">
        <is>
          <t>A 22194-2020</t>
        </is>
      </c>
      <c r="B419" s="1" t="n">
        <v>43962</v>
      </c>
      <c r="C419" s="1" t="n">
        <v>45662</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22209-2020</t>
        </is>
      </c>
      <c r="B420" s="1" t="n">
        <v>43962</v>
      </c>
      <c r="C420" s="1" t="n">
        <v>45662</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25518-2020</t>
        </is>
      </c>
      <c r="B421" s="1" t="n">
        <v>43983</v>
      </c>
      <c r="C421" s="1" t="n">
        <v>45662</v>
      </c>
      <c r="D421" t="inlineStr">
        <is>
          <t>VÄRMLANDS LÄN</t>
        </is>
      </c>
      <c r="E421" t="inlineStr">
        <is>
          <t>TORSBY</t>
        </is>
      </c>
      <c r="G421" t="n">
        <v>0.2</v>
      </c>
      <c r="H421" t="n">
        <v>0</v>
      </c>
      <c r="I421" t="n">
        <v>0</v>
      </c>
      <c r="J421" t="n">
        <v>0</v>
      </c>
      <c r="K421" t="n">
        <v>0</v>
      </c>
      <c r="L421" t="n">
        <v>0</v>
      </c>
      <c r="M421" t="n">
        <v>0</v>
      </c>
      <c r="N421" t="n">
        <v>0</v>
      </c>
      <c r="O421" t="n">
        <v>0</v>
      </c>
      <c r="P421" t="n">
        <v>0</v>
      </c>
      <c r="Q421" t="n">
        <v>0</v>
      </c>
      <c r="R421" s="2" t="inlineStr"/>
    </row>
    <row r="422" ht="15" customHeight="1">
      <c r="A422" t="inlineStr">
        <is>
          <t>A 26915-2020</t>
        </is>
      </c>
      <c r="B422" s="1" t="n">
        <v>43986</v>
      </c>
      <c r="C422" s="1" t="n">
        <v>45662</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26926-2020</t>
        </is>
      </c>
      <c r="B423" s="1" t="n">
        <v>43986</v>
      </c>
      <c r="C423" s="1" t="n">
        <v>45662</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26919-2020</t>
        </is>
      </c>
      <c r="B424" s="1" t="n">
        <v>43986</v>
      </c>
      <c r="C424" s="1" t="n">
        <v>45662</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26666-2020</t>
        </is>
      </c>
      <c r="B425" s="1" t="n">
        <v>43989</v>
      </c>
      <c r="C425" s="1" t="n">
        <v>45662</v>
      </c>
      <c r="D425" t="inlineStr">
        <is>
          <t>VÄRMLANDS LÄN</t>
        </is>
      </c>
      <c r="E425" t="inlineStr">
        <is>
          <t>TORSBY</t>
        </is>
      </c>
      <c r="G425" t="n">
        <v>8.4</v>
      </c>
      <c r="H425" t="n">
        <v>0</v>
      </c>
      <c r="I425" t="n">
        <v>0</v>
      </c>
      <c r="J425" t="n">
        <v>0</v>
      </c>
      <c r="K425" t="n">
        <v>0</v>
      </c>
      <c r="L425" t="n">
        <v>0</v>
      </c>
      <c r="M425" t="n">
        <v>0</v>
      </c>
      <c r="N425" t="n">
        <v>0</v>
      </c>
      <c r="O425" t="n">
        <v>0</v>
      </c>
      <c r="P425" t="n">
        <v>0</v>
      </c>
      <c r="Q425" t="n">
        <v>0</v>
      </c>
      <c r="R425" s="2" t="inlineStr"/>
    </row>
    <row r="426" ht="15" customHeight="1">
      <c r="A426" t="inlineStr">
        <is>
          <t>A 27339-2020</t>
        </is>
      </c>
      <c r="B426" s="1" t="n">
        <v>43990</v>
      </c>
      <c r="C426" s="1" t="n">
        <v>45662</v>
      </c>
      <c r="D426" t="inlineStr">
        <is>
          <t>VÄRMLANDS LÄN</t>
        </is>
      </c>
      <c r="E426" t="inlineStr">
        <is>
          <t>TORSBY</t>
        </is>
      </c>
      <c r="G426" t="n">
        <v>4.2</v>
      </c>
      <c r="H426" t="n">
        <v>0</v>
      </c>
      <c r="I426" t="n">
        <v>0</v>
      </c>
      <c r="J426" t="n">
        <v>0</v>
      </c>
      <c r="K426" t="n">
        <v>0</v>
      </c>
      <c r="L426" t="n">
        <v>0</v>
      </c>
      <c r="M426" t="n">
        <v>0</v>
      </c>
      <c r="N426" t="n">
        <v>0</v>
      </c>
      <c r="O426" t="n">
        <v>0</v>
      </c>
      <c r="P426" t="n">
        <v>0</v>
      </c>
      <c r="Q426" t="n">
        <v>0</v>
      </c>
      <c r="R426" s="2" t="inlineStr"/>
    </row>
    <row r="427" ht="15" customHeight="1">
      <c r="A427" t="inlineStr">
        <is>
          <t>A 27009-2020</t>
        </is>
      </c>
      <c r="B427" s="1" t="n">
        <v>43991</v>
      </c>
      <c r="C427" s="1" t="n">
        <v>45662</v>
      </c>
      <c r="D427" t="inlineStr">
        <is>
          <t>VÄRMLANDS LÄN</t>
        </is>
      </c>
      <c r="E427" t="inlineStr">
        <is>
          <t>TORSBY</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28397-2020</t>
        </is>
      </c>
      <c r="B428" s="1" t="n">
        <v>43998</v>
      </c>
      <c r="C428" s="1" t="n">
        <v>45662</v>
      </c>
      <c r="D428" t="inlineStr">
        <is>
          <t>VÄRMLANDS LÄN</t>
        </is>
      </c>
      <c r="E428" t="inlineStr">
        <is>
          <t>TORSBY</t>
        </is>
      </c>
      <c r="G428" t="n">
        <v>7.3</v>
      </c>
      <c r="H428" t="n">
        <v>0</v>
      </c>
      <c r="I428" t="n">
        <v>0</v>
      </c>
      <c r="J428" t="n">
        <v>0</v>
      </c>
      <c r="K428" t="n">
        <v>0</v>
      </c>
      <c r="L428" t="n">
        <v>0</v>
      </c>
      <c r="M428" t="n">
        <v>0</v>
      </c>
      <c r="N428" t="n">
        <v>0</v>
      </c>
      <c r="O428" t="n">
        <v>0</v>
      </c>
      <c r="P428" t="n">
        <v>0</v>
      </c>
      <c r="Q428" t="n">
        <v>0</v>
      </c>
      <c r="R428" s="2" t="inlineStr"/>
    </row>
    <row r="429" ht="15" customHeight="1">
      <c r="A429" t="inlineStr">
        <is>
          <t>A 28416-2020</t>
        </is>
      </c>
      <c r="B429" s="1" t="n">
        <v>43998</v>
      </c>
      <c r="C429" s="1" t="n">
        <v>45662</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28703-2020</t>
        </is>
      </c>
      <c r="B430" s="1" t="n">
        <v>43999</v>
      </c>
      <c r="C430" s="1" t="n">
        <v>45662</v>
      </c>
      <c r="D430" t="inlineStr">
        <is>
          <t>VÄRMLANDS LÄN</t>
        </is>
      </c>
      <c r="E430" t="inlineStr">
        <is>
          <t>TORSBY</t>
        </is>
      </c>
      <c r="G430" t="n">
        <v>4.3</v>
      </c>
      <c r="H430" t="n">
        <v>0</v>
      </c>
      <c r="I430" t="n">
        <v>0</v>
      </c>
      <c r="J430" t="n">
        <v>0</v>
      </c>
      <c r="K430" t="n">
        <v>0</v>
      </c>
      <c r="L430" t="n">
        <v>0</v>
      </c>
      <c r="M430" t="n">
        <v>0</v>
      </c>
      <c r="N430" t="n">
        <v>0</v>
      </c>
      <c r="O430" t="n">
        <v>0</v>
      </c>
      <c r="P430" t="n">
        <v>0</v>
      </c>
      <c r="Q430" t="n">
        <v>0</v>
      </c>
      <c r="R430" s="2" t="inlineStr"/>
    </row>
    <row r="431" ht="15" customHeight="1">
      <c r="A431" t="inlineStr">
        <is>
          <t>A 28849-2020</t>
        </is>
      </c>
      <c r="B431" s="1" t="n">
        <v>44000</v>
      </c>
      <c r="C431" s="1" t="n">
        <v>45662</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28897-2020</t>
        </is>
      </c>
      <c r="B432" s="1" t="n">
        <v>44000</v>
      </c>
      <c r="C432" s="1" t="n">
        <v>45662</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28911-2020</t>
        </is>
      </c>
      <c r="B433" s="1" t="n">
        <v>44000</v>
      </c>
      <c r="C433" s="1" t="n">
        <v>45662</v>
      </c>
      <c r="D433" t="inlineStr">
        <is>
          <t>VÄRMLANDS LÄN</t>
        </is>
      </c>
      <c r="E433" t="inlineStr">
        <is>
          <t>TORSBY</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28976-2020</t>
        </is>
      </c>
      <c r="B434" s="1" t="n">
        <v>44000</v>
      </c>
      <c r="C434" s="1" t="n">
        <v>45662</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28987-2020</t>
        </is>
      </c>
      <c r="B435" s="1" t="n">
        <v>44000</v>
      </c>
      <c r="C435" s="1" t="n">
        <v>45662</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29970-2020</t>
        </is>
      </c>
      <c r="B436" s="1" t="n">
        <v>44006</v>
      </c>
      <c r="C436" s="1" t="n">
        <v>45662</v>
      </c>
      <c r="D436" t="inlineStr">
        <is>
          <t>VÄRMLANDS LÄN</t>
        </is>
      </c>
      <c r="E436" t="inlineStr">
        <is>
          <t>TORSBY</t>
        </is>
      </c>
      <c r="F436" t="inlineStr">
        <is>
          <t>Bergvik skog väst AB</t>
        </is>
      </c>
      <c r="G436" t="n">
        <v>7.4</v>
      </c>
      <c r="H436" t="n">
        <v>0</v>
      </c>
      <c r="I436" t="n">
        <v>0</v>
      </c>
      <c r="J436" t="n">
        <v>0</v>
      </c>
      <c r="K436" t="n">
        <v>0</v>
      </c>
      <c r="L436" t="n">
        <v>0</v>
      </c>
      <c r="M436" t="n">
        <v>0</v>
      </c>
      <c r="N436" t="n">
        <v>0</v>
      </c>
      <c r="O436" t="n">
        <v>0</v>
      </c>
      <c r="P436" t="n">
        <v>0</v>
      </c>
      <c r="Q436" t="n">
        <v>0</v>
      </c>
      <c r="R436" s="2" t="inlineStr"/>
    </row>
    <row r="437" ht="15" customHeight="1">
      <c r="A437" t="inlineStr">
        <is>
          <t>A 30572-2020</t>
        </is>
      </c>
      <c r="B437" s="1" t="n">
        <v>44008</v>
      </c>
      <c r="C437" s="1" t="n">
        <v>45662</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30996-2020</t>
        </is>
      </c>
      <c r="B438" s="1" t="n">
        <v>44011</v>
      </c>
      <c r="C438" s="1" t="n">
        <v>45662</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30930-2020</t>
        </is>
      </c>
      <c r="B439" s="1" t="n">
        <v>44011</v>
      </c>
      <c r="C439" s="1" t="n">
        <v>45662</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31298-2020</t>
        </is>
      </c>
      <c r="B440" s="1" t="n">
        <v>44012</v>
      </c>
      <c r="C440" s="1" t="n">
        <v>45662</v>
      </c>
      <c r="D440" t="inlineStr">
        <is>
          <t>VÄRMLANDS LÄN</t>
        </is>
      </c>
      <c r="E440" t="inlineStr">
        <is>
          <t>TORSBY</t>
        </is>
      </c>
      <c r="G440" t="n">
        <v>4.3</v>
      </c>
      <c r="H440" t="n">
        <v>0</v>
      </c>
      <c r="I440" t="n">
        <v>0</v>
      </c>
      <c r="J440" t="n">
        <v>0</v>
      </c>
      <c r="K440" t="n">
        <v>0</v>
      </c>
      <c r="L440" t="n">
        <v>0</v>
      </c>
      <c r="M440" t="n">
        <v>0</v>
      </c>
      <c r="N440" t="n">
        <v>0</v>
      </c>
      <c r="O440" t="n">
        <v>0</v>
      </c>
      <c r="P440" t="n">
        <v>0</v>
      </c>
      <c r="Q440" t="n">
        <v>0</v>
      </c>
      <c r="R440" s="2" t="inlineStr"/>
    </row>
    <row r="441" ht="15" customHeight="1">
      <c r="A441" t="inlineStr">
        <is>
          <t>A 31436-2020</t>
        </is>
      </c>
      <c r="B441" s="1" t="n">
        <v>44013</v>
      </c>
      <c r="C441" s="1" t="n">
        <v>45662</v>
      </c>
      <c r="D441" t="inlineStr">
        <is>
          <t>VÄRMLANDS LÄN</t>
        </is>
      </c>
      <c r="E441" t="inlineStr">
        <is>
          <t>TORSBY</t>
        </is>
      </c>
      <c r="G441" t="n">
        <v>0.6</v>
      </c>
      <c r="H441" t="n">
        <v>0</v>
      </c>
      <c r="I441" t="n">
        <v>0</v>
      </c>
      <c r="J441" t="n">
        <v>0</v>
      </c>
      <c r="K441" t="n">
        <v>0</v>
      </c>
      <c r="L441" t="n">
        <v>0</v>
      </c>
      <c r="M441" t="n">
        <v>0</v>
      </c>
      <c r="N441" t="n">
        <v>0</v>
      </c>
      <c r="O441" t="n">
        <v>0</v>
      </c>
      <c r="P441" t="n">
        <v>0</v>
      </c>
      <c r="Q441" t="n">
        <v>0</v>
      </c>
      <c r="R441" s="2" t="inlineStr"/>
    </row>
    <row r="442" ht="15" customHeight="1">
      <c r="A442" t="inlineStr">
        <is>
          <t>A 31577-2020</t>
        </is>
      </c>
      <c r="B442" s="1" t="n">
        <v>44013</v>
      </c>
      <c r="C442" s="1" t="n">
        <v>45662</v>
      </c>
      <c r="D442" t="inlineStr">
        <is>
          <t>VÄRMLANDS LÄN</t>
        </is>
      </c>
      <c r="E442" t="inlineStr">
        <is>
          <t>TORSBY</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31759-2020</t>
        </is>
      </c>
      <c r="B443" s="1" t="n">
        <v>44014</v>
      </c>
      <c r="C443" s="1" t="n">
        <v>45662</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32122-2020</t>
        </is>
      </c>
      <c r="B444" s="1" t="n">
        <v>44015</v>
      </c>
      <c r="C444" s="1" t="n">
        <v>45662</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32623-2020</t>
        </is>
      </c>
      <c r="B445" s="1" t="n">
        <v>44019</v>
      </c>
      <c r="C445" s="1" t="n">
        <v>45662</v>
      </c>
      <c r="D445" t="inlineStr">
        <is>
          <t>VÄRMLANDS LÄN</t>
        </is>
      </c>
      <c r="E445" t="inlineStr">
        <is>
          <t>TORSBY</t>
        </is>
      </c>
      <c r="F445" t="inlineStr">
        <is>
          <t>Kommuner</t>
        </is>
      </c>
      <c r="G445" t="n">
        <v>13.9</v>
      </c>
      <c r="H445" t="n">
        <v>0</v>
      </c>
      <c r="I445" t="n">
        <v>0</v>
      </c>
      <c r="J445" t="n">
        <v>0</v>
      </c>
      <c r="K445" t="n">
        <v>0</v>
      </c>
      <c r="L445" t="n">
        <v>0</v>
      </c>
      <c r="M445" t="n">
        <v>0</v>
      </c>
      <c r="N445" t="n">
        <v>0</v>
      </c>
      <c r="O445" t="n">
        <v>0</v>
      </c>
      <c r="P445" t="n">
        <v>0</v>
      </c>
      <c r="Q445" t="n">
        <v>0</v>
      </c>
      <c r="R445" s="2" t="inlineStr"/>
    </row>
    <row r="446" ht="15" customHeight="1">
      <c r="A446" t="inlineStr">
        <is>
          <t>A 32651-2020</t>
        </is>
      </c>
      <c r="B446" s="1" t="n">
        <v>44019</v>
      </c>
      <c r="C446" s="1" t="n">
        <v>45662</v>
      </c>
      <c r="D446" t="inlineStr">
        <is>
          <t>VÄRMLANDS LÄN</t>
        </is>
      </c>
      <c r="E446" t="inlineStr">
        <is>
          <t>TORSBY</t>
        </is>
      </c>
      <c r="F446" t="inlineStr">
        <is>
          <t>Kommuner</t>
        </is>
      </c>
      <c r="G446" t="n">
        <v>8.6</v>
      </c>
      <c r="H446" t="n">
        <v>0</v>
      </c>
      <c r="I446" t="n">
        <v>0</v>
      </c>
      <c r="J446" t="n">
        <v>0</v>
      </c>
      <c r="K446" t="n">
        <v>0</v>
      </c>
      <c r="L446" t="n">
        <v>0</v>
      </c>
      <c r="M446" t="n">
        <v>0</v>
      </c>
      <c r="N446" t="n">
        <v>0</v>
      </c>
      <c r="O446" t="n">
        <v>0</v>
      </c>
      <c r="P446" t="n">
        <v>0</v>
      </c>
      <c r="Q446" t="n">
        <v>0</v>
      </c>
      <c r="R446" s="2" t="inlineStr"/>
    </row>
    <row r="447" ht="15" customHeight="1">
      <c r="A447" t="inlineStr">
        <is>
          <t>A 33124-2020</t>
        </is>
      </c>
      <c r="B447" s="1" t="n">
        <v>44021</v>
      </c>
      <c r="C447" s="1" t="n">
        <v>45662</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33095-2020</t>
        </is>
      </c>
      <c r="B448" s="1" t="n">
        <v>44021</v>
      </c>
      <c r="C448" s="1" t="n">
        <v>45662</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33126-2020</t>
        </is>
      </c>
      <c r="B449" s="1" t="n">
        <v>44021</v>
      </c>
      <c r="C449" s="1" t="n">
        <v>45662</v>
      </c>
      <c r="D449" t="inlineStr">
        <is>
          <t>VÄRMLANDS LÄN</t>
        </is>
      </c>
      <c r="E449" t="inlineStr">
        <is>
          <t>TORSBY</t>
        </is>
      </c>
      <c r="G449" t="n">
        <v>1.7</v>
      </c>
      <c r="H449" t="n">
        <v>0</v>
      </c>
      <c r="I449" t="n">
        <v>0</v>
      </c>
      <c r="J449" t="n">
        <v>0</v>
      </c>
      <c r="K449" t="n">
        <v>0</v>
      </c>
      <c r="L449" t="n">
        <v>0</v>
      </c>
      <c r="M449" t="n">
        <v>0</v>
      </c>
      <c r="N449" t="n">
        <v>0</v>
      </c>
      <c r="O449" t="n">
        <v>0</v>
      </c>
      <c r="P449" t="n">
        <v>0</v>
      </c>
      <c r="Q449" t="n">
        <v>0</v>
      </c>
      <c r="R449" s="2" t="inlineStr"/>
    </row>
    <row r="450" ht="15" customHeight="1">
      <c r="A450" t="inlineStr">
        <is>
          <t>A 33691-2020</t>
        </is>
      </c>
      <c r="B450" s="1" t="n">
        <v>44022</v>
      </c>
      <c r="C450" s="1" t="n">
        <v>45662</v>
      </c>
      <c r="D450" t="inlineStr">
        <is>
          <t>VÄRMLANDS LÄN</t>
        </is>
      </c>
      <c r="E450" t="inlineStr">
        <is>
          <t>TORSBY</t>
        </is>
      </c>
      <c r="F450" t="inlineStr">
        <is>
          <t>Övriga Aktiebolag</t>
        </is>
      </c>
      <c r="G450" t="n">
        <v>3.8</v>
      </c>
      <c r="H450" t="n">
        <v>0</v>
      </c>
      <c r="I450" t="n">
        <v>0</v>
      </c>
      <c r="J450" t="n">
        <v>0</v>
      </c>
      <c r="K450" t="n">
        <v>0</v>
      </c>
      <c r="L450" t="n">
        <v>0</v>
      </c>
      <c r="M450" t="n">
        <v>0</v>
      </c>
      <c r="N450" t="n">
        <v>0</v>
      </c>
      <c r="O450" t="n">
        <v>0</v>
      </c>
      <c r="P450" t="n">
        <v>0</v>
      </c>
      <c r="Q450" t="n">
        <v>0</v>
      </c>
      <c r="R450" s="2" t="inlineStr"/>
    </row>
    <row r="451" ht="15" customHeight="1">
      <c r="A451" t="inlineStr">
        <is>
          <t>A 34901-2020</t>
        </is>
      </c>
      <c r="B451" s="1" t="n">
        <v>44022</v>
      </c>
      <c r="C451" s="1" t="n">
        <v>45662</v>
      </c>
      <c r="D451" t="inlineStr">
        <is>
          <t>VÄRMLANDS LÄN</t>
        </is>
      </c>
      <c r="E451" t="inlineStr">
        <is>
          <t>TORSBY</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33908-2020</t>
        </is>
      </c>
      <c r="B452" s="1" t="n">
        <v>44027</v>
      </c>
      <c r="C452" s="1" t="n">
        <v>45662</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33864-2020</t>
        </is>
      </c>
      <c r="B453" s="1" t="n">
        <v>44027</v>
      </c>
      <c r="C453" s="1" t="n">
        <v>45662</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34118-2020</t>
        </is>
      </c>
      <c r="B454" s="1" t="n">
        <v>44028</v>
      </c>
      <c r="C454" s="1" t="n">
        <v>45662</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34247-2020</t>
        </is>
      </c>
      <c r="B455" s="1" t="n">
        <v>44029</v>
      </c>
      <c r="C455" s="1" t="n">
        <v>45662</v>
      </c>
      <c r="D455" t="inlineStr">
        <is>
          <t>VÄRMLANDS LÄN</t>
        </is>
      </c>
      <c r="E455" t="inlineStr">
        <is>
          <t>TORSBY</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35132-2020</t>
        </is>
      </c>
      <c r="B456" s="1" t="n">
        <v>44040</v>
      </c>
      <c r="C456" s="1" t="n">
        <v>45662</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35174-2020</t>
        </is>
      </c>
      <c r="B457" s="1" t="n">
        <v>44040</v>
      </c>
      <c r="C457" s="1" t="n">
        <v>45662</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35500-2020</t>
        </is>
      </c>
      <c r="B458" s="1" t="n">
        <v>44043</v>
      </c>
      <c r="C458" s="1" t="n">
        <v>45662</v>
      </c>
      <c r="D458" t="inlineStr">
        <is>
          <t>VÄRMLANDS LÄN</t>
        </is>
      </c>
      <c r="E458" t="inlineStr">
        <is>
          <t>TORSBY</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35778-2020</t>
        </is>
      </c>
      <c r="B459" s="1" t="n">
        <v>44046</v>
      </c>
      <c r="C459" s="1" t="n">
        <v>45662</v>
      </c>
      <c r="D459" t="inlineStr">
        <is>
          <t>VÄRMLANDS LÄN</t>
        </is>
      </c>
      <c r="E459" t="inlineStr">
        <is>
          <t>TORSBY</t>
        </is>
      </c>
      <c r="G459" t="n">
        <v>10.2</v>
      </c>
      <c r="H459" t="n">
        <v>0</v>
      </c>
      <c r="I459" t="n">
        <v>0</v>
      </c>
      <c r="J459" t="n">
        <v>0</v>
      </c>
      <c r="K459" t="n">
        <v>0</v>
      </c>
      <c r="L459" t="n">
        <v>0</v>
      </c>
      <c r="M459" t="n">
        <v>0</v>
      </c>
      <c r="N459" t="n">
        <v>0</v>
      </c>
      <c r="O459" t="n">
        <v>0</v>
      </c>
      <c r="P459" t="n">
        <v>0</v>
      </c>
      <c r="Q459" t="n">
        <v>0</v>
      </c>
      <c r="R459" s="2" t="inlineStr"/>
    </row>
    <row r="460" ht="15" customHeight="1">
      <c r="A460" t="inlineStr">
        <is>
          <t>A 35900-2020</t>
        </is>
      </c>
      <c r="B460" s="1" t="n">
        <v>44047</v>
      </c>
      <c r="C460" s="1" t="n">
        <v>45662</v>
      </c>
      <c r="D460" t="inlineStr">
        <is>
          <t>VÄRMLANDS LÄN</t>
        </is>
      </c>
      <c r="E460" t="inlineStr">
        <is>
          <t>TORSBY</t>
        </is>
      </c>
      <c r="G460" t="n">
        <v>7.2</v>
      </c>
      <c r="H460" t="n">
        <v>0</v>
      </c>
      <c r="I460" t="n">
        <v>0</v>
      </c>
      <c r="J460" t="n">
        <v>0</v>
      </c>
      <c r="K460" t="n">
        <v>0</v>
      </c>
      <c r="L460" t="n">
        <v>0</v>
      </c>
      <c r="M460" t="n">
        <v>0</v>
      </c>
      <c r="N460" t="n">
        <v>0</v>
      </c>
      <c r="O460" t="n">
        <v>0</v>
      </c>
      <c r="P460" t="n">
        <v>0</v>
      </c>
      <c r="Q460" t="n">
        <v>0</v>
      </c>
      <c r="R460" s="2" t="inlineStr"/>
    </row>
    <row r="461" ht="15" customHeight="1">
      <c r="A461" t="inlineStr">
        <is>
          <t>A 35955-2020</t>
        </is>
      </c>
      <c r="B461" s="1" t="n">
        <v>44047</v>
      </c>
      <c r="C461" s="1" t="n">
        <v>45662</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35826-2020</t>
        </is>
      </c>
      <c r="B462" s="1" t="n">
        <v>44047</v>
      </c>
      <c r="C462" s="1" t="n">
        <v>45662</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35905-2020</t>
        </is>
      </c>
      <c r="B463" s="1" t="n">
        <v>44047</v>
      </c>
      <c r="C463" s="1" t="n">
        <v>45662</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36482-2020</t>
        </is>
      </c>
      <c r="B464" s="1" t="n">
        <v>44048</v>
      </c>
      <c r="C464" s="1" t="n">
        <v>45662</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36104-2020</t>
        </is>
      </c>
      <c r="B465" s="1" t="n">
        <v>44048</v>
      </c>
      <c r="C465" s="1" t="n">
        <v>45662</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36265-2020</t>
        </is>
      </c>
      <c r="B466" s="1" t="n">
        <v>44049</v>
      </c>
      <c r="C466" s="1" t="n">
        <v>45662</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36396-2020</t>
        </is>
      </c>
      <c r="B467" s="1" t="n">
        <v>44049</v>
      </c>
      <c r="C467" s="1" t="n">
        <v>45662</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36394-2020</t>
        </is>
      </c>
      <c r="B468" s="1" t="n">
        <v>44049</v>
      </c>
      <c r="C468" s="1" t="n">
        <v>45662</v>
      </c>
      <c r="D468" t="inlineStr">
        <is>
          <t>VÄRMLANDS LÄN</t>
        </is>
      </c>
      <c r="E468" t="inlineStr">
        <is>
          <t>TORSBY</t>
        </is>
      </c>
      <c r="G468" t="n">
        <v>7</v>
      </c>
      <c r="H468" t="n">
        <v>0</v>
      </c>
      <c r="I468" t="n">
        <v>0</v>
      </c>
      <c r="J468" t="n">
        <v>0</v>
      </c>
      <c r="K468" t="n">
        <v>0</v>
      </c>
      <c r="L468" t="n">
        <v>0</v>
      </c>
      <c r="M468" t="n">
        <v>0</v>
      </c>
      <c r="N468" t="n">
        <v>0</v>
      </c>
      <c r="O468" t="n">
        <v>0</v>
      </c>
      <c r="P468" t="n">
        <v>0</v>
      </c>
      <c r="Q468" t="n">
        <v>0</v>
      </c>
      <c r="R468" s="2" t="inlineStr"/>
    </row>
    <row r="469" ht="15" customHeight="1">
      <c r="A469" t="inlineStr">
        <is>
          <t>A 36847-2020</t>
        </is>
      </c>
      <c r="B469" s="1" t="n">
        <v>44053</v>
      </c>
      <c r="C469" s="1" t="n">
        <v>45662</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36901-2020</t>
        </is>
      </c>
      <c r="B470" s="1" t="n">
        <v>44053</v>
      </c>
      <c r="C470" s="1" t="n">
        <v>45662</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37305-2020</t>
        </is>
      </c>
      <c r="B471" s="1" t="n">
        <v>44055</v>
      </c>
      <c r="C471" s="1" t="n">
        <v>45662</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37302-2020</t>
        </is>
      </c>
      <c r="B472" s="1" t="n">
        <v>44055</v>
      </c>
      <c r="C472" s="1" t="n">
        <v>45662</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37307-2020</t>
        </is>
      </c>
      <c r="B473" s="1" t="n">
        <v>44055</v>
      </c>
      <c r="C473" s="1" t="n">
        <v>45662</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37303-2020</t>
        </is>
      </c>
      <c r="B474" s="1" t="n">
        <v>44055</v>
      </c>
      <c r="C474" s="1" t="n">
        <v>45662</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38506-2020</t>
        </is>
      </c>
      <c r="B475" s="1" t="n">
        <v>44061</v>
      </c>
      <c r="C475" s="1" t="n">
        <v>45662</v>
      </c>
      <c r="D475" t="inlineStr">
        <is>
          <t>VÄRMLANDS LÄN</t>
        </is>
      </c>
      <c r="E475" t="inlineStr">
        <is>
          <t>TORSBY</t>
        </is>
      </c>
      <c r="G475" t="n">
        <v>5</v>
      </c>
      <c r="H475" t="n">
        <v>0</v>
      </c>
      <c r="I475" t="n">
        <v>0</v>
      </c>
      <c r="J475" t="n">
        <v>0</v>
      </c>
      <c r="K475" t="n">
        <v>0</v>
      </c>
      <c r="L475" t="n">
        <v>0</v>
      </c>
      <c r="M475" t="n">
        <v>0</v>
      </c>
      <c r="N475" t="n">
        <v>0</v>
      </c>
      <c r="O475" t="n">
        <v>0</v>
      </c>
      <c r="P475" t="n">
        <v>0</v>
      </c>
      <c r="Q475" t="n">
        <v>0</v>
      </c>
      <c r="R475" s="2" t="inlineStr"/>
    </row>
    <row r="476" ht="15" customHeight="1">
      <c r="A476" t="inlineStr">
        <is>
          <t>A 38978-2020</t>
        </is>
      </c>
      <c r="B476" s="1" t="n">
        <v>44062</v>
      </c>
      <c r="C476" s="1" t="n">
        <v>45662</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40218-2020</t>
        </is>
      </c>
      <c r="B477" s="1" t="n">
        <v>44064</v>
      </c>
      <c r="C477" s="1" t="n">
        <v>45662</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40015-2020</t>
        </is>
      </c>
      <c r="B478" s="1" t="n">
        <v>44067</v>
      </c>
      <c r="C478" s="1" t="n">
        <v>45662</v>
      </c>
      <c r="D478" t="inlineStr">
        <is>
          <t>VÄRMLANDS LÄN</t>
        </is>
      </c>
      <c r="E478" t="inlineStr">
        <is>
          <t>TORSBY</t>
        </is>
      </c>
      <c r="G478" t="n">
        <v>5.7</v>
      </c>
      <c r="H478" t="n">
        <v>0</v>
      </c>
      <c r="I478" t="n">
        <v>0</v>
      </c>
      <c r="J478" t="n">
        <v>0</v>
      </c>
      <c r="K478" t="n">
        <v>0</v>
      </c>
      <c r="L478" t="n">
        <v>0</v>
      </c>
      <c r="M478" t="n">
        <v>0</v>
      </c>
      <c r="N478" t="n">
        <v>0</v>
      </c>
      <c r="O478" t="n">
        <v>0</v>
      </c>
      <c r="P478" t="n">
        <v>0</v>
      </c>
      <c r="Q478" t="n">
        <v>0</v>
      </c>
      <c r="R478" s="2" t="inlineStr"/>
    </row>
    <row r="479" ht="15" customHeight="1">
      <c r="A479" t="inlineStr">
        <is>
          <t>A 40550-2020</t>
        </is>
      </c>
      <c r="B479" s="1" t="n">
        <v>44069</v>
      </c>
      <c r="C479" s="1" t="n">
        <v>45662</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40594-2020</t>
        </is>
      </c>
      <c r="B480" s="1" t="n">
        <v>44069</v>
      </c>
      <c r="C480" s="1" t="n">
        <v>45662</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40509-2020</t>
        </is>
      </c>
      <c r="B481" s="1" t="n">
        <v>44069</v>
      </c>
      <c r="C481" s="1" t="n">
        <v>45662</v>
      </c>
      <c r="D481" t="inlineStr">
        <is>
          <t>VÄRMLANDS LÄN</t>
        </is>
      </c>
      <c r="E481" t="inlineStr">
        <is>
          <t>TORSBY</t>
        </is>
      </c>
      <c r="F481" t="inlineStr">
        <is>
          <t>Naturvårdsverket</t>
        </is>
      </c>
      <c r="G481" t="n">
        <v>57</v>
      </c>
      <c r="H481" t="n">
        <v>0</v>
      </c>
      <c r="I481" t="n">
        <v>0</v>
      </c>
      <c r="J481" t="n">
        <v>0</v>
      </c>
      <c r="K481" t="n">
        <v>0</v>
      </c>
      <c r="L481" t="n">
        <v>0</v>
      </c>
      <c r="M481" t="n">
        <v>0</v>
      </c>
      <c r="N481" t="n">
        <v>0</v>
      </c>
      <c r="O481" t="n">
        <v>0</v>
      </c>
      <c r="P481" t="n">
        <v>0</v>
      </c>
      <c r="Q481" t="n">
        <v>0</v>
      </c>
      <c r="R481" s="2" t="inlineStr"/>
    </row>
    <row r="482" ht="15" customHeight="1">
      <c r="A482" t="inlineStr">
        <is>
          <t>A 40601-2020</t>
        </is>
      </c>
      <c r="B482" s="1" t="n">
        <v>44069</v>
      </c>
      <c r="C482" s="1" t="n">
        <v>45662</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40994-2020</t>
        </is>
      </c>
      <c r="B483" s="1" t="n">
        <v>44070</v>
      </c>
      <c r="C483" s="1" t="n">
        <v>45662</v>
      </c>
      <c r="D483" t="inlineStr">
        <is>
          <t>VÄRMLANDS LÄN</t>
        </is>
      </c>
      <c r="E483" t="inlineStr">
        <is>
          <t>TORSBY</t>
        </is>
      </c>
      <c r="F483" t="inlineStr">
        <is>
          <t>Bergvik skog väst AB</t>
        </is>
      </c>
      <c r="G483" t="n">
        <v>3.8</v>
      </c>
      <c r="H483" t="n">
        <v>0</v>
      </c>
      <c r="I483" t="n">
        <v>0</v>
      </c>
      <c r="J483" t="n">
        <v>0</v>
      </c>
      <c r="K483" t="n">
        <v>0</v>
      </c>
      <c r="L483" t="n">
        <v>0</v>
      </c>
      <c r="M483" t="n">
        <v>0</v>
      </c>
      <c r="N483" t="n">
        <v>0</v>
      </c>
      <c r="O483" t="n">
        <v>0</v>
      </c>
      <c r="P483" t="n">
        <v>0</v>
      </c>
      <c r="Q483" t="n">
        <v>0</v>
      </c>
      <c r="R483" s="2" t="inlineStr"/>
    </row>
    <row r="484" ht="15" customHeight="1">
      <c r="A484" t="inlineStr">
        <is>
          <t>A 40987-2020</t>
        </is>
      </c>
      <c r="B484" s="1" t="n">
        <v>44070</v>
      </c>
      <c r="C484" s="1" t="n">
        <v>45662</v>
      </c>
      <c r="D484" t="inlineStr">
        <is>
          <t>VÄRMLANDS LÄN</t>
        </is>
      </c>
      <c r="E484" t="inlineStr">
        <is>
          <t>TORSBY</t>
        </is>
      </c>
      <c r="F484" t="inlineStr">
        <is>
          <t>Bergvik skog väst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40993-2020</t>
        </is>
      </c>
      <c r="B485" s="1" t="n">
        <v>44070</v>
      </c>
      <c r="C485" s="1" t="n">
        <v>45662</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41469-2020</t>
        </is>
      </c>
      <c r="B486" s="1" t="n">
        <v>44074</v>
      </c>
      <c r="C486" s="1" t="n">
        <v>45662</v>
      </c>
      <c r="D486" t="inlineStr">
        <is>
          <t>VÄRMLANDS LÄN</t>
        </is>
      </c>
      <c r="E486" t="inlineStr">
        <is>
          <t>TORSBY</t>
        </is>
      </c>
      <c r="F486" t="inlineStr">
        <is>
          <t>Bergvik skog väst AB</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42391-2020</t>
        </is>
      </c>
      <c r="B487" s="1" t="n">
        <v>44076</v>
      </c>
      <c r="C487" s="1" t="n">
        <v>45662</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42566-2020</t>
        </is>
      </c>
      <c r="B488" s="1" t="n">
        <v>44077</v>
      </c>
      <c r="C488" s="1" t="n">
        <v>45662</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42982-2020</t>
        </is>
      </c>
      <c r="B489" s="1" t="n">
        <v>44078</v>
      </c>
      <c r="C489" s="1" t="n">
        <v>45662</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44722-2020</t>
        </is>
      </c>
      <c r="B490" s="1" t="n">
        <v>44078</v>
      </c>
      <c r="C490" s="1" t="n">
        <v>45662</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43547-2020</t>
        </is>
      </c>
      <c r="B491" s="1" t="n">
        <v>44078</v>
      </c>
      <c r="C491" s="1" t="n">
        <v>45662</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44715-2020</t>
        </is>
      </c>
      <c r="B492" s="1" t="n">
        <v>44078</v>
      </c>
      <c r="C492" s="1" t="n">
        <v>45662</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44720-2020</t>
        </is>
      </c>
      <c r="B493" s="1" t="n">
        <v>44078</v>
      </c>
      <c r="C493" s="1" t="n">
        <v>45662</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43725-2020</t>
        </is>
      </c>
      <c r="B494" s="1" t="n">
        <v>44082</v>
      </c>
      <c r="C494" s="1" t="n">
        <v>45662</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44666-2020</t>
        </is>
      </c>
      <c r="B495" s="1" t="n">
        <v>44085</v>
      </c>
      <c r="C495" s="1" t="n">
        <v>45662</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46482-2020</t>
        </is>
      </c>
      <c r="B496" s="1" t="n">
        <v>44089</v>
      </c>
      <c r="C496" s="1" t="n">
        <v>45662</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45404-2020</t>
        </is>
      </c>
      <c r="B497" s="1" t="n">
        <v>44089</v>
      </c>
      <c r="C497" s="1" t="n">
        <v>45662</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45872-2020</t>
        </is>
      </c>
      <c r="B498" s="1" t="n">
        <v>44091</v>
      </c>
      <c r="C498" s="1" t="n">
        <v>45662</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45898-2020</t>
        </is>
      </c>
      <c r="B499" s="1" t="n">
        <v>44091</v>
      </c>
      <c r="C499" s="1" t="n">
        <v>45662</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46271-2020</t>
        </is>
      </c>
      <c r="B500" s="1" t="n">
        <v>44092</v>
      </c>
      <c r="C500" s="1" t="n">
        <v>45662</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47707-2020</t>
        </is>
      </c>
      <c r="B501" s="1" t="n">
        <v>44096</v>
      </c>
      <c r="C501" s="1" t="n">
        <v>45662</v>
      </c>
      <c r="D501" t="inlineStr">
        <is>
          <t>VÄRMLANDS LÄN</t>
        </is>
      </c>
      <c r="E501" t="inlineStr">
        <is>
          <t>TORSBY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47709-2020</t>
        </is>
      </c>
      <c r="B502" s="1" t="n">
        <v>44096</v>
      </c>
      <c r="C502" s="1" t="n">
        <v>45662</v>
      </c>
      <c r="D502" t="inlineStr">
        <is>
          <t>VÄRMLANDS LÄN</t>
        </is>
      </c>
      <c r="E502" t="inlineStr">
        <is>
          <t>TORSBY</t>
        </is>
      </c>
      <c r="F502" t="inlineStr">
        <is>
          <t>Kyrkan</t>
        </is>
      </c>
      <c r="G502" t="n">
        <v>1.8</v>
      </c>
      <c r="H502" t="n">
        <v>0</v>
      </c>
      <c r="I502" t="n">
        <v>0</v>
      </c>
      <c r="J502" t="n">
        <v>0</v>
      </c>
      <c r="K502" t="n">
        <v>0</v>
      </c>
      <c r="L502" t="n">
        <v>0</v>
      </c>
      <c r="M502" t="n">
        <v>0</v>
      </c>
      <c r="N502" t="n">
        <v>0</v>
      </c>
      <c r="O502" t="n">
        <v>0</v>
      </c>
      <c r="P502" t="n">
        <v>0</v>
      </c>
      <c r="Q502" t="n">
        <v>0</v>
      </c>
      <c r="R502" s="2" t="inlineStr"/>
    </row>
    <row r="503" ht="15" customHeight="1">
      <c r="A503" t="inlineStr">
        <is>
          <t>A 47490-2020</t>
        </is>
      </c>
      <c r="B503" s="1" t="n">
        <v>44098</v>
      </c>
      <c r="C503" s="1" t="n">
        <v>45662</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48231-2020</t>
        </is>
      </c>
      <c r="B504" s="1" t="n">
        <v>44102</v>
      </c>
      <c r="C504" s="1" t="n">
        <v>45662</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48383-2020</t>
        </is>
      </c>
      <c r="B505" s="1" t="n">
        <v>44102</v>
      </c>
      <c r="C505" s="1" t="n">
        <v>45662</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48488-2020</t>
        </is>
      </c>
      <c r="B506" s="1" t="n">
        <v>44103</v>
      </c>
      <c r="C506" s="1" t="n">
        <v>45662</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53557-2020</t>
        </is>
      </c>
      <c r="B507" s="1" t="n">
        <v>44104</v>
      </c>
      <c r="C507" s="1" t="n">
        <v>45662</v>
      </c>
      <c r="D507" t="inlineStr">
        <is>
          <t>VÄRMLANDS LÄN</t>
        </is>
      </c>
      <c r="E507" t="inlineStr">
        <is>
          <t>TORSBY</t>
        </is>
      </c>
      <c r="F507" t="inlineStr">
        <is>
          <t>Övriga statliga verk och myndigheter</t>
        </is>
      </c>
      <c r="G507" t="n">
        <v>1</v>
      </c>
      <c r="H507" t="n">
        <v>0</v>
      </c>
      <c r="I507" t="n">
        <v>0</v>
      </c>
      <c r="J507" t="n">
        <v>0</v>
      </c>
      <c r="K507" t="n">
        <v>0</v>
      </c>
      <c r="L507" t="n">
        <v>0</v>
      </c>
      <c r="M507" t="n">
        <v>0</v>
      </c>
      <c r="N507" t="n">
        <v>0</v>
      </c>
      <c r="O507" t="n">
        <v>0</v>
      </c>
      <c r="P507" t="n">
        <v>0</v>
      </c>
      <c r="Q507" t="n">
        <v>0</v>
      </c>
      <c r="R507" s="2" t="inlineStr"/>
    </row>
    <row r="508" ht="15" customHeight="1">
      <c r="A508" t="inlineStr">
        <is>
          <t>A 50084-2020</t>
        </is>
      </c>
      <c r="B508" s="1" t="n">
        <v>44109</v>
      </c>
      <c r="C508" s="1" t="n">
        <v>45662</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50092-2020</t>
        </is>
      </c>
      <c r="B509" s="1" t="n">
        <v>44109</v>
      </c>
      <c r="C509" s="1" t="n">
        <v>45662</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50103-2020</t>
        </is>
      </c>
      <c r="B510" s="1" t="n">
        <v>44109</v>
      </c>
      <c r="C510" s="1" t="n">
        <v>45662</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50096-2020</t>
        </is>
      </c>
      <c r="B511" s="1" t="n">
        <v>44109</v>
      </c>
      <c r="C511" s="1" t="n">
        <v>45662</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50486-2020</t>
        </is>
      </c>
      <c r="B512" s="1" t="n">
        <v>44110</v>
      </c>
      <c r="C512" s="1" t="n">
        <v>45662</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50943-2020</t>
        </is>
      </c>
      <c r="B513" s="1" t="n">
        <v>44111</v>
      </c>
      <c r="C513" s="1" t="n">
        <v>45662</v>
      </c>
      <c r="D513" t="inlineStr">
        <is>
          <t>VÄRMLANDS LÄN</t>
        </is>
      </c>
      <c r="E513" t="inlineStr">
        <is>
          <t>TORSBY</t>
        </is>
      </c>
      <c r="F513" t="inlineStr">
        <is>
          <t>Bergvik skog väst AB</t>
        </is>
      </c>
      <c r="G513" t="n">
        <v>18.4</v>
      </c>
      <c r="H513" t="n">
        <v>0</v>
      </c>
      <c r="I513" t="n">
        <v>0</v>
      </c>
      <c r="J513" t="n">
        <v>0</v>
      </c>
      <c r="K513" t="n">
        <v>0</v>
      </c>
      <c r="L513" t="n">
        <v>0</v>
      </c>
      <c r="M513" t="n">
        <v>0</v>
      </c>
      <c r="N513" t="n">
        <v>0</v>
      </c>
      <c r="O513" t="n">
        <v>0</v>
      </c>
      <c r="P513" t="n">
        <v>0</v>
      </c>
      <c r="Q513" t="n">
        <v>0</v>
      </c>
      <c r="R513" s="2" t="inlineStr"/>
    </row>
    <row r="514" ht="15" customHeight="1">
      <c r="A514" t="inlineStr">
        <is>
          <t>A 51380-2020</t>
        </is>
      </c>
      <c r="B514" s="1" t="n">
        <v>44113</v>
      </c>
      <c r="C514" s="1" t="n">
        <v>45662</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51385-2020</t>
        </is>
      </c>
      <c r="B515" s="1" t="n">
        <v>44113</v>
      </c>
      <c r="C515" s="1" t="n">
        <v>45662</v>
      </c>
      <c r="D515" t="inlineStr">
        <is>
          <t>VÄRMLANDS LÄN</t>
        </is>
      </c>
      <c r="E515" t="inlineStr">
        <is>
          <t>TORSBY</t>
        </is>
      </c>
      <c r="G515" t="n">
        <v>6.8</v>
      </c>
      <c r="H515" t="n">
        <v>0</v>
      </c>
      <c r="I515" t="n">
        <v>0</v>
      </c>
      <c r="J515" t="n">
        <v>0</v>
      </c>
      <c r="K515" t="n">
        <v>0</v>
      </c>
      <c r="L515" t="n">
        <v>0</v>
      </c>
      <c r="M515" t="n">
        <v>0</v>
      </c>
      <c r="N515" t="n">
        <v>0</v>
      </c>
      <c r="O515" t="n">
        <v>0</v>
      </c>
      <c r="P515" t="n">
        <v>0</v>
      </c>
      <c r="Q515" t="n">
        <v>0</v>
      </c>
      <c r="R515" s="2" t="inlineStr"/>
    </row>
    <row r="516" ht="15" customHeight="1">
      <c r="A516" t="inlineStr">
        <is>
          <t>A 51389-2020</t>
        </is>
      </c>
      <c r="B516" s="1" t="n">
        <v>44113</v>
      </c>
      <c r="C516" s="1" t="n">
        <v>45662</v>
      </c>
      <c r="D516" t="inlineStr">
        <is>
          <t>VÄRMLANDS LÄN</t>
        </is>
      </c>
      <c r="E516" t="inlineStr">
        <is>
          <t>TORSBY</t>
        </is>
      </c>
      <c r="G516" t="n">
        <v>15.4</v>
      </c>
      <c r="H516" t="n">
        <v>0</v>
      </c>
      <c r="I516" t="n">
        <v>0</v>
      </c>
      <c r="J516" t="n">
        <v>0</v>
      </c>
      <c r="K516" t="n">
        <v>0</v>
      </c>
      <c r="L516" t="n">
        <v>0</v>
      </c>
      <c r="M516" t="n">
        <v>0</v>
      </c>
      <c r="N516" t="n">
        <v>0</v>
      </c>
      <c r="O516" t="n">
        <v>0</v>
      </c>
      <c r="P516" t="n">
        <v>0</v>
      </c>
      <c r="Q516" t="n">
        <v>0</v>
      </c>
      <c r="R516" s="2" t="inlineStr"/>
    </row>
    <row r="517" ht="15" customHeight="1">
      <c r="A517" t="inlineStr">
        <is>
          <t>A 51382-2020</t>
        </is>
      </c>
      <c r="B517" s="1" t="n">
        <v>44113</v>
      </c>
      <c r="C517" s="1" t="n">
        <v>45662</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51381-2020</t>
        </is>
      </c>
      <c r="B518" s="1" t="n">
        <v>44113</v>
      </c>
      <c r="C518" s="1" t="n">
        <v>45662</v>
      </c>
      <c r="D518" t="inlineStr">
        <is>
          <t>VÄRMLANDS LÄN</t>
        </is>
      </c>
      <c r="E518" t="inlineStr">
        <is>
          <t>TORSBY</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51386-2020</t>
        </is>
      </c>
      <c r="B519" s="1" t="n">
        <v>44113</v>
      </c>
      <c r="C519" s="1" t="n">
        <v>45662</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51635-2020</t>
        </is>
      </c>
      <c r="B520" s="1" t="n">
        <v>44113</v>
      </c>
      <c r="C520" s="1" t="n">
        <v>45662</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51383-2020</t>
        </is>
      </c>
      <c r="B521" s="1" t="n">
        <v>44113</v>
      </c>
      <c r="C521" s="1" t="n">
        <v>45662</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51838-2020</t>
        </is>
      </c>
      <c r="B522" s="1" t="n">
        <v>44116</v>
      </c>
      <c r="C522" s="1" t="n">
        <v>45662</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52460-2020</t>
        </is>
      </c>
      <c r="B523" s="1" t="n">
        <v>44116</v>
      </c>
      <c r="C523" s="1" t="n">
        <v>45662</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51837-2020</t>
        </is>
      </c>
      <c r="B524" s="1" t="n">
        <v>44116</v>
      </c>
      <c r="C524" s="1" t="n">
        <v>45662</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52141-2020</t>
        </is>
      </c>
      <c r="B525" s="1" t="n">
        <v>44117</v>
      </c>
      <c r="C525" s="1" t="n">
        <v>45662</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52799-2020</t>
        </is>
      </c>
      <c r="B526" s="1" t="n">
        <v>44119</v>
      </c>
      <c r="C526" s="1" t="n">
        <v>45662</v>
      </c>
      <c r="D526" t="inlineStr">
        <is>
          <t>VÄRMLANDS LÄN</t>
        </is>
      </c>
      <c r="E526" t="inlineStr">
        <is>
          <t>TORSBY</t>
        </is>
      </c>
      <c r="G526" t="n">
        <v>6.2</v>
      </c>
      <c r="H526" t="n">
        <v>0</v>
      </c>
      <c r="I526" t="n">
        <v>0</v>
      </c>
      <c r="J526" t="n">
        <v>0</v>
      </c>
      <c r="K526" t="n">
        <v>0</v>
      </c>
      <c r="L526" t="n">
        <v>0</v>
      </c>
      <c r="M526" t="n">
        <v>0</v>
      </c>
      <c r="N526" t="n">
        <v>0</v>
      </c>
      <c r="O526" t="n">
        <v>0</v>
      </c>
      <c r="P526" t="n">
        <v>0</v>
      </c>
      <c r="Q526" t="n">
        <v>0</v>
      </c>
      <c r="R526" s="2" t="inlineStr"/>
    </row>
    <row r="527" ht="15" customHeight="1">
      <c r="A527" t="inlineStr">
        <is>
          <t>A 52979-2020</t>
        </is>
      </c>
      <c r="B527" s="1" t="n">
        <v>44120</v>
      </c>
      <c r="C527" s="1" t="n">
        <v>45662</v>
      </c>
      <c r="D527" t="inlineStr">
        <is>
          <t>VÄRMLANDS LÄN</t>
        </is>
      </c>
      <c r="E527" t="inlineStr">
        <is>
          <t>TORSBY</t>
        </is>
      </c>
      <c r="G527" t="n">
        <v>3.6</v>
      </c>
      <c r="H527" t="n">
        <v>0</v>
      </c>
      <c r="I527" t="n">
        <v>0</v>
      </c>
      <c r="J527" t="n">
        <v>0</v>
      </c>
      <c r="K527" t="n">
        <v>0</v>
      </c>
      <c r="L527" t="n">
        <v>0</v>
      </c>
      <c r="M527" t="n">
        <v>0</v>
      </c>
      <c r="N527" t="n">
        <v>0</v>
      </c>
      <c r="O527" t="n">
        <v>0</v>
      </c>
      <c r="P527" t="n">
        <v>0</v>
      </c>
      <c r="Q527" t="n">
        <v>0</v>
      </c>
      <c r="R527" s="2" t="inlineStr"/>
    </row>
    <row r="528" ht="15" customHeight="1">
      <c r="A528" t="inlineStr">
        <is>
          <t>A 53111-2020</t>
        </is>
      </c>
      <c r="B528" s="1" t="n">
        <v>44120</v>
      </c>
      <c r="C528" s="1" t="n">
        <v>45662</v>
      </c>
      <c r="D528" t="inlineStr">
        <is>
          <t>VÄRMLANDS LÄN</t>
        </is>
      </c>
      <c r="E528" t="inlineStr">
        <is>
          <t>TORSBY</t>
        </is>
      </c>
      <c r="F528" t="inlineStr">
        <is>
          <t>Bergvik skog väst AB</t>
        </is>
      </c>
      <c r="G528" t="n">
        <v>3.4</v>
      </c>
      <c r="H528" t="n">
        <v>0</v>
      </c>
      <c r="I528" t="n">
        <v>0</v>
      </c>
      <c r="J528" t="n">
        <v>0</v>
      </c>
      <c r="K528" t="n">
        <v>0</v>
      </c>
      <c r="L528" t="n">
        <v>0</v>
      </c>
      <c r="M528" t="n">
        <v>0</v>
      </c>
      <c r="N528" t="n">
        <v>0</v>
      </c>
      <c r="O528" t="n">
        <v>0</v>
      </c>
      <c r="P528" t="n">
        <v>0</v>
      </c>
      <c r="Q528" t="n">
        <v>0</v>
      </c>
      <c r="R528" s="2" t="inlineStr"/>
    </row>
    <row r="529" ht="15" customHeight="1">
      <c r="A529" t="inlineStr">
        <is>
          <t>A 53771-2020</t>
        </is>
      </c>
      <c r="B529" s="1" t="n">
        <v>44124</v>
      </c>
      <c r="C529" s="1" t="n">
        <v>45662</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53733-2020</t>
        </is>
      </c>
      <c r="B530" s="1" t="n">
        <v>44124</v>
      </c>
      <c r="C530" s="1" t="n">
        <v>45662</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54331-2020</t>
        </is>
      </c>
      <c r="B531" s="1" t="n">
        <v>44124</v>
      </c>
      <c r="C531" s="1" t="n">
        <v>45662</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54060-2020</t>
        </is>
      </c>
      <c r="B532" s="1" t="n">
        <v>44125</v>
      </c>
      <c r="C532" s="1" t="n">
        <v>45662</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54072-2020</t>
        </is>
      </c>
      <c r="B533" s="1" t="n">
        <v>44125</v>
      </c>
      <c r="C533" s="1" t="n">
        <v>45662</v>
      </c>
      <c r="D533" t="inlineStr">
        <is>
          <t>VÄRMLANDS LÄN</t>
        </is>
      </c>
      <c r="E533" t="inlineStr">
        <is>
          <t>TORSBY</t>
        </is>
      </c>
      <c r="G533" t="n">
        <v>5</v>
      </c>
      <c r="H533" t="n">
        <v>0</v>
      </c>
      <c r="I533" t="n">
        <v>0</v>
      </c>
      <c r="J533" t="n">
        <v>0</v>
      </c>
      <c r="K533" t="n">
        <v>0</v>
      </c>
      <c r="L533" t="n">
        <v>0</v>
      </c>
      <c r="M533" t="n">
        <v>0</v>
      </c>
      <c r="N533" t="n">
        <v>0</v>
      </c>
      <c r="O533" t="n">
        <v>0</v>
      </c>
      <c r="P533" t="n">
        <v>0</v>
      </c>
      <c r="Q533" t="n">
        <v>0</v>
      </c>
      <c r="R533" s="2" t="inlineStr"/>
    </row>
    <row r="534" ht="15" customHeight="1">
      <c r="A534" t="inlineStr">
        <is>
          <t>A 54916-2020</t>
        </is>
      </c>
      <c r="B534" s="1" t="n">
        <v>44127</v>
      </c>
      <c r="C534" s="1" t="n">
        <v>45662</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54924-2020</t>
        </is>
      </c>
      <c r="B535" s="1" t="n">
        <v>44127</v>
      </c>
      <c r="C535" s="1" t="n">
        <v>45662</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55058-2020</t>
        </is>
      </c>
      <c r="B536" s="1" t="n">
        <v>44130</v>
      </c>
      <c r="C536" s="1" t="n">
        <v>45662</v>
      </c>
      <c r="D536" t="inlineStr">
        <is>
          <t>VÄRMLANDS LÄN</t>
        </is>
      </c>
      <c r="E536" t="inlineStr">
        <is>
          <t>TORSBY</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55217-2020</t>
        </is>
      </c>
      <c r="B537" s="1" t="n">
        <v>44130</v>
      </c>
      <c r="C537" s="1" t="n">
        <v>45662</v>
      </c>
      <c r="D537" t="inlineStr">
        <is>
          <t>VÄRMLANDS LÄN</t>
        </is>
      </c>
      <c r="E537" t="inlineStr">
        <is>
          <t>TORSBY</t>
        </is>
      </c>
      <c r="G537" t="n">
        <v>4.2</v>
      </c>
      <c r="H537" t="n">
        <v>0</v>
      </c>
      <c r="I537" t="n">
        <v>0</v>
      </c>
      <c r="J537" t="n">
        <v>0</v>
      </c>
      <c r="K537" t="n">
        <v>0</v>
      </c>
      <c r="L537" t="n">
        <v>0</v>
      </c>
      <c r="M537" t="n">
        <v>0</v>
      </c>
      <c r="N537" t="n">
        <v>0</v>
      </c>
      <c r="O537" t="n">
        <v>0</v>
      </c>
      <c r="P537" t="n">
        <v>0</v>
      </c>
      <c r="Q537" t="n">
        <v>0</v>
      </c>
      <c r="R537" s="2" t="inlineStr"/>
    </row>
    <row r="538" ht="15" customHeight="1">
      <c r="A538" t="inlineStr">
        <is>
          <t>A 55401-2020</t>
        </is>
      </c>
      <c r="B538" s="1" t="n">
        <v>44131</v>
      </c>
      <c r="C538" s="1" t="n">
        <v>45662</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56979-2020</t>
        </is>
      </c>
      <c r="B539" s="1" t="n">
        <v>44138</v>
      </c>
      <c r="C539" s="1" t="n">
        <v>45662</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57119-2020</t>
        </is>
      </c>
      <c r="B540" s="1" t="n">
        <v>44139</v>
      </c>
      <c r="C540" s="1" t="n">
        <v>45662</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57896-2020</t>
        </is>
      </c>
      <c r="B541" s="1" t="n">
        <v>44141</v>
      </c>
      <c r="C541" s="1" t="n">
        <v>45662</v>
      </c>
      <c r="D541" t="inlineStr">
        <is>
          <t>VÄRMLANDS LÄN</t>
        </is>
      </c>
      <c r="E541" t="inlineStr">
        <is>
          <t>TORSBY</t>
        </is>
      </c>
      <c r="F541" t="inlineStr">
        <is>
          <t>Bergvik skog väst AB</t>
        </is>
      </c>
      <c r="G541" t="n">
        <v>5.2</v>
      </c>
      <c r="H541" t="n">
        <v>0</v>
      </c>
      <c r="I541" t="n">
        <v>0</v>
      </c>
      <c r="J541" t="n">
        <v>0</v>
      </c>
      <c r="K541" t="n">
        <v>0</v>
      </c>
      <c r="L541" t="n">
        <v>0</v>
      </c>
      <c r="M541" t="n">
        <v>0</v>
      </c>
      <c r="N541" t="n">
        <v>0</v>
      </c>
      <c r="O541" t="n">
        <v>0</v>
      </c>
      <c r="P541" t="n">
        <v>0</v>
      </c>
      <c r="Q541" t="n">
        <v>0</v>
      </c>
      <c r="R541" s="2" t="inlineStr"/>
    </row>
    <row r="542" ht="15" customHeight="1">
      <c r="A542" t="inlineStr">
        <is>
          <t>A 57980-2020</t>
        </is>
      </c>
      <c r="B542" s="1" t="n">
        <v>44143</v>
      </c>
      <c r="C542" s="1" t="n">
        <v>45662</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58078-2020</t>
        </is>
      </c>
      <c r="B543" s="1" t="n">
        <v>44144</v>
      </c>
      <c r="C543" s="1" t="n">
        <v>45662</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58599-2020</t>
        </is>
      </c>
      <c r="B544" s="1" t="n">
        <v>44145</v>
      </c>
      <c r="C544" s="1" t="n">
        <v>45662</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58574-2020</t>
        </is>
      </c>
      <c r="B545" s="1" t="n">
        <v>44145</v>
      </c>
      <c r="C545" s="1" t="n">
        <v>45662</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58643-2020</t>
        </is>
      </c>
      <c r="B546" s="1" t="n">
        <v>44145</v>
      </c>
      <c r="C546" s="1" t="n">
        <v>45662</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58680-2020</t>
        </is>
      </c>
      <c r="B547" s="1" t="n">
        <v>44146</v>
      </c>
      <c r="C547" s="1" t="n">
        <v>45662</v>
      </c>
      <c r="D547" t="inlineStr">
        <is>
          <t>VÄRMLANDS LÄN</t>
        </is>
      </c>
      <c r="E547" t="inlineStr">
        <is>
          <t>TORSBY</t>
        </is>
      </c>
      <c r="G547" t="n">
        <v>4.7</v>
      </c>
      <c r="H547" t="n">
        <v>0</v>
      </c>
      <c r="I547" t="n">
        <v>0</v>
      </c>
      <c r="J547" t="n">
        <v>0</v>
      </c>
      <c r="K547" t="n">
        <v>0</v>
      </c>
      <c r="L547" t="n">
        <v>0</v>
      </c>
      <c r="M547" t="n">
        <v>0</v>
      </c>
      <c r="N547" t="n">
        <v>0</v>
      </c>
      <c r="O547" t="n">
        <v>0</v>
      </c>
      <c r="P547" t="n">
        <v>0</v>
      </c>
      <c r="Q547" t="n">
        <v>0</v>
      </c>
      <c r="R547" s="2" t="inlineStr"/>
    </row>
    <row r="548" ht="15" customHeight="1">
      <c r="A548" t="inlineStr">
        <is>
          <t>A 58877-2020</t>
        </is>
      </c>
      <c r="B548" s="1" t="n">
        <v>44146</v>
      </c>
      <c r="C548" s="1" t="n">
        <v>45662</v>
      </c>
      <c r="D548" t="inlineStr">
        <is>
          <t>VÄRMLANDS LÄN</t>
        </is>
      </c>
      <c r="E548" t="inlineStr">
        <is>
          <t>TORSBY</t>
        </is>
      </c>
      <c r="G548" t="n">
        <v>2</v>
      </c>
      <c r="H548" t="n">
        <v>0</v>
      </c>
      <c r="I548" t="n">
        <v>0</v>
      </c>
      <c r="J548" t="n">
        <v>0</v>
      </c>
      <c r="K548" t="n">
        <v>0</v>
      </c>
      <c r="L548" t="n">
        <v>0</v>
      </c>
      <c r="M548" t="n">
        <v>0</v>
      </c>
      <c r="N548" t="n">
        <v>0</v>
      </c>
      <c r="O548" t="n">
        <v>0</v>
      </c>
      <c r="P548" t="n">
        <v>0</v>
      </c>
      <c r="Q548" t="n">
        <v>0</v>
      </c>
      <c r="R548" s="2" t="inlineStr"/>
    </row>
    <row r="549" ht="15" customHeight="1">
      <c r="A549" t="inlineStr">
        <is>
          <t>A 58930-2020</t>
        </is>
      </c>
      <c r="B549" s="1" t="n">
        <v>44146</v>
      </c>
      <c r="C549" s="1" t="n">
        <v>45662</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45662</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60167-2020</t>
        </is>
      </c>
      <c r="B551" s="1" t="n">
        <v>44152</v>
      </c>
      <c r="C551" s="1" t="n">
        <v>45662</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60533-2020</t>
        </is>
      </c>
      <c r="B552" s="1" t="n">
        <v>44153</v>
      </c>
      <c r="C552" s="1" t="n">
        <v>45662</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60719-2020</t>
        </is>
      </c>
      <c r="B553" s="1" t="n">
        <v>44153</v>
      </c>
      <c r="C553" s="1" t="n">
        <v>45662</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60823-2020</t>
        </is>
      </c>
      <c r="B554" s="1" t="n">
        <v>44153</v>
      </c>
      <c r="C554" s="1" t="n">
        <v>45662</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45662</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61009-2020</t>
        </is>
      </c>
      <c r="B556" s="1" t="n">
        <v>44154</v>
      </c>
      <c r="C556" s="1" t="n">
        <v>45662</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61594-2020</t>
        </is>
      </c>
      <c r="B557" s="1" t="n">
        <v>44154</v>
      </c>
      <c r="C557" s="1" t="n">
        <v>45662</v>
      </c>
      <c r="D557" t="inlineStr">
        <is>
          <t>VÄRMLANDS LÄN</t>
        </is>
      </c>
      <c r="E557" t="inlineStr">
        <is>
          <t>TORSBY</t>
        </is>
      </c>
      <c r="G557" t="n">
        <v>6</v>
      </c>
      <c r="H557" t="n">
        <v>0</v>
      </c>
      <c r="I557" t="n">
        <v>0</v>
      </c>
      <c r="J557" t="n">
        <v>0</v>
      </c>
      <c r="K557" t="n">
        <v>0</v>
      </c>
      <c r="L557" t="n">
        <v>0</v>
      </c>
      <c r="M557" t="n">
        <v>0</v>
      </c>
      <c r="N557" t="n">
        <v>0</v>
      </c>
      <c r="O557" t="n">
        <v>0</v>
      </c>
      <c r="P557" t="n">
        <v>0</v>
      </c>
      <c r="Q557" t="n">
        <v>0</v>
      </c>
      <c r="R557" s="2" t="inlineStr"/>
    </row>
    <row r="558" ht="15" customHeight="1">
      <c r="A558" t="inlineStr">
        <is>
          <t>A 61970-2020</t>
        </is>
      </c>
      <c r="B558" s="1" t="n">
        <v>44155</v>
      </c>
      <c r="C558" s="1" t="n">
        <v>45662</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61738-2020</t>
        </is>
      </c>
      <c r="B559" s="1" t="n">
        <v>44158</v>
      </c>
      <c r="C559" s="1" t="n">
        <v>45662</v>
      </c>
      <c r="D559" t="inlineStr">
        <is>
          <t>VÄRMLANDS LÄN</t>
        </is>
      </c>
      <c r="E559" t="inlineStr">
        <is>
          <t>TORSBY</t>
        </is>
      </c>
      <c r="F559" t="inlineStr">
        <is>
          <t>Kommuner</t>
        </is>
      </c>
      <c r="G559" t="n">
        <v>5.8</v>
      </c>
      <c r="H559" t="n">
        <v>0</v>
      </c>
      <c r="I559" t="n">
        <v>0</v>
      </c>
      <c r="J559" t="n">
        <v>0</v>
      </c>
      <c r="K559" t="n">
        <v>0</v>
      </c>
      <c r="L559" t="n">
        <v>0</v>
      </c>
      <c r="M559" t="n">
        <v>0</v>
      </c>
      <c r="N559" t="n">
        <v>0</v>
      </c>
      <c r="O559" t="n">
        <v>0</v>
      </c>
      <c r="P559" t="n">
        <v>0</v>
      </c>
      <c r="Q559" t="n">
        <v>0</v>
      </c>
      <c r="R559" s="2" t="inlineStr"/>
    </row>
    <row r="560" ht="15" customHeight="1">
      <c r="A560" t="inlineStr">
        <is>
          <t>A 61753-2020</t>
        </is>
      </c>
      <c r="B560" s="1" t="n">
        <v>44158</v>
      </c>
      <c r="C560" s="1" t="n">
        <v>45662</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61998-2020</t>
        </is>
      </c>
      <c r="B561" s="1" t="n">
        <v>44158</v>
      </c>
      <c r="C561" s="1" t="n">
        <v>45662</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61910-2020</t>
        </is>
      </c>
      <c r="B562" s="1" t="n">
        <v>44159</v>
      </c>
      <c r="C562" s="1" t="n">
        <v>45662</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61956-2020</t>
        </is>
      </c>
      <c r="B563" s="1" t="n">
        <v>44159</v>
      </c>
      <c r="C563" s="1" t="n">
        <v>45662</v>
      </c>
      <c r="D563" t="inlineStr">
        <is>
          <t>VÄRMLANDS LÄN</t>
        </is>
      </c>
      <c r="E563" t="inlineStr">
        <is>
          <t>TORSBY</t>
        </is>
      </c>
      <c r="F563" t="inlineStr">
        <is>
          <t>Kommuner</t>
        </is>
      </c>
      <c r="G563" t="n">
        <v>7.5</v>
      </c>
      <c r="H563" t="n">
        <v>0</v>
      </c>
      <c r="I563" t="n">
        <v>0</v>
      </c>
      <c r="J563" t="n">
        <v>0</v>
      </c>
      <c r="K563" t="n">
        <v>0</v>
      </c>
      <c r="L563" t="n">
        <v>0</v>
      </c>
      <c r="M563" t="n">
        <v>0</v>
      </c>
      <c r="N563" t="n">
        <v>0</v>
      </c>
      <c r="O563" t="n">
        <v>0</v>
      </c>
      <c r="P563" t="n">
        <v>0</v>
      </c>
      <c r="Q563" t="n">
        <v>0</v>
      </c>
      <c r="R563" s="2" t="inlineStr"/>
    </row>
    <row r="564" ht="15" customHeight="1">
      <c r="A564" t="inlineStr">
        <is>
          <t>A 62209-2020</t>
        </is>
      </c>
      <c r="B564" s="1" t="n">
        <v>44159</v>
      </c>
      <c r="C564" s="1" t="n">
        <v>45662</v>
      </c>
      <c r="D564" t="inlineStr">
        <is>
          <t>VÄRMLANDS LÄN</t>
        </is>
      </c>
      <c r="E564" t="inlineStr">
        <is>
          <t>TORSBY</t>
        </is>
      </c>
      <c r="F564" t="inlineStr">
        <is>
          <t>Kommuner</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62211-2020</t>
        </is>
      </c>
      <c r="B565" s="1" t="n">
        <v>44159</v>
      </c>
      <c r="C565" s="1" t="n">
        <v>45662</v>
      </c>
      <c r="D565" t="inlineStr">
        <is>
          <t>VÄRMLANDS LÄN</t>
        </is>
      </c>
      <c r="E565" t="inlineStr">
        <is>
          <t>TORSBY</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62915-2020</t>
        </is>
      </c>
      <c r="B566" s="1" t="n">
        <v>44162</v>
      </c>
      <c r="C566" s="1" t="n">
        <v>45662</v>
      </c>
      <c r="D566" t="inlineStr">
        <is>
          <t>VÄRMLANDS LÄN</t>
        </is>
      </c>
      <c r="E566" t="inlineStr">
        <is>
          <t>TORSBY</t>
        </is>
      </c>
      <c r="G566" t="n">
        <v>4.6</v>
      </c>
      <c r="H566" t="n">
        <v>0</v>
      </c>
      <c r="I566" t="n">
        <v>0</v>
      </c>
      <c r="J566" t="n">
        <v>0</v>
      </c>
      <c r="K566" t="n">
        <v>0</v>
      </c>
      <c r="L566" t="n">
        <v>0</v>
      </c>
      <c r="M566" t="n">
        <v>0</v>
      </c>
      <c r="N566" t="n">
        <v>0</v>
      </c>
      <c r="O566" t="n">
        <v>0</v>
      </c>
      <c r="P566" t="n">
        <v>0</v>
      </c>
      <c r="Q566" t="n">
        <v>0</v>
      </c>
      <c r="R566" s="2" t="inlineStr"/>
    </row>
    <row r="567" ht="15" customHeight="1">
      <c r="A567" t="inlineStr">
        <is>
          <t>A 63565-2020</t>
        </is>
      </c>
      <c r="B567" s="1" t="n">
        <v>44165</v>
      </c>
      <c r="C567" s="1" t="n">
        <v>45662</v>
      </c>
      <c r="D567" t="inlineStr">
        <is>
          <t>VÄRMLANDS LÄN</t>
        </is>
      </c>
      <c r="E567" t="inlineStr">
        <is>
          <t>TORSBY</t>
        </is>
      </c>
      <c r="G567" t="n">
        <v>10.3</v>
      </c>
      <c r="H567" t="n">
        <v>0</v>
      </c>
      <c r="I567" t="n">
        <v>0</v>
      </c>
      <c r="J567" t="n">
        <v>0</v>
      </c>
      <c r="K567" t="n">
        <v>0</v>
      </c>
      <c r="L567" t="n">
        <v>0</v>
      </c>
      <c r="M567" t="n">
        <v>0</v>
      </c>
      <c r="N567" t="n">
        <v>0</v>
      </c>
      <c r="O567" t="n">
        <v>0</v>
      </c>
      <c r="P567" t="n">
        <v>0</v>
      </c>
      <c r="Q567" t="n">
        <v>0</v>
      </c>
      <c r="R567" s="2" t="inlineStr"/>
    </row>
    <row r="568" ht="15" customHeight="1">
      <c r="A568" t="inlineStr">
        <is>
          <t>A 64396-2020</t>
        </is>
      </c>
      <c r="B568" s="1" t="n">
        <v>44168</v>
      </c>
      <c r="C568" s="1" t="n">
        <v>45662</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64434-2020</t>
        </is>
      </c>
      <c r="B569" s="1" t="n">
        <v>44168</v>
      </c>
      <c r="C569" s="1" t="n">
        <v>45662</v>
      </c>
      <c r="D569" t="inlineStr">
        <is>
          <t>VÄRMLANDS LÄN</t>
        </is>
      </c>
      <c r="E569" t="inlineStr">
        <is>
          <t>TORSBY</t>
        </is>
      </c>
      <c r="G569" t="n">
        <v>7.7</v>
      </c>
      <c r="H569" t="n">
        <v>0</v>
      </c>
      <c r="I569" t="n">
        <v>0</v>
      </c>
      <c r="J569" t="n">
        <v>0</v>
      </c>
      <c r="K569" t="n">
        <v>0</v>
      </c>
      <c r="L569" t="n">
        <v>0</v>
      </c>
      <c r="M569" t="n">
        <v>0</v>
      </c>
      <c r="N569" t="n">
        <v>0</v>
      </c>
      <c r="O569" t="n">
        <v>0</v>
      </c>
      <c r="P569" t="n">
        <v>0</v>
      </c>
      <c r="Q569" t="n">
        <v>0</v>
      </c>
      <c r="R569" s="2" t="inlineStr"/>
    </row>
    <row r="570" ht="15" customHeight="1">
      <c r="A570" t="inlineStr">
        <is>
          <t>A 65369-2020</t>
        </is>
      </c>
      <c r="B570" s="1" t="n">
        <v>44169</v>
      </c>
      <c r="C570" s="1" t="n">
        <v>45662</v>
      </c>
      <c r="D570" t="inlineStr">
        <is>
          <t>VÄRMLANDS LÄN</t>
        </is>
      </c>
      <c r="E570" t="inlineStr">
        <is>
          <t>TORSBY</t>
        </is>
      </c>
      <c r="G570" t="n">
        <v>32.5</v>
      </c>
      <c r="H570" t="n">
        <v>0</v>
      </c>
      <c r="I570" t="n">
        <v>0</v>
      </c>
      <c r="J570" t="n">
        <v>0</v>
      </c>
      <c r="K570" t="n">
        <v>0</v>
      </c>
      <c r="L570" t="n">
        <v>0</v>
      </c>
      <c r="M570" t="n">
        <v>0</v>
      </c>
      <c r="N570" t="n">
        <v>0</v>
      </c>
      <c r="O570" t="n">
        <v>0</v>
      </c>
      <c r="P570" t="n">
        <v>0</v>
      </c>
      <c r="Q570" t="n">
        <v>0</v>
      </c>
      <c r="R570" s="2" t="inlineStr"/>
    </row>
    <row r="571" ht="15" customHeight="1">
      <c r="A571" t="inlineStr">
        <is>
          <t>A 65482-2020</t>
        </is>
      </c>
      <c r="B571" s="1" t="n">
        <v>44169</v>
      </c>
      <c r="C571" s="1" t="n">
        <v>45662</v>
      </c>
      <c r="D571" t="inlineStr">
        <is>
          <t>VÄRMLANDS LÄN</t>
        </is>
      </c>
      <c r="E571" t="inlineStr">
        <is>
          <t>TORSBY</t>
        </is>
      </c>
      <c r="F571" t="inlineStr">
        <is>
          <t>Kyrkan</t>
        </is>
      </c>
      <c r="G571" t="n">
        <v>21.6</v>
      </c>
      <c r="H571" t="n">
        <v>0</v>
      </c>
      <c r="I571" t="n">
        <v>0</v>
      </c>
      <c r="J571" t="n">
        <v>0</v>
      </c>
      <c r="K571" t="n">
        <v>0</v>
      </c>
      <c r="L571" t="n">
        <v>0</v>
      </c>
      <c r="M571" t="n">
        <v>0</v>
      </c>
      <c r="N571" t="n">
        <v>0</v>
      </c>
      <c r="O571" t="n">
        <v>0</v>
      </c>
      <c r="P571" t="n">
        <v>0</v>
      </c>
      <c r="Q571" t="n">
        <v>0</v>
      </c>
      <c r="R571" s="2" t="inlineStr"/>
    </row>
    <row r="572" ht="15" customHeight="1">
      <c r="A572" t="inlineStr">
        <is>
          <t>A 65398-2020</t>
        </is>
      </c>
      <c r="B572" s="1" t="n">
        <v>44169</v>
      </c>
      <c r="C572" s="1" t="n">
        <v>45662</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65678-2020</t>
        </is>
      </c>
      <c r="B573" s="1" t="n">
        <v>44172</v>
      </c>
      <c r="C573" s="1" t="n">
        <v>45662</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65827-2020</t>
        </is>
      </c>
      <c r="B574" s="1" t="n">
        <v>44173</v>
      </c>
      <c r="C574" s="1" t="n">
        <v>45662</v>
      </c>
      <c r="D574" t="inlineStr">
        <is>
          <t>VÄRMLANDS LÄN</t>
        </is>
      </c>
      <c r="E574" t="inlineStr">
        <is>
          <t>TORSBY</t>
        </is>
      </c>
      <c r="G574" t="n">
        <v>6.7</v>
      </c>
      <c r="H574" t="n">
        <v>0</v>
      </c>
      <c r="I574" t="n">
        <v>0</v>
      </c>
      <c r="J574" t="n">
        <v>0</v>
      </c>
      <c r="K574" t="n">
        <v>0</v>
      </c>
      <c r="L574" t="n">
        <v>0</v>
      </c>
      <c r="M574" t="n">
        <v>0</v>
      </c>
      <c r="N574" t="n">
        <v>0</v>
      </c>
      <c r="O574" t="n">
        <v>0</v>
      </c>
      <c r="P574" t="n">
        <v>0</v>
      </c>
      <c r="Q574" t="n">
        <v>0</v>
      </c>
      <c r="R574" s="2" t="inlineStr"/>
    </row>
    <row r="575" ht="15" customHeight="1">
      <c r="A575" t="inlineStr">
        <is>
          <t>A 66703-2020</t>
        </is>
      </c>
      <c r="B575" s="1" t="n">
        <v>44174</v>
      </c>
      <c r="C575" s="1" t="n">
        <v>45662</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66194-2020</t>
        </is>
      </c>
      <c r="B576" s="1" t="n">
        <v>44175</v>
      </c>
      <c r="C576" s="1" t="n">
        <v>45662</v>
      </c>
      <c r="D576" t="inlineStr">
        <is>
          <t>VÄRMLANDS LÄN</t>
        </is>
      </c>
      <c r="E576" t="inlineStr">
        <is>
          <t>TORSBY</t>
        </is>
      </c>
      <c r="F576" t="inlineStr">
        <is>
          <t>Bergvik skog väst AB</t>
        </is>
      </c>
      <c r="G576" t="n">
        <v>18.4</v>
      </c>
      <c r="H576" t="n">
        <v>0</v>
      </c>
      <c r="I576" t="n">
        <v>0</v>
      </c>
      <c r="J576" t="n">
        <v>0</v>
      </c>
      <c r="K576" t="n">
        <v>0</v>
      </c>
      <c r="L576" t="n">
        <v>0</v>
      </c>
      <c r="M576" t="n">
        <v>0</v>
      </c>
      <c r="N576" t="n">
        <v>0</v>
      </c>
      <c r="O576" t="n">
        <v>0</v>
      </c>
      <c r="P576" t="n">
        <v>0</v>
      </c>
      <c r="Q576" t="n">
        <v>0</v>
      </c>
      <c r="R576" s="2" t="inlineStr"/>
    </row>
    <row r="577" ht="15" customHeight="1">
      <c r="A577" t="inlineStr">
        <is>
          <t>A 66326-2020</t>
        </is>
      </c>
      <c r="B577" s="1" t="n">
        <v>44176</v>
      </c>
      <c r="C577" s="1" t="n">
        <v>45662</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67084-2020</t>
        </is>
      </c>
      <c r="B578" s="1" t="n">
        <v>44179</v>
      </c>
      <c r="C578" s="1" t="n">
        <v>45662</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67547-2020</t>
        </is>
      </c>
      <c r="B579" s="1" t="n">
        <v>44181</v>
      </c>
      <c r="C579" s="1" t="n">
        <v>45662</v>
      </c>
      <c r="D579" t="inlineStr">
        <is>
          <t>VÄRMLANDS LÄN</t>
        </is>
      </c>
      <c r="E579" t="inlineStr">
        <is>
          <t>TORSBY</t>
        </is>
      </c>
      <c r="G579" t="n">
        <v>3</v>
      </c>
      <c r="H579" t="n">
        <v>0</v>
      </c>
      <c r="I579" t="n">
        <v>0</v>
      </c>
      <c r="J579" t="n">
        <v>0</v>
      </c>
      <c r="K579" t="n">
        <v>0</v>
      </c>
      <c r="L579" t="n">
        <v>0</v>
      </c>
      <c r="M579" t="n">
        <v>0</v>
      </c>
      <c r="N579" t="n">
        <v>0</v>
      </c>
      <c r="O579" t="n">
        <v>0</v>
      </c>
      <c r="P579" t="n">
        <v>0</v>
      </c>
      <c r="Q579" t="n">
        <v>0</v>
      </c>
      <c r="R579" s="2" t="inlineStr"/>
    </row>
    <row r="580" ht="15" customHeight="1">
      <c r="A580" t="inlineStr">
        <is>
          <t>A 67464-2020</t>
        </is>
      </c>
      <c r="B580" s="1" t="n">
        <v>44181</v>
      </c>
      <c r="C580" s="1" t="n">
        <v>45662</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67734-2020</t>
        </is>
      </c>
      <c r="B581" s="1" t="n">
        <v>44182</v>
      </c>
      <c r="C581" s="1" t="n">
        <v>45662</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68220-2020</t>
        </is>
      </c>
      <c r="B582" s="1" t="n">
        <v>44183</v>
      </c>
      <c r="C582" s="1" t="n">
        <v>45662</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68238-2020</t>
        </is>
      </c>
      <c r="B583" s="1" t="n">
        <v>44183</v>
      </c>
      <c r="C583" s="1" t="n">
        <v>45662</v>
      </c>
      <c r="D583" t="inlineStr">
        <is>
          <t>VÄRMLANDS LÄN</t>
        </is>
      </c>
      <c r="E583" t="inlineStr">
        <is>
          <t>TORSBY</t>
        </is>
      </c>
      <c r="F583" t="inlineStr">
        <is>
          <t>Bergvik skog väst AB</t>
        </is>
      </c>
      <c r="G583" t="n">
        <v>6.7</v>
      </c>
      <c r="H583" t="n">
        <v>0</v>
      </c>
      <c r="I583" t="n">
        <v>0</v>
      </c>
      <c r="J583" t="n">
        <v>0</v>
      </c>
      <c r="K583" t="n">
        <v>0</v>
      </c>
      <c r="L583" t="n">
        <v>0</v>
      </c>
      <c r="M583" t="n">
        <v>0</v>
      </c>
      <c r="N583" t="n">
        <v>0</v>
      </c>
      <c r="O583" t="n">
        <v>0</v>
      </c>
      <c r="P583" t="n">
        <v>0</v>
      </c>
      <c r="Q583" t="n">
        <v>0</v>
      </c>
      <c r="R583" s="2" t="inlineStr"/>
    </row>
    <row r="584" ht="15" customHeight="1">
      <c r="A584" t="inlineStr">
        <is>
          <t>A 68246-2020</t>
        </is>
      </c>
      <c r="B584" s="1" t="n">
        <v>44183</v>
      </c>
      <c r="C584" s="1" t="n">
        <v>45662</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68603-2020</t>
        </is>
      </c>
      <c r="B585" s="1" t="n">
        <v>44186</v>
      </c>
      <c r="C585" s="1" t="n">
        <v>45662</v>
      </c>
      <c r="D585" t="inlineStr">
        <is>
          <t>VÄRMLANDS LÄN</t>
        </is>
      </c>
      <c r="E585" t="inlineStr">
        <is>
          <t>TORSBY</t>
        </is>
      </c>
      <c r="G585" t="n">
        <v>11.2</v>
      </c>
      <c r="H585" t="n">
        <v>0</v>
      </c>
      <c r="I585" t="n">
        <v>0</v>
      </c>
      <c r="J585" t="n">
        <v>0</v>
      </c>
      <c r="K585" t="n">
        <v>0</v>
      </c>
      <c r="L585" t="n">
        <v>0</v>
      </c>
      <c r="M585" t="n">
        <v>0</v>
      </c>
      <c r="N585" t="n">
        <v>0</v>
      </c>
      <c r="O585" t="n">
        <v>0</v>
      </c>
      <c r="P585" t="n">
        <v>0</v>
      </c>
      <c r="Q585" t="n">
        <v>0</v>
      </c>
      <c r="R585" s="2" t="inlineStr"/>
    </row>
    <row r="586" ht="15" customHeight="1">
      <c r="A586" t="inlineStr">
        <is>
          <t>A 69245-2020</t>
        </is>
      </c>
      <c r="B586" s="1" t="n">
        <v>44192</v>
      </c>
      <c r="C586" s="1" t="n">
        <v>45662</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69250-2020</t>
        </is>
      </c>
      <c r="B587" s="1" t="n">
        <v>44192</v>
      </c>
      <c r="C587" s="1" t="n">
        <v>45662</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69242-2020</t>
        </is>
      </c>
      <c r="B588" s="1" t="n">
        <v>44192</v>
      </c>
      <c r="C588" s="1" t="n">
        <v>45662</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69247-2020</t>
        </is>
      </c>
      <c r="B589" s="1" t="n">
        <v>44192</v>
      </c>
      <c r="C589" s="1" t="n">
        <v>45662</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69244-2020</t>
        </is>
      </c>
      <c r="B590" s="1" t="n">
        <v>44192</v>
      </c>
      <c r="C590" s="1" t="n">
        <v>45662</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69248-2020</t>
        </is>
      </c>
      <c r="B591" s="1" t="n">
        <v>44192</v>
      </c>
      <c r="C591" s="1" t="n">
        <v>45662</v>
      </c>
      <c r="D591" t="inlineStr">
        <is>
          <t>VÄRMLANDS LÄN</t>
        </is>
      </c>
      <c r="E591" t="inlineStr">
        <is>
          <t>TORSBY</t>
        </is>
      </c>
      <c r="G591" t="n">
        <v>0.4</v>
      </c>
      <c r="H591" t="n">
        <v>0</v>
      </c>
      <c r="I591" t="n">
        <v>0</v>
      </c>
      <c r="J591" t="n">
        <v>0</v>
      </c>
      <c r="K591" t="n">
        <v>0</v>
      </c>
      <c r="L591" t="n">
        <v>0</v>
      </c>
      <c r="M591" t="n">
        <v>0</v>
      </c>
      <c r="N591" t="n">
        <v>0</v>
      </c>
      <c r="O591" t="n">
        <v>0</v>
      </c>
      <c r="P591" t="n">
        <v>0</v>
      </c>
      <c r="Q591" t="n">
        <v>0</v>
      </c>
      <c r="R591" s="2" t="inlineStr"/>
    </row>
    <row r="592" ht="15" customHeight="1">
      <c r="A592" t="inlineStr">
        <is>
          <t>A 69241-2020</t>
        </is>
      </c>
      <c r="B592" s="1" t="n">
        <v>44192</v>
      </c>
      <c r="C592" s="1" t="n">
        <v>45662</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69246-2020</t>
        </is>
      </c>
      <c r="B593" s="1" t="n">
        <v>44192</v>
      </c>
      <c r="C593" s="1" t="n">
        <v>45662</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69434-2020</t>
        </is>
      </c>
      <c r="B594" s="1" t="n">
        <v>44194</v>
      </c>
      <c r="C594" s="1" t="n">
        <v>45662</v>
      </c>
      <c r="D594" t="inlineStr">
        <is>
          <t>VÄRMLANDS LÄN</t>
        </is>
      </c>
      <c r="E594" t="inlineStr">
        <is>
          <t>TORSBY</t>
        </is>
      </c>
      <c r="G594" t="n">
        <v>6.3</v>
      </c>
      <c r="H594" t="n">
        <v>0</v>
      </c>
      <c r="I594" t="n">
        <v>0</v>
      </c>
      <c r="J594" t="n">
        <v>0</v>
      </c>
      <c r="K594" t="n">
        <v>0</v>
      </c>
      <c r="L594" t="n">
        <v>0</v>
      </c>
      <c r="M594" t="n">
        <v>0</v>
      </c>
      <c r="N594" t="n">
        <v>0</v>
      </c>
      <c r="O594" t="n">
        <v>0</v>
      </c>
      <c r="P594" t="n">
        <v>0</v>
      </c>
      <c r="Q594" t="n">
        <v>0</v>
      </c>
      <c r="R594" s="2" t="inlineStr"/>
    </row>
    <row r="595" ht="15" customHeight="1">
      <c r="A595" t="inlineStr">
        <is>
          <t>A 69448-2020</t>
        </is>
      </c>
      <c r="B595" s="1" t="n">
        <v>44194</v>
      </c>
      <c r="C595" s="1" t="n">
        <v>45662</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69628-2020</t>
        </is>
      </c>
      <c r="B596" s="1" t="n">
        <v>44195</v>
      </c>
      <c r="C596" s="1" t="n">
        <v>45662</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339-2021</t>
        </is>
      </c>
      <c r="B597" s="1" t="n">
        <v>44201</v>
      </c>
      <c r="C597" s="1" t="n">
        <v>45662</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1516-2021</t>
        </is>
      </c>
      <c r="B598" s="1" t="n">
        <v>44209</v>
      </c>
      <c r="C598" s="1" t="n">
        <v>45662</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1526-2021</t>
        </is>
      </c>
      <c r="B599" s="1" t="n">
        <v>44209</v>
      </c>
      <c r="C599" s="1" t="n">
        <v>45662</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1535-2021</t>
        </is>
      </c>
      <c r="B600" s="1" t="n">
        <v>44209</v>
      </c>
      <c r="C600" s="1" t="n">
        <v>45662</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1544-2021</t>
        </is>
      </c>
      <c r="B601" s="1" t="n">
        <v>44209</v>
      </c>
      <c r="C601" s="1" t="n">
        <v>45662</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2321-2021</t>
        </is>
      </c>
      <c r="B602" s="1" t="n">
        <v>44214</v>
      </c>
      <c r="C602" s="1" t="n">
        <v>45662</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2576-2021</t>
        </is>
      </c>
      <c r="B603" s="1" t="n">
        <v>44214</v>
      </c>
      <c r="C603" s="1" t="n">
        <v>45662</v>
      </c>
      <c r="D603" t="inlineStr">
        <is>
          <t>VÄRMLANDS LÄN</t>
        </is>
      </c>
      <c r="E603" t="inlineStr">
        <is>
          <t>TORSBY</t>
        </is>
      </c>
      <c r="F603" t="inlineStr">
        <is>
          <t>Kommuner</t>
        </is>
      </c>
      <c r="G603" t="n">
        <v>0.6</v>
      </c>
      <c r="H603" t="n">
        <v>0</v>
      </c>
      <c r="I603" t="n">
        <v>0</v>
      </c>
      <c r="J603" t="n">
        <v>0</v>
      </c>
      <c r="K603" t="n">
        <v>0</v>
      </c>
      <c r="L603" t="n">
        <v>0</v>
      </c>
      <c r="M603" t="n">
        <v>0</v>
      </c>
      <c r="N603" t="n">
        <v>0</v>
      </c>
      <c r="O603" t="n">
        <v>0</v>
      </c>
      <c r="P603" t="n">
        <v>0</v>
      </c>
      <c r="Q603" t="n">
        <v>0</v>
      </c>
      <c r="R603" s="2" t="inlineStr"/>
    </row>
    <row r="604" ht="15" customHeight="1">
      <c r="A604" t="inlineStr">
        <is>
          <t>A 2758-2021</t>
        </is>
      </c>
      <c r="B604" s="1" t="n">
        <v>44215</v>
      </c>
      <c r="C604" s="1" t="n">
        <v>45662</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3160-2021</t>
        </is>
      </c>
      <c r="B605" s="1" t="n">
        <v>44217</v>
      </c>
      <c r="C605" s="1" t="n">
        <v>45662</v>
      </c>
      <c r="D605" t="inlineStr">
        <is>
          <t>VÄRMLANDS LÄN</t>
        </is>
      </c>
      <c r="E605" t="inlineStr">
        <is>
          <t>TORSBY</t>
        </is>
      </c>
      <c r="G605" t="n">
        <v>4.4</v>
      </c>
      <c r="H605" t="n">
        <v>0</v>
      </c>
      <c r="I605" t="n">
        <v>0</v>
      </c>
      <c r="J605" t="n">
        <v>0</v>
      </c>
      <c r="K605" t="n">
        <v>0</v>
      </c>
      <c r="L605" t="n">
        <v>0</v>
      </c>
      <c r="M605" t="n">
        <v>0</v>
      </c>
      <c r="N605" t="n">
        <v>0</v>
      </c>
      <c r="O605" t="n">
        <v>0</v>
      </c>
      <c r="P605" t="n">
        <v>0</v>
      </c>
      <c r="Q605" t="n">
        <v>0</v>
      </c>
      <c r="R605" s="2" t="inlineStr"/>
    </row>
    <row r="606" ht="15" customHeight="1">
      <c r="A606" t="inlineStr">
        <is>
          <t>A 3336-2021</t>
        </is>
      </c>
      <c r="B606" s="1" t="n">
        <v>44217</v>
      </c>
      <c r="C606" s="1" t="n">
        <v>45662</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4392-2021</t>
        </is>
      </c>
      <c r="B607" s="1" t="n">
        <v>44223</v>
      </c>
      <c r="C607" s="1" t="n">
        <v>45662</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4558-2021</t>
        </is>
      </c>
      <c r="B608" s="1" t="n">
        <v>44223</v>
      </c>
      <c r="C608" s="1" t="n">
        <v>45662</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4393-2021</t>
        </is>
      </c>
      <c r="B609" s="1" t="n">
        <v>44223</v>
      </c>
      <c r="C609" s="1" t="n">
        <v>45662</v>
      </c>
      <c r="D609" t="inlineStr">
        <is>
          <t>VÄRMLANDS LÄN</t>
        </is>
      </c>
      <c r="E609" t="inlineStr">
        <is>
          <t>TORSBY</t>
        </is>
      </c>
      <c r="G609" t="n">
        <v>2.8</v>
      </c>
      <c r="H609" t="n">
        <v>0</v>
      </c>
      <c r="I609" t="n">
        <v>0</v>
      </c>
      <c r="J609" t="n">
        <v>0</v>
      </c>
      <c r="K609" t="n">
        <v>0</v>
      </c>
      <c r="L609" t="n">
        <v>0</v>
      </c>
      <c r="M609" t="n">
        <v>0</v>
      </c>
      <c r="N609" t="n">
        <v>0</v>
      </c>
      <c r="O609" t="n">
        <v>0</v>
      </c>
      <c r="P609" t="n">
        <v>0</v>
      </c>
      <c r="Q609" t="n">
        <v>0</v>
      </c>
      <c r="R609" s="2" t="inlineStr"/>
    </row>
    <row r="610" ht="15" customHeight="1">
      <c r="A610" t="inlineStr">
        <is>
          <t>A 4564-2021</t>
        </is>
      </c>
      <c r="B610" s="1" t="n">
        <v>44223</v>
      </c>
      <c r="C610" s="1" t="n">
        <v>45662</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4479-2021</t>
        </is>
      </c>
      <c r="B611" s="1" t="n">
        <v>44224</v>
      </c>
      <c r="C611" s="1" t="n">
        <v>45662</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4711-2021</t>
        </is>
      </c>
      <c r="B612" s="1" t="n">
        <v>44225</v>
      </c>
      <c r="C612" s="1" t="n">
        <v>45662</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5050-2021</t>
        </is>
      </c>
      <c r="B613" s="1" t="n">
        <v>44228</v>
      </c>
      <c r="C613" s="1" t="n">
        <v>45662</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5105-2021</t>
        </is>
      </c>
      <c r="B614" s="1" t="n">
        <v>44228</v>
      </c>
      <c r="C614" s="1" t="n">
        <v>45662</v>
      </c>
      <c r="D614" t="inlineStr">
        <is>
          <t>VÄRMLANDS LÄN</t>
        </is>
      </c>
      <c r="E614" t="inlineStr">
        <is>
          <t>TORSBY</t>
        </is>
      </c>
      <c r="G614" t="n">
        <v>5.6</v>
      </c>
      <c r="H614" t="n">
        <v>0</v>
      </c>
      <c r="I614" t="n">
        <v>0</v>
      </c>
      <c r="J614" t="n">
        <v>0</v>
      </c>
      <c r="K614" t="n">
        <v>0</v>
      </c>
      <c r="L614" t="n">
        <v>0</v>
      </c>
      <c r="M614" t="n">
        <v>0</v>
      </c>
      <c r="N614" t="n">
        <v>0</v>
      </c>
      <c r="O614" t="n">
        <v>0</v>
      </c>
      <c r="P614" t="n">
        <v>0</v>
      </c>
      <c r="Q614" t="n">
        <v>0</v>
      </c>
      <c r="R614" s="2" t="inlineStr"/>
    </row>
    <row r="615" ht="15" customHeight="1">
      <c r="A615" t="inlineStr">
        <is>
          <t>A 5365-2021</t>
        </is>
      </c>
      <c r="B615" s="1" t="n">
        <v>44229</v>
      </c>
      <c r="C615" s="1" t="n">
        <v>45662</v>
      </c>
      <c r="D615" t="inlineStr">
        <is>
          <t>VÄRMLANDS LÄN</t>
        </is>
      </c>
      <c r="E615" t="inlineStr">
        <is>
          <t>TORSBY</t>
        </is>
      </c>
      <c r="G615" t="n">
        <v>8.1</v>
      </c>
      <c r="H615" t="n">
        <v>0</v>
      </c>
      <c r="I615" t="n">
        <v>0</v>
      </c>
      <c r="J615" t="n">
        <v>0</v>
      </c>
      <c r="K615" t="n">
        <v>0</v>
      </c>
      <c r="L615" t="n">
        <v>0</v>
      </c>
      <c r="M615" t="n">
        <v>0</v>
      </c>
      <c r="N615" t="n">
        <v>0</v>
      </c>
      <c r="O615" t="n">
        <v>0</v>
      </c>
      <c r="P615" t="n">
        <v>0</v>
      </c>
      <c r="Q615" t="n">
        <v>0</v>
      </c>
      <c r="R615" s="2" t="inlineStr"/>
    </row>
    <row r="616" ht="15" customHeight="1">
      <c r="A616" t="inlineStr">
        <is>
          <t>A 5572-2021</t>
        </is>
      </c>
      <c r="B616" s="1" t="n">
        <v>44230</v>
      </c>
      <c r="C616" s="1" t="n">
        <v>45662</v>
      </c>
      <c r="D616" t="inlineStr">
        <is>
          <t>VÄRMLANDS LÄN</t>
        </is>
      </c>
      <c r="E616" t="inlineStr">
        <is>
          <t>TORSBY</t>
        </is>
      </c>
      <c r="G616" t="n">
        <v>2</v>
      </c>
      <c r="H616" t="n">
        <v>0</v>
      </c>
      <c r="I616" t="n">
        <v>0</v>
      </c>
      <c r="J616" t="n">
        <v>0</v>
      </c>
      <c r="K616" t="n">
        <v>0</v>
      </c>
      <c r="L616" t="n">
        <v>0</v>
      </c>
      <c r="M616" t="n">
        <v>0</v>
      </c>
      <c r="N616" t="n">
        <v>0</v>
      </c>
      <c r="O616" t="n">
        <v>0</v>
      </c>
      <c r="P616" t="n">
        <v>0</v>
      </c>
      <c r="Q616" t="n">
        <v>0</v>
      </c>
      <c r="R616" s="2" t="inlineStr"/>
    </row>
    <row r="617" ht="15" customHeight="1">
      <c r="A617" t="inlineStr">
        <is>
          <t>A 5839-2021</t>
        </is>
      </c>
      <c r="B617" s="1" t="n">
        <v>44231</v>
      </c>
      <c r="C617" s="1" t="n">
        <v>45662</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6063-2021</t>
        </is>
      </c>
      <c r="B618" s="1" t="n">
        <v>44232</v>
      </c>
      <c r="C618" s="1" t="n">
        <v>45662</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6111-2021</t>
        </is>
      </c>
      <c r="B619" s="1" t="n">
        <v>44232</v>
      </c>
      <c r="C619" s="1" t="n">
        <v>45662</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6121-2021</t>
        </is>
      </c>
      <c r="B620" s="1" t="n">
        <v>44232</v>
      </c>
      <c r="C620" s="1" t="n">
        <v>45662</v>
      </c>
      <c r="D620" t="inlineStr">
        <is>
          <t>VÄRMLANDS LÄN</t>
        </is>
      </c>
      <c r="E620" t="inlineStr">
        <is>
          <t>TORSBY</t>
        </is>
      </c>
      <c r="G620" t="n">
        <v>2.9</v>
      </c>
      <c r="H620" t="n">
        <v>0</v>
      </c>
      <c r="I620" t="n">
        <v>0</v>
      </c>
      <c r="J620" t="n">
        <v>0</v>
      </c>
      <c r="K620" t="n">
        <v>0</v>
      </c>
      <c r="L620" t="n">
        <v>0</v>
      </c>
      <c r="M620" t="n">
        <v>0</v>
      </c>
      <c r="N620" t="n">
        <v>0</v>
      </c>
      <c r="O620" t="n">
        <v>0</v>
      </c>
      <c r="P620" t="n">
        <v>0</v>
      </c>
      <c r="Q620" t="n">
        <v>0</v>
      </c>
      <c r="R620" s="2" t="inlineStr"/>
    </row>
    <row r="621" ht="15" customHeight="1">
      <c r="A621" t="inlineStr">
        <is>
          <t>A 6068-2021</t>
        </is>
      </c>
      <c r="B621" s="1" t="n">
        <v>44232</v>
      </c>
      <c r="C621" s="1" t="n">
        <v>45662</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6102-2021</t>
        </is>
      </c>
      <c r="B622" s="1" t="n">
        <v>44232</v>
      </c>
      <c r="C622" s="1" t="n">
        <v>45662</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6656-2021</t>
        </is>
      </c>
      <c r="B623" s="1" t="n">
        <v>44236</v>
      </c>
      <c r="C623" s="1" t="n">
        <v>45662</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7661-2021</t>
        </is>
      </c>
      <c r="B624" s="1" t="n">
        <v>44242</v>
      </c>
      <c r="C624" s="1" t="n">
        <v>45662</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8034-2021</t>
        </is>
      </c>
      <c r="B625" s="1" t="n">
        <v>44243</v>
      </c>
      <c r="C625" s="1" t="n">
        <v>45662</v>
      </c>
      <c r="D625" t="inlineStr">
        <is>
          <t>VÄRMLANDS LÄN</t>
        </is>
      </c>
      <c r="E625" t="inlineStr">
        <is>
          <t>TORSBY</t>
        </is>
      </c>
      <c r="G625" t="n">
        <v>15.4</v>
      </c>
      <c r="H625" t="n">
        <v>0</v>
      </c>
      <c r="I625" t="n">
        <v>0</v>
      </c>
      <c r="J625" t="n">
        <v>0</v>
      </c>
      <c r="K625" t="n">
        <v>0</v>
      </c>
      <c r="L625" t="n">
        <v>0</v>
      </c>
      <c r="M625" t="n">
        <v>0</v>
      </c>
      <c r="N625" t="n">
        <v>0</v>
      </c>
      <c r="O625" t="n">
        <v>0</v>
      </c>
      <c r="P625" t="n">
        <v>0</v>
      </c>
      <c r="Q625" t="n">
        <v>0</v>
      </c>
      <c r="R625" s="2" t="inlineStr"/>
    </row>
    <row r="626" ht="15" customHeight="1">
      <c r="A626" t="inlineStr">
        <is>
          <t>A 7898-2021</t>
        </is>
      </c>
      <c r="B626" s="1" t="n">
        <v>44243</v>
      </c>
      <c r="C626" s="1" t="n">
        <v>45662</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8910-2021</t>
        </is>
      </c>
      <c r="B627" s="1" t="n">
        <v>44246</v>
      </c>
      <c r="C627" s="1" t="n">
        <v>45662</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9775-2021</t>
        </is>
      </c>
      <c r="B628" s="1" t="n">
        <v>44252</v>
      </c>
      <c r="C628" s="1" t="n">
        <v>45662</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10133-2021</t>
        </is>
      </c>
      <c r="B629" s="1" t="n">
        <v>44256</v>
      </c>
      <c r="C629" s="1" t="n">
        <v>45662</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10118-2021</t>
        </is>
      </c>
      <c r="B630" s="1" t="n">
        <v>44256</v>
      </c>
      <c r="C630" s="1" t="n">
        <v>45662</v>
      </c>
      <c r="D630" t="inlineStr">
        <is>
          <t>VÄRMLANDS LÄN</t>
        </is>
      </c>
      <c r="E630" t="inlineStr">
        <is>
          <t>TORSBY</t>
        </is>
      </c>
      <c r="G630" t="n">
        <v>12.5</v>
      </c>
      <c r="H630" t="n">
        <v>0</v>
      </c>
      <c r="I630" t="n">
        <v>0</v>
      </c>
      <c r="J630" t="n">
        <v>0</v>
      </c>
      <c r="K630" t="n">
        <v>0</v>
      </c>
      <c r="L630" t="n">
        <v>0</v>
      </c>
      <c r="M630" t="n">
        <v>0</v>
      </c>
      <c r="N630" t="n">
        <v>0</v>
      </c>
      <c r="O630" t="n">
        <v>0</v>
      </c>
      <c r="P630" t="n">
        <v>0</v>
      </c>
      <c r="Q630" t="n">
        <v>0</v>
      </c>
      <c r="R630" s="2" t="inlineStr"/>
    </row>
    <row r="631" ht="15" customHeight="1">
      <c r="A631" t="inlineStr">
        <is>
          <t>A 10579-2021</t>
        </is>
      </c>
      <c r="B631" s="1" t="n">
        <v>44257</v>
      </c>
      <c r="C631" s="1" t="n">
        <v>45662</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10778-2021</t>
        </is>
      </c>
      <c r="B632" s="1" t="n">
        <v>44259</v>
      </c>
      <c r="C632" s="1" t="n">
        <v>45662</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11695-2021</t>
        </is>
      </c>
      <c r="B633" s="1" t="n">
        <v>44264</v>
      </c>
      <c r="C633" s="1" t="n">
        <v>45662</v>
      </c>
      <c r="D633" t="inlineStr">
        <is>
          <t>VÄRMLANDS LÄN</t>
        </is>
      </c>
      <c r="E633" t="inlineStr">
        <is>
          <t>TORSBY</t>
        </is>
      </c>
      <c r="G633" t="n">
        <v>3</v>
      </c>
      <c r="H633" t="n">
        <v>0</v>
      </c>
      <c r="I633" t="n">
        <v>0</v>
      </c>
      <c r="J633" t="n">
        <v>0</v>
      </c>
      <c r="K633" t="n">
        <v>0</v>
      </c>
      <c r="L633" t="n">
        <v>0</v>
      </c>
      <c r="M633" t="n">
        <v>0</v>
      </c>
      <c r="N633" t="n">
        <v>0</v>
      </c>
      <c r="O633" t="n">
        <v>0</v>
      </c>
      <c r="P633" t="n">
        <v>0</v>
      </c>
      <c r="Q633" t="n">
        <v>0</v>
      </c>
      <c r="R633" s="2" t="inlineStr"/>
    </row>
    <row r="634" ht="15" customHeight="1">
      <c r="A634" t="inlineStr">
        <is>
          <t>A 11947-2021</t>
        </is>
      </c>
      <c r="B634" s="1" t="n">
        <v>44265</v>
      </c>
      <c r="C634" s="1" t="n">
        <v>45662</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13013-2021</t>
        </is>
      </c>
      <c r="B635" s="1" t="n">
        <v>44271</v>
      </c>
      <c r="C635" s="1" t="n">
        <v>45662</v>
      </c>
      <c r="D635" t="inlineStr">
        <is>
          <t>VÄRMLANDS LÄN</t>
        </is>
      </c>
      <c r="E635" t="inlineStr">
        <is>
          <t>TORSBY</t>
        </is>
      </c>
      <c r="G635" t="n">
        <v>7.7</v>
      </c>
      <c r="H635" t="n">
        <v>0</v>
      </c>
      <c r="I635" t="n">
        <v>0</v>
      </c>
      <c r="J635" t="n">
        <v>0</v>
      </c>
      <c r="K635" t="n">
        <v>0</v>
      </c>
      <c r="L635" t="n">
        <v>0</v>
      </c>
      <c r="M635" t="n">
        <v>0</v>
      </c>
      <c r="N635" t="n">
        <v>0</v>
      </c>
      <c r="O635" t="n">
        <v>0</v>
      </c>
      <c r="P635" t="n">
        <v>0</v>
      </c>
      <c r="Q635" t="n">
        <v>0</v>
      </c>
      <c r="R635" s="2" t="inlineStr"/>
    </row>
    <row r="636" ht="15" customHeight="1">
      <c r="A636" t="inlineStr">
        <is>
          <t>A 14942-2021</t>
        </is>
      </c>
      <c r="B636" s="1" t="n">
        <v>44281</v>
      </c>
      <c r="C636" s="1" t="n">
        <v>45662</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15279-2021</t>
        </is>
      </c>
      <c r="B637" s="1" t="n">
        <v>44284</v>
      </c>
      <c r="C637" s="1" t="n">
        <v>45662</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16191-2021</t>
        </is>
      </c>
      <c r="B638" s="1" t="n">
        <v>44285</v>
      </c>
      <c r="C638" s="1" t="n">
        <v>45662</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15854-2021</t>
        </is>
      </c>
      <c r="B639" s="1" t="n">
        <v>44286</v>
      </c>
      <c r="C639" s="1" t="n">
        <v>45662</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15853-2021</t>
        </is>
      </c>
      <c r="B640" s="1" t="n">
        <v>44286</v>
      </c>
      <c r="C640" s="1" t="n">
        <v>45662</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15945-2021</t>
        </is>
      </c>
      <c r="B641" s="1" t="n">
        <v>44287</v>
      </c>
      <c r="C641" s="1" t="n">
        <v>45662</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15939-2021</t>
        </is>
      </c>
      <c r="B642" s="1" t="n">
        <v>44287</v>
      </c>
      <c r="C642" s="1" t="n">
        <v>45662</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16303-2021</t>
        </is>
      </c>
      <c r="B643" s="1" t="n">
        <v>44292</v>
      </c>
      <c r="C643" s="1" t="n">
        <v>45662</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16299-2021</t>
        </is>
      </c>
      <c r="B644" s="1" t="n">
        <v>44292</v>
      </c>
      <c r="C644" s="1" t="n">
        <v>45662</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16375-2021</t>
        </is>
      </c>
      <c r="B645" s="1" t="n">
        <v>44292</v>
      </c>
      <c r="C645" s="1" t="n">
        <v>45662</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17249-2021</t>
        </is>
      </c>
      <c r="B646" s="1" t="n">
        <v>44298</v>
      </c>
      <c r="C646" s="1" t="n">
        <v>45662</v>
      </c>
      <c r="D646" t="inlineStr">
        <is>
          <t>VÄRMLANDS LÄN</t>
        </is>
      </c>
      <c r="E646" t="inlineStr">
        <is>
          <t>TORSBY</t>
        </is>
      </c>
      <c r="G646" t="n">
        <v>2.7</v>
      </c>
      <c r="H646" t="n">
        <v>0</v>
      </c>
      <c r="I646" t="n">
        <v>0</v>
      </c>
      <c r="J646" t="n">
        <v>0</v>
      </c>
      <c r="K646" t="n">
        <v>0</v>
      </c>
      <c r="L646" t="n">
        <v>0</v>
      </c>
      <c r="M646" t="n">
        <v>0</v>
      </c>
      <c r="N646" t="n">
        <v>0</v>
      </c>
      <c r="O646" t="n">
        <v>0</v>
      </c>
      <c r="P646" t="n">
        <v>0</v>
      </c>
      <c r="Q646" t="n">
        <v>0</v>
      </c>
      <c r="R646" s="2" t="inlineStr"/>
    </row>
    <row r="647" ht="15" customHeight="1">
      <c r="A647" t="inlineStr">
        <is>
          <t>A 17941-2021</t>
        </is>
      </c>
      <c r="B647" s="1" t="n">
        <v>44301</v>
      </c>
      <c r="C647" s="1" t="n">
        <v>45662</v>
      </c>
      <c r="D647" t="inlineStr">
        <is>
          <t>VÄRMLANDS LÄN</t>
        </is>
      </c>
      <c r="E647" t="inlineStr">
        <is>
          <t>TORSBY</t>
        </is>
      </c>
      <c r="F647" t="inlineStr">
        <is>
          <t>Kommuner</t>
        </is>
      </c>
      <c r="G647" t="n">
        <v>8</v>
      </c>
      <c r="H647" t="n">
        <v>0</v>
      </c>
      <c r="I647" t="n">
        <v>0</v>
      </c>
      <c r="J647" t="n">
        <v>0</v>
      </c>
      <c r="K647" t="n">
        <v>0</v>
      </c>
      <c r="L647" t="n">
        <v>0</v>
      </c>
      <c r="M647" t="n">
        <v>0</v>
      </c>
      <c r="N647" t="n">
        <v>0</v>
      </c>
      <c r="O647" t="n">
        <v>0</v>
      </c>
      <c r="P647" t="n">
        <v>0</v>
      </c>
      <c r="Q647" t="n">
        <v>0</v>
      </c>
      <c r="R647" s="2" t="inlineStr"/>
    </row>
    <row r="648" ht="15" customHeight="1">
      <c r="A648" t="inlineStr">
        <is>
          <t>A 17962-2021</t>
        </is>
      </c>
      <c r="B648" s="1" t="n">
        <v>44301</v>
      </c>
      <c r="C648" s="1" t="n">
        <v>45662</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17944-2021</t>
        </is>
      </c>
      <c r="B649" s="1" t="n">
        <v>44301</v>
      </c>
      <c r="C649" s="1" t="n">
        <v>45662</v>
      </c>
      <c r="D649" t="inlineStr">
        <is>
          <t>VÄRMLANDS LÄN</t>
        </is>
      </c>
      <c r="E649" t="inlineStr">
        <is>
          <t>TORSBY</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23524-2021</t>
        </is>
      </c>
      <c r="B650" s="1" t="n">
        <v>44301</v>
      </c>
      <c r="C650" s="1" t="n">
        <v>45662</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18174-2021</t>
        </is>
      </c>
      <c r="B651" s="1" t="n">
        <v>44302</v>
      </c>
      <c r="C651" s="1" t="n">
        <v>45662</v>
      </c>
      <c r="D651" t="inlineStr">
        <is>
          <t>VÄRMLANDS LÄN</t>
        </is>
      </c>
      <c r="E651" t="inlineStr">
        <is>
          <t>TORSBY</t>
        </is>
      </c>
      <c r="G651" t="n">
        <v>4.5</v>
      </c>
      <c r="H651" t="n">
        <v>0</v>
      </c>
      <c r="I651" t="n">
        <v>0</v>
      </c>
      <c r="J651" t="n">
        <v>0</v>
      </c>
      <c r="K651" t="n">
        <v>0</v>
      </c>
      <c r="L651" t="n">
        <v>0</v>
      </c>
      <c r="M651" t="n">
        <v>0</v>
      </c>
      <c r="N651" t="n">
        <v>0</v>
      </c>
      <c r="O651" t="n">
        <v>0</v>
      </c>
      <c r="P651" t="n">
        <v>0</v>
      </c>
      <c r="Q651" t="n">
        <v>0</v>
      </c>
      <c r="R651" s="2" t="inlineStr"/>
    </row>
    <row r="652" ht="15" customHeight="1">
      <c r="A652" t="inlineStr">
        <is>
          <t>A 18033-2021</t>
        </is>
      </c>
      <c r="B652" s="1" t="n">
        <v>44302</v>
      </c>
      <c r="C652" s="1" t="n">
        <v>45662</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18354-2021</t>
        </is>
      </c>
      <c r="B653" s="1" t="n">
        <v>44305</v>
      </c>
      <c r="C653" s="1" t="n">
        <v>45662</v>
      </c>
      <c r="D653" t="inlineStr">
        <is>
          <t>VÄRMLANDS LÄN</t>
        </is>
      </c>
      <c r="E653" t="inlineStr">
        <is>
          <t>TORSBY</t>
        </is>
      </c>
      <c r="F653" t="inlineStr">
        <is>
          <t>Kommuner</t>
        </is>
      </c>
      <c r="G653" t="n">
        <v>2.4</v>
      </c>
      <c r="H653" t="n">
        <v>0</v>
      </c>
      <c r="I653" t="n">
        <v>0</v>
      </c>
      <c r="J653" t="n">
        <v>0</v>
      </c>
      <c r="K653" t="n">
        <v>0</v>
      </c>
      <c r="L653" t="n">
        <v>0</v>
      </c>
      <c r="M653" t="n">
        <v>0</v>
      </c>
      <c r="N653" t="n">
        <v>0</v>
      </c>
      <c r="O653" t="n">
        <v>0</v>
      </c>
      <c r="P653" t="n">
        <v>0</v>
      </c>
      <c r="Q653" t="n">
        <v>0</v>
      </c>
      <c r="R653" s="2" t="inlineStr"/>
    </row>
    <row r="654" ht="15" customHeight="1">
      <c r="A654" t="inlineStr">
        <is>
          <t>A 18344-2021</t>
        </is>
      </c>
      <c r="B654" s="1" t="n">
        <v>44305</v>
      </c>
      <c r="C654" s="1" t="n">
        <v>45662</v>
      </c>
      <c r="D654" t="inlineStr">
        <is>
          <t>VÄRMLANDS LÄN</t>
        </is>
      </c>
      <c r="E654" t="inlineStr">
        <is>
          <t>TORSBY</t>
        </is>
      </c>
      <c r="F654" t="inlineStr">
        <is>
          <t>Kommuner</t>
        </is>
      </c>
      <c r="G654" t="n">
        <v>4.3</v>
      </c>
      <c r="H654" t="n">
        <v>0</v>
      </c>
      <c r="I654" t="n">
        <v>0</v>
      </c>
      <c r="J654" t="n">
        <v>0</v>
      </c>
      <c r="K654" t="n">
        <v>0</v>
      </c>
      <c r="L654" t="n">
        <v>0</v>
      </c>
      <c r="M654" t="n">
        <v>0</v>
      </c>
      <c r="N654" t="n">
        <v>0</v>
      </c>
      <c r="O654" t="n">
        <v>0</v>
      </c>
      <c r="P654" t="n">
        <v>0</v>
      </c>
      <c r="Q654" t="n">
        <v>0</v>
      </c>
      <c r="R654" s="2" t="inlineStr"/>
    </row>
    <row r="655" ht="15" customHeight="1">
      <c r="A655" t="inlineStr">
        <is>
          <t>A 18349-2021</t>
        </is>
      </c>
      <c r="B655" s="1" t="n">
        <v>44305</v>
      </c>
      <c r="C655" s="1" t="n">
        <v>45662</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18560-2021</t>
        </is>
      </c>
      <c r="B656" s="1" t="n">
        <v>44306</v>
      </c>
      <c r="C656" s="1" t="n">
        <v>45662</v>
      </c>
      <c r="D656" t="inlineStr">
        <is>
          <t>VÄRMLANDS LÄN</t>
        </is>
      </c>
      <c r="E656" t="inlineStr">
        <is>
          <t>TORSBY</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19031-2021</t>
        </is>
      </c>
      <c r="B657" s="1" t="n">
        <v>44308</v>
      </c>
      <c r="C657" s="1" t="n">
        <v>45662</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19338-2021</t>
        </is>
      </c>
      <c r="B658" s="1" t="n">
        <v>44309</v>
      </c>
      <c r="C658" s="1" t="n">
        <v>45662</v>
      </c>
      <c r="D658" t="inlineStr">
        <is>
          <t>VÄRMLANDS LÄN</t>
        </is>
      </c>
      <c r="E658" t="inlineStr">
        <is>
          <t>TORSBY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19375-2021</t>
        </is>
      </c>
      <c r="B659" s="1" t="n">
        <v>44309</v>
      </c>
      <c r="C659" s="1" t="n">
        <v>45662</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20182-2021</t>
        </is>
      </c>
      <c r="B660" s="1" t="n">
        <v>44312</v>
      </c>
      <c r="C660" s="1" t="n">
        <v>45662</v>
      </c>
      <c r="D660" t="inlineStr">
        <is>
          <t>VÄRMLANDS LÄN</t>
        </is>
      </c>
      <c r="E660" t="inlineStr">
        <is>
          <t>TORSBY</t>
        </is>
      </c>
      <c r="G660" t="n">
        <v>14.4</v>
      </c>
      <c r="H660" t="n">
        <v>0</v>
      </c>
      <c r="I660" t="n">
        <v>0</v>
      </c>
      <c r="J660" t="n">
        <v>0</v>
      </c>
      <c r="K660" t="n">
        <v>0</v>
      </c>
      <c r="L660" t="n">
        <v>0</v>
      </c>
      <c r="M660" t="n">
        <v>0</v>
      </c>
      <c r="N660" t="n">
        <v>0</v>
      </c>
      <c r="O660" t="n">
        <v>0</v>
      </c>
      <c r="P660" t="n">
        <v>0</v>
      </c>
      <c r="Q660" t="n">
        <v>0</v>
      </c>
      <c r="R660" s="2" t="inlineStr"/>
    </row>
    <row r="661" ht="15" customHeight="1">
      <c r="A661" t="inlineStr">
        <is>
          <t>A 20199-2021</t>
        </is>
      </c>
      <c r="B661" s="1" t="n">
        <v>44312</v>
      </c>
      <c r="C661" s="1" t="n">
        <v>45662</v>
      </c>
      <c r="D661" t="inlineStr">
        <is>
          <t>VÄRMLANDS LÄN</t>
        </is>
      </c>
      <c r="E661" t="inlineStr">
        <is>
          <t>TORSBY</t>
        </is>
      </c>
      <c r="G661" t="n">
        <v>11.4</v>
      </c>
      <c r="H661" t="n">
        <v>0</v>
      </c>
      <c r="I661" t="n">
        <v>0</v>
      </c>
      <c r="J661" t="n">
        <v>0</v>
      </c>
      <c r="K661" t="n">
        <v>0</v>
      </c>
      <c r="L661" t="n">
        <v>0</v>
      </c>
      <c r="M661" t="n">
        <v>0</v>
      </c>
      <c r="N661" t="n">
        <v>0</v>
      </c>
      <c r="O661" t="n">
        <v>0</v>
      </c>
      <c r="P661" t="n">
        <v>0</v>
      </c>
      <c r="Q661" t="n">
        <v>0</v>
      </c>
      <c r="R661" s="2" t="inlineStr"/>
    </row>
    <row r="662" ht="15" customHeight="1">
      <c r="A662" t="inlineStr">
        <is>
          <t>A 20170-2021</t>
        </is>
      </c>
      <c r="B662" s="1" t="n">
        <v>44312</v>
      </c>
      <c r="C662" s="1" t="n">
        <v>45662</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19877-2021</t>
        </is>
      </c>
      <c r="B663" s="1" t="n">
        <v>44313</v>
      </c>
      <c r="C663" s="1" t="n">
        <v>45662</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19974-2021</t>
        </is>
      </c>
      <c r="B664" s="1" t="n">
        <v>44313</v>
      </c>
      <c r="C664" s="1" t="n">
        <v>45662</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20122-2021</t>
        </is>
      </c>
      <c r="B665" s="1" t="n">
        <v>44314</v>
      </c>
      <c r="C665" s="1" t="n">
        <v>45662</v>
      </c>
      <c r="D665" t="inlineStr">
        <is>
          <t>VÄRMLANDS LÄN</t>
        </is>
      </c>
      <c r="E665" t="inlineStr">
        <is>
          <t>TORSBY</t>
        </is>
      </c>
      <c r="G665" t="n">
        <v>2.5</v>
      </c>
      <c r="H665" t="n">
        <v>0</v>
      </c>
      <c r="I665" t="n">
        <v>0</v>
      </c>
      <c r="J665" t="n">
        <v>0</v>
      </c>
      <c r="K665" t="n">
        <v>0</v>
      </c>
      <c r="L665" t="n">
        <v>0</v>
      </c>
      <c r="M665" t="n">
        <v>0</v>
      </c>
      <c r="N665" t="n">
        <v>0</v>
      </c>
      <c r="O665" t="n">
        <v>0</v>
      </c>
      <c r="P665" t="n">
        <v>0</v>
      </c>
      <c r="Q665" t="n">
        <v>0</v>
      </c>
      <c r="R665" s="2" t="inlineStr"/>
    </row>
    <row r="666" ht="15" customHeight="1">
      <c r="A666" t="inlineStr">
        <is>
          <t>A 21031-2021</t>
        </is>
      </c>
      <c r="B666" s="1" t="n">
        <v>44319</v>
      </c>
      <c r="C666" s="1" t="n">
        <v>45662</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21206-2021</t>
        </is>
      </c>
      <c r="B667" s="1" t="n">
        <v>44320</v>
      </c>
      <c r="C667" s="1" t="n">
        <v>45662</v>
      </c>
      <c r="D667" t="inlineStr">
        <is>
          <t>VÄRMLANDS LÄN</t>
        </is>
      </c>
      <c r="E667" t="inlineStr">
        <is>
          <t>TORSBY</t>
        </is>
      </c>
      <c r="G667" t="n">
        <v>2.6</v>
      </c>
      <c r="H667" t="n">
        <v>0</v>
      </c>
      <c r="I667" t="n">
        <v>0</v>
      </c>
      <c r="J667" t="n">
        <v>0</v>
      </c>
      <c r="K667" t="n">
        <v>0</v>
      </c>
      <c r="L667" t="n">
        <v>0</v>
      </c>
      <c r="M667" t="n">
        <v>0</v>
      </c>
      <c r="N667" t="n">
        <v>0</v>
      </c>
      <c r="O667" t="n">
        <v>0</v>
      </c>
      <c r="P667" t="n">
        <v>0</v>
      </c>
      <c r="Q667" t="n">
        <v>0</v>
      </c>
      <c r="R667" s="2" t="inlineStr"/>
    </row>
    <row r="668" ht="15" customHeight="1">
      <c r="A668" t="inlineStr">
        <is>
          <t>A 22038-2021</t>
        </is>
      </c>
      <c r="B668" s="1" t="n">
        <v>44323</v>
      </c>
      <c r="C668" s="1" t="n">
        <v>45662</v>
      </c>
      <c r="D668" t="inlineStr">
        <is>
          <t>VÄRMLANDS LÄN</t>
        </is>
      </c>
      <c r="E668" t="inlineStr">
        <is>
          <t>TORSBY</t>
        </is>
      </c>
      <c r="G668" t="n">
        <v>4</v>
      </c>
      <c r="H668" t="n">
        <v>0</v>
      </c>
      <c r="I668" t="n">
        <v>0</v>
      </c>
      <c r="J668" t="n">
        <v>0</v>
      </c>
      <c r="K668" t="n">
        <v>0</v>
      </c>
      <c r="L668" t="n">
        <v>0</v>
      </c>
      <c r="M668" t="n">
        <v>0</v>
      </c>
      <c r="N668" t="n">
        <v>0</v>
      </c>
      <c r="O668" t="n">
        <v>0</v>
      </c>
      <c r="P668" t="n">
        <v>0</v>
      </c>
      <c r="Q668" t="n">
        <v>0</v>
      </c>
      <c r="R668" s="2" t="inlineStr"/>
    </row>
    <row r="669" ht="15" customHeight="1">
      <c r="A669" t="inlineStr">
        <is>
          <t>A 22113-2021</t>
        </is>
      </c>
      <c r="B669" s="1" t="n">
        <v>44323</v>
      </c>
      <c r="C669" s="1" t="n">
        <v>45662</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22464-2021</t>
        </is>
      </c>
      <c r="B670" s="1" t="n">
        <v>44326</v>
      </c>
      <c r="C670" s="1" t="n">
        <v>45662</v>
      </c>
      <c r="D670" t="inlineStr">
        <is>
          <t>VÄRMLANDS LÄN</t>
        </is>
      </c>
      <c r="E670" t="inlineStr">
        <is>
          <t>TORSBY</t>
        </is>
      </c>
      <c r="G670" t="n">
        <v>6</v>
      </c>
      <c r="H670" t="n">
        <v>0</v>
      </c>
      <c r="I670" t="n">
        <v>0</v>
      </c>
      <c r="J670" t="n">
        <v>0</v>
      </c>
      <c r="K670" t="n">
        <v>0</v>
      </c>
      <c r="L670" t="n">
        <v>0</v>
      </c>
      <c r="M670" t="n">
        <v>0</v>
      </c>
      <c r="N670" t="n">
        <v>0</v>
      </c>
      <c r="O670" t="n">
        <v>0</v>
      </c>
      <c r="P670" t="n">
        <v>0</v>
      </c>
      <c r="Q670" t="n">
        <v>0</v>
      </c>
      <c r="R670" s="2" t="inlineStr"/>
    </row>
    <row r="671" ht="15" customHeight="1">
      <c r="A671" t="inlineStr">
        <is>
          <t>A 22463-2021</t>
        </is>
      </c>
      <c r="B671" s="1" t="n">
        <v>44326</v>
      </c>
      <c r="C671" s="1" t="n">
        <v>45662</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22671-2021</t>
        </is>
      </c>
      <c r="B672" s="1" t="n">
        <v>44327</v>
      </c>
      <c r="C672" s="1" t="n">
        <v>45662</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22638-2021</t>
        </is>
      </c>
      <c r="B673" s="1" t="n">
        <v>44327</v>
      </c>
      <c r="C673" s="1" t="n">
        <v>45662</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23191-2021</t>
        </is>
      </c>
      <c r="B674" s="1" t="n">
        <v>44328</v>
      </c>
      <c r="C674" s="1" t="n">
        <v>45662</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23194-2021</t>
        </is>
      </c>
      <c r="B675" s="1" t="n">
        <v>44328</v>
      </c>
      <c r="C675" s="1" t="n">
        <v>45662</v>
      </c>
      <c r="D675" t="inlineStr">
        <is>
          <t>VÄRMLANDS LÄN</t>
        </is>
      </c>
      <c r="E675" t="inlineStr">
        <is>
          <t>TORSBY</t>
        </is>
      </c>
      <c r="G675" t="n">
        <v>4.3</v>
      </c>
      <c r="H675" t="n">
        <v>0</v>
      </c>
      <c r="I675" t="n">
        <v>0</v>
      </c>
      <c r="J675" t="n">
        <v>0</v>
      </c>
      <c r="K675" t="n">
        <v>0</v>
      </c>
      <c r="L675" t="n">
        <v>0</v>
      </c>
      <c r="M675" t="n">
        <v>0</v>
      </c>
      <c r="N675" t="n">
        <v>0</v>
      </c>
      <c r="O675" t="n">
        <v>0</v>
      </c>
      <c r="P675" t="n">
        <v>0</v>
      </c>
      <c r="Q675" t="n">
        <v>0</v>
      </c>
      <c r="R675" s="2" t="inlineStr"/>
    </row>
    <row r="676" ht="15" customHeight="1">
      <c r="A676" t="inlineStr">
        <is>
          <t>A 23435-2021</t>
        </is>
      </c>
      <c r="B676" s="1" t="n">
        <v>44333</v>
      </c>
      <c r="C676" s="1" t="n">
        <v>45662</v>
      </c>
      <c r="D676" t="inlineStr">
        <is>
          <t>VÄRMLANDS LÄN</t>
        </is>
      </c>
      <c r="E676" t="inlineStr">
        <is>
          <t>TORSBY</t>
        </is>
      </c>
      <c r="G676" t="n">
        <v>4.9</v>
      </c>
      <c r="H676" t="n">
        <v>0</v>
      </c>
      <c r="I676" t="n">
        <v>0</v>
      </c>
      <c r="J676" t="n">
        <v>0</v>
      </c>
      <c r="K676" t="n">
        <v>0</v>
      </c>
      <c r="L676" t="n">
        <v>0</v>
      </c>
      <c r="M676" t="n">
        <v>0</v>
      </c>
      <c r="N676" t="n">
        <v>0</v>
      </c>
      <c r="O676" t="n">
        <v>0</v>
      </c>
      <c r="P676" t="n">
        <v>0</v>
      </c>
      <c r="Q676" t="n">
        <v>0</v>
      </c>
      <c r="R676" s="2" t="inlineStr"/>
    </row>
    <row r="677" ht="15" customHeight="1">
      <c r="A677" t="inlineStr">
        <is>
          <t>A 23548-2021</t>
        </is>
      </c>
      <c r="B677" s="1" t="n">
        <v>44333</v>
      </c>
      <c r="C677" s="1" t="n">
        <v>45662</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23842-2021</t>
        </is>
      </c>
      <c r="B678" s="1" t="n">
        <v>44335</v>
      </c>
      <c r="C678" s="1" t="n">
        <v>45662</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23823-2021</t>
        </is>
      </c>
      <c r="B679" s="1" t="n">
        <v>44335</v>
      </c>
      <c r="C679" s="1" t="n">
        <v>45662</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24054-2021</t>
        </is>
      </c>
      <c r="B680" s="1" t="n">
        <v>44336</v>
      </c>
      <c r="C680" s="1" t="n">
        <v>45662</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24150-2021</t>
        </is>
      </c>
      <c r="B681" s="1" t="n">
        <v>44336</v>
      </c>
      <c r="C681" s="1" t="n">
        <v>45662</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24165-2021</t>
        </is>
      </c>
      <c r="B682" s="1" t="n">
        <v>44336</v>
      </c>
      <c r="C682" s="1" t="n">
        <v>45662</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25096-2021</t>
        </is>
      </c>
      <c r="B683" s="1" t="n">
        <v>44341</v>
      </c>
      <c r="C683" s="1" t="n">
        <v>45662</v>
      </c>
      <c r="D683" t="inlineStr">
        <is>
          <t>VÄRMLANDS LÄN</t>
        </is>
      </c>
      <c r="E683" t="inlineStr">
        <is>
          <t>TORSBY</t>
        </is>
      </c>
      <c r="F683" t="inlineStr">
        <is>
          <t>Bergvik skog väst AB</t>
        </is>
      </c>
      <c r="G683" t="n">
        <v>14.7</v>
      </c>
      <c r="H683" t="n">
        <v>0</v>
      </c>
      <c r="I683" t="n">
        <v>0</v>
      </c>
      <c r="J683" t="n">
        <v>0</v>
      </c>
      <c r="K683" t="n">
        <v>0</v>
      </c>
      <c r="L683" t="n">
        <v>0</v>
      </c>
      <c r="M683" t="n">
        <v>0</v>
      </c>
      <c r="N683" t="n">
        <v>0</v>
      </c>
      <c r="O683" t="n">
        <v>0</v>
      </c>
      <c r="P683" t="n">
        <v>0</v>
      </c>
      <c r="Q683" t="n">
        <v>0</v>
      </c>
      <c r="R683" s="2" t="inlineStr"/>
    </row>
    <row r="684" ht="15" customHeight="1">
      <c r="A684" t="inlineStr">
        <is>
          <t>A 25247-2021</t>
        </is>
      </c>
      <c r="B684" s="1" t="n">
        <v>44342</v>
      </c>
      <c r="C684" s="1" t="n">
        <v>45662</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25920-2021</t>
        </is>
      </c>
      <c r="B685" s="1" t="n">
        <v>44344</v>
      </c>
      <c r="C685" s="1" t="n">
        <v>45662</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26082-2021</t>
        </is>
      </c>
      <c r="B686" s="1" t="n">
        <v>44344</v>
      </c>
      <c r="C686" s="1" t="n">
        <v>45662</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26223-2021</t>
        </is>
      </c>
      <c r="B687" s="1" t="n">
        <v>44347</v>
      </c>
      <c r="C687" s="1" t="n">
        <v>45662</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26558-2021</t>
        </is>
      </c>
      <c r="B688" s="1" t="n">
        <v>44348</v>
      </c>
      <c r="C688" s="1" t="n">
        <v>45662</v>
      </c>
      <c r="D688" t="inlineStr">
        <is>
          <t>VÄRMLANDS LÄN</t>
        </is>
      </c>
      <c r="E688" t="inlineStr">
        <is>
          <t>TORSBY</t>
        </is>
      </c>
      <c r="G688" t="n">
        <v>19.7</v>
      </c>
      <c r="H688" t="n">
        <v>0</v>
      </c>
      <c r="I688" t="n">
        <v>0</v>
      </c>
      <c r="J688" t="n">
        <v>0</v>
      </c>
      <c r="K688" t="n">
        <v>0</v>
      </c>
      <c r="L688" t="n">
        <v>0</v>
      </c>
      <c r="M688" t="n">
        <v>0</v>
      </c>
      <c r="N688" t="n">
        <v>0</v>
      </c>
      <c r="O688" t="n">
        <v>0</v>
      </c>
      <c r="P688" t="n">
        <v>0</v>
      </c>
      <c r="Q688" t="n">
        <v>0</v>
      </c>
      <c r="R688" s="2" t="inlineStr"/>
    </row>
    <row r="689" ht="15" customHeight="1">
      <c r="A689" t="inlineStr">
        <is>
          <t>A 27446-2021</t>
        </is>
      </c>
      <c r="B689" s="1" t="n">
        <v>44351</v>
      </c>
      <c r="C689" s="1" t="n">
        <v>45662</v>
      </c>
      <c r="D689" t="inlineStr">
        <is>
          <t>VÄRMLANDS LÄN</t>
        </is>
      </c>
      <c r="E689" t="inlineStr">
        <is>
          <t>TORSBY</t>
        </is>
      </c>
      <c r="G689" t="n">
        <v>7.6</v>
      </c>
      <c r="H689" t="n">
        <v>0</v>
      </c>
      <c r="I689" t="n">
        <v>0</v>
      </c>
      <c r="J689" t="n">
        <v>0</v>
      </c>
      <c r="K689" t="n">
        <v>0</v>
      </c>
      <c r="L689" t="n">
        <v>0</v>
      </c>
      <c r="M689" t="n">
        <v>0</v>
      </c>
      <c r="N689" t="n">
        <v>0</v>
      </c>
      <c r="O689" t="n">
        <v>0</v>
      </c>
      <c r="P689" t="n">
        <v>0</v>
      </c>
      <c r="Q689" t="n">
        <v>0</v>
      </c>
      <c r="R689" s="2" t="inlineStr"/>
    </row>
    <row r="690" ht="15" customHeight="1">
      <c r="A690" t="inlineStr">
        <is>
          <t>A 27411-2021</t>
        </is>
      </c>
      <c r="B690" s="1" t="n">
        <v>44351</v>
      </c>
      <c r="C690" s="1" t="n">
        <v>45662</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27362-2021</t>
        </is>
      </c>
      <c r="B691" s="1" t="n">
        <v>44351</v>
      </c>
      <c r="C691" s="1" t="n">
        <v>45662</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27932-2021</t>
        </is>
      </c>
      <c r="B692" s="1" t="n">
        <v>44354</v>
      </c>
      <c r="C692" s="1" t="n">
        <v>45662</v>
      </c>
      <c r="D692" t="inlineStr">
        <is>
          <t>VÄRMLANDS LÄN</t>
        </is>
      </c>
      <c r="E692" t="inlineStr">
        <is>
          <t>TORSBY</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28559-2021</t>
        </is>
      </c>
      <c r="B693" s="1" t="n">
        <v>44356</v>
      </c>
      <c r="C693" s="1" t="n">
        <v>45662</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28562-2021</t>
        </is>
      </c>
      <c r="B694" s="1" t="n">
        <v>44356</v>
      </c>
      <c r="C694" s="1" t="n">
        <v>45662</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28940-2021</t>
        </is>
      </c>
      <c r="B695" s="1" t="n">
        <v>44358</v>
      </c>
      <c r="C695" s="1" t="n">
        <v>45662</v>
      </c>
      <c r="D695" t="inlineStr">
        <is>
          <t>VÄRMLANDS LÄN</t>
        </is>
      </c>
      <c r="E695" t="inlineStr">
        <is>
          <t>TORSBY</t>
        </is>
      </c>
      <c r="G695" t="n">
        <v>1.1</v>
      </c>
      <c r="H695" t="n">
        <v>0</v>
      </c>
      <c r="I695" t="n">
        <v>0</v>
      </c>
      <c r="J695" t="n">
        <v>0</v>
      </c>
      <c r="K695" t="n">
        <v>0</v>
      </c>
      <c r="L695" t="n">
        <v>0</v>
      </c>
      <c r="M695" t="n">
        <v>0</v>
      </c>
      <c r="N695" t="n">
        <v>0</v>
      </c>
      <c r="O695" t="n">
        <v>0</v>
      </c>
      <c r="P695" t="n">
        <v>0</v>
      </c>
      <c r="Q695" t="n">
        <v>0</v>
      </c>
      <c r="R695" s="2" t="inlineStr"/>
    </row>
    <row r="696" ht="15" customHeight="1">
      <c r="A696" t="inlineStr">
        <is>
          <t>A 29495-2021</t>
        </is>
      </c>
      <c r="B696" s="1" t="n">
        <v>44361</v>
      </c>
      <c r="C696" s="1" t="n">
        <v>45662</v>
      </c>
      <c r="D696" t="inlineStr">
        <is>
          <t>VÄRMLANDS LÄN</t>
        </is>
      </c>
      <c r="E696" t="inlineStr">
        <is>
          <t>TORSBY</t>
        </is>
      </c>
      <c r="F696" t="inlineStr">
        <is>
          <t>Övriga Aktiebolag</t>
        </is>
      </c>
      <c r="G696" t="n">
        <v>38.2</v>
      </c>
      <c r="H696" t="n">
        <v>0</v>
      </c>
      <c r="I696" t="n">
        <v>0</v>
      </c>
      <c r="J696" t="n">
        <v>0</v>
      </c>
      <c r="K696" t="n">
        <v>0</v>
      </c>
      <c r="L696" t="n">
        <v>0</v>
      </c>
      <c r="M696" t="n">
        <v>0</v>
      </c>
      <c r="N696" t="n">
        <v>0</v>
      </c>
      <c r="O696" t="n">
        <v>0</v>
      </c>
      <c r="P696" t="n">
        <v>0</v>
      </c>
      <c r="Q696" t="n">
        <v>0</v>
      </c>
      <c r="R696" s="2" t="inlineStr"/>
    </row>
    <row r="697" ht="15" customHeight="1">
      <c r="A697" t="inlineStr">
        <is>
          <t>A 29457-2021</t>
        </is>
      </c>
      <c r="B697" s="1" t="n">
        <v>44361</v>
      </c>
      <c r="C697" s="1" t="n">
        <v>45662</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29518-2021</t>
        </is>
      </c>
      <c r="B698" s="1" t="n">
        <v>44361</v>
      </c>
      <c r="C698" s="1" t="n">
        <v>45662</v>
      </c>
      <c r="D698" t="inlineStr">
        <is>
          <t>VÄRMLANDS LÄN</t>
        </is>
      </c>
      <c r="E698" t="inlineStr">
        <is>
          <t>TORSBY</t>
        </is>
      </c>
      <c r="F698" t="inlineStr">
        <is>
          <t>Bergvik skog väst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29746-2021</t>
        </is>
      </c>
      <c r="B699" s="1" t="n">
        <v>44362</v>
      </c>
      <c r="C699" s="1" t="n">
        <v>45662</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30162-2021</t>
        </is>
      </c>
      <c r="B700" s="1" t="n">
        <v>44363</v>
      </c>
      <c r="C700" s="1" t="n">
        <v>45662</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30384-2021</t>
        </is>
      </c>
      <c r="B701" s="1" t="n">
        <v>44364</v>
      </c>
      <c r="C701" s="1" t="n">
        <v>45662</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30802-2021</t>
        </is>
      </c>
      <c r="B702" s="1" t="n">
        <v>44365</v>
      </c>
      <c r="C702" s="1" t="n">
        <v>45662</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31494-2021</t>
        </is>
      </c>
      <c r="B703" s="1" t="n">
        <v>44369</v>
      </c>
      <c r="C703" s="1" t="n">
        <v>45662</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31493-2021</t>
        </is>
      </c>
      <c r="B704" s="1" t="n">
        <v>44369</v>
      </c>
      <c r="C704" s="1" t="n">
        <v>45662</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31511-2021</t>
        </is>
      </c>
      <c r="B705" s="1" t="n">
        <v>44369</v>
      </c>
      <c r="C705" s="1" t="n">
        <v>45662</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31894-2021</t>
        </is>
      </c>
      <c r="B706" s="1" t="n">
        <v>44370</v>
      </c>
      <c r="C706" s="1" t="n">
        <v>45662</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31911-2021</t>
        </is>
      </c>
      <c r="B707" s="1" t="n">
        <v>44370</v>
      </c>
      <c r="C707" s="1" t="n">
        <v>45662</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32696-2021</t>
        </is>
      </c>
      <c r="B708" s="1" t="n">
        <v>44375</v>
      </c>
      <c r="C708" s="1" t="n">
        <v>45662</v>
      </c>
      <c r="D708" t="inlineStr">
        <is>
          <t>VÄRMLANDS LÄN</t>
        </is>
      </c>
      <c r="E708" t="inlineStr">
        <is>
          <t>TORSBY</t>
        </is>
      </c>
      <c r="F708" t="inlineStr">
        <is>
          <t>Bergvik skog väst AB</t>
        </is>
      </c>
      <c r="G708" t="n">
        <v>14.8</v>
      </c>
      <c r="H708" t="n">
        <v>0</v>
      </c>
      <c r="I708" t="n">
        <v>0</v>
      </c>
      <c r="J708" t="n">
        <v>0</v>
      </c>
      <c r="K708" t="n">
        <v>0</v>
      </c>
      <c r="L708" t="n">
        <v>0</v>
      </c>
      <c r="M708" t="n">
        <v>0</v>
      </c>
      <c r="N708" t="n">
        <v>0</v>
      </c>
      <c r="O708" t="n">
        <v>0</v>
      </c>
      <c r="P708" t="n">
        <v>0</v>
      </c>
      <c r="Q708" t="n">
        <v>0</v>
      </c>
      <c r="R708" s="2" t="inlineStr"/>
    </row>
    <row r="709" ht="15" customHeight="1">
      <c r="A709" t="inlineStr">
        <is>
          <t>A 32821-2021</t>
        </is>
      </c>
      <c r="B709" s="1" t="n">
        <v>44375</v>
      </c>
      <c r="C709" s="1" t="n">
        <v>45662</v>
      </c>
      <c r="D709" t="inlineStr">
        <is>
          <t>VÄRMLANDS LÄN</t>
        </is>
      </c>
      <c r="E709" t="inlineStr">
        <is>
          <t>TORSBY</t>
        </is>
      </c>
      <c r="G709" t="n">
        <v>3.9</v>
      </c>
      <c r="H709" t="n">
        <v>0</v>
      </c>
      <c r="I709" t="n">
        <v>0</v>
      </c>
      <c r="J709" t="n">
        <v>0</v>
      </c>
      <c r="K709" t="n">
        <v>0</v>
      </c>
      <c r="L709" t="n">
        <v>0</v>
      </c>
      <c r="M709" t="n">
        <v>0</v>
      </c>
      <c r="N709" t="n">
        <v>0</v>
      </c>
      <c r="O709" t="n">
        <v>0</v>
      </c>
      <c r="P709" t="n">
        <v>0</v>
      </c>
      <c r="Q709" t="n">
        <v>0</v>
      </c>
      <c r="R709" s="2" t="inlineStr"/>
    </row>
    <row r="710" ht="15" customHeight="1">
      <c r="A710" t="inlineStr">
        <is>
          <t>A 32747-2021</t>
        </is>
      </c>
      <c r="B710" s="1" t="n">
        <v>44375</v>
      </c>
      <c r="C710" s="1" t="n">
        <v>45662</v>
      </c>
      <c r="D710" t="inlineStr">
        <is>
          <t>VÄRMLANDS LÄN</t>
        </is>
      </c>
      <c r="E710" t="inlineStr">
        <is>
          <t>TORSBY</t>
        </is>
      </c>
      <c r="G710" t="n">
        <v>6.3</v>
      </c>
      <c r="H710" t="n">
        <v>0</v>
      </c>
      <c r="I710" t="n">
        <v>0</v>
      </c>
      <c r="J710" t="n">
        <v>0</v>
      </c>
      <c r="K710" t="n">
        <v>0</v>
      </c>
      <c r="L710" t="n">
        <v>0</v>
      </c>
      <c r="M710" t="n">
        <v>0</v>
      </c>
      <c r="N710" t="n">
        <v>0</v>
      </c>
      <c r="O710" t="n">
        <v>0</v>
      </c>
      <c r="P710" t="n">
        <v>0</v>
      </c>
      <c r="Q710" t="n">
        <v>0</v>
      </c>
      <c r="R710" s="2" t="inlineStr"/>
    </row>
    <row r="711" ht="15" customHeight="1">
      <c r="A711" t="inlineStr">
        <is>
          <t>A 33146-2021</t>
        </is>
      </c>
      <c r="B711" s="1" t="n">
        <v>44376</v>
      </c>
      <c r="C711" s="1" t="n">
        <v>45662</v>
      </c>
      <c r="D711" t="inlineStr">
        <is>
          <t>VÄRMLANDS LÄN</t>
        </is>
      </c>
      <c r="E711" t="inlineStr">
        <is>
          <t>TORSBY</t>
        </is>
      </c>
      <c r="F711" t="inlineStr">
        <is>
          <t>Bergvik skog väst AB</t>
        </is>
      </c>
      <c r="G711" t="n">
        <v>44.5</v>
      </c>
      <c r="H711" t="n">
        <v>0</v>
      </c>
      <c r="I711" t="n">
        <v>0</v>
      </c>
      <c r="J711" t="n">
        <v>0</v>
      </c>
      <c r="K711" t="n">
        <v>0</v>
      </c>
      <c r="L711" t="n">
        <v>0</v>
      </c>
      <c r="M711" t="n">
        <v>0</v>
      </c>
      <c r="N711" t="n">
        <v>0</v>
      </c>
      <c r="O711" t="n">
        <v>0</v>
      </c>
      <c r="P711" t="n">
        <v>0</v>
      </c>
      <c r="Q711" t="n">
        <v>0</v>
      </c>
      <c r="R711" s="2" t="inlineStr"/>
    </row>
    <row r="712" ht="15" customHeight="1">
      <c r="A712" t="inlineStr">
        <is>
          <t>A 33182-2021</t>
        </is>
      </c>
      <c r="B712" s="1" t="n">
        <v>44376</v>
      </c>
      <c r="C712" s="1" t="n">
        <v>45662</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33145-2021</t>
        </is>
      </c>
      <c r="B713" s="1" t="n">
        <v>44376</v>
      </c>
      <c r="C713" s="1" t="n">
        <v>45662</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33149-2021</t>
        </is>
      </c>
      <c r="B714" s="1" t="n">
        <v>44376</v>
      </c>
      <c r="C714" s="1" t="n">
        <v>45662</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33183-2021</t>
        </is>
      </c>
      <c r="B715" s="1" t="n">
        <v>44376</v>
      </c>
      <c r="C715" s="1" t="n">
        <v>45662</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33517-2021</t>
        </is>
      </c>
      <c r="B716" s="1" t="n">
        <v>44377</v>
      </c>
      <c r="C716" s="1" t="n">
        <v>45662</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33515-2021</t>
        </is>
      </c>
      <c r="B717" s="1" t="n">
        <v>44377</v>
      </c>
      <c r="C717" s="1" t="n">
        <v>45662</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33839-2021</t>
        </is>
      </c>
      <c r="B718" s="1" t="n">
        <v>44378</v>
      </c>
      <c r="C718" s="1" t="n">
        <v>45662</v>
      </c>
      <c r="D718" t="inlineStr">
        <is>
          <t>VÄRMLANDS LÄN</t>
        </is>
      </c>
      <c r="E718" t="inlineStr">
        <is>
          <t>TORSBY</t>
        </is>
      </c>
      <c r="F718" t="inlineStr">
        <is>
          <t>Bergvik skog väst AB</t>
        </is>
      </c>
      <c r="G718" t="n">
        <v>2.5</v>
      </c>
      <c r="H718" t="n">
        <v>0</v>
      </c>
      <c r="I718" t="n">
        <v>0</v>
      </c>
      <c r="J718" t="n">
        <v>0</v>
      </c>
      <c r="K718" t="n">
        <v>0</v>
      </c>
      <c r="L718" t="n">
        <v>0</v>
      </c>
      <c r="M718" t="n">
        <v>0</v>
      </c>
      <c r="N718" t="n">
        <v>0</v>
      </c>
      <c r="O718" t="n">
        <v>0</v>
      </c>
      <c r="P718" t="n">
        <v>0</v>
      </c>
      <c r="Q718" t="n">
        <v>0</v>
      </c>
      <c r="R718" s="2" t="inlineStr"/>
    </row>
    <row r="719" ht="15" customHeight="1">
      <c r="A719" t="inlineStr">
        <is>
          <t>A 33853-2021</t>
        </is>
      </c>
      <c r="B719" s="1" t="n">
        <v>44378</v>
      </c>
      <c r="C719" s="1" t="n">
        <v>45662</v>
      </c>
      <c r="D719" t="inlineStr">
        <is>
          <t>VÄRMLANDS LÄN</t>
        </is>
      </c>
      <c r="E719" t="inlineStr">
        <is>
          <t>TORSBY</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33937-2021</t>
        </is>
      </c>
      <c r="B720" s="1" t="n">
        <v>44378</v>
      </c>
      <c r="C720" s="1" t="n">
        <v>45662</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34626-2021</t>
        </is>
      </c>
      <c r="B721" s="1" t="n">
        <v>44382</v>
      </c>
      <c r="C721" s="1" t="n">
        <v>45662</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34694-2021</t>
        </is>
      </c>
      <c r="B722" s="1" t="n">
        <v>44382</v>
      </c>
      <c r="C722" s="1" t="n">
        <v>45662</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34885-2021</t>
        </is>
      </c>
      <c r="B723" s="1" t="n">
        <v>44383</v>
      </c>
      <c r="C723" s="1" t="n">
        <v>45662</v>
      </c>
      <c r="D723" t="inlineStr">
        <is>
          <t>VÄRMLANDS LÄN</t>
        </is>
      </c>
      <c r="E723" t="inlineStr">
        <is>
          <t>TORSBY</t>
        </is>
      </c>
      <c r="G723" t="n">
        <v>8.9</v>
      </c>
      <c r="H723" t="n">
        <v>0</v>
      </c>
      <c r="I723" t="n">
        <v>0</v>
      </c>
      <c r="J723" t="n">
        <v>0</v>
      </c>
      <c r="K723" t="n">
        <v>0</v>
      </c>
      <c r="L723" t="n">
        <v>0</v>
      </c>
      <c r="M723" t="n">
        <v>0</v>
      </c>
      <c r="N723" t="n">
        <v>0</v>
      </c>
      <c r="O723" t="n">
        <v>0</v>
      </c>
      <c r="P723" t="n">
        <v>0</v>
      </c>
      <c r="Q723" t="n">
        <v>0</v>
      </c>
      <c r="R723" s="2" t="inlineStr"/>
    </row>
    <row r="724" ht="15" customHeight="1">
      <c r="A724" t="inlineStr">
        <is>
          <t>A 35221-2021</t>
        </is>
      </c>
      <c r="B724" s="1" t="n">
        <v>44384</v>
      </c>
      <c r="C724" s="1" t="n">
        <v>45662</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35586-2021</t>
        </is>
      </c>
      <c r="B725" s="1" t="n">
        <v>44386</v>
      </c>
      <c r="C725" s="1" t="n">
        <v>45662</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35907-2021</t>
        </is>
      </c>
      <c r="B726" s="1" t="n">
        <v>44387</v>
      </c>
      <c r="C726" s="1" t="n">
        <v>45662</v>
      </c>
      <c r="D726" t="inlineStr">
        <is>
          <t>VÄRMLANDS LÄN</t>
        </is>
      </c>
      <c r="E726" t="inlineStr">
        <is>
          <t>TORSBY</t>
        </is>
      </c>
      <c r="G726" t="n">
        <v>3</v>
      </c>
      <c r="H726" t="n">
        <v>0</v>
      </c>
      <c r="I726" t="n">
        <v>0</v>
      </c>
      <c r="J726" t="n">
        <v>0</v>
      </c>
      <c r="K726" t="n">
        <v>0</v>
      </c>
      <c r="L726" t="n">
        <v>0</v>
      </c>
      <c r="M726" t="n">
        <v>0</v>
      </c>
      <c r="N726" t="n">
        <v>0</v>
      </c>
      <c r="O726" t="n">
        <v>0</v>
      </c>
      <c r="P726" t="n">
        <v>0</v>
      </c>
      <c r="Q726" t="n">
        <v>0</v>
      </c>
      <c r="R726" s="2" t="inlineStr"/>
    </row>
    <row r="727" ht="15" customHeight="1">
      <c r="A727" t="inlineStr">
        <is>
          <t>A 35909-2021</t>
        </is>
      </c>
      <c r="B727" s="1" t="n">
        <v>44387</v>
      </c>
      <c r="C727" s="1" t="n">
        <v>45662</v>
      </c>
      <c r="D727" t="inlineStr">
        <is>
          <t>VÄRMLANDS LÄN</t>
        </is>
      </c>
      <c r="E727" t="inlineStr">
        <is>
          <t>TORSBY</t>
        </is>
      </c>
      <c r="G727" t="n">
        <v>3.3</v>
      </c>
      <c r="H727" t="n">
        <v>0</v>
      </c>
      <c r="I727" t="n">
        <v>0</v>
      </c>
      <c r="J727" t="n">
        <v>0</v>
      </c>
      <c r="K727" t="n">
        <v>0</v>
      </c>
      <c r="L727" t="n">
        <v>0</v>
      </c>
      <c r="M727" t="n">
        <v>0</v>
      </c>
      <c r="N727" t="n">
        <v>0</v>
      </c>
      <c r="O727" t="n">
        <v>0</v>
      </c>
      <c r="P727" t="n">
        <v>0</v>
      </c>
      <c r="Q727" t="n">
        <v>0</v>
      </c>
      <c r="R727" s="2" t="inlineStr"/>
    </row>
    <row r="728" ht="15" customHeight="1">
      <c r="A728" t="inlineStr">
        <is>
          <t>A 36189-2021</t>
        </is>
      </c>
      <c r="B728" s="1" t="n">
        <v>44389</v>
      </c>
      <c r="C728" s="1" t="n">
        <v>45662</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36186-2021</t>
        </is>
      </c>
      <c r="B729" s="1" t="n">
        <v>44389</v>
      </c>
      <c r="C729" s="1" t="n">
        <v>45662</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36327-2021</t>
        </is>
      </c>
      <c r="B730" s="1" t="n">
        <v>44390</v>
      </c>
      <c r="C730" s="1" t="n">
        <v>45662</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36589-2021</t>
        </is>
      </c>
      <c r="B731" s="1" t="n">
        <v>44391</v>
      </c>
      <c r="C731" s="1" t="n">
        <v>45662</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36700-2021</t>
        </is>
      </c>
      <c r="B732" s="1" t="n">
        <v>44392</v>
      </c>
      <c r="C732" s="1" t="n">
        <v>45662</v>
      </c>
      <c r="D732" t="inlineStr">
        <is>
          <t>VÄRMLANDS LÄN</t>
        </is>
      </c>
      <c r="E732" t="inlineStr">
        <is>
          <t>TORSBY</t>
        </is>
      </c>
      <c r="F732" t="inlineStr">
        <is>
          <t>Bergvik skog väst AB</t>
        </is>
      </c>
      <c r="G732" t="n">
        <v>9.9</v>
      </c>
      <c r="H732" t="n">
        <v>0</v>
      </c>
      <c r="I732" t="n">
        <v>0</v>
      </c>
      <c r="J732" t="n">
        <v>0</v>
      </c>
      <c r="K732" t="n">
        <v>0</v>
      </c>
      <c r="L732" t="n">
        <v>0</v>
      </c>
      <c r="M732" t="n">
        <v>0</v>
      </c>
      <c r="N732" t="n">
        <v>0</v>
      </c>
      <c r="O732" t="n">
        <v>0</v>
      </c>
      <c r="P732" t="n">
        <v>0</v>
      </c>
      <c r="Q732" t="n">
        <v>0</v>
      </c>
      <c r="R732" s="2" t="inlineStr"/>
    </row>
    <row r="733" ht="15" customHeight="1">
      <c r="A733" t="inlineStr">
        <is>
          <t>A 37074-2021</t>
        </is>
      </c>
      <c r="B733" s="1" t="n">
        <v>44394</v>
      </c>
      <c r="C733" s="1" t="n">
        <v>45662</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37075-2021</t>
        </is>
      </c>
      <c r="B734" s="1" t="n">
        <v>44394</v>
      </c>
      <c r="C734" s="1" t="n">
        <v>45662</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37225-2021</t>
        </is>
      </c>
      <c r="B735" s="1" t="n">
        <v>44396</v>
      </c>
      <c r="C735" s="1" t="n">
        <v>45662</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37609-2021</t>
        </is>
      </c>
      <c r="B736" s="1" t="n">
        <v>44399</v>
      </c>
      <c r="C736" s="1" t="n">
        <v>45662</v>
      </c>
      <c r="D736" t="inlineStr">
        <is>
          <t>VÄRMLANDS LÄN</t>
        </is>
      </c>
      <c r="E736" t="inlineStr">
        <is>
          <t>TORSBY</t>
        </is>
      </c>
      <c r="G736" t="n">
        <v>0.2</v>
      </c>
      <c r="H736" t="n">
        <v>0</v>
      </c>
      <c r="I736" t="n">
        <v>0</v>
      </c>
      <c r="J736" t="n">
        <v>0</v>
      </c>
      <c r="K736" t="n">
        <v>0</v>
      </c>
      <c r="L736" t="n">
        <v>0</v>
      </c>
      <c r="M736" t="n">
        <v>0</v>
      </c>
      <c r="N736" t="n">
        <v>0</v>
      </c>
      <c r="O736" t="n">
        <v>0</v>
      </c>
      <c r="P736" t="n">
        <v>0</v>
      </c>
      <c r="Q736" t="n">
        <v>0</v>
      </c>
      <c r="R736" s="2" t="inlineStr"/>
    </row>
    <row r="737" ht="15" customHeight="1">
      <c r="A737" t="inlineStr">
        <is>
          <t>A 37608-2021</t>
        </is>
      </c>
      <c r="B737" s="1" t="n">
        <v>44399</v>
      </c>
      <c r="C737" s="1" t="n">
        <v>45662</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38467-2021</t>
        </is>
      </c>
      <c r="B738" s="1" t="n">
        <v>44405</v>
      </c>
      <c r="C738" s="1" t="n">
        <v>45662</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38229-2021</t>
        </is>
      </c>
      <c r="B739" s="1" t="n">
        <v>44405</v>
      </c>
      <c r="C739" s="1" t="n">
        <v>45662</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38298-2021</t>
        </is>
      </c>
      <c r="B740" s="1" t="n">
        <v>44406</v>
      </c>
      <c r="C740" s="1" t="n">
        <v>45662</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38564-2021</t>
        </is>
      </c>
      <c r="B741" s="1" t="n">
        <v>44407</v>
      </c>
      <c r="C741" s="1" t="n">
        <v>45662</v>
      </c>
      <c r="D741" t="inlineStr">
        <is>
          <t>VÄRMLANDS LÄN</t>
        </is>
      </c>
      <c r="E741" t="inlineStr">
        <is>
          <t>TORSBY</t>
        </is>
      </c>
      <c r="F741" t="inlineStr">
        <is>
          <t>Bergvik skog väst AB</t>
        </is>
      </c>
      <c r="G741" t="n">
        <v>15.7</v>
      </c>
      <c r="H741" t="n">
        <v>0</v>
      </c>
      <c r="I741" t="n">
        <v>0</v>
      </c>
      <c r="J741" t="n">
        <v>0</v>
      </c>
      <c r="K741" t="n">
        <v>0</v>
      </c>
      <c r="L741" t="n">
        <v>0</v>
      </c>
      <c r="M741" t="n">
        <v>0</v>
      </c>
      <c r="N741" t="n">
        <v>0</v>
      </c>
      <c r="O741" t="n">
        <v>0</v>
      </c>
      <c r="P741" t="n">
        <v>0</v>
      </c>
      <c r="Q741" t="n">
        <v>0</v>
      </c>
      <c r="R741" s="2" t="inlineStr"/>
    </row>
    <row r="742" ht="15" customHeight="1">
      <c r="A742" t="inlineStr">
        <is>
          <t>A 38528-2021</t>
        </is>
      </c>
      <c r="B742" s="1" t="n">
        <v>44407</v>
      </c>
      <c r="C742" s="1" t="n">
        <v>45662</v>
      </c>
      <c r="D742" t="inlineStr">
        <is>
          <t>VÄRMLANDS LÄN</t>
        </is>
      </c>
      <c r="E742" t="inlineStr">
        <is>
          <t>TORSBY</t>
        </is>
      </c>
      <c r="F742" t="inlineStr">
        <is>
          <t>Bergvik skog väst AB</t>
        </is>
      </c>
      <c r="G742" t="n">
        <v>12.5</v>
      </c>
      <c r="H742" t="n">
        <v>0</v>
      </c>
      <c r="I742" t="n">
        <v>0</v>
      </c>
      <c r="J742" t="n">
        <v>0</v>
      </c>
      <c r="K742" t="n">
        <v>0</v>
      </c>
      <c r="L742" t="n">
        <v>0</v>
      </c>
      <c r="M742" t="n">
        <v>0</v>
      </c>
      <c r="N742" t="n">
        <v>0</v>
      </c>
      <c r="O742" t="n">
        <v>0</v>
      </c>
      <c r="P742" t="n">
        <v>0</v>
      </c>
      <c r="Q742" t="n">
        <v>0</v>
      </c>
      <c r="R742" s="2" t="inlineStr"/>
    </row>
    <row r="743" ht="15" customHeight="1">
      <c r="A743" t="inlineStr">
        <is>
          <t>A 38767-2021</t>
        </is>
      </c>
      <c r="B743" s="1" t="n">
        <v>44410</v>
      </c>
      <c r="C743" s="1" t="n">
        <v>45662</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38841-2021</t>
        </is>
      </c>
      <c r="B744" s="1" t="n">
        <v>44411</v>
      </c>
      <c r="C744" s="1" t="n">
        <v>45662</v>
      </c>
      <c r="D744" t="inlineStr">
        <is>
          <t>VÄRMLANDS LÄN</t>
        </is>
      </c>
      <c r="E744" t="inlineStr">
        <is>
          <t>TORSBY</t>
        </is>
      </c>
      <c r="F744" t="inlineStr">
        <is>
          <t>Bergvik skog väst AB</t>
        </is>
      </c>
      <c r="G744" t="n">
        <v>13.8</v>
      </c>
      <c r="H744" t="n">
        <v>0</v>
      </c>
      <c r="I744" t="n">
        <v>0</v>
      </c>
      <c r="J744" t="n">
        <v>0</v>
      </c>
      <c r="K744" t="n">
        <v>0</v>
      </c>
      <c r="L744" t="n">
        <v>0</v>
      </c>
      <c r="M744" t="n">
        <v>0</v>
      </c>
      <c r="N744" t="n">
        <v>0</v>
      </c>
      <c r="O744" t="n">
        <v>0</v>
      </c>
      <c r="P744" t="n">
        <v>0</v>
      </c>
      <c r="Q744" t="n">
        <v>0</v>
      </c>
      <c r="R744" s="2" t="inlineStr"/>
    </row>
    <row r="745" ht="15" customHeight="1">
      <c r="A745" t="inlineStr">
        <is>
          <t>A 39003-2021</t>
        </is>
      </c>
      <c r="B745" s="1" t="n">
        <v>44412</v>
      </c>
      <c r="C745" s="1" t="n">
        <v>45662</v>
      </c>
      <c r="D745" t="inlineStr">
        <is>
          <t>VÄRMLANDS LÄN</t>
        </is>
      </c>
      <c r="E745" t="inlineStr">
        <is>
          <t>TORSBY</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39260-2021</t>
        </is>
      </c>
      <c r="B746" s="1" t="n">
        <v>44413</v>
      </c>
      <c r="C746" s="1" t="n">
        <v>45662</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39642-2021</t>
        </is>
      </c>
      <c r="B747" s="1" t="n">
        <v>44417</v>
      </c>
      <c r="C747" s="1" t="n">
        <v>45662</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39826-2021</t>
        </is>
      </c>
      <c r="B748" s="1" t="n">
        <v>44417</v>
      </c>
      <c r="C748" s="1" t="n">
        <v>45662</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39967-2021</t>
        </is>
      </c>
      <c r="B749" s="1" t="n">
        <v>44418</v>
      </c>
      <c r="C749" s="1" t="n">
        <v>45662</v>
      </c>
      <c r="D749" t="inlineStr">
        <is>
          <t>VÄRMLANDS LÄN</t>
        </is>
      </c>
      <c r="E749" t="inlineStr">
        <is>
          <t>TORSBY</t>
        </is>
      </c>
      <c r="F749" t="inlineStr">
        <is>
          <t>Bergvik skog väst AB</t>
        </is>
      </c>
      <c r="G749" t="n">
        <v>11.8</v>
      </c>
      <c r="H749" t="n">
        <v>0</v>
      </c>
      <c r="I749" t="n">
        <v>0</v>
      </c>
      <c r="J749" t="n">
        <v>0</v>
      </c>
      <c r="K749" t="n">
        <v>0</v>
      </c>
      <c r="L749" t="n">
        <v>0</v>
      </c>
      <c r="M749" t="n">
        <v>0</v>
      </c>
      <c r="N749" t="n">
        <v>0</v>
      </c>
      <c r="O749" t="n">
        <v>0</v>
      </c>
      <c r="P749" t="n">
        <v>0</v>
      </c>
      <c r="Q749" t="n">
        <v>0</v>
      </c>
      <c r="R749" s="2" t="inlineStr"/>
    </row>
    <row r="750" ht="15" customHeight="1">
      <c r="A750" t="inlineStr">
        <is>
          <t>A 40281-2021</t>
        </is>
      </c>
      <c r="B750" s="1" t="n">
        <v>44419</v>
      </c>
      <c r="C750" s="1" t="n">
        <v>45662</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40276-2021</t>
        </is>
      </c>
      <c r="B751" s="1" t="n">
        <v>44419</v>
      </c>
      <c r="C751" s="1" t="n">
        <v>45662</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40278-2021</t>
        </is>
      </c>
      <c r="B752" s="1" t="n">
        <v>44419</v>
      </c>
      <c r="C752" s="1" t="n">
        <v>45662</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40282-2021</t>
        </is>
      </c>
      <c r="B753" s="1" t="n">
        <v>44419</v>
      </c>
      <c r="C753" s="1" t="n">
        <v>45662</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40590-2021</t>
        </is>
      </c>
      <c r="B754" s="1" t="n">
        <v>44420</v>
      </c>
      <c r="C754" s="1" t="n">
        <v>45662</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40876-2021</t>
        </is>
      </c>
      <c r="B755" s="1" t="n">
        <v>44421</v>
      </c>
      <c r="C755" s="1" t="n">
        <v>45662</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41253-2021</t>
        </is>
      </c>
      <c r="B756" s="1" t="n">
        <v>44424</v>
      </c>
      <c r="C756" s="1" t="n">
        <v>45662</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41377-2021</t>
        </is>
      </c>
      <c r="B757" s="1" t="n">
        <v>44424</v>
      </c>
      <c r="C757" s="1" t="n">
        <v>45662</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41633-2021</t>
        </is>
      </c>
      <c r="B758" s="1" t="n">
        <v>44425</v>
      </c>
      <c r="C758" s="1" t="n">
        <v>45662</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41671-2021</t>
        </is>
      </c>
      <c r="B759" s="1" t="n">
        <v>44425</v>
      </c>
      <c r="C759" s="1" t="n">
        <v>45662</v>
      </c>
      <c r="D759" t="inlineStr">
        <is>
          <t>VÄRMLANDS LÄN</t>
        </is>
      </c>
      <c r="E759" t="inlineStr">
        <is>
          <t>TORSBY</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41678-2021</t>
        </is>
      </c>
      <c r="B760" s="1" t="n">
        <v>44425</v>
      </c>
      <c r="C760" s="1" t="n">
        <v>45662</v>
      </c>
      <c r="D760" t="inlineStr">
        <is>
          <t>VÄRMLANDS LÄN</t>
        </is>
      </c>
      <c r="E760" t="inlineStr">
        <is>
          <t>TORSBY</t>
        </is>
      </c>
      <c r="G760" t="n">
        <v>4.3</v>
      </c>
      <c r="H760" t="n">
        <v>0</v>
      </c>
      <c r="I760" t="n">
        <v>0</v>
      </c>
      <c r="J760" t="n">
        <v>0</v>
      </c>
      <c r="K760" t="n">
        <v>0</v>
      </c>
      <c r="L760" t="n">
        <v>0</v>
      </c>
      <c r="M760" t="n">
        <v>0</v>
      </c>
      <c r="N760" t="n">
        <v>0</v>
      </c>
      <c r="O760" t="n">
        <v>0</v>
      </c>
      <c r="P760" t="n">
        <v>0</v>
      </c>
      <c r="Q760" t="n">
        <v>0</v>
      </c>
      <c r="R760" s="2" t="inlineStr"/>
    </row>
    <row r="761" ht="15" customHeight="1">
      <c r="A761" t="inlineStr">
        <is>
          <t>A 41808-2021</t>
        </is>
      </c>
      <c r="B761" s="1" t="n">
        <v>44425</v>
      </c>
      <c r="C761" s="1" t="n">
        <v>45662</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42347-2021</t>
        </is>
      </c>
      <c r="B762" s="1" t="n">
        <v>44427</v>
      </c>
      <c r="C762" s="1" t="n">
        <v>45662</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42615-2021</t>
        </is>
      </c>
      <c r="B763" s="1" t="n">
        <v>44428</v>
      </c>
      <c r="C763" s="1" t="n">
        <v>45662</v>
      </c>
      <c r="D763" t="inlineStr">
        <is>
          <t>VÄRMLANDS LÄN</t>
        </is>
      </c>
      <c r="E763" t="inlineStr">
        <is>
          <t>TORSBY</t>
        </is>
      </c>
      <c r="F763" t="inlineStr">
        <is>
          <t>Bergvik skog väst AB</t>
        </is>
      </c>
      <c r="G763" t="n">
        <v>37.2</v>
      </c>
      <c r="H763" t="n">
        <v>0</v>
      </c>
      <c r="I763" t="n">
        <v>0</v>
      </c>
      <c r="J763" t="n">
        <v>0</v>
      </c>
      <c r="K763" t="n">
        <v>0</v>
      </c>
      <c r="L763" t="n">
        <v>0</v>
      </c>
      <c r="M763" t="n">
        <v>0</v>
      </c>
      <c r="N763" t="n">
        <v>0</v>
      </c>
      <c r="O763" t="n">
        <v>0</v>
      </c>
      <c r="P763" t="n">
        <v>0</v>
      </c>
      <c r="Q763" t="n">
        <v>0</v>
      </c>
      <c r="R763" s="2" t="inlineStr"/>
    </row>
    <row r="764" ht="15" customHeight="1">
      <c r="A764" t="inlineStr">
        <is>
          <t>A 42646-2021</t>
        </is>
      </c>
      <c r="B764" s="1" t="n">
        <v>44428</v>
      </c>
      <c r="C764" s="1" t="n">
        <v>45662</v>
      </c>
      <c r="D764" t="inlineStr">
        <is>
          <t>VÄRMLANDS LÄN</t>
        </is>
      </c>
      <c r="E764" t="inlineStr">
        <is>
          <t>TORSBY</t>
        </is>
      </c>
      <c r="F764" t="inlineStr">
        <is>
          <t>Bergvik skog väst AB</t>
        </is>
      </c>
      <c r="G764" t="n">
        <v>21.4</v>
      </c>
      <c r="H764" t="n">
        <v>0</v>
      </c>
      <c r="I764" t="n">
        <v>0</v>
      </c>
      <c r="J764" t="n">
        <v>0</v>
      </c>
      <c r="K764" t="n">
        <v>0</v>
      </c>
      <c r="L764" t="n">
        <v>0</v>
      </c>
      <c r="M764" t="n">
        <v>0</v>
      </c>
      <c r="N764" t="n">
        <v>0</v>
      </c>
      <c r="O764" t="n">
        <v>0</v>
      </c>
      <c r="P764" t="n">
        <v>0</v>
      </c>
      <c r="Q764" t="n">
        <v>0</v>
      </c>
      <c r="R764" s="2" t="inlineStr"/>
    </row>
    <row r="765" ht="15" customHeight="1">
      <c r="A765" t="inlineStr">
        <is>
          <t>A 43052-2021</t>
        </is>
      </c>
      <c r="B765" s="1" t="n">
        <v>44431</v>
      </c>
      <c r="C765" s="1" t="n">
        <v>45662</v>
      </c>
      <c r="D765" t="inlineStr">
        <is>
          <t>VÄRMLANDS LÄN</t>
        </is>
      </c>
      <c r="E765" t="inlineStr">
        <is>
          <t>TORSBY</t>
        </is>
      </c>
      <c r="G765" t="n">
        <v>25.1</v>
      </c>
      <c r="H765" t="n">
        <v>0</v>
      </c>
      <c r="I765" t="n">
        <v>0</v>
      </c>
      <c r="J765" t="n">
        <v>0</v>
      </c>
      <c r="K765" t="n">
        <v>0</v>
      </c>
      <c r="L765" t="n">
        <v>0</v>
      </c>
      <c r="M765" t="n">
        <v>0</v>
      </c>
      <c r="N765" t="n">
        <v>0</v>
      </c>
      <c r="O765" t="n">
        <v>0</v>
      </c>
      <c r="P765" t="n">
        <v>0</v>
      </c>
      <c r="Q765" t="n">
        <v>0</v>
      </c>
      <c r="R765" s="2" t="inlineStr"/>
    </row>
    <row r="766" ht="15" customHeight="1">
      <c r="A766" t="inlineStr">
        <is>
          <t>A 43060-2021</t>
        </is>
      </c>
      <c r="B766" s="1" t="n">
        <v>44431</v>
      </c>
      <c r="C766" s="1" t="n">
        <v>45662</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43128-2021</t>
        </is>
      </c>
      <c r="B767" s="1" t="n">
        <v>44431</v>
      </c>
      <c r="C767" s="1" t="n">
        <v>45662</v>
      </c>
      <c r="D767" t="inlineStr">
        <is>
          <t>VÄRMLANDS LÄN</t>
        </is>
      </c>
      <c r="E767" t="inlineStr">
        <is>
          <t>TORSBY</t>
        </is>
      </c>
      <c r="G767" t="n">
        <v>10.9</v>
      </c>
      <c r="H767" t="n">
        <v>0</v>
      </c>
      <c r="I767" t="n">
        <v>0</v>
      </c>
      <c r="J767" t="n">
        <v>0</v>
      </c>
      <c r="K767" t="n">
        <v>0</v>
      </c>
      <c r="L767" t="n">
        <v>0</v>
      </c>
      <c r="M767" t="n">
        <v>0</v>
      </c>
      <c r="N767" t="n">
        <v>0</v>
      </c>
      <c r="O767" t="n">
        <v>0</v>
      </c>
      <c r="P767" t="n">
        <v>0</v>
      </c>
      <c r="Q767" t="n">
        <v>0</v>
      </c>
      <c r="R767" s="2" t="inlineStr"/>
    </row>
    <row r="768" ht="15" customHeight="1">
      <c r="A768" t="inlineStr">
        <is>
          <t>A 43136-2021</t>
        </is>
      </c>
      <c r="B768" s="1" t="n">
        <v>44431</v>
      </c>
      <c r="C768" s="1" t="n">
        <v>45662</v>
      </c>
      <c r="D768" t="inlineStr">
        <is>
          <t>VÄRMLANDS LÄN</t>
        </is>
      </c>
      <c r="E768" t="inlineStr">
        <is>
          <t>TORSBY</t>
        </is>
      </c>
      <c r="G768" t="n">
        <v>14.4</v>
      </c>
      <c r="H768" t="n">
        <v>0</v>
      </c>
      <c r="I768" t="n">
        <v>0</v>
      </c>
      <c r="J768" t="n">
        <v>0</v>
      </c>
      <c r="K768" t="n">
        <v>0</v>
      </c>
      <c r="L768" t="n">
        <v>0</v>
      </c>
      <c r="M768" t="n">
        <v>0</v>
      </c>
      <c r="N768" t="n">
        <v>0</v>
      </c>
      <c r="O768" t="n">
        <v>0</v>
      </c>
      <c r="P768" t="n">
        <v>0</v>
      </c>
      <c r="Q768" t="n">
        <v>0</v>
      </c>
      <c r="R768" s="2" t="inlineStr"/>
    </row>
    <row r="769" ht="15" customHeight="1">
      <c r="A769" t="inlineStr">
        <is>
          <t>A 43169-2021</t>
        </is>
      </c>
      <c r="B769" s="1" t="n">
        <v>44431</v>
      </c>
      <c r="C769" s="1" t="n">
        <v>45662</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43095-2021</t>
        </is>
      </c>
      <c r="B770" s="1" t="n">
        <v>44431</v>
      </c>
      <c r="C770" s="1" t="n">
        <v>45662</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43157-2021</t>
        </is>
      </c>
      <c r="B771" s="1" t="n">
        <v>44431</v>
      </c>
      <c r="C771" s="1" t="n">
        <v>45662</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43127-2021</t>
        </is>
      </c>
      <c r="B772" s="1" t="n">
        <v>44431</v>
      </c>
      <c r="C772" s="1" t="n">
        <v>45662</v>
      </c>
      <c r="D772" t="inlineStr">
        <is>
          <t>VÄRMLANDS LÄN</t>
        </is>
      </c>
      <c r="E772" t="inlineStr">
        <is>
          <t>TORSBY</t>
        </is>
      </c>
      <c r="G772" t="n">
        <v>23.3</v>
      </c>
      <c r="H772" t="n">
        <v>0</v>
      </c>
      <c r="I772" t="n">
        <v>0</v>
      </c>
      <c r="J772" t="n">
        <v>0</v>
      </c>
      <c r="K772" t="n">
        <v>0</v>
      </c>
      <c r="L772" t="n">
        <v>0</v>
      </c>
      <c r="M772" t="n">
        <v>0</v>
      </c>
      <c r="N772" t="n">
        <v>0</v>
      </c>
      <c r="O772" t="n">
        <v>0</v>
      </c>
      <c r="P772" t="n">
        <v>0</v>
      </c>
      <c r="Q772" t="n">
        <v>0</v>
      </c>
      <c r="R772" s="2" t="inlineStr"/>
    </row>
    <row r="773" ht="15" customHeight="1">
      <c r="A773" t="inlineStr">
        <is>
          <t>A 43161-2021</t>
        </is>
      </c>
      <c r="B773" s="1" t="n">
        <v>44431</v>
      </c>
      <c r="C773" s="1" t="n">
        <v>45662</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44018-2021</t>
        </is>
      </c>
      <c r="B774" s="1" t="n">
        <v>44434</v>
      </c>
      <c r="C774" s="1" t="n">
        <v>45662</v>
      </c>
      <c r="D774" t="inlineStr">
        <is>
          <t>VÄRMLANDS LÄN</t>
        </is>
      </c>
      <c r="E774" t="inlineStr">
        <is>
          <t>TORSBY</t>
        </is>
      </c>
      <c r="F774" t="inlineStr">
        <is>
          <t>Bergvik skog väst AB</t>
        </is>
      </c>
      <c r="G774" t="n">
        <v>2.7</v>
      </c>
      <c r="H774" t="n">
        <v>0</v>
      </c>
      <c r="I774" t="n">
        <v>0</v>
      </c>
      <c r="J774" t="n">
        <v>0</v>
      </c>
      <c r="K774" t="n">
        <v>0</v>
      </c>
      <c r="L774" t="n">
        <v>0</v>
      </c>
      <c r="M774" t="n">
        <v>0</v>
      </c>
      <c r="N774" t="n">
        <v>0</v>
      </c>
      <c r="O774" t="n">
        <v>0</v>
      </c>
      <c r="P774" t="n">
        <v>0</v>
      </c>
      <c r="Q774" t="n">
        <v>0</v>
      </c>
      <c r="R774" s="2" t="inlineStr"/>
    </row>
    <row r="775" ht="15" customHeight="1">
      <c r="A775" t="inlineStr">
        <is>
          <t>A 44418-2021</t>
        </is>
      </c>
      <c r="B775" s="1" t="n">
        <v>44435</v>
      </c>
      <c r="C775" s="1" t="n">
        <v>45662</v>
      </c>
      <c r="D775" t="inlineStr">
        <is>
          <t>VÄRMLANDS LÄN</t>
        </is>
      </c>
      <c r="E775" t="inlineStr">
        <is>
          <t>TORSBY</t>
        </is>
      </c>
      <c r="G775" t="n">
        <v>7.5</v>
      </c>
      <c r="H775" t="n">
        <v>0</v>
      </c>
      <c r="I775" t="n">
        <v>0</v>
      </c>
      <c r="J775" t="n">
        <v>0</v>
      </c>
      <c r="K775" t="n">
        <v>0</v>
      </c>
      <c r="L775" t="n">
        <v>0</v>
      </c>
      <c r="M775" t="n">
        <v>0</v>
      </c>
      <c r="N775" t="n">
        <v>0</v>
      </c>
      <c r="O775" t="n">
        <v>0</v>
      </c>
      <c r="P775" t="n">
        <v>0</v>
      </c>
      <c r="Q775" t="n">
        <v>0</v>
      </c>
      <c r="R775" s="2" t="inlineStr"/>
    </row>
    <row r="776" ht="15" customHeight="1">
      <c r="A776" t="inlineStr">
        <is>
          <t>A 44490-2021</t>
        </is>
      </c>
      <c r="B776" s="1" t="n">
        <v>44435</v>
      </c>
      <c r="C776" s="1" t="n">
        <v>45662</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44761-2021</t>
        </is>
      </c>
      <c r="B777" s="1" t="n">
        <v>44438</v>
      </c>
      <c r="C777" s="1" t="n">
        <v>45662</v>
      </c>
      <c r="D777" t="inlineStr">
        <is>
          <t>VÄRMLANDS LÄN</t>
        </is>
      </c>
      <c r="E777" t="inlineStr">
        <is>
          <t>TORSBY</t>
        </is>
      </c>
      <c r="G777" t="n">
        <v>6.5</v>
      </c>
      <c r="H777" t="n">
        <v>0</v>
      </c>
      <c r="I777" t="n">
        <v>0</v>
      </c>
      <c r="J777" t="n">
        <v>0</v>
      </c>
      <c r="K777" t="n">
        <v>0</v>
      </c>
      <c r="L777" t="n">
        <v>0</v>
      </c>
      <c r="M777" t="n">
        <v>0</v>
      </c>
      <c r="N777" t="n">
        <v>0</v>
      </c>
      <c r="O777" t="n">
        <v>0</v>
      </c>
      <c r="P777" t="n">
        <v>0</v>
      </c>
      <c r="Q777" t="n">
        <v>0</v>
      </c>
      <c r="R777" s="2" t="inlineStr"/>
    </row>
    <row r="778" ht="15" customHeight="1">
      <c r="A778" t="inlineStr">
        <is>
          <t>A 44979-2021</t>
        </is>
      </c>
      <c r="B778" s="1" t="n">
        <v>44438</v>
      </c>
      <c r="C778" s="1" t="n">
        <v>45662</v>
      </c>
      <c r="D778" t="inlineStr">
        <is>
          <t>VÄRMLANDS LÄN</t>
        </is>
      </c>
      <c r="E778" t="inlineStr">
        <is>
          <t>TORSBY</t>
        </is>
      </c>
      <c r="F778" t="inlineStr">
        <is>
          <t>Bergvik skog väst AB</t>
        </is>
      </c>
      <c r="G778" t="n">
        <v>22.2</v>
      </c>
      <c r="H778" t="n">
        <v>0</v>
      </c>
      <c r="I778" t="n">
        <v>0</v>
      </c>
      <c r="J778" t="n">
        <v>0</v>
      </c>
      <c r="K778" t="n">
        <v>0</v>
      </c>
      <c r="L778" t="n">
        <v>0</v>
      </c>
      <c r="M778" t="n">
        <v>0</v>
      </c>
      <c r="N778" t="n">
        <v>0</v>
      </c>
      <c r="O778" t="n">
        <v>0</v>
      </c>
      <c r="P778" t="n">
        <v>0</v>
      </c>
      <c r="Q778" t="n">
        <v>0</v>
      </c>
      <c r="R778" s="2" t="inlineStr"/>
    </row>
    <row r="779" ht="15" customHeight="1">
      <c r="A779" t="inlineStr">
        <is>
          <t>A 44923-2021</t>
        </is>
      </c>
      <c r="B779" s="1" t="n">
        <v>44438</v>
      </c>
      <c r="C779" s="1" t="n">
        <v>45662</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45445-2021</t>
        </is>
      </c>
      <c r="B780" s="1" t="n">
        <v>44440</v>
      </c>
      <c r="C780" s="1" t="n">
        <v>45662</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45447-2021</t>
        </is>
      </c>
      <c r="B781" s="1" t="n">
        <v>44440</v>
      </c>
      <c r="C781" s="1" t="n">
        <v>45662</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46302-2021</t>
        </is>
      </c>
      <c r="B782" s="1" t="n">
        <v>44442</v>
      </c>
      <c r="C782" s="1" t="n">
        <v>45662</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46503-2021</t>
        </is>
      </c>
      <c r="B783" s="1" t="n">
        <v>44445</v>
      </c>
      <c r="C783" s="1" t="n">
        <v>45662</v>
      </c>
      <c r="D783" t="inlineStr">
        <is>
          <t>VÄRMLANDS LÄN</t>
        </is>
      </c>
      <c r="E783" t="inlineStr">
        <is>
          <t>TORSBY</t>
        </is>
      </c>
      <c r="G783" t="n">
        <v>1.2</v>
      </c>
      <c r="H783" t="n">
        <v>0</v>
      </c>
      <c r="I783" t="n">
        <v>0</v>
      </c>
      <c r="J783" t="n">
        <v>0</v>
      </c>
      <c r="K783" t="n">
        <v>0</v>
      </c>
      <c r="L783" t="n">
        <v>0</v>
      </c>
      <c r="M783" t="n">
        <v>0</v>
      </c>
      <c r="N783" t="n">
        <v>0</v>
      </c>
      <c r="O783" t="n">
        <v>0</v>
      </c>
      <c r="P783" t="n">
        <v>0</v>
      </c>
      <c r="Q783" t="n">
        <v>0</v>
      </c>
      <c r="R783" s="2" t="inlineStr"/>
    </row>
    <row r="784" ht="15" customHeight="1">
      <c r="A784" t="inlineStr">
        <is>
          <t>A 46610-2021</t>
        </is>
      </c>
      <c r="B784" s="1" t="n">
        <v>44445</v>
      </c>
      <c r="C784" s="1" t="n">
        <v>45662</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46795-2021</t>
        </is>
      </c>
      <c r="B785" s="1" t="n">
        <v>44446</v>
      </c>
      <c r="C785" s="1" t="n">
        <v>45662</v>
      </c>
      <c r="D785" t="inlineStr">
        <is>
          <t>VÄRMLANDS LÄN</t>
        </is>
      </c>
      <c r="E785" t="inlineStr">
        <is>
          <t>TORSBY</t>
        </is>
      </c>
      <c r="G785" t="n">
        <v>6</v>
      </c>
      <c r="H785" t="n">
        <v>0</v>
      </c>
      <c r="I785" t="n">
        <v>0</v>
      </c>
      <c r="J785" t="n">
        <v>0</v>
      </c>
      <c r="K785" t="n">
        <v>0</v>
      </c>
      <c r="L785" t="n">
        <v>0</v>
      </c>
      <c r="M785" t="n">
        <v>0</v>
      </c>
      <c r="N785" t="n">
        <v>0</v>
      </c>
      <c r="O785" t="n">
        <v>0</v>
      </c>
      <c r="P785" t="n">
        <v>0</v>
      </c>
      <c r="Q785" t="n">
        <v>0</v>
      </c>
      <c r="R785" s="2" t="inlineStr"/>
    </row>
    <row r="786" ht="15" customHeight="1">
      <c r="A786" t="inlineStr">
        <is>
          <t>A 46934-2021</t>
        </is>
      </c>
      <c r="B786" s="1" t="n">
        <v>44446</v>
      </c>
      <c r="C786" s="1" t="n">
        <v>45662</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46880-2021</t>
        </is>
      </c>
      <c r="B787" s="1" t="n">
        <v>44446</v>
      </c>
      <c r="C787" s="1" t="n">
        <v>45662</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47083-2021</t>
        </is>
      </c>
      <c r="B788" s="1" t="n">
        <v>44446</v>
      </c>
      <c r="C788" s="1" t="n">
        <v>45662</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47098-2021</t>
        </is>
      </c>
      <c r="B789" s="1" t="n">
        <v>44446</v>
      </c>
      <c r="C789" s="1" t="n">
        <v>45662</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47271-2021</t>
        </is>
      </c>
      <c r="B790" s="1" t="n">
        <v>44447</v>
      </c>
      <c r="C790" s="1" t="n">
        <v>45662</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47299-2021</t>
        </is>
      </c>
      <c r="B791" s="1" t="n">
        <v>44447</v>
      </c>
      <c r="C791" s="1" t="n">
        <v>45662</v>
      </c>
      <c r="D791" t="inlineStr">
        <is>
          <t>VÄRMLANDS LÄN</t>
        </is>
      </c>
      <c r="E791" t="inlineStr">
        <is>
          <t>TORSBY</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47602-2021</t>
        </is>
      </c>
      <c r="B792" s="1" t="n">
        <v>44448</v>
      </c>
      <c r="C792" s="1" t="n">
        <v>45662</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48159-2021</t>
        </is>
      </c>
      <c r="B793" s="1" t="n">
        <v>44449</v>
      </c>
      <c r="C793" s="1" t="n">
        <v>45662</v>
      </c>
      <c r="D793" t="inlineStr">
        <is>
          <t>VÄRMLANDS LÄN</t>
        </is>
      </c>
      <c r="E793" t="inlineStr">
        <is>
          <t>TORSBY</t>
        </is>
      </c>
      <c r="F793" t="inlineStr">
        <is>
          <t>Bergvik skog väst AB</t>
        </is>
      </c>
      <c r="G793" t="n">
        <v>3</v>
      </c>
      <c r="H793" t="n">
        <v>0</v>
      </c>
      <c r="I793" t="n">
        <v>0</v>
      </c>
      <c r="J793" t="n">
        <v>0</v>
      </c>
      <c r="K793" t="n">
        <v>0</v>
      </c>
      <c r="L793" t="n">
        <v>0</v>
      </c>
      <c r="M793" t="n">
        <v>0</v>
      </c>
      <c r="N793" t="n">
        <v>0</v>
      </c>
      <c r="O793" t="n">
        <v>0</v>
      </c>
      <c r="P793" t="n">
        <v>0</v>
      </c>
      <c r="Q793" t="n">
        <v>0</v>
      </c>
      <c r="R793" s="2" t="inlineStr"/>
    </row>
    <row r="794" ht="15" customHeight="1">
      <c r="A794" t="inlineStr">
        <is>
          <t>A 48188-2021</t>
        </is>
      </c>
      <c r="B794" s="1" t="n">
        <v>44449</v>
      </c>
      <c r="C794" s="1" t="n">
        <v>45662</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48324-2021</t>
        </is>
      </c>
      <c r="B795" s="1" t="n">
        <v>44450</v>
      </c>
      <c r="C795" s="1" t="n">
        <v>45662</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48657-2021</t>
        </is>
      </c>
      <c r="B796" s="1" t="n">
        <v>44452</v>
      </c>
      <c r="C796" s="1" t="n">
        <v>45662</v>
      </c>
      <c r="D796" t="inlineStr">
        <is>
          <t>VÄRMLANDS LÄN</t>
        </is>
      </c>
      <c r="E796" t="inlineStr">
        <is>
          <t>TORSBY</t>
        </is>
      </c>
      <c r="F796" t="inlineStr">
        <is>
          <t>Bergvik skog väst AB</t>
        </is>
      </c>
      <c r="G796" t="n">
        <v>7.8</v>
      </c>
      <c r="H796" t="n">
        <v>0</v>
      </c>
      <c r="I796" t="n">
        <v>0</v>
      </c>
      <c r="J796" t="n">
        <v>0</v>
      </c>
      <c r="K796" t="n">
        <v>0</v>
      </c>
      <c r="L796" t="n">
        <v>0</v>
      </c>
      <c r="M796" t="n">
        <v>0</v>
      </c>
      <c r="N796" t="n">
        <v>0</v>
      </c>
      <c r="O796" t="n">
        <v>0</v>
      </c>
      <c r="P796" t="n">
        <v>0</v>
      </c>
      <c r="Q796" t="n">
        <v>0</v>
      </c>
      <c r="R796" s="2" t="inlineStr"/>
    </row>
    <row r="797" ht="15" customHeight="1">
      <c r="A797" t="inlineStr">
        <is>
          <t>A 48771-2021</t>
        </is>
      </c>
      <c r="B797" s="1" t="n">
        <v>44452</v>
      </c>
      <c r="C797" s="1" t="n">
        <v>45662</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49192-2021</t>
        </is>
      </c>
      <c r="B798" s="1" t="n">
        <v>44454</v>
      </c>
      <c r="C798" s="1" t="n">
        <v>45662</v>
      </c>
      <c r="D798" t="inlineStr">
        <is>
          <t>VÄRMLANDS LÄN</t>
        </is>
      </c>
      <c r="E798" t="inlineStr">
        <is>
          <t>TORSBY</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49900-2021</t>
        </is>
      </c>
      <c r="B799" s="1" t="n">
        <v>44455</v>
      </c>
      <c r="C799" s="1" t="n">
        <v>45662</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50100-2021</t>
        </is>
      </c>
      <c r="B800" s="1" t="n">
        <v>44456</v>
      </c>
      <c r="C800" s="1" t="n">
        <v>45662</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50596-2021</t>
        </is>
      </c>
      <c r="B801" s="1" t="n">
        <v>44459</v>
      </c>
      <c r="C801" s="1" t="n">
        <v>45662</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50549-2021</t>
        </is>
      </c>
      <c r="B802" s="1" t="n">
        <v>44459</v>
      </c>
      <c r="C802" s="1" t="n">
        <v>45662</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50988-2021</t>
        </is>
      </c>
      <c r="B803" s="1" t="n">
        <v>44460</v>
      </c>
      <c r="C803" s="1" t="n">
        <v>45662</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51505-2021</t>
        </is>
      </c>
      <c r="B804" s="1" t="n">
        <v>44460</v>
      </c>
      <c r="C804" s="1" t="n">
        <v>45662</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51494-2021</t>
        </is>
      </c>
      <c r="B805" s="1" t="n">
        <v>44460</v>
      </c>
      <c r="C805" s="1" t="n">
        <v>45662</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51510-2021</t>
        </is>
      </c>
      <c r="B806" s="1" t="n">
        <v>44460</v>
      </c>
      <c r="C806" s="1" t="n">
        <v>45662</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51099-2021</t>
        </is>
      </c>
      <c r="B807" s="1" t="n">
        <v>44461</v>
      </c>
      <c r="C807" s="1" t="n">
        <v>45662</v>
      </c>
      <c r="D807" t="inlineStr">
        <is>
          <t>VÄRMLANDS LÄN</t>
        </is>
      </c>
      <c r="E807" t="inlineStr">
        <is>
          <t>TORSBY</t>
        </is>
      </c>
      <c r="G807" t="n">
        <v>1.7</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45662</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51372-2021</t>
        </is>
      </c>
      <c r="B809" s="1" t="n">
        <v>44461</v>
      </c>
      <c r="C809" s="1" t="n">
        <v>45662</v>
      </c>
      <c r="D809" t="inlineStr">
        <is>
          <t>VÄRMLANDS LÄN</t>
        </is>
      </c>
      <c r="E809" t="inlineStr">
        <is>
          <t>TORSBY</t>
        </is>
      </c>
      <c r="F809" t="inlineStr">
        <is>
          <t>Bergvik skog väst AB</t>
        </is>
      </c>
      <c r="G809" t="n">
        <v>2.3</v>
      </c>
      <c r="H809" t="n">
        <v>0</v>
      </c>
      <c r="I809" t="n">
        <v>0</v>
      </c>
      <c r="J809" t="n">
        <v>0</v>
      </c>
      <c r="K809" t="n">
        <v>0</v>
      </c>
      <c r="L809" t="n">
        <v>0</v>
      </c>
      <c r="M809" t="n">
        <v>0</v>
      </c>
      <c r="N809" t="n">
        <v>0</v>
      </c>
      <c r="O809" t="n">
        <v>0</v>
      </c>
      <c r="P809" t="n">
        <v>0</v>
      </c>
      <c r="Q809" t="n">
        <v>0</v>
      </c>
      <c r="R809" s="2" t="inlineStr"/>
    </row>
    <row r="810" ht="15" customHeight="1">
      <c r="A810" t="inlineStr">
        <is>
          <t>A 51819-2021</t>
        </is>
      </c>
      <c r="B810" s="1" t="n">
        <v>44462</v>
      </c>
      <c r="C810" s="1" t="n">
        <v>45662</v>
      </c>
      <c r="D810" t="inlineStr">
        <is>
          <t>VÄRMLANDS LÄN</t>
        </is>
      </c>
      <c r="E810" t="inlineStr">
        <is>
          <t>TORSBY</t>
        </is>
      </c>
      <c r="F810" t="inlineStr">
        <is>
          <t>Bergvik skog väst AB</t>
        </is>
      </c>
      <c r="G810" t="n">
        <v>14.7</v>
      </c>
      <c r="H810" t="n">
        <v>0</v>
      </c>
      <c r="I810" t="n">
        <v>0</v>
      </c>
      <c r="J810" t="n">
        <v>0</v>
      </c>
      <c r="K810" t="n">
        <v>0</v>
      </c>
      <c r="L810" t="n">
        <v>0</v>
      </c>
      <c r="M810" t="n">
        <v>0</v>
      </c>
      <c r="N810" t="n">
        <v>0</v>
      </c>
      <c r="O810" t="n">
        <v>0</v>
      </c>
      <c r="P810" t="n">
        <v>0</v>
      </c>
      <c r="Q810" t="n">
        <v>0</v>
      </c>
      <c r="R810" s="2" t="inlineStr"/>
    </row>
    <row r="811" ht="15" customHeight="1">
      <c r="A811" t="inlineStr">
        <is>
          <t>A 51522-2021</t>
        </is>
      </c>
      <c r="B811" s="1" t="n">
        <v>44462</v>
      </c>
      <c r="C811" s="1" t="n">
        <v>45662</v>
      </c>
      <c r="D811" t="inlineStr">
        <is>
          <t>VÄRMLANDS LÄN</t>
        </is>
      </c>
      <c r="E811" t="inlineStr">
        <is>
          <t>TORSBY</t>
        </is>
      </c>
      <c r="G811" t="n">
        <v>0.3</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45662</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52520-2021</t>
        </is>
      </c>
      <c r="B813" s="1" t="n">
        <v>44466</v>
      </c>
      <c r="C813" s="1" t="n">
        <v>45662</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52728-2021</t>
        </is>
      </c>
      <c r="B814" s="1" t="n">
        <v>44467</v>
      </c>
      <c r="C814" s="1" t="n">
        <v>45662</v>
      </c>
      <c r="D814" t="inlineStr">
        <is>
          <t>VÄRMLANDS LÄN</t>
        </is>
      </c>
      <c r="E814" t="inlineStr">
        <is>
          <t>TORSBY</t>
        </is>
      </c>
      <c r="G814" t="n">
        <v>0.9</v>
      </c>
      <c r="H814" t="n">
        <v>0</v>
      </c>
      <c r="I814" t="n">
        <v>0</v>
      </c>
      <c r="J814" t="n">
        <v>0</v>
      </c>
      <c r="K814" t="n">
        <v>0</v>
      </c>
      <c r="L814" t="n">
        <v>0</v>
      </c>
      <c r="M814" t="n">
        <v>0</v>
      </c>
      <c r="N814" t="n">
        <v>0</v>
      </c>
      <c r="O814" t="n">
        <v>0</v>
      </c>
      <c r="P814" t="n">
        <v>0</v>
      </c>
      <c r="Q814" t="n">
        <v>0</v>
      </c>
      <c r="R814" s="2" t="inlineStr"/>
    </row>
    <row r="815" ht="15" customHeight="1">
      <c r="A815" t="inlineStr">
        <is>
          <t>A 52900-2021</t>
        </is>
      </c>
      <c r="B815" s="1" t="n">
        <v>44467</v>
      </c>
      <c r="C815" s="1" t="n">
        <v>45662</v>
      </c>
      <c r="D815" t="inlineStr">
        <is>
          <t>VÄRMLANDS LÄN</t>
        </is>
      </c>
      <c r="E815" t="inlineStr">
        <is>
          <t>TORSBY</t>
        </is>
      </c>
      <c r="G815" t="n">
        <v>3.8</v>
      </c>
      <c r="H815" t="n">
        <v>0</v>
      </c>
      <c r="I815" t="n">
        <v>0</v>
      </c>
      <c r="J815" t="n">
        <v>0</v>
      </c>
      <c r="K815" t="n">
        <v>0</v>
      </c>
      <c r="L815" t="n">
        <v>0</v>
      </c>
      <c r="M815" t="n">
        <v>0</v>
      </c>
      <c r="N815" t="n">
        <v>0</v>
      </c>
      <c r="O815" t="n">
        <v>0</v>
      </c>
      <c r="P815" t="n">
        <v>0</v>
      </c>
      <c r="Q815" t="n">
        <v>0</v>
      </c>
      <c r="R815" s="2" t="inlineStr"/>
    </row>
    <row r="816" ht="15" customHeight="1">
      <c r="A816" t="inlineStr">
        <is>
          <t>A 53705-2021</t>
        </is>
      </c>
      <c r="B816" s="1" t="n">
        <v>44469</v>
      </c>
      <c r="C816" s="1" t="n">
        <v>45662</v>
      </c>
      <c r="D816" t="inlineStr">
        <is>
          <t>VÄRMLANDS LÄN</t>
        </is>
      </c>
      <c r="E816" t="inlineStr">
        <is>
          <t>TORSBY</t>
        </is>
      </c>
      <c r="F816" t="inlineStr">
        <is>
          <t>Kyrkan</t>
        </is>
      </c>
      <c r="G816" t="n">
        <v>12.4</v>
      </c>
      <c r="H816" t="n">
        <v>0</v>
      </c>
      <c r="I816" t="n">
        <v>0</v>
      </c>
      <c r="J816" t="n">
        <v>0</v>
      </c>
      <c r="K816" t="n">
        <v>0</v>
      </c>
      <c r="L816" t="n">
        <v>0</v>
      </c>
      <c r="M816" t="n">
        <v>0</v>
      </c>
      <c r="N816" t="n">
        <v>0</v>
      </c>
      <c r="O816" t="n">
        <v>0</v>
      </c>
      <c r="P816" t="n">
        <v>0</v>
      </c>
      <c r="Q816" t="n">
        <v>0</v>
      </c>
      <c r="R816" s="2" t="inlineStr"/>
    </row>
    <row r="817" ht="15" customHeight="1">
      <c r="A817" t="inlineStr">
        <is>
          <t>A 54029-2021</t>
        </is>
      </c>
      <c r="B817" s="1" t="n">
        <v>44470</v>
      </c>
      <c r="C817" s="1" t="n">
        <v>45662</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54033-2021</t>
        </is>
      </c>
      <c r="B818" s="1" t="n">
        <v>44470</v>
      </c>
      <c r="C818" s="1" t="n">
        <v>45662</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55794-2021</t>
        </is>
      </c>
      <c r="B819" s="1" t="n">
        <v>44476</v>
      </c>
      <c r="C819" s="1" t="n">
        <v>45662</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55811-2021</t>
        </is>
      </c>
      <c r="B820" s="1" t="n">
        <v>44476</v>
      </c>
      <c r="C820" s="1" t="n">
        <v>45662</v>
      </c>
      <c r="D820" t="inlineStr">
        <is>
          <t>VÄRMLANDS LÄN</t>
        </is>
      </c>
      <c r="E820" t="inlineStr">
        <is>
          <t>TORSBY</t>
        </is>
      </c>
      <c r="G820" t="n">
        <v>3.7</v>
      </c>
      <c r="H820" t="n">
        <v>0</v>
      </c>
      <c r="I820" t="n">
        <v>0</v>
      </c>
      <c r="J820" t="n">
        <v>0</v>
      </c>
      <c r="K820" t="n">
        <v>0</v>
      </c>
      <c r="L820" t="n">
        <v>0</v>
      </c>
      <c r="M820" t="n">
        <v>0</v>
      </c>
      <c r="N820" t="n">
        <v>0</v>
      </c>
      <c r="O820" t="n">
        <v>0</v>
      </c>
      <c r="P820" t="n">
        <v>0</v>
      </c>
      <c r="Q820" t="n">
        <v>0</v>
      </c>
      <c r="R820" s="2" t="inlineStr"/>
    </row>
    <row r="821" ht="15" customHeight="1">
      <c r="A821" t="inlineStr">
        <is>
          <t>A 56102-2021</t>
        </is>
      </c>
      <c r="B821" s="1" t="n">
        <v>44477</v>
      </c>
      <c r="C821" s="1" t="n">
        <v>45662</v>
      </c>
      <c r="D821" t="inlineStr">
        <is>
          <t>VÄRMLANDS LÄN</t>
        </is>
      </c>
      <c r="E821" t="inlineStr">
        <is>
          <t>TORSBY</t>
        </is>
      </c>
      <c r="G821" t="n">
        <v>4.6</v>
      </c>
      <c r="H821" t="n">
        <v>0</v>
      </c>
      <c r="I821" t="n">
        <v>0</v>
      </c>
      <c r="J821" t="n">
        <v>0</v>
      </c>
      <c r="K821" t="n">
        <v>0</v>
      </c>
      <c r="L821" t="n">
        <v>0</v>
      </c>
      <c r="M821" t="n">
        <v>0</v>
      </c>
      <c r="N821" t="n">
        <v>0</v>
      </c>
      <c r="O821" t="n">
        <v>0</v>
      </c>
      <c r="P821" t="n">
        <v>0</v>
      </c>
      <c r="Q821" t="n">
        <v>0</v>
      </c>
      <c r="R821" s="2" t="inlineStr"/>
    </row>
    <row r="822" ht="15" customHeight="1">
      <c r="A822" t="inlineStr">
        <is>
          <t>A 56037-2021</t>
        </is>
      </c>
      <c r="B822" s="1" t="n">
        <v>44477</v>
      </c>
      <c r="C822" s="1" t="n">
        <v>45662</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56062-2021</t>
        </is>
      </c>
      <c r="B823" s="1" t="n">
        <v>44477</v>
      </c>
      <c r="C823" s="1" t="n">
        <v>45662</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56981-2021</t>
        </is>
      </c>
      <c r="B824" s="1" t="n">
        <v>44482</v>
      </c>
      <c r="C824" s="1" t="n">
        <v>45662</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57287-2021</t>
        </is>
      </c>
      <c r="B825" s="1" t="n">
        <v>44482</v>
      </c>
      <c r="C825" s="1" t="n">
        <v>45662</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58062-2021</t>
        </is>
      </c>
      <c r="B826" s="1" t="n">
        <v>44487</v>
      </c>
      <c r="C826" s="1" t="n">
        <v>45662</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58479-2021</t>
        </is>
      </c>
      <c r="B827" s="1" t="n">
        <v>44488</v>
      </c>
      <c r="C827" s="1" t="n">
        <v>45662</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58476-2021</t>
        </is>
      </c>
      <c r="B828" s="1" t="n">
        <v>44488</v>
      </c>
      <c r="C828" s="1" t="n">
        <v>45662</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58543-2021</t>
        </is>
      </c>
      <c r="B829" s="1" t="n">
        <v>44488</v>
      </c>
      <c r="C829" s="1" t="n">
        <v>45662</v>
      </c>
      <c r="D829" t="inlineStr">
        <is>
          <t>VÄRMLANDS LÄN</t>
        </is>
      </c>
      <c r="E829" t="inlineStr">
        <is>
          <t>TORSBY</t>
        </is>
      </c>
      <c r="F829" t="inlineStr">
        <is>
          <t>Bergvik skog väst AB</t>
        </is>
      </c>
      <c r="G829" t="n">
        <v>7.1</v>
      </c>
      <c r="H829" t="n">
        <v>0</v>
      </c>
      <c r="I829" t="n">
        <v>0</v>
      </c>
      <c r="J829" t="n">
        <v>0</v>
      </c>
      <c r="K829" t="n">
        <v>0</v>
      </c>
      <c r="L829" t="n">
        <v>0</v>
      </c>
      <c r="M829" t="n">
        <v>0</v>
      </c>
      <c r="N829" t="n">
        <v>0</v>
      </c>
      <c r="O829" t="n">
        <v>0</v>
      </c>
      <c r="P829" t="n">
        <v>0</v>
      </c>
      <c r="Q829" t="n">
        <v>0</v>
      </c>
      <c r="R829" s="2" t="inlineStr"/>
    </row>
    <row r="830" ht="15" customHeight="1">
      <c r="A830" t="inlineStr">
        <is>
          <t>A 58728-2021</t>
        </is>
      </c>
      <c r="B830" s="1" t="n">
        <v>44489</v>
      </c>
      <c r="C830" s="1" t="n">
        <v>45662</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59425-2021</t>
        </is>
      </c>
      <c r="B831" s="1" t="n">
        <v>44491</v>
      </c>
      <c r="C831" s="1" t="n">
        <v>45662</v>
      </c>
      <c r="D831" t="inlineStr">
        <is>
          <t>VÄRMLANDS LÄN</t>
        </is>
      </c>
      <c r="E831" t="inlineStr">
        <is>
          <t>TORSBY</t>
        </is>
      </c>
      <c r="F831" t="inlineStr">
        <is>
          <t>Bergvik skog väst AB</t>
        </is>
      </c>
      <c r="G831" t="n">
        <v>14.9</v>
      </c>
      <c r="H831" t="n">
        <v>0</v>
      </c>
      <c r="I831" t="n">
        <v>0</v>
      </c>
      <c r="J831" t="n">
        <v>0</v>
      </c>
      <c r="K831" t="n">
        <v>0</v>
      </c>
      <c r="L831" t="n">
        <v>0</v>
      </c>
      <c r="M831" t="n">
        <v>0</v>
      </c>
      <c r="N831" t="n">
        <v>0</v>
      </c>
      <c r="O831" t="n">
        <v>0</v>
      </c>
      <c r="P831" t="n">
        <v>0</v>
      </c>
      <c r="Q831" t="n">
        <v>0</v>
      </c>
      <c r="R831" s="2" t="inlineStr"/>
    </row>
    <row r="832" ht="15" customHeight="1">
      <c r="A832" t="inlineStr">
        <is>
          <t>A 60428-2021</t>
        </is>
      </c>
      <c r="B832" s="1" t="n">
        <v>44496</v>
      </c>
      <c r="C832" s="1" t="n">
        <v>45662</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60430-2021</t>
        </is>
      </c>
      <c r="B833" s="1" t="n">
        <v>44496</v>
      </c>
      <c r="C833" s="1" t="n">
        <v>45662</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60698-2021</t>
        </is>
      </c>
      <c r="B834" s="1" t="n">
        <v>44496</v>
      </c>
      <c r="C834" s="1" t="n">
        <v>45662</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61231-2021</t>
        </is>
      </c>
      <c r="B835" s="1" t="n">
        <v>44496</v>
      </c>
      <c r="C835" s="1" t="n">
        <v>45662</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61812-2021</t>
        </is>
      </c>
      <c r="B836" s="1" t="n">
        <v>44501</v>
      </c>
      <c r="C836" s="1" t="n">
        <v>45662</v>
      </c>
      <c r="D836" t="inlineStr">
        <is>
          <t>VÄRMLANDS LÄN</t>
        </is>
      </c>
      <c r="E836" t="inlineStr">
        <is>
          <t>TORSBY</t>
        </is>
      </c>
      <c r="G836" t="n">
        <v>5.3</v>
      </c>
      <c r="H836" t="n">
        <v>0</v>
      </c>
      <c r="I836" t="n">
        <v>0</v>
      </c>
      <c r="J836" t="n">
        <v>0</v>
      </c>
      <c r="K836" t="n">
        <v>0</v>
      </c>
      <c r="L836" t="n">
        <v>0</v>
      </c>
      <c r="M836" t="n">
        <v>0</v>
      </c>
      <c r="N836" t="n">
        <v>0</v>
      </c>
      <c r="O836" t="n">
        <v>0</v>
      </c>
      <c r="P836" t="n">
        <v>0</v>
      </c>
      <c r="Q836" t="n">
        <v>0</v>
      </c>
      <c r="R836" s="2" t="inlineStr"/>
    </row>
    <row r="837" ht="15" customHeight="1">
      <c r="A837" t="inlineStr">
        <is>
          <t>A 61809-2021</t>
        </is>
      </c>
      <c r="B837" s="1" t="n">
        <v>44501</v>
      </c>
      <c r="C837" s="1" t="n">
        <v>45662</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62045-2021</t>
        </is>
      </c>
      <c r="B838" s="1" t="n">
        <v>44502</v>
      </c>
      <c r="C838" s="1" t="n">
        <v>45662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62039-2021</t>
        </is>
      </c>
      <c r="B839" s="1" t="n">
        <v>44502</v>
      </c>
      <c r="C839" s="1" t="n">
        <v>45662</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62576-2021</t>
        </is>
      </c>
      <c r="B840" s="1" t="n">
        <v>44502</v>
      </c>
      <c r="C840" s="1" t="n">
        <v>45662</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62845-2021</t>
        </is>
      </c>
      <c r="B841" s="1" t="n">
        <v>44504</v>
      </c>
      <c r="C841" s="1" t="n">
        <v>45662</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63251-2021</t>
        </is>
      </c>
      <c r="B842" s="1" t="n">
        <v>44508</v>
      </c>
      <c r="C842" s="1" t="n">
        <v>45662</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63527-2021</t>
        </is>
      </c>
      <c r="B843" s="1" t="n">
        <v>44508</v>
      </c>
      <c r="C843" s="1" t="n">
        <v>45662</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64780-2021</t>
        </is>
      </c>
      <c r="B844" s="1" t="n">
        <v>44512</v>
      </c>
      <c r="C844" s="1" t="n">
        <v>45662</v>
      </c>
      <c r="D844" t="inlineStr">
        <is>
          <t>VÄRMLANDS LÄN</t>
        </is>
      </c>
      <c r="E844" t="inlineStr">
        <is>
          <t>TORSBY</t>
        </is>
      </c>
      <c r="G844" t="n">
        <v>2</v>
      </c>
      <c r="H844" t="n">
        <v>0</v>
      </c>
      <c r="I844" t="n">
        <v>0</v>
      </c>
      <c r="J844" t="n">
        <v>0</v>
      </c>
      <c r="K844" t="n">
        <v>0</v>
      </c>
      <c r="L844" t="n">
        <v>0</v>
      </c>
      <c r="M844" t="n">
        <v>0</v>
      </c>
      <c r="N844" t="n">
        <v>0</v>
      </c>
      <c r="O844" t="n">
        <v>0</v>
      </c>
      <c r="P844" t="n">
        <v>0</v>
      </c>
      <c r="Q844" t="n">
        <v>0</v>
      </c>
      <c r="R844" s="2" t="inlineStr"/>
    </row>
    <row r="845" ht="15" customHeight="1">
      <c r="A845" t="inlineStr">
        <is>
          <t>A 64902-2021</t>
        </is>
      </c>
      <c r="B845" s="1" t="n">
        <v>44512</v>
      </c>
      <c r="C845" s="1" t="n">
        <v>45662</v>
      </c>
      <c r="D845" t="inlineStr">
        <is>
          <t>VÄRMLANDS LÄN</t>
        </is>
      </c>
      <c r="E845" t="inlineStr">
        <is>
          <t>TORSBY</t>
        </is>
      </c>
      <c r="G845" t="n">
        <v>6.1</v>
      </c>
      <c r="H845" t="n">
        <v>0</v>
      </c>
      <c r="I845" t="n">
        <v>0</v>
      </c>
      <c r="J845" t="n">
        <v>0</v>
      </c>
      <c r="K845" t="n">
        <v>0</v>
      </c>
      <c r="L845" t="n">
        <v>0</v>
      </c>
      <c r="M845" t="n">
        <v>0</v>
      </c>
      <c r="N845" t="n">
        <v>0</v>
      </c>
      <c r="O845" t="n">
        <v>0</v>
      </c>
      <c r="P845" t="n">
        <v>0</v>
      </c>
      <c r="Q845" t="n">
        <v>0</v>
      </c>
      <c r="R845" s="2" t="inlineStr"/>
    </row>
    <row r="846" ht="15" customHeight="1">
      <c r="A846" t="inlineStr">
        <is>
          <t>A 65182-2021</t>
        </is>
      </c>
      <c r="B846" s="1" t="n">
        <v>44515</v>
      </c>
      <c r="C846" s="1" t="n">
        <v>45662</v>
      </c>
      <c r="D846" t="inlineStr">
        <is>
          <t>VÄRMLANDS LÄN</t>
        </is>
      </c>
      <c r="E846" t="inlineStr">
        <is>
          <t>TORSBY</t>
        </is>
      </c>
      <c r="G846" t="n">
        <v>5.9</v>
      </c>
      <c r="H846" t="n">
        <v>0</v>
      </c>
      <c r="I846" t="n">
        <v>0</v>
      </c>
      <c r="J846" t="n">
        <v>0</v>
      </c>
      <c r="K846" t="n">
        <v>0</v>
      </c>
      <c r="L846" t="n">
        <v>0</v>
      </c>
      <c r="M846" t="n">
        <v>0</v>
      </c>
      <c r="N846" t="n">
        <v>0</v>
      </c>
      <c r="O846" t="n">
        <v>0</v>
      </c>
      <c r="P846" t="n">
        <v>0</v>
      </c>
      <c r="Q846" t="n">
        <v>0</v>
      </c>
      <c r="R846" s="2" t="inlineStr"/>
    </row>
    <row r="847" ht="15" customHeight="1">
      <c r="A847" t="inlineStr">
        <is>
          <t>A 65301-2021</t>
        </is>
      </c>
      <c r="B847" s="1" t="n">
        <v>44515</v>
      </c>
      <c r="C847" s="1" t="n">
        <v>45662</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65537-2021</t>
        </is>
      </c>
      <c r="B848" s="1" t="n">
        <v>44516</v>
      </c>
      <c r="C848" s="1" t="n">
        <v>45662</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65713-2021</t>
        </is>
      </c>
      <c r="B849" s="1" t="n">
        <v>44516</v>
      </c>
      <c r="C849" s="1" t="n">
        <v>45662</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65705-2021</t>
        </is>
      </c>
      <c r="B850" s="1" t="n">
        <v>44516</v>
      </c>
      <c r="C850" s="1" t="n">
        <v>45662</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65959-2021</t>
        </is>
      </c>
      <c r="B851" s="1" t="n">
        <v>44517</v>
      </c>
      <c r="C851" s="1" t="n">
        <v>45662</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65998-2021</t>
        </is>
      </c>
      <c r="B852" s="1" t="n">
        <v>44517</v>
      </c>
      <c r="C852" s="1" t="n">
        <v>45662</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66103-2021</t>
        </is>
      </c>
      <c r="B853" s="1" t="n">
        <v>44517</v>
      </c>
      <c r="C853" s="1" t="n">
        <v>45662</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66133-2021</t>
        </is>
      </c>
      <c r="B854" s="1" t="n">
        <v>44517</v>
      </c>
      <c r="C854" s="1" t="n">
        <v>45662</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66978-2021</t>
        </is>
      </c>
      <c r="B855" s="1" t="n">
        <v>44522</v>
      </c>
      <c r="C855" s="1" t="n">
        <v>45662</v>
      </c>
      <c r="D855" t="inlineStr">
        <is>
          <t>VÄRMLANDS LÄN</t>
        </is>
      </c>
      <c r="E855" t="inlineStr">
        <is>
          <t>TORSBY</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67006-2021</t>
        </is>
      </c>
      <c r="B856" s="1" t="n">
        <v>44522</v>
      </c>
      <c r="C856" s="1" t="n">
        <v>45662</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67147-2021</t>
        </is>
      </c>
      <c r="B857" s="1" t="n">
        <v>44523</v>
      </c>
      <c r="C857" s="1" t="n">
        <v>45662</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67172-2021</t>
        </is>
      </c>
      <c r="B858" s="1" t="n">
        <v>44523</v>
      </c>
      <c r="C858" s="1" t="n">
        <v>45662</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67567-2021</t>
        </is>
      </c>
      <c r="B859" s="1" t="n">
        <v>44524</v>
      </c>
      <c r="C859" s="1" t="n">
        <v>45662</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67457-2021</t>
        </is>
      </c>
      <c r="B860" s="1" t="n">
        <v>44524</v>
      </c>
      <c r="C860" s="1" t="n">
        <v>45662</v>
      </c>
      <c r="D860" t="inlineStr">
        <is>
          <t>VÄRMLANDS LÄN</t>
        </is>
      </c>
      <c r="E860" t="inlineStr">
        <is>
          <t>TORSBY</t>
        </is>
      </c>
      <c r="G860" t="n">
        <v>7.6</v>
      </c>
      <c r="H860" t="n">
        <v>0</v>
      </c>
      <c r="I860" t="n">
        <v>0</v>
      </c>
      <c r="J860" t="n">
        <v>0</v>
      </c>
      <c r="K860" t="n">
        <v>0</v>
      </c>
      <c r="L860" t="n">
        <v>0</v>
      </c>
      <c r="M860" t="n">
        <v>0</v>
      </c>
      <c r="N860" t="n">
        <v>0</v>
      </c>
      <c r="O860" t="n">
        <v>0</v>
      </c>
      <c r="P860" t="n">
        <v>0</v>
      </c>
      <c r="Q860" t="n">
        <v>0</v>
      </c>
      <c r="R860" s="2" t="inlineStr"/>
    </row>
    <row r="861" ht="15" customHeight="1">
      <c r="A861" t="inlineStr">
        <is>
          <t>A 67933-2021</t>
        </is>
      </c>
      <c r="B861" s="1" t="n">
        <v>44525</v>
      </c>
      <c r="C861" s="1" t="n">
        <v>45662</v>
      </c>
      <c r="D861" t="inlineStr">
        <is>
          <t>VÄRMLANDS LÄN</t>
        </is>
      </c>
      <c r="E861" t="inlineStr">
        <is>
          <t>TORSBY</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67913-2021</t>
        </is>
      </c>
      <c r="B862" s="1" t="n">
        <v>44525</v>
      </c>
      <c r="C862" s="1" t="n">
        <v>45662</v>
      </c>
      <c r="D862" t="inlineStr">
        <is>
          <t>VÄRMLANDS LÄN</t>
        </is>
      </c>
      <c r="E862" t="inlineStr">
        <is>
          <t>TORSBY</t>
        </is>
      </c>
      <c r="F862" t="inlineStr">
        <is>
          <t>Bergvik skog väst AB</t>
        </is>
      </c>
      <c r="G862" t="n">
        <v>8</v>
      </c>
      <c r="H862" t="n">
        <v>0</v>
      </c>
      <c r="I862" t="n">
        <v>0</v>
      </c>
      <c r="J862" t="n">
        <v>0</v>
      </c>
      <c r="K862" t="n">
        <v>0</v>
      </c>
      <c r="L862" t="n">
        <v>0</v>
      </c>
      <c r="M862" t="n">
        <v>0</v>
      </c>
      <c r="N862" t="n">
        <v>0</v>
      </c>
      <c r="O862" t="n">
        <v>0</v>
      </c>
      <c r="P862" t="n">
        <v>0</v>
      </c>
      <c r="Q862" t="n">
        <v>0</v>
      </c>
      <c r="R862" s="2" t="inlineStr"/>
    </row>
    <row r="863" ht="15" customHeight="1">
      <c r="A863" t="inlineStr">
        <is>
          <t>A 69279-2021</t>
        </is>
      </c>
      <c r="B863" s="1" t="n">
        <v>44526</v>
      </c>
      <c r="C863" s="1" t="n">
        <v>45662</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69265-2021</t>
        </is>
      </c>
      <c r="B864" s="1" t="n">
        <v>44526</v>
      </c>
      <c r="C864" s="1" t="n">
        <v>45662</v>
      </c>
      <c r="D864" t="inlineStr">
        <is>
          <t>VÄRMLANDS LÄN</t>
        </is>
      </c>
      <c r="E864" t="inlineStr">
        <is>
          <t>TORSBY</t>
        </is>
      </c>
      <c r="G864" t="n">
        <v>11.1</v>
      </c>
      <c r="H864" t="n">
        <v>0</v>
      </c>
      <c r="I864" t="n">
        <v>0</v>
      </c>
      <c r="J864" t="n">
        <v>0</v>
      </c>
      <c r="K864" t="n">
        <v>0</v>
      </c>
      <c r="L864" t="n">
        <v>0</v>
      </c>
      <c r="M864" t="n">
        <v>0</v>
      </c>
      <c r="N864" t="n">
        <v>0</v>
      </c>
      <c r="O864" t="n">
        <v>0</v>
      </c>
      <c r="P864" t="n">
        <v>0</v>
      </c>
      <c r="Q864" t="n">
        <v>0</v>
      </c>
      <c r="R864" s="2" t="inlineStr"/>
    </row>
    <row r="865" ht="15" customHeight="1">
      <c r="A865" t="inlineStr">
        <is>
          <t>A 69275-2021</t>
        </is>
      </c>
      <c r="B865" s="1" t="n">
        <v>44526</v>
      </c>
      <c r="C865" s="1" t="n">
        <v>45662</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68153-2021</t>
        </is>
      </c>
      <c r="B866" s="1" t="n">
        <v>44526</v>
      </c>
      <c r="C866" s="1" t="n">
        <v>45662</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69281-2021</t>
        </is>
      </c>
      <c r="B867" s="1" t="n">
        <v>44526</v>
      </c>
      <c r="C867" s="1" t="n">
        <v>45662</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68266-2021</t>
        </is>
      </c>
      <c r="B868" s="1" t="n">
        <v>44526</v>
      </c>
      <c r="C868" s="1" t="n">
        <v>45662</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68136-2021</t>
        </is>
      </c>
      <c r="B869" s="1" t="n">
        <v>44526</v>
      </c>
      <c r="C869" s="1" t="n">
        <v>45662</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68650-2021</t>
        </is>
      </c>
      <c r="B870" s="1" t="n">
        <v>44529</v>
      </c>
      <c r="C870" s="1" t="n">
        <v>45662</v>
      </c>
      <c r="D870" t="inlineStr">
        <is>
          <t>VÄRMLANDS LÄN</t>
        </is>
      </c>
      <c r="E870" t="inlineStr">
        <is>
          <t>TORSBY</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68850-2021</t>
        </is>
      </c>
      <c r="B871" s="1" t="n">
        <v>44530</v>
      </c>
      <c r="C871" s="1" t="n">
        <v>45662</v>
      </c>
      <c r="D871" t="inlineStr">
        <is>
          <t>VÄRMLANDS LÄN</t>
        </is>
      </c>
      <c r="E871" t="inlineStr">
        <is>
          <t>TORSBY</t>
        </is>
      </c>
      <c r="G871" t="n">
        <v>13.1</v>
      </c>
      <c r="H871" t="n">
        <v>0</v>
      </c>
      <c r="I871" t="n">
        <v>0</v>
      </c>
      <c r="J871" t="n">
        <v>0</v>
      </c>
      <c r="K871" t="n">
        <v>0</v>
      </c>
      <c r="L871" t="n">
        <v>0</v>
      </c>
      <c r="M871" t="n">
        <v>0</v>
      </c>
      <c r="N871" t="n">
        <v>0</v>
      </c>
      <c r="O871" t="n">
        <v>0</v>
      </c>
      <c r="P871" t="n">
        <v>0</v>
      </c>
      <c r="Q871" t="n">
        <v>0</v>
      </c>
      <c r="R871" s="2" t="inlineStr"/>
    </row>
    <row r="872" ht="15" customHeight="1">
      <c r="A872" t="inlineStr">
        <is>
          <t>A 68855-2021</t>
        </is>
      </c>
      <c r="B872" s="1" t="n">
        <v>44530</v>
      </c>
      <c r="C872" s="1" t="n">
        <v>45662</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69026-2021</t>
        </is>
      </c>
      <c r="B873" s="1" t="n">
        <v>44530</v>
      </c>
      <c r="C873" s="1" t="n">
        <v>45662</v>
      </c>
      <c r="D873" t="inlineStr">
        <is>
          <t>VÄRMLANDS LÄN</t>
        </is>
      </c>
      <c r="E873" t="inlineStr">
        <is>
          <t>TORSBY</t>
        </is>
      </c>
      <c r="F873" t="inlineStr">
        <is>
          <t>Bergvik skog väst AB</t>
        </is>
      </c>
      <c r="G873" t="n">
        <v>11.3</v>
      </c>
      <c r="H873" t="n">
        <v>0</v>
      </c>
      <c r="I873" t="n">
        <v>0</v>
      </c>
      <c r="J873" t="n">
        <v>0</v>
      </c>
      <c r="K873" t="n">
        <v>0</v>
      </c>
      <c r="L873" t="n">
        <v>0</v>
      </c>
      <c r="M873" t="n">
        <v>0</v>
      </c>
      <c r="N873" t="n">
        <v>0</v>
      </c>
      <c r="O873" t="n">
        <v>0</v>
      </c>
      <c r="P873" t="n">
        <v>0</v>
      </c>
      <c r="Q873" t="n">
        <v>0</v>
      </c>
      <c r="R873" s="2" t="inlineStr"/>
    </row>
    <row r="874" ht="15" customHeight="1">
      <c r="A874" t="inlineStr">
        <is>
          <t>A 69086-2021</t>
        </is>
      </c>
      <c r="B874" s="1" t="n">
        <v>44530</v>
      </c>
      <c r="C874" s="1" t="n">
        <v>45662</v>
      </c>
      <c r="D874" t="inlineStr">
        <is>
          <t>VÄRMLANDS LÄN</t>
        </is>
      </c>
      <c r="E874" t="inlineStr">
        <is>
          <t>TORSBY</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69877-2021</t>
        </is>
      </c>
      <c r="B875" s="1" t="n">
        <v>44532</v>
      </c>
      <c r="C875" s="1" t="n">
        <v>45662</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69878-2021</t>
        </is>
      </c>
      <c r="B876" s="1" t="n">
        <v>44532</v>
      </c>
      <c r="C876" s="1" t="n">
        <v>45662</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70166-2021</t>
        </is>
      </c>
      <c r="B877" s="1" t="n">
        <v>44533</v>
      </c>
      <c r="C877" s="1" t="n">
        <v>45662</v>
      </c>
      <c r="D877" t="inlineStr">
        <is>
          <t>VÄRMLANDS LÄN</t>
        </is>
      </c>
      <c r="E877" t="inlineStr">
        <is>
          <t>TORSBY</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69974-2021</t>
        </is>
      </c>
      <c r="B878" s="1" t="n">
        <v>44533</v>
      </c>
      <c r="C878" s="1" t="n">
        <v>45662</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70241-2021</t>
        </is>
      </c>
      <c r="B879" s="1" t="n">
        <v>44536</v>
      </c>
      <c r="C879" s="1" t="n">
        <v>45662</v>
      </c>
      <c r="D879" t="inlineStr">
        <is>
          <t>VÄRMLANDS LÄN</t>
        </is>
      </c>
      <c r="E879" t="inlineStr">
        <is>
          <t>TORSBY</t>
        </is>
      </c>
      <c r="F879" t="inlineStr">
        <is>
          <t>Bergvik skog väst AB</t>
        </is>
      </c>
      <c r="G879" t="n">
        <v>0.4</v>
      </c>
      <c r="H879" t="n">
        <v>0</v>
      </c>
      <c r="I879" t="n">
        <v>0</v>
      </c>
      <c r="J879" t="n">
        <v>0</v>
      </c>
      <c r="K879" t="n">
        <v>0</v>
      </c>
      <c r="L879" t="n">
        <v>0</v>
      </c>
      <c r="M879" t="n">
        <v>0</v>
      </c>
      <c r="N879" t="n">
        <v>0</v>
      </c>
      <c r="O879" t="n">
        <v>0</v>
      </c>
      <c r="P879" t="n">
        <v>0</v>
      </c>
      <c r="Q879" t="n">
        <v>0</v>
      </c>
      <c r="R879" s="2" t="inlineStr"/>
    </row>
    <row r="880" ht="15" customHeight="1">
      <c r="A880" t="inlineStr">
        <is>
          <t>A 70253-2021</t>
        </is>
      </c>
      <c r="B880" s="1" t="n">
        <v>44536</v>
      </c>
      <c r="C880" s="1" t="n">
        <v>45662</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70658-2021</t>
        </is>
      </c>
      <c r="B881" s="1" t="n">
        <v>44537</v>
      </c>
      <c r="C881" s="1" t="n">
        <v>45662</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70787-2021</t>
        </is>
      </c>
      <c r="B882" s="1" t="n">
        <v>44537</v>
      </c>
      <c r="C882" s="1" t="n">
        <v>45662</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70775-2021</t>
        </is>
      </c>
      <c r="B883" s="1" t="n">
        <v>44537</v>
      </c>
      <c r="C883" s="1" t="n">
        <v>45662</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70785-2021</t>
        </is>
      </c>
      <c r="B884" s="1" t="n">
        <v>44537</v>
      </c>
      <c r="C884" s="1" t="n">
        <v>45662</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70978-2021</t>
        </is>
      </c>
      <c r="B885" s="1" t="n">
        <v>44537</v>
      </c>
      <c r="C885" s="1" t="n">
        <v>45662</v>
      </c>
      <c r="D885" t="inlineStr">
        <is>
          <t>VÄRMLANDS LÄN</t>
        </is>
      </c>
      <c r="E885" t="inlineStr">
        <is>
          <t>TORSBY</t>
        </is>
      </c>
      <c r="G885" t="n">
        <v>12.6</v>
      </c>
      <c r="H885" t="n">
        <v>0</v>
      </c>
      <c r="I885" t="n">
        <v>0</v>
      </c>
      <c r="J885" t="n">
        <v>0</v>
      </c>
      <c r="K885" t="n">
        <v>0</v>
      </c>
      <c r="L885" t="n">
        <v>0</v>
      </c>
      <c r="M885" t="n">
        <v>0</v>
      </c>
      <c r="N885" t="n">
        <v>0</v>
      </c>
      <c r="O885" t="n">
        <v>0</v>
      </c>
      <c r="P885" t="n">
        <v>0</v>
      </c>
      <c r="Q885" t="n">
        <v>0</v>
      </c>
      <c r="R885" s="2" t="inlineStr"/>
    </row>
    <row r="886" ht="15" customHeight="1">
      <c r="A886" t="inlineStr">
        <is>
          <t>A 70926-2021</t>
        </is>
      </c>
      <c r="B886" s="1" t="n">
        <v>44538</v>
      </c>
      <c r="C886" s="1" t="n">
        <v>45662</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70924-2021</t>
        </is>
      </c>
      <c r="B887" s="1" t="n">
        <v>44538</v>
      </c>
      <c r="C887" s="1" t="n">
        <v>45662</v>
      </c>
      <c r="D887" t="inlineStr">
        <is>
          <t>VÄRMLANDS LÄN</t>
        </is>
      </c>
      <c r="E887" t="inlineStr">
        <is>
          <t>TORSBY</t>
        </is>
      </c>
      <c r="G887" t="n">
        <v>3.8</v>
      </c>
      <c r="H887" t="n">
        <v>0</v>
      </c>
      <c r="I887" t="n">
        <v>0</v>
      </c>
      <c r="J887" t="n">
        <v>0</v>
      </c>
      <c r="K887" t="n">
        <v>0</v>
      </c>
      <c r="L887" t="n">
        <v>0</v>
      </c>
      <c r="M887" t="n">
        <v>0</v>
      </c>
      <c r="N887" t="n">
        <v>0</v>
      </c>
      <c r="O887" t="n">
        <v>0</v>
      </c>
      <c r="P887" t="n">
        <v>0</v>
      </c>
      <c r="Q887" t="n">
        <v>0</v>
      </c>
      <c r="R887" s="2" t="inlineStr"/>
    </row>
    <row r="888" ht="15" customHeight="1">
      <c r="A888" t="inlineStr">
        <is>
          <t>A 71255-2021</t>
        </is>
      </c>
      <c r="B888" s="1" t="n">
        <v>44538</v>
      </c>
      <c r="C888" s="1" t="n">
        <v>45662</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71084-2021</t>
        </is>
      </c>
      <c r="B889" s="1" t="n">
        <v>44539</v>
      </c>
      <c r="C889" s="1" t="n">
        <v>45662</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71469-2021</t>
        </is>
      </c>
      <c r="B890" s="1" t="n">
        <v>44540</v>
      </c>
      <c r="C890" s="1" t="n">
        <v>45662</v>
      </c>
      <c r="D890" t="inlineStr">
        <is>
          <t>VÄRMLANDS LÄN</t>
        </is>
      </c>
      <c r="E890" t="inlineStr">
        <is>
          <t>TORSBY</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71679-2021</t>
        </is>
      </c>
      <c r="B891" s="1" t="n">
        <v>44543</v>
      </c>
      <c r="C891" s="1" t="n">
        <v>45662</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71990-2021</t>
        </is>
      </c>
      <c r="B892" s="1" t="n">
        <v>44544</v>
      </c>
      <c r="C892" s="1" t="n">
        <v>45662</v>
      </c>
      <c r="D892" t="inlineStr">
        <is>
          <t>VÄRMLANDS LÄN</t>
        </is>
      </c>
      <c r="E892" t="inlineStr">
        <is>
          <t>TORSBY</t>
        </is>
      </c>
      <c r="G892" t="n">
        <v>4.6</v>
      </c>
      <c r="H892" t="n">
        <v>0</v>
      </c>
      <c r="I892" t="n">
        <v>0</v>
      </c>
      <c r="J892" t="n">
        <v>0</v>
      </c>
      <c r="K892" t="n">
        <v>0</v>
      </c>
      <c r="L892" t="n">
        <v>0</v>
      </c>
      <c r="M892" t="n">
        <v>0</v>
      </c>
      <c r="N892" t="n">
        <v>0</v>
      </c>
      <c r="O892" t="n">
        <v>0</v>
      </c>
      <c r="P892" t="n">
        <v>0</v>
      </c>
      <c r="Q892" t="n">
        <v>0</v>
      </c>
      <c r="R892" s="2" t="inlineStr"/>
    </row>
    <row r="893" ht="15" customHeight="1">
      <c r="A893" t="inlineStr">
        <is>
          <t>A 72200-2021</t>
        </is>
      </c>
      <c r="B893" s="1" t="n">
        <v>44544</v>
      </c>
      <c r="C893" s="1" t="n">
        <v>45662</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72250-2021</t>
        </is>
      </c>
      <c r="B894" s="1" t="n">
        <v>44544</v>
      </c>
      <c r="C894" s="1" t="n">
        <v>45662</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73055-2021</t>
        </is>
      </c>
      <c r="B895" s="1" t="n">
        <v>44550</v>
      </c>
      <c r="C895" s="1" t="n">
        <v>45662</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73324-2021</t>
        </is>
      </c>
      <c r="B896" s="1" t="n">
        <v>44550</v>
      </c>
      <c r="C896" s="1" t="n">
        <v>45662</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73165-2021</t>
        </is>
      </c>
      <c r="B897" s="1" t="n">
        <v>44550</v>
      </c>
      <c r="C897" s="1" t="n">
        <v>45662</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73442-2021</t>
        </is>
      </c>
      <c r="B898" s="1" t="n">
        <v>44551</v>
      </c>
      <c r="C898" s="1" t="n">
        <v>45662</v>
      </c>
      <c r="D898" t="inlineStr">
        <is>
          <t>VÄRMLANDS LÄN</t>
        </is>
      </c>
      <c r="E898" t="inlineStr">
        <is>
          <t>TORSBY</t>
        </is>
      </c>
      <c r="F898" t="inlineStr">
        <is>
          <t>Bergvik skog väst AB</t>
        </is>
      </c>
      <c r="G898" t="n">
        <v>4.1</v>
      </c>
      <c r="H898" t="n">
        <v>0</v>
      </c>
      <c r="I898" t="n">
        <v>0</v>
      </c>
      <c r="J898" t="n">
        <v>0</v>
      </c>
      <c r="K898" t="n">
        <v>0</v>
      </c>
      <c r="L898" t="n">
        <v>0</v>
      </c>
      <c r="M898" t="n">
        <v>0</v>
      </c>
      <c r="N898" t="n">
        <v>0</v>
      </c>
      <c r="O898" t="n">
        <v>0</v>
      </c>
      <c r="P898" t="n">
        <v>0</v>
      </c>
      <c r="Q898" t="n">
        <v>0</v>
      </c>
      <c r="R898" s="2" t="inlineStr"/>
    </row>
    <row r="899" ht="15" customHeight="1">
      <c r="A899" t="inlineStr">
        <is>
          <t>A 73553-2021</t>
        </is>
      </c>
      <c r="B899" s="1" t="n">
        <v>44551</v>
      </c>
      <c r="C899" s="1" t="n">
        <v>45662</v>
      </c>
      <c r="D899" t="inlineStr">
        <is>
          <t>VÄRMLANDS LÄN</t>
        </is>
      </c>
      <c r="E899" t="inlineStr">
        <is>
          <t>TORSBY</t>
        </is>
      </c>
      <c r="G899" t="n">
        <v>5.1</v>
      </c>
      <c r="H899" t="n">
        <v>0</v>
      </c>
      <c r="I899" t="n">
        <v>0</v>
      </c>
      <c r="J899" t="n">
        <v>0</v>
      </c>
      <c r="K899" t="n">
        <v>0</v>
      </c>
      <c r="L899" t="n">
        <v>0</v>
      </c>
      <c r="M899" t="n">
        <v>0</v>
      </c>
      <c r="N899" t="n">
        <v>0</v>
      </c>
      <c r="O899" t="n">
        <v>0</v>
      </c>
      <c r="P899" t="n">
        <v>0</v>
      </c>
      <c r="Q899" t="n">
        <v>0</v>
      </c>
      <c r="R899" s="2" t="inlineStr"/>
    </row>
    <row r="900" ht="15" customHeight="1">
      <c r="A900" t="inlineStr">
        <is>
          <t>A 73521-2021</t>
        </is>
      </c>
      <c r="B900" s="1" t="n">
        <v>44551</v>
      </c>
      <c r="C900" s="1" t="n">
        <v>45662</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73882-2021</t>
        </is>
      </c>
      <c r="B901" s="1" t="n">
        <v>44553</v>
      </c>
      <c r="C901" s="1" t="n">
        <v>45662</v>
      </c>
      <c r="D901" t="inlineStr">
        <is>
          <t>VÄRMLANDS LÄN</t>
        </is>
      </c>
      <c r="E901" t="inlineStr">
        <is>
          <t>TORSBY</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73874-2021</t>
        </is>
      </c>
      <c r="B902" s="1" t="n">
        <v>44553</v>
      </c>
      <c r="C902" s="1" t="n">
        <v>45662</v>
      </c>
      <c r="D902" t="inlineStr">
        <is>
          <t>VÄRMLANDS LÄN</t>
        </is>
      </c>
      <c r="E902" t="inlineStr">
        <is>
          <t>TORSBY</t>
        </is>
      </c>
      <c r="G902" t="n">
        <v>6.6</v>
      </c>
      <c r="H902" t="n">
        <v>0</v>
      </c>
      <c r="I902" t="n">
        <v>0</v>
      </c>
      <c r="J902" t="n">
        <v>0</v>
      </c>
      <c r="K902" t="n">
        <v>0</v>
      </c>
      <c r="L902" t="n">
        <v>0</v>
      </c>
      <c r="M902" t="n">
        <v>0</v>
      </c>
      <c r="N902" t="n">
        <v>0</v>
      </c>
      <c r="O902" t="n">
        <v>0</v>
      </c>
      <c r="P902" t="n">
        <v>0</v>
      </c>
      <c r="Q902" t="n">
        <v>0</v>
      </c>
      <c r="R902" s="2" t="inlineStr"/>
    </row>
    <row r="903" ht="15" customHeight="1">
      <c r="A903" t="inlineStr">
        <is>
          <t>A 74012-2021</t>
        </is>
      </c>
      <c r="B903" s="1" t="n">
        <v>44553</v>
      </c>
      <c r="C903" s="1" t="n">
        <v>45662</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74079-2021</t>
        </is>
      </c>
      <c r="B904" s="1" t="n">
        <v>44557</v>
      </c>
      <c r="C904" s="1" t="n">
        <v>45662</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74375-2021</t>
        </is>
      </c>
      <c r="B905" s="1" t="n">
        <v>44559</v>
      </c>
      <c r="C905" s="1" t="n">
        <v>45662</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74374-2021</t>
        </is>
      </c>
      <c r="B906" s="1" t="n">
        <v>44559</v>
      </c>
      <c r="C906" s="1" t="n">
        <v>45662</v>
      </c>
      <c r="D906" t="inlineStr">
        <is>
          <t>VÄRMLANDS LÄN</t>
        </is>
      </c>
      <c r="E906" t="inlineStr">
        <is>
          <t>TORSBY</t>
        </is>
      </c>
      <c r="G906" t="n">
        <v>4.8</v>
      </c>
      <c r="H906" t="n">
        <v>0</v>
      </c>
      <c r="I906" t="n">
        <v>0</v>
      </c>
      <c r="J906" t="n">
        <v>0</v>
      </c>
      <c r="K906" t="n">
        <v>0</v>
      </c>
      <c r="L906" t="n">
        <v>0</v>
      </c>
      <c r="M906" t="n">
        <v>0</v>
      </c>
      <c r="N906" t="n">
        <v>0</v>
      </c>
      <c r="O906" t="n">
        <v>0</v>
      </c>
      <c r="P906" t="n">
        <v>0</v>
      </c>
      <c r="Q906" t="n">
        <v>0</v>
      </c>
      <c r="R906" s="2" t="inlineStr"/>
    </row>
    <row r="907" ht="15" customHeight="1">
      <c r="A907" t="inlineStr">
        <is>
          <t>A 74351-2021</t>
        </is>
      </c>
      <c r="B907" s="1" t="n">
        <v>44559</v>
      </c>
      <c r="C907" s="1" t="n">
        <v>45662</v>
      </c>
      <c r="D907" t="inlineStr">
        <is>
          <t>VÄRMLANDS LÄN</t>
        </is>
      </c>
      <c r="E907" t="inlineStr">
        <is>
          <t>TORSBY</t>
        </is>
      </c>
      <c r="F907" t="inlineStr">
        <is>
          <t>Bergvik skog väst AB</t>
        </is>
      </c>
      <c r="G907" t="n">
        <v>9.1</v>
      </c>
      <c r="H907" t="n">
        <v>0</v>
      </c>
      <c r="I907" t="n">
        <v>0</v>
      </c>
      <c r="J907" t="n">
        <v>0</v>
      </c>
      <c r="K907" t="n">
        <v>0</v>
      </c>
      <c r="L907" t="n">
        <v>0</v>
      </c>
      <c r="M907" t="n">
        <v>0</v>
      </c>
      <c r="N907" t="n">
        <v>0</v>
      </c>
      <c r="O907" t="n">
        <v>0</v>
      </c>
      <c r="P907" t="n">
        <v>0</v>
      </c>
      <c r="Q907" t="n">
        <v>0</v>
      </c>
      <c r="R907" s="2" t="inlineStr"/>
    </row>
    <row r="908" ht="15" customHeight="1">
      <c r="A908" t="inlineStr">
        <is>
          <t>A 361-2022</t>
        </is>
      </c>
      <c r="B908" s="1" t="n">
        <v>44565</v>
      </c>
      <c r="C908" s="1" t="n">
        <v>45662</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739-2022</t>
        </is>
      </c>
      <c r="B909" s="1" t="n">
        <v>44568</v>
      </c>
      <c r="C909" s="1" t="n">
        <v>45662</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997-2022</t>
        </is>
      </c>
      <c r="B910" s="1" t="n">
        <v>44571</v>
      </c>
      <c r="C910" s="1" t="n">
        <v>45662</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1839-2022</t>
        </is>
      </c>
      <c r="B911" s="1" t="n">
        <v>44574</v>
      </c>
      <c r="C911" s="1" t="n">
        <v>45662</v>
      </c>
      <c r="D911" t="inlineStr">
        <is>
          <t>VÄRMLANDS LÄN</t>
        </is>
      </c>
      <c r="E911" t="inlineStr">
        <is>
          <t>TORSBY</t>
        </is>
      </c>
      <c r="G911" t="n">
        <v>5.3</v>
      </c>
      <c r="H911" t="n">
        <v>0</v>
      </c>
      <c r="I911" t="n">
        <v>0</v>
      </c>
      <c r="J911" t="n">
        <v>0</v>
      </c>
      <c r="K911" t="n">
        <v>0</v>
      </c>
      <c r="L911" t="n">
        <v>0</v>
      </c>
      <c r="M911" t="n">
        <v>0</v>
      </c>
      <c r="N911" t="n">
        <v>0</v>
      </c>
      <c r="O911" t="n">
        <v>0</v>
      </c>
      <c r="P911" t="n">
        <v>0</v>
      </c>
      <c r="Q911" t="n">
        <v>0</v>
      </c>
      <c r="R911" s="2" t="inlineStr"/>
    </row>
    <row r="912" ht="15" customHeight="1">
      <c r="A912" t="inlineStr">
        <is>
          <t>A 1911-2022</t>
        </is>
      </c>
      <c r="B912" s="1" t="n">
        <v>44575</v>
      </c>
      <c r="C912" s="1" t="n">
        <v>45662</v>
      </c>
      <c r="D912" t="inlineStr">
        <is>
          <t>VÄRMLANDS LÄN</t>
        </is>
      </c>
      <c r="E912" t="inlineStr">
        <is>
          <t>TORSBY</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2414-2022</t>
        </is>
      </c>
      <c r="B913" s="1" t="n">
        <v>44579</v>
      </c>
      <c r="C913" s="1" t="n">
        <v>45662</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2421-2022</t>
        </is>
      </c>
      <c r="B914" s="1" t="n">
        <v>44579</v>
      </c>
      <c r="C914" s="1" t="n">
        <v>45662</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2699-2022</t>
        </is>
      </c>
      <c r="B915" s="1" t="n">
        <v>44580</v>
      </c>
      <c r="C915" s="1" t="n">
        <v>45662</v>
      </c>
      <c r="D915" t="inlineStr">
        <is>
          <t>VÄRMLANDS LÄN</t>
        </is>
      </c>
      <c r="E915" t="inlineStr">
        <is>
          <t>TORSBY</t>
        </is>
      </c>
      <c r="G915" t="n">
        <v>0.4</v>
      </c>
      <c r="H915" t="n">
        <v>0</v>
      </c>
      <c r="I915" t="n">
        <v>0</v>
      </c>
      <c r="J915" t="n">
        <v>0</v>
      </c>
      <c r="K915" t="n">
        <v>0</v>
      </c>
      <c r="L915" t="n">
        <v>0</v>
      </c>
      <c r="M915" t="n">
        <v>0</v>
      </c>
      <c r="N915" t="n">
        <v>0</v>
      </c>
      <c r="O915" t="n">
        <v>0</v>
      </c>
      <c r="P915" t="n">
        <v>0</v>
      </c>
      <c r="Q915" t="n">
        <v>0</v>
      </c>
      <c r="R915" s="2" t="inlineStr"/>
    </row>
    <row r="916" ht="15" customHeight="1">
      <c r="A916" t="inlineStr">
        <is>
          <t>A 3071-2022</t>
        </is>
      </c>
      <c r="B916" s="1" t="n">
        <v>44582</v>
      </c>
      <c r="C916" s="1" t="n">
        <v>45662</v>
      </c>
      <c r="D916" t="inlineStr">
        <is>
          <t>VÄRMLANDS LÄN</t>
        </is>
      </c>
      <c r="E916" t="inlineStr">
        <is>
          <t>TORSBY</t>
        </is>
      </c>
      <c r="G916" t="n">
        <v>7.9</v>
      </c>
      <c r="H916" t="n">
        <v>0</v>
      </c>
      <c r="I916" t="n">
        <v>0</v>
      </c>
      <c r="J916" t="n">
        <v>0</v>
      </c>
      <c r="K916" t="n">
        <v>0</v>
      </c>
      <c r="L916" t="n">
        <v>0</v>
      </c>
      <c r="M916" t="n">
        <v>0</v>
      </c>
      <c r="N916" t="n">
        <v>0</v>
      </c>
      <c r="O916" t="n">
        <v>0</v>
      </c>
      <c r="P916" t="n">
        <v>0</v>
      </c>
      <c r="Q916" t="n">
        <v>0</v>
      </c>
      <c r="R916" s="2" t="inlineStr"/>
    </row>
    <row r="917" ht="15" customHeight="1">
      <c r="A917" t="inlineStr">
        <is>
          <t>A 3369-2022</t>
        </is>
      </c>
      <c r="B917" s="1" t="n">
        <v>44585</v>
      </c>
      <c r="C917" s="1" t="n">
        <v>45662</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3385-2022</t>
        </is>
      </c>
      <c r="B918" s="1" t="n">
        <v>44585</v>
      </c>
      <c r="C918" s="1" t="n">
        <v>45662</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3397-2022</t>
        </is>
      </c>
      <c r="B919" s="1" t="n">
        <v>44585</v>
      </c>
      <c r="C919" s="1" t="n">
        <v>45662</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3387-2022</t>
        </is>
      </c>
      <c r="B920" s="1" t="n">
        <v>44585</v>
      </c>
      <c r="C920" s="1" t="n">
        <v>45662</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3382-2022</t>
        </is>
      </c>
      <c r="B921" s="1" t="n">
        <v>44585</v>
      </c>
      <c r="C921" s="1" t="n">
        <v>45662</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3390-2022</t>
        </is>
      </c>
      <c r="B922" s="1" t="n">
        <v>44585</v>
      </c>
      <c r="C922" s="1" t="n">
        <v>45662</v>
      </c>
      <c r="D922" t="inlineStr">
        <is>
          <t>VÄRMLANDS LÄN</t>
        </is>
      </c>
      <c r="E922" t="inlineStr">
        <is>
          <t>TORSBY</t>
        </is>
      </c>
      <c r="G922" t="n">
        <v>4.3</v>
      </c>
      <c r="H922" t="n">
        <v>0</v>
      </c>
      <c r="I922" t="n">
        <v>0</v>
      </c>
      <c r="J922" t="n">
        <v>0</v>
      </c>
      <c r="K922" t="n">
        <v>0</v>
      </c>
      <c r="L922" t="n">
        <v>0</v>
      </c>
      <c r="M922" t="n">
        <v>0</v>
      </c>
      <c r="N922" t="n">
        <v>0</v>
      </c>
      <c r="O922" t="n">
        <v>0</v>
      </c>
      <c r="P922" t="n">
        <v>0</v>
      </c>
      <c r="Q922" t="n">
        <v>0</v>
      </c>
      <c r="R922" s="2" t="inlineStr"/>
    </row>
    <row r="923" ht="15" customHeight="1">
      <c r="A923" t="inlineStr">
        <is>
          <t>A 3393-2022</t>
        </is>
      </c>
      <c r="B923" s="1" t="n">
        <v>44585</v>
      </c>
      <c r="C923" s="1" t="n">
        <v>45662</v>
      </c>
      <c r="D923" t="inlineStr">
        <is>
          <t>VÄRMLANDS LÄN</t>
        </is>
      </c>
      <c r="E923" t="inlineStr">
        <is>
          <t>TORSBY</t>
        </is>
      </c>
      <c r="G923" t="n">
        <v>3.1</v>
      </c>
      <c r="H923" t="n">
        <v>0</v>
      </c>
      <c r="I923" t="n">
        <v>0</v>
      </c>
      <c r="J923" t="n">
        <v>0</v>
      </c>
      <c r="K923" t="n">
        <v>0</v>
      </c>
      <c r="L923" t="n">
        <v>0</v>
      </c>
      <c r="M923" t="n">
        <v>0</v>
      </c>
      <c r="N923" t="n">
        <v>0</v>
      </c>
      <c r="O923" t="n">
        <v>0</v>
      </c>
      <c r="P923" t="n">
        <v>0</v>
      </c>
      <c r="Q923" t="n">
        <v>0</v>
      </c>
      <c r="R923" s="2" t="inlineStr"/>
    </row>
    <row r="924" ht="15" customHeight="1">
      <c r="A924" t="inlineStr">
        <is>
          <t>A 3749-2022</t>
        </is>
      </c>
      <c r="B924" s="1" t="n">
        <v>44586</v>
      </c>
      <c r="C924" s="1" t="n">
        <v>45662</v>
      </c>
      <c r="D924" t="inlineStr">
        <is>
          <t>VÄRMLANDS LÄN</t>
        </is>
      </c>
      <c r="E924" t="inlineStr">
        <is>
          <t>TORSBY</t>
        </is>
      </c>
      <c r="G924" t="n">
        <v>6.3</v>
      </c>
      <c r="H924" t="n">
        <v>0</v>
      </c>
      <c r="I924" t="n">
        <v>0</v>
      </c>
      <c r="J924" t="n">
        <v>0</v>
      </c>
      <c r="K924" t="n">
        <v>0</v>
      </c>
      <c r="L924" t="n">
        <v>0</v>
      </c>
      <c r="M924" t="n">
        <v>0</v>
      </c>
      <c r="N924" t="n">
        <v>0</v>
      </c>
      <c r="O924" t="n">
        <v>0</v>
      </c>
      <c r="P924" t="n">
        <v>0</v>
      </c>
      <c r="Q924" t="n">
        <v>0</v>
      </c>
      <c r="R924" s="2" t="inlineStr"/>
    </row>
    <row r="925" ht="15" customHeight="1">
      <c r="A925" t="inlineStr">
        <is>
          <t>A 3841-2022</t>
        </is>
      </c>
      <c r="B925" s="1" t="n">
        <v>44587</v>
      </c>
      <c r="C925" s="1" t="n">
        <v>45662</v>
      </c>
      <c r="D925" t="inlineStr">
        <is>
          <t>VÄRMLANDS LÄN</t>
        </is>
      </c>
      <c r="E925" t="inlineStr">
        <is>
          <t>TORSBY</t>
        </is>
      </c>
      <c r="G925" t="n">
        <v>6.4</v>
      </c>
      <c r="H925" t="n">
        <v>0</v>
      </c>
      <c r="I925" t="n">
        <v>0</v>
      </c>
      <c r="J925" t="n">
        <v>0</v>
      </c>
      <c r="K925" t="n">
        <v>0</v>
      </c>
      <c r="L925" t="n">
        <v>0</v>
      </c>
      <c r="M925" t="n">
        <v>0</v>
      </c>
      <c r="N925" t="n">
        <v>0</v>
      </c>
      <c r="O925" t="n">
        <v>0</v>
      </c>
      <c r="P925" t="n">
        <v>0</v>
      </c>
      <c r="Q925" t="n">
        <v>0</v>
      </c>
      <c r="R925" s="2" t="inlineStr"/>
    </row>
    <row r="926" ht="15" customHeight="1">
      <c r="A926" t="inlineStr">
        <is>
          <t>A 3887-2022</t>
        </is>
      </c>
      <c r="B926" s="1" t="n">
        <v>44587</v>
      </c>
      <c r="C926" s="1" t="n">
        <v>45662</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4172-2022</t>
        </is>
      </c>
      <c r="B927" s="1" t="n">
        <v>44588</v>
      </c>
      <c r="C927" s="1" t="n">
        <v>45662</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4557-2022</t>
        </is>
      </c>
      <c r="B928" s="1" t="n">
        <v>44591</v>
      </c>
      <c r="C928" s="1" t="n">
        <v>45662</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4640-2022</t>
        </is>
      </c>
      <c r="B929" s="1" t="n">
        <v>44592</v>
      </c>
      <c r="C929" s="1" t="n">
        <v>45662</v>
      </c>
      <c r="D929" t="inlineStr">
        <is>
          <t>VÄRMLANDS LÄN</t>
        </is>
      </c>
      <c r="E929" t="inlineStr">
        <is>
          <t>TORSBY</t>
        </is>
      </c>
      <c r="G929" t="n">
        <v>9</v>
      </c>
      <c r="H929" t="n">
        <v>0</v>
      </c>
      <c r="I929" t="n">
        <v>0</v>
      </c>
      <c r="J929" t="n">
        <v>0</v>
      </c>
      <c r="K929" t="n">
        <v>0</v>
      </c>
      <c r="L929" t="n">
        <v>0</v>
      </c>
      <c r="M929" t="n">
        <v>0</v>
      </c>
      <c r="N929" t="n">
        <v>0</v>
      </c>
      <c r="O929" t="n">
        <v>0</v>
      </c>
      <c r="P929" t="n">
        <v>0</v>
      </c>
      <c r="Q929" t="n">
        <v>0</v>
      </c>
      <c r="R929" s="2" t="inlineStr"/>
    </row>
    <row r="930" ht="15" customHeight="1">
      <c r="A930" t="inlineStr">
        <is>
          <t>A 4967-2022</t>
        </is>
      </c>
      <c r="B930" s="1" t="n">
        <v>44593</v>
      </c>
      <c r="C930" s="1" t="n">
        <v>45662</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4960-2022</t>
        </is>
      </c>
      <c r="B931" s="1" t="n">
        <v>44593</v>
      </c>
      <c r="C931" s="1" t="n">
        <v>45662</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5040-2022</t>
        </is>
      </c>
      <c r="B932" s="1" t="n">
        <v>44593</v>
      </c>
      <c r="C932" s="1" t="n">
        <v>45662</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5015-2022</t>
        </is>
      </c>
      <c r="B933" s="1" t="n">
        <v>44593</v>
      </c>
      <c r="C933" s="1" t="n">
        <v>45662</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5289-2022</t>
        </is>
      </c>
      <c r="B934" s="1" t="n">
        <v>44594</v>
      </c>
      <c r="C934" s="1" t="n">
        <v>45662</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6438-2022</t>
        </is>
      </c>
      <c r="B935" s="1" t="n">
        <v>44601</v>
      </c>
      <c r="C935" s="1" t="n">
        <v>45662</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7091-2022</t>
        </is>
      </c>
      <c r="B936" s="1" t="n">
        <v>44603</v>
      </c>
      <c r="C936" s="1" t="n">
        <v>45662</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7069-2022</t>
        </is>
      </c>
      <c r="B937" s="1" t="n">
        <v>44603</v>
      </c>
      <c r="C937" s="1" t="n">
        <v>45662</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7544-2022</t>
        </is>
      </c>
      <c r="B938" s="1" t="n">
        <v>44607</v>
      </c>
      <c r="C938" s="1" t="n">
        <v>45662</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7543-2022</t>
        </is>
      </c>
      <c r="B939" s="1" t="n">
        <v>44607</v>
      </c>
      <c r="C939" s="1" t="n">
        <v>45662</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7921-2022</t>
        </is>
      </c>
      <c r="B940" s="1" t="n">
        <v>44608</v>
      </c>
      <c r="C940" s="1" t="n">
        <v>45662</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8048-2022</t>
        </is>
      </c>
      <c r="B941" s="1" t="n">
        <v>44609</v>
      </c>
      <c r="C941" s="1" t="n">
        <v>45662</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8054-2022</t>
        </is>
      </c>
      <c r="B942" s="1" t="n">
        <v>44609</v>
      </c>
      <c r="C942" s="1" t="n">
        <v>45662</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8033-2022</t>
        </is>
      </c>
      <c r="B943" s="1" t="n">
        <v>44609</v>
      </c>
      <c r="C943" s="1" t="n">
        <v>45662</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8739-2022</t>
        </is>
      </c>
      <c r="B944" s="1" t="n">
        <v>44615</v>
      </c>
      <c r="C944" s="1" t="n">
        <v>45662</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9057-2022</t>
        </is>
      </c>
      <c r="B945" s="1" t="n">
        <v>44615</v>
      </c>
      <c r="C945" s="1" t="n">
        <v>45662</v>
      </c>
      <c r="D945" t="inlineStr">
        <is>
          <t>VÄRMLANDS LÄN</t>
        </is>
      </c>
      <c r="E945" t="inlineStr">
        <is>
          <t>TORSBY</t>
        </is>
      </c>
      <c r="G945" t="n">
        <v>2.9</v>
      </c>
      <c r="H945" t="n">
        <v>0</v>
      </c>
      <c r="I945" t="n">
        <v>0</v>
      </c>
      <c r="J945" t="n">
        <v>0</v>
      </c>
      <c r="K945" t="n">
        <v>0</v>
      </c>
      <c r="L945" t="n">
        <v>0</v>
      </c>
      <c r="M945" t="n">
        <v>0</v>
      </c>
      <c r="N945" t="n">
        <v>0</v>
      </c>
      <c r="O945" t="n">
        <v>0</v>
      </c>
      <c r="P945" t="n">
        <v>0</v>
      </c>
      <c r="Q945" t="n">
        <v>0</v>
      </c>
      <c r="R945" s="2" t="inlineStr"/>
    </row>
    <row r="946" ht="15" customHeight="1">
      <c r="A946" t="inlineStr">
        <is>
          <t>A 10608-2022</t>
        </is>
      </c>
      <c r="B946" s="1" t="n">
        <v>44624</v>
      </c>
      <c r="C946" s="1" t="n">
        <v>45662</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11050-2022</t>
        </is>
      </c>
      <c r="B947" s="1" t="n">
        <v>44628</v>
      </c>
      <c r="C947" s="1" t="n">
        <v>45662</v>
      </c>
      <c r="D947" t="inlineStr">
        <is>
          <t>VÄRMLANDS LÄN</t>
        </is>
      </c>
      <c r="E947" t="inlineStr">
        <is>
          <t>TORSBY</t>
        </is>
      </c>
      <c r="G947" t="n">
        <v>4.9</v>
      </c>
      <c r="H947" t="n">
        <v>0</v>
      </c>
      <c r="I947" t="n">
        <v>0</v>
      </c>
      <c r="J947" t="n">
        <v>0</v>
      </c>
      <c r="K947" t="n">
        <v>0</v>
      </c>
      <c r="L947" t="n">
        <v>0</v>
      </c>
      <c r="M947" t="n">
        <v>0</v>
      </c>
      <c r="N947" t="n">
        <v>0</v>
      </c>
      <c r="O947" t="n">
        <v>0</v>
      </c>
      <c r="P947" t="n">
        <v>0</v>
      </c>
      <c r="Q947" t="n">
        <v>0</v>
      </c>
      <c r="R947" s="2" t="inlineStr"/>
    </row>
    <row r="948" ht="15" customHeight="1">
      <c r="A948" t="inlineStr">
        <is>
          <t>A 11447-2022</t>
        </is>
      </c>
      <c r="B948" s="1" t="n">
        <v>44630</v>
      </c>
      <c r="C948" s="1" t="n">
        <v>45662</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11665-2022</t>
        </is>
      </c>
      <c r="B949" s="1" t="n">
        <v>44632</v>
      </c>
      <c r="C949" s="1" t="n">
        <v>45662</v>
      </c>
      <c r="D949" t="inlineStr">
        <is>
          <t>VÄRMLANDS LÄN</t>
        </is>
      </c>
      <c r="E949" t="inlineStr">
        <is>
          <t>TORSBY</t>
        </is>
      </c>
      <c r="G949" t="n">
        <v>4.1</v>
      </c>
      <c r="H949" t="n">
        <v>0</v>
      </c>
      <c r="I949" t="n">
        <v>0</v>
      </c>
      <c r="J949" t="n">
        <v>0</v>
      </c>
      <c r="K949" t="n">
        <v>0</v>
      </c>
      <c r="L949" t="n">
        <v>0</v>
      </c>
      <c r="M949" t="n">
        <v>0</v>
      </c>
      <c r="N949" t="n">
        <v>0</v>
      </c>
      <c r="O949" t="n">
        <v>0</v>
      </c>
      <c r="P949" t="n">
        <v>0</v>
      </c>
      <c r="Q949" t="n">
        <v>0</v>
      </c>
      <c r="R949" s="2" t="inlineStr"/>
    </row>
    <row r="950" ht="15" customHeight="1">
      <c r="A950" t="inlineStr">
        <is>
          <t>A 11667-2022</t>
        </is>
      </c>
      <c r="B950" s="1" t="n">
        <v>44632</v>
      </c>
      <c r="C950" s="1" t="n">
        <v>45662</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11664-2022</t>
        </is>
      </c>
      <c r="B951" s="1" t="n">
        <v>44632</v>
      </c>
      <c r="C951" s="1" t="n">
        <v>45662</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11666-2022</t>
        </is>
      </c>
      <c r="B952" s="1" t="n">
        <v>44632</v>
      </c>
      <c r="C952" s="1" t="n">
        <v>45662</v>
      </c>
      <c r="D952" t="inlineStr">
        <is>
          <t>VÄRMLANDS LÄN</t>
        </is>
      </c>
      <c r="E952" t="inlineStr">
        <is>
          <t>TORSBY</t>
        </is>
      </c>
      <c r="G952" t="n">
        <v>3.6</v>
      </c>
      <c r="H952" t="n">
        <v>0</v>
      </c>
      <c r="I952" t="n">
        <v>0</v>
      </c>
      <c r="J952" t="n">
        <v>0</v>
      </c>
      <c r="K952" t="n">
        <v>0</v>
      </c>
      <c r="L952" t="n">
        <v>0</v>
      </c>
      <c r="M952" t="n">
        <v>0</v>
      </c>
      <c r="N952" t="n">
        <v>0</v>
      </c>
      <c r="O952" t="n">
        <v>0</v>
      </c>
      <c r="P952" t="n">
        <v>0</v>
      </c>
      <c r="Q952" t="n">
        <v>0</v>
      </c>
      <c r="R952" s="2" t="inlineStr"/>
    </row>
    <row r="953" ht="15" customHeight="1">
      <c r="A953" t="inlineStr">
        <is>
          <t>A 11922-2022</t>
        </is>
      </c>
      <c r="B953" s="1" t="n">
        <v>44635</v>
      </c>
      <c r="C953" s="1" t="n">
        <v>45662</v>
      </c>
      <c r="D953" t="inlineStr">
        <is>
          <t>VÄRMLANDS LÄN</t>
        </is>
      </c>
      <c r="E953" t="inlineStr">
        <is>
          <t>TORSBY</t>
        </is>
      </c>
      <c r="G953" t="n">
        <v>2.6</v>
      </c>
      <c r="H953" t="n">
        <v>0</v>
      </c>
      <c r="I953" t="n">
        <v>0</v>
      </c>
      <c r="J953" t="n">
        <v>0</v>
      </c>
      <c r="K953" t="n">
        <v>0</v>
      </c>
      <c r="L953" t="n">
        <v>0</v>
      </c>
      <c r="M953" t="n">
        <v>0</v>
      </c>
      <c r="N953" t="n">
        <v>0</v>
      </c>
      <c r="O953" t="n">
        <v>0</v>
      </c>
      <c r="P953" t="n">
        <v>0</v>
      </c>
      <c r="Q953" t="n">
        <v>0</v>
      </c>
      <c r="R953" s="2" t="inlineStr"/>
    </row>
    <row r="954" ht="15" customHeight="1">
      <c r="A954" t="inlineStr">
        <is>
          <t>A 11918-2022</t>
        </is>
      </c>
      <c r="B954" s="1" t="n">
        <v>44635</v>
      </c>
      <c r="C954" s="1" t="n">
        <v>45662</v>
      </c>
      <c r="D954" t="inlineStr">
        <is>
          <t>VÄRMLANDS LÄN</t>
        </is>
      </c>
      <c r="E954" t="inlineStr">
        <is>
          <t>TORSBY</t>
        </is>
      </c>
      <c r="G954" t="n">
        <v>6.4</v>
      </c>
      <c r="H954" t="n">
        <v>0</v>
      </c>
      <c r="I954" t="n">
        <v>0</v>
      </c>
      <c r="J954" t="n">
        <v>0</v>
      </c>
      <c r="K954" t="n">
        <v>0</v>
      </c>
      <c r="L954" t="n">
        <v>0</v>
      </c>
      <c r="M954" t="n">
        <v>0</v>
      </c>
      <c r="N954" t="n">
        <v>0</v>
      </c>
      <c r="O954" t="n">
        <v>0</v>
      </c>
      <c r="P954" t="n">
        <v>0</v>
      </c>
      <c r="Q954" t="n">
        <v>0</v>
      </c>
      <c r="R954" s="2" t="inlineStr"/>
    </row>
    <row r="955" ht="15" customHeight="1">
      <c r="A955" t="inlineStr">
        <is>
          <t>A 12310-2022</t>
        </is>
      </c>
      <c r="B955" s="1" t="n">
        <v>44636</v>
      </c>
      <c r="C955" s="1" t="n">
        <v>45662</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12365-2022</t>
        </is>
      </c>
      <c r="B956" s="1" t="n">
        <v>44637</v>
      </c>
      <c r="C956" s="1" t="n">
        <v>45662</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13207-2022</t>
        </is>
      </c>
      <c r="B957" s="1" t="n">
        <v>44644</v>
      </c>
      <c r="C957" s="1" t="n">
        <v>45662</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13698-2022</t>
        </is>
      </c>
      <c r="B958" s="1" t="n">
        <v>44648</v>
      </c>
      <c r="C958" s="1" t="n">
        <v>45662</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13896-2022</t>
        </is>
      </c>
      <c r="B959" s="1" t="n">
        <v>44650</v>
      </c>
      <c r="C959" s="1" t="n">
        <v>45662</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14145-2022</t>
        </is>
      </c>
      <c r="B960" s="1" t="n">
        <v>44651</v>
      </c>
      <c r="C960" s="1" t="n">
        <v>45662</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14168-2022</t>
        </is>
      </c>
      <c r="B961" s="1" t="n">
        <v>44651</v>
      </c>
      <c r="C961" s="1" t="n">
        <v>45662</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14320-2022</t>
        </is>
      </c>
      <c r="B962" s="1" t="n">
        <v>44652</v>
      </c>
      <c r="C962" s="1" t="n">
        <v>45662</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15461-2022</t>
        </is>
      </c>
      <c r="B963" s="1" t="n">
        <v>44661</v>
      </c>
      <c r="C963" s="1" t="n">
        <v>45662</v>
      </c>
      <c r="D963" t="inlineStr">
        <is>
          <t>VÄRMLANDS LÄN</t>
        </is>
      </c>
      <c r="E963" t="inlineStr">
        <is>
          <t>TORSBY</t>
        </is>
      </c>
      <c r="G963" t="n">
        <v>13.1</v>
      </c>
      <c r="H963" t="n">
        <v>0</v>
      </c>
      <c r="I963" t="n">
        <v>0</v>
      </c>
      <c r="J963" t="n">
        <v>0</v>
      </c>
      <c r="K963" t="n">
        <v>0</v>
      </c>
      <c r="L963" t="n">
        <v>0</v>
      </c>
      <c r="M963" t="n">
        <v>0</v>
      </c>
      <c r="N963" t="n">
        <v>0</v>
      </c>
      <c r="O963" t="n">
        <v>0</v>
      </c>
      <c r="P963" t="n">
        <v>0</v>
      </c>
      <c r="Q963" t="n">
        <v>0</v>
      </c>
      <c r="R963" s="2" t="inlineStr"/>
    </row>
    <row r="964" ht="15" customHeight="1">
      <c r="A964" t="inlineStr">
        <is>
          <t>A 15460-2022</t>
        </is>
      </c>
      <c r="B964" s="1" t="n">
        <v>44661</v>
      </c>
      <c r="C964" s="1" t="n">
        <v>45662</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16080-2022</t>
        </is>
      </c>
      <c r="B965" s="1" t="n">
        <v>44665</v>
      </c>
      <c r="C965" s="1" t="n">
        <v>45662</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16010-2022</t>
        </is>
      </c>
      <c r="B966" s="1" t="n">
        <v>44665</v>
      </c>
      <c r="C966" s="1" t="n">
        <v>45662</v>
      </c>
      <c r="D966" t="inlineStr">
        <is>
          <t>VÄRMLANDS LÄN</t>
        </is>
      </c>
      <c r="E966" t="inlineStr">
        <is>
          <t>TORSBY</t>
        </is>
      </c>
      <c r="F966" t="inlineStr">
        <is>
          <t>Bergvik skog väst AB</t>
        </is>
      </c>
      <c r="G966" t="n">
        <v>18.7</v>
      </c>
      <c r="H966" t="n">
        <v>0</v>
      </c>
      <c r="I966" t="n">
        <v>0</v>
      </c>
      <c r="J966" t="n">
        <v>0</v>
      </c>
      <c r="K966" t="n">
        <v>0</v>
      </c>
      <c r="L966" t="n">
        <v>0</v>
      </c>
      <c r="M966" t="n">
        <v>0</v>
      </c>
      <c r="N966" t="n">
        <v>0</v>
      </c>
      <c r="O966" t="n">
        <v>0</v>
      </c>
      <c r="P966" t="n">
        <v>0</v>
      </c>
      <c r="Q966" t="n">
        <v>0</v>
      </c>
      <c r="R966" s="2" t="inlineStr"/>
    </row>
    <row r="967" ht="15" customHeight="1">
      <c r="A967" t="inlineStr">
        <is>
          <t>A 16425-2022</t>
        </is>
      </c>
      <c r="B967" s="1" t="n">
        <v>44671</v>
      </c>
      <c r="C967" s="1" t="n">
        <v>45662</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16498-2022</t>
        </is>
      </c>
      <c r="B968" s="1" t="n">
        <v>44671</v>
      </c>
      <c r="C968" s="1" t="n">
        <v>45662</v>
      </c>
      <c r="D968" t="inlineStr">
        <is>
          <t>VÄRMLANDS LÄN</t>
        </is>
      </c>
      <c r="E968" t="inlineStr">
        <is>
          <t>TORSBY</t>
        </is>
      </c>
      <c r="F968" t="inlineStr">
        <is>
          <t>Kommuner</t>
        </is>
      </c>
      <c r="G968" t="n">
        <v>1</v>
      </c>
      <c r="H968" t="n">
        <v>0</v>
      </c>
      <c r="I968" t="n">
        <v>0</v>
      </c>
      <c r="J968" t="n">
        <v>0</v>
      </c>
      <c r="K968" t="n">
        <v>0</v>
      </c>
      <c r="L968" t="n">
        <v>0</v>
      </c>
      <c r="M968" t="n">
        <v>0</v>
      </c>
      <c r="N968" t="n">
        <v>0</v>
      </c>
      <c r="O968" t="n">
        <v>0</v>
      </c>
      <c r="P968" t="n">
        <v>0</v>
      </c>
      <c r="Q968" t="n">
        <v>0</v>
      </c>
      <c r="R968" s="2" t="inlineStr"/>
    </row>
    <row r="969" ht="15" customHeight="1">
      <c r="A969" t="inlineStr">
        <is>
          <t>A 17765-2022</t>
        </is>
      </c>
      <c r="B969" s="1" t="n">
        <v>44681</v>
      </c>
      <c r="C969" s="1" t="n">
        <v>45662</v>
      </c>
      <c r="D969" t="inlineStr">
        <is>
          <t>VÄRMLANDS LÄN</t>
        </is>
      </c>
      <c r="E969" t="inlineStr">
        <is>
          <t>TORSBY</t>
        </is>
      </c>
      <c r="G969" t="n">
        <v>1.2</v>
      </c>
      <c r="H969" t="n">
        <v>0</v>
      </c>
      <c r="I969" t="n">
        <v>0</v>
      </c>
      <c r="J969" t="n">
        <v>0</v>
      </c>
      <c r="K969" t="n">
        <v>0</v>
      </c>
      <c r="L969" t="n">
        <v>0</v>
      </c>
      <c r="M969" t="n">
        <v>0</v>
      </c>
      <c r="N969" t="n">
        <v>0</v>
      </c>
      <c r="O969" t="n">
        <v>0</v>
      </c>
      <c r="P969" t="n">
        <v>0</v>
      </c>
      <c r="Q969" t="n">
        <v>0</v>
      </c>
      <c r="R969" s="2" t="inlineStr"/>
    </row>
    <row r="970" ht="15" customHeight="1">
      <c r="A970" t="inlineStr">
        <is>
          <t>A 18101-2022</t>
        </is>
      </c>
      <c r="B970" s="1" t="n">
        <v>44684</v>
      </c>
      <c r="C970" s="1" t="n">
        <v>45662</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18105-2022</t>
        </is>
      </c>
      <c r="B971" s="1" t="n">
        <v>44684</v>
      </c>
      <c r="C971" s="1" t="n">
        <v>45662</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18099-2022</t>
        </is>
      </c>
      <c r="B972" s="1" t="n">
        <v>44684</v>
      </c>
      <c r="C972" s="1" t="n">
        <v>45662</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18347-2022</t>
        </is>
      </c>
      <c r="B973" s="1" t="n">
        <v>44685</v>
      </c>
      <c r="C973" s="1" t="n">
        <v>45662</v>
      </c>
      <c r="D973" t="inlineStr">
        <is>
          <t>VÄRMLANDS LÄN</t>
        </is>
      </c>
      <c r="E973" t="inlineStr">
        <is>
          <t>TORSBY</t>
        </is>
      </c>
      <c r="F973" t="inlineStr">
        <is>
          <t>Bergvik skog väst AB</t>
        </is>
      </c>
      <c r="G973" t="n">
        <v>14.6</v>
      </c>
      <c r="H973" t="n">
        <v>0</v>
      </c>
      <c r="I973" t="n">
        <v>0</v>
      </c>
      <c r="J973" t="n">
        <v>0</v>
      </c>
      <c r="K973" t="n">
        <v>0</v>
      </c>
      <c r="L973" t="n">
        <v>0</v>
      </c>
      <c r="M973" t="n">
        <v>0</v>
      </c>
      <c r="N973" t="n">
        <v>0</v>
      </c>
      <c r="O973" t="n">
        <v>0</v>
      </c>
      <c r="P973" t="n">
        <v>0</v>
      </c>
      <c r="Q973" t="n">
        <v>0</v>
      </c>
      <c r="R973" s="2" t="inlineStr"/>
    </row>
    <row r="974" ht="15" customHeight="1">
      <c r="A974" t="inlineStr">
        <is>
          <t>A 18628-2022</t>
        </is>
      </c>
      <c r="B974" s="1" t="n">
        <v>44687</v>
      </c>
      <c r="C974" s="1" t="n">
        <v>45662</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18779-2022</t>
        </is>
      </c>
      <c r="B975" s="1" t="n">
        <v>44689</v>
      </c>
      <c r="C975" s="1" t="n">
        <v>45662</v>
      </c>
      <c r="D975" t="inlineStr">
        <is>
          <t>VÄRMLANDS LÄN</t>
        </is>
      </c>
      <c r="E975" t="inlineStr">
        <is>
          <t>TORSBY</t>
        </is>
      </c>
      <c r="G975" t="n">
        <v>5.1</v>
      </c>
      <c r="H975" t="n">
        <v>0</v>
      </c>
      <c r="I975" t="n">
        <v>0</v>
      </c>
      <c r="J975" t="n">
        <v>0</v>
      </c>
      <c r="K975" t="n">
        <v>0</v>
      </c>
      <c r="L975" t="n">
        <v>0</v>
      </c>
      <c r="M975" t="n">
        <v>0</v>
      </c>
      <c r="N975" t="n">
        <v>0</v>
      </c>
      <c r="O975" t="n">
        <v>0</v>
      </c>
      <c r="P975" t="n">
        <v>0</v>
      </c>
      <c r="Q975" t="n">
        <v>0</v>
      </c>
      <c r="R975" s="2" t="inlineStr"/>
    </row>
    <row r="976" ht="15" customHeight="1">
      <c r="A976" t="inlineStr">
        <is>
          <t>A 18897-2022</t>
        </is>
      </c>
      <c r="B976" s="1" t="n">
        <v>44690</v>
      </c>
      <c r="C976" s="1" t="n">
        <v>45662</v>
      </c>
      <c r="D976" t="inlineStr">
        <is>
          <t>VÄRMLANDS LÄN</t>
        </is>
      </c>
      <c r="E976" t="inlineStr">
        <is>
          <t>TORSBY</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18877-2022</t>
        </is>
      </c>
      <c r="B977" s="1" t="n">
        <v>44690</v>
      </c>
      <c r="C977" s="1" t="n">
        <v>45662</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18903-2022</t>
        </is>
      </c>
      <c r="B978" s="1" t="n">
        <v>44690</v>
      </c>
      <c r="C978" s="1" t="n">
        <v>45662</v>
      </c>
      <c r="D978" t="inlineStr">
        <is>
          <t>VÄRMLANDS LÄN</t>
        </is>
      </c>
      <c r="E978" t="inlineStr">
        <is>
          <t>TORSBY</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19171-2022</t>
        </is>
      </c>
      <c r="B979" s="1" t="n">
        <v>44691</v>
      </c>
      <c r="C979" s="1" t="n">
        <v>45662</v>
      </c>
      <c r="D979" t="inlineStr">
        <is>
          <t>VÄRMLANDS LÄN</t>
        </is>
      </c>
      <c r="E979" t="inlineStr">
        <is>
          <t>TORSBY</t>
        </is>
      </c>
      <c r="F979" t="inlineStr">
        <is>
          <t>Bergvik skog väst AB</t>
        </is>
      </c>
      <c r="G979" t="n">
        <v>23.3</v>
      </c>
      <c r="H979" t="n">
        <v>0</v>
      </c>
      <c r="I979" t="n">
        <v>0</v>
      </c>
      <c r="J979" t="n">
        <v>0</v>
      </c>
      <c r="K979" t="n">
        <v>0</v>
      </c>
      <c r="L979" t="n">
        <v>0</v>
      </c>
      <c r="M979" t="n">
        <v>0</v>
      </c>
      <c r="N979" t="n">
        <v>0</v>
      </c>
      <c r="O979" t="n">
        <v>0</v>
      </c>
      <c r="P979" t="n">
        <v>0</v>
      </c>
      <c r="Q979" t="n">
        <v>0</v>
      </c>
      <c r="R979" s="2" t="inlineStr"/>
    </row>
    <row r="980" ht="15" customHeight="1">
      <c r="A980" t="inlineStr">
        <is>
          <t>A 19307-2022</t>
        </is>
      </c>
      <c r="B980" s="1" t="n">
        <v>44692</v>
      </c>
      <c r="C980" s="1" t="n">
        <v>45662</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19489-2022</t>
        </is>
      </c>
      <c r="B981" s="1" t="n">
        <v>44693</v>
      </c>
      <c r="C981" s="1" t="n">
        <v>45662</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19632-2022</t>
        </is>
      </c>
      <c r="B982" s="1" t="n">
        <v>44694</v>
      </c>
      <c r="C982" s="1" t="n">
        <v>45662</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19614-2022</t>
        </is>
      </c>
      <c r="B983" s="1" t="n">
        <v>44694</v>
      </c>
      <c r="C983" s="1" t="n">
        <v>45662</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20045-2022</t>
        </is>
      </c>
      <c r="B984" s="1" t="n">
        <v>44697</v>
      </c>
      <c r="C984" s="1" t="n">
        <v>45662</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20046-2022</t>
        </is>
      </c>
      <c r="B985" s="1" t="n">
        <v>44697</v>
      </c>
      <c r="C985" s="1" t="n">
        <v>45662</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20009-2022</t>
        </is>
      </c>
      <c r="B986" s="1" t="n">
        <v>44697</v>
      </c>
      <c r="C986" s="1" t="n">
        <v>45662</v>
      </c>
      <c r="D986" t="inlineStr">
        <is>
          <t>VÄRMLANDS LÄN</t>
        </is>
      </c>
      <c r="E986" t="inlineStr">
        <is>
          <t>TORSBY</t>
        </is>
      </c>
      <c r="G986" t="n">
        <v>14.4</v>
      </c>
      <c r="H986" t="n">
        <v>0</v>
      </c>
      <c r="I986" t="n">
        <v>0</v>
      </c>
      <c r="J986" t="n">
        <v>0</v>
      </c>
      <c r="K986" t="n">
        <v>0</v>
      </c>
      <c r="L986" t="n">
        <v>0</v>
      </c>
      <c r="M986" t="n">
        <v>0</v>
      </c>
      <c r="N986" t="n">
        <v>0</v>
      </c>
      <c r="O986" t="n">
        <v>0</v>
      </c>
      <c r="P986" t="n">
        <v>0</v>
      </c>
      <c r="Q986" t="n">
        <v>0</v>
      </c>
      <c r="R986" s="2" t="inlineStr"/>
    </row>
    <row r="987" ht="15" customHeight="1">
      <c r="A987" t="inlineStr">
        <is>
          <t>A 20168-2022</t>
        </is>
      </c>
      <c r="B987" s="1" t="n">
        <v>44698</v>
      </c>
      <c r="C987" s="1" t="n">
        <v>45662</v>
      </c>
      <c r="D987" t="inlineStr">
        <is>
          <t>VÄRMLANDS LÄN</t>
        </is>
      </c>
      <c r="E987" t="inlineStr">
        <is>
          <t>TORSBY</t>
        </is>
      </c>
      <c r="G987" t="n">
        <v>6.6</v>
      </c>
      <c r="H987" t="n">
        <v>0</v>
      </c>
      <c r="I987" t="n">
        <v>0</v>
      </c>
      <c r="J987" t="n">
        <v>0</v>
      </c>
      <c r="K987" t="n">
        <v>0</v>
      </c>
      <c r="L987" t="n">
        <v>0</v>
      </c>
      <c r="M987" t="n">
        <v>0</v>
      </c>
      <c r="N987" t="n">
        <v>0</v>
      </c>
      <c r="O987" t="n">
        <v>0</v>
      </c>
      <c r="P987" t="n">
        <v>0</v>
      </c>
      <c r="Q987" t="n">
        <v>0</v>
      </c>
      <c r="R987" s="2" t="inlineStr"/>
    </row>
    <row r="988" ht="15" customHeight="1">
      <c r="A988" t="inlineStr">
        <is>
          <t>A 20175-2022</t>
        </is>
      </c>
      <c r="B988" s="1" t="n">
        <v>44698</v>
      </c>
      <c r="C988" s="1" t="n">
        <v>45662</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45662</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20382-2022</t>
        </is>
      </c>
      <c r="B990" s="1" t="n">
        <v>44699</v>
      </c>
      <c r="C990" s="1" t="n">
        <v>45662</v>
      </c>
      <c r="D990" t="inlineStr">
        <is>
          <t>VÄRMLANDS LÄN</t>
        </is>
      </c>
      <c r="E990" t="inlineStr">
        <is>
          <t>TORSBY</t>
        </is>
      </c>
      <c r="G990" t="n">
        <v>14.3</v>
      </c>
      <c r="H990" t="n">
        <v>0</v>
      </c>
      <c r="I990" t="n">
        <v>0</v>
      </c>
      <c r="J990" t="n">
        <v>0</v>
      </c>
      <c r="K990" t="n">
        <v>0</v>
      </c>
      <c r="L990" t="n">
        <v>0</v>
      </c>
      <c r="M990" t="n">
        <v>0</v>
      </c>
      <c r="N990" t="n">
        <v>0</v>
      </c>
      <c r="O990" t="n">
        <v>0</v>
      </c>
      <c r="P990" t="n">
        <v>0</v>
      </c>
      <c r="Q990" t="n">
        <v>0</v>
      </c>
      <c r="R990" s="2" t="inlineStr"/>
    </row>
    <row r="991" ht="15" customHeight="1">
      <c r="A991" t="inlineStr">
        <is>
          <t>A 20819-2022</t>
        </is>
      </c>
      <c r="B991" s="1" t="n">
        <v>44699</v>
      </c>
      <c r="C991" s="1" t="n">
        <v>45662</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20881-2022</t>
        </is>
      </c>
      <c r="B992" s="1" t="n">
        <v>44701</v>
      </c>
      <c r="C992" s="1" t="n">
        <v>45662</v>
      </c>
      <c r="D992" t="inlineStr">
        <is>
          <t>VÄRMLANDS LÄN</t>
        </is>
      </c>
      <c r="E992" t="inlineStr">
        <is>
          <t>TORSBY</t>
        </is>
      </c>
      <c r="F992" t="inlineStr">
        <is>
          <t>Bergvik skog väst AB</t>
        </is>
      </c>
      <c r="G992" t="n">
        <v>17.2</v>
      </c>
      <c r="H992" t="n">
        <v>0</v>
      </c>
      <c r="I992" t="n">
        <v>0</v>
      </c>
      <c r="J992" t="n">
        <v>0</v>
      </c>
      <c r="K992" t="n">
        <v>0</v>
      </c>
      <c r="L992" t="n">
        <v>0</v>
      </c>
      <c r="M992" t="n">
        <v>0</v>
      </c>
      <c r="N992" t="n">
        <v>0</v>
      </c>
      <c r="O992" t="n">
        <v>0</v>
      </c>
      <c r="P992" t="n">
        <v>0</v>
      </c>
      <c r="Q992" t="n">
        <v>0</v>
      </c>
      <c r="R992" s="2" t="inlineStr"/>
    </row>
    <row r="993" ht="15" customHeight="1">
      <c r="A993" t="inlineStr">
        <is>
          <t>A 20907-2022</t>
        </is>
      </c>
      <c r="B993" s="1" t="n">
        <v>44701</v>
      </c>
      <c r="C993" s="1" t="n">
        <v>45662</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20899-2022</t>
        </is>
      </c>
      <c r="B994" s="1" t="n">
        <v>44701</v>
      </c>
      <c r="C994" s="1" t="n">
        <v>45662</v>
      </c>
      <c r="D994" t="inlineStr">
        <is>
          <t>VÄRMLANDS LÄN</t>
        </is>
      </c>
      <c r="E994" t="inlineStr">
        <is>
          <t>TORSBY</t>
        </is>
      </c>
      <c r="G994" t="n">
        <v>7.2</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45662</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21070-2022</t>
        </is>
      </c>
      <c r="B996" s="1" t="n">
        <v>44704</v>
      </c>
      <c r="C996" s="1" t="n">
        <v>45662</v>
      </c>
      <c r="D996" t="inlineStr">
        <is>
          <t>VÄRMLANDS LÄN</t>
        </is>
      </c>
      <c r="E996" t="inlineStr">
        <is>
          <t>TORSBY</t>
        </is>
      </c>
      <c r="G996" t="n">
        <v>13.7</v>
      </c>
      <c r="H996" t="n">
        <v>0</v>
      </c>
      <c r="I996" t="n">
        <v>0</v>
      </c>
      <c r="J996" t="n">
        <v>0</v>
      </c>
      <c r="K996" t="n">
        <v>0</v>
      </c>
      <c r="L996" t="n">
        <v>0</v>
      </c>
      <c r="M996" t="n">
        <v>0</v>
      </c>
      <c r="N996" t="n">
        <v>0</v>
      </c>
      <c r="O996" t="n">
        <v>0</v>
      </c>
      <c r="P996" t="n">
        <v>0</v>
      </c>
      <c r="Q996" t="n">
        <v>0</v>
      </c>
      <c r="R996" s="2" t="inlineStr"/>
    </row>
    <row r="997" ht="15" customHeight="1">
      <c r="A997" t="inlineStr">
        <is>
          <t>A 21089-2022</t>
        </is>
      </c>
      <c r="B997" s="1" t="n">
        <v>44704</v>
      </c>
      <c r="C997" s="1" t="n">
        <v>45662</v>
      </c>
      <c r="D997" t="inlineStr">
        <is>
          <t>VÄRMLANDS LÄN</t>
        </is>
      </c>
      <c r="E997" t="inlineStr">
        <is>
          <t>TORSBY</t>
        </is>
      </c>
      <c r="G997" t="n">
        <v>13.4</v>
      </c>
      <c r="H997" t="n">
        <v>0</v>
      </c>
      <c r="I997" t="n">
        <v>0</v>
      </c>
      <c r="J997" t="n">
        <v>0</v>
      </c>
      <c r="K997" t="n">
        <v>0</v>
      </c>
      <c r="L997" t="n">
        <v>0</v>
      </c>
      <c r="M997" t="n">
        <v>0</v>
      </c>
      <c r="N997" t="n">
        <v>0</v>
      </c>
      <c r="O997" t="n">
        <v>0</v>
      </c>
      <c r="P997" t="n">
        <v>0</v>
      </c>
      <c r="Q997" t="n">
        <v>0</v>
      </c>
      <c r="R997" s="2" t="inlineStr"/>
    </row>
    <row r="998" ht="15" customHeight="1">
      <c r="A998" t="inlineStr">
        <is>
          <t>A 21516-2022</t>
        </is>
      </c>
      <c r="B998" s="1" t="n">
        <v>44706</v>
      </c>
      <c r="C998" s="1" t="n">
        <v>45662</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21465-2022</t>
        </is>
      </c>
      <c r="B999" s="1" t="n">
        <v>44706</v>
      </c>
      <c r="C999" s="1" t="n">
        <v>45662</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21521-2022</t>
        </is>
      </c>
      <c r="B1000" s="1" t="n">
        <v>44706</v>
      </c>
      <c r="C1000" s="1" t="n">
        <v>45662</v>
      </c>
      <c r="D1000" t="inlineStr">
        <is>
          <t>VÄRMLANDS LÄN</t>
        </is>
      </c>
      <c r="E1000" t="inlineStr">
        <is>
          <t>TORSBY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22158-2022</t>
        </is>
      </c>
      <c r="B1001" s="1" t="n">
        <v>44708</v>
      </c>
      <c r="C1001" s="1" t="n">
        <v>45662</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22124-2022</t>
        </is>
      </c>
      <c r="B1002" s="1" t="n">
        <v>44712</v>
      </c>
      <c r="C1002" s="1" t="n">
        <v>45662</v>
      </c>
      <c r="D1002" t="inlineStr">
        <is>
          <t>VÄRMLANDS LÄN</t>
        </is>
      </c>
      <c r="E1002" t="inlineStr">
        <is>
          <t>TORSBY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22635-2022</t>
        </is>
      </c>
      <c r="B1003" s="1" t="n">
        <v>44714</v>
      </c>
      <c r="C1003" s="1" t="n">
        <v>45662</v>
      </c>
      <c r="D1003" t="inlineStr">
        <is>
          <t>VÄRMLANDS LÄN</t>
        </is>
      </c>
      <c r="E1003" t="inlineStr">
        <is>
          <t>TORSBY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22662-2022</t>
        </is>
      </c>
      <c r="B1004" s="1" t="n">
        <v>44714</v>
      </c>
      <c r="C1004" s="1" t="n">
        <v>45662</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22826-2022</t>
        </is>
      </c>
      <c r="B1005" s="1" t="n">
        <v>44714</v>
      </c>
      <c r="C1005" s="1" t="n">
        <v>45662</v>
      </c>
      <c r="D1005" t="inlineStr">
        <is>
          <t>VÄRMLANDS LÄN</t>
        </is>
      </c>
      <c r="E1005" t="inlineStr">
        <is>
          <t>TORSBY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22823-2022</t>
        </is>
      </c>
      <c r="B1006" s="1" t="n">
        <v>44714</v>
      </c>
      <c r="C1006" s="1" t="n">
        <v>45662</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23185-2022</t>
        </is>
      </c>
      <c r="B1007" s="1" t="n">
        <v>44719</v>
      </c>
      <c r="C1007" s="1" t="n">
        <v>45662</v>
      </c>
      <c r="D1007" t="inlineStr">
        <is>
          <t>VÄRMLANDS LÄN</t>
        </is>
      </c>
      <c r="E1007" t="inlineStr">
        <is>
          <t>TORSBY</t>
        </is>
      </c>
      <c r="F1007" t="inlineStr">
        <is>
          <t>Naturvårdsverket</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23011-2022</t>
        </is>
      </c>
      <c r="B1008" s="1" t="n">
        <v>44719</v>
      </c>
      <c r="C1008" s="1" t="n">
        <v>45662</v>
      </c>
      <c r="D1008" t="inlineStr">
        <is>
          <t>VÄRMLANDS LÄN</t>
        </is>
      </c>
      <c r="E1008" t="inlineStr">
        <is>
          <t>TORSBY</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23264-2022</t>
        </is>
      </c>
      <c r="B1009" s="1" t="n">
        <v>44720</v>
      </c>
      <c r="C1009" s="1" t="n">
        <v>45662</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23343-2022</t>
        </is>
      </c>
      <c r="B1010" s="1" t="n">
        <v>44720</v>
      </c>
      <c r="C1010" s="1" t="n">
        <v>45662</v>
      </c>
      <c r="D1010" t="inlineStr">
        <is>
          <t>VÄRMLANDS LÄN</t>
        </is>
      </c>
      <c r="E1010" t="inlineStr">
        <is>
          <t>TORSBY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23401-2022</t>
        </is>
      </c>
      <c r="B1011" s="1" t="n">
        <v>44720</v>
      </c>
      <c r="C1011" s="1" t="n">
        <v>45662</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23405-2022</t>
        </is>
      </c>
      <c r="B1012" s="1" t="n">
        <v>44720</v>
      </c>
      <c r="C1012" s="1" t="n">
        <v>45662</v>
      </c>
      <c r="D1012" t="inlineStr">
        <is>
          <t>VÄRMLANDS LÄN</t>
        </is>
      </c>
      <c r="E1012" t="inlineStr">
        <is>
          <t>TORSBY</t>
        </is>
      </c>
      <c r="F1012" t="inlineStr">
        <is>
          <t>Bergvik skog väst AB</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23803-2022</t>
        </is>
      </c>
      <c r="B1013" s="1" t="n">
        <v>44720</v>
      </c>
      <c r="C1013" s="1" t="n">
        <v>45662</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23804-2022</t>
        </is>
      </c>
      <c r="B1014" s="1" t="n">
        <v>44722</v>
      </c>
      <c r="C1014" s="1" t="n">
        <v>45662</v>
      </c>
      <c r="D1014" t="inlineStr">
        <is>
          <t>VÄRMLANDS LÄN</t>
        </is>
      </c>
      <c r="E1014" t="inlineStr">
        <is>
          <t>TORSBY</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23823-2022</t>
        </is>
      </c>
      <c r="B1015" s="1" t="n">
        <v>44722</v>
      </c>
      <c r="C1015" s="1" t="n">
        <v>45662</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23735-2022</t>
        </is>
      </c>
      <c r="B1016" s="1" t="n">
        <v>44722</v>
      </c>
      <c r="C1016" s="1" t="n">
        <v>45662</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23818-2022</t>
        </is>
      </c>
      <c r="B1017" s="1" t="n">
        <v>44722</v>
      </c>
      <c r="C1017" s="1" t="n">
        <v>45662</v>
      </c>
      <c r="D1017" t="inlineStr">
        <is>
          <t>VÄRMLANDS LÄN</t>
        </is>
      </c>
      <c r="E1017" t="inlineStr">
        <is>
          <t>TORSBY</t>
        </is>
      </c>
      <c r="G1017" t="n">
        <v>23.5</v>
      </c>
      <c r="H1017" t="n">
        <v>0</v>
      </c>
      <c r="I1017" t="n">
        <v>0</v>
      </c>
      <c r="J1017" t="n">
        <v>0</v>
      </c>
      <c r="K1017" t="n">
        <v>0</v>
      </c>
      <c r="L1017" t="n">
        <v>0</v>
      </c>
      <c r="M1017" t="n">
        <v>0</v>
      </c>
      <c r="N1017" t="n">
        <v>0</v>
      </c>
      <c r="O1017" t="n">
        <v>0</v>
      </c>
      <c r="P1017" t="n">
        <v>0</v>
      </c>
      <c r="Q1017" t="n">
        <v>0</v>
      </c>
      <c r="R1017" s="2" t="inlineStr"/>
    </row>
    <row r="1018" ht="15" customHeight="1">
      <c r="A1018" t="inlineStr">
        <is>
          <t>A 23732-2022</t>
        </is>
      </c>
      <c r="B1018" s="1" t="n">
        <v>44722</v>
      </c>
      <c r="C1018" s="1" t="n">
        <v>45662</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23746-2022</t>
        </is>
      </c>
      <c r="B1019" s="1" t="n">
        <v>44722</v>
      </c>
      <c r="C1019" s="1" t="n">
        <v>45662</v>
      </c>
      <c r="D1019" t="inlineStr">
        <is>
          <t>VÄRMLANDS LÄN</t>
        </is>
      </c>
      <c r="E1019" t="inlineStr">
        <is>
          <t>TORSBY</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23851-2022</t>
        </is>
      </c>
      <c r="B1020" s="1" t="n">
        <v>44722</v>
      </c>
      <c r="C1020" s="1" t="n">
        <v>45662</v>
      </c>
      <c r="D1020" t="inlineStr">
        <is>
          <t>VÄRMLANDS LÄN</t>
        </is>
      </c>
      <c r="E1020" t="inlineStr">
        <is>
          <t>TORSBY</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24960-2022</t>
        </is>
      </c>
      <c r="B1021" s="1" t="n">
        <v>44728</v>
      </c>
      <c r="C1021" s="1" t="n">
        <v>45662</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25537-2022</t>
        </is>
      </c>
      <c r="B1022" s="1" t="n">
        <v>44732</v>
      </c>
      <c r="C1022" s="1" t="n">
        <v>45662</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v>
      </c>
      <c r="C1023" s="1" t="n">
        <v>45662</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26842-2022</t>
        </is>
      </c>
      <c r="B1024" s="1" t="n">
        <v>44740</v>
      </c>
      <c r="C1024" s="1" t="n">
        <v>45662</v>
      </c>
      <c r="D1024" t="inlineStr">
        <is>
          <t>VÄRMLANDS LÄN</t>
        </is>
      </c>
      <c r="E1024" t="inlineStr">
        <is>
          <t>TORSBY</t>
        </is>
      </c>
      <c r="F1024" t="inlineStr">
        <is>
          <t>Bergvik skog väst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26988-2022</t>
        </is>
      </c>
      <c r="B1025" s="1" t="n">
        <v>44740</v>
      </c>
      <c r="C1025" s="1" t="n">
        <v>45662</v>
      </c>
      <c r="D1025" t="inlineStr">
        <is>
          <t>VÄRMLANDS LÄN</t>
        </is>
      </c>
      <c r="E1025" t="inlineStr">
        <is>
          <t>TORSBY</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27223-2022</t>
        </is>
      </c>
      <c r="B1026" s="1" t="n">
        <v>44741</v>
      </c>
      <c r="C1026" s="1" t="n">
        <v>45662</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27686-2022</t>
        </is>
      </c>
      <c r="B1027" s="1" t="n">
        <v>44743</v>
      </c>
      <c r="C1027" s="1" t="n">
        <v>45662</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28008-2022</t>
        </is>
      </c>
      <c r="B1028" s="1" t="n">
        <v>44746</v>
      </c>
      <c r="C1028" s="1" t="n">
        <v>45662</v>
      </c>
      <c r="D1028" t="inlineStr">
        <is>
          <t>VÄRMLANDS LÄN</t>
        </is>
      </c>
      <c r="E1028" t="inlineStr">
        <is>
          <t>TORSBY</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28016-2022</t>
        </is>
      </c>
      <c r="B1029" s="1" t="n">
        <v>44746</v>
      </c>
      <c r="C1029" s="1" t="n">
        <v>45662</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45662</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28172-2022</t>
        </is>
      </c>
      <c r="B1031" s="1" t="n">
        <v>44746</v>
      </c>
      <c r="C1031" s="1" t="n">
        <v>45662</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28471-2022</t>
        </is>
      </c>
      <c r="B1032" s="1" t="n">
        <v>44747</v>
      </c>
      <c r="C1032" s="1" t="n">
        <v>45662</v>
      </c>
      <c r="D1032" t="inlineStr">
        <is>
          <t>VÄRMLANDS LÄN</t>
        </is>
      </c>
      <c r="E1032" t="inlineStr">
        <is>
          <t>TORSBY</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28955-2022</t>
        </is>
      </c>
      <c r="B1033" s="1" t="n">
        <v>44749</v>
      </c>
      <c r="C1033" s="1" t="n">
        <v>45662</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29142-2022</t>
        </is>
      </c>
      <c r="B1034" s="1" t="n">
        <v>44750</v>
      </c>
      <c r="C1034" s="1" t="n">
        <v>45662</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29509-2022</t>
        </is>
      </c>
      <c r="B1035" s="1" t="n">
        <v>44753</v>
      </c>
      <c r="C1035" s="1" t="n">
        <v>45662</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29596-2022</t>
        </is>
      </c>
      <c r="B1036" s="1" t="n">
        <v>44754</v>
      </c>
      <c r="C1036" s="1" t="n">
        <v>45662</v>
      </c>
      <c r="D1036" t="inlineStr">
        <is>
          <t>VÄRMLANDS LÄN</t>
        </is>
      </c>
      <c r="E1036" t="inlineStr">
        <is>
          <t>TORSBY</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29717-2022</t>
        </is>
      </c>
      <c r="B1037" s="1" t="n">
        <v>44755</v>
      </c>
      <c r="C1037" s="1" t="n">
        <v>45662</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29720-2022</t>
        </is>
      </c>
      <c r="B1038" s="1" t="n">
        <v>44755</v>
      </c>
      <c r="C1038" s="1" t="n">
        <v>45662</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29721-2022</t>
        </is>
      </c>
      <c r="B1039" s="1" t="n">
        <v>44755</v>
      </c>
      <c r="C1039" s="1" t="n">
        <v>45662</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29901-2022</t>
        </is>
      </c>
      <c r="B1040" s="1" t="n">
        <v>44756</v>
      </c>
      <c r="C1040" s="1" t="n">
        <v>45662</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29908-2022</t>
        </is>
      </c>
      <c r="B1041" s="1" t="n">
        <v>44756</v>
      </c>
      <c r="C1041" s="1" t="n">
        <v>45662</v>
      </c>
      <c r="D1041" t="inlineStr">
        <is>
          <t>VÄRMLANDS LÄN</t>
        </is>
      </c>
      <c r="E1041" t="inlineStr">
        <is>
          <t>TORSBY</t>
        </is>
      </c>
      <c r="F1041" t="inlineStr">
        <is>
          <t>Kommuner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29921-2022</t>
        </is>
      </c>
      <c r="B1042" s="1" t="n">
        <v>44756</v>
      </c>
      <c r="C1042" s="1" t="n">
        <v>45662</v>
      </c>
      <c r="D1042" t="inlineStr">
        <is>
          <t>VÄRMLANDS LÄN</t>
        </is>
      </c>
      <c r="E1042" t="inlineStr">
        <is>
          <t>TORSBY</t>
        </is>
      </c>
      <c r="F1042" t="inlineStr">
        <is>
          <t>Kommuner</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29990-2022</t>
        </is>
      </c>
      <c r="B1043" s="1" t="n">
        <v>44756</v>
      </c>
      <c r="C1043" s="1" t="n">
        <v>45662</v>
      </c>
      <c r="D1043" t="inlineStr">
        <is>
          <t>VÄRMLANDS LÄN</t>
        </is>
      </c>
      <c r="E1043" t="inlineStr">
        <is>
          <t>TORSBY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30326-2022</t>
        </is>
      </c>
      <c r="B1044" s="1" t="n">
        <v>44760</v>
      </c>
      <c r="C1044" s="1" t="n">
        <v>45662</v>
      </c>
      <c r="D1044" t="inlineStr">
        <is>
          <t>VÄRMLANDS LÄN</t>
        </is>
      </c>
      <c r="E1044" t="inlineStr">
        <is>
          <t>TORSBY</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30612-2022</t>
        </is>
      </c>
      <c r="B1045" s="1" t="n">
        <v>44763</v>
      </c>
      <c r="C1045" s="1" t="n">
        <v>45662</v>
      </c>
      <c r="D1045" t="inlineStr">
        <is>
          <t>VÄRMLANDS LÄN</t>
        </is>
      </c>
      <c r="E1045" t="inlineStr">
        <is>
          <t>TORSBY</t>
        </is>
      </c>
      <c r="F1045" t="inlineStr">
        <is>
          <t>Kommuner</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32003-2022</t>
        </is>
      </c>
      <c r="B1046" s="1" t="n">
        <v>44778</v>
      </c>
      <c r="C1046" s="1" t="n">
        <v>45662</v>
      </c>
      <c r="D1046" t="inlineStr">
        <is>
          <t>VÄRMLANDS LÄN</t>
        </is>
      </c>
      <c r="E1046" t="inlineStr">
        <is>
          <t>TORSBY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32438-2022</t>
        </is>
      </c>
      <c r="B1047" s="1" t="n">
        <v>44782</v>
      </c>
      <c r="C1047" s="1" t="n">
        <v>45662</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32444-2022</t>
        </is>
      </c>
      <c r="B1048" s="1" t="n">
        <v>44782</v>
      </c>
      <c r="C1048" s="1" t="n">
        <v>45662</v>
      </c>
      <c r="D1048" t="inlineStr">
        <is>
          <t>VÄRMLANDS LÄN</t>
        </is>
      </c>
      <c r="E1048" t="inlineStr">
        <is>
          <t>TORSBY</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32400-2022</t>
        </is>
      </c>
      <c r="B1049" s="1" t="n">
        <v>44782</v>
      </c>
      <c r="C1049" s="1" t="n">
        <v>45662</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32496-2022</t>
        </is>
      </c>
      <c r="B1050" s="1" t="n">
        <v>44782</v>
      </c>
      <c r="C1050" s="1" t="n">
        <v>45662</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33069-2022</t>
        </is>
      </c>
      <c r="B1051" s="1" t="n">
        <v>44785</v>
      </c>
      <c r="C1051" s="1" t="n">
        <v>45662</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33181-2022</t>
        </is>
      </c>
      <c r="B1052" s="1" t="n">
        <v>44785</v>
      </c>
      <c r="C1052" s="1" t="n">
        <v>45662</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33254-2022</t>
        </is>
      </c>
      <c r="B1053" s="1" t="n">
        <v>44787</v>
      </c>
      <c r="C1053" s="1" t="n">
        <v>45662</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33251-2022</t>
        </is>
      </c>
      <c r="B1054" s="1" t="n">
        <v>44787</v>
      </c>
      <c r="C1054" s="1" t="n">
        <v>45662</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33579-2022</t>
        </is>
      </c>
      <c r="B1055" s="1" t="n">
        <v>44789</v>
      </c>
      <c r="C1055" s="1" t="n">
        <v>45662</v>
      </c>
      <c r="D1055" t="inlineStr">
        <is>
          <t>VÄRMLANDS LÄN</t>
        </is>
      </c>
      <c r="E1055" t="inlineStr">
        <is>
          <t>TORSBY</t>
        </is>
      </c>
      <c r="F1055" t="inlineStr">
        <is>
          <t>Bergvik skog väst AB</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33802-2022</t>
        </is>
      </c>
      <c r="B1056" s="1" t="n">
        <v>44790</v>
      </c>
      <c r="C1056" s="1" t="n">
        <v>45662</v>
      </c>
      <c r="D1056" t="inlineStr">
        <is>
          <t>VÄRMLANDS LÄN</t>
        </is>
      </c>
      <c r="E1056" t="inlineStr">
        <is>
          <t>TORSBY</t>
        </is>
      </c>
      <c r="F1056" t="inlineStr">
        <is>
          <t>Bergvik skog väst AB</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33960-2022</t>
        </is>
      </c>
      <c r="B1057" s="1" t="n">
        <v>44790</v>
      </c>
      <c r="C1057" s="1" t="n">
        <v>45662</v>
      </c>
      <c r="D1057" t="inlineStr">
        <is>
          <t>VÄRMLANDS LÄN</t>
        </is>
      </c>
      <c r="E1057" t="inlineStr">
        <is>
          <t>TORSBY</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33958-2022</t>
        </is>
      </c>
      <c r="B1058" s="1" t="n">
        <v>44790</v>
      </c>
      <c r="C1058" s="1" t="n">
        <v>45662</v>
      </c>
      <c r="D1058" t="inlineStr">
        <is>
          <t>VÄRMLANDS LÄN</t>
        </is>
      </c>
      <c r="E1058" t="inlineStr">
        <is>
          <t>TORSBY</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33943-2022</t>
        </is>
      </c>
      <c r="B1059" s="1" t="n">
        <v>44790</v>
      </c>
      <c r="C1059" s="1" t="n">
        <v>45662</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33959-2022</t>
        </is>
      </c>
      <c r="B1060" s="1" t="n">
        <v>44790</v>
      </c>
      <c r="C1060" s="1" t="n">
        <v>45662</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34371-2022</t>
        </is>
      </c>
      <c r="B1061" s="1" t="n">
        <v>44792</v>
      </c>
      <c r="C1061" s="1" t="n">
        <v>45662</v>
      </c>
      <c r="D1061" t="inlineStr">
        <is>
          <t>VÄRMLANDS LÄN</t>
        </is>
      </c>
      <c r="E1061" t="inlineStr">
        <is>
          <t>TORSBY</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34378-2022</t>
        </is>
      </c>
      <c r="B1062" s="1" t="n">
        <v>44792</v>
      </c>
      <c r="C1062" s="1" t="n">
        <v>45662</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34434-2022</t>
        </is>
      </c>
      <c r="B1063" s="1" t="n">
        <v>44792</v>
      </c>
      <c r="C1063" s="1" t="n">
        <v>45662</v>
      </c>
      <c r="D1063" t="inlineStr">
        <is>
          <t>VÄRMLANDS LÄN</t>
        </is>
      </c>
      <c r="E1063" t="inlineStr">
        <is>
          <t>TORSBY</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34440-2022</t>
        </is>
      </c>
      <c r="B1064" s="1" t="n">
        <v>44792</v>
      </c>
      <c r="C1064" s="1" t="n">
        <v>45662</v>
      </c>
      <c r="D1064" t="inlineStr">
        <is>
          <t>VÄRMLANDS LÄN</t>
        </is>
      </c>
      <c r="E1064" t="inlineStr">
        <is>
          <t>TORSBY</t>
        </is>
      </c>
      <c r="F1064" t="inlineStr">
        <is>
          <t>Bergvik skog väst AB</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34581-2022</t>
        </is>
      </c>
      <c r="B1065" s="1" t="n">
        <v>44792</v>
      </c>
      <c r="C1065" s="1" t="n">
        <v>45662</v>
      </c>
      <c r="D1065" t="inlineStr">
        <is>
          <t>VÄRMLANDS LÄN</t>
        </is>
      </c>
      <c r="E1065" t="inlineStr">
        <is>
          <t>TORSBY</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34568-2022</t>
        </is>
      </c>
      <c r="B1066" s="1" t="n">
        <v>44795</v>
      </c>
      <c r="C1066" s="1" t="n">
        <v>45662</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34662-2022</t>
        </is>
      </c>
      <c r="B1067" s="1" t="n">
        <v>44795</v>
      </c>
      <c r="C1067" s="1" t="n">
        <v>45662</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34667-2022</t>
        </is>
      </c>
      <c r="B1068" s="1" t="n">
        <v>44795</v>
      </c>
      <c r="C1068" s="1" t="n">
        <v>45662</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34655-2022</t>
        </is>
      </c>
      <c r="B1069" s="1" t="n">
        <v>44795</v>
      </c>
      <c r="C1069" s="1" t="n">
        <v>45662</v>
      </c>
      <c r="D1069" t="inlineStr">
        <is>
          <t>VÄRMLANDS LÄN</t>
        </is>
      </c>
      <c r="E1069" t="inlineStr">
        <is>
          <t>TORSBY</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34908-2022</t>
        </is>
      </c>
      <c r="B1070" s="1" t="n">
        <v>44796</v>
      </c>
      <c r="C1070" s="1" t="n">
        <v>45662</v>
      </c>
      <c r="D1070" t="inlineStr">
        <is>
          <t>VÄRMLANDS LÄN</t>
        </is>
      </c>
      <c r="E1070" t="inlineStr">
        <is>
          <t>TORSBY</t>
        </is>
      </c>
      <c r="F1070" t="inlineStr">
        <is>
          <t>Bergvik skog väst AB</t>
        </is>
      </c>
      <c r="G1070" t="n">
        <v>33.4</v>
      </c>
      <c r="H1070" t="n">
        <v>0</v>
      </c>
      <c r="I1070" t="n">
        <v>0</v>
      </c>
      <c r="J1070" t="n">
        <v>0</v>
      </c>
      <c r="K1070" t="n">
        <v>0</v>
      </c>
      <c r="L1070" t="n">
        <v>0</v>
      </c>
      <c r="M1070" t="n">
        <v>0</v>
      </c>
      <c r="N1070" t="n">
        <v>0</v>
      </c>
      <c r="O1070" t="n">
        <v>0</v>
      </c>
      <c r="P1070" t="n">
        <v>0</v>
      </c>
      <c r="Q1070" t="n">
        <v>0</v>
      </c>
      <c r="R1070" s="2" t="inlineStr"/>
    </row>
    <row r="1071" ht="15" customHeight="1">
      <c r="A1071" t="inlineStr">
        <is>
          <t>A 35134-2022</t>
        </is>
      </c>
      <c r="B1071" s="1" t="n">
        <v>44797</v>
      </c>
      <c r="C1071" s="1" t="n">
        <v>45662</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35132-2022</t>
        </is>
      </c>
      <c r="B1072" s="1" t="n">
        <v>44797</v>
      </c>
      <c r="C1072" s="1" t="n">
        <v>45662</v>
      </c>
      <c r="D1072" t="inlineStr">
        <is>
          <t>VÄRMLANDS LÄN</t>
        </is>
      </c>
      <c r="E1072" t="inlineStr">
        <is>
          <t>TORSBY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35606-2022</t>
        </is>
      </c>
      <c r="B1073" s="1" t="n">
        <v>44799</v>
      </c>
      <c r="C1073" s="1" t="n">
        <v>45662</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35595-2022</t>
        </is>
      </c>
      <c r="B1074" s="1" t="n">
        <v>44799</v>
      </c>
      <c r="C1074" s="1" t="n">
        <v>45662</v>
      </c>
      <c r="D1074" t="inlineStr">
        <is>
          <t>VÄRMLANDS LÄN</t>
        </is>
      </c>
      <c r="E1074" t="inlineStr">
        <is>
          <t>TORSBY</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35724-2022</t>
        </is>
      </c>
      <c r="B1075" s="1" t="n">
        <v>44799</v>
      </c>
      <c r="C1075" s="1" t="n">
        <v>45662</v>
      </c>
      <c r="D1075" t="inlineStr">
        <is>
          <t>VÄRMLANDS LÄN</t>
        </is>
      </c>
      <c r="E1075" t="inlineStr">
        <is>
          <t>TORSBY</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35711-2022</t>
        </is>
      </c>
      <c r="B1076" s="1" t="n">
        <v>44799</v>
      </c>
      <c r="C1076" s="1" t="n">
        <v>45662</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35851-2022</t>
        </is>
      </c>
      <c r="B1077" s="1" t="n">
        <v>44802</v>
      </c>
      <c r="C1077" s="1" t="n">
        <v>45662</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36290-2022</t>
        </is>
      </c>
      <c r="B1078" s="1" t="n">
        <v>44803</v>
      </c>
      <c r="C1078" s="1" t="n">
        <v>45662</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36318-2022</t>
        </is>
      </c>
      <c r="B1079" s="1" t="n">
        <v>44803</v>
      </c>
      <c r="C1079" s="1" t="n">
        <v>45662</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36514-2022</t>
        </is>
      </c>
      <c r="B1080" s="1" t="n">
        <v>44804</v>
      </c>
      <c r="C1080" s="1" t="n">
        <v>45662</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36547-2022</t>
        </is>
      </c>
      <c r="B1081" s="1" t="n">
        <v>44804</v>
      </c>
      <c r="C1081" s="1" t="n">
        <v>45662</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36545-2022</t>
        </is>
      </c>
      <c r="B1082" s="1" t="n">
        <v>44804</v>
      </c>
      <c r="C1082" s="1" t="n">
        <v>45662</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36527-2022</t>
        </is>
      </c>
      <c r="B1083" s="1" t="n">
        <v>44804</v>
      </c>
      <c r="C1083" s="1" t="n">
        <v>45662</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36537-2022</t>
        </is>
      </c>
      <c r="B1084" s="1" t="n">
        <v>44804</v>
      </c>
      <c r="C1084" s="1" t="n">
        <v>45662</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36582-2022</t>
        </is>
      </c>
      <c r="B1085" s="1" t="n">
        <v>44804</v>
      </c>
      <c r="C1085" s="1" t="n">
        <v>45662</v>
      </c>
      <c r="D1085" t="inlineStr">
        <is>
          <t>VÄRMLANDS LÄN</t>
        </is>
      </c>
      <c r="E1085" t="inlineStr">
        <is>
          <t>TORSBY</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36562-2022</t>
        </is>
      </c>
      <c r="B1086" s="1" t="n">
        <v>44804</v>
      </c>
      <c r="C1086" s="1" t="n">
        <v>45662</v>
      </c>
      <c r="D1086" t="inlineStr">
        <is>
          <t>VÄRMLANDS LÄN</t>
        </is>
      </c>
      <c r="E1086" t="inlineStr">
        <is>
          <t>TORSBY</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36572-2022</t>
        </is>
      </c>
      <c r="B1087" s="1" t="n">
        <v>44804</v>
      </c>
      <c r="C1087" s="1" t="n">
        <v>45662</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36587-2022</t>
        </is>
      </c>
      <c r="B1088" s="1" t="n">
        <v>44804</v>
      </c>
      <c r="C1088" s="1" t="n">
        <v>45662</v>
      </c>
      <c r="D1088" t="inlineStr">
        <is>
          <t>VÄRMLANDS LÄN</t>
        </is>
      </c>
      <c r="E1088" t="inlineStr">
        <is>
          <t>TORSBY</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37148-2022</t>
        </is>
      </c>
      <c r="B1089" s="1" t="n">
        <v>44806</v>
      </c>
      <c r="C1089" s="1" t="n">
        <v>45662</v>
      </c>
      <c r="D1089" t="inlineStr">
        <is>
          <t>VÄRMLANDS LÄN</t>
        </is>
      </c>
      <c r="E1089" t="inlineStr">
        <is>
          <t>TORSBY</t>
        </is>
      </c>
      <c r="F1089" t="inlineStr">
        <is>
          <t>Kommuner</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37279-2022</t>
        </is>
      </c>
      <c r="B1090" s="1" t="n">
        <v>44807</v>
      </c>
      <c r="C1090" s="1" t="n">
        <v>45662</v>
      </c>
      <c r="D1090" t="inlineStr">
        <is>
          <t>VÄRMLANDS LÄN</t>
        </is>
      </c>
      <c r="E1090" t="inlineStr">
        <is>
          <t>TORSBY</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37401-2022</t>
        </is>
      </c>
      <c r="B1091" s="1" t="n">
        <v>44809</v>
      </c>
      <c r="C1091" s="1" t="n">
        <v>45662</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37449-2022</t>
        </is>
      </c>
      <c r="B1092" s="1" t="n">
        <v>44809</v>
      </c>
      <c r="C1092" s="1" t="n">
        <v>45662</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37340-2022</t>
        </is>
      </c>
      <c r="B1093" s="1" t="n">
        <v>44809</v>
      </c>
      <c r="C1093" s="1" t="n">
        <v>45662</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37752-2022</t>
        </is>
      </c>
      <c r="B1094" s="1" t="n">
        <v>44810</v>
      </c>
      <c r="C1094" s="1" t="n">
        <v>45662</v>
      </c>
      <c r="D1094" t="inlineStr">
        <is>
          <t>VÄRMLANDS LÄN</t>
        </is>
      </c>
      <c r="E1094" t="inlineStr">
        <is>
          <t>TORSBY</t>
        </is>
      </c>
      <c r="F1094" t="inlineStr">
        <is>
          <t>Kyrkan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37814-2022</t>
        </is>
      </c>
      <c r="B1095" s="1" t="n">
        <v>44810</v>
      </c>
      <c r="C1095" s="1" t="n">
        <v>45662</v>
      </c>
      <c r="D1095" t="inlineStr">
        <is>
          <t>VÄRMLANDS LÄN</t>
        </is>
      </c>
      <c r="E1095" t="inlineStr">
        <is>
          <t>TORSBY</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37754-2022</t>
        </is>
      </c>
      <c r="B1096" s="1" t="n">
        <v>44810</v>
      </c>
      <c r="C1096" s="1" t="n">
        <v>45662</v>
      </c>
      <c r="D1096" t="inlineStr">
        <is>
          <t>VÄRMLANDS LÄN</t>
        </is>
      </c>
      <c r="E1096" t="inlineStr">
        <is>
          <t>TORSBY</t>
        </is>
      </c>
      <c r="F1096" t="inlineStr">
        <is>
          <t>Kyrkan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37913-2022</t>
        </is>
      </c>
      <c r="B1097" s="1" t="n">
        <v>44811</v>
      </c>
      <c r="C1097" s="1" t="n">
        <v>45662</v>
      </c>
      <c r="D1097" t="inlineStr">
        <is>
          <t>VÄRMLANDS LÄN</t>
        </is>
      </c>
      <c r="E1097" t="inlineStr">
        <is>
          <t>TORSBY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37929-2022</t>
        </is>
      </c>
      <c r="B1098" s="1" t="n">
        <v>44811</v>
      </c>
      <c r="C1098" s="1" t="n">
        <v>45662</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37917-2022</t>
        </is>
      </c>
      <c r="B1099" s="1" t="n">
        <v>44811</v>
      </c>
      <c r="C1099" s="1" t="n">
        <v>45662</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37937-2022</t>
        </is>
      </c>
      <c r="B1100" s="1" t="n">
        <v>44811</v>
      </c>
      <c r="C1100" s="1" t="n">
        <v>45662</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37985-2022</t>
        </is>
      </c>
      <c r="B1101" s="1" t="n">
        <v>44811</v>
      </c>
      <c r="C1101" s="1" t="n">
        <v>45662</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38033-2022</t>
        </is>
      </c>
      <c r="B1102" s="1" t="n">
        <v>44811</v>
      </c>
      <c r="C1102" s="1" t="n">
        <v>45662</v>
      </c>
      <c r="D1102" t="inlineStr">
        <is>
          <t>VÄRMLANDS LÄN</t>
        </is>
      </c>
      <c r="E1102" t="inlineStr">
        <is>
          <t>TORSBY</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38200-2022</t>
        </is>
      </c>
      <c r="B1103" s="1" t="n">
        <v>44812</v>
      </c>
      <c r="C1103" s="1" t="n">
        <v>45662</v>
      </c>
      <c r="D1103" t="inlineStr">
        <is>
          <t>VÄRMLANDS LÄN</t>
        </is>
      </c>
      <c r="E1103" t="inlineStr">
        <is>
          <t>TORSBY</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38179-2022</t>
        </is>
      </c>
      <c r="B1104" s="1" t="n">
        <v>44812</v>
      </c>
      <c r="C1104" s="1" t="n">
        <v>45662</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38378-2022</t>
        </is>
      </c>
      <c r="B1105" s="1" t="n">
        <v>44812</v>
      </c>
      <c r="C1105" s="1" t="n">
        <v>45662</v>
      </c>
      <c r="D1105" t="inlineStr">
        <is>
          <t>VÄRMLANDS LÄN</t>
        </is>
      </c>
      <c r="E1105" t="inlineStr">
        <is>
          <t>TORSBY</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38486-2022</t>
        </is>
      </c>
      <c r="B1106" s="1" t="n">
        <v>44813</v>
      </c>
      <c r="C1106" s="1" t="n">
        <v>45662</v>
      </c>
      <c r="D1106" t="inlineStr">
        <is>
          <t>VÄRMLANDS LÄN</t>
        </is>
      </c>
      <c r="E1106" t="inlineStr">
        <is>
          <t>TORSBY</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38699-2022</t>
        </is>
      </c>
      <c r="B1107" s="1" t="n">
        <v>44814</v>
      </c>
      <c r="C1107" s="1" t="n">
        <v>45662</v>
      </c>
      <c r="D1107" t="inlineStr">
        <is>
          <t>VÄRMLANDS LÄN</t>
        </is>
      </c>
      <c r="E1107" t="inlineStr">
        <is>
          <t>TORSBY</t>
        </is>
      </c>
      <c r="F1107" t="inlineStr">
        <is>
          <t>Bergvik skog väst AB</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38882-2022</t>
        </is>
      </c>
      <c r="B1108" s="1" t="n">
        <v>44816</v>
      </c>
      <c r="C1108" s="1" t="n">
        <v>45662</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38914-2022</t>
        </is>
      </c>
      <c r="B1109" s="1" t="n">
        <v>44816</v>
      </c>
      <c r="C1109" s="1" t="n">
        <v>45662</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39069-2022</t>
        </is>
      </c>
      <c r="B1110" s="1" t="n">
        <v>44816</v>
      </c>
      <c r="C1110" s="1" t="n">
        <v>45662</v>
      </c>
      <c r="D1110" t="inlineStr">
        <is>
          <t>VÄRMLANDS LÄN</t>
        </is>
      </c>
      <c r="E1110" t="inlineStr">
        <is>
          <t>TORSBY</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39186-2022</t>
        </is>
      </c>
      <c r="B1111" s="1" t="n">
        <v>44817</v>
      </c>
      <c r="C1111" s="1" t="n">
        <v>45662</v>
      </c>
      <c r="D1111" t="inlineStr">
        <is>
          <t>VÄRMLANDS LÄN</t>
        </is>
      </c>
      <c r="E1111" t="inlineStr">
        <is>
          <t>TORSBY</t>
        </is>
      </c>
      <c r="F1111" t="inlineStr">
        <is>
          <t>Bergvik skog väst AB</t>
        </is>
      </c>
      <c r="G1111" t="n">
        <v>20.3</v>
      </c>
      <c r="H1111" t="n">
        <v>0</v>
      </c>
      <c r="I1111" t="n">
        <v>0</v>
      </c>
      <c r="J1111" t="n">
        <v>0</v>
      </c>
      <c r="K1111" t="n">
        <v>0</v>
      </c>
      <c r="L1111" t="n">
        <v>0</v>
      </c>
      <c r="M1111" t="n">
        <v>0</v>
      </c>
      <c r="N1111" t="n">
        <v>0</v>
      </c>
      <c r="O1111" t="n">
        <v>0</v>
      </c>
      <c r="P1111" t="n">
        <v>0</v>
      </c>
      <c r="Q1111" t="n">
        <v>0</v>
      </c>
      <c r="R1111" s="2" t="inlineStr"/>
    </row>
    <row r="1112" ht="15" customHeight="1">
      <c r="A1112" t="inlineStr">
        <is>
          <t>A 39216-2022</t>
        </is>
      </c>
      <c r="B1112" s="1" t="n">
        <v>44817</v>
      </c>
      <c r="C1112" s="1" t="n">
        <v>45662</v>
      </c>
      <c r="D1112" t="inlineStr">
        <is>
          <t>VÄRMLANDS LÄN</t>
        </is>
      </c>
      <c r="E1112" t="inlineStr">
        <is>
          <t>TORSBY</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39215-2022</t>
        </is>
      </c>
      <c r="B1113" s="1" t="n">
        <v>44817</v>
      </c>
      <c r="C1113" s="1" t="n">
        <v>45662</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39221-2022</t>
        </is>
      </c>
      <c r="B1114" s="1" t="n">
        <v>44817</v>
      </c>
      <c r="C1114" s="1" t="n">
        <v>45662</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39217-2022</t>
        </is>
      </c>
      <c r="B1115" s="1" t="n">
        <v>44817</v>
      </c>
      <c r="C1115" s="1" t="n">
        <v>45662</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39781-2022</t>
        </is>
      </c>
      <c r="B1116" s="1" t="n">
        <v>44819</v>
      </c>
      <c r="C1116" s="1" t="n">
        <v>45662</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39780-2022</t>
        </is>
      </c>
      <c r="B1117" s="1" t="n">
        <v>44819</v>
      </c>
      <c r="C1117" s="1" t="n">
        <v>45662</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40009-2022</t>
        </is>
      </c>
      <c r="B1118" s="1" t="n">
        <v>44820</v>
      </c>
      <c r="C1118" s="1" t="n">
        <v>45662</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40036-2022</t>
        </is>
      </c>
      <c r="B1119" s="1" t="n">
        <v>44820</v>
      </c>
      <c r="C1119" s="1" t="n">
        <v>45662</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40221-2022</t>
        </is>
      </c>
      <c r="B1120" s="1" t="n">
        <v>44820</v>
      </c>
      <c r="C1120" s="1" t="n">
        <v>45662</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40353-2022</t>
        </is>
      </c>
      <c r="B1121" s="1" t="n">
        <v>44823</v>
      </c>
      <c r="C1121" s="1" t="n">
        <v>45662</v>
      </c>
      <c r="D1121" t="inlineStr">
        <is>
          <t>VÄRMLANDS LÄN</t>
        </is>
      </c>
      <c r="E1121" t="inlineStr">
        <is>
          <t>TORSBY</t>
        </is>
      </c>
      <c r="F1121" t="inlineStr">
        <is>
          <t>Bergvik skog väst AB</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41264-2022</t>
        </is>
      </c>
      <c r="B1122" s="1" t="n">
        <v>44823</v>
      </c>
      <c r="C1122" s="1" t="n">
        <v>45662</v>
      </c>
      <c r="D1122" t="inlineStr">
        <is>
          <t>VÄRMLANDS LÄN</t>
        </is>
      </c>
      <c r="E1122" t="inlineStr">
        <is>
          <t>TORSBY</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41295-2022</t>
        </is>
      </c>
      <c r="B1123" s="1" t="n">
        <v>44823</v>
      </c>
      <c r="C1123" s="1" t="n">
        <v>45662</v>
      </c>
      <c r="D1123" t="inlineStr">
        <is>
          <t>VÄRMLANDS LÄN</t>
        </is>
      </c>
      <c r="E1123" t="inlineStr">
        <is>
          <t>TORSBY</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40718-2022</t>
        </is>
      </c>
      <c r="B1124" s="1" t="n">
        <v>44824</v>
      </c>
      <c r="C1124" s="1" t="n">
        <v>45662</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40788-2022</t>
        </is>
      </c>
      <c r="B1125" s="1" t="n">
        <v>44824</v>
      </c>
      <c r="C1125" s="1" t="n">
        <v>45662</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40997-2022</t>
        </is>
      </c>
      <c r="B1126" s="1" t="n">
        <v>44825</v>
      </c>
      <c r="C1126" s="1" t="n">
        <v>45662</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41065-2022</t>
        </is>
      </c>
      <c r="B1127" s="1" t="n">
        <v>44825</v>
      </c>
      <c r="C1127" s="1" t="n">
        <v>45662</v>
      </c>
      <c r="D1127" t="inlineStr">
        <is>
          <t>VÄRMLANDS LÄN</t>
        </is>
      </c>
      <c r="E1127" t="inlineStr">
        <is>
          <t>TORSBY</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41130-2022</t>
        </is>
      </c>
      <c r="B1128" s="1" t="n">
        <v>44825</v>
      </c>
      <c r="C1128" s="1" t="n">
        <v>45662</v>
      </c>
      <c r="D1128" t="inlineStr">
        <is>
          <t>VÄRMLANDS LÄN</t>
        </is>
      </c>
      <c r="E1128" t="inlineStr">
        <is>
          <t>TORSBY</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41315-2022</t>
        </is>
      </c>
      <c r="B1129" s="1" t="n">
        <v>44826</v>
      </c>
      <c r="C1129" s="1" t="n">
        <v>45662</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41322-2022</t>
        </is>
      </c>
      <c r="B1130" s="1" t="n">
        <v>44826</v>
      </c>
      <c r="C1130" s="1" t="n">
        <v>45662</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41781-2022</t>
        </is>
      </c>
      <c r="B1131" s="1" t="n">
        <v>44827</v>
      </c>
      <c r="C1131" s="1" t="n">
        <v>45662</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41675-2022</t>
        </is>
      </c>
      <c r="B1132" s="1" t="n">
        <v>44827</v>
      </c>
      <c r="C1132" s="1" t="n">
        <v>45662</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41590-2022</t>
        </is>
      </c>
      <c r="B1133" s="1" t="n">
        <v>44827</v>
      </c>
      <c r="C1133" s="1" t="n">
        <v>45662</v>
      </c>
      <c r="D1133" t="inlineStr">
        <is>
          <t>VÄRMLANDS LÄN</t>
        </is>
      </c>
      <c r="E1133" t="inlineStr">
        <is>
          <t>TORSBY</t>
        </is>
      </c>
      <c r="F1133" t="inlineStr">
        <is>
          <t>Bergvik skog väst AB</t>
        </is>
      </c>
      <c r="G1133" t="n">
        <v>42.5</v>
      </c>
      <c r="H1133" t="n">
        <v>0</v>
      </c>
      <c r="I1133" t="n">
        <v>0</v>
      </c>
      <c r="J1133" t="n">
        <v>0</v>
      </c>
      <c r="K1133" t="n">
        <v>0</v>
      </c>
      <c r="L1133" t="n">
        <v>0</v>
      </c>
      <c r="M1133" t="n">
        <v>0</v>
      </c>
      <c r="N1133" t="n">
        <v>0</v>
      </c>
      <c r="O1133" t="n">
        <v>0</v>
      </c>
      <c r="P1133" t="n">
        <v>0</v>
      </c>
      <c r="Q1133" t="n">
        <v>0</v>
      </c>
      <c r="R1133" s="2" t="inlineStr"/>
    </row>
    <row r="1134" ht="15" customHeight="1">
      <c r="A1134" t="inlineStr">
        <is>
          <t>A 41995-2022</t>
        </is>
      </c>
      <c r="B1134" s="1" t="n">
        <v>44830</v>
      </c>
      <c r="C1134" s="1" t="n">
        <v>45662</v>
      </c>
      <c r="D1134" t="inlineStr">
        <is>
          <t>VÄRMLANDS LÄN</t>
        </is>
      </c>
      <c r="E1134" t="inlineStr">
        <is>
          <t>TORSBY</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42588-2022</t>
        </is>
      </c>
      <c r="B1135" s="1" t="n">
        <v>44831</v>
      </c>
      <c r="C1135" s="1" t="n">
        <v>45662</v>
      </c>
      <c r="D1135" t="inlineStr">
        <is>
          <t>VÄRMLANDS LÄN</t>
        </is>
      </c>
      <c r="E1135" t="inlineStr">
        <is>
          <t>TORSBY</t>
        </is>
      </c>
      <c r="F1135" t="inlineStr">
        <is>
          <t>Bergvik skog väst AB</t>
        </is>
      </c>
      <c r="G1135" t="n">
        <v>41.4</v>
      </c>
      <c r="H1135" t="n">
        <v>0</v>
      </c>
      <c r="I1135" t="n">
        <v>0</v>
      </c>
      <c r="J1135" t="n">
        <v>0</v>
      </c>
      <c r="K1135" t="n">
        <v>0</v>
      </c>
      <c r="L1135" t="n">
        <v>0</v>
      </c>
      <c r="M1135" t="n">
        <v>0</v>
      </c>
      <c r="N1135" t="n">
        <v>0</v>
      </c>
      <c r="O1135" t="n">
        <v>0</v>
      </c>
      <c r="P1135" t="n">
        <v>0</v>
      </c>
      <c r="Q1135" t="n">
        <v>0</v>
      </c>
      <c r="R1135" s="2" t="inlineStr"/>
    </row>
    <row r="1136" ht="15" customHeight="1">
      <c r="A1136" t="inlineStr">
        <is>
          <t>A 42784-2022</t>
        </is>
      </c>
      <c r="B1136" s="1" t="n">
        <v>44832</v>
      </c>
      <c r="C1136" s="1" t="n">
        <v>45662</v>
      </c>
      <c r="D1136" t="inlineStr">
        <is>
          <t>VÄRMLANDS LÄN</t>
        </is>
      </c>
      <c r="E1136" t="inlineStr">
        <is>
          <t>TORSBY</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42701-2022</t>
        </is>
      </c>
      <c r="B1137" s="1" t="n">
        <v>44832</v>
      </c>
      <c r="C1137" s="1" t="n">
        <v>45662</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43022-2022</t>
        </is>
      </c>
      <c r="B1138" s="1" t="n">
        <v>44833</v>
      </c>
      <c r="C1138" s="1" t="n">
        <v>45662</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43111-2022</t>
        </is>
      </c>
      <c r="B1139" s="1" t="n">
        <v>44833</v>
      </c>
      <c r="C1139" s="1" t="n">
        <v>45662</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43248-2022</t>
        </is>
      </c>
      <c r="B1140" s="1" t="n">
        <v>44834</v>
      </c>
      <c r="C1140" s="1" t="n">
        <v>45662</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43289-2022</t>
        </is>
      </c>
      <c r="B1141" s="1" t="n">
        <v>44834</v>
      </c>
      <c r="C1141" s="1" t="n">
        <v>45662</v>
      </c>
      <c r="D1141" t="inlineStr">
        <is>
          <t>VÄRMLANDS LÄN</t>
        </is>
      </c>
      <c r="E1141" t="inlineStr">
        <is>
          <t>TORSBY</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43465-2022</t>
        </is>
      </c>
      <c r="B1142" s="1" t="n">
        <v>44836</v>
      </c>
      <c r="C1142" s="1" t="n">
        <v>45662</v>
      </c>
      <c r="D1142" t="inlineStr">
        <is>
          <t>VÄRMLANDS LÄN</t>
        </is>
      </c>
      <c r="E1142" t="inlineStr">
        <is>
          <t>TORSBY</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43943-2022</t>
        </is>
      </c>
      <c r="B1143" s="1" t="n">
        <v>44838</v>
      </c>
      <c r="C1143" s="1" t="n">
        <v>45662</v>
      </c>
      <c r="D1143" t="inlineStr">
        <is>
          <t>VÄRMLANDS LÄN</t>
        </is>
      </c>
      <c r="E1143" t="inlineStr">
        <is>
          <t>TORSBY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43989-2022</t>
        </is>
      </c>
      <c r="B1144" s="1" t="n">
        <v>44838</v>
      </c>
      <c r="C1144" s="1" t="n">
        <v>45662</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44214-2022</t>
        </is>
      </c>
      <c r="B1145" s="1" t="n">
        <v>44838</v>
      </c>
      <c r="C1145" s="1" t="n">
        <v>45662</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44340-2022</t>
        </is>
      </c>
      <c r="B1146" s="1" t="n">
        <v>44838</v>
      </c>
      <c r="C1146" s="1" t="n">
        <v>45662</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44170-2022</t>
        </is>
      </c>
      <c r="B1147" s="1" t="n">
        <v>44838</v>
      </c>
      <c r="C1147" s="1" t="n">
        <v>45662</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44149-2022</t>
        </is>
      </c>
      <c r="B1148" s="1" t="n">
        <v>44839</v>
      </c>
      <c r="C1148" s="1" t="n">
        <v>45662</v>
      </c>
      <c r="D1148" t="inlineStr">
        <is>
          <t>VÄRMLANDS LÄN</t>
        </is>
      </c>
      <c r="E1148" t="inlineStr">
        <is>
          <t>TORSBY</t>
        </is>
      </c>
      <c r="F1148" t="inlineStr">
        <is>
          <t>Bergvik skog väst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44196-2022</t>
        </is>
      </c>
      <c r="B1149" s="1" t="n">
        <v>44839</v>
      </c>
      <c r="C1149" s="1" t="n">
        <v>45662</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44327-2022</t>
        </is>
      </c>
      <c r="B1150" s="1" t="n">
        <v>44839</v>
      </c>
      <c r="C1150" s="1" t="n">
        <v>45662</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44841-2022</t>
        </is>
      </c>
      <c r="B1151" s="1" t="n">
        <v>44839</v>
      </c>
      <c r="C1151" s="1" t="n">
        <v>45662</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44879-2022</t>
        </is>
      </c>
      <c r="B1152" s="1" t="n">
        <v>44839</v>
      </c>
      <c r="C1152" s="1" t="n">
        <v>45662</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44498-2022</t>
        </is>
      </c>
      <c r="B1153" s="1" t="n">
        <v>44840</v>
      </c>
      <c r="C1153" s="1" t="n">
        <v>45662</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44516-2022</t>
        </is>
      </c>
      <c r="B1154" s="1" t="n">
        <v>44840</v>
      </c>
      <c r="C1154" s="1" t="n">
        <v>45662</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44517-2022</t>
        </is>
      </c>
      <c r="B1155" s="1" t="n">
        <v>44840</v>
      </c>
      <c r="C1155" s="1" t="n">
        <v>45662</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44532-2022</t>
        </is>
      </c>
      <c r="B1156" s="1" t="n">
        <v>44840</v>
      </c>
      <c r="C1156" s="1" t="n">
        <v>45662</v>
      </c>
      <c r="D1156" t="inlineStr">
        <is>
          <t>VÄRMLANDS LÄN</t>
        </is>
      </c>
      <c r="E1156" t="inlineStr">
        <is>
          <t>TORSBY</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44708-2022</t>
        </is>
      </c>
      <c r="B1157" s="1" t="n">
        <v>44840</v>
      </c>
      <c r="C1157" s="1" t="n">
        <v>45662</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45056-2022</t>
        </is>
      </c>
      <c r="B1158" s="1" t="n">
        <v>44841</v>
      </c>
      <c r="C1158" s="1" t="n">
        <v>45662</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45303-2022</t>
        </is>
      </c>
      <c r="B1159" s="1" t="n">
        <v>44844</v>
      </c>
      <c r="C1159" s="1" t="n">
        <v>45662</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45368-2022</t>
        </is>
      </c>
      <c r="B1160" s="1" t="n">
        <v>44844</v>
      </c>
      <c r="C1160" s="1" t="n">
        <v>45662</v>
      </c>
      <c r="D1160" t="inlineStr">
        <is>
          <t>VÄRMLANDS LÄN</t>
        </is>
      </c>
      <c r="E1160" t="inlineStr">
        <is>
          <t>TORSBY</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45328-2022</t>
        </is>
      </c>
      <c r="B1161" s="1" t="n">
        <v>44844</v>
      </c>
      <c r="C1161" s="1" t="n">
        <v>45662</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45325-2022</t>
        </is>
      </c>
      <c r="B1162" s="1" t="n">
        <v>44844</v>
      </c>
      <c r="C1162" s="1" t="n">
        <v>45662</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45369-2022</t>
        </is>
      </c>
      <c r="B1163" s="1" t="n">
        <v>44844</v>
      </c>
      <c r="C1163" s="1" t="n">
        <v>45662</v>
      </c>
      <c r="D1163" t="inlineStr">
        <is>
          <t>VÄRMLANDS LÄN</t>
        </is>
      </c>
      <c r="E1163" t="inlineStr">
        <is>
          <t>TORSBY</t>
        </is>
      </c>
      <c r="F1163" t="inlineStr">
        <is>
          <t>Bergvik skog väst AB</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45809-2022</t>
        </is>
      </c>
      <c r="B1164" s="1" t="n">
        <v>44844</v>
      </c>
      <c r="C1164" s="1" t="n">
        <v>45662</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45666-2022</t>
        </is>
      </c>
      <c r="B1165" s="1" t="n">
        <v>44845</v>
      </c>
      <c r="C1165" s="1" t="n">
        <v>45662</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46551-2022</t>
        </is>
      </c>
      <c r="B1166" s="1" t="n">
        <v>44848</v>
      </c>
      <c r="C1166" s="1" t="n">
        <v>45662</v>
      </c>
      <c r="D1166" t="inlineStr">
        <is>
          <t>VÄRMLANDS LÄN</t>
        </is>
      </c>
      <c r="E1166" t="inlineStr">
        <is>
          <t>TORSBY</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47167-2022</t>
        </is>
      </c>
      <c r="B1167" s="1" t="n">
        <v>44852</v>
      </c>
      <c r="C1167" s="1" t="n">
        <v>45662</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47141-2022</t>
        </is>
      </c>
      <c r="B1168" s="1" t="n">
        <v>44852</v>
      </c>
      <c r="C1168" s="1" t="n">
        <v>45662</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47206-2022</t>
        </is>
      </c>
      <c r="B1169" s="1" t="n">
        <v>44852</v>
      </c>
      <c r="C1169" s="1" t="n">
        <v>45662</v>
      </c>
      <c r="D1169" t="inlineStr">
        <is>
          <t>VÄRMLANDS LÄN</t>
        </is>
      </c>
      <c r="E1169" t="inlineStr">
        <is>
          <t>TORSBY</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47466-2022</t>
        </is>
      </c>
      <c r="B1170" s="1" t="n">
        <v>44852</v>
      </c>
      <c r="C1170" s="1" t="n">
        <v>45662</v>
      </c>
      <c r="D1170" t="inlineStr">
        <is>
          <t>VÄRMLANDS LÄN</t>
        </is>
      </c>
      <c r="E1170" t="inlineStr">
        <is>
          <t>TORSBY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48328-2022</t>
        </is>
      </c>
      <c r="B1171" s="1" t="n">
        <v>44853</v>
      </c>
      <c r="C1171" s="1" t="n">
        <v>45662</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48356-2022</t>
        </is>
      </c>
      <c r="B1172" s="1" t="n">
        <v>44853</v>
      </c>
      <c r="C1172" s="1" t="n">
        <v>45662</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48320-2022</t>
        </is>
      </c>
      <c r="B1173" s="1" t="n">
        <v>44853</v>
      </c>
      <c r="C1173" s="1" t="n">
        <v>45662</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47694-2022</t>
        </is>
      </c>
      <c r="B1174" s="1" t="n">
        <v>44854</v>
      </c>
      <c r="C1174" s="1" t="n">
        <v>45662</v>
      </c>
      <c r="D1174" t="inlineStr">
        <is>
          <t>VÄRMLANDS LÄN</t>
        </is>
      </c>
      <c r="E1174" t="inlineStr">
        <is>
          <t>TORSBY</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48239-2022</t>
        </is>
      </c>
      <c r="B1175" s="1" t="n">
        <v>44858</v>
      </c>
      <c r="C1175" s="1" t="n">
        <v>45662</v>
      </c>
      <c r="D1175" t="inlineStr">
        <is>
          <t>VÄRMLANDS LÄN</t>
        </is>
      </c>
      <c r="E1175" t="inlineStr">
        <is>
          <t>TORSBY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48712-2022</t>
        </is>
      </c>
      <c r="B1176" s="1" t="n">
        <v>44859</v>
      </c>
      <c r="C1176" s="1" t="n">
        <v>45662</v>
      </c>
      <c r="D1176" t="inlineStr">
        <is>
          <t>VÄRMLANDS LÄN</t>
        </is>
      </c>
      <c r="E1176" t="inlineStr">
        <is>
          <t>TORSBY</t>
        </is>
      </c>
      <c r="F1176" t="inlineStr">
        <is>
          <t>Bergvik skog väst AB</t>
        </is>
      </c>
      <c r="G1176" t="n">
        <v>22.7</v>
      </c>
      <c r="H1176" t="n">
        <v>0</v>
      </c>
      <c r="I1176" t="n">
        <v>0</v>
      </c>
      <c r="J1176" t="n">
        <v>0</v>
      </c>
      <c r="K1176" t="n">
        <v>0</v>
      </c>
      <c r="L1176" t="n">
        <v>0</v>
      </c>
      <c r="M1176" t="n">
        <v>0</v>
      </c>
      <c r="N1176" t="n">
        <v>0</v>
      </c>
      <c r="O1176" t="n">
        <v>0</v>
      </c>
      <c r="P1176" t="n">
        <v>0</v>
      </c>
      <c r="Q1176" t="n">
        <v>0</v>
      </c>
      <c r="R1176" s="2" t="inlineStr"/>
    </row>
    <row r="1177" ht="15" customHeight="1">
      <c r="A1177" t="inlineStr">
        <is>
          <t>A 49699-2022</t>
        </is>
      </c>
      <c r="B1177" s="1" t="n">
        <v>44859</v>
      </c>
      <c r="C1177" s="1" t="n">
        <v>45662</v>
      </c>
      <c r="D1177" t="inlineStr">
        <is>
          <t>VÄRMLANDS LÄN</t>
        </is>
      </c>
      <c r="E1177" t="inlineStr">
        <is>
          <t>TORSBY</t>
        </is>
      </c>
      <c r="F1177" t="inlineStr">
        <is>
          <t>Kyrkan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49814-2022</t>
        </is>
      </c>
      <c r="B1178" s="1" t="n">
        <v>44859</v>
      </c>
      <c r="C1178" s="1" t="n">
        <v>45662</v>
      </c>
      <c r="D1178" t="inlineStr">
        <is>
          <t>VÄRMLANDS LÄN</t>
        </is>
      </c>
      <c r="E1178" t="inlineStr">
        <is>
          <t>TORSBY</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49608-2022</t>
        </is>
      </c>
      <c r="B1179" s="1" t="n">
        <v>44859</v>
      </c>
      <c r="C1179" s="1" t="n">
        <v>45662</v>
      </c>
      <c r="D1179" t="inlineStr">
        <is>
          <t>VÄRMLANDS LÄN</t>
        </is>
      </c>
      <c r="E1179" t="inlineStr">
        <is>
          <t>TORSBY</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49073-2022</t>
        </is>
      </c>
      <c r="B1180" s="1" t="n">
        <v>44860</v>
      </c>
      <c r="C1180" s="1" t="n">
        <v>45662</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49206-2022</t>
        </is>
      </c>
      <c r="B1181" s="1" t="n">
        <v>44861</v>
      </c>
      <c r="C1181" s="1" t="n">
        <v>45662</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49346-2022</t>
        </is>
      </c>
      <c r="B1182" s="1" t="n">
        <v>44861</v>
      </c>
      <c r="C1182" s="1" t="n">
        <v>45662</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50390-2022</t>
        </is>
      </c>
      <c r="B1183" s="1" t="n">
        <v>44861</v>
      </c>
      <c r="C1183" s="1" t="n">
        <v>45662</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49795-2022</t>
        </is>
      </c>
      <c r="B1184" s="1" t="n">
        <v>44862</v>
      </c>
      <c r="C1184" s="1" t="n">
        <v>45662</v>
      </c>
      <c r="D1184" t="inlineStr">
        <is>
          <t>VÄRMLANDS LÄN</t>
        </is>
      </c>
      <c r="E1184" t="inlineStr">
        <is>
          <t>TORSBY</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49810-2022</t>
        </is>
      </c>
      <c r="B1185" s="1" t="n">
        <v>44862</v>
      </c>
      <c r="C1185" s="1" t="n">
        <v>45662</v>
      </c>
      <c r="D1185" t="inlineStr">
        <is>
          <t>VÄRMLANDS LÄN</t>
        </is>
      </c>
      <c r="E1185" t="inlineStr">
        <is>
          <t>TORSBY</t>
        </is>
      </c>
      <c r="F1185" t="inlineStr">
        <is>
          <t>Bergvik skog väst AB</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49957-2022</t>
        </is>
      </c>
      <c r="B1186" s="1" t="n">
        <v>44865</v>
      </c>
      <c r="C1186" s="1" t="n">
        <v>45662</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49983-2022</t>
        </is>
      </c>
      <c r="B1187" s="1" t="n">
        <v>44865</v>
      </c>
      <c r="C1187" s="1" t="n">
        <v>45662</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49970-2022</t>
        </is>
      </c>
      <c r="B1188" s="1" t="n">
        <v>44865</v>
      </c>
      <c r="C1188" s="1" t="n">
        <v>45662</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49959-2022</t>
        </is>
      </c>
      <c r="B1189" s="1" t="n">
        <v>44865</v>
      </c>
      <c r="C1189" s="1" t="n">
        <v>45662</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50280-2022</t>
        </is>
      </c>
      <c r="B1190" s="1" t="n">
        <v>44865</v>
      </c>
      <c r="C1190" s="1" t="n">
        <v>45662</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50417-2022</t>
        </is>
      </c>
      <c r="B1191" s="1" t="n">
        <v>44866</v>
      </c>
      <c r="C1191" s="1" t="n">
        <v>45662</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50436-2022</t>
        </is>
      </c>
      <c r="B1192" s="1" t="n">
        <v>44866</v>
      </c>
      <c r="C1192" s="1" t="n">
        <v>45662</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50434-2022</t>
        </is>
      </c>
      <c r="B1193" s="1" t="n">
        <v>44866</v>
      </c>
      <c r="C1193" s="1" t="n">
        <v>45662</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50953-2022</t>
        </is>
      </c>
      <c r="B1194" s="1" t="n">
        <v>44866</v>
      </c>
      <c r="C1194" s="1" t="n">
        <v>45662</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50789-2022</t>
        </is>
      </c>
      <c r="B1195" s="1" t="n">
        <v>44867</v>
      </c>
      <c r="C1195" s="1" t="n">
        <v>45662</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51124-2022</t>
        </is>
      </c>
      <c r="B1196" s="1" t="n">
        <v>44868</v>
      </c>
      <c r="C1196" s="1" t="n">
        <v>45662</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51439-2022</t>
        </is>
      </c>
      <c r="B1197" s="1" t="n">
        <v>44869</v>
      </c>
      <c r="C1197" s="1" t="n">
        <v>45662</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51490-2022</t>
        </is>
      </c>
      <c r="B1198" s="1" t="n">
        <v>44869</v>
      </c>
      <c r="C1198" s="1" t="n">
        <v>45662</v>
      </c>
      <c r="D1198" t="inlineStr">
        <is>
          <t>VÄRMLANDS LÄN</t>
        </is>
      </c>
      <c r="E1198" t="inlineStr">
        <is>
          <t>TORSBY</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51489-2022</t>
        </is>
      </c>
      <c r="B1199" s="1" t="n">
        <v>44869</v>
      </c>
      <c r="C1199" s="1" t="n">
        <v>45662</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51847-2022</t>
        </is>
      </c>
      <c r="B1200" s="1" t="n">
        <v>44872</v>
      </c>
      <c r="C1200" s="1" t="n">
        <v>45662</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51843-2022</t>
        </is>
      </c>
      <c r="B1201" s="1" t="n">
        <v>44872</v>
      </c>
      <c r="C1201" s="1" t="n">
        <v>45662</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51911-2022</t>
        </is>
      </c>
      <c r="B1202" s="1" t="n">
        <v>44872</v>
      </c>
      <c r="C1202" s="1" t="n">
        <v>45662</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52921-2022</t>
        </is>
      </c>
      <c r="B1203" s="1" t="n">
        <v>44872</v>
      </c>
      <c r="C1203" s="1" t="n">
        <v>45662</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52901-2022</t>
        </is>
      </c>
      <c r="B1204" s="1" t="n">
        <v>44872</v>
      </c>
      <c r="C1204" s="1" t="n">
        <v>45662</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52286-2022</t>
        </is>
      </c>
      <c r="B1205" s="1" t="n">
        <v>44873</v>
      </c>
      <c r="C1205" s="1" t="n">
        <v>45662</v>
      </c>
      <c r="D1205" t="inlineStr">
        <is>
          <t>VÄRMLANDS LÄN</t>
        </is>
      </c>
      <c r="E1205" t="inlineStr">
        <is>
          <t>TORSBY</t>
        </is>
      </c>
      <c r="F1205" t="inlineStr">
        <is>
          <t>Bergvik skog väst AB</t>
        </is>
      </c>
      <c r="G1205" t="n">
        <v>51.4</v>
      </c>
      <c r="H1205" t="n">
        <v>0</v>
      </c>
      <c r="I1205" t="n">
        <v>0</v>
      </c>
      <c r="J1205" t="n">
        <v>0</v>
      </c>
      <c r="K1205" t="n">
        <v>0</v>
      </c>
      <c r="L1205" t="n">
        <v>0</v>
      </c>
      <c r="M1205" t="n">
        <v>0</v>
      </c>
      <c r="N1205" t="n">
        <v>0</v>
      </c>
      <c r="O1205" t="n">
        <v>0</v>
      </c>
      <c r="P1205" t="n">
        <v>0</v>
      </c>
      <c r="Q1205" t="n">
        <v>0</v>
      </c>
      <c r="R1205" s="2" t="inlineStr"/>
    </row>
    <row r="1206" ht="15" customHeight="1">
      <c r="A1206" t="inlineStr">
        <is>
          <t>A 52393-2022</t>
        </is>
      </c>
      <c r="B1206" s="1" t="n">
        <v>44874</v>
      </c>
      <c r="C1206" s="1" t="n">
        <v>45662</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52546-2022</t>
        </is>
      </c>
      <c r="B1207" s="1" t="n">
        <v>44874</v>
      </c>
      <c r="C1207" s="1" t="n">
        <v>45662</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52386-2022</t>
        </is>
      </c>
      <c r="B1208" s="1" t="n">
        <v>44874</v>
      </c>
      <c r="C1208" s="1" t="n">
        <v>45662</v>
      </c>
      <c r="D1208" t="inlineStr">
        <is>
          <t>VÄRMLANDS LÄN</t>
        </is>
      </c>
      <c r="E1208" t="inlineStr">
        <is>
          <t>TORSBY</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52543-2022</t>
        </is>
      </c>
      <c r="B1209" s="1" t="n">
        <v>44874</v>
      </c>
      <c r="C1209" s="1" t="n">
        <v>45662</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52447-2022</t>
        </is>
      </c>
      <c r="B1210" s="1" t="n">
        <v>44874</v>
      </c>
      <c r="C1210" s="1" t="n">
        <v>45662</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52483-2022</t>
        </is>
      </c>
      <c r="B1211" s="1" t="n">
        <v>44874</v>
      </c>
      <c r="C1211" s="1" t="n">
        <v>45662</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52913-2022</t>
        </is>
      </c>
      <c r="B1212" s="1" t="n">
        <v>44875</v>
      </c>
      <c r="C1212" s="1" t="n">
        <v>45662</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52919-2022</t>
        </is>
      </c>
      <c r="B1213" s="1" t="n">
        <v>44875</v>
      </c>
      <c r="C1213" s="1" t="n">
        <v>45662</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53044-2022</t>
        </is>
      </c>
      <c r="B1214" s="1" t="n">
        <v>44876</v>
      </c>
      <c r="C1214" s="1" t="n">
        <v>45662</v>
      </c>
      <c r="D1214" t="inlineStr">
        <is>
          <t>VÄRMLANDS LÄN</t>
        </is>
      </c>
      <c r="E1214" t="inlineStr">
        <is>
          <t>TORSBY</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53076-2022</t>
        </is>
      </c>
      <c r="B1215" s="1" t="n">
        <v>44876</v>
      </c>
      <c r="C1215" s="1" t="n">
        <v>45662</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53988-2022</t>
        </is>
      </c>
      <c r="B1216" s="1" t="n">
        <v>44876</v>
      </c>
      <c r="C1216" s="1" t="n">
        <v>45662</v>
      </c>
      <c r="D1216" t="inlineStr">
        <is>
          <t>VÄRMLANDS LÄN</t>
        </is>
      </c>
      <c r="E1216" t="inlineStr">
        <is>
          <t>TORSBY</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53381-2022</t>
        </is>
      </c>
      <c r="B1217" s="1" t="n">
        <v>44879</v>
      </c>
      <c r="C1217" s="1" t="n">
        <v>45662</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53492-2022</t>
        </is>
      </c>
      <c r="B1218" s="1" t="n">
        <v>44879</v>
      </c>
      <c r="C1218" s="1" t="n">
        <v>45662</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53781-2022</t>
        </is>
      </c>
      <c r="B1219" s="1" t="n">
        <v>44880</v>
      </c>
      <c r="C1219" s="1" t="n">
        <v>45662</v>
      </c>
      <c r="D1219" t="inlineStr">
        <is>
          <t>VÄRMLANDS LÄN</t>
        </is>
      </c>
      <c r="E1219" t="inlineStr">
        <is>
          <t>TORSBY</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45662</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54452-2022</t>
        </is>
      </c>
      <c r="B1221" s="1" t="n">
        <v>44880</v>
      </c>
      <c r="C1221" s="1" t="n">
        <v>45662</v>
      </c>
      <c r="D1221" t="inlineStr">
        <is>
          <t>VÄRMLANDS LÄN</t>
        </is>
      </c>
      <c r="E1221" t="inlineStr">
        <is>
          <t>TORSBY</t>
        </is>
      </c>
      <c r="F1221" t="inlineStr">
        <is>
          <t>Kyrkan</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54028-2022</t>
        </is>
      </c>
      <c r="B1222" s="1" t="n">
        <v>44881</v>
      </c>
      <c r="C1222" s="1" t="n">
        <v>45662</v>
      </c>
      <c r="D1222" t="inlineStr">
        <is>
          <t>VÄRMLANDS LÄN</t>
        </is>
      </c>
      <c r="E1222" t="inlineStr">
        <is>
          <t>TORSBY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54143-2022</t>
        </is>
      </c>
      <c r="B1223" s="1" t="n">
        <v>44881</v>
      </c>
      <c r="C1223" s="1" t="n">
        <v>45662</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54160-2022</t>
        </is>
      </c>
      <c r="B1224" s="1" t="n">
        <v>44881</v>
      </c>
      <c r="C1224" s="1" t="n">
        <v>45662</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54811-2022</t>
        </is>
      </c>
      <c r="B1225" s="1" t="n">
        <v>44883</v>
      </c>
      <c r="C1225" s="1" t="n">
        <v>45662</v>
      </c>
      <c r="D1225" t="inlineStr">
        <is>
          <t>VÄRMLANDS LÄN</t>
        </is>
      </c>
      <c r="E1225" t="inlineStr">
        <is>
          <t>TORSBY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54865-2022</t>
        </is>
      </c>
      <c r="B1226" s="1" t="n">
        <v>44884</v>
      </c>
      <c r="C1226" s="1" t="n">
        <v>45662</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54885-2022</t>
        </is>
      </c>
      <c r="B1227" s="1" t="n">
        <v>44886</v>
      </c>
      <c r="C1227" s="1" t="n">
        <v>45662</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55068-2022</t>
        </is>
      </c>
      <c r="B1228" s="1" t="n">
        <v>44886</v>
      </c>
      <c r="C1228" s="1" t="n">
        <v>45662</v>
      </c>
      <c r="D1228" t="inlineStr">
        <is>
          <t>VÄRMLANDS LÄN</t>
        </is>
      </c>
      <c r="E1228" t="inlineStr">
        <is>
          <t>TORSBY</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55092-2022</t>
        </is>
      </c>
      <c r="B1229" s="1" t="n">
        <v>44886</v>
      </c>
      <c r="C1229" s="1" t="n">
        <v>45662</v>
      </c>
      <c r="D1229" t="inlineStr">
        <is>
          <t>VÄRMLANDS LÄN</t>
        </is>
      </c>
      <c r="E1229" t="inlineStr">
        <is>
          <t>TORSBY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55104-2022</t>
        </is>
      </c>
      <c r="B1230" s="1" t="n">
        <v>44886</v>
      </c>
      <c r="C1230" s="1" t="n">
        <v>45662</v>
      </c>
      <c r="D1230" t="inlineStr">
        <is>
          <t>VÄRMLANDS LÄN</t>
        </is>
      </c>
      <c r="E1230" t="inlineStr">
        <is>
          <t>TORSBY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55428-2022</t>
        </is>
      </c>
      <c r="B1231" s="1" t="n">
        <v>44887</v>
      </c>
      <c r="C1231" s="1" t="n">
        <v>45662</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55475-2022</t>
        </is>
      </c>
      <c r="B1232" s="1" t="n">
        <v>44887</v>
      </c>
      <c r="C1232" s="1" t="n">
        <v>45662</v>
      </c>
      <c r="D1232" t="inlineStr">
        <is>
          <t>VÄRMLANDS LÄN</t>
        </is>
      </c>
      <c r="E1232" t="inlineStr">
        <is>
          <t>TORSBY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55436-2022</t>
        </is>
      </c>
      <c r="B1233" s="1" t="n">
        <v>44887</v>
      </c>
      <c r="C1233" s="1" t="n">
        <v>45662</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55575-2022</t>
        </is>
      </c>
      <c r="B1234" s="1" t="n">
        <v>44888</v>
      </c>
      <c r="C1234" s="1" t="n">
        <v>45662</v>
      </c>
      <c r="D1234" t="inlineStr">
        <is>
          <t>VÄRMLANDS LÄN</t>
        </is>
      </c>
      <c r="E1234" t="inlineStr">
        <is>
          <t>TORSBY</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55981-2022</t>
        </is>
      </c>
      <c r="B1235" s="1" t="n">
        <v>44889</v>
      </c>
      <c r="C1235" s="1" t="n">
        <v>45662</v>
      </c>
      <c r="D1235" t="inlineStr">
        <is>
          <t>VÄRMLANDS LÄN</t>
        </is>
      </c>
      <c r="E1235" t="inlineStr">
        <is>
          <t>TORSBY</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55939-2022</t>
        </is>
      </c>
      <c r="B1236" s="1" t="n">
        <v>44889</v>
      </c>
      <c r="C1236" s="1" t="n">
        <v>45662</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55947-2022</t>
        </is>
      </c>
      <c r="B1237" s="1" t="n">
        <v>44889</v>
      </c>
      <c r="C1237" s="1" t="n">
        <v>45662</v>
      </c>
      <c r="D1237" t="inlineStr">
        <is>
          <t>VÄRMLANDS LÄN</t>
        </is>
      </c>
      <c r="E1237" t="inlineStr">
        <is>
          <t>TORSBY</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56281-2022</t>
        </is>
      </c>
      <c r="B1238" s="1" t="n">
        <v>44890</v>
      </c>
      <c r="C1238" s="1" t="n">
        <v>45662</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56361-2022</t>
        </is>
      </c>
      <c r="B1239" s="1" t="n">
        <v>44890</v>
      </c>
      <c r="C1239" s="1" t="n">
        <v>45662</v>
      </c>
      <c r="D1239" t="inlineStr">
        <is>
          <t>VÄRMLANDS LÄN</t>
        </is>
      </c>
      <c r="E1239" t="inlineStr">
        <is>
          <t>TORSBY</t>
        </is>
      </c>
      <c r="F1239" t="inlineStr">
        <is>
          <t>Bergvik skog väst AB</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56432-2022</t>
        </is>
      </c>
      <c r="B1240" s="1" t="n">
        <v>44891</v>
      </c>
      <c r="C1240" s="1" t="n">
        <v>45662</v>
      </c>
      <c r="D1240" t="inlineStr">
        <is>
          <t>VÄRMLANDS LÄN</t>
        </is>
      </c>
      <c r="E1240" t="inlineStr">
        <is>
          <t>TORSBY</t>
        </is>
      </c>
      <c r="F1240" t="inlineStr">
        <is>
          <t>Bergvik skog väst AB</t>
        </is>
      </c>
      <c r="G1240" t="n">
        <v>37.4</v>
      </c>
      <c r="H1240" t="n">
        <v>0</v>
      </c>
      <c r="I1240" t="n">
        <v>0</v>
      </c>
      <c r="J1240" t="n">
        <v>0</v>
      </c>
      <c r="K1240" t="n">
        <v>0</v>
      </c>
      <c r="L1240" t="n">
        <v>0</v>
      </c>
      <c r="M1240" t="n">
        <v>0</v>
      </c>
      <c r="N1240" t="n">
        <v>0</v>
      </c>
      <c r="O1240" t="n">
        <v>0</v>
      </c>
      <c r="P1240" t="n">
        <v>0</v>
      </c>
      <c r="Q1240" t="n">
        <v>0</v>
      </c>
      <c r="R1240" s="2" t="inlineStr"/>
    </row>
    <row r="1241" ht="15" customHeight="1">
      <c r="A1241" t="inlineStr">
        <is>
          <t>A 56434-2022</t>
        </is>
      </c>
      <c r="B1241" s="1" t="n">
        <v>44891</v>
      </c>
      <c r="C1241" s="1" t="n">
        <v>45662</v>
      </c>
      <c r="D1241" t="inlineStr">
        <is>
          <t>VÄRMLANDS LÄN</t>
        </is>
      </c>
      <c r="E1241" t="inlineStr">
        <is>
          <t>TORSBY</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56473-2022</t>
        </is>
      </c>
      <c r="B1242" s="1" t="n">
        <v>44893</v>
      </c>
      <c r="C1242" s="1" t="n">
        <v>45662</v>
      </c>
      <c r="D1242" t="inlineStr">
        <is>
          <t>VÄRMLANDS LÄN</t>
        </is>
      </c>
      <c r="E1242" t="inlineStr">
        <is>
          <t>TORSBY</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57072-2022</t>
        </is>
      </c>
      <c r="B1243" s="1" t="n">
        <v>44895</v>
      </c>
      <c r="C1243" s="1" t="n">
        <v>45662</v>
      </c>
      <c r="D1243" t="inlineStr">
        <is>
          <t>VÄRMLANDS LÄN</t>
        </is>
      </c>
      <c r="E1243" t="inlineStr">
        <is>
          <t>TORSBY</t>
        </is>
      </c>
      <c r="F1243" t="inlineStr">
        <is>
          <t>Övriga statliga verk och myndigheter</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57176-2022</t>
        </is>
      </c>
      <c r="B1244" s="1" t="n">
        <v>44895</v>
      </c>
      <c r="C1244" s="1" t="n">
        <v>45662</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57071-2022</t>
        </is>
      </c>
      <c r="B1245" s="1" t="n">
        <v>44895</v>
      </c>
      <c r="C1245" s="1" t="n">
        <v>45662</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57172-2022</t>
        </is>
      </c>
      <c r="B1246" s="1" t="n">
        <v>44895</v>
      </c>
      <c r="C1246" s="1" t="n">
        <v>45662</v>
      </c>
      <c r="D1246" t="inlineStr">
        <is>
          <t>VÄRMLANDS LÄN</t>
        </is>
      </c>
      <c r="E1246" t="inlineStr">
        <is>
          <t>TORSBY</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57408-2022</t>
        </is>
      </c>
      <c r="B1247" s="1" t="n">
        <v>44896</v>
      </c>
      <c r="C1247" s="1" t="n">
        <v>45662</v>
      </c>
      <c r="D1247" t="inlineStr">
        <is>
          <t>VÄRMLANDS LÄN</t>
        </is>
      </c>
      <c r="E1247" t="inlineStr">
        <is>
          <t>TORSBY</t>
        </is>
      </c>
      <c r="F1247" t="inlineStr">
        <is>
          <t>Bergvik skog väst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57418-2022</t>
        </is>
      </c>
      <c r="B1248" s="1" t="n">
        <v>44896</v>
      </c>
      <c r="C1248" s="1" t="n">
        <v>45662</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57393-2022</t>
        </is>
      </c>
      <c r="B1249" s="1" t="n">
        <v>44896</v>
      </c>
      <c r="C1249" s="1" t="n">
        <v>45662</v>
      </c>
      <c r="D1249" t="inlineStr">
        <is>
          <t>VÄRMLANDS LÄN</t>
        </is>
      </c>
      <c r="E1249" t="inlineStr">
        <is>
          <t>TORSBY</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57452-2022</t>
        </is>
      </c>
      <c r="B1250" s="1" t="n">
        <v>44896</v>
      </c>
      <c r="C1250" s="1" t="n">
        <v>45662</v>
      </c>
      <c r="D1250" t="inlineStr">
        <is>
          <t>VÄRMLANDS LÄN</t>
        </is>
      </c>
      <c r="E1250" t="inlineStr">
        <is>
          <t>TORSBY</t>
        </is>
      </c>
      <c r="F1250" t="inlineStr">
        <is>
          <t>Bergvik skog väst AB</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57708-2022</t>
        </is>
      </c>
      <c r="B1251" s="1" t="n">
        <v>44897</v>
      </c>
      <c r="C1251" s="1" t="n">
        <v>45662</v>
      </c>
      <c r="D1251" t="inlineStr">
        <is>
          <t>VÄRMLANDS LÄN</t>
        </is>
      </c>
      <c r="E1251" t="inlineStr">
        <is>
          <t>TORSBY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57726-2022</t>
        </is>
      </c>
      <c r="B1252" s="1" t="n">
        <v>44897</v>
      </c>
      <c r="C1252" s="1" t="n">
        <v>45662</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57721-2022</t>
        </is>
      </c>
      <c r="B1253" s="1" t="n">
        <v>44897</v>
      </c>
      <c r="C1253" s="1" t="n">
        <v>45662</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57867-2022</t>
        </is>
      </c>
      <c r="B1254" s="1" t="n">
        <v>44899</v>
      </c>
      <c r="C1254" s="1" t="n">
        <v>45662</v>
      </c>
      <c r="D1254" t="inlineStr">
        <is>
          <t>VÄRMLANDS LÄN</t>
        </is>
      </c>
      <c r="E1254" t="inlineStr">
        <is>
          <t>TORSBY</t>
        </is>
      </c>
      <c r="F1254" t="inlineStr">
        <is>
          <t>Bergvik skog väst AB</t>
        </is>
      </c>
      <c r="G1254" t="n">
        <v>21.8</v>
      </c>
      <c r="H1254" t="n">
        <v>0</v>
      </c>
      <c r="I1254" t="n">
        <v>0</v>
      </c>
      <c r="J1254" t="n">
        <v>0</v>
      </c>
      <c r="K1254" t="n">
        <v>0</v>
      </c>
      <c r="L1254" t="n">
        <v>0</v>
      </c>
      <c r="M1254" t="n">
        <v>0</v>
      </c>
      <c r="N1254" t="n">
        <v>0</v>
      </c>
      <c r="O1254" t="n">
        <v>0</v>
      </c>
      <c r="P1254" t="n">
        <v>0</v>
      </c>
      <c r="Q1254" t="n">
        <v>0</v>
      </c>
      <c r="R1254" s="2" t="inlineStr"/>
    </row>
    <row r="1255" ht="15" customHeight="1">
      <c r="A1255" t="inlineStr">
        <is>
          <t>A 57937-2022</t>
        </is>
      </c>
      <c r="B1255" s="1" t="n">
        <v>44900</v>
      </c>
      <c r="C1255" s="1" t="n">
        <v>45662</v>
      </c>
      <c r="D1255" t="inlineStr">
        <is>
          <t>VÄRMLANDS LÄN</t>
        </is>
      </c>
      <c r="E1255" t="inlineStr">
        <is>
          <t>TORSBY</t>
        </is>
      </c>
      <c r="F1255" t="inlineStr">
        <is>
          <t>Bergvik skog väst AB</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58225-2022</t>
        </is>
      </c>
      <c r="B1256" s="1" t="n">
        <v>44901</v>
      </c>
      <c r="C1256" s="1" t="n">
        <v>45662</v>
      </c>
      <c r="D1256" t="inlineStr">
        <is>
          <t>VÄRMLANDS LÄN</t>
        </is>
      </c>
      <c r="E1256" t="inlineStr">
        <is>
          <t>TORSBY</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58276-2022</t>
        </is>
      </c>
      <c r="B1257" s="1" t="n">
        <v>44901</v>
      </c>
      <c r="C1257" s="1" t="n">
        <v>45662</v>
      </c>
      <c r="D1257" t="inlineStr">
        <is>
          <t>VÄRMLANDS LÄN</t>
        </is>
      </c>
      <c r="E1257" t="inlineStr">
        <is>
          <t>TORSBY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58956-2022</t>
        </is>
      </c>
      <c r="B1258" s="1" t="n">
        <v>44903</v>
      </c>
      <c r="C1258" s="1" t="n">
        <v>45662</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58869-2022</t>
        </is>
      </c>
      <c r="B1259" s="1" t="n">
        <v>44903</v>
      </c>
      <c r="C1259" s="1" t="n">
        <v>45662</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58951-2022</t>
        </is>
      </c>
      <c r="B1260" s="1" t="n">
        <v>44903</v>
      </c>
      <c r="C1260" s="1" t="n">
        <v>45662</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59097-2022</t>
        </is>
      </c>
      <c r="B1261" s="1" t="n">
        <v>44904</v>
      </c>
      <c r="C1261" s="1" t="n">
        <v>45662</v>
      </c>
      <c r="D1261" t="inlineStr">
        <is>
          <t>VÄRMLANDS LÄN</t>
        </is>
      </c>
      <c r="E1261" t="inlineStr">
        <is>
          <t>TORSBY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59096-2022</t>
        </is>
      </c>
      <c r="B1262" s="1" t="n">
        <v>44904</v>
      </c>
      <c r="C1262" s="1" t="n">
        <v>45662</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59778-2022</t>
        </is>
      </c>
      <c r="B1263" s="1" t="n">
        <v>44908</v>
      </c>
      <c r="C1263" s="1" t="n">
        <v>45662</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60240-2022</t>
        </is>
      </c>
      <c r="B1264" s="1" t="n">
        <v>44910</v>
      </c>
      <c r="C1264" s="1" t="n">
        <v>45662</v>
      </c>
      <c r="D1264" t="inlineStr">
        <is>
          <t>VÄRMLANDS LÄN</t>
        </is>
      </c>
      <c r="E1264" t="inlineStr">
        <is>
          <t>TORSBY</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61432-2022</t>
        </is>
      </c>
      <c r="B1265" s="1" t="n">
        <v>44910</v>
      </c>
      <c r="C1265" s="1" t="n">
        <v>45662</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61428-2022</t>
        </is>
      </c>
      <c r="B1266" s="1" t="n">
        <v>44910</v>
      </c>
      <c r="C1266" s="1" t="n">
        <v>45662</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60737-2022</t>
        </is>
      </c>
      <c r="B1267" s="1" t="n">
        <v>44913</v>
      </c>
      <c r="C1267" s="1" t="n">
        <v>45662</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60823-2022</t>
        </is>
      </c>
      <c r="B1268" s="1" t="n">
        <v>44914</v>
      </c>
      <c r="C1268" s="1" t="n">
        <v>45662</v>
      </c>
      <c r="D1268" t="inlineStr">
        <is>
          <t>VÄRMLANDS LÄN</t>
        </is>
      </c>
      <c r="E1268" t="inlineStr">
        <is>
          <t>TORSBY</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61128-2022</t>
        </is>
      </c>
      <c r="B1269" s="1" t="n">
        <v>44915</v>
      </c>
      <c r="C1269" s="1" t="n">
        <v>45662</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61151-2022</t>
        </is>
      </c>
      <c r="B1270" s="1" t="n">
        <v>44915</v>
      </c>
      <c r="C1270" s="1" t="n">
        <v>45662</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61286-2022</t>
        </is>
      </c>
      <c r="B1271" s="1" t="n">
        <v>44915</v>
      </c>
      <c r="C1271" s="1" t="n">
        <v>45662</v>
      </c>
      <c r="D1271" t="inlineStr">
        <is>
          <t>VÄRMLANDS LÄN</t>
        </is>
      </c>
      <c r="E1271" t="inlineStr">
        <is>
          <t>TORSBY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61321-2022</t>
        </is>
      </c>
      <c r="B1272" s="1" t="n">
        <v>44915</v>
      </c>
      <c r="C1272" s="1" t="n">
        <v>45662</v>
      </c>
      <c r="D1272" t="inlineStr">
        <is>
          <t>VÄRMLANDS LÄN</t>
        </is>
      </c>
      <c r="E1272" t="inlineStr">
        <is>
          <t>TORSBY</t>
        </is>
      </c>
      <c r="G1272" t="n">
        <v>13.3</v>
      </c>
      <c r="H1272" t="n">
        <v>0</v>
      </c>
      <c r="I1272" t="n">
        <v>0</v>
      </c>
      <c r="J1272" t="n">
        <v>0</v>
      </c>
      <c r="K1272" t="n">
        <v>0</v>
      </c>
      <c r="L1272" t="n">
        <v>0</v>
      </c>
      <c r="M1272" t="n">
        <v>0</v>
      </c>
      <c r="N1272" t="n">
        <v>0</v>
      </c>
      <c r="O1272" t="n">
        <v>0</v>
      </c>
      <c r="P1272" t="n">
        <v>0</v>
      </c>
      <c r="Q1272" t="n">
        <v>0</v>
      </c>
      <c r="R1272" s="2" t="inlineStr"/>
    </row>
    <row r="1273" ht="15" customHeight="1">
      <c r="A1273" t="inlineStr">
        <is>
          <t>A 61138-2022</t>
        </is>
      </c>
      <c r="B1273" s="1" t="n">
        <v>44915</v>
      </c>
      <c r="C1273" s="1" t="n">
        <v>45662</v>
      </c>
      <c r="D1273" t="inlineStr">
        <is>
          <t>VÄRMLANDS LÄN</t>
        </is>
      </c>
      <c r="E1273" t="inlineStr">
        <is>
          <t>TORSBY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61143-2022</t>
        </is>
      </c>
      <c r="B1274" s="1" t="n">
        <v>44915</v>
      </c>
      <c r="C1274" s="1" t="n">
        <v>45662</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61290-2022</t>
        </is>
      </c>
      <c r="B1275" s="1" t="n">
        <v>44915</v>
      </c>
      <c r="C1275" s="1" t="n">
        <v>45662</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61367-2022</t>
        </is>
      </c>
      <c r="B1276" s="1" t="n">
        <v>44915</v>
      </c>
      <c r="C1276" s="1" t="n">
        <v>45662</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61135-2022</t>
        </is>
      </c>
      <c r="B1277" s="1" t="n">
        <v>44915</v>
      </c>
      <c r="C1277" s="1" t="n">
        <v>45662</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61510-2022</t>
        </is>
      </c>
      <c r="B1278" s="1" t="n">
        <v>44916</v>
      </c>
      <c r="C1278" s="1" t="n">
        <v>45662</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62006-2022</t>
        </is>
      </c>
      <c r="B1279" s="1" t="n">
        <v>44918</v>
      </c>
      <c r="C1279" s="1" t="n">
        <v>45662</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80-2023</t>
        </is>
      </c>
      <c r="B1280" s="1" t="n">
        <v>44918</v>
      </c>
      <c r="C1280" s="1" t="n">
        <v>45662</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345-2023</t>
        </is>
      </c>
      <c r="B1281" s="1" t="n">
        <v>44923</v>
      </c>
      <c r="C1281" s="1" t="n">
        <v>45662</v>
      </c>
      <c r="D1281" t="inlineStr">
        <is>
          <t>VÄRMLANDS LÄN</t>
        </is>
      </c>
      <c r="E1281" t="inlineStr">
        <is>
          <t>TORSBY</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363-2023</t>
        </is>
      </c>
      <c r="B1282" s="1" t="n">
        <v>44923</v>
      </c>
      <c r="C1282" s="1" t="n">
        <v>45662</v>
      </c>
      <c r="D1282" t="inlineStr">
        <is>
          <t>VÄRMLANDS LÄN</t>
        </is>
      </c>
      <c r="E1282" t="inlineStr">
        <is>
          <t>TORSBY</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62574-2022</t>
        </is>
      </c>
      <c r="B1283" s="1" t="n">
        <v>44924</v>
      </c>
      <c r="C1283" s="1" t="n">
        <v>45662</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522-2023</t>
        </is>
      </c>
      <c r="B1284" s="1" t="n">
        <v>44930</v>
      </c>
      <c r="C1284" s="1" t="n">
        <v>45662</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1003-2023</t>
        </is>
      </c>
      <c r="B1285" s="1" t="n">
        <v>44935</v>
      </c>
      <c r="C1285" s="1" t="n">
        <v>45662</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1120-2023</t>
        </is>
      </c>
      <c r="B1286" s="1" t="n">
        <v>44935</v>
      </c>
      <c r="C1286" s="1" t="n">
        <v>45662</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1166-2023</t>
        </is>
      </c>
      <c r="B1287" s="1" t="n">
        <v>44935</v>
      </c>
      <c r="C1287" s="1" t="n">
        <v>45662</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1123-2023</t>
        </is>
      </c>
      <c r="B1288" s="1" t="n">
        <v>44935</v>
      </c>
      <c r="C1288" s="1" t="n">
        <v>45662</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1386-2023</t>
        </is>
      </c>
      <c r="B1289" s="1" t="n">
        <v>44936</v>
      </c>
      <c r="C1289" s="1" t="n">
        <v>45662</v>
      </c>
      <c r="D1289" t="inlineStr">
        <is>
          <t>VÄRMLANDS LÄN</t>
        </is>
      </c>
      <c r="E1289" t="inlineStr">
        <is>
          <t>TORSBY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1947-2023</t>
        </is>
      </c>
      <c r="B1290" s="1" t="n">
        <v>44939</v>
      </c>
      <c r="C1290" s="1" t="n">
        <v>45662</v>
      </c>
      <c r="D1290" t="inlineStr">
        <is>
          <t>VÄRMLANDS LÄN</t>
        </is>
      </c>
      <c r="E1290" t="inlineStr">
        <is>
          <t>TORSBY</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1979-2023</t>
        </is>
      </c>
      <c r="B1291" s="1" t="n">
        <v>44939</v>
      </c>
      <c r="C1291" s="1" t="n">
        <v>45662</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2471-2023</t>
        </is>
      </c>
      <c r="B1292" s="1" t="n">
        <v>44943</v>
      </c>
      <c r="C1292" s="1" t="n">
        <v>45662</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2512-2023</t>
        </is>
      </c>
      <c r="B1293" s="1" t="n">
        <v>44943</v>
      </c>
      <c r="C1293" s="1" t="n">
        <v>45662</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3098-2023</t>
        </is>
      </c>
      <c r="B1294" s="1" t="n">
        <v>44946</v>
      </c>
      <c r="C1294" s="1" t="n">
        <v>45662</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3103-2023</t>
        </is>
      </c>
      <c r="B1295" s="1" t="n">
        <v>44946</v>
      </c>
      <c r="C1295" s="1" t="n">
        <v>45662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3256-2023</t>
        </is>
      </c>
      <c r="B1296" s="1" t="n">
        <v>44948</v>
      </c>
      <c r="C1296" s="1" t="n">
        <v>45662</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3421-2023</t>
        </is>
      </c>
      <c r="B1297" s="1" t="n">
        <v>44949</v>
      </c>
      <c r="C1297" s="1" t="n">
        <v>45662</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3489-2023</t>
        </is>
      </c>
      <c r="B1298" s="1" t="n">
        <v>44949</v>
      </c>
      <c r="C1298" s="1" t="n">
        <v>45662</v>
      </c>
      <c r="D1298" t="inlineStr">
        <is>
          <t>VÄRMLANDS LÄN</t>
        </is>
      </c>
      <c r="E1298" t="inlineStr">
        <is>
          <t>TORSBY</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3491-2023</t>
        </is>
      </c>
      <c r="B1299" s="1" t="n">
        <v>44949</v>
      </c>
      <c r="C1299" s="1" t="n">
        <v>45662</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3542-2023</t>
        </is>
      </c>
      <c r="B1300" s="1" t="n">
        <v>44950</v>
      </c>
      <c r="C1300" s="1" t="n">
        <v>45662</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3666-2023</t>
        </is>
      </c>
      <c r="B1301" s="1" t="n">
        <v>44950</v>
      </c>
      <c r="C1301" s="1" t="n">
        <v>45662</v>
      </c>
      <c r="D1301" t="inlineStr">
        <is>
          <t>VÄRMLANDS LÄN</t>
        </is>
      </c>
      <c r="E1301" t="inlineStr">
        <is>
          <t>TORSBY</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3670-2023</t>
        </is>
      </c>
      <c r="B1302" s="1" t="n">
        <v>44950</v>
      </c>
      <c r="C1302" s="1" t="n">
        <v>45662</v>
      </c>
      <c r="D1302" t="inlineStr">
        <is>
          <t>VÄRMLANDS LÄN</t>
        </is>
      </c>
      <c r="E1302" t="inlineStr">
        <is>
          <t>TORSBY</t>
        </is>
      </c>
      <c r="G1302" t="n">
        <v>15.4</v>
      </c>
      <c r="H1302" t="n">
        <v>0</v>
      </c>
      <c r="I1302" t="n">
        <v>0</v>
      </c>
      <c r="J1302" t="n">
        <v>0</v>
      </c>
      <c r="K1302" t="n">
        <v>0</v>
      </c>
      <c r="L1302" t="n">
        <v>0</v>
      </c>
      <c r="M1302" t="n">
        <v>0</v>
      </c>
      <c r="N1302" t="n">
        <v>0</v>
      </c>
      <c r="O1302" t="n">
        <v>0</v>
      </c>
      <c r="P1302" t="n">
        <v>0</v>
      </c>
      <c r="Q1302" t="n">
        <v>0</v>
      </c>
      <c r="R1302" s="2" t="inlineStr"/>
    </row>
    <row r="1303" ht="15" customHeight="1">
      <c r="A1303" t="inlineStr">
        <is>
          <t>A 3667-2023</t>
        </is>
      </c>
      <c r="B1303" s="1" t="n">
        <v>44950</v>
      </c>
      <c r="C1303" s="1" t="n">
        <v>45662</v>
      </c>
      <c r="D1303" t="inlineStr">
        <is>
          <t>VÄRMLANDS LÄN</t>
        </is>
      </c>
      <c r="E1303" t="inlineStr">
        <is>
          <t>TORSBY</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3672-2023</t>
        </is>
      </c>
      <c r="B1304" s="1" t="n">
        <v>44950</v>
      </c>
      <c r="C1304" s="1" t="n">
        <v>45662</v>
      </c>
      <c r="D1304" t="inlineStr">
        <is>
          <t>VÄRMLANDS LÄN</t>
        </is>
      </c>
      <c r="E1304" t="inlineStr">
        <is>
          <t>TORSBY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3881-2023</t>
        </is>
      </c>
      <c r="B1305" s="1" t="n">
        <v>44951</v>
      </c>
      <c r="C1305" s="1" t="n">
        <v>45662</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4250-2023</t>
        </is>
      </c>
      <c r="B1306" s="1" t="n">
        <v>44953</v>
      </c>
      <c r="C1306" s="1" t="n">
        <v>45662</v>
      </c>
      <c r="D1306" t="inlineStr">
        <is>
          <t>VÄRMLANDS LÄN</t>
        </is>
      </c>
      <c r="E1306" t="inlineStr">
        <is>
          <t>TORSBY</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4236-2023</t>
        </is>
      </c>
      <c r="B1307" s="1" t="n">
        <v>44953</v>
      </c>
      <c r="C1307" s="1" t="n">
        <v>45662</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4433-2023</t>
        </is>
      </c>
      <c r="B1308" s="1" t="n">
        <v>44956</v>
      </c>
      <c r="C1308" s="1" t="n">
        <v>45662</v>
      </c>
      <c r="D1308" t="inlineStr">
        <is>
          <t>VÄRMLANDS LÄN</t>
        </is>
      </c>
      <c r="E1308" t="inlineStr">
        <is>
          <t>TORSBY</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4510-2023</t>
        </is>
      </c>
      <c r="B1309" s="1" t="n">
        <v>44956</v>
      </c>
      <c r="C1309" s="1" t="n">
        <v>45662</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4568-2023</t>
        </is>
      </c>
      <c r="B1310" s="1" t="n">
        <v>44956</v>
      </c>
      <c r="C1310" s="1" t="n">
        <v>45662</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4585-2023</t>
        </is>
      </c>
      <c r="B1311" s="1" t="n">
        <v>44956</v>
      </c>
      <c r="C1311" s="1" t="n">
        <v>45662</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4707-2023</t>
        </is>
      </c>
      <c r="B1312" s="1" t="n">
        <v>44957</v>
      </c>
      <c r="C1312" s="1" t="n">
        <v>45662</v>
      </c>
      <c r="D1312" t="inlineStr">
        <is>
          <t>VÄRMLANDS LÄN</t>
        </is>
      </c>
      <c r="E1312" t="inlineStr">
        <is>
          <t>TORSBY</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5216-2023</t>
        </is>
      </c>
      <c r="B1313" s="1" t="n">
        <v>44959</v>
      </c>
      <c r="C1313" s="1" t="n">
        <v>45662</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5492-2023</t>
        </is>
      </c>
      <c r="B1314" s="1" t="n">
        <v>44959</v>
      </c>
      <c r="C1314" s="1" t="n">
        <v>45662</v>
      </c>
      <c r="D1314" t="inlineStr">
        <is>
          <t>VÄRMLANDS LÄN</t>
        </is>
      </c>
      <c r="E1314" t="inlineStr">
        <is>
          <t>TORSBY</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6708-2023</t>
        </is>
      </c>
      <c r="B1315" s="1" t="n">
        <v>44960</v>
      </c>
      <c r="C1315" s="1" t="n">
        <v>45662</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6702-2023</t>
        </is>
      </c>
      <c r="B1316" s="1" t="n">
        <v>44960</v>
      </c>
      <c r="C1316" s="1" t="n">
        <v>45662</v>
      </c>
      <c r="D1316" t="inlineStr">
        <is>
          <t>VÄRMLANDS LÄN</t>
        </is>
      </c>
      <c r="E1316" t="inlineStr">
        <is>
          <t>TORSBY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6715-2023</t>
        </is>
      </c>
      <c r="B1317" s="1" t="n">
        <v>44960</v>
      </c>
      <c r="C1317" s="1" t="n">
        <v>45662</v>
      </c>
      <c r="D1317" t="inlineStr">
        <is>
          <t>VÄRMLANDS LÄN</t>
        </is>
      </c>
      <c r="E1317" t="inlineStr">
        <is>
          <t>TORSBY</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6711-2023</t>
        </is>
      </c>
      <c r="B1318" s="1" t="n">
        <v>44960</v>
      </c>
      <c r="C1318" s="1" t="n">
        <v>45662</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6713-2023</t>
        </is>
      </c>
      <c r="B1319" s="1" t="n">
        <v>44960</v>
      </c>
      <c r="C1319" s="1" t="n">
        <v>45662</v>
      </c>
      <c r="D1319" t="inlineStr">
        <is>
          <t>VÄRMLANDS LÄN</t>
        </is>
      </c>
      <c r="E1319" t="inlineStr">
        <is>
          <t>TORSBY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5830-2023</t>
        </is>
      </c>
      <c r="B1320" s="1" t="n">
        <v>44963</v>
      </c>
      <c r="C1320" s="1" t="n">
        <v>45662</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5763-2023</t>
        </is>
      </c>
      <c r="B1321" s="1" t="n">
        <v>44963</v>
      </c>
      <c r="C1321" s="1" t="n">
        <v>45662</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6863-2023</t>
        </is>
      </c>
      <c r="B1322" s="1" t="n">
        <v>44964</v>
      </c>
      <c r="C1322" s="1" t="n">
        <v>45662</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7283-2023</t>
        </is>
      </c>
      <c r="B1323" s="1" t="n">
        <v>44970</v>
      </c>
      <c r="C1323" s="1" t="n">
        <v>45662</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7127-2023</t>
        </is>
      </c>
      <c r="B1324" s="1" t="n">
        <v>44970</v>
      </c>
      <c r="C1324" s="1" t="n">
        <v>45662</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7133-2023</t>
        </is>
      </c>
      <c r="B1325" s="1" t="n">
        <v>44970</v>
      </c>
      <c r="C1325" s="1" t="n">
        <v>45662</v>
      </c>
      <c r="D1325" t="inlineStr">
        <is>
          <t>VÄRMLANDS LÄN</t>
        </is>
      </c>
      <c r="E1325" t="inlineStr">
        <is>
          <t>TORSBY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7405-2023</t>
        </is>
      </c>
      <c r="B1326" s="1" t="n">
        <v>44971</v>
      </c>
      <c r="C1326" s="1" t="n">
        <v>45662</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8194-2023</t>
        </is>
      </c>
      <c r="B1327" s="1" t="n">
        <v>44971</v>
      </c>
      <c r="C1327" s="1" t="n">
        <v>45662</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8192-2023</t>
        </is>
      </c>
      <c r="B1328" s="1" t="n">
        <v>44971</v>
      </c>
      <c r="C1328" s="1" t="n">
        <v>45662</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7745-2023</t>
        </is>
      </c>
      <c r="B1329" s="1" t="n">
        <v>44973</v>
      </c>
      <c r="C1329" s="1" t="n">
        <v>45662</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7753-2023</t>
        </is>
      </c>
      <c r="B1330" s="1" t="n">
        <v>44973</v>
      </c>
      <c r="C1330" s="1" t="n">
        <v>45662</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8016-2023</t>
        </is>
      </c>
      <c r="B1331" s="1" t="n">
        <v>44973</v>
      </c>
      <c r="C1331" s="1" t="n">
        <v>45662</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8910-2023</t>
        </is>
      </c>
      <c r="B1332" s="1" t="n">
        <v>44973</v>
      </c>
      <c r="C1332" s="1" t="n">
        <v>45662</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8012-2023</t>
        </is>
      </c>
      <c r="B1333" s="1" t="n">
        <v>44973</v>
      </c>
      <c r="C1333" s="1" t="n">
        <v>45662</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8284-2023</t>
        </is>
      </c>
      <c r="B1334" s="1" t="n">
        <v>44974</v>
      </c>
      <c r="C1334" s="1" t="n">
        <v>45662</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8281-2023</t>
        </is>
      </c>
      <c r="B1335" s="1" t="n">
        <v>44974</v>
      </c>
      <c r="C1335" s="1" t="n">
        <v>45662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8287-2023</t>
        </is>
      </c>
      <c r="B1336" s="1" t="n">
        <v>44974</v>
      </c>
      <c r="C1336" s="1" t="n">
        <v>45662</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8931-2023</t>
        </is>
      </c>
      <c r="B1337" s="1" t="n">
        <v>44974</v>
      </c>
      <c r="C1337" s="1" t="n">
        <v>45662</v>
      </c>
      <c r="D1337" t="inlineStr">
        <is>
          <t>VÄRMLANDS LÄN</t>
        </is>
      </c>
      <c r="E1337" t="inlineStr">
        <is>
          <t>TORSBY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8928-2023</t>
        </is>
      </c>
      <c r="B1338" s="1" t="n">
        <v>44974</v>
      </c>
      <c r="C1338" s="1" t="n">
        <v>45662</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8447-2023</t>
        </is>
      </c>
      <c r="B1339" s="1" t="n">
        <v>44977</v>
      </c>
      <c r="C1339" s="1" t="n">
        <v>45662</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9453-2023</t>
        </is>
      </c>
      <c r="B1340" s="1" t="n">
        <v>44977</v>
      </c>
      <c r="C1340" s="1" t="n">
        <v>45662</v>
      </c>
      <c r="D1340" t="inlineStr">
        <is>
          <t>VÄRMLANDS LÄN</t>
        </is>
      </c>
      <c r="E1340" t="inlineStr">
        <is>
          <t>TORSBY</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8819-2023</t>
        </is>
      </c>
      <c r="B1341" s="1" t="n">
        <v>44978</v>
      </c>
      <c r="C1341" s="1" t="n">
        <v>45662</v>
      </c>
      <c r="D1341" t="inlineStr">
        <is>
          <t>VÄRMLANDS LÄN</t>
        </is>
      </c>
      <c r="E1341" t="inlineStr">
        <is>
          <t>TORSBY</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9067-2023</t>
        </is>
      </c>
      <c r="B1342" s="1" t="n">
        <v>44979</v>
      </c>
      <c r="C1342" s="1" t="n">
        <v>45662</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9056-2023</t>
        </is>
      </c>
      <c r="B1343" s="1" t="n">
        <v>44979</v>
      </c>
      <c r="C1343" s="1" t="n">
        <v>45662</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10027-2023</t>
        </is>
      </c>
      <c r="B1344" s="1" t="n">
        <v>44979</v>
      </c>
      <c r="C1344" s="1" t="n">
        <v>45662</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10033-2023</t>
        </is>
      </c>
      <c r="B1345" s="1" t="n">
        <v>44979</v>
      </c>
      <c r="C1345" s="1" t="n">
        <v>45662</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10024-2023</t>
        </is>
      </c>
      <c r="B1346" s="1" t="n">
        <v>44979</v>
      </c>
      <c r="C1346" s="1" t="n">
        <v>45662</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9327-2023</t>
        </is>
      </c>
      <c r="B1347" s="1" t="n">
        <v>44980</v>
      </c>
      <c r="C1347" s="1" t="n">
        <v>45662</v>
      </c>
      <c r="D1347" t="inlineStr">
        <is>
          <t>VÄRMLANDS LÄN</t>
        </is>
      </c>
      <c r="E1347" t="inlineStr">
        <is>
          <t>TORSBY</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10479-2023</t>
        </is>
      </c>
      <c r="B1348" s="1" t="n">
        <v>44981</v>
      </c>
      <c r="C1348" s="1" t="n">
        <v>45662</v>
      </c>
      <c r="D1348" t="inlineStr">
        <is>
          <t>VÄRMLANDS LÄN</t>
        </is>
      </c>
      <c r="E1348" t="inlineStr">
        <is>
          <t>TORSBY</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10473-2023</t>
        </is>
      </c>
      <c r="B1349" s="1" t="n">
        <v>44981</v>
      </c>
      <c r="C1349" s="1" t="n">
        <v>45662</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10471-2023</t>
        </is>
      </c>
      <c r="B1350" s="1" t="n">
        <v>44981</v>
      </c>
      <c r="C1350" s="1" t="n">
        <v>45662</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9575-2023</t>
        </is>
      </c>
      <c r="B1351" s="1" t="n">
        <v>44982</v>
      </c>
      <c r="C1351" s="1" t="n">
        <v>45662</v>
      </c>
      <c r="D1351" t="inlineStr">
        <is>
          <t>VÄRMLANDS LÄN</t>
        </is>
      </c>
      <c r="E1351" t="inlineStr">
        <is>
          <t>TORSBY</t>
        </is>
      </c>
      <c r="F1351" t="inlineStr">
        <is>
          <t>Övriga statliga verk och myndigheter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9574-2023</t>
        </is>
      </c>
      <c r="B1352" s="1" t="n">
        <v>44982</v>
      </c>
      <c r="C1352" s="1" t="n">
        <v>45662</v>
      </c>
      <c r="D1352" t="inlineStr">
        <is>
          <t>VÄRMLANDS LÄN</t>
        </is>
      </c>
      <c r="E1352" t="inlineStr">
        <is>
          <t>TORSBY</t>
        </is>
      </c>
      <c r="F1352" t="inlineStr">
        <is>
          <t>Övriga statliga verk och myndigheter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9578-2023</t>
        </is>
      </c>
      <c r="B1353" s="1" t="n">
        <v>44982</v>
      </c>
      <c r="C1353" s="1" t="n">
        <v>45662</v>
      </c>
      <c r="D1353" t="inlineStr">
        <is>
          <t>VÄRMLANDS LÄN</t>
        </is>
      </c>
      <c r="E1353" t="inlineStr">
        <is>
          <t>TORSBY</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10888-2023</t>
        </is>
      </c>
      <c r="B1354" s="1" t="n">
        <v>44985</v>
      </c>
      <c r="C1354" s="1" t="n">
        <v>45662</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10155-2023</t>
        </is>
      </c>
      <c r="B1355" s="1" t="n">
        <v>44986</v>
      </c>
      <c r="C1355" s="1" t="n">
        <v>45662</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10218-2023</t>
        </is>
      </c>
      <c r="B1356" s="1" t="n">
        <v>44986</v>
      </c>
      <c r="C1356" s="1" t="n">
        <v>45662</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10228-2023</t>
        </is>
      </c>
      <c r="B1357" s="1" t="n">
        <v>44986</v>
      </c>
      <c r="C1357" s="1" t="n">
        <v>45662</v>
      </c>
      <c r="D1357" t="inlineStr">
        <is>
          <t>VÄRMLANDS LÄN</t>
        </is>
      </c>
      <c r="E1357" t="inlineStr">
        <is>
          <t>TORSBY</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10662-2023</t>
        </is>
      </c>
      <c r="B1358" s="1" t="n">
        <v>44988</v>
      </c>
      <c r="C1358" s="1" t="n">
        <v>45662</v>
      </c>
      <c r="D1358" t="inlineStr">
        <is>
          <t>VÄRMLANDS LÄN</t>
        </is>
      </c>
      <c r="E1358" t="inlineStr">
        <is>
          <t>TORSBY</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10583-2023</t>
        </is>
      </c>
      <c r="B1359" s="1" t="n">
        <v>44988</v>
      </c>
      <c r="C1359" s="1" t="n">
        <v>45662</v>
      </c>
      <c r="D1359" t="inlineStr">
        <is>
          <t>VÄRMLANDS LÄN</t>
        </is>
      </c>
      <c r="E1359" t="inlineStr">
        <is>
          <t>TORSBY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10666-2023</t>
        </is>
      </c>
      <c r="B1360" s="1" t="n">
        <v>44988</v>
      </c>
      <c r="C1360" s="1" t="n">
        <v>45662</v>
      </c>
      <c r="D1360" t="inlineStr">
        <is>
          <t>VÄRMLANDS LÄN</t>
        </is>
      </c>
      <c r="E1360" t="inlineStr">
        <is>
          <t>TORSBY</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10698-2023</t>
        </is>
      </c>
      <c r="B1361" s="1" t="n">
        <v>44988</v>
      </c>
      <c r="C1361" s="1" t="n">
        <v>45662</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11364-2023</t>
        </is>
      </c>
      <c r="B1362" s="1" t="n">
        <v>44993</v>
      </c>
      <c r="C1362" s="1" t="n">
        <v>45662</v>
      </c>
      <c r="D1362" t="inlineStr">
        <is>
          <t>VÄRMLANDS LÄN</t>
        </is>
      </c>
      <c r="E1362" t="inlineStr">
        <is>
          <t>TORSBY</t>
        </is>
      </c>
      <c r="G1362" t="n">
        <v>31.9</v>
      </c>
      <c r="H1362" t="n">
        <v>0</v>
      </c>
      <c r="I1362" t="n">
        <v>0</v>
      </c>
      <c r="J1362" t="n">
        <v>0</v>
      </c>
      <c r="K1362" t="n">
        <v>0</v>
      </c>
      <c r="L1362" t="n">
        <v>0</v>
      </c>
      <c r="M1362" t="n">
        <v>0</v>
      </c>
      <c r="N1362" t="n">
        <v>0</v>
      </c>
      <c r="O1362" t="n">
        <v>0</v>
      </c>
      <c r="P1362" t="n">
        <v>0</v>
      </c>
      <c r="Q1362" t="n">
        <v>0</v>
      </c>
      <c r="R1362" s="2" t="inlineStr"/>
    </row>
    <row r="1363" ht="15" customHeight="1">
      <c r="A1363" t="inlineStr">
        <is>
          <t>A 11366-2023</t>
        </is>
      </c>
      <c r="B1363" s="1" t="n">
        <v>44993</v>
      </c>
      <c r="C1363" s="1" t="n">
        <v>45662</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12441-2023</t>
        </is>
      </c>
      <c r="B1364" s="1" t="n">
        <v>44999</v>
      </c>
      <c r="C1364" s="1" t="n">
        <v>45662</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12453-2023</t>
        </is>
      </c>
      <c r="B1365" s="1" t="n">
        <v>44999</v>
      </c>
      <c r="C1365" s="1" t="n">
        <v>45662</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12458-2023</t>
        </is>
      </c>
      <c r="B1366" s="1" t="n">
        <v>44999</v>
      </c>
      <c r="C1366" s="1" t="n">
        <v>45662</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12467-2023</t>
        </is>
      </c>
      <c r="B1367" s="1" t="n">
        <v>44999</v>
      </c>
      <c r="C1367" s="1" t="n">
        <v>45662</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12689-2023</t>
        </is>
      </c>
      <c r="B1368" s="1" t="n">
        <v>45000</v>
      </c>
      <c r="C1368" s="1" t="n">
        <v>45662</v>
      </c>
      <c r="D1368" t="inlineStr">
        <is>
          <t>VÄRMLANDS LÄN</t>
        </is>
      </c>
      <c r="E1368" t="inlineStr">
        <is>
          <t>TORSBY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12637-2023</t>
        </is>
      </c>
      <c r="B1369" s="1" t="n">
        <v>45000</v>
      </c>
      <c r="C1369" s="1" t="n">
        <v>45662</v>
      </c>
      <c r="D1369" t="inlineStr">
        <is>
          <t>VÄRMLANDS LÄN</t>
        </is>
      </c>
      <c r="E1369" t="inlineStr">
        <is>
          <t>TORSBY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12670-2023</t>
        </is>
      </c>
      <c r="B1370" s="1" t="n">
        <v>45000</v>
      </c>
      <c r="C1370" s="1" t="n">
        <v>45662</v>
      </c>
      <c r="D1370" t="inlineStr">
        <is>
          <t>VÄRMLANDS LÄN</t>
        </is>
      </c>
      <c r="E1370" t="inlineStr">
        <is>
          <t>TORSBY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12933-2023</t>
        </is>
      </c>
      <c r="B1371" s="1" t="n">
        <v>45001</v>
      </c>
      <c r="C1371" s="1" t="n">
        <v>45662</v>
      </c>
      <c r="D1371" t="inlineStr">
        <is>
          <t>VÄRMLANDS LÄN</t>
        </is>
      </c>
      <c r="E1371" t="inlineStr">
        <is>
          <t>TORSBY</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13054-2023</t>
        </is>
      </c>
      <c r="B1372" s="1" t="n">
        <v>45001</v>
      </c>
      <c r="C1372" s="1" t="n">
        <v>45662</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13048-2023</t>
        </is>
      </c>
      <c r="B1373" s="1" t="n">
        <v>45001</v>
      </c>
      <c r="C1373" s="1" t="n">
        <v>45662</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12968-2023</t>
        </is>
      </c>
      <c r="B1374" s="1" t="n">
        <v>45001</v>
      </c>
      <c r="C1374" s="1" t="n">
        <v>45662</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13791-2023</t>
        </is>
      </c>
      <c r="B1375" s="1" t="n">
        <v>45005</v>
      </c>
      <c r="C1375" s="1" t="n">
        <v>45662</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13561-2023</t>
        </is>
      </c>
      <c r="B1376" s="1" t="n">
        <v>45006</v>
      </c>
      <c r="C1376" s="1" t="n">
        <v>45662</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13586-2023</t>
        </is>
      </c>
      <c r="B1377" s="1" t="n">
        <v>45006</v>
      </c>
      <c r="C1377" s="1" t="n">
        <v>45662</v>
      </c>
      <c r="D1377" t="inlineStr">
        <is>
          <t>VÄRMLANDS LÄN</t>
        </is>
      </c>
      <c r="E1377" t="inlineStr">
        <is>
          <t>TORSBY</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13785-2023</t>
        </is>
      </c>
      <c r="B1378" s="1" t="n">
        <v>45007</v>
      </c>
      <c r="C1378" s="1" t="n">
        <v>45662</v>
      </c>
      <c r="D1378" t="inlineStr">
        <is>
          <t>VÄRMLANDS LÄN</t>
        </is>
      </c>
      <c r="E1378" t="inlineStr">
        <is>
          <t>TORSBY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13723-2023</t>
        </is>
      </c>
      <c r="B1379" s="1" t="n">
        <v>45007</v>
      </c>
      <c r="C1379" s="1" t="n">
        <v>45662</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14293-2023</t>
        </is>
      </c>
      <c r="B1380" s="1" t="n">
        <v>45011</v>
      </c>
      <c r="C1380" s="1" t="n">
        <v>45662</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14304-2023</t>
        </is>
      </c>
      <c r="B1381" s="1" t="n">
        <v>45011</v>
      </c>
      <c r="C1381" s="1" t="n">
        <v>45662</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14303-2023</t>
        </is>
      </c>
      <c r="B1382" s="1" t="n">
        <v>45011</v>
      </c>
      <c r="C1382" s="1" t="n">
        <v>45662</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14292-2023</t>
        </is>
      </c>
      <c r="B1383" s="1" t="n">
        <v>45011</v>
      </c>
      <c r="C1383" s="1" t="n">
        <v>45662</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14592-2023</t>
        </is>
      </c>
      <c r="B1384" s="1" t="n">
        <v>45013</v>
      </c>
      <c r="C1384" s="1" t="n">
        <v>45662</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14581-2023</t>
        </is>
      </c>
      <c r="B1385" s="1" t="n">
        <v>45013</v>
      </c>
      <c r="C1385" s="1" t="n">
        <v>45662</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14624-2023</t>
        </is>
      </c>
      <c r="B1386" s="1" t="n">
        <v>45013</v>
      </c>
      <c r="C1386" s="1" t="n">
        <v>45662</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14709-2023</t>
        </is>
      </c>
      <c r="B1387" s="1" t="n">
        <v>45014</v>
      </c>
      <c r="C1387" s="1" t="n">
        <v>45662</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14945-2023</t>
        </is>
      </c>
      <c r="B1388" s="1" t="n">
        <v>45014</v>
      </c>
      <c r="C1388" s="1" t="n">
        <v>45662</v>
      </c>
      <c r="D1388" t="inlineStr">
        <is>
          <t>VÄRMLANDS LÄN</t>
        </is>
      </c>
      <c r="E1388" t="inlineStr">
        <is>
          <t>TORSBY</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14917-2023</t>
        </is>
      </c>
      <c r="B1389" s="1" t="n">
        <v>45015</v>
      </c>
      <c r="C1389" s="1" t="n">
        <v>45662</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15085-2023</t>
        </is>
      </c>
      <c r="B1390" s="1" t="n">
        <v>45016</v>
      </c>
      <c r="C1390" s="1" t="n">
        <v>45662</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15087-2023</t>
        </is>
      </c>
      <c r="B1391" s="1" t="n">
        <v>45016</v>
      </c>
      <c r="C1391" s="1" t="n">
        <v>45662</v>
      </c>
      <c r="D1391" t="inlineStr">
        <is>
          <t>VÄRMLANDS LÄN</t>
        </is>
      </c>
      <c r="E1391" t="inlineStr">
        <is>
          <t>TORSBY</t>
        </is>
      </c>
      <c r="F1391" t="inlineStr">
        <is>
          <t>Bergvik skog väst AB</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15413-2023</t>
        </is>
      </c>
      <c r="B1392" s="1" t="n">
        <v>45019</v>
      </c>
      <c r="C1392" s="1" t="n">
        <v>45662</v>
      </c>
      <c r="D1392" t="inlineStr">
        <is>
          <t>VÄRMLANDS LÄN</t>
        </is>
      </c>
      <c r="E1392" t="inlineStr">
        <is>
          <t>TORSBY</t>
        </is>
      </c>
      <c r="G1392" t="n">
        <v>17.1</v>
      </c>
      <c r="H1392" t="n">
        <v>0</v>
      </c>
      <c r="I1392" t="n">
        <v>0</v>
      </c>
      <c r="J1392" t="n">
        <v>0</v>
      </c>
      <c r="K1392" t="n">
        <v>0</v>
      </c>
      <c r="L1392" t="n">
        <v>0</v>
      </c>
      <c r="M1392" t="n">
        <v>0</v>
      </c>
      <c r="N1392" t="n">
        <v>0</v>
      </c>
      <c r="O1392" t="n">
        <v>0</v>
      </c>
      <c r="P1392" t="n">
        <v>0</v>
      </c>
      <c r="Q1392" t="n">
        <v>0</v>
      </c>
      <c r="R1392" s="2" t="inlineStr"/>
    </row>
    <row r="1393" ht="15" customHeight="1">
      <c r="A1393" t="inlineStr">
        <is>
          <t>A 15450-2023</t>
        </is>
      </c>
      <c r="B1393" s="1" t="n">
        <v>45020</v>
      </c>
      <c r="C1393" s="1" t="n">
        <v>45662</v>
      </c>
      <c r="D1393" t="inlineStr">
        <is>
          <t>VÄRMLANDS LÄN</t>
        </is>
      </c>
      <c r="E1393" t="inlineStr">
        <is>
          <t>TORSBY</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15488-2023</t>
        </is>
      </c>
      <c r="B1394" s="1" t="n">
        <v>45020</v>
      </c>
      <c r="C1394" s="1" t="n">
        <v>45662</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15773-2023</t>
        </is>
      </c>
      <c r="B1395" s="1" t="n">
        <v>45021</v>
      </c>
      <c r="C1395" s="1" t="n">
        <v>45662</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16093-2023</t>
        </is>
      </c>
      <c r="B1396" s="1" t="n">
        <v>45021</v>
      </c>
      <c r="C1396" s="1" t="n">
        <v>45662</v>
      </c>
      <c r="D1396" t="inlineStr">
        <is>
          <t>VÄRMLANDS LÄN</t>
        </is>
      </c>
      <c r="E1396" t="inlineStr">
        <is>
          <t>TORSBY</t>
        </is>
      </c>
      <c r="F1396" t="inlineStr">
        <is>
          <t>Övriga statliga verk och myndigheter</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16121-2023</t>
        </is>
      </c>
      <c r="B1397" s="1" t="n">
        <v>45022</v>
      </c>
      <c r="C1397" s="1" t="n">
        <v>45662</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16416-2023</t>
        </is>
      </c>
      <c r="B1398" s="1" t="n">
        <v>45022</v>
      </c>
      <c r="C1398" s="1" t="n">
        <v>45662</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16433-2023</t>
        </is>
      </c>
      <c r="B1399" s="1" t="n">
        <v>45022</v>
      </c>
      <c r="C1399" s="1" t="n">
        <v>45662</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16427-2023</t>
        </is>
      </c>
      <c r="B1400" s="1" t="n">
        <v>45022</v>
      </c>
      <c r="C1400" s="1" t="n">
        <v>45662</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15992-2023</t>
        </is>
      </c>
      <c r="B1401" s="1" t="n">
        <v>45023</v>
      </c>
      <c r="C1401" s="1" t="n">
        <v>45662</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16044-2023</t>
        </is>
      </c>
      <c r="B1402" s="1" t="n">
        <v>45027</v>
      </c>
      <c r="C1402" s="1" t="n">
        <v>45662</v>
      </c>
      <c r="D1402" t="inlineStr">
        <is>
          <t>VÄRMLANDS LÄN</t>
        </is>
      </c>
      <c r="E1402" t="inlineStr">
        <is>
          <t>TORSBY</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16309-2023</t>
        </is>
      </c>
      <c r="B1403" s="1" t="n">
        <v>45028</v>
      </c>
      <c r="C1403" s="1" t="n">
        <v>45662</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16313-2023</t>
        </is>
      </c>
      <c r="B1404" s="1" t="n">
        <v>45028</v>
      </c>
      <c r="C1404" s="1" t="n">
        <v>45662</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16317-2023</t>
        </is>
      </c>
      <c r="B1405" s="1" t="n">
        <v>45028</v>
      </c>
      <c r="C1405" s="1" t="n">
        <v>45662</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16919-2023</t>
        </is>
      </c>
      <c r="B1406" s="1" t="n">
        <v>45033</v>
      </c>
      <c r="C1406" s="1" t="n">
        <v>45662</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16945-2023</t>
        </is>
      </c>
      <c r="B1407" s="1" t="n">
        <v>45033</v>
      </c>
      <c r="C1407" s="1" t="n">
        <v>45662</v>
      </c>
      <c r="D1407" t="inlineStr">
        <is>
          <t>VÄRMLANDS LÄN</t>
        </is>
      </c>
      <c r="E1407" t="inlineStr">
        <is>
          <t>TORSBY</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16943-2023</t>
        </is>
      </c>
      <c r="B1408" s="1" t="n">
        <v>45033</v>
      </c>
      <c r="C1408" s="1" t="n">
        <v>45662</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17184-2023</t>
        </is>
      </c>
      <c r="B1409" s="1" t="n">
        <v>45034</v>
      </c>
      <c r="C1409" s="1" t="n">
        <v>45662</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17188-2023</t>
        </is>
      </c>
      <c r="B1410" s="1" t="n">
        <v>45034</v>
      </c>
      <c r="C1410" s="1" t="n">
        <v>45662</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17554-2023</t>
        </is>
      </c>
      <c r="B1411" s="1" t="n">
        <v>45034</v>
      </c>
      <c r="C1411" s="1" t="n">
        <v>45662</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17300-2023</t>
        </is>
      </c>
      <c r="B1412" s="1" t="n">
        <v>45035</v>
      </c>
      <c r="C1412" s="1" t="n">
        <v>45662</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17322-2023</t>
        </is>
      </c>
      <c r="B1413" s="1" t="n">
        <v>45035</v>
      </c>
      <c r="C1413" s="1" t="n">
        <v>45662</v>
      </c>
      <c r="D1413" t="inlineStr">
        <is>
          <t>VÄRMLANDS LÄN</t>
        </is>
      </c>
      <c r="E1413" t="inlineStr">
        <is>
          <t>TORSBY</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17328-2023</t>
        </is>
      </c>
      <c r="B1414" s="1" t="n">
        <v>45035</v>
      </c>
      <c r="C1414" s="1" t="n">
        <v>45662</v>
      </c>
      <c r="D1414" t="inlineStr">
        <is>
          <t>VÄRMLANDS LÄN</t>
        </is>
      </c>
      <c r="E1414" t="inlineStr">
        <is>
          <t>TORSBY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17548-2023</t>
        </is>
      </c>
      <c r="B1415" s="1" t="n">
        <v>45036</v>
      </c>
      <c r="C1415" s="1" t="n">
        <v>45662</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17488-2023</t>
        </is>
      </c>
      <c r="B1416" s="1" t="n">
        <v>45036</v>
      </c>
      <c r="C1416" s="1" t="n">
        <v>45662</v>
      </c>
      <c r="D1416" t="inlineStr">
        <is>
          <t>VÄRMLANDS LÄN</t>
        </is>
      </c>
      <c r="E1416" t="inlineStr">
        <is>
          <t>TORSBY</t>
        </is>
      </c>
      <c r="G1416" t="n">
        <v>15.6</v>
      </c>
      <c r="H1416" t="n">
        <v>0</v>
      </c>
      <c r="I1416" t="n">
        <v>0</v>
      </c>
      <c r="J1416" t="n">
        <v>0</v>
      </c>
      <c r="K1416" t="n">
        <v>0</v>
      </c>
      <c r="L1416" t="n">
        <v>0</v>
      </c>
      <c r="M1416" t="n">
        <v>0</v>
      </c>
      <c r="N1416" t="n">
        <v>0</v>
      </c>
      <c r="O1416" t="n">
        <v>0</v>
      </c>
      <c r="P1416" t="n">
        <v>0</v>
      </c>
      <c r="Q1416" t="n">
        <v>0</v>
      </c>
      <c r="R1416" s="2" t="inlineStr"/>
    </row>
    <row r="1417" ht="15" customHeight="1">
      <c r="A1417" t="inlineStr">
        <is>
          <t>A 17546-2023</t>
        </is>
      </c>
      <c r="B1417" s="1" t="n">
        <v>45036</v>
      </c>
      <c r="C1417" s="1" t="n">
        <v>45662</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17898-2023</t>
        </is>
      </c>
      <c r="B1418" s="1" t="n">
        <v>45039</v>
      </c>
      <c r="C1418" s="1" t="n">
        <v>45662</v>
      </c>
      <c r="D1418" t="inlineStr">
        <is>
          <t>VÄRMLANDS LÄN</t>
        </is>
      </c>
      <c r="E1418" t="inlineStr">
        <is>
          <t>TORSBY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17897-2023</t>
        </is>
      </c>
      <c r="B1419" s="1" t="n">
        <v>45039</v>
      </c>
      <c r="C1419" s="1" t="n">
        <v>45662</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18244-2023</t>
        </is>
      </c>
      <c r="B1420" s="1" t="n">
        <v>45041</v>
      </c>
      <c r="C1420" s="1" t="n">
        <v>45662</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18338-2023</t>
        </is>
      </c>
      <c r="B1421" s="1" t="n">
        <v>45041</v>
      </c>
      <c r="C1421" s="1" t="n">
        <v>45662</v>
      </c>
      <c r="D1421" t="inlineStr">
        <is>
          <t>VÄRMLANDS LÄN</t>
        </is>
      </c>
      <c r="E1421" t="inlineStr">
        <is>
          <t>TORSBY</t>
        </is>
      </c>
      <c r="F1421" t="inlineStr">
        <is>
          <t>Bergvik skog väst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18544-2023</t>
        </is>
      </c>
      <c r="B1422" s="1" t="n">
        <v>45041</v>
      </c>
      <c r="C1422" s="1" t="n">
        <v>45662</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18411-2023</t>
        </is>
      </c>
      <c r="B1423" s="1" t="n">
        <v>45042</v>
      </c>
      <c r="C1423" s="1" t="n">
        <v>45662</v>
      </c>
      <c r="D1423" t="inlineStr">
        <is>
          <t>VÄRMLANDS LÄN</t>
        </is>
      </c>
      <c r="E1423" t="inlineStr">
        <is>
          <t>TORSBY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18621-2023</t>
        </is>
      </c>
      <c r="B1424" s="1" t="n">
        <v>45043</v>
      </c>
      <c r="C1424" s="1" t="n">
        <v>45662</v>
      </c>
      <c r="D1424" t="inlineStr">
        <is>
          <t>VÄRMLANDS LÄN</t>
        </is>
      </c>
      <c r="E1424" t="inlineStr">
        <is>
          <t>TORSBY</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18675-2023</t>
        </is>
      </c>
      <c r="B1425" s="1" t="n">
        <v>45043</v>
      </c>
      <c r="C1425" s="1" t="n">
        <v>45662</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18876-2023</t>
        </is>
      </c>
      <c r="B1426" s="1" t="n">
        <v>45044</v>
      </c>
      <c r="C1426" s="1" t="n">
        <v>45662</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19042-2023</t>
        </is>
      </c>
      <c r="B1427" s="1" t="n">
        <v>45047</v>
      </c>
      <c r="C1427" s="1" t="n">
        <v>45662</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19527-2023</t>
        </is>
      </c>
      <c r="B1428" s="1" t="n">
        <v>45050</v>
      </c>
      <c r="C1428" s="1" t="n">
        <v>45662</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19675-2023</t>
        </is>
      </c>
      <c r="B1429" s="1" t="n">
        <v>45051</v>
      </c>
      <c r="C1429" s="1" t="n">
        <v>45662</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19714-2023</t>
        </is>
      </c>
      <c r="B1430" s="1" t="n">
        <v>45051</v>
      </c>
      <c r="C1430" s="1" t="n">
        <v>45662</v>
      </c>
      <c r="D1430" t="inlineStr">
        <is>
          <t>VÄRMLANDS LÄN</t>
        </is>
      </c>
      <c r="E1430" t="inlineStr">
        <is>
          <t>TORSBY</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19998-2023</t>
        </is>
      </c>
      <c r="B1431" s="1" t="n">
        <v>45054</v>
      </c>
      <c r="C1431" s="1" t="n">
        <v>45662</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20130-2023</t>
        </is>
      </c>
      <c r="B1432" s="1" t="n">
        <v>45055</v>
      </c>
      <c r="C1432" s="1" t="n">
        <v>45662</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20107-2023</t>
        </is>
      </c>
      <c r="B1433" s="1" t="n">
        <v>45055</v>
      </c>
      <c r="C1433" s="1" t="n">
        <v>45662</v>
      </c>
      <c r="D1433" t="inlineStr">
        <is>
          <t>VÄRMLANDS LÄN</t>
        </is>
      </c>
      <c r="E1433" t="inlineStr">
        <is>
          <t>TORSBY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20120-2023</t>
        </is>
      </c>
      <c r="B1434" s="1" t="n">
        <v>45055</v>
      </c>
      <c r="C1434" s="1" t="n">
        <v>45662</v>
      </c>
      <c r="D1434" t="inlineStr">
        <is>
          <t>VÄRMLANDS LÄN</t>
        </is>
      </c>
      <c r="E1434" t="inlineStr">
        <is>
          <t>TORSBY</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20127-2023</t>
        </is>
      </c>
      <c r="B1435" s="1" t="n">
        <v>45055</v>
      </c>
      <c r="C1435" s="1" t="n">
        <v>45662</v>
      </c>
      <c r="D1435" t="inlineStr">
        <is>
          <t>VÄRMLANDS LÄN</t>
        </is>
      </c>
      <c r="E1435" t="inlineStr">
        <is>
          <t>TORSBY</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20805-2023</t>
        </is>
      </c>
      <c r="B1436" s="1" t="n">
        <v>45055</v>
      </c>
      <c r="C1436" s="1" t="n">
        <v>45662</v>
      </c>
      <c r="D1436" t="inlineStr">
        <is>
          <t>VÄRMLANDS LÄN</t>
        </is>
      </c>
      <c r="E1436" t="inlineStr">
        <is>
          <t>TORSBY</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20293-2023</t>
        </is>
      </c>
      <c r="B1437" s="1" t="n">
        <v>45056</v>
      </c>
      <c r="C1437" s="1" t="n">
        <v>45662</v>
      </c>
      <c r="D1437" t="inlineStr">
        <is>
          <t>VÄRMLANDS LÄN</t>
        </is>
      </c>
      <c r="E1437" t="inlineStr">
        <is>
          <t>TORSBY</t>
        </is>
      </c>
      <c r="F1437" t="inlineStr">
        <is>
          <t>Kyrkan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20321-2023</t>
        </is>
      </c>
      <c r="B1438" s="1" t="n">
        <v>45056</v>
      </c>
      <c r="C1438" s="1" t="n">
        <v>45662</v>
      </c>
      <c r="D1438" t="inlineStr">
        <is>
          <t>VÄRMLANDS LÄN</t>
        </is>
      </c>
      <c r="E1438" t="inlineStr">
        <is>
          <t>TORSBY</t>
        </is>
      </c>
      <c r="F1438" t="inlineStr">
        <is>
          <t>Kyrkan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20393-2023</t>
        </is>
      </c>
      <c r="B1439" s="1" t="n">
        <v>45056</v>
      </c>
      <c r="C1439" s="1" t="n">
        <v>45662</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20298-2023</t>
        </is>
      </c>
      <c r="B1440" s="1" t="n">
        <v>45056</v>
      </c>
      <c r="C1440" s="1" t="n">
        <v>45662</v>
      </c>
      <c r="D1440" t="inlineStr">
        <is>
          <t>VÄRMLANDS LÄN</t>
        </is>
      </c>
      <c r="E1440" t="inlineStr">
        <is>
          <t>TORSBY</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20847-2023</t>
        </is>
      </c>
      <c r="B1441" s="1" t="n">
        <v>45056</v>
      </c>
      <c r="C1441" s="1" t="n">
        <v>45662</v>
      </c>
      <c r="D1441" t="inlineStr">
        <is>
          <t>VÄRMLANDS LÄN</t>
        </is>
      </c>
      <c r="E1441" t="inlineStr">
        <is>
          <t>TORSBY</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20528-2023</t>
        </is>
      </c>
      <c r="B1442" s="1" t="n">
        <v>45057</v>
      </c>
      <c r="C1442" s="1" t="n">
        <v>45662</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20757-2023</t>
        </is>
      </c>
      <c r="B1443" s="1" t="n">
        <v>45058</v>
      </c>
      <c r="C1443" s="1" t="n">
        <v>45662</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20831-2023</t>
        </is>
      </c>
      <c r="B1444" s="1" t="n">
        <v>45058</v>
      </c>
      <c r="C1444" s="1" t="n">
        <v>45662</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20648-2023</t>
        </is>
      </c>
      <c r="B1445" s="1" t="n">
        <v>45058</v>
      </c>
      <c r="C1445" s="1" t="n">
        <v>45662</v>
      </c>
      <c r="D1445" t="inlineStr">
        <is>
          <t>VÄRMLANDS LÄN</t>
        </is>
      </c>
      <c r="E1445" t="inlineStr">
        <is>
          <t>TORSBY</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20740-2023</t>
        </is>
      </c>
      <c r="B1446" s="1" t="n">
        <v>45058</v>
      </c>
      <c r="C1446" s="1" t="n">
        <v>45662</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20737-2023</t>
        </is>
      </c>
      <c r="B1447" s="1" t="n">
        <v>45058</v>
      </c>
      <c r="C1447" s="1" t="n">
        <v>45662</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20829-2023</t>
        </is>
      </c>
      <c r="B1448" s="1" t="n">
        <v>45058</v>
      </c>
      <c r="C1448" s="1" t="n">
        <v>45662</v>
      </c>
      <c r="D1448" t="inlineStr">
        <is>
          <t>VÄRMLANDS LÄN</t>
        </is>
      </c>
      <c r="E1448" t="inlineStr">
        <is>
          <t>TORSBY</t>
        </is>
      </c>
      <c r="F1448" t="inlineStr">
        <is>
          <t>Bergvik skog väst AB</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20830-2023</t>
        </is>
      </c>
      <c r="B1449" s="1" t="n">
        <v>45058</v>
      </c>
      <c r="C1449" s="1" t="n">
        <v>45662</v>
      </c>
      <c r="D1449" t="inlineStr">
        <is>
          <t>VÄRMLANDS LÄN</t>
        </is>
      </c>
      <c r="E1449" t="inlineStr">
        <is>
          <t>TORSBY</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20679-2023</t>
        </is>
      </c>
      <c r="B1450" s="1" t="n">
        <v>45058</v>
      </c>
      <c r="C1450" s="1" t="n">
        <v>45662</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20721-2023</t>
        </is>
      </c>
      <c r="B1451" s="1" t="n">
        <v>45058</v>
      </c>
      <c r="C1451" s="1" t="n">
        <v>45662</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20733-2023</t>
        </is>
      </c>
      <c r="B1452" s="1" t="n">
        <v>45058</v>
      </c>
      <c r="C1452" s="1" t="n">
        <v>45662</v>
      </c>
      <c r="D1452" t="inlineStr">
        <is>
          <t>VÄRMLANDS LÄN</t>
        </is>
      </c>
      <c r="E1452" t="inlineStr">
        <is>
          <t>TORSBY</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20745-2023</t>
        </is>
      </c>
      <c r="B1453" s="1" t="n">
        <v>45058</v>
      </c>
      <c r="C1453" s="1" t="n">
        <v>45662</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21258-2023</t>
        </is>
      </c>
      <c r="B1454" s="1" t="n">
        <v>45058</v>
      </c>
      <c r="C1454" s="1" t="n">
        <v>45662</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21255-2023</t>
        </is>
      </c>
      <c r="B1455" s="1" t="n">
        <v>45058</v>
      </c>
      <c r="C1455" s="1" t="n">
        <v>45662</v>
      </c>
      <c r="D1455" t="inlineStr">
        <is>
          <t>VÄRMLANDS LÄN</t>
        </is>
      </c>
      <c r="E1455" t="inlineStr">
        <is>
          <t>TORSBY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20898-2023</t>
        </is>
      </c>
      <c r="B1456" s="1" t="n">
        <v>45059</v>
      </c>
      <c r="C1456" s="1" t="n">
        <v>45662</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21076-2023</t>
        </is>
      </c>
      <c r="B1457" s="1" t="n">
        <v>45061</v>
      </c>
      <c r="C1457" s="1" t="n">
        <v>45662</v>
      </c>
      <c r="D1457" t="inlineStr">
        <is>
          <t>VÄRMLANDS LÄN</t>
        </is>
      </c>
      <c r="E1457" t="inlineStr">
        <is>
          <t>TORSBY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21033-2023</t>
        </is>
      </c>
      <c r="B1458" s="1" t="n">
        <v>45061</v>
      </c>
      <c r="C1458" s="1" t="n">
        <v>45662</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21078-2023</t>
        </is>
      </c>
      <c r="B1459" s="1" t="n">
        <v>45061</v>
      </c>
      <c r="C1459" s="1" t="n">
        <v>45662</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21158-2023</t>
        </is>
      </c>
      <c r="B1460" s="1" t="n">
        <v>45062</v>
      </c>
      <c r="C1460" s="1" t="n">
        <v>45662</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21189-2023</t>
        </is>
      </c>
      <c r="B1461" s="1" t="n">
        <v>45062</v>
      </c>
      <c r="C1461" s="1" t="n">
        <v>45662</v>
      </c>
      <c r="D1461" t="inlineStr">
        <is>
          <t>VÄRMLANDS LÄN</t>
        </is>
      </c>
      <c r="E1461" t="inlineStr">
        <is>
          <t>TORSBY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21154-2023</t>
        </is>
      </c>
      <c r="B1462" s="1" t="n">
        <v>45062</v>
      </c>
      <c r="C1462" s="1" t="n">
        <v>45662</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21409-2023</t>
        </is>
      </c>
      <c r="B1463" s="1" t="n">
        <v>45063</v>
      </c>
      <c r="C1463" s="1" t="n">
        <v>45662</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21365-2023</t>
        </is>
      </c>
      <c r="B1464" s="1" t="n">
        <v>45063</v>
      </c>
      <c r="C1464" s="1" t="n">
        <v>45662</v>
      </c>
      <c r="D1464" t="inlineStr">
        <is>
          <t>VÄRMLANDS LÄN</t>
        </is>
      </c>
      <c r="E1464" t="inlineStr">
        <is>
          <t>TORSBY</t>
        </is>
      </c>
      <c r="F1464" t="inlineStr">
        <is>
          <t>Kyrkan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21390-2023</t>
        </is>
      </c>
      <c r="B1465" s="1" t="n">
        <v>45063</v>
      </c>
      <c r="C1465" s="1" t="n">
        <v>45662</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21411-2023</t>
        </is>
      </c>
      <c r="B1466" s="1" t="n">
        <v>45063</v>
      </c>
      <c r="C1466" s="1" t="n">
        <v>45662</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21786-2023</t>
        </is>
      </c>
      <c r="B1467" s="1" t="n">
        <v>45066</v>
      </c>
      <c r="C1467" s="1" t="n">
        <v>45662</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21790-2023</t>
        </is>
      </c>
      <c r="B1468" s="1" t="n">
        <v>45067</v>
      </c>
      <c r="C1468" s="1" t="n">
        <v>45662</v>
      </c>
      <c r="D1468" t="inlineStr">
        <is>
          <t>VÄRMLANDS LÄN</t>
        </is>
      </c>
      <c r="E1468" t="inlineStr">
        <is>
          <t>TORSBY</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21839-2023</t>
        </is>
      </c>
      <c r="B1469" s="1" t="n">
        <v>45068</v>
      </c>
      <c r="C1469" s="1" t="n">
        <v>45662</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21847-2023</t>
        </is>
      </c>
      <c r="B1470" s="1" t="n">
        <v>45068</v>
      </c>
      <c r="C1470" s="1" t="n">
        <v>45662</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21988-2023</t>
        </is>
      </c>
      <c r="B1471" s="1" t="n">
        <v>45068</v>
      </c>
      <c r="C1471" s="1" t="n">
        <v>45662</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21912-2023</t>
        </is>
      </c>
      <c r="B1472" s="1" t="n">
        <v>45068</v>
      </c>
      <c r="C1472" s="1" t="n">
        <v>45662</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22089-2023</t>
        </is>
      </c>
      <c r="B1473" s="1" t="n">
        <v>45069</v>
      </c>
      <c r="C1473" s="1" t="n">
        <v>45662</v>
      </c>
      <c r="D1473" t="inlineStr">
        <is>
          <t>VÄRMLANDS LÄN</t>
        </is>
      </c>
      <c r="E1473" t="inlineStr">
        <is>
          <t>TORSBY</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22030-2023</t>
        </is>
      </c>
      <c r="B1474" s="1" t="n">
        <v>45069</v>
      </c>
      <c r="C1474" s="1" t="n">
        <v>45662</v>
      </c>
      <c r="D1474" t="inlineStr">
        <is>
          <t>VÄRMLANDS LÄN</t>
        </is>
      </c>
      <c r="E1474" t="inlineStr">
        <is>
          <t>TORSBY</t>
        </is>
      </c>
      <c r="F1474" t="inlineStr">
        <is>
          <t>Bergvik skog väst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22038-2023</t>
        </is>
      </c>
      <c r="B1475" s="1" t="n">
        <v>45069</v>
      </c>
      <c r="C1475" s="1" t="n">
        <v>45662</v>
      </c>
      <c r="D1475" t="inlineStr">
        <is>
          <t>VÄRMLANDS LÄN</t>
        </is>
      </c>
      <c r="E1475" t="inlineStr">
        <is>
          <t>TORSBY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22033-2023</t>
        </is>
      </c>
      <c r="B1476" s="1" t="n">
        <v>45069</v>
      </c>
      <c r="C1476" s="1" t="n">
        <v>45662</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22386-2023</t>
        </is>
      </c>
      <c r="B1477" s="1" t="n">
        <v>45070</v>
      </c>
      <c r="C1477" s="1" t="n">
        <v>45662</v>
      </c>
      <c r="D1477" t="inlineStr">
        <is>
          <t>VÄRMLANDS LÄN</t>
        </is>
      </c>
      <c r="E1477" t="inlineStr">
        <is>
          <t>TORSBY</t>
        </is>
      </c>
      <c r="F1477" t="inlineStr">
        <is>
          <t>Bergvik skog väst AB</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22301-2023</t>
        </is>
      </c>
      <c r="B1478" s="1" t="n">
        <v>45070</v>
      </c>
      <c r="C1478" s="1" t="n">
        <v>45662</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23073-2023</t>
        </is>
      </c>
      <c r="B1479" s="1" t="n">
        <v>45070</v>
      </c>
      <c r="C1479" s="1" t="n">
        <v>45662</v>
      </c>
      <c r="D1479" t="inlineStr">
        <is>
          <t>VÄRMLANDS LÄN</t>
        </is>
      </c>
      <c r="E1479" t="inlineStr">
        <is>
          <t>TORSBY</t>
        </is>
      </c>
      <c r="G1479" t="n">
        <v>15.1</v>
      </c>
      <c r="H1479" t="n">
        <v>0</v>
      </c>
      <c r="I1479" t="n">
        <v>0</v>
      </c>
      <c r="J1479" t="n">
        <v>0</v>
      </c>
      <c r="K1479" t="n">
        <v>0</v>
      </c>
      <c r="L1479" t="n">
        <v>0</v>
      </c>
      <c r="M1479" t="n">
        <v>0</v>
      </c>
      <c r="N1479" t="n">
        <v>0</v>
      </c>
      <c r="O1479" t="n">
        <v>0</v>
      </c>
      <c r="P1479" t="n">
        <v>0</v>
      </c>
      <c r="Q1479" t="n">
        <v>0</v>
      </c>
      <c r="R1479" s="2" t="inlineStr"/>
    </row>
    <row r="1480" ht="15" customHeight="1">
      <c r="A1480" t="inlineStr">
        <is>
          <t>A 22920-2023</t>
        </is>
      </c>
      <c r="B1480" s="1" t="n">
        <v>45070</v>
      </c>
      <c r="C1480" s="1" t="n">
        <v>45662</v>
      </c>
      <c r="D1480" t="inlineStr">
        <is>
          <t>VÄRMLANDS LÄN</t>
        </is>
      </c>
      <c r="E1480" t="inlineStr">
        <is>
          <t>TORSBY</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22494-2023</t>
        </is>
      </c>
      <c r="B1481" s="1" t="n">
        <v>45071</v>
      </c>
      <c r="C1481" s="1" t="n">
        <v>45662</v>
      </c>
      <c r="D1481" t="inlineStr">
        <is>
          <t>VÄRMLANDS LÄN</t>
        </is>
      </c>
      <c r="E1481" t="inlineStr">
        <is>
          <t>TORSBY</t>
        </is>
      </c>
      <c r="F1481" t="inlineStr">
        <is>
          <t>Bergvik skog väst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22524-2023</t>
        </is>
      </c>
      <c r="B1482" s="1" t="n">
        <v>45071</v>
      </c>
      <c r="C1482" s="1" t="n">
        <v>45662</v>
      </c>
      <c r="D1482" t="inlineStr">
        <is>
          <t>VÄRMLANDS LÄN</t>
        </is>
      </c>
      <c r="E1482" t="inlineStr">
        <is>
          <t>TORSBY</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22587-2023</t>
        </is>
      </c>
      <c r="B1483" s="1" t="n">
        <v>45071</v>
      </c>
      <c r="C1483" s="1" t="n">
        <v>45662</v>
      </c>
      <c r="D1483" t="inlineStr">
        <is>
          <t>VÄRMLANDS LÄN</t>
        </is>
      </c>
      <c r="E1483" t="inlineStr">
        <is>
          <t>TORSBY</t>
        </is>
      </c>
      <c r="F1483" t="inlineStr">
        <is>
          <t>Bergvik skog väst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22618-2023</t>
        </is>
      </c>
      <c r="B1484" s="1" t="n">
        <v>45071</v>
      </c>
      <c r="C1484" s="1" t="n">
        <v>45662</v>
      </c>
      <c r="D1484" t="inlineStr">
        <is>
          <t>VÄRMLANDS LÄN</t>
        </is>
      </c>
      <c r="E1484" t="inlineStr">
        <is>
          <t>TORSBY</t>
        </is>
      </c>
      <c r="F1484" t="inlineStr">
        <is>
          <t>Bergvik skog väst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22655-2023</t>
        </is>
      </c>
      <c r="B1485" s="1" t="n">
        <v>45071</v>
      </c>
      <c r="C1485" s="1" t="n">
        <v>45662</v>
      </c>
      <c r="D1485" t="inlineStr">
        <is>
          <t>VÄRMLANDS LÄN</t>
        </is>
      </c>
      <c r="E1485" t="inlineStr">
        <is>
          <t>TORSBY</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22705-2023</t>
        </is>
      </c>
      <c r="B1486" s="1" t="n">
        <v>45071</v>
      </c>
      <c r="C1486" s="1" t="n">
        <v>45662</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22687-2023</t>
        </is>
      </c>
      <c r="B1487" s="1" t="n">
        <v>45071</v>
      </c>
      <c r="C1487" s="1" t="n">
        <v>45662</v>
      </c>
      <c r="D1487" t="inlineStr">
        <is>
          <t>VÄRMLANDS LÄN</t>
        </is>
      </c>
      <c r="E1487" t="inlineStr">
        <is>
          <t>TORSBY</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22634-2023</t>
        </is>
      </c>
      <c r="B1488" s="1" t="n">
        <v>45071</v>
      </c>
      <c r="C1488" s="1" t="n">
        <v>45662</v>
      </c>
      <c r="D1488" t="inlineStr">
        <is>
          <t>VÄRMLANDS LÄN</t>
        </is>
      </c>
      <c r="E1488" t="inlineStr">
        <is>
          <t>TORSBY</t>
        </is>
      </c>
      <c r="F1488" t="inlineStr">
        <is>
          <t>Bergvik skog väst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22675-2023</t>
        </is>
      </c>
      <c r="B1489" s="1" t="n">
        <v>45071</v>
      </c>
      <c r="C1489" s="1" t="n">
        <v>45662</v>
      </c>
      <c r="D1489" t="inlineStr">
        <is>
          <t>VÄRMLANDS LÄN</t>
        </is>
      </c>
      <c r="E1489" t="inlineStr">
        <is>
          <t>TORSBY</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22702-2023</t>
        </is>
      </c>
      <c r="B1490" s="1" t="n">
        <v>45071</v>
      </c>
      <c r="C1490" s="1" t="n">
        <v>45662</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22939-2023</t>
        </is>
      </c>
      <c r="B1491" s="1" t="n">
        <v>45072</v>
      </c>
      <c r="C1491" s="1" t="n">
        <v>45662</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22943-2023</t>
        </is>
      </c>
      <c r="B1492" s="1" t="n">
        <v>45072</v>
      </c>
      <c r="C1492" s="1" t="n">
        <v>45662</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23572-2023</t>
        </is>
      </c>
      <c r="B1493" s="1" t="n">
        <v>45077</v>
      </c>
      <c r="C1493" s="1" t="n">
        <v>45662</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23624-2023</t>
        </is>
      </c>
      <c r="B1494" s="1" t="n">
        <v>45077</v>
      </c>
      <c r="C1494" s="1" t="n">
        <v>45662</v>
      </c>
      <c r="D1494" t="inlineStr">
        <is>
          <t>VÄRMLANDS LÄN</t>
        </is>
      </c>
      <c r="E1494" t="inlineStr">
        <is>
          <t>TORSBY</t>
        </is>
      </c>
      <c r="F1494" t="inlineStr">
        <is>
          <t>Bergvik skog väst AB</t>
        </is>
      </c>
      <c r="G1494" t="n">
        <v>27.9</v>
      </c>
      <c r="H1494" t="n">
        <v>0</v>
      </c>
      <c r="I1494" t="n">
        <v>0</v>
      </c>
      <c r="J1494" t="n">
        <v>0</v>
      </c>
      <c r="K1494" t="n">
        <v>0</v>
      </c>
      <c r="L1494" t="n">
        <v>0</v>
      </c>
      <c r="M1494" t="n">
        <v>0</v>
      </c>
      <c r="N1494" t="n">
        <v>0</v>
      </c>
      <c r="O1494" t="n">
        <v>0</v>
      </c>
      <c r="P1494" t="n">
        <v>0</v>
      </c>
      <c r="Q1494" t="n">
        <v>0</v>
      </c>
      <c r="R1494" s="2" t="inlineStr"/>
    </row>
    <row r="1495" ht="15" customHeight="1">
      <c r="A1495" t="inlineStr">
        <is>
          <t>A 23894-2023</t>
        </is>
      </c>
      <c r="B1495" s="1" t="n">
        <v>45078</v>
      </c>
      <c r="C1495" s="1" t="n">
        <v>45662</v>
      </c>
      <c r="D1495" t="inlineStr">
        <is>
          <t>VÄRMLANDS LÄN</t>
        </is>
      </c>
      <c r="E1495" t="inlineStr">
        <is>
          <t>TORSBY</t>
        </is>
      </c>
      <c r="F1495" t="inlineStr">
        <is>
          <t>Bergvik skog väst AB</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23912-2023</t>
        </is>
      </c>
      <c r="B1496" s="1" t="n">
        <v>45078</v>
      </c>
      <c r="C1496" s="1" t="n">
        <v>45662</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24244-2023</t>
        </is>
      </c>
      <c r="B1497" s="1" t="n">
        <v>45079</v>
      </c>
      <c r="C1497" s="1" t="n">
        <v>45662</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24170-2023</t>
        </is>
      </c>
      <c r="B1498" s="1" t="n">
        <v>45079</v>
      </c>
      <c r="C1498" s="1" t="n">
        <v>45662</v>
      </c>
      <c r="D1498" t="inlineStr">
        <is>
          <t>VÄRMLANDS LÄN</t>
        </is>
      </c>
      <c r="E1498" t="inlineStr">
        <is>
          <t>TORSBY</t>
        </is>
      </c>
      <c r="F1498" t="inlineStr">
        <is>
          <t>Bergvik skog väst AB</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24101-2023</t>
        </is>
      </c>
      <c r="B1499" s="1" t="n">
        <v>45079</v>
      </c>
      <c r="C1499" s="1" t="n">
        <v>45662</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24196-2023</t>
        </is>
      </c>
      <c r="B1500" s="1" t="n">
        <v>45079</v>
      </c>
      <c r="C1500" s="1" t="n">
        <v>45662</v>
      </c>
      <c r="D1500" t="inlineStr">
        <is>
          <t>VÄRMLANDS LÄN</t>
        </is>
      </c>
      <c r="E1500" t="inlineStr">
        <is>
          <t>TORSBY</t>
        </is>
      </c>
      <c r="F1500" t="inlineStr">
        <is>
          <t>Bergvik skog väst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24518-2023</t>
        </is>
      </c>
      <c r="B1501" s="1" t="n">
        <v>45082</v>
      </c>
      <c r="C1501" s="1" t="n">
        <v>45662</v>
      </c>
      <c r="D1501" t="inlineStr">
        <is>
          <t>VÄRMLANDS LÄN</t>
        </is>
      </c>
      <c r="E1501" t="inlineStr">
        <is>
          <t>TORSBY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24696-2023</t>
        </is>
      </c>
      <c r="B1502" s="1" t="n">
        <v>45084</v>
      </c>
      <c r="C1502" s="1" t="n">
        <v>45662</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24639-2023</t>
        </is>
      </c>
      <c r="B1503" s="1" t="n">
        <v>45084</v>
      </c>
      <c r="C1503" s="1" t="n">
        <v>45662</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24643-2023</t>
        </is>
      </c>
      <c r="B1504" s="1" t="n">
        <v>45084</v>
      </c>
      <c r="C1504" s="1" t="n">
        <v>45662</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24703-2023</t>
        </is>
      </c>
      <c r="B1505" s="1" t="n">
        <v>45084</v>
      </c>
      <c r="C1505" s="1" t="n">
        <v>45662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24849-2023</t>
        </is>
      </c>
      <c r="B1506" s="1" t="n">
        <v>45085</v>
      </c>
      <c r="C1506" s="1" t="n">
        <v>45662</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24896-2023</t>
        </is>
      </c>
      <c r="B1507" s="1" t="n">
        <v>45085</v>
      </c>
      <c r="C1507" s="1" t="n">
        <v>45662</v>
      </c>
      <c r="D1507" t="inlineStr">
        <is>
          <t>VÄRMLANDS LÄN</t>
        </is>
      </c>
      <c r="E1507" t="inlineStr">
        <is>
          <t>TORSBY</t>
        </is>
      </c>
      <c r="F1507" t="inlineStr">
        <is>
          <t>Bergvik skog väst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24876-2023</t>
        </is>
      </c>
      <c r="B1508" s="1" t="n">
        <v>45085</v>
      </c>
      <c r="C1508" s="1" t="n">
        <v>45662</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24909-2023</t>
        </is>
      </c>
      <c r="B1509" s="1" t="n">
        <v>45085</v>
      </c>
      <c r="C1509" s="1" t="n">
        <v>45662</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24897-2023</t>
        </is>
      </c>
      <c r="B1510" s="1" t="n">
        <v>45085</v>
      </c>
      <c r="C1510" s="1" t="n">
        <v>45662</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24847-2023</t>
        </is>
      </c>
      <c r="B1511" s="1" t="n">
        <v>45085</v>
      </c>
      <c r="C1511" s="1" t="n">
        <v>45662</v>
      </c>
      <c r="D1511" t="inlineStr">
        <is>
          <t>VÄRMLANDS LÄN</t>
        </is>
      </c>
      <c r="E1511" t="inlineStr">
        <is>
          <t>TORSBY</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24965-2023</t>
        </is>
      </c>
      <c r="B1512" s="1" t="n">
        <v>45085</v>
      </c>
      <c r="C1512" s="1" t="n">
        <v>45662</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24969-2023</t>
        </is>
      </c>
      <c r="B1513" s="1" t="n">
        <v>45085</v>
      </c>
      <c r="C1513" s="1" t="n">
        <v>45662</v>
      </c>
      <c r="D1513" t="inlineStr">
        <is>
          <t>VÄRMLANDS LÄN</t>
        </is>
      </c>
      <c r="E1513" t="inlineStr">
        <is>
          <t>TORSBY</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25001-2023</t>
        </is>
      </c>
      <c r="B1514" s="1" t="n">
        <v>45085</v>
      </c>
      <c r="C1514" s="1" t="n">
        <v>45662</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25068-2023</t>
        </is>
      </c>
      <c r="B1515" s="1" t="n">
        <v>45085</v>
      </c>
      <c r="C1515" s="1" t="n">
        <v>45662</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25163-2023</t>
        </is>
      </c>
      <c r="B1516" s="1" t="n">
        <v>45086</v>
      </c>
      <c r="C1516" s="1" t="n">
        <v>45662</v>
      </c>
      <c r="D1516" t="inlineStr">
        <is>
          <t>VÄRMLANDS LÄN</t>
        </is>
      </c>
      <c r="E1516" t="inlineStr">
        <is>
          <t>TORSBY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25088-2023</t>
        </is>
      </c>
      <c r="B1517" s="1" t="n">
        <v>45086</v>
      </c>
      <c r="C1517" s="1" t="n">
        <v>45662</v>
      </c>
      <c r="D1517" t="inlineStr">
        <is>
          <t>VÄRMLANDS LÄN</t>
        </is>
      </c>
      <c r="E1517" t="inlineStr">
        <is>
          <t>TORSBY</t>
        </is>
      </c>
      <c r="F1517" t="inlineStr">
        <is>
          <t>Bergvik skog väst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25090-2023</t>
        </is>
      </c>
      <c r="B1518" s="1" t="n">
        <v>45086</v>
      </c>
      <c r="C1518" s="1" t="n">
        <v>45662</v>
      </c>
      <c r="D1518" t="inlineStr">
        <is>
          <t>VÄRMLANDS LÄN</t>
        </is>
      </c>
      <c r="E1518" t="inlineStr">
        <is>
          <t>TORSBY</t>
        </is>
      </c>
      <c r="F1518" t="inlineStr">
        <is>
          <t>Bergvik skog väst AB</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25261-2023</t>
        </is>
      </c>
      <c r="B1519" s="1" t="n">
        <v>45086</v>
      </c>
      <c r="C1519" s="1" t="n">
        <v>45662</v>
      </c>
      <c r="D1519" t="inlineStr">
        <is>
          <t>VÄRMLANDS LÄN</t>
        </is>
      </c>
      <c r="E1519" t="inlineStr">
        <is>
          <t>TORSBY</t>
        </is>
      </c>
      <c r="F1519" t="inlineStr">
        <is>
          <t>Bergvik skog väst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25344-2023</t>
        </is>
      </c>
      <c r="B1520" s="1" t="n">
        <v>45087</v>
      </c>
      <c r="C1520" s="1" t="n">
        <v>45662</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25579-2023</t>
        </is>
      </c>
      <c r="B1521" s="1" t="n">
        <v>45089</v>
      </c>
      <c r="C1521" s="1" t="n">
        <v>45662</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26466-2023</t>
        </is>
      </c>
      <c r="B1522" s="1" t="n">
        <v>45089</v>
      </c>
      <c r="C1522" s="1" t="n">
        <v>45662</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26340-2023</t>
        </is>
      </c>
      <c r="B1523" s="1" t="n">
        <v>45091</v>
      </c>
      <c r="C1523" s="1" t="n">
        <v>45662</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26343-2023</t>
        </is>
      </c>
      <c r="B1524" s="1" t="n">
        <v>45091</v>
      </c>
      <c r="C1524" s="1" t="n">
        <v>45662</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26327-2023</t>
        </is>
      </c>
      <c r="B1525" s="1" t="n">
        <v>45091</v>
      </c>
      <c r="C1525" s="1" t="n">
        <v>45662</v>
      </c>
      <c r="D1525" t="inlineStr">
        <is>
          <t>VÄRMLANDS LÄN</t>
        </is>
      </c>
      <c r="E1525" t="inlineStr">
        <is>
          <t>TORSBY</t>
        </is>
      </c>
      <c r="F1525" t="inlineStr">
        <is>
          <t>Bergvik skog väst AB</t>
        </is>
      </c>
      <c r="G1525" t="n">
        <v>33.4</v>
      </c>
      <c r="H1525" t="n">
        <v>0</v>
      </c>
      <c r="I1525" t="n">
        <v>0</v>
      </c>
      <c r="J1525" t="n">
        <v>0</v>
      </c>
      <c r="K1525" t="n">
        <v>0</v>
      </c>
      <c r="L1525" t="n">
        <v>0</v>
      </c>
      <c r="M1525" t="n">
        <v>0</v>
      </c>
      <c r="N1525" t="n">
        <v>0</v>
      </c>
      <c r="O1525" t="n">
        <v>0</v>
      </c>
      <c r="P1525" t="n">
        <v>0</v>
      </c>
      <c r="Q1525" t="n">
        <v>0</v>
      </c>
      <c r="R1525" s="2" t="inlineStr"/>
    </row>
    <row r="1526" ht="15" customHeight="1">
      <c r="A1526" t="inlineStr">
        <is>
          <t>A 26080-2023</t>
        </is>
      </c>
      <c r="B1526" s="1" t="n">
        <v>45091</v>
      </c>
      <c r="C1526" s="1" t="n">
        <v>45662</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26092-2023</t>
        </is>
      </c>
      <c r="B1527" s="1" t="n">
        <v>45091</v>
      </c>
      <c r="C1527" s="1" t="n">
        <v>45662</v>
      </c>
      <c r="D1527" t="inlineStr">
        <is>
          <t>VÄRMLANDS LÄN</t>
        </is>
      </c>
      <c r="E1527" t="inlineStr">
        <is>
          <t>TORSBY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26979-2023</t>
        </is>
      </c>
      <c r="B1528" s="1" t="n">
        <v>45091</v>
      </c>
      <c r="C1528" s="1" t="n">
        <v>45662</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26376-2023</t>
        </is>
      </c>
      <c r="B1529" s="1" t="n">
        <v>45092</v>
      </c>
      <c r="C1529" s="1" t="n">
        <v>45662</v>
      </c>
      <c r="D1529" t="inlineStr">
        <is>
          <t>VÄRMLANDS LÄN</t>
        </is>
      </c>
      <c r="E1529" t="inlineStr">
        <is>
          <t>TORSBY</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26616-2023</t>
        </is>
      </c>
      <c r="B1530" s="1" t="n">
        <v>45092</v>
      </c>
      <c r="C1530" s="1" t="n">
        <v>45662</v>
      </c>
      <c r="D1530" t="inlineStr">
        <is>
          <t>VÄRMLANDS LÄN</t>
        </is>
      </c>
      <c r="E1530" t="inlineStr">
        <is>
          <t>TORSBY</t>
        </is>
      </c>
      <c r="F1530" t="inlineStr">
        <is>
          <t>Bergvik skog väst AB</t>
        </is>
      </c>
      <c r="G1530" t="n">
        <v>30.3</v>
      </c>
      <c r="H1530" t="n">
        <v>0</v>
      </c>
      <c r="I1530" t="n">
        <v>0</v>
      </c>
      <c r="J1530" t="n">
        <v>0</v>
      </c>
      <c r="K1530" t="n">
        <v>0</v>
      </c>
      <c r="L1530" t="n">
        <v>0</v>
      </c>
      <c r="M1530" t="n">
        <v>0</v>
      </c>
      <c r="N1530" t="n">
        <v>0</v>
      </c>
      <c r="O1530" t="n">
        <v>0</v>
      </c>
      <c r="P1530" t="n">
        <v>0</v>
      </c>
      <c r="Q1530" t="n">
        <v>0</v>
      </c>
      <c r="R1530" s="2" t="inlineStr"/>
    </row>
    <row r="1531" ht="15" customHeight="1">
      <c r="A1531" t="inlineStr">
        <is>
          <t>A 26814-2023</t>
        </is>
      </c>
      <c r="B1531" s="1" t="n">
        <v>45093</v>
      </c>
      <c r="C1531" s="1" t="n">
        <v>45662</v>
      </c>
      <c r="D1531" t="inlineStr">
        <is>
          <t>VÄRMLANDS LÄN</t>
        </is>
      </c>
      <c r="E1531" t="inlineStr">
        <is>
          <t>TORSBY</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26753-2023</t>
        </is>
      </c>
      <c r="B1532" s="1" t="n">
        <v>45093</v>
      </c>
      <c r="C1532" s="1" t="n">
        <v>45662</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26855-2023</t>
        </is>
      </c>
      <c r="B1533" s="1" t="n">
        <v>45093</v>
      </c>
      <c r="C1533" s="1" t="n">
        <v>45662</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27195-2023</t>
        </is>
      </c>
      <c r="B1534" s="1" t="n">
        <v>45096</v>
      </c>
      <c r="C1534" s="1" t="n">
        <v>45662</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27332-2023</t>
        </is>
      </c>
      <c r="B1535" s="1" t="n">
        <v>45096</v>
      </c>
      <c r="C1535" s="1" t="n">
        <v>45662</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27472-2023</t>
        </is>
      </c>
      <c r="B1536" s="1" t="n">
        <v>45097</v>
      </c>
      <c r="C1536" s="1" t="n">
        <v>45662</v>
      </c>
      <c r="D1536" t="inlineStr">
        <is>
          <t>VÄRMLANDS LÄN</t>
        </is>
      </c>
      <c r="E1536" t="inlineStr">
        <is>
          <t>TORSBY</t>
        </is>
      </c>
      <c r="F1536" t="inlineStr">
        <is>
          <t>Övriga Aktiebolag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27594-2023</t>
        </is>
      </c>
      <c r="B1537" s="1" t="n">
        <v>45097</v>
      </c>
      <c r="C1537" s="1" t="n">
        <v>45662</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27458-2023</t>
        </is>
      </c>
      <c r="B1538" s="1" t="n">
        <v>45097</v>
      </c>
      <c r="C1538" s="1" t="n">
        <v>45662</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27787-2023</t>
        </is>
      </c>
      <c r="B1539" s="1" t="n">
        <v>45098</v>
      </c>
      <c r="C1539" s="1" t="n">
        <v>45662</v>
      </c>
      <c r="D1539" t="inlineStr">
        <is>
          <t>VÄRMLANDS LÄN</t>
        </is>
      </c>
      <c r="E1539" t="inlineStr">
        <is>
          <t>TORSBY</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27837-2023</t>
        </is>
      </c>
      <c r="B1540" s="1" t="n">
        <v>45098</v>
      </c>
      <c r="C1540" s="1" t="n">
        <v>45662</v>
      </c>
      <c r="D1540" t="inlineStr">
        <is>
          <t>VÄRMLANDS LÄN</t>
        </is>
      </c>
      <c r="E1540" t="inlineStr">
        <is>
          <t>TORSBY</t>
        </is>
      </c>
      <c r="F1540" t="inlineStr">
        <is>
          <t>Bergvik skog väst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27851-2023</t>
        </is>
      </c>
      <c r="B1541" s="1" t="n">
        <v>45098</v>
      </c>
      <c r="C1541" s="1" t="n">
        <v>45662</v>
      </c>
      <c r="D1541" t="inlineStr">
        <is>
          <t>VÄRMLANDS LÄN</t>
        </is>
      </c>
      <c r="E1541" t="inlineStr">
        <is>
          <t>TORSBY</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27920-2023</t>
        </is>
      </c>
      <c r="B1542" s="1" t="n">
        <v>45098</v>
      </c>
      <c r="C1542" s="1" t="n">
        <v>45662</v>
      </c>
      <c r="D1542" t="inlineStr">
        <is>
          <t>VÄRMLANDS LÄN</t>
        </is>
      </c>
      <c r="E1542" t="inlineStr">
        <is>
          <t>TORSBY</t>
        </is>
      </c>
      <c r="F1542" t="inlineStr">
        <is>
          <t>Kyrkan</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28045-2023</t>
        </is>
      </c>
      <c r="B1543" s="1" t="n">
        <v>45099</v>
      </c>
      <c r="C1543" s="1" t="n">
        <v>45662</v>
      </c>
      <c r="D1543" t="inlineStr">
        <is>
          <t>VÄRMLANDS LÄN</t>
        </is>
      </c>
      <c r="E1543" t="inlineStr">
        <is>
          <t>TORSBY</t>
        </is>
      </c>
      <c r="F1543" t="inlineStr">
        <is>
          <t>Bergvik skog väst AB</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28074-2023</t>
        </is>
      </c>
      <c r="B1544" s="1" t="n">
        <v>45099</v>
      </c>
      <c r="C1544" s="1" t="n">
        <v>45662</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28092-2023</t>
        </is>
      </c>
      <c r="B1545" s="1" t="n">
        <v>45099</v>
      </c>
      <c r="C1545" s="1" t="n">
        <v>45662</v>
      </c>
      <c r="D1545" t="inlineStr">
        <is>
          <t>VÄRMLANDS LÄN</t>
        </is>
      </c>
      <c r="E1545" t="inlineStr">
        <is>
          <t>TORSBY</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28251-2023</t>
        </is>
      </c>
      <c r="B1546" s="1" t="n">
        <v>45099</v>
      </c>
      <c r="C1546" s="1" t="n">
        <v>45662</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30142-2023</t>
        </is>
      </c>
      <c r="B1547" s="1" t="n">
        <v>45099</v>
      </c>
      <c r="C1547" s="1" t="n">
        <v>45662</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30148-2023</t>
        </is>
      </c>
      <c r="B1548" s="1" t="n">
        <v>45099</v>
      </c>
      <c r="C1548" s="1" t="n">
        <v>45662</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30151-2023</t>
        </is>
      </c>
      <c r="B1549" s="1" t="n">
        <v>45099</v>
      </c>
      <c r="C1549" s="1" t="n">
        <v>45662</v>
      </c>
      <c r="D1549" t="inlineStr">
        <is>
          <t>VÄRMLANDS LÄN</t>
        </is>
      </c>
      <c r="E1549" t="inlineStr">
        <is>
          <t>TORSBY</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28598-2023</t>
        </is>
      </c>
      <c r="B1550" s="1" t="n">
        <v>45103</v>
      </c>
      <c r="C1550" s="1" t="n">
        <v>45662</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28652-2023</t>
        </is>
      </c>
      <c r="B1551" s="1" t="n">
        <v>45103</v>
      </c>
      <c r="C1551" s="1" t="n">
        <v>45662</v>
      </c>
      <c r="D1551" t="inlineStr">
        <is>
          <t>VÄRMLANDS LÄN</t>
        </is>
      </c>
      <c r="E1551" t="inlineStr">
        <is>
          <t>TORSBY</t>
        </is>
      </c>
      <c r="F1551" t="inlineStr">
        <is>
          <t>Bergvik skog väst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28818-2023</t>
        </is>
      </c>
      <c r="B1552" s="1" t="n">
        <v>45104</v>
      </c>
      <c r="C1552" s="1" t="n">
        <v>45662</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28869-2023</t>
        </is>
      </c>
      <c r="B1553" s="1" t="n">
        <v>45104</v>
      </c>
      <c r="C1553" s="1" t="n">
        <v>45662</v>
      </c>
      <c r="D1553" t="inlineStr">
        <is>
          <t>VÄRMLANDS LÄN</t>
        </is>
      </c>
      <c r="E1553" t="inlineStr">
        <is>
          <t>TORSBY</t>
        </is>
      </c>
      <c r="F1553" t="inlineStr">
        <is>
          <t>Bergvik skog väst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28948-2023</t>
        </is>
      </c>
      <c r="B1554" s="1" t="n">
        <v>45104</v>
      </c>
      <c r="C1554" s="1" t="n">
        <v>45662</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28814-2023</t>
        </is>
      </c>
      <c r="B1555" s="1" t="n">
        <v>45104</v>
      </c>
      <c r="C1555" s="1" t="n">
        <v>45662</v>
      </c>
      <c r="D1555" t="inlineStr">
        <is>
          <t>VÄRMLANDS LÄN</t>
        </is>
      </c>
      <c r="E1555" t="inlineStr">
        <is>
          <t>TORSBY</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29043-2023</t>
        </is>
      </c>
      <c r="B1556" s="1" t="n">
        <v>45104</v>
      </c>
      <c r="C1556" s="1" t="n">
        <v>45662</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29042-2023</t>
        </is>
      </c>
      <c r="B1557" s="1" t="n">
        <v>45104</v>
      </c>
      <c r="C1557" s="1" t="n">
        <v>45662</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29137-2023</t>
        </is>
      </c>
      <c r="B1558" s="1" t="n">
        <v>45105</v>
      </c>
      <c r="C1558" s="1" t="n">
        <v>45662</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29256-2023</t>
        </is>
      </c>
      <c r="B1559" s="1" t="n">
        <v>45105</v>
      </c>
      <c r="C1559" s="1" t="n">
        <v>45662</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29506-2023</t>
        </is>
      </c>
      <c r="B1560" s="1" t="n">
        <v>45106</v>
      </c>
      <c r="C1560" s="1" t="n">
        <v>45662</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29581-2023</t>
        </is>
      </c>
      <c r="B1561" s="1" t="n">
        <v>45106</v>
      </c>
      <c r="C1561" s="1" t="n">
        <v>45662</v>
      </c>
      <c r="D1561" t="inlineStr">
        <is>
          <t>VÄRMLANDS LÄN</t>
        </is>
      </c>
      <c r="E1561" t="inlineStr">
        <is>
          <t>TORSBY</t>
        </is>
      </c>
      <c r="F1561" t="inlineStr">
        <is>
          <t>Bergvik skog väst AB</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29594-2023</t>
        </is>
      </c>
      <c r="B1562" s="1" t="n">
        <v>45107</v>
      </c>
      <c r="C1562" s="1" t="n">
        <v>45662</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29545-2023</t>
        </is>
      </c>
      <c r="B1563" s="1" t="n">
        <v>45106</v>
      </c>
      <c r="C1563" s="1" t="n">
        <v>45662</v>
      </c>
      <c r="D1563" t="inlineStr">
        <is>
          <t>VÄRMLANDS LÄN</t>
        </is>
      </c>
      <c r="E1563" t="inlineStr">
        <is>
          <t>TORSBY</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31858-2023</t>
        </is>
      </c>
      <c r="B1564" s="1" t="n">
        <v>45106</v>
      </c>
      <c r="C1564" s="1" t="n">
        <v>45662</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29792-2023</t>
        </is>
      </c>
      <c r="B1565" s="1" t="n">
        <v>45107</v>
      </c>
      <c r="C1565" s="1" t="n">
        <v>45662</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29796-2023</t>
        </is>
      </c>
      <c r="B1566" s="1" t="n">
        <v>45107</v>
      </c>
      <c r="C1566" s="1" t="n">
        <v>45662</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29795-2023</t>
        </is>
      </c>
      <c r="B1567" s="1" t="n">
        <v>45107</v>
      </c>
      <c r="C1567" s="1" t="n">
        <v>45662</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31936-2023</t>
        </is>
      </c>
      <c r="B1568" s="1" t="n">
        <v>45107</v>
      </c>
      <c r="C1568" s="1" t="n">
        <v>45662</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30208-2023</t>
        </is>
      </c>
      <c r="B1569" s="1" t="n">
        <v>45110</v>
      </c>
      <c r="C1569" s="1" t="n">
        <v>45662</v>
      </c>
      <c r="D1569" t="inlineStr">
        <is>
          <t>VÄRMLANDS LÄN</t>
        </is>
      </c>
      <c r="E1569" t="inlineStr">
        <is>
          <t>TORSBY</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30213-2023</t>
        </is>
      </c>
      <c r="B1570" s="1" t="n">
        <v>45110</v>
      </c>
      <c r="C1570" s="1" t="n">
        <v>45662</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30267-2023</t>
        </is>
      </c>
      <c r="B1571" s="1" t="n">
        <v>45110</v>
      </c>
      <c r="C1571" s="1" t="n">
        <v>45662</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45662</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32332-2023</t>
        </is>
      </c>
      <c r="B1573" s="1" t="n">
        <v>45110</v>
      </c>
      <c r="C1573" s="1" t="n">
        <v>45662</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30160-2023</t>
        </is>
      </c>
      <c r="B1574" s="1" t="n">
        <v>45110</v>
      </c>
      <c r="C1574" s="1" t="n">
        <v>45662</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30269-2023</t>
        </is>
      </c>
      <c r="B1575" s="1" t="n">
        <v>45110</v>
      </c>
      <c r="C1575" s="1" t="n">
        <v>45662</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30110-2023</t>
        </is>
      </c>
      <c r="B1576" s="1" t="n">
        <v>45110</v>
      </c>
      <c r="C1576" s="1" t="n">
        <v>45662</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30530-2023</t>
        </is>
      </c>
      <c r="B1577" s="1" t="n">
        <v>45111</v>
      </c>
      <c r="C1577" s="1" t="n">
        <v>45662</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30455-2023</t>
        </is>
      </c>
      <c r="B1578" s="1" t="n">
        <v>45111</v>
      </c>
      <c r="C1578" s="1" t="n">
        <v>45662</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30370-2023</t>
        </is>
      </c>
      <c r="B1579" s="1" t="n">
        <v>45111</v>
      </c>
      <c r="C1579" s="1" t="n">
        <v>45662</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30531-2023</t>
        </is>
      </c>
      <c r="B1580" s="1" t="n">
        <v>45111</v>
      </c>
      <c r="C1580" s="1" t="n">
        <v>45662</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30344-2023</t>
        </is>
      </c>
      <c r="B1581" s="1" t="n">
        <v>45111</v>
      </c>
      <c r="C1581" s="1" t="n">
        <v>45662</v>
      </c>
      <c r="D1581" t="inlineStr">
        <is>
          <t>VÄRMLANDS LÄN</t>
        </is>
      </c>
      <c r="E1581" t="inlineStr">
        <is>
          <t>TORSBY</t>
        </is>
      </c>
      <c r="F1581" t="inlineStr">
        <is>
          <t>Bergvik skog väst AB</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30670-2023</t>
        </is>
      </c>
      <c r="B1582" s="1" t="n">
        <v>45112</v>
      </c>
      <c r="C1582" s="1" t="n">
        <v>45662</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30624-2023</t>
        </is>
      </c>
      <c r="B1583" s="1" t="n">
        <v>45112</v>
      </c>
      <c r="C1583" s="1" t="n">
        <v>45662</v>
      </c>
      <c r="D1583" t="inlineStr">
        <is>
          <t>VÄRMLANDS LÄN</t>
        </is>
      </c>
      <c r="E1583" t="inlineStr">
        <is>
          <t>TORSBY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30741-2023</t>
        </is>
      </c>
      <c r="B1584" s="1" t="n">
        <v>45112</v>
      </c>
      <c r="C1584" s="1" t="n">
        <v>45662</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31052-2023</t>
        </is>
      </c>
      <c r="B1585" s="1" t="n">
        <v>45113</v>
      </c>
      <c r="C1585" s="1" t="n">
        <v>45662</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31112-2023</t>
        </is>
      </c>
      <c r="B1586" s="1" t="n">
        <v>45113</v>
      </c>
      <c r="C1586" s="1" t="n">
        <v>45662</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31465-2023</t>
        </is>
      </c>
      <c r="B1587" s="1" t="n">
        <v>45114</v>
      </c>
      <c r="C1587" s="1" t="n">
        <v>45662</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31547-2023</t>
        </is>
      </c>
      <c r="B1588" s="1" t="n">
        <v>45117</v>
      </c>
      <c r="C1588" s="1" t="n">
        <v>45662</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31548-2023</t>
        </is>
      </c>
      <c r="B1589" s="1" t="n">
        <v>45117</v>
      </c>
      <c r="C1589" s="1" t="n">
        <v>45662</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33741-2023</t>
        </is>
      </c>
      <c r="B1590" s="1" t="n">
        <v>45119</v>
      </c>
      <c r="C1590" s="1" t="n">
        <v>45662</v>
      </c>
      <c r="D1590" t="inlineStr">
        <is>
          <t>VÄRMLANDS LÄN</t>
        </is>
      </c>
      <c r="E1590" t="inlineStr">
        <is>
          <t>TORSBY</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33738-2023</t>
        </is>
      </c>
      <c r="B1591" s="1" t="n">
        <v>45119</v>
      </c>
      <c r="C1591" s="1" t="n">
        <v>45662</v>
      </c>
      <c r="D1591" t="inlineStr">
        <is>
          <t>VÄRMLANDS LÄN</t>
        </is>
      </c>
      <c r="E1591" t="inlineStr">
        <is>
          <t>TORSBY</t>
        </is>
      </c>
      <c r="F1591" t="inlineStr">
        <is>
          <t>Övriga Aktiebolag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33740-2023</t>
        </is>
      </c>
      <c r="B1592" s="1" t="n">
        <v>45119</v>
      </c>
      <c r="C1592" s="1" t="n">
        <v>45662</v>
      </c>
      <c r="D1592" t="inlineStr">
        <is>
          <t>VÄRMLANDS LÄN</t>
        </is>
      </c>
      <c r="E1592" t="inlineStr">
        <is>
          <t>TORSBY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33782-2023</t>
        </is>
      </c>
      <c r="B1593" s="1" t="n">
        <v>45120</v>
      </c>
      <c r="C1593" s="1" t="n">
        <v>45662</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32576-2023</t>
        </is>
      </c>
      <c r="B1594" s="1" t="n">
        <v>45121</v>
      </c>
      <c r="C1594" s="1" t="n">
        <v>45662</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32584-2023</t>
        </is>
      </c>
      <c r="B1595" s="1" t="n">
        <v>45121</v>
      </c>
      <c r="C1595" s="1" t="n">
        <v>45662</v>
      </c>
      <c r="D1595" t="inlineStr">
        <is>
          <t>VÄRMLANDS LÄN</t>
        </is>
      </c>
      <c r="E1595" t="inlineStr">
        <is>
          <t>TORSBY</t>
        </is>
      </c>
      <c r="F1595" t="inlineStr">
        <is>
          <t>Bergvik skog väst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32805-2023</t>
        </is>
      </c>
      <c r="B1596" s="1" t="n">
        <v>45124</v>
      </c>
      <c r="C1596" s="1" t="n">
        <v>45662</v>
      </c>
      <c r="D1596" t="inlineStr">
        <is>
          <t>VÄRMLANDS LÄN</t>
        </is>
      </c>
      <c r="E1596" t="inlineStr">
        <is>
          <t>TORSBY</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32819-2023</t>
        </is>
      </c>
      <c r="B1597" s="1" t="n">
        <v>45124</v>
      </c>
      <c r="C1597" s="1" t="n">
        <v>45662</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32787-2023</t>
        </is>
      </c>
      <c r="B1598" s="1" t="n">
        <v>45124</v>
      </c>
      <c r="C1598" s="1" t="n">
        <v>45662</v>
      </c>
      <c r="D1598" t="inlineStr">
        <is>
          <t>VÄRMLANDS LÄN</t>
        </is>
      </c>
      <c r="E1598" t="inlineStr">
        <is>
          <t>TORSBY</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32815-2023</t>
        </is>
      </c>
      <c r="B1599" s="1" t="n">
        <v>45124</v>
      </c>
      <c r="C1599" s="1" t="n">
        <v>45662</v>
      </c>
      <c r="D1599" t="inlineStr">
        <is>
          <t>VÄRMLANDS LÄN</t>
        </is>
      </c>
      <c r="E1599" t="inlineStr">
        <is>
          <t>TORSBY</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33758-2023</t>
        </is>
      </c>
      <c r="B1600" s="1" t="n">
        <v>45125</v>
      </c>
      <c r="C1600" s="1" t="n">
        <v>45662</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33072-2023</t>
        </is>
      </c>
      <c r="B1601" s="1" t="n">
        <v>45126</v>
      </c>
      <c r="C1601" s="1" t="n">
        <v>45662</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34097-2023</t>
        </is>
      </c>
      <c r="B1602" s="1" t="n">
        <v>45126</v>
      </c>
      <c r="C1602" s="1" t="n">
        <v>45662</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34104-2023</t>
        </is>
      </c>
      <c r="B1603" s="1" t="n">
        <v>45126</v>
      </c>
      <c r="C1603" s="1" t="n">
        <v>45662</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34105-2023</t>
        </is>
      </c>
      <c r="B1604" s="1" t="n">
        <v>45126</v>
      </c>
      <c r="C1604" s="1" t="n">
        <v>45662</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33263-2023</t>
        </is>
      </c>
      <c r="B1605" s="1" t="n">
        <v>45127</v>
      </c>
      <c r="C1605" s="1" t="n">
        <v>45662</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33249-2023</t>
        </is>
      </c>
      <c r="B1606" s="1" t="n">
        <v>45127</v>
      </c>
      <c r="C1606" s="1" t="n">
        <v>45662</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33253-2023</t>
        </is>
      </c>
      <c r="B1607" s="1" t="n">
        <v>45127</v>
      </c>
      <c r="C1607" s="1" t="n">
        <v>45662</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33264-2023</t>
        </is>
      </c>
      <c r="B1608" s="1" t="n">
        <v>45127</v>
      </c>
      <c r="C1608" s="1" t="n">
        <v>45662</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33268-2023</t>
        </is>
      </c>
      <c r="B1609" s="1" t="n">
        <v>45127</v>
      </c>
      <c r="C1609" s="1" t="n">
        <v>45662</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33574-2023</t>
        </is>
      </c>
      <c r="B1610" s="1" t="n">
        <v>45131</v>
      </c>
      <c r="C1610" s="1" t="n">
        <v>45662</v>
      </c>
      <c r="D1610" t="inlineStr">
        <is>
          <t>VÄRMLANDS LÄN</t>
        </is>
      </c>
      <c r="E1610" t="inlineStr">
        <is>
          <t>TORSBY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33645-2023</t>
        </is>
      </c>
      <c r="B1611" s="1" t="n">
        <v>45132</v>
      </c>
      <c r="C1611" s="1" t="n">
        <v>45662</v>
      </c>
      <c r="D1611" t="inlineStr">
        <is>
          <t>VÄRMLANDS LÄN</t>
        </is>
      </c>
      <c r="E1611" t="inlineStr">
        <is>
          <t>TORSBY</t>
        </is>
      </c>
      <c r="F1611" t="inlineStr">
        <is>
          <t>Bergvik skog väst AB</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33656-2023</t>
        </is>
      </c>
      <c r="B1612" s="1" t="n">
        <v>45132</v>
      </c>
      <c r="C1612" s="1" t="n">
        <v>45662</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33813-2023</t>
        </is>
      </c>
      <c r="B1613" s="1" t="n">
        <v>45133</v>
      </c>
      <c r="C1613" s="1" t="n">
        <v>45662</v>
      </c>
      <c r="D1613" t="inlineStr">
        <is>
          <t>VÄRMLANDS LÄN</t>
        </is>
      </c>
      <c r="E1613" t="inlineStr">
        <is>
          <t>TORSBY</t>
        </is>
      </c>
      <c r="F1613" t="inlineStr">
        <is>
          <t>Bergvik skog väst AB</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33839-2023</t>
        </is>
      </c>
      <c r="B1614" s="1" t="n">
        <v>45133</v>
      </c>
      <c r="C1614" s="1" t="n">
        <v>45662</v>
      </c>
      <c r="D1614" t="inlineStr">
        <is>
          <t>VÄRMLANDS LÄN</t>
        </is>
      </c>
      <c r="E1614" t="inlineStr">
        <is>
          <t>TORSBY</t>
        </is>
      </c>
      <c r="F1614" t="inlineStr">
        <is>
          <t>Bergvik skog väst AB</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33848-2023</t>
        </is>
      </c>
      <c r="B1615" s="1" t="n">
        <v>45133</v>
      </c>
      <c r="C1615" s="1" t="n">
        <v>45662</v>
      </c>
      <c r="D1615" t="inlineStr">
        <is>
          <t>VÄRMLANDS LÄN</t>
        </is>
      </c>
      <c r="E1615" t="inlineStr">
        <is>
          <t>TORSBY</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34405-2023</t>
        </is>
      </c>
      <c r="B1616" s="1" t="n">
        <v>45139</v>
      </c>
      <c r="C1616" s="1" t="n">
        <v>45662</v>
      </c>
      <c r="D1616" t="inlineStr">
        <is>
          <t>VÄRMLANDS LÄN</t>
        </is>
      </c>
      <c r="E1616" t="inlineStr">
        <is>
          <t>TORSBY</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34427-2023</t>
        </is>
      </c>
      <c r="B1617" s="1" t="n">
        <v>45139</v>
      </c>
      <c r="C1617" s="1" t="n">
        <v>45662</v>
      </c>
      <c r="D1617" t="inlineStr">
        <is>
          <t>VÄRMLANDS LÄN</t>
        </is>
      </c>
      <c r="E1617" t="inlineStr">
        <is>
          <t>TORSBY</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34469-2023</t>
        </is>
      </c>
      <c r="B1618" s="1" t="n">
        <v>45139</v>
      </c>
      <c r="C1618" s="1" t="n">
        <v>45662</v>
      </c>
      <c r="D1618" t="inlineStr">
        <is>
          <t>VÄRMLANDS LÄN</t>
        </is>
      </c>
      <c r="E1618" t="inlineStr">
        <is>
          <t>TORSBY</t>
        </is>
      </c>
      <c r="F1618" t="inlineStr">
        <is>
          <t>Bergvik skog väst AB</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34430-2023</t>
        </is>
      </c>
      <c r="B1619" s="1" t="n">
        <v>45139</v>
      </c>
      <c r="C1619" s="1" t="n">
        <v>45662</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34658-2023</t>
        </is>
      </c>
      <c r="B1620" s="1" t="n">
        <v>45140</v>
      </c>
      <c r="C1620" s="1" t="n">
        <v>45662</v>
      </c>
      <c r="D1620" t="inlineStr">
        <is>
          <t>VÄRMLANDS LÄN</t>
        </is>
      </c>
      <c r="E1620" t="inlineStr">
        <is>
          <t>TORSBY</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34955-2023</t>
        </is>
      </c>
      <c r="B1621" s="1" t="n">
        <v>45142</v>
      </c>
      <c r="C1621" s="1" t="n">
        <v>45662</v>
      </c>
      <c r="D1621" t="inlineStr">
        <is>
          <t>VÄRMLANDS LÄN</t>
        </is>
      </c>
      <c r="E1621" t="inlineStr">
        <is>
          <t>TORSBY</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35055-2023</t>
        </is>
      </c>
      <c r="B1622" s="1" t="n">
        <v>45145</v>
      </c>
      <c r="C1622" s="1" t="n">
        <v>45662</v>
      </c>
      <c r="D1622" t="inlineStr">
        <is>
          <t>VÄRMLANDS LÄN</t>
        </is>
      </c>
      <c r="E1622" t="inlineStr">
        <is>
          <t>TORSBY</t>
        </is>
      </c>
      <c r="F1622" t="inlineStr">
        <is>
          <t>Bergvik skog väst AB</t>
        </is>
      </c>
      <c r="G1622" t="n">
        <v>16.4</v>
      </c>
      <c r="H1622" t="n">
        <v>0</v>
      </c>
      <c r="I1622" t="n">
        <v>0</v>
      </c>
      <c r="J1622" t="n">
        <v>0</v>
      </c>
      <c r="K1622" t="n">
        <v>0</v>
      </c>
      <c r="L1622" t="n">
        <v>0</v>
      </c>
      <c r="M1622" t="n">
        <v>0</v>
      </c>
      <c r="N1622" t="n">
        <v>0</v>
      </c>
      <c r="O1622" t="n">
        <v>0</v>
      </c>
      <c r="P1622" t="n">
        <v>0</v>
      </c>
      <c r="Q1622" t="n">
        <v>0</v>
      </c>
      <c r="R1622" s="2" t="inlineStr"/>
    </row>
    <row r="1623" ht="15" customHeight="1">
      <c r="A1623" t="inlineStr">
        <is>
          <t>A 35057-2023</t>
        </is>
      </c>
      <c r="B1623" s="1" t="n">
        <v>45145</v>
      </c>
      <c r="C1623" s="1" t="n">
        <v>45662</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35186-2023</t>
        </is>
      </c>
      <c r="B1624" s="1" t="n">
        <v>45145</v>
      </c>
      <c r="C1624" s="1" t="n">
        <v>45662</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35115-2023</t>
        </is>
      </c>
      <c r="B1625" s="1" t="n">
        <v>45145</v>
      </c>
      <c r="C1625" s="1" t="n">
        <v>45662</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35120-2023</t>
        </is>
      </c>
      <c r="B1626" s="1" t="n">
        <v>45145</v>
      </c>
      <c r="C1626" s="1" t="n">
        <v>45662</v>
      </c>
      <c r="D1626" t="inlineStr">
        <is>
          <t>VÄRMLANDS LÄN</t>
        </is>
      </c>
      <c r="E1626" t="inlineStr">
        <is>
          <t>TORSBY</t>
        </is>
      </c>
      <c r="G1626" t="n">
        <v>16.9</v>
      </c>
      <c r="H1626" t="n">
        <v>0</v>
      </c>
      <c r="I1626" t="n">
        <v>0</v>
      </c>
      <c r="J1626" t="n">
        <v>0</v>
      </c>
      <c r="K1626" t="n">
        <v>0</v>
      </c>
      <c r="L1626" t="n">
        <v>0</v>
      </c>
      <c r="M1626" t="n">
        <v>0</v>
      </c>
      <c r="N1626" t="n">
        <v>0</v>
      </c>
      <c r="O1626" t="n">
        <v>0</v>
      </c>
      <c r="P1626" t="n">
        <v>0</v>
      </c>
      <c r="Q1626" t="n">
        <v>0</v>
      </c>
      <c r="R1626" s="2" t="inlineStr"/>
    </row>
    <row r="1627" ht="15" customHeight="1">
      <c r="A1627" t="inlineStr">
        <is>
          <t>A 35415-2023</t>
        </is>
      </c>
      <c r="B1627" s="1" t="n">
        <v>45146</v>
      </c>
      <c r="C1627" s="1" t="n">
        <v>45662</v>
      </c>
      <c r="D1627" t="inlineStr">
        <is>
          <t>VÄRMLANDS LÄN</t>
        </is>
      </c>
      <c r="E1627" t="inlineStr">
        <is>
          <t>TORSBY</t>
        </is>
      </c>
      <c r="F1627" t="inlineStr">
        <is>
          <t>Bergvik skog väst AB</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35629-2023</t>
        </is>
      </c>
      <c r="B1628" s="1" t="n">
        <v>45147</v>
      </c>
      <c r="C1628" s="1" t="n">
        <v>45662</v>
      </c>
      <c r="D1628" t="inlineStr">
        <is>
          <t>VÄRMLANDS LÄN</t>
        </is>
      </c>
      <c r="E1628" t="inlineStr">
        <is>
          <t>TORSBY</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35674-2023</t>
        </is>
      </c>
      <c r="B1629" s="1" t="n">
        <v>45147</v>
      </c>
      <c r="C1629" s="1" t="n">
        <v>45662</v>
      </c>
      <c r="D1629" t="inlineStr">
        <is>
          <t>VÄRMLANDS LÄN</t>
        </is>
      </c>
      <c r="E1629" t="inlineStr">
        <is>
          <t>TORSBY</t>
        </is>
      </c>
      <c r="G1629" t="n">
        <v>25.4</v>
      </c>
      <c r="H1629" t="n">
        <v>0</v>
      </c>
      <c r="I1629" t="n">
        <v>0</v>
      </c>
      <c r="J1629" t="n">
        <v>0</v>
      </c>
      <c r="K1629" t="n">
        <v>0</v>
      </c>
      <c r="L1629" t="n">
        <v>0</v>
      </c>
      <c r="M1629" t="n">
        <v>0</v>
      </c>
      <c r="N1629" t="n">
        <v>0</v>
      </c>
      <c r="O1629" t="n">
        <v>0</v>
      </c>
      <c r="P1629" t="n">
        <v>0</v>
      </c>
      <c r="Q1629" t="n">
        <v>0</v>
      </c>
      <c r="R1629" s="2" t="inlineStr"/>
    </row>
    <row r="1630" ht="15" customHeight="1">
      <c r="A1630" t="inlineStr">
        <is>
          <t>A 35553-2023</t>
        </is>
      </c>
      <c r="B1630" s="1" t="n">
        <v>45147</v>
      </c>
      <c r="C1630" s="1" t="n">
        <v>45662</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35934-2023</t>
        </is>
      </c>
      <c r="B1631" s="1" t="n">
        <v>45148</v>
      </c>
      <c r="C1631" s="1" t="n">
        <v>45662</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35938-2023</t>
        </is>
      </c>
      <c r="B1632" s="1" t="n">
        <v>45148</v>
      </c>
      <c r="C1632" s="1" t="n">
        <v>45662</v>
      </c>
      <c r="D1632" t="inlineStr">
        <is>
          <t>VÄRMLANDS LÄN</t>
        </is>
      </c>
      <c r="E1632" t="inlineStr">
        <is>
          <t>TORSBY</t>
        </is>
      </c>
      <c r="F1632" t="inlineStr">
        <is>
          <t>Bergvik skog väst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36043-2023</t>
        </is>
      </c>
      <c r="B1633" s="1" t="n">
        <v>45148</v>
      </c>
      <c r="C1633" s="1" t="n">
        <v>45662</v>
      </c>
      <c r="D1633" t="inlineStr">
        <is>
          <t>VÄRMLANDS LÄN</t>
        </is>
      </c>
      <c r="E1633" t="inlineStr">
        <is>
          <t>TORSBY</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36050-2023</t>
        </is>
      </c>
      <c r="B1634" s="1" t="n">
        <v>45149</v>
      </c>
      <c r="C1634" s="1" t="n">
        <v>45662</v>
      </c>
      <c r="D1634" t="inlineStr">
        <is>
          <t>VÄRMLANDS LÄN</t>
        </is>
      </c>
      <c r="E1634" t="inlineStr">
        <is>
          <t>TORSBY</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36062-2023</t>
        </is>
      </c>
      <c r="B1635" s="1" t="n">
        <v>45149</v>
      </c>
      <c r="C1635" s="1" t="n">
        <v>45662</v>
      </c>
      <c r="D1635" t="inlineStr">
        <is>
          <t>VÄRMLANDS LÄN</t>
        </is>
      </c>
      <c r="E1635" t="inlineStr">
        <is>
          <t>TORSBY</t>
        </is>
      </c>
      <c r="F1635" t="inlineStr">
        <is>
          <t>Bergvik skog väst AB</t>
        </is>
      </c>
      <c r="G1635" t="n">
        <v>21.3</v>
      </c>
      <c r="H1635" t="n">
        <v>0</v>
      </c>
      <c r="I1635" t="n">
        <v>0</v>
      </c>
      <c r="J1635" t="n">
        <v>0</v>
      </c>
      <c r="K1635" t="n">
        <v>0</v>
      </c>
      <c r="L1635" t="n">
        <v>0</v>
      </c>
      <c r="M1635" t="n">
        <v>0</v>
      </c>
      <c r="N1635" t="n">
        <v>0</v>
      </c>
      <c r="O1635" t="n">
        <v>0</v>
      </c>
      <c r="P1635" t="n">
        <v>0</v>
      </c>
      <c r="Q1635" t="n">
        <v>0</v>
      </c>
      <c r="R1635" s="2" t="inlineStr"/>
    </row>
    <row r="1636" ht="15" customHeight="1">
      <c r="A1636" t="inlineStr">
        <is>
          <t>A 36239-2023</t>
        </is>
      </c>
      <c r="B1636" s="1" t="n">
        <v>45150</v>
      </c>
      <c r="C1636" s="1" t="n">
        <v>45662</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36462-2023</t>
        </is>
      </c>
      <c r="B1637" s="1" t="n">
        <v>45152</v>
      </c>
      <c r="C1637" s="1" t="n">
        <v>45662</v>
      </c>
      <c r="D1637" t="inlineStr">
        <is>
          <t>VÄRMLANDS LÄN</t>
        </is>
      </c>
      <c r="E1637" t="inlineStr">
        <is>
          <t>TORSBY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36582-2023</t>
        </is>
      </c>
      <c r="B1638" s="1" t="n">
        <v>45153</v>
      </c>
      <c r="C1638" s="1" t="n">
        <v>45662</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36598-2023</t>
        </is>
      </c>
      <c r="B1639" s="1" t="n">
        <v>45153</v>
      </c>
      <c r="C1639" s="1" t="n">
        <v>45662</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36552-2023</t>
        </is>
      </c>
      <c r="B1640" s="1" t="n">
        <v>45153</v>
      </c>
      <c r="C1640" s="1" t="n">
        <v>45662</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36674-2023</t>
        </is>
      </c>
      <c r="B1641" s="1" t="n">
        <v>45153</v>
      </c>
      <c r="C1641" s="1" t="n">
        <v>45662</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36736-2023</t>
        </is>
      </c>
      <c r="B1642" s="1" t="n">
        <v>45153</v>
      </c>
      <c r="C1642" s="1" t="n">
        <v>45662</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36729-2023</t>
        </is>
      </c>
      <c r="B1643" s="1" t="n">
        <v>45153</v>
      </c>
      <c r="C1643" s="1" t="n">
        <v>45662</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36827-2023</t>
        </is>
      </c>
      <c r="B1644" s="1" t="n">
        <v>45154</v>
      </c>
      <c r="C1644" s="1" t="n">
        <v>45662</v>
      </c>
      <c r="D1644" t="inlineStr">
        <is>
          <t>VÄRMLANDS LÄN</t>
        </is>
      </c>
      <c r="E1644" t="inlineStr">
        <is>
          <t>TORSBY</t>
        </is>
      </c>
      <c r="F1644" t="inlineStr">
        <is>
          <t>Bergvik skog väst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36897-2023</t>
        </is>
      </c>
      <c r="B1645" s="1" t="n">
        <v>45154</v>
      </c>
      <c r="C1645" s="1" t="n">
        <v>45662</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36947-2023</t>
        </is>
      </c>
      <c r="B1646" s="1" t="n">
        <v>45154</v>
      </c>
      <c r="C1646" s="1" t="n">
        <v>45662</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45662</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37188-2023</t>
        </is>
      </c>
      <c r="B1648" s="1" t="n">
        <v>45155</v>
      </c>
      <c r="C1648" s="1" t="n">
        <v>45662</v>
      </c>
      <c r="D1648" t="inlineStr">
        <is>
          <t>VÄRMLANDS LÄN</t>
        </is>
      </c>
      <c r="E1648" t="inlineStr">
        <is>
          <t>TORSBY</t>
        </is>
      </c>
      <c r="F1648" t="inlineStr">
        <is>
          <t>Bergvik skog väst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37346-2023</t>
        </is>
      </c>
      <c r="B1649" s="1" t="n">
        <v>45156</v>
      </c>
      <c r="C1649" s="1" t="n">
        <v>45662</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37357-2023</t>
        </is>
      </c>
      <c r="B1650" s="1" t="n">
        <v>45156</v>
      </c>
      <c r="C1650" s="1" t="n">
        <v>45662</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37305-2023</t>
        </is>
      </c>
      <c r="B1651" s="1" t="n">
        <v>45156</v>
      </c>
      <c r="C1651" s="1" t="n">
        <v>45662</v>
      </c>
      <c r="D1651" t="inlineStr">
        <is>
          <t>VÄRMLANDS LÄN</t>
        </is>
      </c>
      <c r="E1651" t="inlineStr">
        <is>
          <t>TORSBY</t>
        </is>
      </c>
      <c r="F1651" t="inlineStr">
        <is>
          <t>Bergvik skog väst AB</t>
        </is>
      </c>
      <c r="G1651" t="n">
        <v>28.8</v>
      </c>
      <c r="H1651" t="n">
        <v>0</v>
      </c>
      <c r="I1651" t="n">
        <v>0</v>
      </c>
      <c r="J1651" t="n">
        <v>0</v>
      </c>
      <c r="K1651" t="n">
        <v>0</v>
      </c>
      <c r="L1651" t="n">
        <v>0</v>
      </c>
      <c r="M1651" t="n">
        <v>0</v>
      </c>
      <c r="N1651" t="n">
        <v>0</v>
      </c>
      <c r="O1651" t="n">
        <v>0</v>
      </c>
      <c r="P1651" t="n">
        <v>0</v>
      </c>
      <c r="Q1651" t="n">
        <v>0</v>
      </c>
      <c r="R1651" s="2" t="inlineStr"/>
    </row>
    <row r="1652" ht="15" customHeight="1">
      <c r="A1652" t="inlineStr">
        <is>
          <t>A 37314-2023</t>
        </is>
      </c>
      <c r="B1652" s="1" t="n">
        <v>45156</v>
      </c>
      <c r="C1652" s="1" t="n">
        <v>45662</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37359-2023</t>
        </is>
      </c>
      <c r="B1653" s="1" t="n">
        <v>45156</v>
      </c>
      <c r="C1653" s="1" t="n">
        <v>45662</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37705-2023</t>
        </is>
      </c>
      <c r="B1654" s="1" t="n">
        <v>45159</v>
      </c>
      <c r="C1654" s="1" t="n">
        <v>45662</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37604-2023</t>
        </is>
      </c>
      <c r="B1655" s="1" t="n">
        <v>45159</v>
      </c>
      <c r="C1655" s="1" t="n">
        <v>45662</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37623-2023</t>
        </is>
      </c>
      <c r="B1656" s="1" t="n">
        <v>45159</v>
      </c>
      <c r="C1656" s="1" t="n">
        <v>45662</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37822-2023</t>
        </is>
      </c>
      <c r="B1657" s="1" t="n">
        <v>45160</v>
      </c>
      <c r="C1657" s="1" t="n">
        <v>45662</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38085-2023</t>
        </is>
      </c>
      <c r="B1658" s="1" t="n">
        <v>45160</v>
      </c>
      <c r="C1658" s="1" t="n">
        <v>45662</v>
      </c>
      <c r="D1658" t="inlineStr">
        <is>
          <t>VÄRMLANDS LÄN</t>
        </is>
      </c>
      <c r="E1658" t="inlineStr">
        <is>
          <t>TORSBY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37936-2023</t>
        </is>
      </c>
      <c r="B1659" s="1" t="n">
        <v>45160</v>
      </c>
      <c r="C1659" s="1" t="n">
        <v>45662</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38084-2023</t>
        </is>
      </c>
      <c r="B1660" s="1" t="n">
        <v>45160</v>
      </c>
      <c r="C1660" s="1" t="n">
        <v>45662</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38044-2023</t>
        </is>
      </c>
      <c r="B1661" s="1" t="n">
        <v>45160</v>
      </c>
      <c r="C1661" s="1" t="n">
        <v>45662</v>
      </c>
      <c r="D1661" t="inlineStr">
        <is>
          <t>VÄRMLANDS LÄN</t>
        </is>
      </c>
      <c r="E1661" t="inlineStr">
        <is>
          <t>TORSBY</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38086-2023</t>
        </is>
      </c>
      <c r="B1662" s="1" t="n">
        <v>45160</v>
      </c>
      <c r="C1662" s="1" t="n">
        <v>45662</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38252-2023</t>
        </is>
      </c>
      <c r="B1663" s="1" t="n">
        <v>45161</v>
      </c>
      <c r="C1663" s="1" t="n">
        <v>45662</v>
      </c>
      <c r="D1663" t="inlineStr">
        <is>
          <t>VÄRMLANDS LÄN</t>
        </is>
      </c>
      <c r="E1663" t="inlineStr">
        <is>
          <t>TORSBY</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38232-2023</t>
        </is>
      </c>
      <c r="B1664" s="1" t="n">
        <v>45161</v>
      </c>
      <c r="C1664" s="1" t="n">
        <v>45662</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38257-2023</t>
        </is>
      </c>
      <c r="B1665" s="1" t="n">
        <v>45161</v>
      </c>
      <c r="C1665" s="1" t="n">
        <v>45662</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38263-2023</t>
        </is>
      </c>
      <c r="B1666" s="1" t="n">
        <v>45161</v>
      </c>
      <c r="C1666" s="1" t="n">
        <v>45662</v>
      </c>
      <c r="D1666" t="inlineStr">
        <is>
          <t>VÄRMLANDS LÄN</t>
        </is>
      </c>
      <c r="E1666" t="inlineStr">
        <is>
          <t>TORSBY</t>
        </is>
      </c>
      <c r="F1666" t="inlineStr">
        <is>
          <t>Kyrkan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38286-2023</t>
        </is>
      </c>
      <c r="B1667" s="1" t="n">
        <v>45161</v>
      </c>
      <c r="C1667" s="1" t="n">
        <v>45662</v>
      </c>
      <c r="D1667" t="inlineStr">
        <is>
          <t>VÄRMLANDS LÄN</t>
        </is>
      </c>
      <c r="E1667" t="inlineStr">
        <is>
          <t>TORSBY</t>
        </is>
      </c>
      <c r="F1667" t="inlineStr">
        <is>
          <t>Kyrkan</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38541-2023</t>
        </is>
      </c>
      <c r="B1668" s="1" t="n">
        <v>45162</v>
      </c>
      <c r="C1668" s="1" t="n">
        <v>45662</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38641-2023</t>
        </is>
      </c>
      <c r="B1669" s="1" t="n">
        <v>45162</v>
      </c>
      <c r="C1669" s="1" t="n">
        <v>45662</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38637-2023</t>
        </is>
      </c>
      <c r="B1670" s="1" t="n">
        <v>45162</v>
      </c>
      <c r="C1670" s="1" t="n">
        <v>45662</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38668-2023</t>
        </is>
      </c>
      <c r="B1671" s="1" t="n">
        <v>45162</v>
      </c>
      <c r="C1671" s="1" t="n">
        <v>45662</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39408-2023</t>
        </is>
      </c>
      <c r="B1672" s="1" t="n">
        <v>45163</v>
      </c>
      <c r="C1672" s="1" t="n">
        <v>45662</v>
      </c>
      <c r="D1672" t="inlineStr">
        <is>
          <t>VÄRMLANDS LÄN</t>
        </is>
      </c>
      <c r="E1672" t="inlineStr">
        <is>
          <t>TORSBY</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38991-2023</t>
        </is>
      </c>
      <c r="B1673" s="1" t="n">
        <v>45163</v>
      </c>
      <c r="C1673" s="1" t="n">
        <v>45662</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38722-2023</t>
        </is>
      </c>
      <c r="B1674" s="1" t="n">
        <v>45163</v>
      </c>
      <c r="C1674" s="1" t="n">
        <v>45662</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38979-2023</t>
        </is>
      </c>
      <c r="B1675" s="1" t="n">
        <v>45163</v>
      </c>
      <c r="C1675" s="1" t="n">
        <v>45662</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39131-2023</t>
        </is>
      </c>
      <c r="B1676" s="1" t="n">
        <v>45165</v>
      </c>
      <c r="C1676" s="1" t="n">
        <v>45662</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39134-2023</t>
        </is>
      </c>
      <c r="B1677" s="1" t="n">
        <v>45165</v>
      </c>
      <c r="C1677" s="1" t="n">
        <v>45662</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39390-2023</t>
        </is>
      </c>
      <c r="B1678" s="1" t="n">
        <v>45166</v>
      </c>
      <c r="C1678" s="1" t="n">
        <v>45662</v>
      </c>
      <c r="D1678" t="inlineStr">
        <is>
          <t>VÄRMLANDS LÄN</t>
        </is>
      </c>
      <c r="E1678" t="inlineStr">
        <is>
          <t>TORSBY</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39339-2023</t>
        </is>
      </c>
      <c r="B1679" s="1" t="n">
        <v>45166</v>
      </c>
      <c r="C1679" s="1" t="n">
        <v>45662</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39374-2023</t>
        </is>
      </c>
      <c r="B1680" s="1" t="n">
        <v>45166</v>
      </c>
      <c r="C1680" s="1" t="n">
        <v>45662</v>
      </c>
      <c r="D1680" t="inlineStr">
        <is>
          <t>VÄRMLANDS LÄN</t>
        </is>
      </c>
      <c r="E1680" t="inlineStr">
        <is>
          <t>TORSBY</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39677-2023</t>
        </is>
      </c>
      <c r="B1681" s="1" t="n">
        <v>45166</v>
      </c>
      <c r="C1681" s="1" t="n">
        <v>45662</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39648-2023</t>
        </is>
      </c>
      <c r="B1682" s="1" t="n">
        <v>45167</v>
      </c>
      <c r="C1682" s="1" t="n">
        <v>45662</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39732-2023</t>
        </is>
      </c>
      <c r="B1683" s="1" t="n">
        <v>45167</v>
      </c>
      <c r="C1683" s="1" t="n">
        <v>45662</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39921-2023</t>
        </is>
      </c>
      <c r="B1684" s="1" t="n">
        <v>45168</v>
      </c>
      <c r="C1684" s="1" t="n">
        <v>45662</v>
      </c>
      <c r="D1684" t="inlineStr">
        <is>
          <t>VÄRMLANDS LÄN</t>
        </is>
      </c>
      <c r="E1684" t="inlineStr">
        <is>
          <t>TORSBY</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39910-2023</t>
        </is>
      </c>
      <c r="B1685" s="1" t="n">
        <v>45168</v>
      </c>
      <c r="C1685" s="1" t="n">
        <v>45662</v>
      </c>
      <c r="D1685" t="inlineStr">
        <is>
          <t>VÄRMLANDS LÄN</t>
        </is>
      </c>
      <c r="E1685" t="inlineStr">
        <is>
          <t>TORSBY</t>
        </is>
      </c>
      <c r="F1685" t="inlineStr">
        <is>
          <t>Kyrkan</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40007-2023</t>
        </is>
      </c>
      <c r="B1686" s="1" t="n">
        <v>45168</v>
      </c>
      <c r="C1686" s="1" t="n">
        <v>45662</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39969-2023</t>
        </is>
      </c>
      <c r="B1687" s="1" t="n">
        <v>45168</v>
      </c>
      <c r="C1687" s="1" t="n">
        <v>45662</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40207-2023</t>
        </is>
      </c>
      <c r="B1688" s="1" t="n">
        <v>45169</v>
      </c>
      <c r="C1688" s="1" t="n">
        <v>45662</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40228-2023</t>
        </is>
      </c>
      <c r="B1689" s="1" t="n">
        <v>45169</v>
      </c>
      <c r="C1689" s="1" t="n">
        <v>45662</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40222-2023</t>
        </is>
      </c>
      <c r="B1690" s="1" t="n">
        <v>45169</v>
      </c>
      <c r="C1690" s="1" t="n">
        <v>45662</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40468-2023</t>
        </is>
      </c>
      <c r="B1691" s="1" t="n">
        <v>45170</v>
      </c>
      <c r="C1691" s="1" t="n">
        <v>45662</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40512-2023</t>
        </is>
      </c>
      <c r="B1692" s="1" t="n">
        <v>45170</v>
      </c>
      <c r="C1692" s="1" t="n">
        <v>45662</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40470-2023</t>
        </is>
      </c>
      <c r="B1693" s="1" t="n">
        <v>45170</v>
      </c>
      <c r="C1693" s="1" t="n">
        <v>45662</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40538-2023</t>
        </is>
      </c>
      <c r="B1694" s="1" t="n">
        <v>45170</v>
      </c>
      <c r="C1694" s="1" t="n">
        <v>45662</v>
      </c>
      <c r="D1694" t="inlineStr">
        <is>
          <t>VÄRMLANDS LÄN</t>
        </is>
      </c>
      <c r="E1694" t="inlineStr">
        <is>
          <t>TORSBY</t>
        </is>
      </c>
      <c r="F1694" t="inlineStr">
        <is>
          <t>Bergvik skog väst AB</t>
        </is>
      </c>
      <c r="G1694" t="n">
        <v>31.4</v>
      </c>
      <c r="H1694" t="n">
        <v>0</v>
      </c>
      <c r="I1694" t="n">
        <v>0</v>
      </c>
      <c r="J1694" t="n">
        <v>0</v>
      </c>
      <c r="K1694" t="n">
        <v>0</v>
      </c>
      <c r="L1694" t="n">
        <v>0</v>
      </c>
      <c r="M1694" t="n">
        <v>0</v>
      </c>
      <c r="N1694" t="n">
        <v>0</v>
      </c>
      <c r="O1694" t="n">
        <v>0</v>
      </c>
      <c r="P1694" t="n">
        <v>0</v>
      </c>
      <c r="Q1694" t="n">
        <v>0</v>
      </c>
      <c r="R1694" s="2" t="inlineStr"/>
    </row>
    <row r="1695" ht="15" customHeight="1">
      <c r="A1695" t="inlineStr">
        <is>
          <t>A 41469-2023</t>
        </is>
      </c>
      <c r="B1695" s="1" t="n">
        <v>45170</v>
      </c>
      <c r="C1695" s="1" t="n">
        <v>45662</v>
      </c>
      <c r="D1695" t="inlineStr">
        <is>
          <t>VÄRMLANDS LÄN</t>
        </is>
      </c>
      <c r="E1695" t="inlineStr">
        <is>
          <t>TORSBY</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40858-2023</t>
        </is>
      </c>
      <c r="B1696" s="1" t="n">
        <v>45173</v>
      </c>
      <c r="C1696" s="1" t="n">
        <v>45662</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40971-2023</t>
        </is>
      </c>
      <c r="B1697" s="1" t="n">
        <v>45173</v>
      </c>
      <c r="C1697" s="1" t="n">
        <v>45662</v>
      </c>
      <c r="D1697" t="inlineStr">
        <is>
          <t>VÄRMLANDS LÄN</t>
        </is>
      </c>
      <c r="E1697" t="inlineStr">
        <is>
          <t>TORSBY</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41096-2023</t>
        </is>
      </c>
      <c r="B1698" s="1" t="n">
        <v>45173</v>
      </c>
      <c r="C1698" s="1" t="n">
        <v>45662</v>
      </c>
      <c r="D1698" t="inlineStr">
        <is>
          <t>VÄRMLANDS LÄN</t>
        </is>
      </c>
      <c r="E1698" t="inlineStr">
        <is>
          <t>TORSBY</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41056-2023</t>
        </is>
      </c>
      <c r="B1699" s="1" t="n">
        <v>45173</v>
      </c>
      <c r="C1699" s="1" t="n">
        <v>45662</v>
      </c>
      <c r="D1699" t="inlineStr">
        <is>
          <t>VÄRMLANDS LÄN</t>
        </is>
      </c>
      <c r="E1699" t="inlineStr">
        <is>
          <t>TORSBY</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41022-2023</t>
        </is>
      </c>
      <c r="B1700" s="1" t="n">
        <v>45173</v>
      </c>
      <c r="C1700" s="1" t="n">
        <v>45662</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41050-2023</t>
        </is>
      </c>
      <c r="B1701" s="1" t="n">
        <v>45173</v>
      </c>
      <c r="C1701" s="1" t="n">
        <v>45662</v>
      </c>
      <c r="D1701" t="inlineStr">
        <is>
          <t>VÄRMLANDS LÄN</t>
        </is>
      </c>
      <c r="E1701" t="inlineStr">
        <is>
          <t>TORSBY</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41059-2023</t>
        </is>
      </c>
      <c r="B1702" s="1" t="n">
        <v>45173</v>
      </c>
      <c r="C1702" s="1" t="n">
        <v>45662</v>
      </c>
      <c r="D1702" t="inlineStr">
        <is>
          <t>VÄRMLANDS LÄN</t>
        </is>
      </c>
      <c r="E1702" t="inlineStr">
        <is>
          <t>TORSBY</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41156-2023</t>
        </is>
      </c>
      <c r="B1703" s="1" t="n">
        <v>45174</v>
      </c>
      <c r="C1703" s="1" t="n">
        <v>45662</v>
      </c>
      <c r="D1703" t="inlineStr">
        <is>
          <t>VÄRMLANDS LÄN</t>
        </is>
      </c>
      <c r="E1703" t="inlineStr">
        <is>
          <t>TORSBY</t>
        </is>
      </c>
      <c r="F1703" t="inlineStr">
        <is>
          <t>Kyrkan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41160-2023</t>
        </is>
      </c>
      <c r="B1704" s="1" t="n">
        <v>45174</v>
      </c>
      <c r="C1704" s="1" t="n">
        <v>45662</v>
      </c>
      <c r="D1704" t="inlineStr">
        <is>
          <t>VÄRMLANDS LÄN</t>
        </is>
      </c>
      <c r="E1704" t="inlineStr">
        <is>
          <t>TORSBY</t>
        </is>
      </c>
      <c r="F1704" t="inlineStr">
        <is>
          <t>Kyrkan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41246-2023</t>
        </is>
      </c>
      <c r="B1705" s="1" t="n">
        <v>45174</v>
      </c>
      <c r="C1705" s="1" t="n">
        <v>45662</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41270-2023</t>
        </is>
      </c>
      <c r="B1706" s="1" t="n">
        <v>45174</v>
      </c>
      <c r="C1706" s="1" t="n">
        <v>45662</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42069-2023</t>
        </is>
      </c>
      <c r="B1707" s="1" t="n">
        <v>45174</v>
      </c>
      <c r="C1707" s="1" t="n">
        <v>45662</v>
      </c>
      <c r="D1707" t="inlineStr">
        <is>
          <t>VÄRMLANDS LÄN</t>
        </is>
      </c>
      <c r="E1707" t="inlineStr">
        <is>
          <t>TORSBY</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42060-2023</t>
        </is>
      </c>
      <c r="B1708" s="1" t="n">
        <v>45174</v>
      </c>
      <c r="C1708" s="1" t="n">
        <v>45662</v>
      </c>
      <c r="D1708" t="inlineStr">
        <is>
          <t>VÄRMLANDS LÄN</t>
        </is>
      </c>
      <c r="E1708" t="inlineStr">
        <is>
          <t>TORSBY</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41488-2023</t>
        </is>
      </c>
      <c r="B1709" s="1" t="n">
        <v>45175</v>
      </c>
      <c r="C1709" s="1" t="n">
        <v>45662</v>
      </c>
      <c r="D1709" t="inlineStr">
        <is>
          <t>VÄRMLANDS LÄN</t>
        </is>
      </c>
      <c r="E1709" t="inlineStr">
        <is>
          <t>TORSBY</t>
        </is>
      </c>
      <c r="F1709" t="inlineStr">
        <is>
          <t>Kyrkan</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41438-2023</t>
        </is>
      </c>
      <c r="B1710" s="1" t="n">
        <v>45175</v>
      </c>
      <c r="C1710" s="1" t="n">
        <v>45662</v>
      </c>
      <c r="D1710" t="inlineStr">
        <is>
          <t>VÄRMLANDS LÄN</t>
        </is>
      </c>
      <c r="E1710" t="inlineStr">
        <is>
          <t>TORSBY</t>
        </is>
      </c>
      <c r="F1710" t="inlineStr">
        <is>
          <t>Kyrkan</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41431-2023</t>
        </is>
      </c>
      <c r="B1711" s="1" t="n">
        <v>45175</v>
      </c>
      <c r="C1711" s="1" t="n">
        <v>45662</v>
      </c>
      <c r="D1711" t="inlineStr">
        <is>
          <t>VÄRMLANDS LÄN</t>
        </is>
      </c>
      <c r="E1711" t="inlineStr">
        <is>
          <t>TORSBY</t>
        </is>
      </c>
      <c r="F1711" t="inlineStr">
        <is>
          <t>Bergvik skog väst AB</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41867-2023</t>
        </is>
      </c>
      <c r="B1712" s="1" t="n">
        <v>45176</v>
      </c>
      <c r="C1712" s="1" t="n">
        <v>45662</v>
      </c>
      <c r="D1712" t="inlineStr">
        <is>
          <t>VÄRMLANDS LÄN</t>
        </is>
      </c>
      <c r="E1712" t="inlineStr">
        <is>
          <t>TORSBY</t>
        </is>
      </c>
      <c r="F1712" t="inlineStr">
        <is>
          <t>Bergvik skog väst AB</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41833-2023</t>
        </is>
      </c>
      <c r="B1713" s="1" t="n">
        <v>45176</v>
      </c>
      <c r="C1713" s="1" t="n">
        <v>45662</v>
      </c>
      <c r="D1713" t="inlineStr">
        <is>
          <t>VÄRMLANDS LÄN</t>
        </is>
      </c>
      <c r="E1713" t="inlineStr">
        <is>
          <t>TORSBY</t>
        </is>
      </c>
      <c r="F1713" t="inlineStr">
        <is>
          <t>Bergvik skog väst AB</t>
        </is>
      </c>
      <c r="G1713" t="n">
        <v>21.7</v>
      </c>
      <c r="H1713" t="n">
        <v>0</v>
      </c>
      <c r="I1713" t="n">
        <v>0</v>
      </c>
      <c r="J1713" t="n">
        <v>0</v>
      </c>
      <c r="K1713" t="n">
        <v>0</v>
      </c>
      <c r="L1713" t="n">
        <v>0</v>
      </c>
      <c r="M1713" t="n">
        <v>0</v>
      </c>
      <c r="N1713" t="n">
        <v>0</v>
      </c>
      <c r="O1713" t="n">
        <v>0</v>
      </c>
      <c r="P1713" t="n">
        <v>0</v>
      </c>
      <c r="Q1713" t="n">
        <v>0</v>
      </c>
      <c r="R1713" s="2" t="inlineStr"/>
    </row>
    <row r="1714" ht="15" customHeight="1">
      <c r="A1714" t="inlineStr">
        <is>
          <t>A 41841-2023</t>
        </is>
      </c>
      <c r="B1714" s="1" t="n">
        <v>45176</v>
      </c>
      <c r="C1714" s="1" t="n">
        <v>45662</v>
      </c>
      <c r="D1714" t="inlineStr">
        <is>
          <t>VÄRMLANDS LÄN</t>
        </is>
      </c>
      <c r="E1714" t="inlineStr">
        <is>
          <t>TORSBY</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41885-2023</t>
        </is>
      </c>
      <c r="B1715" s="1" t="n">
        <v>45176</v>
      </c>
      <c r="C1715" s="1" t="n">
        <v>45662</v>
      </c>
      <c r="D1715" t="inlineStr">
        <is>
          <t>VÄRMLANDS LÄN</t>
        </is>
      </c>
      <c r="E1715" t="inlineStr">
        <is>
          <t>TORSBY</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41843-2023</t>
        </is>
      </c>
      <c r="B1716" s="1" t="n">
        <v>45176</v>
      </c>
      <c r="C1716" s="1" t="n">
        <v>45662</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41868-2023</t>
        </is>
      </c>
      <c r="B1717" s="1" t="n">
        <v>45176</v>
      </c>
      <c r="C1717" s="1" t="n">
        <v>45662</v>
      </c>
      <c r="D1717" t="inlineStr">
        <is>
          <t>VÄRMLANDS LÄN</t>
        </is>
      </c>
      <c r="E1717" t="inlineStr">
        <is>
          <t>TORSBY</t>
        </is>
      </c>
      <c r="F1717" t="inlineStr">
        <is>
          <t>Bergvik skog väst AB</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42062-2023</t>
        </is>
      </c>
      <c r="B1718" s="1" t="n">
        <v>45177</v>
      </c>
      <c r="C1718" s="1" t="n">
        <v>45662</v>
      </c>
      <c r="D1718" t="inlineStr">
        <is>
          <t>VÄRMLANDS LÄN</t>
        </is>
      </c>
      <c r="E1718" t="inlineStr">
        <is>
          <t>TORSBY</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42245-2023</t>
        </is>
      </c>
      <c r="B1719" s="1" t="n">
        <v>45180</v>
      </c>
      <c r="C1719" s="1" t="n">
        <v>45662</v>
      </c>
      <c r="D1719" t="inlineStr">
        <is>
          <t>VÄRMLANDS LÄN</t>
        </is>
      </c>
      <c r="E1719" t="inlineStr">
        <is>
          <t>TORSBY</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42473-2023</t>
        </is>
      </c>
      <c r="B1720" s="1" t="n">
        <v>45180</v>
      </c>
      <c r="C1720" s="1" t="n">
        <v>45662</v>
      </c>
      <c r="D1720" t="inlineStr">
        <is>
          <t>VÄRMLANDS LÄN</t>
        </is>
      </c>
      <c r="E1720" t="inlineStr">
        <is>
          <t>TORSBY</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42403-2023</t>
        </is>
      </c>
      <c r="B1721" s="1" t="n">
        <v>45180</v>
      </c>
      <c r="C1721" s="1" t="n">
        <v>45662</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42420-2023</t>
        </is>
      </c>
      <c r="B1722" s="1" t="n">
        <v>45180</v>
      </c>
      <c r="C1722" s="1" t="n">
        <v>45662</v>
      </c>
      <c r="D1722" t="inlineStr">
        <is>
          <t>VÄRMLANDS LÄN</t>
        </is>
      </c>
      <c r="E1722" t="inlineStr">
        <is>
          <t>TORSBY</t>
        </is>
      </c>
      <c r="F1722" t="inlineStr">
        <is>
          <t>Bergvik skog väst AB</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43532-2023</t>
        </is>
      </c>
      <c r="B1723" s="1" t="n">
        <v>45181</v>
      </c>
      <c r="C1723" s="1" t="n">
        <v>45662</v>
      </c>
      <c r="D1723" t="inlineStr">
        <is>
          <t>VÄRMLANDS LÄN</t>
        </is>
      </c>
      <c r="E1723" t="inlineStr">
        <is>
          <t>TORSBY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43529-2023</t>
        </is>
      </c>
      <c r="B1724" s="1" t="n">
        <v>45181</v>
      </c>
      <c r="C1724" s="1" t="n">
        <v>45662</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43527-2023</t>
        </is>
      </c>
      <c r="B1725" s="1" t="n">
        <v>45181</v>
      </c>
      <c r="C1725" s="1" t="n">
        <v>45662</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43536-2023</t>
        </is>
      </c>
      <c r="B1726" s="1" t="n">
        <v>45181</v>
      </c>
      <c r="C1726" s="1" t="n">
        <v>45662</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43528-2023</t>
        </is>
      </c>
      <c r="B1727" s="1" t="n">
        <v>45181</v>
      </c>
      <c r="C1727" s="1" t="n">
        <v>45662</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42645-2023</t>
        </is>
      </c>
      <c r="B1728" s="1" t="n">
        <v>45181</v>
      </c>
      <c r="C1728" s="1" t="n">
        <v>45662</v>
      </c>
      <c r="D1728" t="inlineStr">
        <is>
          <t>VÄRMLANDS LÄN</t>
        </is>
      </c>
      <c r="E1728" t="inlineStr">
        <is>
          <t>TORSBY</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42652-2023</t>
        </is>
      </c>
      <c r="B1729" s="1" t="n">
        <v>45181</v>
      </c>
      <c r="C1729" s="1" t="n">
        <v>45662</v>
      </c>
      <c r="D1729" t="inlineStr">
        <is>
          <t>VÄRMLANDS LÄN</t>
        </is>
      </c>
      <c r="E1729" t="inlineStr">
        <is>
          <t>TORSBY</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42656-2023</t>
        </is>
      </c>
      <c r="B1730" s="1" t="n">
        <v>45181</v>
      </c>
      <c r="C1730" s="1" t="n">
        <v>45662</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42581-2023</t>
        </is>
      </c>
      <c r="B1731" s="1" t="n">
        <v>45181</v>
      </c>
      <c r="C1731" s="1" t="n">
        <v>45662</v>
      </c>
      <c r="D1731" t="inlineStr">
        <is>
          <t>VÄRMLANDS LÄN</t>
        </is>
      </c>
      <c r="E1731" t="inlineStr">
        <is>
          <t>TORSBY</t>
        </is>
      </c>
      <c r="G1731" t="n">
        <v>17.6</v>
      </c>
      <c r="H1731" t="n">
        <v>0</v>
      </c>
      <c r="I1731" t="n">
        <v>0</v>
      </c>
      <c r="J1731" t="n">
        <v>0</v>
      </c>
      <c r="K1731" t="n">
        <v>0</v>
      </c>
      <c r="L1731" t="n">
        <v>0</v>
      </c>
      <c r="M1731" t="n">
        <v>0</v>
      </c>
      <c r="N1731" t="n">
        <v>0</v>
      </c>
      <c r="O1731" t="n">
        <v>0</v>
      </c>
      <c r="P1731" t="n">
        <v>0</v>
      </c>
      <c r="Q1731" t="n">
        <v>0</v>
      </c>
      <c r="R1731" s="2" t="inlineStr"/>
    </row>
    <row r="1732" ht="15" customHeight="1">
      <c r="A1732" t="inlineStr">
        <is>
          <t>A 42613-2023</t>
        </is>
      </c>
      <c r="B1732" s="1" t="n">
        <v>45181</v>
      </c>
      <c r="C1732" s="1" t="n">
        <v>45662</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42635-2023</t>
        </is>
      </c>
      <c r="B1733" s="1" t="n">
        <v>45181</v>
      </c>
      <c r="C1733" s="1" t="n">
        <v>45662</v>
      </c>
      <c r="D1733" t="inlineStr">
        <is>
          <t>VÄRMLANDS LÄN</t>
        </is>
      </c>
      <c r="E1733" t="inlineStr">
        <is>
          <t>TORSBY</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42658-2023</t>
        </is>
      </c>
      <c r="B1734" s="1" t="n">
        <v>45181</v>
      </c>
      <c r="C1734" s="1" t="n">
        <v>45662</v>
      </c>
      <c r="D1734" t="inlineStr">
        <is>
          <t>VÄRMLANDS LÄN</t>
        </is>
      </c>
      <c r="E1734" t="inlineStr">
        <is>
          <t>TORSBY</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42710-2023</t>
        </is>
      </c>
      <c r="B1735" s="1" t="n">
        <v>45181</v>
      </c>
      <c r="C1735" s="1" t="n">
        <v>45662</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42632-2023</t>
        </is>
      </c>
      <c r="B1736" s="1" t="n">
        <v>45181</v>
      </c>
      <c r="C1736" s="1" t="n">
        <v>45662</v>
      </c>
      <c r="D1736" t="inlineStr">
        <is>
          <t>VÄRMLANDS LÄN</t>
        </is>
      </c>
      <c r="E1736" t="inlineStr">
        <is>
          <t>TORSBY</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42944-2023</t>
        </is>
      </c>
      <c r="B1737" s="1" t="n">
        <v>45182</v>
      </c>
      <c r="C1737" s="1" t="n">
        <v>45662</v>
      </c>
      <c r="D1737" t="inlineStr">
        <is>
          <t>VÄRMLANDS LÄN</t>
        </is>
      </c>
      <c r="E1737" t="inlineStr">
        <is>
          <t>TORSBY</t>
        </is>
      </c>
      <c r="F1737" t="inlineStr">
        <is>
          <t>Bergvik skog väst AB</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43084-2023</t>
        </is>
      </c>
      <c r="B1738" s="1" t="n">
        <v>45182</v>
      </c>
      <c r="C1738" s="1" t="n">
        <v>45662</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44083-2023</t>
        </is>
      </c>
      <c r="B1739" s="1" t="n">
        <v>45182</v>
      </c>
      <c r="C1739" s="1" t="n">
        <v>45662</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44094-2023</t>
        </is>
      </c>
      <c r="B1740" s="1" t="n">
        <v>45182</v>
      </c>
      <c r="C1740" s="1" t="n">
        <v>45662</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43179-2023</t>
        </is>
      </c>
      <c r="B1741" s="1" t="n">
        <v>45183</v>
      </c>
      <c r="C1741" s="1" t="n">
        <v>45662</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43361-2023</t>
        </is>
      </c>
      <c r="B1742" s="1" t="n">
        <v>45183</v>
      </c>
      <c r="C1742" s="1" t="n">
        <v>45662</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43540-2023</t>
        </is>
      </c>
      <c r="B1743" s="1" t="n">
        <v>45184</v>
      </c>
      <c r="C1743" s="1" t="n">
        <v>45662</v>
      </c>
      <c r="D1743" t="inlineStr">
        <is>
          <t>VÄRMLANDS LÄN</t>
        </is>
      </c>
      <c r="E1743" t="inlineStr">
        <is>
          <t>TORSBY</t>
        </is>
      </c>
      <c r="F1743" t="inlineStr">
        <is>
          <t>Bergvik skog väst AB</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43562-2023</t>
        </is>
      </c>
      <c r="B1744" s="1" t="n">
        <v>45184</v>
      </c>
      <c r="C1744" s="1" t="n">
        <v>45662</v>
      </c>
      <c r="D1744" t="inlineStr">
        <is>
          <t>VÄRMLANDS LÄN</t>
        </is>
      </c>
      <c r="E1744" t="inlineStr">
        <is>
          <t>TORSBY</t>
        </is>
      </c>
      <c r="F1744" t="inlineStr">
        <is>
          <t>Kommuner</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43599-2023</t>
        </is>
      </c>
      <c r="B1745" s="1" t="n">
        <v>45184</v>
      </c>
      <c r="C1745" s="1" t="n">
        <v>45662</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43663-2023</t>
        </is>
      </c>
      <c r="B1746" s="1" t="n">
        <v>45187</v>
      </c>
      <c r="C1746" s="1" t="n">
        <v>45662</v>
      </c>
      <c r="D1746" t="inlineStr">
        <is>
          <t>VÄRMLANDS LÄN</t>
        </is>
      </c>
      <c r="E1746" t="inlineStr">
        <is>
          <t>TORSBY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43670-2023</t>
        </is>
      </c>
      <c r="B1747" s="1" t="n">
        <v>45187</v>
      </c>
      <c r="C1747" s="1" t="n">
        <v>45662</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44047-2023</t>
        </is>
      </c>
      <c r="B1748" s="1" t="n">
        <v>45188</v>
      </c>
      <c r="C1748" s="1" t="n">
        <v>45662</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44150-2023</t>
        </is>
      </c>
      <c r="B1749" s="1" t="n">
        <v>45188</v>
      </c>
      <c r="C1749" s="1" t="n">
        <v>45662</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44044-2023</t>
        </is>
      </c>
      <c r="B1750" s="1" t="n">
        <v>45188</v>
      </c>
      <c r="C1750" s="1" t="n">
        <v>45662</v>
      </c>
      <c r="D1750" t="inlineStr">
        <is>
          <t>VÄRMLANDS LÄN</t>
        </is>
      </c>
      <c r="E1750" t="inlineStr">
        <is>
          <t>TORSBY</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44127-2023</t>
        </is>
      </c>
      <c r="B1751" s="1" t="n">
        <v>45188</v>
      </c>
      <c r="C1751" s="1" t="n">
        <v>45662</v>
      </c>
      <c r="D1751" t="inlineStr">
        <is>
          <t>VÄRMLANDS LÄN</t>
        </is>
      </c>
      <c r="E1751" t="inlineStr">
        <is>
          <t>TORSBY</t>
        </is>
      </c>
      <c r="F1751" t="inlineStr">
        <is>
          <t>Bergvik skog väst AB</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44262-2023</t>
        </is>
      </c>
      <c r="B1752" s="1" t="n">
        <v>45188</v>
      </c>
      <c r="C1752" s="1" t="n">
        <v>45662</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44113-2023</t>
        </is>
      </c>
      <c r="B1753" s="1" t="n">
        <v>45188</v>
      </c>
      <c r="C1753" s="1" t="n">
        <v>45662</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44424-2023</t>
        </is>
      </c>
      <c r="B1754" s="1" t="n">
        <v>45189</v>
      </c>
      <c r="C1754" s="1" t="n">
        <v>45662</v>
      </c>
      <c r="D1754" t="inlineStr">
        <is>
          <t>VÄRMLANDS LÄN</t>
        </is>
      </c>
      <c r="E1754" t="inlineStr">
        <is>
          <t>TORSBY</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44497-2023</t>
        </is>
      </c>
      <c r="B1755" s="1" t="n">
        <v>45189</v>
      </c>
      <c r="C1755" s="1" t="n">
        <v>45662</v>
      </c>
      <c r="D1755" t="inlineStr">
        <is>
          <t>VÄRMLANDS LÄN</t>
        </is>
      </c>
      <c r="E1755" t="inlineStr">
        <is>
          <t>TORSBY</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44562-2023</t>
        </is>
      </c>
      <c r="B1756" s="1" t="n">
        <v>45189</v>
      </c>
      <c r="C1756" s="1" t="n">
        <v>45662</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44641-2023</t>
        </is>
      </c>
      <c r="B1757" s="1" t="n">
        <v>45189</v>
      </c>
      <c r="C1757" s="1" t="n">
        <v>45662</v>
      </c>
      <c r="D1757" t="inlineStr">
        <is>
          <t>VÄRMLANDS LÄN</t>
        </is>
      </c>
      <c r="E1757" t="inlineStr">
        <is>
          <t>TORSBY</t>
        </is>
      </c>
      <c r="F1757" t="inlineStr">
        <is>
          <t>Bergvik skog väst AB</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44645-2023</t>
        </is>
      </c>
      <c r="B1758" s="1" t="n">
        <v>45189</v>
      </c>
      <c r="C1758" s="1" t="n">
        <v>45662</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44670-2023</t>
        </is>
      </c>
      <c r="B1759" s="1" t="n">
        <v>45189</v>
      </c>
      <c r="C1759" s="1" t="n">
        <v>45662</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44710-2023</t>
        </is>
      </c>
      <c r="B1760" s="1" t="n">
        <v>45190</v>
      </c>
      <c r="C1760" s="1" t="n">
        <v>45662</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44730-2023</t>
        </is>
      </c>
      <c r="B1761" s="1" t="n">
        <v>45190</v>
      </c>
      <c r="C1761" s="1" t="n">
        <v>45662</v>
      </c>
      <c r="D1761" t="inlineStr">
        <is>
          <t>VÄRMLANDS LÄN</t>
        </is>
      </c>
      <c r="E1761" t="inlineStr">
        <is>
          <t>TORSBY</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45224-2023</t>
        </is>
      </c>
      <c r="B1762" s="1" t="n">
        <v>45191</v>
      </c>
      <c r="C1762" s="1" t="n">
        <v>45662</v>
      </c>
      <c r="D1762" t="inlineStr">
        <is>
          <t>VÄRMLANDS LÄN</t>
        </is>
      </c>
      <c r="E1762" t="inlineStr">
        <is>
          <t>TORSBY</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45041-2023</t>
        </is>
      </c>
      <c r="B1763" s="1" t="n">
        <v>45191</v>
      </c>
      <c r="C1763" s="1" t="n">
        <v>45662</v>
      </c>
      <c r="D1763" t="inlineStr">
        <is>
          <t>VÄRMLANDS LÄN</t>
        </is>
      </c>
      <c r="E1763" t="inlineStr">
        <is>
          <t>TORSBY</t>
        </is>
      </c>
      <c r="F1763" t="inlineStr">
        <is>
          <t>Kyrkan</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45152-2023</t>
        </is>
      </c>
      <c r="B1764" s="1" t="n">
        <v>45191</v>
      </c>
      <c r="C1764" s="1" t="n">
        <v>45662</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45169-2023</t>
        </is>
      </c>
      <c r="B1765" s="1" t="n">
        <v>45191</v>
      </c>
      <c r="C1765" s="1" t="n">
        <v>45662</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45231-2023</t>
        </is>
      </c>
      <c r="B1766" s="1" t="n">
        <v>45191</v>
      </c>
      <c r="C1766" s="1" t="n">
        <v>45662</v>
      </c>
      <c r="D1766" t="inlineStr">
        <is>
          <t>VÄRMLANDS LÄN</t>
        </is>
      </c>
      <c r="E1766" t="inlineStr">
        <is>
          <t>TORSBY</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45228-2023</t>
        </is>
      </c>
      <c r="B1767" s="1" t="n">
        <v>45191</v>
      </c>
      <c r="C1767" s="1" t="n">
        <v>45662</v>
      </c>
      <c r="D1767" t="inlineStr">
        <is>
          <t>VÄRMLANDS LÄN</t>
        </is>
      </c>
      <c r="E1767" t="inlineStr">
        <is>
          <t>TORSBY</t>
        </is>
      </c>
      <c r="F1767" t="inlineStr">
        <is>
          <t>Bergvik skog väst AB</t>
        </is>
      </c>
      <c r="G1767" t="n">
        <v>26.8</v>
      </c>
      <c r="H1767" t="n">
        <v>0</v>
      </c>
      <c r="I1767" t="n">
        <v>0</v>
      </c>
      <c r="J1767" t="n">
        <v>0</v>
      </c>
      <c r="K1767" t="n">
        <v>0</v>
      </c>
      <c r="L1767" t="n">
        <v>0</v>
      </c>
      <c r="M1767" t="n">
        <v>0</v>
      </c>
      <c r="N1767" t="n">
        <v>0</v>
      </c>
      <c r="O1767" t="n">
        <v>0</v>
      </c>
      <c r="P1767" t="n">
        <v>0</v>
      </c>
      <c r="Q1767" t="n">
        <v>0</v>
      </c>
      <c r="R1767" s="2" t="inlineStr"/>
    </row>
    <row r="1768" ht="15" customHeight="1">
      <c r="A1768" t="inlineStr">
        <is>
          <t>A 45587-2023</t>
        </is>
      </c>
      <c r="B1768" s="1" t="n">
        <v>45194</v>
      </c>
      <c r="C1768" s="1" t="n">
        <v>45662</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45399-2023</t>
        </is>
      </c>
      <c r="B1769" s="1" t="n">
        <v>45194</v>
      </c>
      <c r="C1769" s="1" t="n">
        <v>45662</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45563-2023</t>
        </is>
      </c>
      <c r="B1770" s="1" t="n">
        <v>45194</v>
      </c>
      <c r="C1770" s="1" t="n">
        <v>45662</v>
      </c>
      <c r="D1770" t="inlineStr">
        <is>
          <t>VÄRMLANDS LÄN</t>
        </is>
      </c>
      <c r="E1770" t="inlineStr">
        <is>
          <t>TORSBY</t>
        </is>
      </c>
      <c r="F1770" t="inlineStr">
        <is>
          <t>Bergvik skog väst AB</t>
        </is>
      </c>
      <c r="G1770" t="n">
        <v>22.6</v>
      </c>
      <c r="H1770" t="n">
        <v>0</v>
      </c>
      <c r="I1770" t="n">
        <v>0</v>
      </c>
      <c r="J1770" t="n">
        <v>0</v>
      </c>
      <c r="K1770" t="n">
        <v>0</v>
      </c>
      <c r="L1770" t="n">
        <v>0</v>
      </c>
      <c r="M1770" t="n">
        <v>0</v>
      </c>
      <c r="N1770" t="n">
        <v>0</v>
      </c>
      <c r="O1770" t="n">
        <v>0</v>
      </c>
      <c r="P1770" t="n">
        <v>0</v>
      </c>
      <c r="Q1770" t="n">
        <v>0</v>
      </c>
      <c r="R1770" s="2" t="inlineStr"/>
    </row>
    <row r="1771" ht="15" customHeight="1">
      <c r="A1771" t="inlineStr">
        <is>
          <t>A 45765-2023</t>
        </is>
      </c>
      <c r="B1771" s="1" t="n">
        <v>45195</v>
      </c>
      <c r="C1771" s="1" t="n">
        <v>45662</v>
      </c>
      <c r="D1771" t="inlineStr">
        <is>
          <t>VÄRMLANDS LÄN</t>
        </is>
      </c>
      <c r="E1771" t="inlineStr">
        <is>
          <t>TORSBY</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45872-2023</t>
        </is>
      </c>
      <c r="B1772" s="1" t="n">
        <v>45195</v>
      </c>
      <c r="C1772" s="1" t="n">
        <v>45662</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45775-2023</t>
        </is>
      </c>
      <c r="B1773" s="1" t="n">
        <v>45195</v>
      </c>
      <c r="C1773" s="1" t="n">
        <v>45662</v>
      </c>
      <c r="D1773" t="inlineStr">
        <is>
          <t>VÄRMLANDS LÄN</t>
        </is>
      </c>
      <c r="E1773" t="inlineStr">
        <is>
          <t>TORSBY</t>
        </is>
      </c>
      <c r="F1773" t="inlineStr">
        <is>
          <t>Bergvik skog väst AB</t>
        </is>
      </c>
      <c r="G1773" t="n">
        <v>34.2</v>
      </c>
      <c r="H1773" t="n">
        <v>0</v>
      </c>
      <c r="I1773" t="n">
        <v>0</v>
      </c>
      <c r="J1773" t="n">
        <v>0</v>
      </c>
      <c r="K1773" t="n">
        <v>0</v>
      </c>
      <c r="L1773" t="n">
        <v>0</v>
      </c>
      <c r="M1773" t="n">
        <v>0</v>
      </c>
      <c r="N1773" t="n">
        <v>0</v>
      </c>
      <c r="O1773" t="n">
        <v>0</v>
      </c>
      <c r="P1773" t="n">
        <v>0</v>
      </c>
      <c r="Q1773" t="n">
        <v>0</v>
      </c>
      <c r="R1773" s="2" t="inlineStr"/>
    </row>
    <row r="1774" ht="15" customHeight="1">
      <c r="A1774" t="inlineStr">
        <is>
          <t>A 46003-2023</t>
        </is>
      </c>
      <c r="B1774" s="1" t="n">
        <v>45196</v>
      </c>
      <c r="C1774" s="1" t="n">
        <v>45662</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46048-2023</t>
        </is>
      </c>
      <c r="B1775" s="1" t="n">
        <v>45196</v>
      </c>
      <c r="C1775" s="1" t="n">
        <v>45662</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46001-2023</t>
        </is>
      </c>
      <c r="B1776" s="1" t="n">
        <v>45196</v>
      </c>
      <c r="C1776" s="1" t="n">
        <v>45662</v>
      </c>
      <c r="D1776" t="inlineStr">
        <is>
          <t>VÄRMLANDS LÄN</t>
        </is>
      </c>
      <c r="E1776" t="inlineStr">
        <is>
          <t>TORSBY</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46202-2023</t>
        </is>
      </c>
      <c r="B1777" s="1" t="n">
        <v>45196</v>
      </c>
      <c r="C1777" s="1" t="n">
        <v>45662</v>
      </c>
      <c r="D1777" t="inlineStr">
        <is>
          <t>VÄRMLANDS LÄN</t>
        </is>
      </c>
      <c r="E1777" t="inlineStr">
        <is>
          <t>TORSBY</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46233-2023</t>
        </is>
      </c>
      <c r="B1778" s="1" t="n">
        <v>45196</v>
      </c>
      <c r="C1778" s="1" t="n">
        <v>45662</v>
      </c>
      <c r="D1778" t="inlineStr">
        <is>
          <t>VÄRMLANDS LÄN</t>
        </is>
      </c>
      <c r="E1778" t="inlineStr">
        <is>
          <t>TORSBY</t>
        </is>
      </c>
      <c r="F1778" t="inlineStr">
        <is>
          <t>Kyrkan</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46127-2023</t>
        </is>
      </c>
      <c r="B1779" s="1" t="n">
        <v>45196</v>
      </c>
      <c r="C1779" s="1" t="n">
        <v>45662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46199-2023</t>
        </is>
      </c>
      <c r="B1780" s="1" t="n">
        <v>45196</v>
      </c>
      <c r="C1780" s="1" t="n">
        <v>45662</v>
      </c>
      <c r="D1780" t="inlineStr">
        <is>
          <t>VÄRMLANDS LÄN</t>
        </is>
      </c>
      <c r="E1780" t="inlineStr">
        <is>
          <t>TORSBY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46220-2023</t>
        </is>
      </c>
      <c r="B1781" s="1" t="n">
        <v>45196</v>
      </c>
      <c r="C1781" s="1" t="n">
        <v>45662</v>
      </c>
      <c r="D1781" t="inlineStr">
        <is>
          <t>VÄRMLANDS LÄN</t>
        </is>
      </c>
      <c r="E1781" t="inlineStr">
        <is>
          <t>TORSBY</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46156-2023</t>
        </is>
      </c>
      <c r="B1782" s="1" t="n">
        <v>45196</v>
      </c>
      <c r="C1782" s="1" t="n">
        <v>45662</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46180-2023</t>
        </is>
      </c>
      <c r="B1783" s="1" t="n">
        <v>45196</v>
      </c>
      <c r="C1783" s="1" t="n">
        <v>45662</v>
      </c>
      <c r="D1783" t="inlineStr">
        <is>
          <t>VÄRMLANDS LÄN</t>
        </is>
      </c>
      <c r="E1783" t="inlineStr">
        <is>
          <t>TORSBY</t>
        </is>
      </c>
      <c r="F1783" t="inlineStr">
        <is>
          <t>Bergvik skog väst AB</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46195-2023</t>
        </is>
      </c>
      <c r="B1784" s="1" t="n">
        <v>45196</v>
      </c>
      <c r="C1784" s="1" t="n">
        <v>45662</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46221-2023</t>
        </is>
      </c>
      <c r="B1785" s="1" t="n">
        <v>45196</v>
      </c>
      <c r="C1785" s="1" t="n">
        <v>45662</v>
      </c>
      <c r="D1785" t="inlineStr">
        <is>
          <t>VÄRMLANDS LÄN</t>
        </is>
      </c>
      <c r="E1785" t="inlineStr">
        <is>
          <t>TORSBY</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47227-2023</t>
        </is>
      </c>
      <c r="B1786" s="1" t="n">
        <v>45196</v>
      </c>
      <c r="C1786" s="1" t="n">
        <v>45662</v>
      </c>
      <c r="D1786" t="inlineStr">
        <is>
          <t>VÄRMLANDS LÄN</t>
        </is>
      </c>
      <c r="E1786" t="inlineStr">
        <is>
          <t>TORSBY</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46424-2023</t>
        </is>
      </c>
      <c r="B1787" s="1" t="n">
        <v>45197</v>
      </c>
      <c r="C1787" s="1" t="n">
        <v>45662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46449-2023</t>
        </is>
      </c>
      <c r="B1788" s="1" t="n">
        <v>45197</v>
      </c>
      <c r="C1788" s="1" t="n">
        <v>45662</v>
      </c>
      <c r="D1788" t="inlineStr">
        <is>
          <t>VÄRMLANDS LÄN</t>
        </is>
      </c>
      <c r="E1788" t="inlineStr">
        <is>
          <t>TORSBY</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46509-2023</t>
        </is>
      </c>
      <c r="B1789" s="1" t="n">
        <v>45197</v>
      </c>
      <c r="C1789" s="1" t="n">
        <v>45662</v>
      </c>
      <c r="D1789" t="inlineStr">
        <is>
          <t>VÄRMLANDS LÄN</t>
        </is>
      </c>
      <c r="E1789" t="inlineStr">
        <is>
          <t>TORSBY</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46489-2023</t>
        </is>
      </c>
      <c r="B1790" s="1" t="n">
        <v>45197</v>
      </c>
      <c r="C1790" s="1" t="n">
        <v>45662</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47119-2023</t>
        </is>
      </c>
      <c r="B1791" s="1" t="n">
        <v>45201</v>
      </c>
      <c r="C1791" s="1" t="n">
        <v>45662</v>
      </c>
      <c r="D1791" t="inlineStr">
        <is>
          <t>VÄRMLANDS LÄN</t>
        </is>
      </c>
      <c r="E1791" t="inlineStr">
        <is>
          <t>TORSBY</t>
        </is>
      </c>
      <c r="F1791" t="inlineStr">
        <is>
          <t>Bergvik skog väst AB</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46880-2023</t>
        </is>
      </c>
      <c r="B1792" s="1" t="n">
        <v>45201</v>
      </c>
      <c r="C1792" s="1" t="n">
        <v>45662</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46938-2023</t>
        </is>
      </c>
      <c r="B1793" s="1" t="n">
        <v>45201</v>
      </c>
      <c r="C1793" s="1" t="n">
        <v>45662</v>
      </c>
      <c r="D1793" t="inlineStr">
        <is>
          <t>VÄRMLANDS LÄN</t>
        </is>
      </c>
      <c r="E1793" t="inlineStr">
        <is>
          <t>TORSBY</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47077-2023</t>
        </is>
      </c>
      <c r="B1794" s="1" t="n">
        <v>45201</v>
      </c>
      <c r="C1794" s="1" t="n">
        <v>45662</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47275-2023</t>
        </is>
      </c>
      <c r="B1795" s="1" t="n">
        <v>45202</v>
      </c>
      <c r="C1795" s="1" t="n">
        <v>45662</v>
      </c>
      <c r="D1795" t="inlineStr">
        <is>
          <t>VÄRMLANDS LÄN</t>
        </is>
      </c>
      <c r="E1795" t="inlineStr">
        <is>
          <t>TORSBY</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47241-2023</t>
        </is>
      </c>
      <c r="B1796" s="1" t="n">
        <v>45202</v>
      </c>
      <c r="C1796" s="1" t="n">
        <v>45662</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47355-2023</t>
        </is>
      </c>
      <c r="B1797" s="1" t="n">
        <v>45202</v>
      </c>
      <c r="C1797" s="1" t="n">
        <v>45662</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47401-2023</t>
        </is>
      </c>
      <c r="B1798" s="1" t="n">
        <v>45202</v>
      </c>
      <c r="C1798" s="1" t="n">
        <v>45662</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47737-2023</t>
        </is>
      </c>
      <c r="B1799" s="1" t="n">
        <v>45203</v>
      </c>
      <c r="C1799" s="1" t="n">
        <v>45662</v>
      </c>
      <c r="D1799" t="inlineStr">
        <is>
          <t>VÄRMLANDS LÄN</t>
        </is>
      </c>
      <c r="E1799" t="inlineStr">
        <is>
          <t>TORSBY</t>
        </is>
      </c>
      <c r="F1799" t="inlineStr">
        <is>
          <t>Bergvik skog väst AB</t>
        </is>
      </c>
      <c r="G1799" t="n">
        <v>24.4</v>
      </c>
      <c r="H1799" t="n">
        <v>0</v>
      </c>
      <c r="I1799" t="n">
        <v>0</v>
      </c>
      <c r="J1799" t="n">
        <v>0</v>
      </c>
      <c r="K1799" t="n">
        <v>0</v>
      </c>
      <c r="L1799" t="n">
        <v>0</v>
      </c>
      <c r="M1799" t="n">
        <v>0</v>
      </c>
      <c r="N1799" t="n">
        <v>0</v>
      </c>
      <c r="O1799" t="n">
        <v>0</v>
      </c>
      <c r="P1799" t="n">
        <v>0</v>
      </c>
      <c r="Q1799" t="n">
        <v>0</v>
      </c>
      <c r="R1799" s="2" t="inlineStr"/>
    </row>
    <row r="1800" ht="15" customHeight="1">
      <c r="A1800" t="inlineStr">
        <is>
          <t>A 47615-2023</t>
        </is>
      </c>
      <c r="B1800" s="1" t="n">
        <v>45203</v>
      </c>
      <c r="C1800" s="1" t="n">
        <v>45662</v>
      </c>
      <c r="D1800" t="inlineStr">
        <is>
          <t>VÄRMLANDS LÄN</t>
        </is>
      </c>
      <c r="E1800" t="inlineStr">
        <is>
          <t>TORSBY</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47730-2023</t>
        </is>
      </c>
      <c r="B1801" s="1" t="n">
        <v>45203</v>
      </c>
      <c r="C1801" s="1" t="n">
        <v>45662</v>
      </c>
      <c r="D1801" t="inlineStr">
        <is>
          <t>VÄRMLANDS LÄN</t>
        </is>
      </c>
      <c r="E1801" t="inlineStr">
        <is>
          <t>TORSBY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47734-2023</t>
        </is>
      </c>
      <c r="B1802" s="1" t="n">
        <v>45203</v>
      </c>
      <c r="C1802" s="1" t="n">
        <v>45662</v>
      </c>
      <c r="D1802" t="inlineStr">
        <is>
          <t>VÄRMLANDS LÄN</t>
        </is>
      </c>
      <c r="E1802" t="inlineStr">
        <is>
          <t>TORSBY</t>
        </is>
      </c>
      <c r="F1802" t="inlineStr">
        <is>
          <t>Bergvik skog väst AB</t>
        </is>
      </c>
      <c r="G1802" t="n">
        <v>23.3</v>
      </c>
      <c r="H1802" t="n">
        <v>0</v>
      </c>
      <c r="I1802" t="n">
        <v>0</v>
      </c>
      <c r="J1802" t="n">
        <v>0</v>
      </c>
      <c r="K1802" t="n">
        <v>0</v>
      </c>
      <c r="L1802" t="n">
        <v>0</v>
      </c>
      <c r="M1802" t="n">
        <v>0</v>
      </c>
      <c r="N1802" t="n">
        <v>0</v>
      </c>
      <c r="O1802" t="n">
        <v>0</v>
      </c>
      <c r="P1802" t="n">
        <v>0</v>
      </c>
      <c r="Q1802" t="n">
        <v>0</v>
      </c>
      <c r="R1802" s="2" t="inlineStr"/>
    </row>
    <row r="1803" ht="15" customHeight="1">
      <c r="A1803" t="inlineStr">
        <is>
          <t>A 48724-2023</t>
        </is>
      </c>
      <c r="B1803" s="1" t="n">
        <v>45203</v>
      </c>
      <c r="C1803" s="1" t="n">
        <v>45662</v>
      </c>
      <c r="D1803" t="inlineStr">
        <is>
          <t>VÄRMLANDS LÄN</t>
        </is>
      </c>
      <c r="E1803" t="inlineStr">
        <is>
          <t>TORSBY</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47842-2023</t>
        </is>
      </c>
      <c r="B1804" s="1" t="n">
        <v>45204</v>
      </c>
      <c r="C1804" s="1" t="n">
        <v>45662</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48106-2023</t>
        </is>
      </c>
      <c r="B1805" s="1" t="n">
        <v>45205</v>
      </c>
      <c r="C1805" s="1" t="n">
        <v>45662</v>
      </c>
      <c r="D1805" t="inlineStr">
        <is>
          <t>VÄRMLANDS LÄN</t>
        </is>
      </c>
      <c r="E1805" t="inlineStr">
        <is>
          <t>TORSBY</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48145-2023</t>
        </is>
      </c>
      <c r="B1806" s="1" t="n">
        <v>45205</v>
      </c>
      <c r="C1806" s="1" t="n">
        <v>45662</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48236-2023</t>
        </is>
      </c>
      <c r="B1807" s="1" t="n">
        <v>45205</v>
      </c>
      <c r="C1807" s="1" t="n">
        <v>45662</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48155-2023</t>
        </is>
      </c>
      <c r="B1808" s="1" t="n">
        <v>45205</v>
      </c>
      <c r="C1808" s="1" t="n">
        <v>45662</v>
      </c>
      <c r="D1808" t="inlineStr">
        <is>
          <t>VÄRMLANDS LÄN</t>
        </is>
      </c>
      <c r="E1808" t="inlineStr">
        <is>
          <t>TORSBY</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48170-2023</t>
        </is>
      </c>
      <c r="B1809" s="1" t="n">
        <v>45205</v>
      </c>
      <c r="C1809" s="1" t="n">
        <v>45662</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48324-2023</t>
        </is>
      </c>
      <c r="B1810" s="1" t="n">
        <v>45205</v>
      </c>
      <c r="C1810" s="1" t="n">
        <v>45662</v>
      </c>
      <c r="D1810" t="inlineStr">
        <is>
          <t>VÄRMLANDS LÄN</t>
        </is>
      </c>
      <c r="E1810" t="inlineStr">
        <is>
          <t>TORSBY</t>
        </is>
      </c>
      <c r="F1810" t="inlineStr">
        <is>
          <t>Bergvik skog väst AB</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48381-2023</t>
        </is>
      </c>
      <c r="B1811" s="1" t="n">
        <v>45205</v>
      </c>
      <c r="C1811" s="1" t="n">
        <v>45662</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48384-2023</t>
        </is>
      </c>
      <c r="B1812" s="1" t="n">
        <v>45205</v>
      </c>
      <c r="C1812" s="1" t="n">
        <v>45662</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48383-2023</t>
        </is>
      </c>
      <c r="B1813" s="1" t="n">
        <v>45205</v>
      </c>
      <c r="C1813" s="1" t="n">
        <v>45662</v>
      </c>
      <c r="D1813" t="inlineStr">
        <is>
          <t>VÄRMLANDS LÄN</t>
        </is>
      </c>
      <c r="E1813" t="inlineStr">
        <is>
          <t>TORSBY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48456-2023</t>
        </is>
      </c>
      <c r="B1814" s="1" t="n">
        <v>45206</v>
      </c>
      <c r="C1814" s="1" t="n">
        <v>45662</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48625-2023</t>
        </is>
      </c>
      <c r="B1815" s="1" t="n">
        <v>45208</v>
      </c>
      <c r="C1815" s="1" t="n">
        <v>45662</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48727-2023</t>
        </is>
      </c>
      <c r="B1816" s="1" t="n">
        <v>45208</v>
      </c>
      <c r="C1816" s="1" t="n">
        <v>45662</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48753-2023</t>
        </is>
      </c>
      <c r="B1817" s="1" t="n">
        <v>45208</v>
      </c>
      <c r="C1817" s="1" t="n">
        <v>45662</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48762-2023</t>
        </is>
      </c>
      <c r="B1818" s="1" t="n">
        <v>45208</v>
      </c>
      <c r="C1818" s="1" t="n">
        <v>45662</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49717-2023</t>
        </is>
      </c>
      <c r="B1819" s="1" t="n">
        <v>45208</v>
      </c>
      <c r="C1819" s="1" t="n">
        <v>45662</v>
      </c>
      <c r="D1819" t="inlineStr">
        <is>
          <t>VÄRMLANDS LÄN</t>
        </is>
      </c>
      <c r="E1819" t="inlineStr">
        <is>
          <t>TORSBY</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50166-2023</t>
        </is>
      </c>
      <c r="B1820" s="1" t="n">
        <v>45208</v>
      </c>
      <c r="C1820" s="1" t="n">
        <v>45662</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50149-2023</t>
        </is>
      </c>
      <c r="B1821" s="1" t="n">
        <v>45208</v>
      </c>
      <c r="C1821" s="1" t="n">
        <v>45662</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48805-2023</t>
        </is>
      </c>
      <c r="B1822" s="1" t="n">
        <v>45209</v>
      </c>
      <c r="C1822" s="1" t="n">
        <v>45662</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48842-2023</t>
        </is>
      </c>
      <c r="B1823" s="1" t="n">
        <v>45209</v>
      </c>
      <c r="C1823" s="1" t="n">
        <v>45662</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49170-2023</t>
        </is>
      </c>
      <c r="B1824" s="1" t="n">
        <v>45210</v>
      </c>
      <c r="C1824" s="1" t="n">
        <v>45662</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49179-2023</t>
        </is>
      </c>
      <c r="B1825" s="1" t="n">
        <v>45210</v>
      </c>
      <c r="C1825" s="1" t="n">
        <v>45662</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49296-2023</t>
        </is>
      </c>
      <c r="B1826" s="1" t="n">
        <v>45210</v>
      </c>
      <c r="C1826" s="1" t="n">
        <v>45662</v>
      </c>
      <c r="D1826" t="inlineStr">
        <is>
          <t>VÄRMLANDS LÄN</t>
        </is>
      </c>
      <c r="E1826" t="inlineStr">
        <is>
          <t>TORSBY</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51079-2023</t>
        </is>
      </c>
      <c r="B1827" s="1" t="n">
        <v>45211</v>
      </c>
      <c r="C1827" s="1" t="n">
        <v>45662</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49755-2023</t>
        </is>
      </c>
      <c r="B1828" s="1" t="n">
        <v>45212</v>
      </c>
      <c r="C1828" s="1" t="n">
        <v>45662</v>
      </c>
      <c r="D1828" t="inlineStr">
        <is>
          <t>VÄRMLANDS LÄN</t>
        </is>
      </c>
      <c r="E1828" t="inlineStr">
        <is>
          <t>TORSBY</t>
        </is>
      </c>
      <c r="F1828" t="inlineStr">
        <is>
          <t>Bergvik skog väst AB</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49777-2023</t>
        </is>
      </c>
      <c r="B1829" s="1" t="n">
        <v>45212</v>
      </c>
      <c r="C1829" s="1" t="n">
        <v>45662</v>
      </c>
      <c r="D1829" t="inlineStr">
        <is>
          <t>VÄRMLANDS LÄN</t>
        </is>
      </c>
      <c r="E1829" t="inlineStr">
        <is>
          <t>TORSBY</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49815-2023</t>
        </is>
      </c>
      <c r="B1830" s="1" t="n">
        <v>45212</v>
      </c>
      <c r="C1830" s="1" t="n">
        <v>45662</v>
      </c>
      <c r="D1830" t="inlineStr">
        <is>
          <t>VÄRMLANDS LÄN</t>
        </is>
      </c>
      <c r="E1830" t="inlineStr">
        <is>
          <t>TORSBY</t>
        </is>
      </c>
      <c r="F1830" t="inlineStr">
        <is>
          <t>Bergvik skog väst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49745-2023</t>
        </is>
      </c>
      <c r="B1831" s="1" t="n">
        <v>45212</v>
      </c>
      <c r="C1831" s="1" t="n">
        <v>45662</v>
      </c>
      <c r="D1831" t="inlineStr">
        <is>
          <t>VÄRMLANDS LÄN</t>
        </is>
      </c>
      <c r="E1831" t="inlineStr">
        <is>
          <t>TORSBY</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51144-2023</t>
        </is>
      </c>
      <c r="B1832" s="1" t="n">
        <v>45212</v>
      </c>
      <c r="C1832" s="1" t="n">
        <v>45662</v>
      </c>
      <c r="D1832" t="inlineStr">
        <is>
          <t>VÄRMLANDS LÄN</t>
        </is>
      </c>
      <c r="E1832" t="inlineStr">
        <is>
          <t>TORSBY</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49982-2023</t>
        </is>
      </c>
      <c r="B1833" s="1" t="n">
        <v>45215</v>
      </c>
      <c r="C1833" s="1" t="n">
        <v>45662</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50147-2023</t>
        </is>
      </c>
      <c r="B1834" s="1" t="n">
        <v>45215</v>
      </c>
      <c r="C1834" s="1" t="n">
        <v>45662</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50138-2023</t>
        </is>
      </c>
      <c r="B1835" s="1" t="n">
        <v>45215</v>
      </c>
      <c r="C1835" s="1" t="n">
        <v>45662</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50144-2023</t>
        </is>
      </c>
      <c r="B1836" s="1" t="n">
        <v>45215</v>
      </c>
      <c r="C1836" s="1" t="n">
        <v>45662</v>
      </c>
      <c r="D1836" t="inlineStr">
        <is>
          <t>VÄRMLANDS LÄN</t>
        </is>
      </c>
      <c r="E1836" t="inlineStr">
        <is>
          <t>TORSBY</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50171-2023</t>
        </is>
      </c>
      <c r="B1837" s="1" t="n">
        <v>45215</v>
      </c>
      <c r="C1837" s="1" t="n">
        <v>45662</v>
      </c>
      <c r="D1837" t="inlineStr">
        <is>
          <t>VÄRMLANDS LÄN</t>
        </is>
      </c>
      <c r="E1837" t="inlineStr">
        <is>
          <t>TORSBY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50445-2023</t>
        </is>
      </c>
      <c r="B1838" s="1" t="n">
        <v>45216</v>
      </c>
      <c r="C1838" s="1" t="n">
        <v>45662</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50429-2023</t>
        </is>
      </c>
      <c r="B1839" s="1" t="n">
        <v>45216</v>
      </c>
      <c r="C1839" s="1" t="n">
        <v>45662</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50439-2023</t>
        </is>
      </c>
      <c r="B1840" s="1" t="n">
        <v>45216</v>
      </c>
      <c r="C1840" s="1" t="n">
        <v>45662</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50660-2023</t>
        </is>
      </c>
      <c r="B1841" s="1" t="n">
        <v>45217</v>
      </c>
      <c r="C1841" s="1" t="n">
        <v>45662</v>
      </c>
      <c r="D1841" t="inlineStr">
        <is>
          <t>VÄRMLANDS LÄN</t>
        </is>
      </c>
      <c r="E1841" t="inlineStr">
        <is>
          <t>TORSBY</t>
        </is>
      </c>
      <c r="F1841" t="inlineStr">
        <is>
          <t>Bergvik skog väst AB</t>
        </is>
      </c>
      <c r="G1841" t="n">
        <v>26.5</v>
      </c>
      <c r="H1841" t="n">
        <v>0</v>
      </c>
      <c r="I1841" t="n">
        <v>0</v>
      </c>
      <c r="J1841" t="n">
        <v>0</v>
      </c>
      <c r="K1841" t="n">
        <v>0</v>
      </c>
      <c r="L1841" t="n">
        <v>0</v>
      </c>
      <c r="M1841" t="n">
        <v>0</v>
      </c>
      <c r="N1841" t="n">
        <v>0</v>
      </c>
      <c r="O1841" t="n">
        <v>0</v>
      </c>
      <c r="P1841" t="n">
        <v>0</v>
      </c>
      <c r="Q1841" t="n">
        <v>0</v>
      </c>
      <c r="R1841" s="2" t="inlineStr"/>
    </row>
    <row r="1842" ht="15" customHeight="1">
      <c r="A1842" t="inlineStr">
        <is>
          <t>A 50523-2023</t>
        </is>
      </c>
      <c r="B1842" s="1" t="n">
        <v>45217</v>
      </c>
      <c r="C1842" s="1" t="n">
        <v>45662</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50608-2023</t>
        </is>
      </c>
      <c r="B1843" s="1" t="n">
        <v>45217</v>
      </c>
      <c r="C1843" s="1" t="n">
        <v>45662</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50680-2023</t>
        </is>
      </c>
      <c r="B1844" s="1" t="n">
        <v>45217</v>
      </c>
      <c r="C1844" s="1" t="n">
        <v>45662</v>
      </c>
      <c r="D1844" t="inlineStr">
        <is>
          <t>VÄRMLANDS LÄN</t>
        </is>
      </c>
      <c r="E1844" t="inlineStr">
        <is>
          <t>TORSBY</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50852-2023</t>
        </is>
      </c>
      <c r="B1845" s="1" t="n">
        <v>45218</v>
      </c>
      <c r="C1845" s="1" t="n">
        <v>45662</v>
      </c>
      <c r="D1845" t="inlineStr">
        <is>
          <t>VÄRMLANDS LÄN</t>
        </is>
      </c>
      <c r="E1845" t="inlineStr">
        <is>
          <t>TORSBY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50973-2023</t>
        </is>
      </c>
      <c r="B1846" s="1" t="n">
        <v>45218</v>
      </c>
      <c r="C1846" s="1" t="n">
        <v>45662</v>
      </c>
      <c r="D1846" t="inlineStr">
        <is>
          <t>VÄRMLANDS LÄN</t>
        </is>
      </c>
      <c r="E1846" t="inlineStr">
        <is>
          <t>TORSBY</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51199-2023</t>
        </is>
      </c>
      <c r="B1847" s="1" t="n">
        <v>45219</v>
      </c>
      <c r="C1847" s="1" t="n">
        <v>45662</v>
      </c>
      <c r="D1847" t="inlineStr">
        <is>
          <t>VÄRMLANDS LÄN</t>
        </is>
      </c>
      <c r="E1847" t="inlineStr">
        <is>
          <t>TORSBY</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51215-2023</t>
        </is>
      </c>
      <c r="B1848" s="1" t="n">
        <v>45219</v>
      </c>
      <c r="C1848" s="1" t="n">
        <v>45662</v>
      </c>
      <c r="D1848" t="inlineStr">
        <is>
          <t>VÄRMLANDS LÄN</t>
        </is>
      </c>
      <c r="E1848" t="inlineStr">
        <is>
          <t>TORSBY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51343-2023</t>
        </is>
      </c>
      <c r="B1849" s="1" t="n">
        <v>45219</v>
      </c>
      <c r="C1849" s="1" t="n">
        <v>45662</v>
      </c>
      <c r="D1849" t="inlineStr">
        <is>
          <t>VÄRMLANDS LÄN</t>
        </is>
      </c>
      <c r="E1849" t="inlineStr">
        <is>
          <t>TORSBY</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51386-2023</t>
        </is>
      </c>
      <c r="B1850" s="1" t="n">
        <v>45219</v>
      </c>
      <c r="C1850" s="1" t="n">
        <v>45662</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51309-2023</t>
        </is>
      </c>
      <c r="B1851" s="1" t="n">
        <v>45219</v>
      </c>
      <c r="C1851" s="1" t="n">
        <v>45662</v>
      </c>
      <c r="D1851" t="inlineStr">
        <is>
          <t>VÄRMLANDS LÄN</t>
        </is>
      </c>
      <c r="E1851" t="inlineStr">
        <is>
          <t>TORSBY</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51751-2023</t>
        </is>
      </c>
      <c r="B1852" s="1" t="n">
        <v>45222</v>
      </c>
      <c r="C1852" s="1" t="n">
        <v>45662</v>
      </c>
      <c r="D1852" t="inlineStr">
        <is>
          <t>VÄRMLANDS LÄN</t>
        </is>
      </c>
      <c r="E1852" t="inlineStr">
        <is>
          <t>TORSBY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51788-2023</t>
        </is>
      </c>
      <c r="B1853" s="1" t="n">
        <v>45222</v>
      </c>
      <c r="C1853" s="1" t="n">
        <v>45662</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51753-2023</t>
        </is>
      </c>
      <c r="B1854" s="1" t="n">
        <v>45222</v>
      </c>
      <c r="C1854" s="1" t="n">
        <v>45662</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52078-2023</t>
        </is>
      </c>
      <c r="B1855" s="1" t="n">
        <v>45223</v>
      </c>
      <c r="C1855" s="1" t="n">
        <v>45662</v>
      </c>
      <c r="D1855" t="inlineStr">
        <is>
          <t>VÄRMLANDS LÄN</t>
        </is>
      </c>
      <c r="E1855" t="inlineStr">
        <is>
          <t>TORSBY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52050-2023</t>
        </is>
      </c>
      <c r="B1856" s="1" t="n">
        <v>45223</v>
      </c>
      <c r="C1856" s="1" t="n">
        <v>45662</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52067-2023</t>
        </is>
      </c>
      <c r="B1857" s="1" t="n">
        <v>45223</v>
      </c>
      <c r="C1857" s="1" t="n">
        <v>45662</v>
      </c>
      <c r="D1857" t="inlineStr">
        <is>
          <t>VÄRMLANDS LÄN</t>
        </is>
      </c>
      <c r="E1857" t="inlineStr">
        <is>
          <t>TORSBY</t>
        </is>
      </c>
      <c r="F1857" t="inlineStr">
        <is>
          <t>Bergvik skog väst AB</t>
        </is>
      </c>
      <c r="G1857" t="n">
        <v>40.4</v>
      </c>
      <c r="H1857" t="n">
        <v>0</v>
      </c>
      <c r="I1857" t="n">
        <v>0</v>
      </c>
      <c r="J1857" t="n">
        <v>0</v>
      </c>
      <c r="K1857" t="n">
        <v>0</v>
      </c>
      <c r="L1857" t="n">
        <v>0</v>
      </c>
      <c r="M1857" t="n">
        <v>0</v>
      </c>
      <c r="N1857" t="n">
        <v>0</v>
      </c>
      <c r="O1857" t="n">
        <v>0</v>
      </c>
      <c r="P1857" t="n">
        <v>0</v>
      </c>
      <c r="Q1857" t="n">
        <v>0</v>
      </c>
      <c r="R1857" s="2" t="inlineStr"/>
    </row>
    <row r="1858" ht="15" customHeight="1">
      <c r="A1858" t="inlineStr">
        <is>
          <t>A 53499-2023</t>
        </is>
      </c>
      <c r="B1858" s="1" t="n">
        <v>45223</v>
      </c>
      <c r="C1858" s="1" t="n">
        <v>45662</v>
      </c>
      <c r="D1858" t="inlineStr">
        <is>
          <t>VÄRMLANDS LÄN</t>
        </is>
      </c>
      <c r="E1858" t="inlineStr">
        <is>
          <t>TORSBY</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52275-2023</t>
        </is>
      </c>
      <c r="B1859" s="1" t="n">
        <v>45224</v>
      </c>
      <c r="C1859" s="1" t="n">
        <v>45662</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52385-2023</t>
        </is>
      </c>
      <c r="B1860" s="1" t="n">
        <v>45224</v>
      </c>
      <c r="C1860" s="1" t="n">
        <v>45662</v>
      </c>
      <c r="D1860" t="inlineStr">
        <is>
          <t>VÄRMLANDS LÄN</t>
        </is>
      </c>
      <c r="E1860" t="inlineStr">
        <is>
          <t>TORSBY</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53652-2023</t>
        </is>
      </c>
      <c r="B1861" s="1" t="n">
        <v>45224</v>
      </c>
      <c r="C1861" s="1" t="n">
        <v>45662</v>
      </c>
      <c r="D1861" t="inlineStr">
        <is>
          <t>VÄRMLANDS LÄN</t>
        </is>
      </c>
      <c r="E1861" t="inlineStr">
        <is>
          <t>TORSBY</t>
        </is>
      </c>
      <c r="F1861" t="inlineStr">
        <is>
          <t>Övriga statliga verk och myndigheter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52541-2023</t>
        </is>
      </c>
      <c r="B1862" s="1" t="n">
        <v>45225</v>
      </c>
      <c r="C1862" s="1" t="n">
        <v>45662</v>
      </c>
      <c r="D1862" t="inlineStr">
        <is>
          <t>VÄRMLANDS LÄN</t>
        </is>
      </c>
      <c r="E1862" t="inlineStr">
        <is>
          <t>TORSBY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52580-2023</t>
        </is>
      </c>
      <c r="B1863" s="1" t="n">
        <v>45225</v>
      </c>
      <c r="C1863" s="1" t="n">
        <v>45662</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52555-2023</t>
        </is>
      </c>
      <c r="B1864" s="1" t="n">
        <v>45225</v>
      </c>
      <c r="C1864" s="1" t="n">
        <v>45662</v>
      </c>
      <c r="D1864" t="inlineStr">
        <is>
          <t>VÄRMLANDS LÄN</t>
        </is>
      </c>
      <c r="E1864" t="inlineStr">
        <is>
          <t>TORSBY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52532-2023</t>
        </is>
      </c>
      <c r="B1865" s="1" t="n">
        <v>45225</v>
      </c>
      <c r="C1865" s="1" t="n">
        <v>45662</v>
      </c>
      <c r="D1865" t="inlineStr">
        <is>
          <t>VÄRMLANDS LÄN</t>
        </is>
      </c>
      <c r="E1865" t="inlineStr">
        <is>
          <t>TORSBY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52591-2023</t>
        </is>
      </c>
      <c r="B1866" s="1" t="n">
        <v>45225</v>
      </c>
      <c r="C1866" s="1" t="n">
        <v>45662</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52984-2023</t>
        </is>
      </c>
      <c r="B1867" s="1" t="n">
        <v>45226</v>
      </c>
      <c r="C1867" s="1" t="n">
        <v>45662</v>
      </c>
      <c r="D1867" t="inlineStr">
        <is>
          <t>VÄRMLANDS LÄN</t>
        </is>
      </c>
      <c r="E1867" t="inlineStr">
        <is>
          <t>TORSBY</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52982-2023</t>
        </is>
      </c>
      <c r="B1868" s="1" t="n">
        <v>45226</v>
      </c>
      <c r="C1868" s="1" t="n">
        <v>45662</v>
      </c>
      <c r="D1868" t="inlineStr">
        <is>
          <t>VÄRMLANDS LÄN</t>
        </is>
      </c>
      <c r="E1868" t="inlineStr">
        <is>
          <t>TORSBY</t>
        </is>
      </c>
      <c r="G1868" t="n">
        <v>35.5</v>
      </c>
      <c r="H1868" t="n">
        <v>0</v>
      </c>
      <c r="I1868" t="n">
        <v>0</v>
      </c>
      <c r="J1868" t="n">
        <v>0</v>
      </c>
      <c r="K1868" t="n">
        <v>0</v>
      </c>
      <c r="L1868" t="n">
        <v>0</v>
      </c>
      <c r="M1868" t="n">
        <v>0</v>
      </c>
      <c r="N1868" t="n">
        <v>0</v>
      </c>
      <c r="O1868" t="n">
        <v>0</v>
      </c>
      <c r="P1868" t="n">
        <v>0</v>
      </c>
      <c r="Q1868" t="n">
        <v>0</v>
      </c>
      <c r="R1868" s="2" t="inlineStr"/>
    </row>
    <row r="1869" ht="15" customHeight="1">
      <c r="A1869" t="inlineStr">
        <is>
          <t>A 52810-2023</t>
        </is>
      </c>
      <c r="B1869" s="1" t="n">
        <v>45226</v>
      </c>
      <c r="C1869" s="1" t="n">
        <v>45662</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53103-2023</t>
        </is>
      </c>
      <c r="B1870" s="1" t="n">
        <v>45228</v>
      </c>
      <c r="C1870" s="1" t="n">
        <v>45662</v>
      </c>
      <c r="D1870" t="inlineStr">
        <is>
          <t>VÄRMLANDS LÄN</t>
        </is>
      </c>
      <c r="E1870" t="inlineStr">
        <is>
          <t>TORSBY</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53116-2023</t>
        </is>
      </c>
      <c r="B1871" s="1" t="n">
        <v>45228</v>
      </c>
      <c r="C1871" s="1" t="n">
        <v>45662</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53346-2023</t>
        </is>
      </c>
      <c r="B1872" s="1" t="n">
        <v>45229</v>
      </c>
      <c r="C1872" s="1" t="n">
        <v>45662</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54879-2023</t>
        </is>
      </c>
      <c r="B1873" s="1" t="n">
        <v>45229</v>
      </c>
      <c r="C1873" s="1" t="n">
        <v>45662</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54822-2023</t>
        </is>
      </c>
      <c r="B1874" s="1" t="n">
        <v>45229</v>
      </c>
      <c r="C1874" s="1" t="n">
        <v>45662</v>
      </c>
      <c r="D1874" t="inlineStr">
        <is>
          <t>VÄRMLANDS LÄN</t>
        </is>
      </c>
      <c r="E1874" t="inlineStr">
        <is>
          <t>TORSBY</t>
        </is>
      </c>
      <c r="F1874" t="inlineStr">
        <is>
          <t>Övriga Aktiebolag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53557-2023</t>
        </is>
      </c>
      <c r="B1875" s="1" t="n">
        <v>45230</v>
      </c>
      <c r="C1875" s="1" t="n">
        <v>45662</v>
      </c>
      <c r="D1875" t="inlineStr">
        <is>
          <t>VÄRMLANDS LÄN</t>
        </is>
      </c>
      <c r="E1875" t="inlineStr">
        <is>
          <t>TORSBY</t>
        </is>
      </c>
      <c r="F1875" t="inlineStr">
        <is>
          <t>Bergvik skog väst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53495-2023</t>
        </is>
      </c>
      <c r="B1876" s="1" t="n">
        <v>45230</v>
      </c>
      <c r="C1876" s="1" t="n">
        <v>45662</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53794-2023</t>
        </is>
      </c>
      <c r="B1877" s="1" t="n">
        <v>45231</v>
      </c>
      <c r="C1877" s="1" t="n">
        <v>45662</v>
      </c>
      <c r="D1877" t="inlineStr">
        <is>
          <t>VÄRMLANDS LÄN</t>
        </is>
      </c>
      <c r="E1877" t="inlineStr">
        <is>
          <t>TORSBY</t>
        </is>
      </c>
      <c r="G1877" t="n">
        <v>17.3</v>
      </c>
      <c r="H1877" t="n">
        <v>0</v>
      </c>
      <c r="I1877" t="n">
        <v>0</v>
      </c>
      <c r="J1877" t="n">
        <v>0</v>
      </c>
      <c r="K1877" t="n">
        <v>0</v>
      </c>
      <c r="L1877" t="n">
        <v>0</v>
      </c>
      <c r="M1877" t="n">
        <v>0</v>
      </c>
      <c r="N1877" t="n">
        <v>0</v>
      </c>
      <c r="O1877" t="n">
        <v>0</v>
      </c>
      <c r="P1877" t="n">
        <v>0</v>
      </c>
      <c r="Q1877" t="n">
        <v>0</v>
      </c>
      <c r="R1877" s="2" t="inlineStr"/>
    </row>
    <row r="1878" ht="15" customHeight="1">
      <c r="A1878" t="inlineStr">
        <is>
          <t>A 53921-2023</t>
        </is>
      </c>
      <c r="B1878" s="1" t="n">
        <v>45231</v>
      </c>
      <c r="C1878" s="1" t="n">
        <v>45662</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53945-2023</t>
        </is>
      </c>
      <c r="B1879" s="1" t="n">
        <v>45231</v>
      </c>
      <c r="C1879" s="1" t="n">
        <v>45662</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53922-2023</t>
        </is>
      </c>
      <c r="B1880" s="1" t="n">
        <v>45231</v>
      </c>
      <c r="C1880" s="1" t="n">
        <v>45662</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54162-2023</t>
        </is>
      </c>
      <c r="B1881" s="1" t="n">
        <v>45232</v>
      </c>
      <c r="C1881" s="1" t="n">
        <v>45662</v>
      </c>
      <c r="D1881" t="inlineStr">
        <is>
          <t>VÄRMLANDS LÄN</t>
        </is>
      </c>
      <c r="E1881" t="inlineStr">
        <is>
          <t>TORSBY</t>
        </is>
      </c>
      <c r="F1881" t="inlineStr">
        <is>
          <t>Bergvik skog väst AB</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54262-2023</t>
        </is>
      </c>
      <c r="B1882" s="1" t="n">
        <v>45232</v>
      </c>
      <c r="C1882" s="1" t="n">
        <v>45662</v>
      </c>
      <c r="D1882" t="inlineStr">
        <is>
          <t>VÄRMLANDS LÄN</t>
        </is>
      </c>
      <c r="E1882" t="inlineStr">
        <is>
          <t>TORSBY</t>
        </is>
      </c>
      <c r="F1882" t="inlineStr">
        <is>
          <t>Bergvik skog väst AB</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54223-2023</t>
        </is>
      </c>
      <c r="B1883" s="1" t="n">
        <v>45232</v>
      </c>
      <c r="C1883" s="1" t="n">
        <v>45662</v>
      </c>
      <c r="D1883" t="inlineStr">
        <is>
          <t>VÄRMLANDS LÄN</t>
        </is>
      </c>
      <c r="E1883" t="inlineStr">
        <is>
          <t>TORSBY</t>
        </is>
      </c>
      <c r="F1883" t="inlineStr">
        <is>
          <t>Bergvik skog väst AB</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54191-2023</t>
        </is>
      </c>
      <c r="B1884" s="1" t="n">
        <v>45232</v>
      </c>
      <c r="C1884" s="1" t="n">
        <v>45662</v>
      </c>
      <c r="D1884" t="inlineStr">
        <is>
          <t>VÄRMLANDS LÄN</t>
        </is>
      </c>
      <c r="E1884" t="inlineStr">
        <is>
          <t>TORSBY</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54204-2023</t>
        </is>
      </c>
      <c r="B1885" s="1" t="n">
        <v>45232</v>
      </c>
      <c r="C1885" s="1" t="n">
        <v>45662</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54556-2023</t>
        </is>
      </c>
      <c r="B1886" s="1" t="n">
        <v>45233</v>
      </c>
      <c r="C1886" s="1" t="n">
        <v>45662</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54551-2023</t>
        </is>
      </c>
      <c r="B1887" s="1" t="n">
        <v>45233</v>
      </c>
      <c r="C1887" s="1" t="n">
        <v>45662</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54442-2023</t>
        </is>
      </c>
      <c r="B1888" s="1" t="n">
        <v>45233</v>
      </c>
      <c r="C1888" s="1" t="n">
        <v>45662</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54386-2023</t>
        </is>
      </c>
      <c r="B1889" s="1" t="n">
        <v>45233</v>
      </c>
      <c r="C1889" s="1" t="n">
        <v>45662</v>
      </c>
      <c r="D1889" t="inlineStr">
        <is>
          <t>VÄRMLANDS LÄN</t>
        </is>
      </c>
      <c r="E1889" t="inlineStr">
        <is>
          <t>TORSBY</t>
        </is>
      </c>
      <c r="F1889" t="inlineStr">
        <is>
          <t>Bergvik skog väst AB</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54528-2023</t>
        </is>
      </c>
      <c r="B1890" s="1" t="n">
        <v>45233</v>
      </c>
      <c r="C1890" s="1" t="n">
        <v>45662</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54562-2023</t>
        </is>
      </c>
      <c r="B1891" s="1" t="n">
        <v>45233</v>
      </c>
      <c r="C1891" s="1" t="n">
        <v>45662</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54532-2023</t>
        </is>
      </c>
      <c r="B1892" s="1" t="n">
        <v>45233</v>
      </c>
      <c r="C1892" s="1" t="n">
        <v>45662</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54525-2023</t>
        </is>
      </c>
      <c r="B1893" s="1" t="n">
        <v>45233</v>
      </c>
      <c r="C1893" s="1" t="n">
        <v>45662</v>
      </c>
      <c r="D1893" t="inlineStr">
        <is>
          <t>VÄRMLANDS LÄN</t>
        </is>
      </c>
      <c r="E1893" t="inlineStr">
        <is>
          <t>TORSBY</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54487-2023</t>
        </is>
      </c>
      <c r="B1894" s="1" t="n">
        <v>45233</v>
      </c>
      <c r="C1894" s="1" t="n">
        <v>45662</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54409-2023</t>
        </is>
      </c>
      <c r="B1895" s="1" t="n">
        <v>45233</v>
      </c>
      <c r="C1895" s="1" t="n">
        <v>45662</v>
      </c>
      <c r="D1895" t="inlineStr">
        <is>
          <t>VÄRMLANDS LÄN</t>
        </is>
      </c>
      <c r="E1895" t="inlineStr">
        <is>
          <t>TORSBY</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54714-2023</t>
        </is>
      </c>
      <c r="B1896" s="1" t="n">
        <v>45236</v>
      </c>
      <c r="C1896" s="1" t="n">
        <v>45662</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54766-2023</t>
        </is>
      </c>
      <c r="B1897" s="1" t="n">
        <v>45236</v>
      </c>
      <c r="C1897" s="1" t="n">
        <v>45662</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54777-2023</t>
        </is>
      </c>
      <c r="B1898" s="1" t="n">
        <v>45236</v>
      </c>
      <c r="C1898" s="1" t="n">
        <v>45662</v>
      </c>
      <c r="D1898" t="inlineStr">
        <is>
          <t>VÄRMLANDS LÄN</t>
        </is>
      </c>
      <c r="E1898" t="inlineStr">
        <is>
          <t>TORSBY</t>
        </is>
      </c>
      <c r="F1898" t="inlineStr">
        <is>
          <t>Bergvik skog väst AB</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54876-2023</t>
        </is>
      </c>
      <c r="B1899" s="1" t="n">
        <v>45236</v>
      </c>
      <c r="C1899" s="1" t="n">
        <v>45662</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54708-2023</t>
        </is>
      </c>
      <c r="B1900" s="1" t="n">
        <v>45236</v>
      </c>
      <c r="C1900" s="1" t="n">
        <v>45662</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55031-2023</t>
        </is>
      </c>
      <c r="B1901" s="1" t="n">
        <v>45237</v>
      </c>
      <c r="C1901" s="1" t="n">
        <v>45662</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55100-2023</t>
        </is>
      </c>
      <c r="B1902" s="1" t="n">
        <v>45237</v>
      </c>
      <c r="C1902" s="1" t="n">
        <v>45662</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55401-2023</t>
        </is>
      </c>
      <c r="B1903" s="1" t="n">
        <v>45238</v>
      </c>
      <c r="C1903" s="1" t="n">
        <v>45662</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55461-2023</t>
        </is>
      </c>
      <c r="B1904" s="1" t="n">
        <v>45238</v>
      </c>
      <c r="C1904" s="1" t="n">
        <v>45662</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55480-2023</t>
        </is>
      </c>
      <c r="B1905" s="1" t="n">
        <v>45238</v>
      </c>
      <c r="C1905" s="1" t="n">
        <v>45662</v>
      </c>
      <c r="D1905" t="inlineStr">
        <is>
          <t>VÄRMLANDS LÄN</t>
        </is>
      </c>
      <c r="E1905" t="inlineStr">
        <is>
          <t>TORSBY</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55485-2023</t>
        </is>
      </c>
      <c r="B1906" s="1" t="n">
        <v>45238</v>
      </c>
      <c r="C1906" s="1" t="n">
        <v>45662</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55478-2023</t>
        </is>
      </c>
      <c r="B1907" s="1" t="n">
        <v>45238</v>
      </c>
      <c r="C1907" s="1" t="n">
        <v>45662</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55522-2023</t>
        </is>
      </c>
      <c r="B1908" s="1" t="n">
        <v>45238</v>
      </c>
      <c r="C1908" s="1" t="n">
        <v>45662</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55527-2023</t>
        </is>
      </c>
      <c r="B1909" s="1" t="n">
        <v>45238</v>
      </c>
      <c r="C1909" s="1" t="n">
        <v>45662</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56716-2023</t>
        </is>
      </c>
      <c r="B1910" s="1" t="n">
        <v>45238</v>
      </c>
      <c r="C1910" s="1" t="n">
        <v>45662</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56712-2023</t>
        </is>
      </c>
      <c r="B1911" s="1" t="n">
        <v>45238</v>
      </c>
      <c r="C1911" s="1" t="n">
        <v>45662</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55447-2023</t>
        </is>
      </c>
      <c r="B1912" s="1" t="n">
        <v>45238</v>
      </c>
      <c r="C1912" s="1" t="n">
        <v>45662</v>
      </c>
      <c r="D1912" t="inlineStr">
        <is>
          <t>VÄRMLANDS LÄN</t>
        </is>
      </c>
      <c r="E1912" t="inlineStr">
        <is>
          <t>TORSBY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56714-2023</t>
        </is>
      </c>
      <c r="B1913" s="1" t="n">
        <v>45238</v>
      </c>
      <c r="C1913" s="1" t="n">
        <v>45662</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55759-2023</t>
        </is>
      </c>
      <c r="B1914" s="1" t="n">
        <v>45239</v>
      </c>
      <c r="C1914" s="1" t="n">
        <v>45662</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57092-2023</t>
        </is>
      </c>
      <c r="B1915" s="1" t="n">
        <v>45239</v>
      </c>
      <c r="C1915" s="1" t="n">
        <v>45662</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57091-2023</t>
        </is>
      </c>
      <c r="B1916" s="1" t="n">
        <v>45239</v>
      </c>
      <c r="C1916" s="1" t="n">
        <v>45662</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56889-2023</t>
        </is>
      </c>
      <c r="B1917" s="1" t="n">
        <v>45239</v>
      </c>
      <c r="C1917" s="1" t="n">
        <v>45662</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55727-2023</t>
        </is>
      </c>
      <c r="B1918" s="1" t="n">
        <v>45239</v>
      </c>
      <c r="C1918" s="1" t="n">
        <v>45662</v>
      </c>
      <c r="D1918" t="inlineStr">
        <is>
          <t>VÄRMLANDS LÄN</t>
        </is>
      </c>
      <c r="E1918" t="inlineStr">
        <is>
          <t>TORSBY</t>
        </is>
      </c>
      <c r="F1918" t="inlineStr">
        <is>
          <t>Bergvik skog väst AB</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56164-2023</t>
        </is>
      </c>
      <c r="B1919" s="1" t="n">
        <v>45240</v>
      </c>
      <c r="C1919" s="1" t="n">
        <v>45662</v>
      </c>
      <c r="D1919" t="inlineStr">
        <is>
          <t>VÄRMLANDS LÄN</t>
        </is>
      </c>
      <c r="E1919" t="inlineStr">
        <is>
          <t>TORSBY</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56170-2023</t>
        </is>
      </c>
      <c r="B1920" s="1" t="n">
        <v>45240</v>
      </c>
      <c r="C1920" s="1" t="n">
        <v>45662</v>
      </c>
      <c r="D1920" t="inlineStr">
        <is>
          <t>VÄRMLANDS LÄN</t>
        </is>
      </c>
      <c r="E1920" t="inlineStr">
        <is>
          <t>TORSBY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56116-2023</t>
        </is>
      </c>
      <c r="B1921" s="1" t="n">
        <v>45240</v>
      </c>
      <c r="C1921" s="1" t="n">
        <v>45662</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56021-2023</t>
        </is>
      </c>
      <c r="B1922" s="1" t="n">
        <v>45240</v>
      </c>
      <c r="C1922" s="1" t="n">
        <v>45662</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56426-2023</t>
        </is>
      </c>
      <c r="B1923" s="1" t="n">
        <v>45243</v>
      </c>
      <c r="C1923" s="1" t="n">
        <v>45662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56724-2023</t>
        </is>
      </c>
      <c r="B1924" s="1" t="n">
        <v>45244</v>
      </c>
      <c r="C1924" s="1" t="n">
        <v>45662</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56880-2023</t>
        </is>
      </c>
      <c r="B1925" s="1" t="n">
        <v>45244</v>
      </c>
      <c r="C1925" s="1" t="n">
        <v>45662</v>
      </c>
      <c r="D1925" t="inlineStr">
        <is>
          <t>VÄRMLANDS LÄN</t>
        </is>
      </c>
      <c r="E1925" t="inlineStr">
        <is>
          <t>TORSBY</t>
        </is>
      </c>
      <c r="F1925" t="inlineStr">
        <is>
          <t>Övriga Aktiebolag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56881-2023</t>
        </is>
      </c>
      <c r="B1926" s="1" t="n">
        <v>45244</v>
      </c>
      <c r="C1926" s="1" t="n">
        <v>45662</v>
      </c>
      <c r="D1926" t="inlineStr">
        <is>
          <t>VÄRMLANDS LÄN</t>
        </is>
      </c>
      <c r="E1926" t="inlineStr">
        <is>
          <t>TORSBY</t>
        </is>
      </c>
      <c r="F1926" t="inlineStr">
        <is>
          <t>Övriga Aktiebolag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56875-2023</t>
        </is>
      </c>
      <c r="B1927" s="1" t="n">
        <v>45244</v>
      </c>
      <c r="C1927" s="1" t="n">
        <v>45662</v>
      </c>
      <c r="D1927" t="inlineStr">
        <is>
          <t>VÄRMLANDS LÄN</t>
        </is>
      </c>
      <c r="E1927" t="inlineStr">
        <is>
          <t>TORSBY</t>
        </is>
      </c>
      <c r="F1927" t="inlineStr">
        <is>
          <t>Övriga Aktiebolag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56811-2023</t>
        </is>
      </c>
      <c r="B1928" s="1" t="n">
        <v>45244</v>
      </c>
      <c r="C1928" s="1" t="n">
        <v>45662</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45662</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56902-2023</t>
        </is>
      </c>
      <c r="B1930" s="1" t="n">
        <v>45244</v>
      </c>
      <c r="C1930" s="1" t="n">
        <v>45662</v>
      </c>
      <c r="D1930" t="inlineStr">
        <is>
          <t>VÄRMLANDS LÄN</t>
        </is>
      </c>
      <c r="E1930" t="inlineStr">
        <is>
          <t>TORSBY</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56970-2023</t>
        </is>
      </c>
      <c r="B1931" s="1" t="n">
        <v>45244</v>
      </c>
      <c r="C1931" s="1" t="n">
        <v>45662</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57017-2023</t>
        </is>
      </c>
      <c r="B1932" s="1" t="n">
        <v>45244</v>
      </c>
      <c r="C1932" s="1" t="n">
        <v>45662</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57117-2023</t>
        </is>
      </c>
      <c r="B1933" s="1" t="n">
        <v>45245</v>
      </c>
      <c r="C1933" s="1" t="n">
        <v>45662</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57143-2023</t>
        </is>
      </c>
      <c r="B1934" s="1" t="n">
        <v>45245</v>
      </c>
      <c r="C1934" s="1" t="n">
        <v>45662</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57345-2023</t>
        </is>
      </c>
      <c r="B1935" s="1" t="n">
        <v>45245</v>
      </c>
      <c r="C1935" s="1" t="n">
        <v>45662</v>
      </c>
      <c r="D1935" t="inlineStr">
        <is>
          <t>VÄRMLANDS LÄN</t>
        </is>
      </c>
      <c r="E1935" t="inlineStr">
        <is>
          <t>TORSBY</t>
        </is>
      </c>
      <c r="F1935" t="inlineStr">
        <is>
          <t>Bergvik skog väst AB</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57135-2023</t>
        </is>
      </c>
      <c r="B1936" s="1" t="n">
        <v>45245</v>
      </c>
      <c r="C1936" s="1" t="n">
        <v>45662</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57216-2023</t>
        </is>
      </c>
      <c r="B1937" s="1" t="n">
        <v>45245</v>
      </c>
      <c r="C1937" s="1" t="n">
        <v>45662</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57538-2023</t>
        </is>
      </c>
      <c r="B1938" s="1" t="n">
        <v>45246</v>
      </c>
      <c r="C1938" s="1" t="n">
        <v>45662</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57547-2023</t>
        </is>
      </c>
      <c r="B1939" s="1" t="n">
        <v>45246</v>
      </c>
      <c r="C1939" s="1" t="n">
        <v>45662</v>
      </c>
      <c r="D1939" t="inlineStr">
        <is>
          <t>VÄRMLANDS LÄN</t>
        </is>
      </c>
      <c r="E1939" t="inlineStr">
        <is>
          <t>TORSBY</t>
        </is>
      </c>
      <c r="F1939" t="inlineStr">
        <is>
          <t>Bergvik skog väst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57569-2023</t>
        </is>
      </c>
      <c r="B1940" s="1" t="n">
        <v>45246</v>
      </c>
      <c r="C1940" s="1" t="n">
        <v>45662</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57647-2023</t>
        </is>
      </c>
      <c r="B1941" s="1" t="n">
        <v>45246</v>
      </c>
      <c r="C1941" s="1" t="n">
        <v>45662</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57642-2023</t>
        </is>
      </c>
      <c r="B1942" s="1" t="n">
        <v>45246</v>
      </c>
      <c r="C1942" s="1" t="n">
        <v>45662</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57921-2023</t>
        </is>
      </c>
      <c r="B1943" s="1" t="n">
        <v>45247</v>
      </c>
      <c r="C1943" s="1" t="n">
        <v>45662</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58013-2023</t>
        </is>
      </c>
      <c r="B1944" s="1" t="n">
        <v>45247</v>
      </c>
      <c r="C1944" s="1" t="n">
        <v>45662</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57980-2023</t>
        </is>
      </c>
      <c r="B1945" s="1" t="n">
        <v>45247</v>
      </c>
      <c r="C1945" s="1" t="n">
        <v>45662</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57990-2023</t>
        </is>
      </c>
      <c r="B1946" s="1" t="n">
        <v>45247</v>
      </c>
      <c r="C1946" s="1" t="n">
        <v>45662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58037-2023</t>
        </is>
      </c>
      <c r="B1947" s="1" t="n">
        <v>45247</v>
      </c>
      <c r="C1947" s="1" t="n">
        <v>45662</v>
      </c>
      <c r="D1947" t="inlineStr">
        <is>
          <t>VÄRMLANDS LÄN</t>
        </is>
      </c>
      <c r="E1947" t="inlineStr">
        <is>
          <t>TORSBY</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58600-2023</t>
        </is>
      </c>
      <c r="B1948" s="1" t="n">
        <v>45247</v>
      </c>
      <c r="C1948" s="1" t="n">
        <v>45662</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58185-2023</t>
        </is>
      </c>
      <c r="B1949" s="1" t="n">
        <v>45250</v>
      </c>
      <c r="C1949" s="1" t="n">
        <v>45662</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58386-2023</t>
        </is>
      </c>
      <c r="B1950" s="1" t="n">
        <v>45250</v>
      </c>
      <c r="C1950" s="1" t="n">
        <v>45662</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58430-2023</t>
        </is>
      </c>
      <c r="B1951" s="1" t="n">
        <v>45250</v>
      </c>
      <c r="C1951" s="1" t="n">
        <v>45662</v>
      </c>
      <c r="D1951" t="inlineStr">
        <is>
          <t>VÄRMLANDS LÄN</t>
        </is>
      </c>
      <c r="E1951" t="inlineStr">
        <is>
          <t>TORSBY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58438-2023</t>
        </is>
      </c>
      <c r="B1952" s="1" t="n">
        <v>45250</v>
      </c>
      <c r="C1952" s="1" t="n">
        <v>45662</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58394-2023</t>
        </is>
      </c>
      <c r="B1953" s="1" t="n">
        <v>45250</v>
      </c>
      <c r="C1953" s="1" t="n">
        <v>45662</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58235-2023</t>
        </is>
      </c>
      <c r="B1954" s="1" t="n">
        <v>45250</v>
      </c>
      <c r="C1954" s="1" t="n">
        <v>45662</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58429-2023</t>
        </is>
      </c>
      <c r="B1955" s="1" t="n">
        <v>45250</v>
      </c>
      <c r="C1955" s="1" t="n">
        <v>45662</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58378-2023</t>
        </is>
      </c>
      <c r="B1956" s="1" t="n">
        <v>45250</v>
      </c>
      <c r="C1956" s="1" t="n">
        <v>45662</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58383-2023</t>
        </is>
      </c>
      <c r="B1957" s="1" t="n">
        <v>45250</v>
      </c>
      <c r="C1957" s="1" t="n">
        <v>45662</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59256-2023</t>
        </is>
      </c>
      <c r="B1958" s="1" t="n">
        <v>45251</v>
      </c>
      <c r="C1958" s="1" t="n">
        <v>45662</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59239-2023</t>
        </is>
      </c>
      <c r="B1959" s="1" t="n">
        <v>45253</v>
      </c>
      <c r="C1959" s="1" t="n">
        <v>45662</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59236-2023</t>
        </is>
      </c>
      <c r="B1960" s="1" t="n">
        <v>45253</v>
      </c>
      <c r="C1960" s="1" t="n">
        <v>45662</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59488-2023</t>
        </is>
      </c>
      <c r="B1961" s="1" t="n">
        <v>45254</v>
      </c>
      <c r="C1961" s="1" t="n">
        <v>45662</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59781-2023</t>
        </is>
      </c>
      <c r="B1962" s="1" t="n">
        <v>45257</v>
      </c>
      <c r="C1962" s="1" t="n">
        <v>45662</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59941-2023</t>
        </is>
      </c>
      <c r="B1963" s="1" t="n">
        <v>45257</v>
      </c>
      <c r="C1963" s="1" t="n">
        <v>45662</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45662</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60058-2023</t>
        </is>
      </c>
      <c r="B1965" s="1" t="n">
        <v>45258</v>
      </c>
      <c r="C1965" s="1" t="n">
        <v>45662</v>
      </c>
      <c r="D1965" t="inlineStr">
        <is>
          <t>VÄRMLANDS LÄN</t>
        </is>
      </c>
      <c r="E1965" t="inlineStr">
        <is>
          <t>TORSBY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60046-2023</t>
        </is>
      </c>
      <c r="B1966" s="1" t="n">
        <v>45258</v>
      </c>
      <c r="C1966" s="1" t="n">
        <v>45662</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60100-2023</t>
        </is>
      </c>
      <c r="B1967" s="1" t="n">
        <v>45258</v>
      </c>
      <c r="C1967" s="1" t="n">
        <v>45662</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60088-2023</t>
        </is>
      </c>
      <c r="B1968" s="1" t="n">
        <v>45258</v>
      </c>
      <c r="C1968" s="1" t="n">
        <v>45662</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60133-2023</t>
        </is>
      </c>
      <c r="B1969" s="1" t="n">
        <v>45258</v>
      </c>
      <c r="C1969" s="1" t="n">
        <v>45662</v>
      </c>
      <c r="D1969" t="inlineStr">
        <is>
          <t>VÄRMLANDS LÄN</t>
        </is>
      </c>
      <c r="E1969" t="inlineStr">
        <is>
          <t>TORSBY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60314-2023</t>
        </is>
      </c>
      <c r="B1970" s="1" t="n">
        <v>45258</v>
      </c>
      <c r="C1970" s="1" t="n">
        <v>45662</v>
      </c>
      <c r="D1970" t="inlineStr">
        <is>
          <t>VÄRMLANDS LÄN</t>
        </is>
      </c>
      <c r="E1970" t="inlineStr">
        <is>
          <t>TORSBY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60523-2023</t>
        </is>
      </c>
      <c r="B1971" s="1" t="n">
        <v>45259</v>
      </c>
      <c r="C1971" s="1" t="n">
        <v>45662</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60486-2023</t>
        </is>
      </c>
      <c r="B1972" s="1" t="n">
        <v>45259</v>
      </c>
      <c r="C1972" s="1" t="n">
        <v>45662</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60525-2023</t>
        </is>
      </c>
      <c r="B1973" s="1" t="n">
        <v>45259</v>
      </c>
      <c r="C1973" s="1" t="n">
        <v>45662</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61157-2023</t>
        </is>
      </c>
      <c r="B1974" s="1" t="n">
        <v>45262</v>
      </c>
      <c r="C1974" s="1" t="n">
        <v>45662</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61164-2023</t>
        </is>
      </c>
      <c r="B1975" s="1" t="n">
        <v>45262</v>
      </c>
      <c r="C1975" s="1" t="n">
        <v>45662</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61229-2023</t>
        </is>
      </c>
      <c r="B1976" s="1" t="n">
        <v>45264</v>
      </c>
      <c r="C1976" s="1" t="n">
        <v>45662</v>
      </c>
      <c r="D1976" t="inlineStr">
        <is>
          <t>VÄRMLANDS LÄN</t>
        </is>
      </c>
      <c r="E1976" t="inlineStr">
        <is>
          <t>TORSBY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61256-2023</t>
        </is>
      </c>
      <c r="B1977" s="1" t="n">
        <v>45264</v>
      </c>
      <c r="C1977" s="1" t="n">
        <v>45662</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61370-2023</t>
        </is>
      </c>
      <c r="B1978" s="1" t="n">
        <v>45264</v>
      </c>
      <c r="C1978" s="1" t="n">
        <v>45662</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61923-2023</t>
        </is>
      </c>
      <c r="B1979" s="1" t="n">
        <v>45266</v>
      </c>
      <c r="C1979" s="1" t="n">
        <v>45662</v>
      </c>
      <c r="D1979" t="inlineStr">
        <is>
          <t>VÄRMLANDS LÄN</t>
        </is>
      </c>
      <c r="E1979" t="inlineStr">
        <is>
          <t>TORSBY</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61921-2023</t>
        </is>
      </c>
      <c r="B1980" s="1" t="n">
        <v>45266</v>
      </c>
      <c r="C1980" s="1" t="n">
        <v>45662</v>
      </c>
      <c r="D1980" t="inlineStr">
        <is>
          <t>VÄRMLANDS LÄN</t>
        </is>
      </c>
      <c r="E1980" t="inlineStr">
        <is>
          <t>TORSBY</t>
        </is>
      </c>
      <c r="F1980" t="inlineStr">
        <is>
          <t>Kommuner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62037-2023</t>
        </is>
      </c>
      <c r="B1981" s="1" t="n">
        <v>45266</v>
      </c>
      <c r="C1981" s="1" t="n">
        <v>45662</v>
      </c>
      <c r="D1981" t="inlineStr">
        <is>
          <t>VÄRMLANDS LÄN</t>
        </is>
      </c>
      <c r="E1981" t="inlineStr">
        <is>
          <t>TORSBY</t>
        </is>
      </c>
      <c r="F1981" t="inlineStr">
        <is>
          <t>Bergvik skog väst AB</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62258-2023</t>
        </is>
      </c>
      <c r="B1982" s="1" t="n">
        <v>45266</v>
      </c>
      <c r="C1982" s="1" t="n">
        <v>45662</v>
      </c>
      <c r="D1982" t="inlineStr">
        <is>
          <t>VÄRMLANDS LÄN</t>
        </is>
      </c>
      <c r="E1982" t="inlineStr">
        <is>
          <t>TORSBY</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62250-2023</t>
        </is>
      </c>
      <c r="B1983" s="1" t="n">
        <v>45266</v>
      </c>
      <c r="C1983" s="1" t="n">
        <v>45662</v>
      </c>
      <c r="D1983" t="inlineStr">
        <is>
          <t>VÄRMLANDS LÄN</t>
        </is>
      </c>
      <c r="E1983" t="inlineStr">
        <is>
          <t>TORSBY</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62274-2023</t>
        </is>
      </c>
      <c r="B1984" s="1" t="n">
        <v>45267</v>
      </c>
      <c r="C1984" s="1" t="n">
        <v>45662</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62168-2023</t>
        </is>
      </c>
      <c r="B1985" s="1" t="n">
        <v>45267</v>
      </c>
      <c r="C1985" s="1" t="n">
        <v>45662</v>
      </c>
      <c r="D1985" t="inlineStr">
        <is>
          <t>VÄRMLANDS LÄN</t>
        </is>
      </c>
      <c r="E1985" t="inlineStr">
        <is>
          <t>TORSBY</t>
        </is>
      </c>
      <c r="F1985" t="inlineStr">
        <is>
          <t>Kommuner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62210-2023</t>
        </is>
      </c>
      <c r="B1986" s="1" t="n">
        <v>45267</v>
      </c>
      <c r="C1986" s="1" t="n">
        <v>45662</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62236-2023</t>
        </is>
      </c>
      <c r="B1987" s="1" t="n">
        <v>45267</v>
      </c>
      <c r="C1987" s="1" t="n">
        <v>45662</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62240-2023</t>
        </is>
      </c>
      <c r="B1988" s="1" t="n">
        <v>45267</v>
      </c>
      <c r="C1988" s="1" t="n">
        <v>45662</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62317-2023</t>
        </is>
      </c>
      <c r="B1989" s="1" t="n">
        <v>45267</v>
      </c>
      <c r="C1989" s="1" t="n">
        <v>45662</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62507-2023</t>
        </is>
      </c>
      <c r="B1990" s="1" t="n">
        <v>45267</v>
      </c>
      <c r="C1990" s="1" t="n">
        <v>45662</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62387-2023</t>
        </is>
      </c>
      <c r="B1991" s="1" t="n">
        <v>45268</v>
      </c>
      <c r="C1991" s="1" t="n">
        <v>45662</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62445-2023</t>
        </is>
      </c>
      <c r="B1992" s="1" t="n">
        <v>45268</v>
      </c>
      <c r="C1992" s="1" t="n">
        <v>45662</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62510-2023</t>
        </is>
      </c>
      <c r="B1993" s="1" t="n">
        <v>45268</v>
      </c>
      <c r="C1993" s="1" t="n">
        <v>45662</v>
      </c>
      <c r="D1993" t="inlineStr">
        <is>
          <t>VÄRMLANDS LÄN</t>
        </is>
      </c>
      <c r="E1993" t="inlineStr">
        <is>
          <t>TORSBY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62618-2023</t>
        </is>
      </c>
      <c r="B1994" s="1" t="n">
        <v>45271</v>
      </c>
      <c r="C1994" s="1" t="n">
        <v>45662</v>
      </c>
      <c r="D1994" t="inlineStr">
        <is>
          <t>VÄRMLANDS LÄN</t>
        </is>
      </c>
      <c r="E1994" t="inlineStr">
        <is>
          <t>TORSBY</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62957-2023</t>
        </is>
      </c>
      <c r="B1995" s="1" t="n">
        <v>45271</v>
      </c>
      <c r="C1995" s="1" t="n">
        <v>45662</v>
      </c>
      <c r="D1995" t="inlineStr">
        <is>
          <t>VÄRMLANDS LÄN</t>
        </is>
      </c>
      <c r="E1995" t="inlineStr">
        <is>
          <t>TORSBY</t>
        </is>
      </c>
      <c r="F1995" t="inlineStr">
        <is>
          <t>Övriga statliga verk och myndigheter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62950-2023</t>
        </is>
      </c>
      <c r="B1996" s="1" t="n">
        <v>45271</v>
      </c>
      <c r="C1996" s="1" t="n">
        <v>45662</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63030-2023</t>
        </is>
      </c>
      <c r="B1997" s="1" t="n">
        <v>45272</v>
      </c>
      <c r="C1997" s="1" t="n">
        <v>45662</v>
      </c>
      <c r="D1997" t="inlineStr">
        <is>
          <t>VÄRMLANDS LÄN</t>
        </is>
      </c>
      <c r="E1997" t="inlineStr">
        <is>
          <t>TORSBY</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63031-2023</t>
        </is>
      </c>
      <c r="B1998" s="1" t="n">
        <v>45272</v>
      </c>
      <c r="C1998" s="1" t="n">
        <v>45662</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63028-2023</t>
        </is>
      </c>
      <c r="B1999" s="1" t="n">
        <v>45272</v>
      </c>
      <c r="C1999" s="1" t="n">
        <v>45662</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63032-2023</t>
        </is>
      </c>
      <c r="B2000" s="1" t="n">
        <v>45272</v>
      </c>
      <c r="C2000" s="1" t="n">
        <v>45662</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63177-2023</t>
        </is>
      </c>
      <c r="B2001" s="1" t="n">
        <v>45272</v>
      </c>
      <c r="C2001" s="1" t="n">
        <v>45662</v>
      </c>
      <c r="D2001" t="inlineStr">
        <is>
          <t>VÄRMLANDS LÄN</t>
        </is>
      </c>
      <c r="E2001" t="inlineStr">
        <is>
          <t>TORSBY</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63160-2023</t>
        </is>
      </c>
      <c r="B2002" s="1" t="n">
        <v>45273</v>
      </c>
      <c r="C2002" s="1" t="n">
        <v>45662</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63146-2023</t>
        </is>
      </c>
      <c r="B2003" s="1" t="n">
        <v>45273</v>
      </c>
      <c r="C2003" s="1" t="n">
        <v>45662</v>
      </c>
      <c r="D2003" t="inlineStr">
        <is>
          <t>VÄRMLANDS LÄN</t>
        </is>
      </c>
      <c r="E2003" t="inlineStr">
        <is>
          <t>TORSBY</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63266-2023</t>
        </is>
      </c>
      <c r="B2004" s="1" t="n">
        <v>45273</v>
      </c>
      <c r="C2004" s="1" t="n">
        <v>45662</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63083-2023</t>
        </is>
      </c>
      <c r="B2005" s="1" t="n">
        <v>45273</v>
      </c>
      <c r="C2005" s="1" t="n">
        <v>45662</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63244-2023</t>
        </is>
      </c>
      <c r="B2006" s="1" t="n">
        <v>45273</v>
      </c>
      <c r="C2006" s="1" t="n">
        <v>45662</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63158-2023</t>
        </is>
      </c>
      <c r="B2007" s="1" t="n">
        <v>45273</v>
      </c>
      <c r="C2007" s="1" t="n">
        <v>45662</v>
      </c>
      <c r="D2007" t="inlineStr">
        <is>
          <t>VÄRMLANDS LÄN</t>
        </is>
      </c>
      <c r="E2007" t="inlineStr">
        <is>
          <t>TORSBY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63363-2023</t>
        </is>
      </c>
      <c r="B2008" s="1" t="n">
        <v>45273</v>
      </c>
      <c r="C2008" s="1" t="n">
        <v>45662</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63399-2023</t>
        </is>
      </c>
      <c r="B2009" s="1" t="n">
        <v>45274</v>
      </c>
      <c r="C2009" s="1" t="n">
        <v>45662</v>
      </c>
      <c r="D2009" t="inlineStr">
        <is>
          <t>VÄRMLANDS LÄN</t>
        </is>
      </c>
      <c r="E2009" t="inlineStr">
        <is>
          <t>TORSBY</t>
        </is>
      </c>
      <c r="F2009" t="inlineStr">
        <is>
          <t>Bergvik skog väst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63409-2023</t>
        </is>
      </c>
      <c r="B2010" s="1" t="n">
        <v>45274</v>
      </c>
      <c r="C2010" s="1" t="n">
        <v>45662</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63821-2023</t>
        </is>
      </c>
      <c r="B2011" s="1" t="n">
        <v>45275</v>
      </c>
      <c r="C2011" s="1" t="n">
        <v>45662</v>
      </c>
      <c r="D2011" t="inlineStr">
        <is>
          <t>VÄRMLANDS LÄN</t>
        </is>
      </c>
      <c r="E2011" t="inlineStr">
        <is>
          <t>TORSBY</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63820-2023</t>
        </is>
      </c>
      <c r="B2012" s="1" t="n">
        <v>45278</v>
      </c>
      <c r="C2012" s="1" t="n">
        <v>45662</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63866-2023</t>
        </is>
      </c>
      <c r="B2013" s="1" t="n">
        <v>45278</v>
      </c>
      <c r="C2013" s="1" t="n">
        <v>45662</v>
      </c>
      <c r="D2013" t="inlineStr">
        <is>
          <t>VÄRMLANDS LÄN</t>
        </is>
      </c>
      <c r="E2013" t="inlineStr">
        <is>
          <t>TORSBY</t>
        </is>
      </c>
      <c r="F2013" t="inlineStr">
        <is>
          <t>Bergvik skog väst AB</t>
        </is>
      </c>
      <c r="G2013" t="n">
        <v>58.2</v>
      </c>
      <c r="H2013" t="n">
        <v>0</v>
      </c>
      <c r="I2013" t="n">
        <v>0</v>
      </c>
      <c r="J2013" t="n">
        <v>0</v>
      </c>
      <c r="K2013" t="n">
        <v>0</v>
      </c>
      <c r="L2013" t="n">
        <v>0</v>
      </c>
      <c r="M2013" t="n">
        <v>0</v>
      </c>
      <c r="N2013" t="n">
        <v>0</v>
      </c>
      <c r="O2013" t="n">
        <v>0</v>
      </c>
      <c r="P2013" t="n">
        <v>0</v>
      </c>
      <c r="Q2013" t="n">
        <v>0</v>
      </c>
      <c r="R2013" s="2" t="inlineStr"/>
    </row>
    <row r="2014" ht="15" customHeight="1">
      <c r="A2014" t="inlineStr">
        <is>
          <t>A 63955-2023</t>
        </is>
      </c>
      <c r="B2014" s="1" t="n">
        <v>45278</v>
      </c>
      <c r="C2014" s="1" t="n">
        <v>45662</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63967-2023</t>
        </is>
      </c>
      <c r="B2015" s="1" t="n">
        <v>45278</v>
      </c>
      <c r="C2015" s="1" t="n">
        <v>45662</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64162-2023</t>
        </is>
      </c>
      <c r="B2016" s="1" t="n">
        <v>45279</v>
      </c>
      <c r="C2016" s="1" t="n">
        <v>45662</v>
      </c>
      <c r="D2016" t="inlineStr">
        <is>
          <t>VÄRMLANDS LÄN</t>
        </is>
      </c>
      <c r="E2016" t="inlineStr">
        <is>
          <t>TORSBY</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64432-2023</t>
        </is>
      </c>
      <c r="B2017" s="1" t="n">
        <v>45280</v>
      </c>
      <c r="C2017" s="1" t="n">
        <v>45662</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64389-2023</t>
        </is>
      </c>
      <c r="B2018" s="1" t="n">
        <v>45280</v>
      </c>
      <c r="C2018" s="1" t="n">
        <v>45662</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64454-2023</t>
        </is>
      </c>
      <c r="B2019" s="1" t="n">
        <v>45280</v>
      </c>
      <c r="C2019" s="1" t="n">
        <v>45662</v>
      </c>
      <c r="D2019" t="inlineStr">
        <is>
          <t>VÄRMLANDS LÄN</t>
        </is>
      </c>
      <c r="E2019" t="inlineStr">
        <is>
          <t>TORSBY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64395-2023</t>
        </is>
      </c>
      <c r="B2020" s="1" t="n">
        <v>45280</v>
      </c>
      <c r="C2020" s="1" t="n">
        <v>45662</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64400-2023</t>
        </is>
      </c>
      <c r="B2021" s="1" t="n">
        <v>45280</v>
      </c>
      <c r="C2021" s="1" t="n">
        <v>45662</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64429-2023</t>
        </is>
      </c>
      <c r="B2022" s="1" t="n">
        <v>45280</v>
      </c>
      <c r="C2022" s="1" t="n">
        <v>45662</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64590-2023</t>
        </is>
      </c>
      <c r="B2023" s="1" t="n">
        <v>45281</v>
      </c>
      <c r="C2023" s="1" t="n">
        <v>45662</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64602-2023</t>
        </is>
      </c>
      <c r="B2024" s="1" t="n">
        <v>45281</v>
      </c>
      <c r="C2024" s="1" t="n">
        <v>45662</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64641-2023</t>
        </is>
      </c>
      <c r="B2025" s="1" t="n">
        <v>45281</v>
      </c>
      <c r="C2025" s="1" t="n">
        <v>45662</v>
      </c>
      <c r="D2025" t="inlineStr">
        <is>
          <t>VÄRMLANDS LÄN</t>
        </is>
      </c>
      <c r="E2025" t="inlineStr">
        <is>
          <t>TORSBY</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64671-2023</t>
        </is>
      </c>
      <c r="B2026" s="1" t="n">
        <v>45281</v>
      </c>
      <c r="C2026" s="1" t="n">
        <v>45662</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64664-2023</t>
        </is>
      </c>
      <c r="B2027" s="1" t="n">
        <v>45281</v>
      </c>
      <c r="C2027" s="1" t="n">
        <v>45662</v>
      </c>
      <c r="D2027" t="inlineStr">
        <is>
          <t>VÄRMLANDS LÄN</t>
        </is>
      </c>
      <c r="E2027" t="inlineStr">
        <is>
          <t>TORSBY</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64672-2023</t>
        </is>
      </c>
      <c r="B2028" s="1" t="n">
        <v>45281</v>
      </c>
      <c r="C2028" s="1" t="n">
        <v>45662</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64640-2023</t>
        </is>
      </c>
      <c r="B2029" s="1" t="n">
        <v>45281</v>
      </c>
      <c r="C2029" s="1" t="n">
        <v>45662</v>
      </c>
      <c r="D2029" t="inlineStr">
        <is>
          <t>VÄRMLANDS LÄN</t>
        </is>
      </c>
      <c r="E2029" t="inlineStr">
        <is>
          <t>TORSBY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65081-2023</t>
        </is>
      </c>
      <c r="B2030" s="1" t="n">
        <v>45288</v>
      </c>
      <c r="C2030" s="1" t="n">
        <v>45662</v>
      </c>
      <c r="D2030" t="inlineStr">
        <is>
          <t>VÄRMLANDS LÄN</t>
        </is>
      </c>
      <c r="E2030" t="inlineStr">
        <is>
          <t>TORSBY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65134-2023</t>
        </is>
      </c>
      <c r="B2031" s="1" t="n">
        <v>45288</v>
      </c>
      <c r="C2031" s="1" t="n">
        <v>45662</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65204-2023</t>
        </is>
      </c>
      <c r="B2032" s="1" t="n">
        <v>45289</v>
      </c>
      <c r="C2032" s="1" t="n">
        <v>45662</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173-2024</t>
        </is>
      </c>
      <c r="B2033" s="1" t="n">
        <v>45294</v>
      </c>
      <c r="C2033" s="1" t="n">
        <v>45662</v>
      </c>
      <c r="D2033" t="inlineStr">
        <is>
          <t>VÄRMLANDS LÄN</t>
        </is>
      </c>
      <c r="E2033" t="inlineStr">
        <is>
          <t>TORSBY</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119-2024</t>
        </is>
      </c>
      <c r="B2034" s="1" t="n">
        <v>45294</v>
      </c>
      <c r="C2034" s="1" t="n">
        <v>45662</v>
      </c>
      <c r="D2034" t="inlineStr">
        <is>
          <t>VÄRMLANDS LÄN</t>
        </is>
      </c>
      <c r="E2034" t="inlineStr">
        <is>
          <t>TORSBY</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144-2024</t>
        </is>
      </c>
      <c r="B2035" s="1" t="n">
        <v>45294</v>
      </c>
      <c r="C2035" s="1" t="n">
        <v>45662</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234-2024</t>
        </is>
      </c>
      <c r="B2036" s="1" t="n">
        <v>45294</v>
      </c>
      <c r="C2036" s="1" t="n">
        <v>45662</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176-2024</t>
        </is>
      </c>
      <c r="B2037" s="1" t="n">
        <v>45294</v>
      </c>
      <c r="C2037" s="1" t="n">
        <v>45662</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235-2024</t>
        </is>
      </c>
      <c r="B2038" s="1" t="n">
        <v>45294</v>
      </c>
      <c r="C2038" s="1" t="n">
        <v>45662</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236-2024</t>
        </is>
      </c>
      <c r="B2039" s="1" t="n">
        <v>45294</v>
      </c>
      <c r="C2039" s="1" t="n">
        <v>45662</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266-2024</t>
        </is>
      </c>
      <c r="B2040" s="1" t="n">
        <v>45295</v>
      </c>
      <c r="C2040" s="1" t="n">
        <v>45662</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276-2024</t>
        </is>
      </c>
      <c r="B2041" s="1" t="n">
        <v>45295</v>
      </c>
      <c r="C2041" s="1" t="n">
        <v>45662</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324-2024</t>
        </is>
      </c>
      <c r="B2042" s="1" t="n">
        <v>45295</v>
      </c>
      <c r="C2042" s="1" t="n">
        <v>45662</v>
      </c>
      <c r="D2042" t="inlineStr">
        <is>
          <t>VÄRMLANDS LÄN</t>
        </is>
      </c>
      <c r="E2042" t="inlineStr">
        <is>
          <t>TORSBY</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423-2024</t>
        </is>
      </c>
      <c r="B2043" s="1" t="n">
        <v>45296</v>
      </c>
      <c r="C2043" s="1" t="n">
        <v>45662</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502-2024</t>
        </is>
      </c>
      <c r="B2044" s="1" t="n">
        <v>45299</v>
      </c>
      <c r="C2044" s="1" t="n">
        <v>45662</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737-2024</t>
        </is>
      </c>
      <c r="B2045" s="1" t="n">
        <v>45300</v>
      </c>
      <c r="C2045" s="1" t="n">
        <v>45662</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714-2024</t>
        </is>
      </c>
      <c r="B2046" s="1" t="n">
        <v>45300</v>
      </c>
      <c r="C2046" s="1" t="n">
        <v>45662</v>
      </c>
      <c r="D2046" t="inlineStr">
        <is>
          <t>VÄRMLANDS LÄN</t>
        </is>
      </c>
      <c r="E2046" t="inlineStr">
        <is>
          <t>TORSBY</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731-2024</t>
        </is>
      </c>
      <c r="B2047" s="1" t="n">
        <v>45300</v>
      </c>
      <c r="C2047" s="1" t="n">
        <v>45662</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924-2024</t>
        </is>
      </c>
      <c r="B2048" s="1" t="n">
        <v>45301</v>
      </c>
      <c r="C2048" s="1" t="n">
        <v>45662</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869-2024</t>
        </is>
      </c>
      <c r="B2049" s="1" t="n">
        <v>45301</v>
      </c>
      <c r="C2049" s="1" t="n">
        <v>45662</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877-2024</t>
        </is>
      </c>
      <c r="B2050" s="1" t="n">
        <v>45301</v>
      </c>
      <c r="C2050" s="1" t="n">
        <v>45662</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1001-2024</t>
        </is>
      </c>
      <c r="B2051" s="1" t="n">
        <v>45301</v>
      </c>
      <c r="C2051" s="1" t="n">
        <v>45662</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894-2024</t>
        </is>
      </c>
      <c r="B2052" s="1" t="n">
        <v>45301</v>
      </c>
      <c r="C2052" s="1" t="n">
        <v>45662</v>
      </c>
      <c r="D2052" t="inlineStr">
        <is>
          <t>VÄRMLANDS LÄN</t>
        </is>
      </c>
      <c r="E2052" t="inlineStr">
        <is>
          <t>TORSBY</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1042-2024</t>
        </is>
      </c>
      <c r="B2053" s="1" t="n">
        <v>45301</v>
      </c>
      <c r="C2053" s="1" t="n">
        <v>45662</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1046-2024</t>
        </is>
      </c>
      <c r="B2054" s="1" t="n">
        <v>45301</v>
      </c>
      <c r="C2054" s="1" t="n">
        <v>45662</v>
      </c>
      <c r="D2054" t="inlineStr">
        <is>
          <t>VÄRMLANDS LÄN</t>
        </is>
      </c>
      <c r="E2054" t="inlineStr">
        <is>
          <t>TORSBY</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1041-2024</t>
        </is>
      </c>
      <c r="B2055" s="1" t="n">
        <v>45301</v>
      </c>
      <c r="C2055" s="1" t="n">
        <v>45662</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1040-2024</t>
        </is>
      </c>
      <c r="B2056" s="1" t="n">
        <v>45301</v>
      </c>
      <c r="C2056" s="1" t="n">
        <v>45662</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1080-2024</t>
        </is>
      </c>
      <c r="B2057" s="1" t="n">
        <v>45302</v>
      </c>
      <c r="C2057" s="1" t="n">
        <v>45662</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1086-2024</t>
        </is>
      </c>
      <c r="B2058" s="1" t="n">
        <v>45302</v>
      </c>
      <c r="C2058" s="1" t="n">
        <v>45662</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1091-2024</t>
        </is>
      </c>
      <c r="B2059" s="1" t="n">
        <v>45302</v>
      </c>
      <c r="C2059" s="1" t="n">
        <v>45662</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1243-2024</t>
        </is>
      </c>
      <c r="B2060" s="1" t="n">
        <v>45302</v>
      </c>
      <c r="C2060" s="1" t="n">
        <v>45662</v>
      </c>
      <c r="D2060" t="inlineStr">
        <is>
          <t>VÄRMLANDS LÄN</t>
        </is>
      </c>
      <c r="E2060" t="inlineStr">
        <is>
          <t>TORSBY</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1154-2024</t>
        </is>
      </c>
      <c r="B2061" s="1" t="n">
        <v>45302</v>
      </c>
      <c r="C2061" s="1" t="n">
        <v>45662</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1090-2024</t>
        </is>
      </c>
      <c r="B2062" s="1" t="n">
        <v>45302</v>
      </c>
      <c r="C2062" s="1" t="n">
        <v>45662</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1094-2024</t>
        </is>
      </c>
      <c r="B2063" s="1" t="n">
        <v>45302</v>
      </c>
      <c r="C2063" s="1" t="n">
        <v>45662</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1232-2024</t>
        </is>
      </c>
      <c r="B2064" s="1" t="n">
        <v>45302</v>
      </c>
      <c r="C2064" s="1" t="n">
        <v>45662</v>
      </c>
      <c r="D2064" t="inlineStr">
        <is>
          <t>VÄRMLANDS LÄN</t>
        </is>
      </c>
      <c r="E2064" t="inlineStr">
        <is>
          <t>TORSBY</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1236-2024</t>
        </is>
      </c>
      <c r="B2065" s="1" t="n">
        <v>45302</v>
      </c>
      <c r="C2065" s="1" t="n">
        <v>45662</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1275-2024</t>
        </is>
      </c>
      <c r="B2066" s="1" t="n">
        <v>45302</v>
      </c>
      <c r="C2066" s="1" t="n">
        <v>45662</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1363-2024</t>
        </is>
      </c>
      <c r="B2067" s="1" t="n">
        <v>45303</v>
      </c>
      <c r="C2067" s="1" t="n">
        <v>45662</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1527-2024</t>
        </is>
      </c>
      <c r="B2068" s="1" t="n">
        <v>45306</v>
      </c>
      <c r="C2068" s="1" t="n">
        <v>45662</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1522-2024</t>
        </is>
      </c>
      <c r="B2069" s="1" t="n">
        <v>45306</v>
      </c>
      <c r="C2069" s="1" t="n">
        <v>45662</v>
      </c>
      <c r="D2069" t="inlineStr">
        <is>
          <t>VÄRMLANDS LÄN</t>
        </is>
      </c>
      <c r="E2069" t="inlineStr">
        <is>
          <t>TORSBY</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1547-2024</t>
        </is>
      </c>
      <c r="B2070" s="1" t="n">
        <v>45306</v>
      </c>
      <c r="C2070" s="1" t="n">
        <v>45662</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1528-2024</t>
        </is>
      </c>
      <c r="B2071" s="1" t="n">
        <v>45306</v>
      </c>
      <c r="C2071" s="1" t="n">
        <v>45662</v>
      </c>
      <c r="D2071" t="inlineStr">
        <is>
          <t>VÄRMLANDS LÄN</t>
        </is>
      </c>
      <c r="E2071" t="inlineStr">
        <is>
          <t>TORSBY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1637-2024</t>
        </is>
      </c>
      <c r="B2072" s="1" t="n">
        <v>45306</v>
      </c>
      <c r="C2072" s="1" t="n">
        <v>45662</v>
      </c>
      <c r="D2072" t="inlineStr">
        <is>
          <t>VÄRMLANDS LÄN</t>
        </is>
      </c>
      <c r="E2072" t="inlineStr">
        <is>
          <t>TORSBY</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1608-2024</t>
        </is>
      </c>
      <c r="B2073" s="1" t="n">
        <v>45306</v>
      </c>
      <c r="C2073" s="1" t="n">
        <v>45662</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1700-2024</t>
        </is>
      </c>
      <c r="B2074" s="1" t="n">
        <v>45307</v>
      </c>
      <c r="C2074" s="1" t="n">
        <v>45662</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1803-2024</t>
        </is>
      </c>
      <c r="B2075" s="1" t="n">
        <v>45307</v>
      </c>
      <c r="C2075" s="1" t="n">
        <v>45662</v>
      </c>
      <c r="D2075" t="inlineStr">
        <is>
          <t>VÄRMLANDS LÄN</t>
        </is>
      </c>
      <c r="E2075" t="inlineStr">
        <is>
          <t>TORSBY</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1757-2024</t>
        </is>
      </c>
      <c r="B2076" s="1" t="n">
        <v>45307</v>
      </c>
      <c r="C2076" s="1" t="n">
        <v>45662</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1970-2024</t>
        </is>
      </c>
      <c r="B2077" s="1" t="n">
        <v>45308</v>
      </c>
      <c r="C2077" s="1" t="n">
        <v>45662</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2155-2024</t>
        </is>
      </c>
      <c r="B2078" s="1" t="n">
        <v>45309</v>
      </c>
      <c r="C2078" s="1" t="n">
        <v>45662</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2130-2024</t>
        </is>
      </c>
      <c r="B2079" s="1" t="n">
        <v>45309</v>
      </c>
      <c r="C2079" s="1" t="n">
        <v>45662</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2308-2024</t>
        </is>
      </c>
      <c r="B2080" s="1" t="n">
        <v>45310</v>
      </c>
      <c r="C2080" s="1" t="n">
        <v>45662</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2328-2024</t>
        </is>
      </c>
      <c r="B2081" s="1" t="n">
        <v>45310</v>
      </c>
      <c r="C2081" s="1" t="n">
        <v>45662</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2466-2024</t>
        </is>
      </c>
      <c r="B2082" s="1" t="n">
        <v>45313</v>
      </c>
      <c r="C2082" s="1" t="n">
        <v>45662</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2689-2024</t>
        </is>
      </c>
      <c r="B2083" s="1" t="n">
        <v>45314</v>
      </c>
      <c r="C2083" s="1" t="n">
        <v>45662</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2784-2024</t>
        </is>
      </c>
      <c r="B2084" s="1" t="n">
        <v>45314</v>
      </c>
      <c r="C2084" s="1" t="n">
        <v>45662</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2662-2024</t>
        </is>
      </c>
      <c r="B2085" s="1" t="n">
        <v>45314</v>
      </c>
      <c r="C2085" s="1" t="n">
        <v>45662</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2870-2024</t>
        </is>
      </c>
      <c r="B2086" s="1" t="n">
        <v>45315</v>
      </c>
      <c r="C2086" s="1" t="n">
        <v>45662</v>
      </c>
      <c r="D2086" t="inlineStr">
        <is>
          <t>VÄRMLANDS LÄN</t>
        </is>
      </c>
      <c r="E2086" t="inlineStr">
        <is>
          <t>TORSBY</t>
        </is>
      </c>
      <c r="F2086" t="inlineStr">
        <is>
          <t>Bergvik skog väst AB</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3106-2024</t>
        </is>
      </c>
      <c r="B2087" s="1" t="n">
        <v>45316</v>
      </c>
      <c r="C2087" s="1" t="n">
        <v>45662</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3069-2024</t>
        </is>
      </c>
      <c r="B2088" s="1" t="n">
        <v>45316</v>
      </c>
      <c r="C2088" s="1" t="n">
        <v>45662</v>
      </c>
      <c r="D2088" t="inlineStr">
        <is>
          <t>VÄRMLANDS LÄN</t>
        </is>
      </c>
      <c r="E2088" t="inlineStr">
        <is>
          <t>TORSBY</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3326-2024</t>
        </is>
      </c>
      <c r="B2089" s="1" t="n">
        <v>45317</v>
      </c>
      <c r="C2089" s="1" t="n">
        <v>45662</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3298-2024</t>
        </is>
      </c>
      <c r="B2090" s="1" t="n">
        <v>45317</v>
      </c>
      <c r="C2090" s="1" t="n">
        <v>45662</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3331-2024</t>
        </is>
      </c>
      <c r="B2091" s="1" t="n">
        <v>45317</v>
      </c>
      <c r="C2091" s="1" t="n">
        <v>45662</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3591-2024</t>
        </is>
      </c>
      <c r="B2092" s="1" t="n">
        <v>45320</v>
      </c>
      <c r="C2092" s="1" t="n">
        <v>45662</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3479-2024</t>
        </is>
      </c>
      <c r="B2093" s="1" t="n">
        <v>45320</v>
      </c>
      <c r="C2093" s="1" t="n">
        <v>45662</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3536-2024</t>
        </is>
      </c>
      <c r="B2094" s="1" t="n">
        <v>45320</v>
      </c>
      <c r="C2094" s="1" t="n">
        <v>45662</v>
      </c>
      <c r="D2094" t="inlineStr">
        <is>
          <t>VÄRMLANDS LÄN</t>
        </is>
      </c>
      <c r="E2094" t="inlineStr">
        <is>
          <t>TORSBY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3590-2024</t>
        </is>
      </c>
      <c r="B2095" s="1" t="n">
        <v>45320</v>
      </c>
      <c r="C2095" s="1" t="n">
        <v>45662</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3608-2024</t>
        </is>
      </c>
      <c r="B2096" s="1" t="n">
        <v>45320</v>
      </c>
      <c r="C2096" s="1" t="n">
        <v>45662</v>
      </c>
      <c r="D2096" t="inlineStr">
        <is>
          <t>VÄRMLANDS LÄN</t>
        </is>
      </c>
      <c r="E2096" t="inlineStr">
        <is>
          <t>TORSBY</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3678-2024</t>
        </is>
      </c>
      <c r="B2097" s="1" t="n">
        <v>45321</v>
      </c>
      <c r="C2097" s="1" t="n">
        <v>45662</v>
      </c>
      <c r="D2097" t="inlineStr">
        <is>
          <t>VÄRMLANDS LÄN</t>
        </is>
      </c>
      <c r="E2097" t="inlineStr">
        <is>
          <t>TORSBY</t>
        </is>
      </c>
      <c r="G2097" t="n">
        <v>24.6</v>
      </c>
      <c r="H2097" t="n">
        <v>0</v>
      </c>
      <c r="I2097" t="n">
        <v>0</v>
      </c>
      <c r="J2097" t="n">
        <v>0</v>
      </c>
      <c r="K2097" t="n">
        <v>0</v>
      </c>
      <c r="L2097" t="n">
        <v>0</v>
      </c>
      <c r="M2097" t="n">
        <v>0</v>
      </c>
      <c r="N2097" t="n">
        <v>0</v>
      </c>
      <c r="O2097" t="n">
        <v>0</v>
      </c>
      <c r="P2097" t="n">
        <v>0</v>
      </c>
      <c r="Q2097" t="n">
        <v>0</v>
      </c>
      <c r="R2097" s="2" t="inlineStr"/>
    </row>
    <row r="2098" ht="15" customHeight="1">
      <c r="A2098" t="inlineStr">
        <is>
          <t>A 3672-2024</t>
        </is>
      </c>
      <c r="B2098" s="1" t="n">
        <v>45321</v>
      </c>
      <c r="C2098" s="1" t="n">
        <v>45662</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3720-2024</t>
        </is>
      </c>
      <c r="B2099" s="1" t="n">
        <v>45321</v>
      </c>
      <c r="C2099" s="1" t="n">
        <v>45662</v>
      </c>
      <c r="D2099" t="inlineStr">
        <is>
          <t>VÄRMLANDS LÄN</t>
        </is>
      </c>
      <c r="E2099" t="inlineStr">
        <is>
          <t>TORSBY</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3724-2024</t>
        </is>
      </c>
      <c r="B2100" s="1" t="n">
        <v>45321</v>
      </c>
      <c r="C2100" s="1" t="n">
        <v>45662</v>
      </c>
      <c r="D2100" t="inlineStr">
        <is>
          <t>VÄRMLANDS LÄN</t>
        </is>
      </c>
      <c r="E2100" t="inlineStr">
        <is>
          <t>TORSBY</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3673-2024</t>
        </is>
      </c>
      <c r="B2101" s="1" t="n">
        <v>45321</v>
      </c>
      <c r="C2101" s="1" t="n">
        <v>45662</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3750-2024</t>
        </is>
      </c>
      <c r="B2102" s="1" t="n">
        <v>45321</v>
      </c>
      <c r="C2102" s="1" t="n">
        <v>45662</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3734-2024</t>
        </is>
      </c>
      <c r="B2103" s="1" t="n">
        <v>45321</v>
      </c>
      <c r="C2103" s="1" t="n">
        <v>45662</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3822-2024</t>
        </is>
      </c>
      <c r="B2104" s="1" t="n">
        <v>45321</v>
      </c>
      <c r="C2104" s="1" t="n">
        <v>45662</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3922-2024</t>
        </is>
      </c>
      <c r="B2105" s="1" t="n">
        <v>45322</v>
      </c>
      <c r="C2105" s="1" t="n">
        <v>45662</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4030-2024</t>
        </is>
      </c>
      <c r="B2106" s="1" t="n">
        <v>45323</v>
      </c>
      <c r="C2106" s="1" t="n">
        <v>45662</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4070-2024</t>
        </is>
      </c>
      <c r="B2107" s="1" t="n">
        <v>45323</v>
      </c>
      <c r="C2107" s="1" t="n">
        <v>45662</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4078-2024</t>
        </is>
      </c>
      <c r="B2108" s="1" t="n">
        <v>45323</v>
      </c>
      <c r="C2108" s="1" t="n">
        <v>45662</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4231-2024</t>
        </is>
      </c>
      <c r="B2109" s="1" t="n">
        <v>45324</v>
      </c>
      <c r="C2109" s="1" t="n">
        <v>45662</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4219-2024</t>
        </is>
      </c>
      <c r="B2110" s="1" t="n">
        <v>45324</v>
      </c>
      <c r="C2110" s="1" t="n">
        <v>45662</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4908-2024</t>
        </is>
      </c>
      <c r="B2111" s="1" t="n">
        <v>45329</v>
      </c>
      <c r="C2111" s="1" t="n">
        <v>45662</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4918-2024</t>
        </is>
      </c>
      <c r="B2112" s="1" t="n">
        <v>45329</v>
      </c>
      <c r="C2112" s="1" t="n">
        <v>45662</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4920-2024</t>
        </is>
      </c>
      <c r="B2113" s="1" t="n">
        <v>45329</v>
      </c>
      <c r="C2113" s="1" t="n">
        <v>45662</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4913-2024</t>
        </is>
      </c>
      <c r="B2114" s="1" t="n">
        <v>45329</v>
      </c>
      <c r="C2114" s="1" t="n">
        <v>45662</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5115-2024</t>
        </is>
      </c>
      <c r="B2115" s="1" t="n">
        <v>45330</v>
      </c>
      <c r="C2115" s="1" t="n">
        <v>45662</v>
      </c>
      <c r="D2115" t="inlineStr">
        <is>
          <t>VÄRMLANDS LÄN</t>
        </is>
      </c>
      <c r="E2115" t="inlineStr">
        <is>
          <t>TORSBY</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5351-2024</t>
        </is>
      </c>
      <c r="B2116" s="1" t="n">
        <v>45331</v>
      </c>
      <c r="C2116" s="1" t="n">
        <v>45662</v>
      </c>
      <c r="D2116" t="inlineStr">
        <is>
          <t>VÄRMLANDS LÄN</t>
        </is>
      </c>
      <c r="E2116" t="inlineStr">
        <is>
          <t>TORSBY</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5509-2024</t>
        </is>
      </c>
      <c r="B2117" s="1" t="n">
        <v>45334</v>
      </c>
      <c r="C2117" s="1" t="n">
        <v>45662</v>
      </c>
      <c r="D2117" t="inlineStr">
        <is>
          <t>VÄRMLANDS LÄN</t>
        </is>
      </c>
      <c r="E2117" t="inlineStr">
        <is>
          <t>TORSBY</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5814-2024</t>
        </is>
      </c>
      <c r="B2118" s="1" t="n">
        <v>45335</v>
      </c>
      <c r="C2118" s="1" t="n">
        <v>45662</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5863-2024</t>
        </is>
      </c>
      <c r="B2119" s="1" t="n">
        <v>45335</v>
      </c>
      <c r="C2119" s="1" t="n">
        <v>45662</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5948-2024</t>
        </is>
      </c>
      <c r="B2120" s="1" t="n">
        <v>45336</v>
      </c>
      <c r="C2120" s="1" t="n">
        <v>45662</v>
      </c>
      <c r="D2120" t="inlineStr">
        <is>
          <t>VÄRMLANDS LÄN</t>
        </is>
      </c>
      <c r="E2120" t="inlineStr">
        <is>
          <t>TORSBY</t>
        </is>
      </c>
      <c r="F2120" t="inlineStr">
        <is>
          <t>Bergvik skog väst AB</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6013-2024</t>
        </is>
      </c>
      <c r="B2121" s="1" t="n">
        <v>45336</v>
      </c>
      <c r="C2121" s="1" t="n">
        <v>45662</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6371-2024</t>
        </is>
      </c>
      <c r="B2122" s="1" t="n">
        <v>45338</v>
      </c>
      <c r="C2122" s="1" t="n">
        <v>45662</v>
      </c>
      <c r="D2122" t="inlineStr">
        <is>
          <t>VÄRMLANDS LÄN</t>
        </is>
      </c>
      <c r="E2122" t="inlineStr">
        <is>
          <t>TORSBY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6648-2024</t>
        </is>
      </c>
      <c r="B2123" s="1" t="n">
        <v>45341</v>
      </c>
      <c r="C2123" s="1" t="n">
        <v>45662</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6646-2024</t>
        </is>
      </c>
      <c r="B2124" s="1" t="n">
        <v>45341</v>
      </c>
      <c r="C2124" s="1" t="n">
        <v>45662</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6675-2024</t>
        </is>
      </c>
      <c r="B2125" s="1" t="n">
        <v>45341</v>
      </c>
      <c r="C2125" s="1" t="n">
        <v>45662</v>
      </c>
      <c r="D2125" t="inlineStr">
        <is>
          <t>VÄRMLANDS LÄN</t>
        </is>
      </c>
      <c r="E2125" t="inlineStr">
        <is>
          <t>TORSBY</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6828-2024</t>
        </is>
      </c>
      <c r="B2126" s="1" t="n">
        <v>45342</v>
      </c>
      <c r="C2126" s="1" t="n">
        <v>45662</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6943-2024</t>
        </is>
      </c>
      <c r="B2127" s="1" t="n">
        <v>45343</v>
      </c>
      <c r="C2127" s="1" t="n">
        <v>45662</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6942-2024</t>
        </is>
      </c>
      <c r="B2128" s="1" t="n">
        <v>45343</v>
      </c>
      <c r="C2128" s="1" t="n">
        <v>45662</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v>
      </c>
      <c r="C2129" s="1" t="n">
        <v>45662</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7490-2024</t>
        </is>
      </c>
      <c r="B2130" s="1" t="n">
        <v>45346</v>
      </c>
      <c r="C2130" s="1" t="n">
        <v>45662</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7494-2024</t>
        </is>
      </c>
      <c r="B2131" s="1" t="n">
        <v>45346</v>
      </c>
      <c r="C2131" s="1" t="n">
        <v>45662</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7487-2024</t>
        </is>
      </c>
      <c r="B2132" s="1" t="n">
        <v>45346</v>
      </c>
      <c r="C2132" s="1" t="n">
        <v>45662</v>
      </c>
      <c r="D2132" t="inlineStr">
        <is>
          <t>VÄRMLANDS LÄN</t>
        </is>
      </c>
      <c r="E2132" t="inlineStr">
        <is>
          <t>TORSBY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7491-2024</t>
        </is>
      </c>
      <c r="B2133" s="1" t="n">
        <v>45346</v>
      </c>
      <c r="C2133" s="1" t="n">
        <v>45662</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7489-2024</t>
        </is>
      </c>
      <c r="B2134" s="1" t="n">
        <v>45346</v>
      </c>
      <c r="C2134" s="1" t="n">
        <v>45662</v>
      </c>
      <c r="D2134" t="inlineStr">
        <is>
          <t>VÄRMLANDS LÄN</t>
        </is>
      </c>
      <c r="E2134" t="inlineStr">
        <is>
          <t>TORSBY</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7493-2024</t>
        </is>
      </c>
      <c r="B2135" s="1" t="n">
        <v>45346</v>
      </c>
      <c r="C2135" s="1" t="n">
        <v>45662</v>
      </c>
      <c r="D2135" t="inlineStr">
        <is>
          <t>VÄRMLANDS LÄN</t>
        </is>
      </c>
      <c r="E2135" t="inlineStr">
        <is>
          <t>TORSBY</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7488-2024</t>
        </is>
      </c>
      <c r="B2136" s="1" t="n">
        <v>45346</v>
      </c>
      <c r="C2136" s="1" t="n">
        <v>45662</v>
      </c>
      <c r="D2136" t="inlineStr">
        <is>
          <t>VÄRMLANDS LÄN</t>
        </is>
      </c>
      <c r="E2136" t="inlineStr">
        <is>
          <t>TORSBY</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7500-2024</t>
        </is>
      </c>
      <c r="B2137" s="1" t="n">
        <v>45347</v>
      </c>
      <c r="C2137" s="1" t="n">
        <v>45662</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7651-2024</t>
        </is>
      </c>
      <c r="B2138" s="1" t="n">
        <v>45348</v>
      </c>
      <c r="C2138" s="1" t="n">
        <v>45662</v>
      </c>
      <c r="D2138" t="inlineStr">
        <is>
          <t>VÄRMLANDS LÄN</t>
        </is>
      </c>
      <c r="E2138" t="inlineStr">
        <is>
          <t>TORSBY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7636-2024</t>
        </is>
      </c>
      <c r="B2139" s="1" t="n">
        <v>45348</v>
      </c>
      <c r="C2139" s="1" t="n">
        <v>45662</v>
      </c>
      <c r="D2139" t="inlineStr">
        <is>
          <t>VÄRMLANDS LÄN</t>
        </is>
      </c>
      <c r="E2139" t="inlineStr">
        <is>
          <t>TORSBY</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7676-2024</t>
        </is>
      </c>
      <c r="B2140" s="1" t="n">
        <v>45348</v>
      </c>
      <c r="C2140" s="1" t="n">
        <v>45662</v>
      </c>
      <c r="D2140" t="inlineStr">
        <is>
          <t>VÄRMLANDS LÄN</t>
        </is>
      </c>
      <c r="E2140" t="inlineStr">
        <is>
          <t>TORSBY</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7677-2024</t>
        </is>
      </c>
      <c r="B2141" s="1" t="n">
        <v>45348</v>
      </c>
      <c r="C2141" s="1" t="n">
        <v>45662</v>
      </c>
      <c r="D2141" t="inlineStr">
        <is>
          <t>VÄRMLANDS LÄN</t>
        </is>
      </c>
      <c r="E2141" t="inlineStr">
        <is>
          <t>TORSBY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7757-2024</t>
        </is>
      </c>
      <c r="B2142" s="1" t="n">
        <v>45349</v>
      </c>
      <c r="C2142" s="1" t="n">
        <v>45662</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7927-2024</t>
        </is>
      </c>
      <c r="B2143" s="1" t="n">
        <v>45350</v>
      </c>
      <c r="C2143" s="1" t="n">
        <v>45662</v>
      </c>
      <c r="D2143" t="inlineStr">
        <is>
          <t>VÄRMLANDS LÄN</t>
        </is>
      </c>
      <c r="E2143" t="inlineStr">
        <is>
          <t>TORSBY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8012-2024</t>
        </is>
      </c>
      <c r="B2144" s="1" t="n">
        <v>45350</v>
      </c>
      <c r="C2144" s="1" t="n">
        <v>45662</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8625-2024</t>
        </is>
      </c>
      <c r="B2145" s="1" t="n">
        <v>45355</v>
      </c>
      <c r="C2145" s="1" t="n">
        <v>45662</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8728-2024</t>
        </is>
      </c>
      <c r="B2146" s="1" t="n">
        <v>45356</v>
      </c>
      <c r="C2146" s="1" t="n">
        <v>45662</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8720-2024</t>
        </is>
      </c>
      <c r="B2147" s="1" t="n">
        <v>45356</v>
      </c>
      <c r="C2147" s="1" t="n">
        <v>45662</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8725-2024</t>
        </is>
      </c>
      <c r="B2148" s="1" t="n">
        <v>45356</v>
      </c>
      <c r="C2148" s="1" t="n">
        <v>45662</v>
      </c>
      <c r="D2148" t="inlineStr">
        <is>
          <t>VÄRMLANDS LÄN</t>
        </is>
      </c>
      <c r="E2148" t="inlineStr">
        <is>
          <t>TORSBY</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8719-2024</t>
        </is>
      </c>
      <c r="B2149" s="1" t="n">
        <v>45356</v>
      </c>
      <c r="C2149" s="1" t="n">
        <v>45662</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9203-2024</t>
        </is>
      </c>
      <c r="B2150" s="1" t="n">
        <v>45358</v>
      </c>
      <c r="C2150" s="1" t="n">
        <v>45662</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9381-2024</t>
        </is>
      </c>
      <c r="B2151" s="1" t="n">
        <v>45359</v>
      </c>
      <c r="C2151" s="1" t="n">
        <v>45662</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9764-2024</t>
        </is>
      </c>
      <c r="B2152" s="1" t="n">
        <v>45362</v>
      </c>
      <c r="C2152" s="1" t="n">
        <v>45662</v>
      </c>
      <c r="D2152" t="inlineStr">
        <is>
          <t>VÄRMLANDS LÄN</t>
        </is>
      </c>
      <c r="E2152" t="inlineStr">
        <is>
          <t>TORSBY</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9799-2024</t>
        </is>
      </c>
      <c r="B2153" s="1" t="n">
        <v>45362</v>
      </c>
      <c r="C2153" s="1" t="n">
        <v>45662</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9793-2024</t>
        </is>
      </c>
      <c r="B2154" s="1" t="n">
        <v>45362</v>
      </c>
      <c r="C2154" s="1" t="n">
        <v>45662</v>
      </c>
      <c r="D2154" t="inlineStr">
        <is>
          <t>VÄRMLANDS LÄN</t>
        </is>
      </c>
      <c r="E2154" t="inlineStr">
        <is>
          <t>TORSBY</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9797-2024</t>
        </is>
      </c>
      <c r="B2155" s="1" t="n">
        <v>45362</v>
      </c>
      <c r="C2155" s="1" t="n">
        <v>45662</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9902-2024</t>
        </is>
      </c>
      <c r="B2156" s="1" t="n">
        <v>45363</v>
      </c>
      <c r="C2156" s="1" t="n">
        <v>45662</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9900-2024</t>
        </is>
      </c>
      <c r="B2157" s="1" t="n">
        <v>45363</v>
      </c>
      <c r="C2157" s="1" t="n">
        <v>45662</v>
      </c>
      <c r="D2157" t="inlineStr">
        <is>
          <t>VÄRMLANDS LÄN</t>
        </is>
      </c>
      <c r="E2157" t="inlineStr">
        <is>
          <t>TORSBY</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9904-2024</t>
        </is>
      </c>
      <c r="B2158" s="1" t="n">
        <v>45363</v>
      </c>
      <c r="C2158" s="1" t="n">
        <v>45662</v>
      </c>
      <c r="D2158" t="inlineStr">
        <is>
          <t>VÄRMLANDS LÄN</t>
        </is>
      </c>
      <c r="E2158" t="inlineStr">
        <is>
          <t>TORSBY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9908-2024</t>
        </is>
      </c>
      <c r="B2159" s="1" t="n">
        <v>45363</v>
      </c>
      <c r="C2159" s="1" t="n">
        <v>45662</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9912-2024</t>
        </is>
      </c>
      <c r="B2160" s="1" t="n">
        <v>45363</v>
      </c>
      <c r="C2160" s="1" t="n">
        <v>45662</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9871-2024</t>
        </is>
      </c>
      <c r="B2161" s="1" t="n">
        <v>45363</v>
      </c>
      <c r="C2161" s="1" t="n">
        <v>45662</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10011-2024</t>
        </is>
      </c>
      <c r="B2162" s="1" t="n">
        <v>45363</v>
      </c>
      <c r="C2162" s="1" t="n">
        <v>45662</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10304-2024</t>
        </is>
      </c>
      <c r="B2163" s="1" t="n">
        <v>45365</v>
      </c>
      <c r="C2163" s="1" t="n">
        <v>45662</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10372-2024</t>
        </is>
      </c>
      <c r="B2164" s="1" t="n">
        <v>45365</v>
      </c>
      <c r="C2164" s="1" t="n">
        <v>45662</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10380-2024</t>
        </is>
      </c>
      <c r="B2165" s="1" t="n">
        <v>45365</v>
      </c>
      <c r="C2165" s="1" t="n">
        <v>45662</v>
      </c>
      <c r="D2165" t="inlineStr">
        <is>
          <t>VÄRMLANDS LÄN</t>
        </is>
      </c>
      <c r="E2165" t="inlineStr">
        <is>
          <t>TORSBY</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10466-2024</t>
        </is>
      </c>
      <c r="B2166" s="1" t="n">
        <v>45366</v>
      </c>
      <c r="C2166" s="1" t="n">
        <v>45662</v>
      </c>
      <c r="D2166" t="inlineStr">
        <is>
          <t>VÄRMLANDS LÄN</t>
        </is>
      </c>
      <c r="E2166" t="inlineStr">
        <is>
          <t>TORSBY</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10589-2024</t>
        </is>
      </c>
      <c r="B2167" s="1" t="n">
        <v>45366</v>
      </c>
      <c r="C2167" s="1" t="n">
        <v>45662</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10587-2024</t>
        </is>
      </c>
      <c r="B2168" s="1" t="n">
        <v>45366</v>
      </c>
      <c r="C2168" s="1" t="n">
        <v>45662</v>
      </c>
      <c r="D2168" t="inlineStr">
        <is>
          <t>VÄRMLANDS LÄN</t>
        </is>
      </c>
      <c r="E2168" t="inlineStr">
        <is>
          <t>TORSBY</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10684-2024</t>
        </is>
      </c>
      <c r="B2169" s="1" t="n">
        <v>45369</v>
      </c>
      <c r="C2169" s="1" t="n">
        <v>45662</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10895-2024</t>
        </is>
      </c>
      <c r="B2170" s="1" t="n">
        <v>45370</v>
      </c>
      <c r="C2170" s="1" t="n">
        <v>45662</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11121-2024</t>
        </is>
      </c>
      <c r="B2171" s="1" t="n">
        <v>45371</v>
      </c>
      <c r="C2171" s="1" t="n">
        <v>45662</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11153-2024</t>
        </is>
      </c>
      <c r="B2172" s="1" t="n">
        <v>45371</v>
      </c>
      <c r="C2172" s="1" t="n">
        <v>45662</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11135-2024</t>
        </is>
      </c>
      <c r="B2173" s="1" t="n">
        <v>45371</v>
      </c>
      <c r="C2173" s="1" t="n">
        <v>45662</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11143-2024</t>
        </is>
      </c>
      <c r="B2174" s="1" t="n">
        <v>45371</v>
      </c>
      <c r="C2174" s="1" t="n">
        <v>45662</v>
      </c>
      <c r="D2174" t="inlineStr">
        <is>
          <t>VÄRMLANDS LÄN</t>
        </is>
      </c>
      <c r="E2174" t="inlineStr">
        <is>
          <t>TORSBY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11187-2024</t>
        </is>
      </c>
      <c r="B2175" s="1" t="n">
        <v>45371</v>
      </c>
      <c r="C2175" s="1" t="n">
        <v>45662</v>
      </c>
      <c r="D2175" t="inlineStr">
        <is>
          <t>VÄRMLANDS LÄN</t>
        </is>
      </c>
      <c r="E2175" t="inlineStr">
        <is>
          <t>TORSBY</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11211-2024</t>
        </is>
      </c>
      <c r="B2176" s="1" t="n">
        <v>45371</v>
      </c>
      <c r="C2176" s="1" t="n">
        <v>45662</v>
      </c>
      <c r="D2176" t="inlineStr">
        <is>
          <t>VÄRMLANDS LÄN</t>
        </is>
      </c>
      <c r="E2176" t="inlineStr">
        <is>
          <t>TORSBY</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11227-2024</t>
        </is>
      </c>
      <c r="B2177" s="1" t="n">
        <v>45371</v>
      </c>
      <c r="C2177" s="1" t="n">
        <v>45662</v>
      </c>
      <c r="D2177" t="inlineStr">
        <is>
          <t>VÄRMLANDS LÄN</t>
        </is>
      </c>
      <c r="E2177" t="inlineStr">
        <is>
          <t>TORSBY</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11235-2024</t>
        </is>
      </c>
      <c r="B2178" s="1" t="n">
        <v>45371</v>
      </c>
      <c r="C2178" s="1" t="n">
        <v>45662</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11214-2024</t>
        </is>
      </c>
      <c r="B2179" s="1" t="n">
        <v>45371</v>
      </c>
      <c r="C2179" s="1" t="n">
        <v>45662</v>
      </c>
      <c r="D2179" t="inlineStr">
        <is>
          <t>VÄRMLANDS LÄN</t>
        </is>
      </c>
      <c r="E2179" t="inlineStr">
        <is>
          <t>TORSBY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11222-2024</t>
        </is>
      </c>
      <c r="B2180" s="1" t="n">
        <v>45371</v>
      </c>
      <c r="C2180" s="1" t="n">
        <v>45662</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11242-2024</t>
        </is>
      </c>
      <c r="B2181" s="1" t="n">
        <v>45371</v>
      </c>
      <c r="C2181" s="1" t="n">
        <v>45662</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11253-2024</t>
        </is>
      </c>
      <c r="B2182" s="1" t="n">
        <v>45371</v>
      </c>
      <c r="C2182" s="1" t="n">
        <v>45662</v>
      </c>
      <c r="D2182" t="inlineStr">
        <is>
          <t>VÄRMLANDS LÄN</t>
        </is>
      </c>
      <c r="E2182" t="inlineStr">
        <is>
          <t>TORSBY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11259-2024</t>
        </is>
      </c>
      <c r="B2183" s="1" t="n">
        <v>45371</v>
      </c>
      <c r="C2183" s="1" t="n">
        <v>45662</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11172-2024</t>
        </is>
      </c>
      <c r="B2184" s="1" t="n">
        <v>45371</v>
      </c>
      <c r="C2184" s="1" t="n">
        <v>45662</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11380-2024</t>
        </is>
      </c>
      <c r="B2185" s="1" t="n">
        <v>45372</v>
      </c>
      <c r="C2185" s="1" t="n">
        <v>45662</v>
      </c>
      <c r="D2185" t="inlineStr">
        <is>
          <t>VÄRMLANDS LÄN</t>
        </is>
      </c>
      <c r="E2185" t="inlineStr">
        <is>
          <t>TORSBY</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11575-2024</t>
        </is>
      </c>
      <c r="B2186" s="1" t="n">
        <v>45373</v>
      </c>
      <c r="C2186" s="1" t="n">
        <v>45662</v>
      </c>
      <c r="D2186" t="inlineStr">
        <is>
          <t>VÄRMLANDS LÄN</t>
        </is>
      </c>
      <c r="E2186" t="inlineStr">
        <is>
          <t>TORSBY</t>
        </is>
      </c>
      <c r="G2186" t="n">
        <v>14.2</v>
      </c>
      <c r="H2186" t="n">
        <v>0</v>
      </c>
      <c r="I2186" t="n">
        <v>0</v>
      </c>
      <c r="J2186" t="n">
        <v>0</v>
      </c>
      <c r="K2186" t="n">
        <v>0</v>
      </c>
      <c r="L2186" t="n">
        <v>0</v>
      </c>
      <c r="M2186" t="n">
        <v>0</v>
      </c>
      <c r="N2186" t="n">
        <v>0</v>
      </c>
      <c r="O2186" t="n">
        <v>0</v>
      </c>
      <c r="P2186" t="n">
        <v>0</v>
      </c>
      <c r="Q2186" t="n">
        <v>0</v>
      </c>
      <c r="R2186" s="2" t="inlineStr"/>
    </row>
    <row r="2187" ht="15" customHeight="1">
      <c r="A2187" t="inlineStr">
        <is>
          <t>A 11706-2024</t>
        </is>
      </c>
      <c r="B2187" s="1" t="n">
        <v>45373</v>
      </c>
      <c r="C2187" s="1" t="n">
        <v>45662</v>
      </c>
      <c r="D2187" t="inlineStr">
        <is>
          <t>VÄRMLANDS LÄN</t>
        </is>
      </c>
      <c r="E2187" t="inlineStr">
        <is>
          <t>TORSBY</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11776-2024</t>
        </is>
      </c>
      <c r="B2188" s="1" t="n">
        <v>45374</v>
      </c>
      <c r="C2188" s="1" t="n">
        <v>45662</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11814-2024</t>
        </is>
      </c>
      <c r="B2189" s="1" t="n">
        <v>45376</v>
      </c>
      <c r="C2189" s="1" t="n">
        <v>45662</v>
      </c>
      <c r="D2189" t="inlineStr">
        <is>
          <t>VÄRMLANDS LÄN</t>
        </is>
      </c>
      <c r="E2189" t="inlineStr">
        <is>
          <t>TORSBY</t>
        </is>
      </c>
      <c r="F2189" t="inlineStr">
        <is>
          <t>Bergvik skog väst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11850-2024</t>
        </is>
      </c>
      <c r="B2190" s="1" t="n">
        <v>45376</v>
      </c>
      <c r="C2190" s="1" t="n">
        <v>45662</v>
      </c>
      <c r="D2190" t="inlineStr">
        <is>
          <t>VÄRMLANDS LÄN</t>
        </is>
      </c>
      <c r="E2190" t="inlineStr">
        <is>
          <t>TORSBY</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11878-2024</t>
        </is>
      </c>
      <c r="B2191" s="1" t="n">
        <v>45376</v>
      </c>
      <c r="C2191" s="1" t="n">
        <v>45662</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12104-2024</t>
        </is>
      </c>
      <c r="B2192" s="1" t="n">
        <v>45377</v>
      </c>
      <c r="C2192" s="1" t="n">
        <v>45662</v>
      </c>
      <c r="D2192" t="inlineStr">
        <is>
          <t>VÄRMLANDS LÄN</t>
        </is>
      </c>
      <c r="E2192" t="inlineStr">
        <is>
          <t>TORSBY</t>
        </is>
      </c>
      <c r="F2192" t="inlineStr">
        <is>
          <t>Bergvik skog väst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12107-2024</t>
        </is>
      </c>
      <c r="B2193" s="1" t="n">
        <v>45377</v>
      </c>
      <c r="C2193" s="1" t="n">
        <v>45662</v>
      </c>
      <c r="D2193" t="inlineStr">
        <is>
          <t>VÄRMLANDS LÄN</t>
        </is>
      </c>
      <c r="E2193" t="inlineStr">
        <is>
          <t>TORSBY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12051-2024</t>
        </is>
      </c>
      <c r="B2194" s="1" t="n">
        <v>45377</v>
      </c>
      <c r="C2194" s="1" t="n">
        <v>45662</v>
      </c>
      <c r="D2194" t="inlineStr">
        <is>
          <t>VÄRMLANDS LÄN</t>
        </is>
      </c>
      <c r="E2194" t="inlineStr">
        <is>
          <t>TORSBY</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12509-2024</t>
        </is>
      </c>
      <c r="B2195" s="1" t="n">
        <v>45379</v>
      </c>
      <c r="C2195" s="1" t="n">
        <v>45662</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12503-2024</t>
        </is>
      </c>
      <c r="B2196" s="1" t="n">
        <v>45379</v>
      </c>
      <c r="C2196" s="1" t="n">
        <v>45662</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12684-2024</t>
        </is>
      </c>
      <c r="B2197" s="1" t="n">
        <v>45384</v>
      </c>
      <c r="C2197" s="1" t="n">
        <v>45662</v>
      </c>
      <c r="D2197" t="inlineStr">
        <is>
          <t>VÄRMLANDS LÄN</t>
        </is>
      </c>
      <c r="E2197" t="inlineStr">
        <is>
          <t>TORSBY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12701-2024</t>
        </is>
      </c>
      <c r="B2198" s="1" t="n">
        <v>45384</v>
      </c>
      <c r="C2198" s="1" t="n">
        <v>45662</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12989-2024</t>
        </is>
      </c>
      <c r="B2199" s="1" t="n">
        <v>45385</v>
      </c>
      <c r="C2199" s="1" t="n">
        <v>45662</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13211-2024</t>
        </is>
      </c>
      <c r="B2200" s="1" t="n">
        <v>45386</v>
      </c>
      <c r="C2200" s="1" t="n">
        <v>45662</v>
      </c>
      <c r="D2200" t="inlineStr">
        <is>
          <t>VÄRMLANDS LÄN</t>
        </is>
      </c>
      <c r="E2200" t="inlineStr">
        <is>
          <t>TORSBY</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13262-2024</t>
        </is>
      </c>
      <c r="B2201" s="1" t="n">
        <v>45386</v>
      </c>
      <c r="C2201" s="1" t="n">
        <v>45662</v>
      </c>
      <c r="D2201" t="inlineStr">
        <is>
          <t>VÄRMLANDS LÄN</t>
        </is>
      </c>
      <c r="E2201" t="inlineStr">
        <is>
          <t>TORSBY</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13186-2024</t>
        </is>
      </c>
      <c r="B2202" s="1" t="n">
        <v>45386</v>
      </c>
      <c r="C2202" s="1" t="n">
        <v>45662</v>
      </c>
      <c r="D2202" t="inlineStr">
        <is>
          <t>VÄRMLANDS LÄN</t>
        </is>
      </c>
      <c r="E2202" t="inlineStr">
        <is>
          <t>TORSBY</t>
        </is>
      </c>
      <c r="F2202" t="inlineStr">
        <is>
          <t>Bergvik skog väst AB</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13206-2024</t>
        </is>
      </c>
      <c r="B2203" s="1" t="n">
        <v>45386</v>
      </c>
      <c r="C2203" s="1" t="n">
        <v>45662</v>
      </c>
      <c r="D2203" t="inlineStr">
        <is>
          <t>VÄRMLANDS LÄN</t>
        </is>
      </c>
      <c r="E2203" t="inlineStr">
        <is>
          <t>TORSBY</t>
        </is>
      </c>
      <c r="F2203" t="inlineStr">
        <is>
          <t>Bergvik skog väst AB</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13435-2024</t>
        </is>
      </c>
      <c r="B2204" s="1" t="n">
        <v>45387</v>
      </c>
      <c r="C2204" s="1" t="n">
        <v>45662</v>
      </c>
      <c r="D2204" t="inlineStr">
        <is>
          <t>VÄRMLANDS LÄN</t>
        </is>
      </c>
      <c r="E2204" t="inlineStr">
        <is>
          <t>TORSBY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13619-2024</t>
        </is>
      </c>
      <c r="B2205" s="1" t="n">
        <v>45390</v>
      </c>
      <c r="C2205" s="1" t="n">
        <v>45662</v>
      </c>
      <c r="D2205" t="inlineStr">
        <is>
          <t>VÄRMLANDS LÄN</t>
        </is>
      </c>
      <c r="E2205" t="inlineStr">
        <is>
          <t>TORSBY</t>
        </is>
      </c>
      <c r="F2205" t="inlineStr">
        <is>
          <t>Bergvik skog väst AB</t>
        </is>
      </c>
      <c r="G2205" t="n">
        <v>25.7</v>
      </c>
      <c r="H2205" t="n">
        <v>0</v>
      </c>
      <c r="I2205" t="n">
        <v>0</v>
      </c>
      <c r="J2205" t="n">
        <v>0</v>
      </c>
      <c r="K2205" t="n">
        <v>0</v>
      </c>
      <c r="L2205" t="n">
        <v>0</v>
      </c>
      <c r="M2205" t="n">
        <v>0</v>
      </c>
      <c r="N2205" t="n">
        <v>0</v>
      </c>
      <c r="O2205" t="n">
        <v>0</v>
      </c>
      <c r="P2205" t="n">
        <v>0</v>
      </c>
      <c r="Q2205" t="n">
        <v>0</v>
      </c>
      <c r="R2205" s="2" t="inlineStr"/>
    </row>
    <row r="2206" ht="15" customHeight="1">
      <c r="A2206" t="inlineStr">
        <is>
          <t>A 13848-2024</t>
        </is>
      </c>
      <c r="B2206" s="1" t="n">
        <v>45390</v>
      </c>
      <c r="C2206" s="1" t="n">
        <v>45662</v>
      </c>
      <c r="D2206" t="inlineStr">
        <is>
          <t>VÄRMLANDS LÄN</t>
        </is>
      </c>
      <c r="E2206" t="inlineStr">
        <is>
          <t>TORSBY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13847-2024</t>
        </is>
      </c>
      <c r="B2207" s="1" t="n">
        <v>45390</v>
      </c>
      <c r="C2207" s="1" t="n">
        <v>45662</v>
      </c>
      <c r="D2207" t="inlineStr">
        <is>
          <t>VÄRMLANDS LÄN</t>
        </is>
      </c>
      <c r="E2207" t="inlineStr">
        <is>
          <t>TORSBY</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13797-2024</t>
        </is>
      </c>
      <c r="B2208" s="1" t="n">
        <v>45391</v>
      </c>
      <c r="C2208" s="1" t="n">
        <v>45662</v>
      </c>
      <c r="D2208" t="inlineStr">
        <is>
          <t>VÄRMLANDS LÄN</t>
        </is>
      </c>
      <c r="E2208" t="inlineStr">
        <is>
          <t>TORSBY</t>
        </is>
      </c>
      <c r="F2208" t="inlineStr">
        <is>
          <t>Bergvik skog väst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14023-2024</t>
        </is>
      </c>
      <c r="B2209" s="1" t="n">
        <v>45392</v>
      </c>
      <c r="C2209" s="1" t="n">
        <v>45662</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13965-2024</t>
        </is>
      </c>
      <c r="B2210" s="1" t="n">
        <v>45392</v>
      </c>
      <c r="C2210" s="1" t="n">
        <v>45662</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14052-2024</t>
        </is>
      </c>
      <c r="B2211" s="1" t="n">
        <v>45392</v>
      </c>
      <c r="C2211" s="1" t="n">
        <v>45662</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14063-2024</t>
        </is>
      </c>
      <c r="B2212" s="1" t="n">
        <v>45392</v>
      </c>
      <c r="C2212" s="1" t="n">
        <v>45662</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14283-2024</t>
        </is>
      </c>
      <c r="B2213" s="1" t="n">
        <v>45393</v>
      </c>
      <c r="C2213" s="1" t="n">
        <v>45662</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14440-2024</t>
        </is>
      </c>
      <c r="B2214" s="1" t="n">
        <v>45394</v>
      </c>
      <c r="C2214" s="1" t="n">
        <v>45662</v>
      </c>
      <c r="D2214" t="inlineStr">
        <is>
          <t>VÄRMLANDS LÄN</t>
        </is>
      </c>
      <c r="E2214" t="inlineStr">
        <is>
          <t>TORSBY</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14393-2024</t>
        </is>
      </c>
      <c r="B2215" s="1" t="n">
        <v>45394</v>
      </c>
      <c r="C2215" s="1" t="n">
        <v>45662</v>
      </c>
      <c r="D2215" t="inlineStr">
        <is>
          <t>VÄRMLANDS LÄN</t>
        </is>
      </c>
      <c r="E2215" t="inlineStr">
        <is>
          <t>TORSBY</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14453-2024</t>
        </is>
      </c>
      <c r="B2216" s="1" t="n">
        <v>45394</v>
      </c>
      <c r="C2216" s="1" t="n">
        <v>45662</v>
      </c>
      <c r="D2216" t="inlineStr">
        <is>
          <t>VÄRMLANDS LÄN</t>
        </is>
      </c>
      <c r="E2216" t="inlineStr">
        <is>
          <t>TORSBY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14730-2024</t>
        </is>
      </c>
      <c r="B2217" s="1" t="n">
        <v>45397</v>
      </c>
      <c r="C2217" s="1" t="n">
        <v>45662</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14763-2024</t>
        </is>
      </c>
      <c r="B2218" s="1" t="n">
        <v>45397</v>
      </c>
      <c r="C2218" s="1" t="n">
        <v>45662</v>
      </c>
      <c r="D2218" t="inlineStr">
        <is>
          <t>VÄRMLANDS LÄN</t>
        </is>
      </c>
      <c r="E2218" t="inlineStr">
        <is>
          <t>TORSBY</t>
        </is>
      </c>
      <c r="F2218" t="inlineStr">
        <is>
          <t>Bergvik skog väst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14872-2024</t>
        </is>
      </c>
      <c r="B2219" s="1" t="n">
        <v>45398</v>
      </c>
      <c r="C2219" s="1" t="n">
        <v>45662</v>
      </c>
      <c r="D2219" t="inlineStr">
        <is>
          <t>VÄRMLANDS LÄN</t>
        </is>
      </c>
      <c r="E2219" t="inlineStr">
        <is>
          <t>TORSBY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14831-2024</t>
        </is>
      </c>
      <c r="B2220" s="1" t="n">
        <v>45398</v>
      </c>
      <c r="C2220" s="1" t="n">
        <v>45662</v>
      </c>
      <c r="D2220" t="inlineStr">
        <is>
          <t>VÄRMLANDS LÄN</t>
        </is>
      </c>
      <c r="E2220" t="inlineStr">
        <is>
          <t>TORSBY</t>
        </is>
      </c>
      <c r="F2220" t="inlineStr">
        <is>
          <t>Bergvik skog väst AB</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14949-2024</t>
        </is>
      </c>
      <c r="B2221" s="1" t="n">
        <v>45398</v>
      </c>
      <c r="C2221" s="1" t="n">
        <v>45662</v>
      </c>
      <c r="D2221" t="inlineStr">
        <is>
          <t>VÄRMLANDS LÄN</t>
        </is>
      </c>
      <c r="E2221" t="inlineStr">
        <is>
          <t>TORSBY</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14882-2024</t>
        </is>
      </c>
      <c r="B2222" s="1" t="n">
        <v>45398</v>
      </c>
      <c r="C2222" s="1" t="n">
        <v>45662</v>
      </c>
      <c r="D2222" t="inlineStr">
        <is>
          <t>VÄRMLANDS LÄN</t>
        </is>
      </c>
      <c r="E2222" t="inlineStr">
        <is>
          <t>TORSBY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14860-2024</t>
        </is>
      </c>
      <c r="B2223" s="1" t="n">
        <v>45398</v>
      </c>
      <c r="C2223" s="1" t="n">
        <v>45662</v>
      </c>
      <c r="D2223" t="inlineStr">
        <is>
          <t>VÄRMLANDS LÄN</t>
        </is>
      </c>
      <c r="E2223" t="inlineStr">
        <is>
          <t>TORSBY</t>
        </is>
      </c>
      <c r="F2223" t="inlineStr">
        <is>
          <t>Kyrkan</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15083-2024</t>
        </is>
      </c>
      <c r="B2224" s="1" t="n">
        <v>45399</v>
      </c>
      <c r="C2224" s="1" t="n">
        <v>45662</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15052-2024</t>
        </is>
      </c>
      <c r="B2225" s="1" t="n">
        <v>45399</v>
      </c>
      <c r="C2225" s="1" t="n">
        <v>45662</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15064-2024</t>
        </is>
      </c>
      <c r="B2226" s="1" t="n">
        <v>45399</v>
      </c>
      <c r="C2226" s="1" t="n">
        <v>45662</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15101-2024</t>
        </is>
      </c>
      <c r="B2227" s="1" t="n">
        <v>45399</v>
      </c>
      <c r="C2227" s="1" t="n">
        <v>45662</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15061-2024</t>
        </is>
      </c>
      <c r="B2228" s="1" t="n">
        <v>45399</v>
      </c>
      <c r="C2228" s="1" t="n">
        <v>45662</v>
      </c>
      <c r="D2228" t="inlineStr">
        <is>
          <t>VÄRMLANDS LÄN</t>
        </is>
      </c>
      <c r="E2228" t="inlineStr">
        <is>
          <t>TORSBY</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15126-2024</t>
        </is>
      </c>
      <c r="B2229" s="1" t="n">
        <v>45399</v>
      </c>
      <c r="C2229" s="1" t="n">
        <v>45662</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15127-2024</t>
        </is>
      </c>
      <c r="B2230" s="1" t="n">
        <v>45399</v>
      </c>
      <c r="C2230" s="1" t="n">
        <v>45662</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15182-2024</t>
        </is>
      </c>
      <c r="B2231" s="1" t="n">
        <v>45400</v>
      </c>
      <c r="C2231" s="1" t="n">
        <v>45662</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15180-2024</t>
        </is>
      </c>
      <c r="B2232" s="1" t="n">
        <v>45400</v>
      </c>
      <c r="C2232" s="1" t="n">
        <v>45662</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15222-2024</t>
        </is>
      </c>
      <c r="B2233" s="1" t="n">
        <v>45400</v>
      </c>
      <c r="C2233" s="1" t="n">
        <v>45662</v>
      </c>
      <c r="D2233" t="inlineStr">
        <is>
          <t>VÄRMLANDS LÄN</t>
        </is>
      </c>
      <c r="E2233" t="inlineStr">
        <is>
          <t>TORSBY</t>
        </is>
      </c>
      <c r="F2233" t="inlineStr">
        <is>
          <t>Bergvik skog väst AB</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15274-2024</t>
        </is>
      </c>
      <c r="B2234" s="1" t="n">
        <v>45400</v>
      </c>
      <c r="C2234" s="1" t="n">
        <v>45662</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15293-2024</t>
        </is>
      </c>
      <c r="B2235" s="1" t="n">
        <v>45400</v>
      </c>
      <c r="C2235" s="1" t="n">
        <v>45662</v>
      </c>
      <c r="D2235" t="inlineStr">
        <is>
          <t>VÄRMLANDS LÄN</t>
        </is>
      </c>
      <c r="E2235" t="inlineStr">
        <is>
          <t>TORSBY</t>
        </is>
      </c>
      <c r="F2235" t="inlineStr">
        <is>
          <t>Bergvik skog väst AB</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15175-2024</t>
        </is>
      </c>
      <c r="B2236" s="1" t="n">
        <v>45400</v>
      </c>
      <c r="C2236" s="1" t="n">
        <v>45662</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15315-2024</t>
        </is>
      </c>
      <c r="B2237" s="1" t="n">
        <v>45400</v>
      </c>
      <c r="C2237" s="1" t="n">
        <v>45662</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15320-2024</t>
        </is>
      </c>
      <c r="B2238" s="1" t="n">
        <v>45400</v>
      </c>
      <c r="C2238" s="1" t="n">
        <v>45662</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15425-2024</t>
        </is>
      </c>
      <c r="B2239" s="1" t="n">
        <v>45401</v>
      </c>
      <c r="C2239" s="1" t="n">
        <v>45662</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15503-2024</t>
        </is>
      </c>
      <c r="B2240" s="1" t="n">
        <v>45401</v>
      </c>
      <c r="C2240" s="1" t="n">
        <v>45662</v>
      </c>
      <c r="D2240" t="inlineStr">
        <is>
          <t>VÄRMLANDS LÄN</t>
        </is>
      </c>
      <c r="E2240" t="inlineStr">
        <is>
          <t>TORSBY</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15465-2024</t>
        </is>
      </c>
      <c r="B2241" s="1" t="n">
        <v>45401</v>
      </c>
      <c r="C2241" s="1" t="n">
        <v>45662</v>
      </c>
      <c r="D2241" t="inlineStr">
        <is>
          <t>VÄRMLANDS LÄN</t>
        </is>
      </c>
      <c r="E2241" t="inlineStr">
        <is>
          <t>TORSBY</t>
        </is>
      </c>
      <c r="F2241" t="inlineStr">
        <is>
          <t>Bergvik skog väst AB</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15730-2024</t>
        </is>
      </c>
      <c r="B2242" s="1" t="n">
        <v>45404</v>
      </c>
      <c r="C2242" s="1" t="n">
        <v>45662</v>
      </c>
      <c r="D2242" t="inlineStr">
        <is>
          <t>VÄRMLANDS LÄN</t>
        </is>
      </c>
      <c r="E2242" t="inlineStr">
        <is>
          <t>TORSBY</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15758-2024</t>
        </is>
      </c>
      <c r="B2243" s="1" t="n">
        <v>45404</v>
      </c>
      <c r="C2243" s="1" t="n">
        <v>45662</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15943-2024</t>
        </is>
      </c>
      <c r="B2244" s="1" t="n">
        <v>45405</v>
      </c>
      <c r="C2244" s="1" t="n">
        <v>45662</v>
      </c>
      <c r="D2244" t="inlineStr">
        <is>
          <t>VÄRMLANDS LÄN</t>
        </is>
      </c>
      <c r="E2244" t="inlineStr">
        <is>
          <t>TORSBY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15896-2024</t>
        </is>
      </c>
      <c r="B2245" s="1" t="n">
        <v>45405</v>
      </c>
      <c r="C2245" s="1" t="n">
        <v>45662</v>
      </c>
      <c r="D2245" t="inlineStr">
        <is>
          <t>VÄRMLANDS LÄN</t>
        </is>
      </c>
      <c r="E2245" t="inlineStr">
        <is>
          <t>TORSBY</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15892-2024</t>
        </is>
      </c>
      <c r="B2246" s="1" t="n">
        <v>45405</v>
      </c>
      <c r="C2246" s="1" t="n">
        <v>45662</v>
      </c>
      <c r="D2246" t="inlineStr">
        <is>
          <t>VÄRMLANDS LÄN</t>
        </is>
      </c>
      <c r="E2246" t="inlineStr">
        <is>
          <t>TORSBY</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15899-2024</t>
        </is>
      </c>
      <c r="B2247" s="1" t="n">
        <v>45405</v>
      </c>
      <c r="C2247" s="1" t="n">
        <v>45662</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15874-2024</t>
        </is>
      </c>
      <c r="B2248" s="1" t="n">
        <v>45405</v>
      </c>
      <c r="C2248" s="1" t="n">
        <v>45662</v>
      </c>
      <c r="D2248" t="inlineStr">
        <is>
          <t>VÄRMLANDS LÄN</t>
        </is>
      </c>
      <c r="E2248" t="inlineStr">
        <is>
          <t>TORSBY</t>
        </is>
      </c>
      <c r="F2248" t="inlineStr">
        <is>
          <t>Bergvik skog väst AB</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16073-2024</t>
        </is>
      </c>
      <c r="B2249" s="1" t="n">
        <v>45406</v>
      </c>
      <c r="C2249" s="1" t="n">
        <v>45662</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16369-2024</t>
        </is>
      </c>
      <c r="B2250" s="1" t="n">
        <v>45407</v>
      </c>
      <c r="C2250" s="1" t="n">
        <v>45662</v>
      </c>
      <c r="D2250" t="inlineStr">
        <is>
          <t>VÄRMLANDS LÄN</t>
        </is>
      </c>
      <c r="E2250" t="inlineStr">
        <is>
          <t>TORSBY</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16517-2024</t>
        </is>
      </c>
      <c r="B2251" s="1" t="n">
        <v>45408</v>
      </c>
      <c r="C2251" s="1" t="n">
        <v>45662</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16585-2024</t>
        </is>
      </c>
      <c r="B2252" s="1" t="n">
        <v>45408</v>
      </c>
      <c r="C2252" s="1" t="n">
        <v>45662</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16654-2024</t>
        </is>
      </c>
      <c r="B2253" s="1" t="n">
        <v>45408</v>
      </c>
      <c r="C2253" s="1" t="n">
        <v>45662</v>
      </c>
      <c r="D2253" t="inlineStr">
        <is>
          <t>VÄRMLANDS LÄN</t>
        </is>
      </c>
      <c r="E2253" t="inlineStr">
        <is>
          <t>TORSBY</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16488-2024</t>
        </is>
      </c>
      <c r="B2254" s="1" t="n">
        <v>45408</v>
      </c>
      <c r="C2254" s="1" t="n">
        <v>45662</v>
      </c>
      <c r="D2254" t="inlineStr">
        <is>
          <t>VÄRMLANDS LÄN</t>
        </is>
      </c>
      <c r="E2254" t="inlineStr">
        <is>
          <t>TORSBY</t>
        </is>
      </c>
      <c r="F2254" t="inlineStr">
        <is>
          <t>Bergvik skog väst AB</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16544-2024</t>
        </is>
      </c>
      <c r="B2255" s="1" t="n">
        <v>45408</v>
      </c>
      <c r="C2255" s="1" t="n">
        <v>45662</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16592-2024</t>
        </is>
      </c>
      <c r="B2256" s="1" t="n">
        <v>45408</v>
      </c>
      <c r="C2256" s="1" t="n">
        <v>45662</v>
      </c>
      <c r="D2256" t="inlineStr">
        <is>
          <t>VÄRMLANDS LÄN</t>
        </is>
      </c>
      <c r="E2256" t="inlineStr">
        <is>
          <t>TORSBY</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16583-2024</t>
        </is>
      </c>
      <c r="B2257" s="1" t="n">
        <v>45408</v>
      </c>
      <c r="C2257" s="1" t="n">
        <v>45662</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16591-2024</t>
        </is>
      </c>
      <c r="B2258" s="1" t="n">
        <v>45408</v>
      </c>
      <c r="C2258" s="1" t="n">
        <v>45662</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16586-2024</t>
        </is>
      </c>
      <c r="B2259" s="1" t="n">
        <v>45408</v>
      </c>
      <c r="C2259" s="1" t="n">
        <v>45662</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16730-2024</t>
        </is>
      </c>
      <c r="B2260" s="1" t="n">
        <v>45410</v>
      </c>
      <c r="C2260" s="1" t="n">
        <v>45662</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16891-2024</t>
        </is>
      </c>
      <c r="B2261" s="1" t="n">
        <v>45411</v>
      </c>
      <c r="C2261" s="1" t="n">
        <v>45662</v>
      </c>
      <c r="D2261" t="inlineStr">
        <is>
          <t>VÄRMLANDS LÄN</t>
        </is>
      </c>
      <c r="E2261" t="inlineStr">
        <is>
          <t>TORSBY</t>
        </is>
      </c>
      <c r="F2261" t="inlineStr">
        <is>
          <t>Bergvik skog väst AB</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16961-2024</t>
        </is>
      </c>
      <c r="B2262" s="1" t="n">
        <v>45412</v>
      </c>
      <c r="C2262" s="1" t="n">
        <v>45662</v>
      </c>
      <c r="D2262" t="inlineStr">
        <is>
          <t>VÄRMLANDS LÄN</t>
        </is>
      </c>
      <c r="E2262" t="inlineStr">
        <is>
          <t>TORSBY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16841-2024</t>
        </is>
      </c>
      <c r="B2263" s="1" t="n">
        <v>45411</v>
      </c>
      <c r="C2263" s="1" t="n">
        <v>45662</v>
      </c>
      <c r="D2263" t="inlineStr">
        <is>
          <t>VÄRMLANDS LÄN</t>
        </is>
      </c>
      <c r="E2263" t="inlineStr">
        <is>
          <t>TORSBY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16780-2024</t>
        </is>
      </c>
      <c r="B2264" s="1" t="n">
        <v>45411</v>
      </c>
      <c r="C2264" s="1" t="n">
        <v>45662</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16789-2024</t>
        </is>
      </c>
      <c r="B2265" s="1" t="n">
        <v>45411</v>
      </c>
      <c r="C2265" s="1" t="n">
        <v>45662</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17008-2024</t>
        </is>
      </c>
      <c r="B2266" s="1" t="n">
        <v>45412</v>
      </c>
      <c r="C2266" s="1" t="n">
        <v>45662</v>
      </c>
      <c r="D2266" t="inlineStr">
        <is>
          <t>VÄRMLANDS LÄN</t>
        </is>
      </c>
      <c r="E2266" t="inlineStr">
        <is>
          <t>TORSBY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17001-2024</t>
        </is>
      </c>
      <c r="B2267" s="1" t="n">
        <v>45412</v>
      </c>
      <c r="C2267" s="1" t="n">
        <v>45662</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17083-2024</t>
        </is>
      </c>
      <c r="B2268" s="1" t="n">
        <v>45412</v>
      </c>
      <c r="C2268" s="1" t="n">
        <v>45662</v>
      </c>
      <c r="D2268" t="inlineStr">
        <is>
          <t>VÄRMLANDS LÄN</t>
        </is>
      </c>
      <c r="E2268" t="inlineStr">
        <is>
          <t>TORSBY</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17024-2024</t>
        </is>
      </c>
      <c r="B2269" s="1" t="n">
        <v>45412</v>
      </c>
      <c r="C2269" s="1" t="n">
        <v>45662</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17017-2024</t>
        </is>
      </c>
      <c r="B2270" s="1" t="n">
        <v>45412</v>
      </c>
      <c r="C2270" s="1" t="n">
        <v>45662</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17047-2024</t>
        </is>
      </c>
      <c r="B2271" s="1" t="n">
        <v>45412</v>
      </c>
      <c r="C2271" s="1" t="n">
        <v>45662</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17265-2024</t>
        </is>
      </c>
      <c r="B2272" s="1" t="n">
        <v>45414</v>
      </c>
      <c r="C2272" s="1" t="n">
        <v>45662</v>
      </c>
      <c r="D2272" t="inlineStr">
        <is>
          <t>VÄRMLANDS LÄN</t>
        </is>
      </c>
      <c r="E2272" t="inlineStr">
        <is>
          <t>TORSBY</t>
        </is>
      </c>
      <c r="F2272" t="inlineStr">
        <is>
          <t>Bergvik skog väst AB</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17285-2024</t>
        </is>
      </c>
      <c r="B2273" s="1" t="n">
        <v>45414</v>
      </c>
      <c r="C2273" s="1" t="n">
        <v>45662</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17233-2024</t>
        </is>
      </c>
      <c r="B2274" s="1" t="n">
        <v>45414</v>
      </c>
      <c r="C2274" s="1" t="n">
        <v>45662</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17390-2024</t>
        </is>
      </c>
      <c r="B2275" s="1" t="n">
        <v>45414</v>
      </c>
      <c r="C2275" s="1" t="n">
        <v>45662</v>
      </c>
      <c r="D2275" t="inlineStr">
        <is>
          <t>VÄRMLANDS LÄN</t>
        </is>
      </c>
      <c r="E2275" t="inlineStr">
        <is>
          <t>TORSBY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17364-2024</t>
        </is>
      </c>
      <c r="B2276" s="1" t="n">
        <v>45414</v>
      </c>
      <c r="C2276" s="1" t="n">
        <v>45662</v>
      </c>
      <c r="D2276" t="inlineStr">
        <is>
          <t>VÄRMLANDS LÄN</t>
        </is>
      </c>
      <c r="E2276" t="inlineStr">
        <is>
          <t>TORSBY</t>
        </is>
      </c>
      <c r="F2276" t="inlineStr">
        <is>
          <t>Bergvik skog väst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17556-2024</t>
        </is>
      </c>
      <c r="B2277" s="1" t="n">
        <v>45415</v>
      </c>
      <c r="C2277" s="1" t="n">
        <v>45662</v>
      </c>
      <c r="D2277" t="inlineStr">
        <is>
          <t>VÄRMLANDS LÄN</t>
        </is>
      </c>
      <c r="E2277" t="inlineStr">
        <is>
          <t>TORSBY</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17525-2024</t>
        </is>
      </c>
      <c r="B2278" s="1" t="n">
        <v>45415</v>
      </c>
      <c r="C2278" s="1" t="n">
        <v>45662</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17562-2024</t>
        </is>
      </c>
      <c r="B2279" s="1" t="n">
        <v>45415</v>
      </c>
      <c r="C2279" s="1" t="n">
        <v>45662</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17450-2024</t>
        </is>
      </c>
      <c r="B2280" s="1" t="n">
        <v>45415</v>
      </c>
      <c r="C2280" s="1" t="n">
        <v>45662</v>
      </c>
      <c r="D2280" t="inlineStr">
        <is>
          <t>VÄRMLANDS LÄN</t>
        </is>
      </c>
      <c r="E2280" t="inlineStr">
        <is>
          <t>TORSBY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17530-2024</t>
        </is>
      </c>
      <c r="B2281" s="1" t="n">
        <v>45415</v>
      </c>
      <c r="C2281" s="1" t="n">
        <v>45662</v>
      </c>
      <c r="D2281" t="inlineStr">
        <is>
          <t>VÄRMLANDS LÄN</t>
        </is>
      </c>
      <c r="E2281" t="inlineStr">
        <is>
          <t>TORSBY</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17687-2024</t>
        </is>
      </c>
      <c r="B2282" s="1" t="n">
        <v>45418</v>
      </c>
      <c r="C2282" s="1" t="n">
        <v>45662</v>
      </c>
      <c r="D2282" t="inlineStr">
        <is>
          <t>VÄRMLANDS LÄN</t>
        </is>
      </c>
      <c r="E2282" t="inlineStr">
        <is>
          <t>TORSBY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17717-2024</t>
        </is>
      </c>
      <c r="B2283" s="1" t="n">
        <v>45418</v>
      </c>
      <c r="C2283" s="1" t="n">
        <v>45662</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17959-2024</t>
        </is>
      </c>
      <c r="B2284" s="1" t="n">
        <v>45419</v>
      </c>
      <c r="C2284" s="1" t="n">
        <v>45662</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17921-2024</t>
        </is>
      </c>
      <c r="B2285" s="1" t="n">
        <v>45419</v>
      </c>
      <c r="C2285" s="1" t="n">
        <v>45662</v>
      </c>
      <c r="D2285" t="inlineStr">
        <is>
          <t>VÄRMLANDS LÄN</t>
        </is>
      </c>
      <c r="E2285" t="inlineStr">
        <is>
          <t>TORSBY</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17837-2024</t>
        </is>
      </c>
      <c r="B2286" s="1" t="n">
        <v>45419</v>
      </c>
      <c r="C2286" s="1" t="n">
        <v>45662</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17879-2024</t>
        </is>
      </c>
      <c r="B2287" s="1" t="n">
        <v>45419</v>
      </c>
      <c r="C2287" s="1" t="n">
        <v>45662</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17931-2024</t>
        </is>
      </c>
      <c r="B2288" s="1" t="n">
        <v>45419</v>
      </c>
      <c r="C2288" s="1" t="n">
        <v>45662</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18125-2024</t>
        </is>
      </c>
      <c r="B2289" s="1" t="n">
        <v>45420</v>
      </c>
      <c r="C2289" s="1" t="n">
        <v>45662</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18155-2024</t>
        </is>
      </c>
      <c r="B2290" s="1" t="n">
        <v>45420</v>
      </c>
      <c r="C2290" s="1" t="n">
        <v>45662</v>
      </c>
      <c r="D2290" t="inlineStr">
        <is>
          <t>VÄRMLANDS LÄN</t>
        </is>
      </c>
      <c r="E2290" t="inlineStr">
        <is>
          <t>TORSBY</t>
        </is>
      </c>
      <c r="F2290" t="inlineStr">
        <is>
          <t>Bergvik skog väst AB</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18339-2024</t>
        </is>
      </c>
      <c r="B2291" s="1" t="n">
        <v>45422</v>
      </c>
      <c r="C2291" s="1" t="n">
        <v>45662</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18330-2024</t>
        </is>
      </c>
      <c r="B2292" s="1" t="n">
        <v>45422</v>
      </c>
      <c r="C2292" s="1" t="n">
        <v>45662</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18308-2024</t>
        </is>
      </c>
      <c r="B2293" s="1" t="n">
        <v>45422</v>
      </c>
      <c r="C2293" s="1" t="n">
        <v>45662</v>
      </c>
      <c r="D2293" t="inlineStr">
        <is>
          <t>VÄRMLANDS LÄN</t>
        </is>
      </c>
      <c r="E2293" t="inlineStr">
        <is>
          <t>TORSBY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18337-2024</t>
        </is>
      </c>
      <c r="B2294" s="1" t="n">
        <v>45422</v>
      </c>
      <c r="C2294" s="1" t="n">
        <v>45662</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18422-2024</t>
        </is>
      </c>
      <c r="B2295" s="1" t="n">
        <v>45425</v>
      </c>
      <c r="C2295" s="1" t="n">
        <v>45662</v>
      </c>
      <c r="D2295" t="inlineStr">
        <is>
          <t>VÄRMLANDS LÄN</t>
        </is>
      </c>
      <c r="E2295" t="inlineStr">
        <is>
          <t>TORSBY</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18682-2024</t>
        </is>
      </c>
      <c r="B2296" s="1" t="n">
        <v>45426</v>
      </c>
      <c r="C2296" s="1" t="n">
        <v>45662</v>
      </c>
      <c r="D2296" t="inlineStr">
        <is>
          <t>VÄRMLANDS LÄN</t>
        </is>
      </c>
      <c r="E2296" t="inlineStr">
        <is>
          <t>TORSBY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18883-2024</t>
        </is>
      </c>
      <c r="B2297" s="1" t="n">
        <v>45426</v>
      </c>
      <c r="C2297" s="1" t="n">
        <v>45662</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18855-2024</t>
        </is>
      </c>
      <c r="B2298" s="1" t="n">
        <v>45426</v>
      </c>
      <c r="C2298" s="1" t="n">
        <v>45662</v>
      </c>
      <c r="D2298" t="inlineStr">
        <is>
          <t>VÄRMLANDS LÄN</t>
        </is>
      </c>
      <c r="E2298" t="inlineStr">
        <is>
          <t>TORSBY</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18890-2024</t>
        </is>
      </c>
      <c r="B2299" s="1" t="n">
        <v>45427</v>
      </c>
      <c r="C2299" s="1" t="n">
        <v>45662</v>
      </c>
      <c r="D2299" t="inlineStr">
        <is>
          <t>VÄRMLANDS LÄN</t>
        </is>
      </c>
      <c r="E2299" t="inlineStr">
        <is>
          <t>TORSBY</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18953-2024</t>
        </is>
      </c>
      <c r="B2300" s="1" t="n">
        <v>45427</v>
      </c>
      <c r="C2300" s="1" t="n">
        <v>45662</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18959-2024</t>
        </is>
      </c>
      <c r="B2301" s="1" t="n">
        <v>45427</v>
      </c>
      <c r="C2301" s="1" t="n">
        <v>45662</v>
      </c>
      <c r="D2301" t="inlineStr">
        <is>
          <t>VÄRMLANDS LÄN</t>
        </is>
      </c>
      <c r="E2301" t="inlineStr">
        <is>
          <t>TORSBY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18955-2024</t>
        </is>
      </c>
      <c r="B2302" s="1" t="n">
        <v>45427</v>
      </c>
      <c r="C2302" s="1" t="n">
        <v>45662</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18897-2024</t>
        </is>
      </c>
      <c r="B2303" s="1" t="n">
        <v>45427</v>
      </c>
      <c r="C2303" s="1" t="n">
        <v>45662</v>
      </c>
      <c r="D2303" t="inlineStr">
        <is>
          <t>VÄRMLANDS LÄN</t>
        </is>
      </c>
      <c r="E2303" t="inlineStr">
        <is>
          <t>TORSBY</t>
        </is>
      </c>
      <c r="F2303" t="inlineStr">
        <is>
          <t>Övriga statliga verk och myndigheter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19029-2024</t>
        </is>
      </c>
      <c r="B2304" s="1" t="n">
        <v>45427</v>
      </c>
      <c r="C2304" s="1" t="n">
        <v>45662</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19136-2024</t>
        </is>
      </c>
      <c r="B2305" s="1" t="n">
        <v>45428</v>
      </c>
      <c r="C2305" s="1" t="n">
        <v>45662</v>
      </c>
      <c r="D2305" t="inlineStr">
        <is>
          <t>VÄRMLANDS LÄN</t>
        </is>
      </c>
      <c r="E2305" t="inlineStr">
        <is>
          <t>TORSBY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19251-2024</t>
        </is>
      </c>
      <c r="B2306" s="1" t="n">
        <v>45428</v>
      </c>
      <c r="C2306" s="1" t="n">
        <v>45662</v>
      </c>
      <c r="D2306" t="inlineStr">
        <is>
          <t>VÄRMLANDS LÄN</t>
        </is>
      </c>
      <c r="E2306" t="inlineStr">
        <is>
          <t>TORSBY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19215-2024</t>
        </is>
      </c>
      <c r="B2307" s="1" t="n">
        <v>45428</v>
      </c>
      <c r="C2307" s="1" t="n">
        <v>45662</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19665-2024</t>
        </is>
      </c>
      <c r="B2308" s="1" t="n">
        <v>45432</v>
      </c>
      <c r="C2308" s="1" t="n">
        <v>45662</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19887-2024</t>
        </is>
      </c>
      <c r="B2309" s="1" t="n">
        <v>45433</v>
      </c>
      <c r="C2309" s="1" t="n">
        <v>45662</v>
      </c>
      <c r="D2309" t="inlineStr">
        <is>
          <t>VÄRMLANDS LÄN</t>
        </is>
      </c>
      <c r="E2309" t="inlineStr">
        <is>
          <t>TORSBY</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20440-2024</t>
        </is>
      </c>
      <c r="B2310" s="1" t="n">
        <v>45435</v>
      </c>
      <c r="C2310" s="1" t="n">
        <v>45662</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20472-2024</t>
        </is>
      </c>
      <c r="B2311" s="1" t="n">
        <v>45435</v>
      </c>
      <c r="C2311" s="1" t="n">
        <v>45662</v>
      </c>
      <c r="D2311" t="inlineStr">
        <is>
          <t>VÄRMLANDS LÄN</t>
        </is>
      </c>
      <c r="E2311" t="inlineStr">
        <is>
          <t>TORSBY</t>
        </is>
      </c>
      <c r="F2311" t="inlineStr">
        <is>
          <t>Bergvik skog väst AB</t>
        </is>
      </c>
      <c r="G2311" t="n">
        <v>46.1</v>
      </c>
      <c r="H2311" t="n">
        <v>0</v>
      </c>
      <c r="I2311" t="n">
        <v>0</v>
      </c>
      <c r="J2311" t="n">
        <v>0</v>
      </c>
      <c r="K2311" t="n">
        <v>0</v>
      </c>
      <c r="L2311" t="n">
        <v>0</v>
      </c>
      <c r="M2311" t="n">
        <v>0</v>
      </c>
      <c r="N2311" t="n">
        <v>0</v>
      </c>
      <c r="O2311" t="n">
        <v>0</v>
      </c>
      <c r="P2311" t="n">
        <v>0</v>
      </c>
      <c r="Q2311" t="n">
        <v>0</v>
      </c>
      <c r="R2311" s="2" t="inlineStr"/>
    </row>
    <row r="2312" ht="15" customHeight="1">
      <c r="A2312" t="inlineStr">
        <is>
          <t>A 20645-2024</t>
        </is>
      </c>
      <c r="B2312" s="1" t="n">
        <v>45436</v>
      </c>
      <c r="C2312" s="1" t="n">
        <v>45662</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20725-2024</t>
        </is>
      </c>
      <c r="B2313" s="1" t="n">
        <v>45436</v>
      </c>
      <c r="C2313" s="1" t="n">
        <v>45662</v>
      </c>
      <c r="D2313" t="inlineStr">
        <is>
          <t>VÄRMLANDS LÄN</t>
        </is>
      </c>
      <c r="E2313" t="inlineStr">
        <is>
          <t>TORSBY</t>
        </is>
      </c>
      <c r="F2313" t="inlineStr">
        <is>
          <t>Bergvik skog väst AB</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20633-2024</t>
        </is>
      </c>
      <c r="B2314" s="1" t="n">
        <v>45436</v>
      </c>
      <c r="C2314" s="1" t="n">
        <v>45662</v>
      </c>
      <c r="D2314" t="inlineStr">
        <is>
          <t>VÄRMLANDS LÄN</t>
        </is>
      </c>
      <c r="E2314" t="inlineStr">
        <is>
          <t>TORSBY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20537-2024</t>
        </is>
      </c>
      <c r="B2315" s="1" t="n">
        <v>45436</v>
      </c>
      <c r="C2315" s="1" t="n">
        <v>45662</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20647-2024</t>
        </is>
      </c>
      <c r="B2316" s="1" t="n">
        <v>45436</v>
      </c>
      <c r="C2316" s="1" t="n">
        <v>45662</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20872-2024</t>
        </is>
      </c>
      <c r="B2317" s="1" t="n">
        <v>45439</v>
      </c>
      <c r="C2317" s="1" t="n">
        <v>45662</v>
      </c>
      <c r="D2317" t="inlineStr">
        <is>
          <t>VÄRMLANDS LÄN</t>
        </is>
      </c>
      <c r="E2317" t="inlineStr">
        <is>
          <t>TORSBY</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21013-2024</t>
        </is>
      </c>
      <c r="B2318" s="1" t="n">
        <v>45439</v>
      </c>
      <c r="C2318" s="1" t="n">
        <v>45662</v>
      </c>
      <c r="D2318" t="inlineStr">
        <is>
          <t>VÄRMLANDS LÄN</t>
        </is>
      </c>
      <c r="E2318" t="inlineStr">
        <is>
          <t>TORSBY</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20982-2024</t>
        </is>
      </c>
      <c r="B2319" s="1" t="n">
        <v>45439</v>
      </c>
      <c r="C2319" s="1" t="n">
        <v>45662</v>
      </c>
      <c r="D2319" t="inlineStr">
        <is>
          <t>VÄRMLANDS LÄN</t>
        </is>
      </c>
      <c r="E2319" t="inlineStr">
        <is>
          <t>TORSBY</t>
        </is>
      </c>
      <c r="F2319" t="inlineStr">
        <is>
          <t>Bergvik skog väst AB</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20985-2024</t>
        </is>
      </c>
      <c r="B2320" s="1" t="n">
        <v>45439</v>
      </c>
      <c r="C2320" s="1" t="n">
        <v>45662</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20968-2024</t>
        </is>
      </c>
      <c r="B2321" s="1" t="n">
        <v>45439</v>
      </c>
      <c r="C2321" s="1" t="n">
        <v>45662</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21280-2024</t>
        </is>
      </c>
      <c r="B2322" s="1" t="n">
        <v>45440</v>
      </c>
      <c r="C2322" s="1" t="n">
        <v>45662</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21297-2024</t>
        </is>
      </c>
      <c r="B2323" s="1" t="n">
        <v>45440</v>
      </c>
      <c r="C2323" s="1" t="n">
        <v>45662</v>
      </c>
      <c r="D2323" t="inlineStr">
        <is>
          <t>VÄRMLANDS LÄN</t>
        </is>
      </c>
      <c r="E2323" t="inlineStr">
        <is>
          <t>TORSBY</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21308-2024</t>
        </is>
      </c>
      <c r="B2324" s="1" t="n">
        <v>45440</v>
      </c>
      <c r="C2324" s="1" t="n">
        <v>45662</v>
      </c>
      <c r="D2324" t="inlineStr">
        <is>
          <t>VÄRMLANDS LÄN</t>
        </is>
      </c>
      <c r="E2324" t="inlineStr">
        <is>
          <t>TORSBY</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21518-2024</t>
        </is>
      </c>
      <c r="B2325" s="1" t="n">
        <v>45441</v>
      </c>
      <c r="C2325" s="1" t="n">
        <v>45662</v>
      </c>
      <c r="D2325" t="inlineStr">
        <is>
          <t>VÄRMLANDS LÄN</t>
        </is>
      </c>
      <c r="E2325" t="inlineStr">
        <is>
          <t>TORSBY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21542-2024</t>
        </is>
      </c>
      <c r="B2326" s="1" t="n">
        <v>45441</v>
      </c>
      <c r="C2326" s="1" t="n">
        <v>45662</v>
      </c>
      <c r="D2326" t="inlineStr">
        <is>
          <t>VÄRMLANDS LÄN</t>
        </is>
      </c>
      <c r="E2326" t="inlineStr">
        <is>
          <t>TORSBY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21580-2024</t>
        </is>
      </c>
      <c r="B2327" s="1" t="n">
        <v>45441</v>
      </c>
      <c r="C2327" s="1" t="n">
        <v>45662</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21586-2024</t>
        </is>
      </c>
      <c r="B2328" s="1" t="n">
        <v>45441</v>
      </c>
      <c r="C2328" s="1" t="n">
        <v>45662</v>
      </c>
      <c r="D2328" t="inlineStr">
        <is>
          <t>VÄRMLANDS LÄN</t>
        </is>
      </c>
      <c r="E2328" t="inlineStr">
        <is>
          <t>TORSBY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21581-2024</t>
        </is>
      </c>
      <c r="B2329" s="1" t="n">
        <v>45441</v>
      </c>
      <c r="C2329" s="1" t="n">
        <v>45662</v>
      </c>
      <c r="D2329" t="inlineStr">
        <is>
          <t>VÄRMLANDS LÄN</t>
        </is>
      </c>
      <c r="E2329" t="inlineStr">
        <is>
          <t>TORSBY</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21585-2024</t>
        </is>
      </c>
      <c r="B2330" s="1" t="n">
        <v>45441</v>
      </c>
      <c r="C2330" s="1" t="n">
        <v>45662</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21587-2024</t>
        </is>
      </c>
      <c r="B2331" s="1" t="n">
        <v>45441</v>
      </c>
      <c r="C2331" s="1" t="n">
        <v>45662</v>
      </c>
      <c r="D2331" t="inlineStr">
        <is>
          <t>VÄRMLANDS LÄN</t>
        </is>
      </c>
      <c r="E2331" t="inlineStr">
        <is>
          <t>TORSBY</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21757-2024</t>
        </is>
      </c>
      <c r="B2332" s="1" t="n">
        <v>45442</v>
      </c>
      <c r="C2332" s="1" t="n">
        <v>45662</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21825-2024</t>
        </is>
      </c>
      <c r="B2333" s="1" t="n">
        <v>45442</v>
      </c>
      <c r="C2333" s="1" t="n">
        <v>45662</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21829-2024</t>
        </is>
      </c>
      <c r="B2334" s="1" t="n">
        <v>45442</v>
      </c>
      <c r="C2334" s="1" t="n">
        <v>45662</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21744-2024</t>
        </is>
      </c>
      <c r="B2335" s="1" t="n">
        <v>45442</v>
      </c>
      <c r="C2335" s="1" t="n">
        <v>45662</v>
      </c>
      <c r="D2335" t="inlineStr">
        <is>
          <t>VÄRMLANDS LÄN</t>
        </is>
      </c>
      <c r="E2335" t="inlineStr">
        <is>
          <t>TORSBY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21828-2024</t>
        </is>
      </c>
      <c r="B2336" s="1" t="n">
        <v>45442</v>
      </c>
      <c r="C2336" s="1" t="n">
        <v>45662</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21930-2024</t>
        </is>
      </c>
      <c r="B2337" s="1" t="n">
        <v>45443</v>
      </c>
      <c r="C2337" s="1" t="n">
        <v>45662</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22216-2024</t>
        </is>
      </c>
      <c r="B2338" s="1" t="n">
        <v>45446</v>
      </c>
      <c r="C2338" s="1" t="n">
        <v>45662</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22483-2024</t>
        </is>
      </c>
      <c r="B2339" s="1" t="n">
        <v>45446</v>
      </c>
      <c r="C2339" s="1" t="n">
        <v>45662</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22421-2024</t>
        </is>
      </c>
      <c r="B2340" s="1" t="n">
        <v>45446</v>
      </c>
      <c r="C2340" s="1" t="n">
        <v>45662</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22426-2024</t>
        </is>
      </c>
      <c r="B2341" s="1" t="n">
        <v>45446</v>
      </c>
      <c r="C2341" s="1" t="n">
        <v>45662</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22525-2024</t>
        </is>
      </c>
      <c r="B2342" s="1" t="n">
        <v>45447</v>
      </c>
      <c r="C2342" s="1" t="n">
        <v>45662</v>
      </c>
      <c r="D2342" t="inlineStr">
        <is>
          <t>VÄRMLANDS LÄN</t>
        </is>
      </c>
      <c r="E2342" t="inlineStr">
        <is>
          <t>TORSBY</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22565-2024</t>
        </is>
      </c>
      <c r="B2343" s="1" t="n">
        <v>45447</v>
      </c>
      <c r="C2343" s="1" t="n">
        <v>45662</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22536-2024</t>
        </is>
      </c>
      <c r="B2344" s="1" t="n">
        <v>45447</v>
      </c>
      <c r="C2344" s="1" t="n">
        <v>45662</v>
      </c>
      <c r="D2344" t="inlineStr">
        <is>
          <t>VÄRMLANDS LÄN</t>
        </is>
      </c>
      <c r="E2344" t="inlineStr">
        <is>
          <t>TORSBY</t>
        </is>
      </c>
      <c r="G2344" t="n">
        <v>25.2</v>
      </c>
      <c r="H2344" t="n">
        <v>0</v>
      </c>
      <c r="I2344" t="n">
        <v>0</v>
      </c>
      <c r="J2344" t="n">
        <v>0</v>
      </c>
      <c r="K2344" t="n">
        <v>0</v>
      </c>
      <c r="L2344" t="n">
        <v>0</v>
      </c>
      <c r="M2344" t="n">
        <v>0</v>
      </c>
      <c r="N2344" t="n">
        <v>0</v>
      </c>
      <c r="O2344" t="n">
        <v>0</v>
      </c>
      <c r="P2344" t="n">
        <v>0</v>
      </c>
      <c r="Q2344" t="n">
        <v>0</v>
      </c>
      <c r="R2344" s="2" t="inlineStr"/>
    </row>
    <row r="2345" ht="15" customHeight="1">
      <c r="A2345" t="inlineStr">
        <is>
          <t>A 22844-2024</t>
        </is>
      </c>
      <c r="B2345" s="1" t="n">
        <v>45448</v>
      </c>
      <c r="C2345" s="1" t="n">
        <v>45662</v>
      </c>
      <c r="D2345" t="inlineStr">
        <is>
          <t>VÄRMLANDS LÄN</t>
        </is>
      </c>
      <c r="E2345" t="inlineStr">
        <is>
          <t>TORSBY</t>
        </is>
      </c>
      <c r="F2345" t="inlineStr">
        <is>
          <t>Bergvik skog väst AB</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22729-2024</t>
        </is>
      </c>
      <c r="B2346" s="1" t="n">
        <v>45448</v>
      </c>
      <c r="C2346" s="1" t="n">
        <v>45662</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22843-2024</t>
        </is>
      </c>
      <c r="B2347" s="1" t="n">
        <v>45448</v>
      </c>
      <c r="C2347" s="1" t="n">
        <v>45662</v>
      </c>
      <c r="D2347" t="inlineStr">
        <is>
          <t>VÄRMLANDS LÄN</t>
        </is>
      </c>
      <c r="E2347" t="inlineStr">
        <is>
          <t>TORSBY</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22973-2024</t>
        </is>
      </c>
      <c r="B2348" s="1" t="n">
        <v>45449</v>
      </c>
      <c r="C2348" s="1" t="n">
        <v>45662</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23042-2024</t>
        </is>
      </c>
      <c r="B2349" s="1" t="n">
        <v>45450</v>
      </c>
      <c r="C2349" s="1" t="n">
        <v>45662</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23133-2024</t>
        </is>
      </c>
      <c r="B2350" s="1" t="n">
        <v>45450</v>
      </c>
      <c r="C2350" s="1" t="n">
        <v>45662</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23108-2024</t>
        </is>
      </c>
      <c r="B2351" s="1" t="n">
        <v>45450</v>
      </c>
      <c r="C2351" s="1" t="n">
        <v>45662</v>
      </c>
      <c r="D2351" t="inlineStr">
        <is>
          <t>VÄRMLANDS LÄN</t>
        </is>
      </c>
      <c r="E2351" t="inlineStr">
        <is>
          <t>TORSBY</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23044-2024</t>
        </is>
      </c>
      <c r="B2352" s="1" t="n">
        <v>45450</v>
      </c>
      <c r="C2352" s="1" t="n">
        <v>45662</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23106-2024</t>
        </is>
      </c>
      <c r="B2353" s="1" t="n">
        <v>45450</v>
      </c>
      <c r="C2353" s="1" t="n">
        <v>45662</v>
      </c>
      <c r="D2353" t="inlineStr">
        <is>
          <t>VÄRMLANDS LÄN</t>
        </is>
      </c>
      <c r="E2353" t="inlineStr">
        <is>
          <t>TORSBY</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23423-2024</t>
        </is>
      </c>
      <c r="B2354" s="1" t="n">
        <v>45453</v>
      </c>
      <c r="C2354" s="1" t="n">
        <v>45662</v>
      </c>
      <c r="D2354" t="inlineStr">
        <is>
          <t>VÄRMLANDS LÄN</t>
        </is>
      </c>
      <c r="E2354" t="inlineStr">
        <is>
          <t>TORSBY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23678-2024</t>
        </is>
      </c>
      <c r="B2355" s="1" t="n">
        <v>45454</v>
      </c>
      <c r="C2355" s="1" t="n">
        <v>45662</v>
      </c>
      <c r="D2355" t="inlineStr">
        <is>
          <t>VÄRMLANDS LÄN</t>
        </is>
      </c>
      <c r="E2355" t="inlineStr">
        <is>
          <t>TORSBY</t>
        </is>
      </c>
      <c r="F2355" t="inlineStr">
        <is>
          <t>Bergvik skog väst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23719-2024</t>
        </is>
      </c>
      <c r="B2356" s="1" t="n">
        <v>45454</v>
      </c>
      <c r="C2356" s="1" t="n">
        <v>45662</v>
      </c>
      <c r="D2356" t="inlineStr">
        <is>
          <t>VÄRMLANDS LÄN</t>
        </is>
      </c>
      <c r="E2356" t="inlineStr">
        <is>
          <t>TORSBY</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23746-2024</t>
        </is>
      </c>
      <c r="B2357" s="1" t="n">
        <v>45454</v>
      </c>
      <c r="C2357" s="1" t="n">
        <v>45662</v>
      </c>
      <c r="D2357" t="inlineStr">
        <is>
          <t>VÄRMLANDS LÄN</t>
        </is>
      </c>
      <c r="E2357" t="inlineStr">
        <is>
          <t>TORSBY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23820-2024</t>
        </is>
      </c>
      <c r="B2358" s="1" t="n">
        <v>45455</v>
      </c>
      <c r="C2358" s="1" t="n">
        <v>45662</v>
      </c>
      <c r="D2358" t="inlineStr">
        <is>
          <t>VÄRMLANDS LÄN</t>
        </is>
      </c>
      <c r="E2358" t="inlineStr">
        <is>
          <t>TORSBY</t>
        </is>
      </c>
      <c r="F2358" t="inlineStr">
        <is>
          <t>Kyrkan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23846-2024</t>
        </is>
      </c>
      <c r="B2359" s="1" t="n">
        <v>45455</v>
      </c>
      <c r="C2359" s="1" t="n">
        <v>45662</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23824-2024</t>
        </is>
      </c>
      <c r="B2360" s="1" t="n">
        <v>45455</v>
      </c>
      <c r="C2360" s="1" t="n">
        <v>45662</v>
      </c>
      <c r="D2360" t="inlineStr">
        <is>
          <t>VÄRMLANDS LÄN</t>
        </is>
      </c>
      <c r="E2360" t="inlineStr">
        <is>
          <t>TORSBY</t>
        </is>
      </c>
      <c r="F2360" t="inlineStr">
        <is>
          <t>Kyrkan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23845-2024</t>
        </is>
      </c>
      <c r="B2361" s="1" t="n">
        <v>45455</v>
      </c>
      <c r="C2361" s="1" t="n">
        <v>45662</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23843-2024</t>
        </is>
      </c>
      <c r="B2362" s="1" t="n">
        <v>45455</v>
      </c>
      <c r="C2362" s="1" t="n">
        <v>45662</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23835-2024</t>
        </is>
      </c>
      <c r="B2363" s="1" t="n">
        <v>45455</v>
      </c>
      <c r="C2363" s="1" t="n">
        <v>45662</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24020-2024</t>
        </is>
      </c>
      <c r="B2364" s="1" t="n">
        <v>45456</v>
      </c>
      <c r="C2364" s="1" t="n">
        <v>45662</v>
      </c>
      <c r="D2364" t="inlineStr">
        <is>
          <t>VÄRMLANDS LÄN</t>
        </is>
      </c>
      <c r="E2364" t="inlineStr">
        <is>
          <t>TORSBY</t>
        </is>
      </c>
      <c r="F2364" t="inlineStr">
        <is>
          <t>Bergvik skog väst AB</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23996-2024</t>
        </is>
      </c>
      <c r="B2365" s="1" t="n">
        <v>45456</v>
      </c>
      <c r="C2365" s="1" t="n">
        <v>45662</v>
      </c>
      <c r="D2365" t="inlineStr">
        <is>
          <t>VÄRMLANDS LÄN</t>
        </is>
      </c>
      <c r="E2365" t="inlineStr">
        <is>
          <t>TORSBY</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24004-2024</t>
        </is>
      </c>
      <c r="B2366" s="1" t="n">
        <v>45456</v>
      </c>
      <c r="C2366" s="1" t="n">
        <v>45662</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24148-2024</t>
        </is>
      </c>
      <c r="B2367" s="1" t="n">
        <v>45456</v>
      </c>
      <c r="C2367" s="1" t="n">
        <v>45662</v>
      </c>
      <c r="D2367" t="inlineStr">
        <is>
          <t>VÄRMLANDS LÄN</t>
        </is>
      </c>
      <c r="E2367" t="inlineStr">
        <is>
          <t>TORSBY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24182-2024</t>
        </is>
      </c>
      <c r="B2368" s="1" t="n">
        <v>45456</v>
      </c>
      <c r="C2368" s="1" t="n">
        <v>45662</v>
      </c>
      <c r="D2368" t="inlineStr">
        <is>
          <t>VÄRMLANDS LÄN</t>
        </is>
      </c>
      <c r="E2368" t="inlineStr">
        <is>
          <t>TORSBY</t>
        </is>
      </c>
      <c r="F2368" t="inlineStr">
        <is>
          <t>Bergvik skog väst AB</t>
        </is>
      </c>
      <c r="G2368" t="n">
        <v>28.9</v>
      </c>
      <c r="H2368" t="n">
        <v>0</v>
      </c>
      <c r="I2368" t="n">
        <v>0</v>
      </c>
      <c r="J2368" t="n">
        <v>0</v>
      </c>
      <c r="K2368" t="n">
        <v>0</v>
      </c>
      <c r="L2368" t="n">
        <v>0</v>
      </c>
      <c r="M2368" t="n">
        <v>0</v>
      </c>
      <c r="N2368" t="n">
        <v>0</v>
      </c>
      <c r="O2368" t="n">
        <v>0</v>
      </c>
      <c r="P2368" t="n">
        <v>0</v>
      </c>
      <c r="Q2368" t="n">
        <v>0</v>
      </c>
      <c r="R2368" s="2" t="inlineStr"/>
    </row>
    <row r="2369" ht="15" customHeight="1">
      <c r="A2369" t="inlineStr">
        <is>
          <t>A 24087-2024</t>
        </is>
      </c>
      <c r="B2369" s="1" t="n">
        <v>45456</v>
      </c>
      <c r="C2369" s="1" t="n">
        <v>45662</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24113-2024</t>
        </is>
      </c>
      <c r="B2370" s="1" t="n">
        <v>45456</v>
      </c>
      <c r="C2370" s="1" t="n">
        <v>45662</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24242-2024</t>
        </is>
      </c>
      <c r="B2371" s="1" t="n">
        <v>45457</v>
      </c>
      <c r="C2371" s="1" t="n">
        <v>45662</v>
      </c>
      <c r="D2371" t="inlineStr">
        <is>
          <t>VÄRMLANDS LÄN</t>
        </is>
      </c>
      <c r="E2371" t="inlineStr">
        <is>
          <t>TORSBY</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45662</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24267-2024</t>
        </is>
      </c>
      <c r="B2373" s="1" t="n">
        <v>45457</v>
      </c>
      <c r="C2373" s="1" t="n">
        <v>45662</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24493-2024</t>
        </is>
      </c>
      <c r="B2374" s="1" t="n">
        <v>45459</v>
      </c>
      <c r="C2374" s="1" t="n">
        <v>45662</v>
      </c>
      <c r="D2374" t="inlineStr">
        <is>
          <t>VÄRMLANDS LÄN</t>
        </is>
      </c>
      <c r="E2374" t="inlineStr">
        <is>
          <t>TORSBY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24490-2024</t>
        </is>
      </c>
      <c r="B2375" s="1" t="n">
        <v>45459</v>
      </c>
      <c r="C2375" s="1" t="n">
        <v>45662</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24708-2024</t>
        </is>
      </c>
      <c r="B2376" s="1" t="n">
        <v>45460</v>
      </c>
      <c r="C2376" s="1" t="n">
        <v>45662</v>
      </c>
      <c r="D2376" t="inlineStr">
        <is>
          <t>VÄRMLANDS LÄN</t>
        </is>
      </c>
      <c r="E2376" t="inlineStr">
        <is>
          <t>TORSBY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24723-2024</t>
        </is>
      </c>
      <c r="B2377" s="1" t="n">
        <v>45460</v>
      </c>
      <c r="C2377" s="1" t="n">
        <v>45662</v>
      </c>
      <c r="D2377" t="inlineStr">
        <is>
          <t>VÄRMLANDS LÄN</t>
        </is>
      </c>
      <c r="E2377" t="inlineStr">
        <is>
          <t>TORSBY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24717-2024</t>
        </is>
      </c>
      <c r="B2378" s="1" t="n">
        <v>45460</v>
      </c>
      <c r="C2378" s="1" t="n">
        <v>45662</v>
      </c>
      <c r="D2378" t="inlineStr">
        <is>
          <t>VÄRMLANDS LÄN</t>
        </is>
      </c>
      <c r="E2378" t="inlineStr">
        <is>
          <t>TORSBY</t>
        </is>
      </c>
      <c r="F2378" t="inlineStr">
        <is>
          <t>Övriga statliga verk och myndigheter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24636-2024</t>
        </is>
      </c>
      <c r="B2379" s="1" t="n">
        <v>45460</v>
      </c>
      <c r="C2379" s="1" t="n">
        <v>45662</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24630-2024</t>
        </is>
      </c>
      <c r="B2380" s="1" t="n">
        <v>45460</v>
      </c>
      <c r="C2380" s="1" t="n">
        <v>45662</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24657-2024</t>
        </is>
      </c>
      <c r="B2381" s="1" t="n">
        <v>45460</v>
      </c>
      <c r="C2381" s="1" t="n">
        <v>45662</v>
      </c>
      <c r="D2381" t="inlineStr">
        <is>
          <t>VÄRMLANDS LÄN</t>
        </is>
      </c>
      <c r="E2381" t="inlineStr">
        <is>
          <t>TORSBY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24995-2024</t>
        </is>
      </c>
      <c r="B2382" s="1" t="n">
        <v>45461</v>
      </c>
      <c r="C2382" s="1" t="n">
        <v>45662</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24851-2024</t>
        </is>
      </c>
      <c r="B2383" s="1" t="n">
        <v>45461</v>
      </c>
      <c r="C2383" s="1" t="n">
        <v>45662</v>
      </c>
      <c r="D2383" t="inlineStr">
        <is>
          <t>VÄRMLANDS LÄN</t>
        </is>
      </c>
      <c r="E2383" t="inlineStr">
        <is>
          <t>TORSBY</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25355-2024</t>
        </is>
      </c>
      <c r="B2384" s="1" t="n">
        <v>45463</v>
      </c>
      <c r="C2384" s="1" t="n">
        <v>45662</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25313-2024</t>
        </is>
      </c>
      <c r="B2385" s="1" t="n">
        <v>45462</v>
      </c>
      <c r="C2385" s="1" t="n">
        <v>45662</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25090-2024</t>
        </is>
      </c>
      <c r="B2386" s="1" t="n">
        <v>45462</v>
      </c>
      <c r="C2386" s="1" t="n">
        <v>45662</v>
      </c>
      <c r="D2386" t="inlineStr">
        <is>
          <t>VÄRMLANDS LÄN</t>
        </is>
      </c>
      <c r="E2386" t="inlineStr">
        <is>
          <t>TORSBY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25264-2024</t>
        </is>
      </c>
      <c r="B2387" s="1" t="n">
        <v>45462</v>
      </c>
      <c r="C2387" s="1" t="n">
        <v>45662</v>
      </c>
      <c r="D2387" t="inlineStr">
        <is>
          <t>VÄRMLANDS LÄN</t>
        </is>
      </c>
      <c r="E2387" t="inlineStr">
        <is>
          <t>TORSBY</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25194-2024</t>
        </is>
      </c>
      <c r="B2388" s="1" t="n">
        <v>45462</v>
      </c>
      <c r="C2388" s="1" t="n">
        <v>45662</v>
      </c>
      <c r="D2388" t="inlineStr">
        <is>
          <t>VÄRMLANDS LÄN</t>
        </is>
      </c>
      <c r="E2388" t="inlineStr">
        <is>
          <t>TORSBY</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25316-2024</t>
        </is>
      </c>
      <c r="B2389" s="1" t="n">
        <v>45462</v>
      </c>
      <c r="C2389" s="1" t="n">
        <v>45662</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25629-2024</t>
        </is>
      </c>
      <c r="B2390" s="1" t="n">
        <v>45463</v>
      </c>
      <c r="C2390" s="1" t="n">
        <v>45662</v>
      </c>
      <c r="D2390" t="inlineStr">
        <is>
          <t>VÄRMLANDS LÄN</t>
        </is>
      </c>
      <c r="E2390" t="inlineStr">
        <is>
          <t>TORSBY</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25504-2024</t>
        </is>
      </c>
      <c r="B2391" s="1" t="n">
        <v>45463</v>
      </c>
      <c r="C2391" s="1" t="n">
        <v>45662</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25827-2024</t>
        </is>
      </c>
      <c r="B2392" s="1" t="n">
        <v>45467</v>
      </c>
      <c r="C2392" s="1" t="n">
        <v>45662</v>
      </c>
      <c r="D2392" t="inlineStr">
        <is>
          <t>VÄRMLANDS LÄN</t>
        </is>
      </c>
      <c r="E2392" t="inlineStr">
        <is>
          <t>TORSBY</t>
        </is>
      </c>
      <c r="G2392" t="n">
        <v>20.5</v>
      </c>
      <c r="H2392" t="n">
        <v>0</v>
      </c>
      <c r="I2392" t="n">
        <v>0</v>
      </c>
      <c r="J2392" t="n">
        <v>0</v>
      </c>
      <c r="K2392" t="n">
        <v>0</v>
      </c>
      <c r="L2392" t="n">
        <v>0</v>
      </c>
      <c r="M2392" t="n">
        <v>0</v>
      </c>
      <c r="N2392" t="n">
        <v>0</v>
      </c>
      <c r="O2392" t="n">
        <v>0</v>
      </c>
      <c r="P2392" t="n">
        <v>0</v>
      </c>
      <c r="Q2392" t="n">
        <v>0</v>
      </c>
      <c r="R2392" s="2" t="inlineStr"/>
    </row>
    <row r="2393" ht="15" customHeight="1">
      <c r="A2393" t="inlineStr">
        <is>
          <t>A 25898-2024</t>
        </is>
      </c>
      <c r="B2393" s="1" t="n">
        <v>45467</v>
      </c>
      <c r="C2393" s="1" t="n">
        <v>45662</v>
      </c>
      <c r="D2393" t="inlineStr">
        <is>
          <t>VÄRMLANDS LÄN</t>
        </is>
      </c>
      <c r="E2393" t="inlineStr">
        <is>
          <t>TORSBY</t>
        </is>
      </c>
      <c r="G2393" t="n">
        <v>27.6</v>
      </c>
      <c r="H2393" t="n">
        <v>0</v>
      </c>
      <c r="I2393" t="n">
        <v>0</v>
      </c>
      <c r="J2393" t="n">
        <v>0</v>
      </c>
      <c r="K2393" t="n">
        <v>0</v>
      </c>
      <c r="L2393" t="n">
        <v>0</v>
      </c>
      <c r="M2393" t="n">
        <v>0</v>
      </c>
      <c r="N2393" t="n">
        <v>0</v>
      </c>
      <c r="O2393" t="n">
        <v>0</v>
      </c>
      <c r="P2393" t="n">
        <v>0</v>
      </c>
      <c r="Q2393" t="n">
        <v>0</v>
      </c>
      <c r="R2393" s="2" t="inlineStr"/>
    </row>
    <row r="2394" ht="15" customHeight="1">
      <c r="A2394" t="inlineStr">
        <is>
          <t>A 25932-2024</t>
        </is>
      </c>
      <c r="B2394" s="1" t="n">
        <v>45467</v>
      </c>
      <c r="C2394" s="1" t="n">
        <v>45662</v>
      </c>
      <c r="D2394" t="inlineStr">
        <is>
          <t>VÄRMLANDS LÄN</t>
        </is>
      </c>
      <c r="E2394" t="inlineStr">
        <is>
          <t>TORSBY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25933-2024</t>
        </is>
      </c>
      <c r="B2395" s="1" t="n">
        <v>45467</v>
      </c>
      <c r="C2395" s="1" t="n">
        <v>45662</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25949-2024</t>
        </is>
      </c>
      <c r="B2396" s="1" t="n">
        <v>45467</v>
      </c>
      <c r="C2396" s="1" t="n">
        <v>45662</v>
      </c>
      <c r="D2396" t="inlineStr">
        <is>
          <t>VÄRMLANDS LÄN</t>
        </is>
      </c>
      <c r="E2396" t="inlineStr">
        <is>
          <t>TORSBY</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26186-2024</t>
        </is>
      </c>
      <c r="B2397" s="1" t="n">
        <v>45468</v>
      </c>
      <c r="C2397" s="1" t="n">
        <v>45662</v>
      </c>
      <c r="D2397" t="inlineStr">
        <is>
          <t>VÄRMLANDS LÄN</t>
        </is>
      </c>
      <c r="E2397" t="inlineStr">
        <is>
          <t>TORSBY</t>
        </is>
      </c>
      <c r="F2397" t="inlineStr">
        <is>
          <t>Bergvik skog väst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26166-2024</t>
        </is>
      </c>
      <c r="B2398" s="1" t="n">
        <v>45468</v>
      </c>
      <c r="C2398" s="1" t="n">
        <v>45662</v>
      </c>
      <c r="D2398" t="inlineStr">
        <is>
          <t>VÄRMLANDS LÄN</t>
        </is>
      </c>
      <c r="E2398" t="inlineStr">
        <is>
          <t>TORSBY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26124-2024</t>
        </is>
      </c>
      <c r="B2399" s="1" t="n">
        <v>45468</v>
      </c>
      <c r="C2399" s="1" t="n">
        <v>45662</v>
      </c>
      <c r="D2399" t="inlineStr">
        <is>
          <t>VÄRMLANDS LÄN</t>
        </is>
      </c>
      <c r="E2399" t="inlineStr">
        <is>
          <t>TORSBY</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26086-2024</t>
        </is>
      </c>
      <c r="B2400" s="1" t="n">
        <v>45468</v>
      </c>
      <c r="C2400" s="1" t="n">
        <v>45662</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26042-2024</t>
        </is>
      </c>
      <c r="B2401" s="1" t="n">
        <v>45468</v>
      </c>
      <c r="C2401" s="1" t="n">
        <v>45662</v>
      </c>
      <c r="D2401" t="inlineStr">
        <is>
          <t>VÄRMLANDS LÄN</t>
        </is>
      </c>
      <c r="E2401" t="inlineStr">
        <is>
          <t>TORSBY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26634-2024</t>
        </is>
      </c>
      <c r="B2402" s="1" t="n">
        <v>45469</v>
      </c>
      <c r="C2402" s="1" t="n">
        <v>45662</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26876-2024</t>
        </is>
      </c>
      <c r="B2403" s="1" t="n">
        <v>45470</v>
      </c>
      <c r="C2403" s="1" t="n">
        <v>45662</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26887-2024</t>
        </is>
      </c>
      <c r="B2404" s="1" t="n">
        <v>45470</v>
      </c>
      <c r="C2404" s="1" t="n">
        <v>45662</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26807-2024</t>
        </is>
      </c>
      <c r="B2405" s="1" t="n">
        <v>45470</v>
      </c>
      <c r="C2405" s="1" t="n">
        <v>45662</v>
      </c>
      <c r="D2405" t="inlineStr">
        <is>
          <t>VÄRMLANDS LÄN</t>
        </is>
      </c>
      <c r="E2405" t="inlineStr">
        <is>
          <t>TORSBY</t>
        </is>
      </c>
      <c r="F2405" t="inlineStr">
        <is>
          <t>Bergvik skog väst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26799-2024</t>
        </is>
      </c>
      <c r="B2406" s="1" t="n">
        <v>45470</v>
      </c>
      <c r="C2406" s="1" t="n">
        <v>45662</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27045-2024</t>
        </is>
      </c>
      <c r="B2407" s="1" t="n">
        <v>45471</v>
      </c>
      <c r="C2407" s="1" t="n">
        <v>45662</v>
      </c>
      <c r="D2407" t="inlineStr">
        <is>
          <t>VÄRMLANDS LÄN</t>
        </is>
      </c>
      <c r="E2407" t="inlineStr">
        <is>
          <t>TORSBY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27187-2024</t>
        </is>
      </c>
      <c r="B2408" s="1" t="n">
        <v>45471</v>
      </c>
      <c r="C2408" s="1" t="n">
        <v>45662</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27111-2024</t>
        </is>
      </c>
      <c r="B2409" s="1" t="n">
        <v>45471</v>
      </c>
      <c r="C2409" s="1" t="n">
        <v>45662</v>
      </c>
      <c r="D2409" t="inlineStr">
        <is>
          <t>VÄRMLANDS LÄN</t>
        </is>
      </c>
      <c r="E2409" t="inlineStr">
        <is>
          <t>TORSBY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27115-2024</t>
        </is>
      </c>
      <c r="B2410" s="1" t="n">
        <v>45471</v>
      </c>
      <c r="C2410" s="1" t="n">
        <v>45662</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27116-2024</t>
        </is>
      </c>
      <c r="B2411" s="1" t="n">
        <v>45471</v>
      </c>
      <c r="C2411" s="1" t="n">
        <v>45662</v>
      </c>
      <c r="D2411" t="inlineStr">
        <is>
          <t>VÄRMLANDS LÄN</t>
        </is>
      </c>
      <c r="E2411" t="inlineStr">
        <is>
          <t>TORSBY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27120-2024</t>
        </is>
      </c>
      <c r="B2412" s="1" t="n">
        <v>45471</v>
      </c>
      <c r="C2412" s="1" t="n">
        <v>45662</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27124-2024</t>
        </is>
      </c>
      <c r="B2413" s="1" t="n">
        <v>45471</v>
      </c>
      <c r="C2413" s="1" t="n">
        <v>45662</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27144-2024</t>
        </is>
      </c>
      <c r="B2414" s="1" t="n">
        <v>45471</v>
      </c>
      <c r="C2414" s="1" t="n">
        <v>45662</v>
      </c>
      <c r="D2414" t="inlineStr">
        <is>
          <t>VÄRMLANDS LÄN</t>
        </is>
      </c>
      <c r="E2414" t="inlineStr">
        <is>
          <t>TORSBY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27101-2024</t>
        </is>
      </c>
      <c r="B2415" s="1" t="n">
        <v>45471</v>
      </c>
      <c r="C2415" s="1" t="n">
        <v>45662</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27090-2024</t>
        </is>
      </c>
      <c r="B2416" s="1" t="n">
        <v>45471</v>
      </c>
      <c r="C2416" s="1" t="n">
        <v>45662</v>
      </c>
      <c r="D2416" t="inlineStr">
        <is>
          <t>VÄRMLANDS LÄN</t>
        </is>
      </c>
      <c r="E2416" t="inlineStr">
        <is>
          <t>TORSBY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27086-2024</t>
        </is>
      </c>
      <c r="B2417" s="1" t="n">
        <v>45471</v>
      </c>
      <c r="C2417" s="1" t="n">
        <v>45662</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27078-2024</t>
        </is>
      </c>
      <c r="B2418" s="1" t="n">
        <v>45471</v>
      </c>
      <c r="C2418" s="1" t="n">
        <v>45662</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27270-2024</t>
        </is>
      </c>
      <c r="B2419" s="1" t="n">
        <v>45471</v>
      </c>
      <c r="C2419" s="1" t="n">
        <v>45662</v>
      </c>
      <c r="D2419" t="inlineStr">
        <is>
          <t>VÄRMLANDS LÄN</t>
        </is>
      </c>
      <c r="E2419" t="inlineStr">
        <is>
          <t>TORSBY</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27291-2024</t>
        </is>
      </c>
      <c r="B2420" s="1" t="n">
        <v>45472</v>
      </c>
      <c r="C2420" s="1" t="n">
        <v>45662</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27096-2024</t>
        </is>
      </c>
      <c r="B2421" s="1" t="n">
        <v>45471</v>
      </c>
      <c r="C2421" s="1" t="n">
        <v>45662</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27273-2024</t>
        </is>
      </c>
      <c r="B2422" s="1" t="n">
        <v>45471</v>
      </c>
      <c r="C2422" s="1" t="n">
        <v>45662</v>
      </c>
      <c r="D2422" t="inlineStr">
        <is>
          <t>VÄRMLANDS LÄN</t>
        </is>
      </c>
      <c r="E2422" t="inlineStr">
        <is>
          <t>TORSBY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27038-2024</t>
        </is>
      </c>
      <c r="B2423" s="1" t="n">
        <v>45471</v>
      </c>
      <c r="C2423" s="1" t="n">
        <v>45662</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27275-2024</t>
        </is>
      </c>
      <c r="B2424" s="1" t="n">
        <v>45471</v>
      </c>
      <c r="C2424" s="1" t="n">
        <v>45662</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27292-2024</t>
        </is>
      </c>
      <c r="B2425" s="1" t="n">
        <v>45472</v>
      </c>
      <c r="C2425" s="1" t="n">
        <v>45662</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27363-2024</t>
        </is>
      </c>
      <c r="B2426" s="1" t="n">
        <v>45473</v>
      </c>
      <c r="C2426" s="1" t="n">
        <v>45662</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27347-2024</t>
        </is>
      </c>
      <c r="B2427" s="1" t="n">
        <v>45473</v>
      </c>
      <c r="C2427" s="1" t="n">
        <v>45662</v>
      </c>
      <c r="D2427" t="inlineStr">
        <is>
          <t>VÄRMLANDS LÄN</t>
        </is>
      </c>
      <c r="E2427" t="inlineStr">
        <is>
          <t>TORSBY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27360-2024</t>
        </is>
      </c>
      <c r="B2428" s="1" t="n">
        <v>45473</v>
      </c>
      <c r="C2428" s="1" t="n">
        <v>45662</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27352-2024</t>
        </is>
      </c>
      <c r="B2429" s="1" t="n">
        <v>45473</v>
      </c>
      <c r="C2429" s="1" t="n">
        <v>45662</v>
      </c>
      <c r="D2429" t="inlineStr">
        <is>
          <t>VÄRMLANDS LÄN</t>
        </is>
      </c>
      <c r="E2429" t="inlineStr">
        <is>
          <t>TORSBY</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27358-2024</t>
        </is>
      </c>
      <c r="B2430" s="1" t="n">
        <v>45473</v>
      </c>
      <c r="C2430" s="1" t="n">
        <v>45662</v>
      </c>
      <c r="D2430" t="inlineStr">
        <is>
          <t>VÄRMLANDS LÄN</t>
        </is>
      </c>
      <c r="E2430" t="inlineStr">
        <is>
          <t>TORSBY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27346-2024</t>
        </is>
      </c>
      <c r="B2431" s="1" t="n">
        <v>45473</v>
      </c>
      <c r="C2431" s="1" t="n">
        <v>45662</v>
      </c>
      <c r="D2431" t="inlineStr">
        <is>
          <t>VÄRMLANDS LÄN</t>
        </is>
      </c>
      <c r="E2431" t="inlineStr">
        <is>
          <t>TORSBY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27349-2024</t>
        </is>
      </c>
      <c r="B2432" s="1" t="n">
        <v>45473</v>
      </c>
      <c r="C2432" s="1" t="n">
        <v>45662</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27548-2024</t>
        </is>
      </c>
      <c r="B2433" s="1" t="n">
        <v>45474</v>
      </c>
      <c r="C2433" s="1" t="n">
        <v>45662</v>
      </c>
      <c r="D2433" t="inlineStr">
        <is>
          <t>VÄRMLANDS LÄN</t>
        </is>
      </c>
      <c r="E2433" t="inlineStr">
        <is>
          <t>TORSBY</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27615-2024</t>
        </is>
      </c>
      <c r="B2434" s="1" t="n">
        <v>45474</v>
      </c>
      <c r="C2434" s="1" t="n">
        <v>45662</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27554-2024</t>
        </is>
      </c>
      <c r="B2435" s="1" t="n">
        <v>45474</v>
      </c>
      <c r="C2435" s="1" t="n">
        <v>45662</v>
      </c>
      <c r="D2435" t="inlineStr">
        <is>
          <t>VÄRMLANDS LÄN</t>
        </is>
      </c>
      <c r="E2435" t="inlineStr">
        <is>
          <t>TORSBY</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27588-2024</t>
        </is>
      </c>
      <c r="B2436" s="1" t="n">
        <v>45474</v>
      </c>
      <c r="C2436" s="1" t="n">
        <v>45662</v>
      </c>
      <c r="D2436" t="inlineStr">
        <is>
          <t>VÄRMLANDS LÄN</t>
        </is>
      </c>
      <c r="E2436" t="inlineStr">
        <is>
          <t>TORSBY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27501-2024</t>
        </is>
      </c>
      <c r="B2437" s="1" t="n">
        <v>45474</v>
      </c>
      <c r="C2437" s="1" t="n">
        <v>45662</v>
      </c>
      <c r="D2437" t="inlineStr">
        <is>
          <t>VÄRMLANDS LÄN</t>
        </is>
      </c>
      <c r="E2437" t="inlineStr">
        <is>
          <t>TORSBY</t>
        </is>
      </c>
      <c r="F2437" t="inlineStr">
        <is>
          <t>Bergvik skog väst AB</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27529-2024</t>
        </is>
      </c>
      <c r="B2438" s="1" t="n">
        <v>45474</v>
      </c>
      <c r="C2438" s="1" t="n">
        <v>45662</v>
      </c>
      <c r="D2438" t="inlineStr">
        <is>
          <t>VÄRMLANDS LÄN</t>
        </is>
      </c>
      <c r="E2438" t="inlineStr">
        <is>
          <t>TORSBY</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27537-2024</t>
        </is>
      </c>
      <c r="B2439" s="1" t="n">
        <v>45474</v>
      </c>
      <c r="C2439" s="1" t="n">
        <v>45662</v>
      </c>
      <c r="D2439" t="inlineStr">
        <is>
          <t>VÄRMLANDS LÄN</t>
        </is>
      </c>
      <c r="E2439" t="inlineStr">
        <is>
          <t>TORSBY</t>
        </is>
      </c>
      <c r="F2439" t="inlineStr">
        <is>
          <t>Bergvik skog väst AB</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27573-2024</t>
        </is>
      </c>
      <c r="B2440" s="1" t="n">
        <v>45474</v>
      </c>
      <c r="C2440" s="1" t="n">
        <v>45662</v>
      </c>
      <c r="D2440" t="inlineStr">
        <is>
          <t>VÄRMLANDS LÄN</t>
        </is>
      </c>
      <c r="E2440" t="inlineStr">
        <is>
          <t>TORSBY</t>
        </is>
      </c>
      <c r="F2440" t="inlineStr">
        <is>
          <t>Bergvik skog väst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27790-2024</t>
        </is>
      </c>
      <c r="B2441" s="1" t="n">
        <v>45475</v>
      </c>
      <c r="C2441" s="1" t="n">
        <v>45662</v>
      </c>
      <c r="D2441" t="inlineStr">
        <is>
          <t>VÄRMLANDS LÄN</t>
        </is>
      </c>
      <c r="E2441" t="inlineStr">
        <is>
          <t>TORSBY</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27678-2024</t>
        </is>
      </c>
      <c r="B2442" s="1" t="n">
        <v>45475</v>
      </c>
      <c r="C2442" s="1" t="n">
        <v>45662</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27824-2024</t>
        </is>
      </c>
      <c r="B2443" s="1" t="n">
        <v>45475</v>
      </c>
      <c r="C2443" s="1" t="n">
        <v>45662</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27677-2024</t>
        </is>
      </c>
      <c r="B2444" s="1" t="n">
        <v>45475</v>
      </c>
      <c r="C2444" s="1" t="n">
        <v>45662</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28102-2024</t>
        </is>
      </c>
      <c r="B2445" s="1" t="n">
        <v>45476</v>
      </c>
      <c r="C2445" s="1" t="n">
        <v>45662</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28089-2024</t>
        </is>
      </c>
      <c r="B2446" s="1" t="n">
        <v>45476</v>
      </c>
      <c r="C2446" s="1" t="n">
        <v>45662</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28112-2024</t>
        </is>
      </c>
      <c r="B2447" s="1" t="n">
        <v>45476</v>
      </c>
      <c r="C2447" s="1" t="n">
        <v>45662</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28035-2024</t>
        </is>
      </c>
      <c r="B2448" s="1" t="n">
        <v>45476</v>
      </c>
      <c r="C2448" s="1" t="n">
        <v>45662</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28005-2024</t>
        </is>
      </c>
      <c r="B2449" s="1" t="n">
        <v>45476</v>
      </c>
      <c r="C2449" s="1" t="n">
        <v>45662</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28501-2024</t>
        </is>
      </c>
      <c r="B2450" s="1" t="n">
        <v>45478</v>
      </c>
      <c r="C2450" s="1" t="n">
        <v>45662</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28319-2024</t>
        </is>
      </c>
      <c r="B2451" s="1" t="n">
        <v>45477</v>
      </c>
      <c r="C2451" s="1" t="n">
        <v>45662</v>
      </c>
      <c r="D2451" t="inlineStr">
        <is>
          <t>VÄRMLANDS LÄN</t>
        </is>
      </c>
      <c r="E2451" t="inlineStr">
        <is>
          <t>TORSBY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28311-2024</t>
        </is>
      </c>
      <c r="B2452" s="1" t="n">
        <v>45477</v>
      </c>
      <c r="C2452" s="1" t="n">
        <v>45662</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28329-2024</t>
        </is>
      </c>
      <c r="B2453" s="1" t="n">
        <v>45477</v>
      </c>
      <c r="C2453" s="1" t="n">
        <v>45662</v>
      </c>
      <c r="D2453" t="inlineStr">
        <is>
          <t>VÄRMLANDS LÄN</t>
        </is>
      </c>
      <c r="E2453" t="inlineStr">
        <is>
          <t>TORSBY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28310-2024</t>
        </is>
      </c>
      <c r="B2454" s="1" t="n">
        <v>45477</v>
      </c>
      <c r="C2454" s="1" t="n">
        <v>45662</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28502-2024</t>
        </is>
      </c>
      <c r="B2455" s="1" t="n">
        <v>45478</v>
      </c>
      <c r="C2455" s="1" t="n">
        <v>45662</v>
      </c>
      <c r="D2455" t="inlineStr">
        <is>
          <t>VÄRMLANDS LÄN</t>
        </is>
      </c>
      <c r="E2455" t="inlineStr">
        <is>
          <t>TORSBY</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28249-2024</t>
        </is>
      </c>
      <c r="B2456" s="1" t="n">
        <v>45477</v>
      </c>
      <c r="C2456" s="1" t="n">
        <v>45662</v>
      </c>
      <c r="D2456" t="inlineStr">
        <is>
          <t>VÄRMLANDS LÄN</t>
        </is>
      </c>
      <c r="E2456" t="inlineStr">
        <is>
          <t>TORSBY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28364-2024</t>
        </is>
      </c>
      <c r="B2457" s="1" t="n">
        <v>45477</v>
      </c>
      <c r="C2457" s="1" t="n">
        <v>45662</v>
      </c>
      <c r="D2457" t="inlineStr">
        <is>
          <t>VÄRMLANDS LÄN</t>
        </is>
      </c>
      <c r="E2457" t="inlineStr">
        <is>
          <t>TORSBY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28284-2024</t>
        </is>
      </c>
      <c r="B2458" s="1" t="n">
        <v>45477</v>
      </c>
      <c r="C2458" s="1" t="n">
        <v>45662</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28539-2024</t>
        </is>
      </c>
      <c r="B2459" s="1" t="n">
        <v>45478</v>
      </c>
      <c r="C2459" s="1" t="n">
        <v>45662</v>
      </c>
      <c r="D2459" t="inlineStr">
        <is>
          <t>VÄRMLANDS LÄN</t>
        </is>
      </c>
      <c r="E2459" t="inlineStr">
        <is>
          <t>TORSBY</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28619-2024</t>
        </is>
      </c>
      <c r="B2460" s="1" t="n">
        <v>45478</v>
      </c>
      <c r="C2460" s="1" t="n">
        <v>45662</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28554-2024</t>
        </is>
      </c>
      <c r="B2461" s="1" t="n">
        <v>45478</v>
      </c>
      <c r="C2461" s="1" t="n">
        <v>45662</v>
      </c>
      <c r="D2461" t="inlineStr">
        <is>
          <t>VÄRMLANDS LÄN</t>
        </is>
      </c>
      <c r="E2461" t="inlineStr">
        <is>
          <t>TORSBY</t>
        </is>
      </c>
      <c r="F2461" t="inlineStr">
        <is>
          <t>Bergvik skog väst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28646-2024</t>
        </is>
      </c>
      <c r="B2462" s="1" t="n">
        <v>45478</v>
      </c>
      <c r="C2462" s="1" t="n">
        <v>45662</v>
      </c>
      <c r="D2462" t="inlineStr">
        <is>
          <t>VÄRMLANDS LÄN</t>
        </is>
      </c>
      <c r="E2462" t="inlineStr">
        <is>
          <t>TORSBY</t>
        </is>
      </c>
      <c r="F2462" t="inlineStr">
        <is>
          <t>Bergvik skog väst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28545-2024</t>
        </is>
      </c>
      <c r="B2463" s="1" t="n">
        <v>45478</v>
      </c>
      <c r="C2463" s="1" t="n">
        <v>45662</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28589-2024</t>
        </is>
      </c>
      <c r="B2464" s="1" t="n">
        <v>45478</v>
      </c>
      <c r="C2464" s="1" t="n">
        <v>45662</v>
      </c>
      <c r="D2464" t="inlineStr">
        <is>
          <t>VÄRMLANDS LÄN</t>
        </is>
      </c>
      <c r="E2464" t="inlineStr">
        <is>
          <t>TORSBY</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28624-2024</t>
        </is>
      </c>
      <c r="B2465" s="1" t="n">
        <v>45478</v>
      </c>
      <c r="C2465" s="1" t="n">
        <v>45662</v>
      </c>
      <c r="D2465" t="inlineStr">
        <is>
          <t>VÄRMLANDS LÄN</t>
        </is>
      </c>
      <c r="E2465" t="inlineStr">
        <is>
          <t>TORSBY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28673-2024</t>
        </is>
      </c>
      <c r="B2466" s="1" t="n">
        <v>45478</v>
      </c>
      <c r="C2466" s="1" t="n">
        <v>45662</v>
      </c>
      <c r="D2466" t="inlineStr">
        <is>
          <t>VÄRMLANDS LÄN</t>
        </is>
      </c>
      <c r="E2466" t="inlineStr">
        <is>
          <t>TORSBY</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28609-2024</t>
        </is>
      </c>
      <c r="B2467" s="1" t="n">
        <v>45478</v>
      </c>
      <c r="C2467" s="1" t="n">
        <v>45662</v>
      </c>
      <c r="D2467" t="inlineStr">
        <is>
          <t>VÄRMLANDS LÄN</t>
        </is>
      </c>
      <c r="E2467" t="inlineStr">
        <is>
          <t>TORSBY</t>
        </is>
      </c>
      <c r="F2467" t="inlineStr">
        <is>
          <t>Bergvik skog väst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28621-2024</t>
        </is>
      </c>
      <c r="B2468" s="1" t="n">
        <v>45478</v>
      </c>
      <c r="C2468" s="1" t="n">
        <v>45662</v>
      </c>
      <c r="D2468" t="inlineStr">
        <is>
          <t>VÄRMLANDS LÄN</t>
        </is>
      </c>
      <c r="E2468" t="inlineStr">
        <is>
          <t>TORSBY</t>
        </is>
      </c>
      <c r="F2468" t="inlineStr">
        <is>
          <t>Bergvik skog väst AB</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28637-2024</t>
        </is>
      </c>
      <c r="B2469" s="1" t="n">
        <v>45478</v>
      </c>
      <c r="C2469" s="1" t="n">
        <v>45662</v>
      </c>
      <c r="D2469" t="inlineStr">
        <is>
          <t>VÄRMLANDS LÄN</t>
        </is>
      </c>
      <c r="E2469" t="inlineStr">
        <is>
          <t>TORSBY</t>
        </is>
      </c>
      <c r="F2469" t="inlineStr">
        <is>
          <t>Bergvik skog väst AB</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28948-2024</t>
        </is>
      </c>
      <c r="B2470" s="1" t="n">
        <v>45481</v>
      </c>
      <c r="C2470" s="1" t="n">
        <v>45662</v>
      </c>
      <c r="D2470" t="inlineStr">
        <is>
          <t>VÄRMLANDS LÄN</t>
        </is>
      </c>
      <c r="E2470" t="inlineStr">
        <is>
          <t>TORSBY</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28987-2024</t>
        </is>
      </c>
      <c r="B2471" s="1" t="n">
        <v>45481</v>
      </c>
      <c r="C2471" s="1" t="n">
        <v>45662</v>
      </c>
      <c r="D2471" t="inlineStr">
        <is>
          <t>VÄRMLANDS LÄN</t>
        </is>
      </c>
      <c r="E2471" t="inlineStr">
        <is>
          <t>TORSBY</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29306-2024</t>
        </is>
      </c>
      <c r="B2472" s="1" t="n">
        <v>45483</v>
      </c>
      <c r="C2472" s="1" t="n">
        <v>45662</v>
      </c>
      <c r="D2472" t="inlineStr">
        <is>
          <t>VÄRMLANDS LÄN</t>
        </is>
      </c>
      <c r="E2472" t="inlineStr">
        <is>
          <t>TORSBY</t>
        </is>
      </c>
      <c r="F2472" t="inlineStr">
        <is>
          <t>Kyrkan</t>
        </is>
      </c>
      <c r="G2472" t="n">
        <v>18.3</v>
      </c>
      <c r="H2472" t="n">
        <v>0</v>
      </c>
      <c r="I2472" t="n">
        <v>0</v>
      </c>
      <c r="J2472" t="n">
        <v>0</v>
      </c>
      <c r="K2472" t="n">
        <v>0</v>
      </c>
      <c r="L2472" t="n">
        <v>0</v>
      </c>
      <c r="M2472" t="n">
        <v>0</v>
      </c>
      <c r="N2472" t="n">
        <v>0</v>
      </c>
      <c r="O2472" t="n">
        <v>0</v>
      </c>
      <c r="P2472" t="n">
        <v>0</v>
      </c>
      <c r="Q2472" t="n">
        <v>0</v>
      </c>
      <c r="R2472" s="2" t="inlineStr"/>
    </row>
    <row r="2473" ht="15" customHeight="1">
      <c r="A2473" t="inlineStr">
        <is>
          <t>A 29408-2024</t>
        </is>
      </c>
      <c r="B2473" s="1" t="n">
        <v>45483</v>
      </c>
      <c r="C2473" s="1" t="n">
        <v>45662</v>
      </c>
      <c r="D2473" t="inlineStr">
        <is>
          <t>VÄRMLANDS LÄN</t>
        </is>
      </c>
      <c r="E2473" t="inlineStr">
        <is>
          <t>TORSBY</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29375-2024</t>
        </is>
      </c>
      <c r="B2474" s="1" t="n">
        <v>45483</v>
      </c>
      <c r="C2474" s="1" t="n">
        <v>45662</v>
      </c>
      <c r="D2474" t="inlineStr">
        <is>
          <t>VÄRMLANDS LÄN</t>
        </is>
      </c>
      <c r="E2474" t="inlineStr">
        <is>
          <t>TORSBY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29541-2024</t>
        </is>
      </c>
      <c r="B2475" s="1" t="n">
        <v>45484</v>
      </c>
      <c r="C2475" s="1" t="n">
        <v>45662</v>
      </c>
      <c r="D2475" t="inlineStr">
        <is>
          <t>VÄRMLANDS LÄN</t>
        </is>
      </c>
      <c r="E2475" t="inlineStr">
        <is>
          <t>TORSBY</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29549-2024</t>
        </is>
      </c>
      <c r="B2476" s="1" t="n">
        <v>45484</v>
      </c>
      <c r="C2476" s="1" t="n">
        <v>45662</v>
      </c>
      <c r="D2476" t="inlineStr">
        <is>
          <t>VÄRMLANDS LÄN</t>
        </is>
      </c>
      <c r="E2476" t="inlineStr">
        <is>
          <t>TORSBY</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29593-2024</t>
        </is>
      </c>
      <c r="B2477" s="1" t="n">
        <v>45484</v>
      </c>
      <c r="C2477" s="1" t="n">
        <v>45662</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29535-2024</t>
        </is>
      </c>
      <c r="B2478" s="1" t="n">
        <v>45484</v>
      </c>
      <c r="C2478" s="1" t="n">
        <v>45662</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29559-2024</t>
        </is>
      </c>
      <c r="B2479" s="1" t="n">
        <v>45484</v>
      </c>
      <c r="C2479" s="1" t="n">
        <v>45662</v>
      </c>
      <c r="D2479" t="inlineStr">
        <is>
          <t>VÄRMLANDS LÄN</t>
        </is>
      </c>
      <c r="E2479" t="inlineStr">
        <is>
          <t>TORSBY</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29502-2024</t>
        </is>
      </c>
      <c r="B2480" s="1" t="n">
        <v>45484</v>
      </c>
      <c r="C2480" s="1" t="n">
        <v>45662</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29759-2024</t>
        </is>
      </c>
      <c r="B2481" s="1" t="n">
        <v>45485</v>
      </c>
      <c r="C2481" s="1" t="n">
        <v>45662</v>
      </c>
      <c r="D2481" t="inlineStr">
        <is>
          <t>VÄRMLANDS LÄN</t>
        </is>
      </c>
      <c r="E2481" t="inlineStr">
        <is>
          <t>TORSBY</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29852-2024</t>
        </is>
      </c>
      <c r="B2482" s="1" t="n">
        <v>45485</v>
      </c>
      <c r="C2482" s="1" t="n">
        <v>45662</v>
      </c>
      <c r="D2482" t="inlineStr">
        <is>
          <t>VÄRMLANDS LÄN</t>
        </is>
      </c>
      <c r="E2482" t="inlineStr">
        <is>
          <t>TORSBY</t>
        </is>
      </c>
      <c r="F2482" t="inlineStr">
        <is>
          <t>Bergvik skog väst AB</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29898-2024</t>
        </is>
      </c>
      <c r="B2483" s="1" t="n">
        <v>45487</v>
      </c>
      <c r="C2483" s="1" t="n">
        <v>45662</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29895-2024</t>
        </is>
      </c>
      <c r="B2484" s="1" t="n">
        <v>45487</v>
      </c>
      <c r="C2484" s="1" t="n">
        <v>45662</v>
      </c>
      <c r="D2484" t="inlineStr">
        <is>
          <t>VÄRMLANDS LÄN</t>
        </is>
      </c>
      <c r="E2484" t="inlineStr">
        <is>
          <t>TORSBY</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29897-2024</t>
        </is>
      </c>
      <c r="B2485" s="1" t="n">
        <v>45487</v>
      </c>
      <c r="C2485" s="1" t="n">
        <v>45662</v>
      </c>
      <c r="D2485" t="inlineStr">
        <is>
          <t>VÄRMLANDS LÄN</t>
        </is>
      </c>
      <c r="E2485" t="inlineStr">
        <is>
          <t>TORSBY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29936-2024</t>
        </is>
      </c>
      <c r="B2486" s="1" t="n">
        <v>45488</v>
      </c>
      <c r="C2486" s="1" t="n">
        <v>45662</v>
      </c>
      <c r="D2486" t="inlineStr">
        <is>
          <t>VÄRMLANDS LÄN</t>
        </is>
      </c>
      <c r="E2486" t="inlineStr">
        <is>
          <t>TORSBY</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29925-2024</t>
        </is>
      </c>
      <c r="B2487" s="1" t="n">
        <v>45488</v>
      </c>
      <c r="C2487" s="1" t="n">
        <v>45662</v>
      </c>
      <c r="D2487" t="inlineStr">
        <is>
          <t>VÄRMLANDS LÄN</t>
        </is>
      </c>
      <c r="E2487" t="inlineStr">
        <is>
          <t>TORSBY</t>
        </is>
      </c>
      <c r="F2487" t="inlineStr">
        <is>
          <t>Kyrkan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30002-2024</t>
        </is>
      </c>
      <c r="B2488" s="1" t="n">
        <v>45488</v>
      </c>
      <c r="C2488" s="1" t="n">
        <v>45662</v>
      </c>
      <c r="D2488" t="inlineStr">
        <is>
          <t>VÄRMLANDS LÄN</t>
        </is>
      </c>
      <c r="E2488" t="inlineStr">
        <is>
          <t>TORSBY</t>
        </is>
      </c>
      <c r="F2488" t="inlineStr">
        <is>
          <t>Kommuner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30011-2024</t>
        </is>
      </c>
      <c r="B2489" s="1" t="n">
        <v>45488</v>
      </c>
      <c r="C2489" s="1" t="n">
        <v>45662</v>
      </c>
      <c r="D2489" t="inlineStr">
        <is>
          <t>VÄRMLANDS LÄN</t>
        </is>
      </c>
      <c r="E2489" t="inlineStr">
        <is>
          <t>TORSBY</t>
        </is>
      </c>
      <c r="F2489" t="inlineStr">
        <is>
          <t>Kommuner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29926-2024</t>
        </is>
      </c>
      <c r="B2490" s="1" t="n">
        <v>45488</v>
      </c>
      <c r="C2490" s="1" t="n">
        <v>45662</v>
      </c>
      <c r="D2490" t="inlineStr">
        <is>
          <t>VÄRMLANDS LÄN</t>
        </is>
      </c>
      <c r="E2490" t="inlineStr">
        <is>
          <t>TORSBY</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30074-2024</t>
        </is>
      </c>
      <c r="B2491" s="1" t="n">
        <v>45489</v>
      </c>
      <c r="C2491" s="1" t="n">
        <v>45662</v>
      </c>
      <c r="D2491" t="inlineStr">
        <is>
          <t>VÄRMLANDS LÄN</t>
        </is>
      </c>
      <c r="E2491" t="inlineStr">
        <is>
          <t>TORSBY</t>
        </is>
      </c>
      <c r="F2491" t="inlineStr">
        <is>
          <t>Kyrkan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30267-2024</t>
        </is>
      </c>
      <c r="B2492" s="1" t="n">
        <v>45490</v>
      </c>
      <c r="C2492" s="1" t="n">
        <v>45662</v>
      </c>
      <c r="D2492" t="inlineStr">
        <is>
          <t>VÄRMLANDS LÄN</t>
        </is>
      </c>
      <c r="E2492" t="inlineStr">
        <is>
          <t>TORSBY</t>
        </is>
      </c>
      <c r="F2492" t="inlineStr">
        <is>
          <t>Bergvik skog väst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30403-2024</t>
        </is>
      </c>
      <c r="B2493" s="1" t="n">
        <v>45491</v>
      </c>
      <c r="C2493" s="1" t="n">
        <v>45662</v>
      </c>
      <c r="D2493" t="inlineStr">
        <is>
          <t>VÄRMLANDS LÄN</t>
        </is>
      </c>
      <c r="E2493" t="inlineStr">
        <is>
          <t>TORSBY</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30629-2024</t>
        </is>
      </c>
      <c r="B2494" s="1" t="n">
        <v>45495</v>
      </c>
      <c r="C2494" s="1" t="n">
        <v>45662</v>
      </c>
      <c r="D2494" t="inlineStr">
        <is>
          <t>VÄRMLANDS LÄN</t>
        </is>
      </c>
      <c r="E2494" t="inlineStr">
        <is>
          <t>TORSBY</t>
        </is>
      </c>
      <c r="F2494" t="inlineStr">
        <is>
          <t>Bergvik skog väst AB</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30718-2024</t>
        </is>
      </c>
      <c r="B2495" s="1" t="n">
        <v>45496</v>
      </c>
      <c r="C2495" s="1" t="n">
        <v>45662</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30706-2024</t>
        </is>
      </c>
      <c r="B2496" s="1" t="n">
        <v>45496</v>
      </c>
      <c r="C2496" s="1" t="n">
        <v>45662</v>
      </c>
      <c r="D2496" t="inlineStr">
        <is>
          <t>VÄRMLANDS LÄN</t>
        </is>
      </c>
      <c r="E2496" t="inlineStr">
        <is>
          <t>TORSBY</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30720-2024</t>
        </is>
      </c>
      <c r="B2497" s="1" t="n">
        <v>45496</v>
      </c>
      <c r="C2497" s="1" t="n">
        <v>45662</v>
      </c>
      <c r="D2497" t="inlineStr">
        <is>
          <t>VÄRMLANDS LÄN</t>
        </is>
      </c>
      <c r="E2497" t="inlineStr">
        <is>
          <t>TORSBY</t>
        </is>
      </c>
      <c r="F2497" t="inlineStr">
        <is>
          <t>Bergvik skog väst AB</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30700-2024</t>
        </is>
      </c>
      <c r="B2498" s="1" t="n">
        <v>45496</v>
      </c>
      <c r="C2498" s="1" t="n">
        <v>45662</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30696-2024</t>
        </is>
      </c>
      <c r="B2499" s="1" t="n">
        <v>45496</v>
      </c>
      <c r="C2499" s="1" t="n">
        <v>45662</v>
      </c>
      <c r="D2499" t="inlineStr">
        <is>
          <t>VÄRMLANDS LÄN</t>
        </is>
      </c>
      <c r="E2499" t="inlineStr">
        <is>
          <t>TORSBY</t>
        </is>
      </c>
      <c r="F2499" t="inlineStr">
        <is>
          <t>Bergvik skog väst AB</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30699-2024</t>
        </is>
      </c>
      <c r="B2500" s="1" t="n">
        <v>45496</v>
      </c>
      <c r="C2500" s="1" t="n">
        <v>45662</v>
      </c>
      <c r="D2500" t="inlineStr">
        <is>
          <t>VÄRMLANDS LÄN</t>
        </is>
      </c>
      <c r="E2500" t="inlineStr">
        <is>
          <t>TORSBY</t>
        </is>
      </c>
      <c r="F2500" t="inlineStr">
        <is>
          <t>Kyrkan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30705-2024</t>
        </is>
      </c>
      <c r="B2501" s="1" t="n">
        <v>45496</v>
      </c>
      <c r="C2501" s="1" t="n">
        <v>45662</v>
      </c>
      <c r="D2501" t="inlineStr">
        <is>
          <t>VÄRMLANDS LÄN</t>
        </is>
      </c>
      <c r="E2501" t="inlineStr">
        <is>
          <t>TORSBY</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30790-2024</t>
        </is>
      </c>
      <c r="B2502" s="1" t="n">
        <v>45497</v>
      </c>
      <c r="C2502" s="1" t="n">
        <v>45662</v>
      </c>
      <c r="D2502" t="inlineStr">
        <is>
          <t>VÄRMLANDS LÄN</t>
        </is>
      </c>
      <c r="E2502" t="inlineStr">
        <is>
          <t>TORSBY</t>
        </is>
      </c>
      <c r="G2502" t="n">
        <v>49.9</v>
      </c>
      <c r="H2502" t="n">
        <v>0</v>
      </c>
      <c r="I2502" t="n">
        <v>0</v>
      </c>
      <c r="J2502" t="n">
        <v>0</v>
      </c>
      <c r="K2502" t="n">
        <v>0</v>
      </c>
      <c r="L2502" t="n">
        <v>0</v>
      </c>
      <c r="M2502" t="n">
        <v>0</v>
      </c>
      <c r="N2502" t="n">
        <v>0</v>
      </c>
      <c r="O2502" t="n">
        <v>0</v>
      </c>
      <c r="P2502" t="n">
        <v>0</v>
      </c>
      <c r="Q2502" t="n">
        <v>0</v>
      </c>
      <c r="R2502" s="2" t="inlineStr"/>
    </row>
    <row r="2503" ht="15" customHeight="1">
      <c r="A2503" t="inlineStr">
        <is>
          <t>A 30789-2024</t>
        </is>
      </c>
      <c r="B2503" s="1" t="n">
        <v>45497</v>
      </c>
      <c r="C2503" s="1" t="n">
        <v>45662</v>
      </c>
      <c r="D2503" t="inlineStr">
        <is>
          <t>VÄRMLANDS LÄN</t>
        </is>
      </c>
      <c r="E2503" t="inlineStr">
        <is>
          <t>TORSBY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30803-2024</t>
        </is>
      </c>
      <c r="B2504" s="1" t="n">
        <v>45497</v>
      </c>
      <c r="C2504" s="1" t="n">
        <v>45662</v>
      </c>
      <c r="D2504" t="inlineStr">
        <is>
          <t>VÄRMLANDS LÄN</t>
        </is>
      </c>
      <c r="E2504" t="inlineStr">
        <is>
          <t>TORSBY</t>
        </is>
      </c>
      <c r="F2504" t="inlineStr">
        <is>
          <t>Kyrkan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30791-2024</t>
        </is>
      </c>
      <c r="B2505" s="1" t="n">
        <v>45497</v>
      </c>
      <c r="C2505" s="1" t="n">
        <v>45662</v>
      </c>
      <c r="D2505" t="inlineStr">
        <is>
          <t>VÄRMLANDS LÄN</t>
        </is>
      </c>
      <c r="E2505" t="inlineStr">
        <is>
          <t>TORSBY</t>
        </is>
      </c>
      <c r="G2505" t="n">
        <v>44.2</v>
      </c>
      <c r="H2505" t="n">
        <v>0</v>
      </c>
      <c r="I2505" t="n">
        <v>0</v>
      </c>
      <c r="J2505" t="n">
        <v>0</v>
      </c>
      <c r="K2505" t="n">
        <v>0</v>
      </c>
      <c r="L2505" t="n">
        <v>0</v>
      </c>
      <c r="M2505" t="n">
        <v>0</v>
      </c>
      <c r="N2505" t="n">
        <v>0</v>
      </c>
      <c r="O2505" t="n">
        <v>0</v>
      </c>
      <c r="P2505" t="n">
        <v>0</v>
      </c>
      <c r="Q2505" t="n">
        <v>0</v>
      </c>
      <c r="R2505" s="2" t="inlineStr"/>
    </row>
    <row r="2506" ht="15" customHeight="1">
      <c r="A2506" t="inlineStr">
        <is>
          <t>A 30873-2024</t>
        </is>
      </c>
      <c r="B2506" s="1" t="n">
        <v>45498</v>
      </c>
      <c r="C2506" s="1" t="n">
        <v>45662</v>
      </c>
      <c r="D2506" t="inlineStr">
        <is>
          <t>VÄRMLANDS LÄN</t>
        </is>
      </c>
      <c r="E2506" t="inlineStr">
        <is>
          <t>TORSBY</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30952-2024</t>
        </is>
      </c>
      <c r="B2507" s="1" t="n">
        <v>45499</v>
      </c>
      <c r="C2507" s="1" t="n">
        <v>45662</v>
      </c>
      <c r="D2507" t="inlineStr">
        <is>
          <t>VÄRMLANDS LÄN</t>
        </is>
      </c>
      <c r="E2507" t="inlineStr">
        <is>
          <t>TORSBY</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30947-2024</t>
        </is>
      </c>
      <c r="B2508" s="1" t="n">
        <v>45499</v>
      </c>
      <c r="C2508" s="1" t="n">
        <v>45662</v>
      </c>
      <c r="D2508" t="inlineStr">
        <is>
          <t>VÄRMLANDS LÄN</t>
        </is>
      </c>
      <c r="E2508" t="inlineStr">
        <is>
          <t>TORSBY</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31004-2024</t>
        </is>
      </c>
      <c r="B2509" s="1" t="n">
        <v>45499</v>
      </c>
      <c r="C2509" s="1" t="n">
        <v>45662</v>
      </c>
      <c r="D2509" t="inlineStr">
        <is>
          <t>VÄRMLANDS LÄN</t>
        </is>
      </c>
      <c r="E2509" t="inlineStr">
        <is>
          <t>TORSBY</t>
        </is>
      </c>
      <c r="F2509" t="inlineStr">
        <is>
          <t>Bergvik skog väst AB</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30942-2024</t>
        </is>
      </c>
      <c r="B2510" s="1" t="n">
        <v>45499</v>
      </c>
      <c r="C2510" s="1" t="n">
        <v>45662</v>
      </c>
      <c r="D2510" t="inlineStr">
        <is>
          <t>VÄRMLANDS LÄN</t>
        </is>
      </c>
      <c r="E2510" t="inlineStr">
        <is>
          <t>TORSBY</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31089-2024</t>
        </is>
      </c>
      <c r="B2511" s="1" t="n">
        <v>45502</v>
      </c>
      <c r="C2511" s="1" t="n">
        <v>45662</v>
      </c>
      <c r="D2511" t="inlineStr">
        <is>
          <t>VÄRMLANDS LÄN</t>
        </is>
      </c>
      <c r="E2511" t="inlineStr">
        <is>
          <t>TORSBY</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31158-2024</t>
        </is>
      </c>
      <c r="B2512" s="1" t="n">
        <v>45503</v>
      </c>
      <c r="C2512" s="1" t="n">
        <v>45662</v>
      </c>
      <c r="D2512" t="inlineStr">
        <is>
          <t>VÄRMLANDS LÄN</t>
        </is>
      </c>
      <c r="E2512" t="inlineStr">
        <is>
          <t>TORSBY</t>
        </is>
      </c>
      <c r="F2512" t="inlineStr">
        <is>
          <t>Kyrkan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31164-2024</t>
        </is>
      </c>
      <c r="B2513" s="1" t="n">
        <v>45503</v>
      </c>
      <c r="C2513" s="1" t="n">
        <v>45662</v>
      </c>
      <c r="D2513" t="inlineStr">
        <is>
          <t>VÄRMLANDS LÄN</t>
        </is>
      </c>
      <c r="E2513" t="inlineStr">
        <is>
          <t>TORSBY</t>
        </is>
      </c>
      <c r="F2513" t="inlineStr">
        <is>
          <t>Kyrkan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31285-2024</t>
        </is>
      </c>
      <c r="B2514" s="1" t="n">
        <v>45504</v>
      </c>
      <c r="C2514" s="1" t="n">
        <v>45662</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31289-2024</t>
        </is>
      </c>
      <c r="B2515" s="1" t="n">
        <v>45504</v>
      </c>
      <c r="C2515" s="1" t="n">
        <v>45662</v>
      </c>
      <c r="D2515" t="inlineStr">
        <is>
          <t>VÄRMLANDS LÄN</t>
        </is>
      </c>
      <c r="E2515" t="inlineStr">
        <is>
          <t>TORSBY</t>
        </is>
      </c>
      <c r="G2515" t="n">
        <v>16.8</v>
      </c>
      <c r="H2515" t="n">
        <v>0</v>
      </c>
      <c r="I2515" t="n">
        <v>0</v>
      </c>
      <c r="J2515" t="n">
        <v>0</v>
      </c>
      <c r="K2515" t="n">
        <v>0</v>
      </c>
      <c r="L2515" t="n">
        <v>0</v>
      </c>
      <c r="M2515" t="n">
        <v>0</v>
      </c>
      <c r="N2515" t="n">
        <v>0</v>
      </c>
      <c r="O2515" t="n">
        <v>0</v>
      </c>
      <c r="P2515" t="n">
        <v>0</v>
      </c>
      <c r="Q2515" t="n">
        <v>0</v>
      </c>
      <c r="R2515" s="2" t="inlineStr"/>
    </row>
    <row r="2516" ht="15" customHeight="1">
      <c r="A2516" t="inlineStr">
        <is>
          <t>A 31380-2024</t>
        </is>
      </c>
      <c r="B2516" s="1" t="n">
        <v>45505</v>
      </c>
      <c r="C2516" s="1" t="n">
        <v>45662</v>
      </c>
      <c r="D2516" t="inlineStr">
        <is>
          <t>VÄRMLANDS LÄN</t>
        </is>
      </c>
      <c r="E2516" t="inlineStr">
        <is>
          <t>TORSBY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31385-2024</t>
        </is>
      </c>
      <c r="B2517" s="1" t="n">
        <v>45505</v>
      </c>
      <c r="C2517" s="1" t="n">
        <v>45662</v>
      </c>
      <c r="D2517" t="inlineStr">
        <is>
          <t>VÄRMLANDS LÄN</t>
        </is>
      </c>
      <c r="E2517" t="inlineStr">
        <is>
          <t>TORSBY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31377-2024</t>
        </is>
      </c>
      <c r="B2518" s="1" t="n">
        <v>45505</v>
      </c>
      <c r="C2518" s="1" t="n">
        <v>45662</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31351-2024</t>
        </is>
      </c>
      <c r="B2519" s="1" t="n">
        <v>45505</v>
      </c>
      <c r="C2519" s="1" t="n">
        <v>45662</v>
      </c>
      <c r="D2519" t="inlineStr">
        <is>
          <t>VÄRMLANDS LÄN</t>
        </is>
      </c>
      <c r="E2519" t="inlineStr">
        <is>
          <t>TORSBY</t>
        </is>
      </c>
      <c r="F2519" t="inlineStr">
        <is>
          <t>Kyrkan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31767-2024</t>
        </is>
      </c>
      <c r="B2520" s="1" t="n">
        <v>45509</v>
      </c>
      <c r="C2520" s="1" t="n">
        <v>45662</v>
      </c>
      <c r="D2520" t="inlineStr">
        <is>
          <t>VÄRMLANDS LÄN</t>
        </is>
      </c>
      <c r="E2520" t="inlineStr">
        <is>
          <t>TORSBY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31716-2024</t>
        </is>
      </c>
      <c r="B2521" s="1" t="n">
        <v>45509</v>
      </c>
      <c r="C2521" s="1" t="n">
        <v>45662</v>
      </c>
      <c r="D2521" t="inlineStr">
        <is>
          <t>VÄRMLANDS LÄN</t>
        </is>
      </c>
      <c r="E2521" t="inlineStr">
        <is>
          <t>TORSBY</t>
        </is>
      </c>
      <c r="F2521" t="inlineStr">
        <is>
          <t>Bergvik skog väst AB</t>
        </is>
      </c>
      <c r="G2521" t="n">
        <v>19.3</v>
      </c>
      <c r="H2521" t="n">
        <v>0</v>
      </c>
      <c r="I2521" t="n">
        <v>0</v>
      </c>
      <c r="J2521" t="n">
        <v>0</v>
      </c>
      <c r="K2521" t="n">
        <v>0</v>
      </c>
      <c r="L2521" t="n">
        <v>0</v>
      </c>
      <c r="M2521" t="n">
        <v>0</v>
      </c>
      <c r="N2521" t="n">
        <v>0</v>
      </c>
      <c r="O2521" t="n">
        <v>0</v>
      </c>
      <c r="P2521" t="n">
        <v>0</v>
      </c>
      <c r="Q2521" t="n">
        <v>0</v>
      </c>
      <c r="R2521" s="2" t="inlineStr"/>
    </row>
    <row r="2522" ht="15" customHeight="1">
      <c r="A2522" t="inlineStr">
        <is>
          <t>A 31836-2024</t>
        </is>
      </c>
      <c r="B2522" s="1" t="n">
        <v>45509</v>
      </c>
      <c r="C2522" s="1" t="n">
        <v>45662</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31830-2024</t>
        </is>
      </c>
      <c r="B2523" s="1" t="n">
        <v>45509</v>
      </c>
      <c r="C2523" s="1" t="n">
        <v>45662</v>
      </c>
      <c r="D2523" t="inlineStr">
        <is>
          <t>VÄRMLANDS LÄN</t>
        </is>
      </c>
      <c r="E2523" t="inlineStr">
        <is>
          <t>TORSBY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31945-2024</t>
        </is>
      </c>
      <c r="B2524" s="1" t="n">
        <v>45510</v>
      </c>
      <c r="C2524" s="1" t="n">
        <v>45662</v>
      </c>
      <c r="D2524" t="inlineStr">
        <is>
          <t>VÄRMLANDS LÄN</t>
        </is>
      </c>
      <c r="E2524" t="inlineStr">
        <is>
          <t>TORSBY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32155-2024</t>
        </is>
      </c>
      <c r="B2525" s="1" t="n">
        <v>45511</v>
      </c>
      <c r="C2525" s="1" t="n">
        <v>45662</v>
      </c>
      <c r="D2525" t="inlineStr">
        <is>
          <t>VÄRMLANDS LÄN</t>
        </is>
      </c>
      <c r="E2525" t="inlineStr">
        <is>
          <t>TORSBY</t>
        </is>
      </c>
      <c r="F2525" t="inlineStr">
        <is>
          <t>Bergvik skog väst AB</t>
        </is>
      </c>
      <c r="G2525" t="n">
        <v>13.5</v>
      </c>
      <c r="H2525" t="n">
        <v>0</v>
      </c>
      <c r="I2525" t="n">
        <v>0</v>
      </c>
      <c r="J2525" t="n">
        <v>0</v>
      </c>
      <c r="K2525" t="n">
        <v>0</v>
      </c>
      <c r="L2525" t="n">
        <v>0</v>
      </c>
      <c r="M2525" t="n">
        <v>0</v>
      </c>
      <c r="N2525" t="n">
        <v>0</v>
      </c>
      <c r="O2525" t="n">
        <v>0</v>
      </c>
      <c r="P2525" t="n">
        <v>0</v>
      </c>
      <c r="Q2525" t="n">
        <v>0</v>
      </c>
      <c r="R2525" s="2" t="inlineStr"/>
    </row>
    <row r="2526" ht="15" customHeight="1">
      <c r="A2526" t="inlineStr">
        <is>
          <t>A 32138-2024</t>
        </is>
      </c>
      <c r="B2526" s="1" t="n">
        <v>45511</v>
      </c>
      <c r="C2526" s="1" t="n">
        <v>45662</v>
      </c>
      <c r="D2526" t="inlineStr">
        <is>
          <t>VÄRMLANDS LÄN</t>
        </is>
      </c>
      <c r="E2526" t="inlineStr">
        <is>
          <t>TORSBY</t>
        </is>
      </c>
      <c r="F2526" t="inlineStr">
        <is>
          <t>Bergvik skog väst AB</t>
        </is>
      </c>
      <c r="G2526" t="n">
        <v>26.3</v>
      </c>
      <c r="H2526" t="n">
        <v>0</v>
      </c>
      <c r="I2526" t="n">
        <v>0</v>
      </c>
      <c r="J2526" t="n">
        <v>0</v>
      </c>
      <c r="K2526" t="n">
        <v>0</v>
      </c>
      <c r="L2526" t="n">
        <v>0</v>
      </c>
      <c r="M2526" t="n">
        <v>0</v>
      </c>
      <c r="N2526" t="n">
        <v>0</v>
      </c>
      <c r="O2526" t="n">
        <v>0</v>
      </c>
      <c r="P2526" t="n">
        <v>0</v>
      </c>
      <c r="Q2526" t="n">
        <v>0</v>
      </c>
      <c r="R2526" s="2" t="inlineStr"/>
    </row>
    <row r="2527" ht="15" customHeight="1">
      <c r="A2527" t="inlineStr">
        <is>
          <t>A 32213-2024</t>
        </is>
      </c>
      <c r="B2527" s="1" t="n">
        <v>45511</v>
      </c>
      <c r="C2527" s="1" t="n">
        <v>45662</v>
      </c>
      <c r="D2527" t="inlineStr">
        <is>
          <t>VÄRMLANDS LÄN</t>
        </is>
      </c>
      <c r="E2527" t="inlineStr">
        <is>
          <t>TORSBY</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32314-2024</t>
        </is>
      </c>
      <c r="B2528" s="1" t="n">
        <v>45512</v>
      </c>
      <c r="C2528" s="1" t="n">
        <v>45662</v>
      </c>
      <c r="D2528" t="inlineStr">
        <is>
          <t>VÄRMLANDS LÄN</t>
        </is>
      </c>
      <c r="E2528" t="inlineStr">
        <is>
          <t>TORSBY</t>
        </is>
      </c>
      <c r="F2528" t="inlineStr">
        <is>
          <t>Bergvik skog väst AB</t>
        </is>
      </c>
      <c r="G2528" t="n">
        <v>35.1</v>
      </c>
      <c r="H2528" t="n">
        <v>0</v>
      </c>
      <c r="I2528" t="n">
        <v>0</v>
      </c>
      <c r="J2528" t="n">
        <v>0</v>
      </c>
      <c r="K2528" t="n">
        <v>0</v>
      </c>
      <c r="L2528" t="n">
        <v>0</v>
      </c>
      <c r="M2528" t="n">
        <v>0</v>
      </c>
      <c r="N2528" t="n">
        <v>0</v>
      </c>
      <c r="O2528" t="n">
        <v>0</v>
      </c>
      <c r="P2528" t="n">
        <v>0</v>
      </c>
      <c r="Q2528" t="n">
        <v>0</v>
      </c>
      <c r="R2528" s="2" t="inlineStr"/>
    </row>
    <row r="2529" ht="15" customHeight="1">
      <c r="A2529" t="inlineStr">
        <is>
          <t>A 32343-2024</t>
        </is>
      </c>
      <c r="B2529" s="1" t="n">
        <v>45512</v>
      </c>
      <c r="C2529" s="1" t="n">
        <v>45662</v>
      </c>
      <c r="D2529" t="inlineStr">
        <is>
          <t>VÄRMLANDS LÄN</t>
        </is>
      </c>
      <c r="E2529" t="inlineStr">
        <is>
          <t>TORSBY</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32340-2024</t>
        </is>
      </c>
      <c r="B2530" s="1" t="n">
        <v>45512</v>
      </c>
      <c r="C2530" s="1" t="n">
        <v>45662</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32319-2024</t>
        </is>
      </c>
      <c r="B2531" s="1" t="n">
        <v>45512</v>
      </c>
      <c r="C2531" s="1" t="n">
        <v>45662</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32588-2024</t>
        </is>
      </c>
      <c r="B2532" s="1" t="n">
        <v>45513</v>
      </c>
      <c r="C2532" s="1" t="n">
        <v>45662</v>
      </c>
      <c r="D2532" t="inlineStr">
        <is>
          <t>VÄRMLANDS LÄN</t>
        </is>
      </c>
      <c r="E2532" t="inlineStr">
        <is>
          <t>TORSBY</t>
        </is>
      </c>
      <c r="F2532" t="inlineStr">
        <is>
          <t>Bergvik skog väst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32603-2024</t>
        </is>
      </c>
      <c r="B2533" s="1" t="n">
        <v>45513</v>
      </c>
      <c r="C2533" s="1" t="n">
        <v>45662</v>
      </c>
      <c r="D2533" t="inlineStr">
        <is>
          <t>VÄRMLANDS LÄN</t>
        </is>
      </c>
      <c r="E2533" t="inlineStr">
        <is>
          <t>TORSBY</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32764-2024</t>
        </is>
      </c>
      <c r="B2534" s="1" t="n">
        <v>45515</v>
      </c>
      <c r="C2534" s="1" t="n">
        <v>45662</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32755-2024</t>
        </is>
      </c>
      <c r="B2535" s="1" t="n">
        <v>45515</v>
      </c>
      <c r="C2535" s="1" t="n">
        <v>45662</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32746-2024</t>
        </is>
      </c>
      <c r="B2536" s="1" t="n">
        <v>45515</v>
      </c>
      <c r="C2536" s="1" t="n">
        <v>45662</v>
      </c>
      <c r="D2536" t="inlineStr">
        <is>
          <t>VÄRMLANDS LÄN</t>
        </is>
      </c>
      <c r="E2536" t="inlineStr">
        <is>
          <t>TORSBY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32758-2024</t>
        </is>
      </c>
      <c r="B2537" s="1" t="n">
        <v>45515</v>
      </c>
      <c r="C2537" s="1" t="n">
        <v>45662</v>
      </c>
      <c r="D2537" t="inlineStr">
        <is>
          <t>VÄRMLANDS LÄN</t>
        </is>
      </c>
      <c r="E2537" t="inlineStr">
        <is>
          <t>TORSBY</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32845-2024</t>
        </is>
      </c>
      <c r="B2538" s="1" t="n">
        <v>45516</v>
      </c>
      <c r="C2538" s="1" t="n">
        <v>45662</v>
      </c>
      <c r="D2538" t="inlineStr">
        <is>
          <t>VÄRMLANDS LÄN</t>
        </is>
      </c>
      <c r="E2538" t="inlineStr">
        <is>
          <t>TORSBY</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32847-2024</t>
        </is>
      </c>
      <c r="B2539" s="1" t="n">
        <v>45516</v>
      </c>
      <c r="C2539" s="1" t="n">
        <v>45662</v>
      </c>
      <c r="D2539" t="inlineStr">
        <is>
          <t>VÄRMLANDS LÄN</t>
        </is>
      </c>
      <c r="E2539" t="inlineStr">
        <is>
          <t>TORSBY</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33088-2024</t>
        </is>
      </c>
      <c r="B2540" s="1" t="n">
        <v>45517</v>
      </c>
      <c r="C2540" s="1" t="n">
        <v>45662</v>
      </c>
      <c r="D2540" t="inlineStr">
        <is>
          <t>VÄRMLANDS LÄN</t>
        </is>
      </c>
      <c r="E2540" t="inlineStr">
        <is>
          <t>TORSBY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33078-2024</t>
        </is>
      </c>
      <c r="B2541" s="1" t="n">
        <v>45517</v>
      </c>
      <c r="C2541" s="1" t="n">
        <v>45662</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32973-2024</t>
        </is>
      </c>
      <c r="B2542" s="1" t="n">
        <v>45517</v>
      </c>
      <c r="C2542" s="1" t="n">
        <v>45662</v>
      </c>
      <c r="D2542" t="inlineStr">
        <is>
          <t>VÄRMLANDS LÄN</t>
        </is>
      </c>
      <c r="E2542" t="inlineStr">
        <is>
          <t>TORSBY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33085-2024</t>
        </is>
      </c>
      <c r="B2543" s="1" t="n">
        <v>45517</v>
      </c>
      <c r="C2543" s="1" t="n">
        <v>45662</v>
      </c>
      <c r="D2543" t="inlineStr">
        <is>
          <t>VÄRMLANDS LÄN</t>
        </is>
      </c>
      <c r="E2543" t="inlineStr">
        <is>
          <t>TORSBY</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33073-2024</t>
        </is>
      </c>
      <c r="B2544" s="1" t="n">
        <v>45517</v>
      </c>
      <c r="C2544" s="1" t="n">
        <v>45662</v>
      </c>
      <c r="D2544" t="inlineStr">
        <is>
          <t>VÄRMLANDS LÄN</t>
        </is>
      </c>
      <c r="E2544" t="inlineStr">
        <is>
          <t>TORSBY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32988-2024</t>
        </is>
      </c>
      <c r="B2545" s="1" t="n">
        <v>45517</v>
      </c>
      <c r="C2545" s="1" t="n">
        <v>45662</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32932-2024</t>
        </is>
      </c>
      <c r="B2546" s="1" t="n">
        <v>45517</v>
      </c>
      <c r="C2546" s="1" t="n">
        <v>45662</v>
      </c>
      <c r="D2546" t="inlineStr">
        <is>
          <t>VÄRMLANDS LÄN</t>
        </is>
      </c>
      <c r="E2546" t="inlineStr">
        <is>
          <t>TORSBY</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32936-2024</t>
        </is>
      </c>
      <c r="B2547" s="1" t="n">
        <v>45517</v>
      </c>
      <c r="C2547" s="1" t="n">
        <v>45662</v>
      </c>
      <c r="D2547" t="inlineStr">
        <is>
          <t>VÄRMLANDS LÄN</t>
        </is>
      </c>
      <c r="E2547" t="inlineStr">
        <is>
          <t>TORSBY</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32939-2024</t>
        </is>
      </c>
      <c r="B2548" s="1" t="n">
        <v>45517</v>
      </c>
      <c r="C2548" s="1" t="n">
        <v>45662</v>
      </c>
      <c r="D2548" t="inlineStr">
        <is>
          <t>VÄRMLANDS LÄN</t>
        </is>
      </c>
      <c r="E2548" t="inlineStr">
        <is>
          <t>TORSBY</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33185-2024</t>
        </is>
      </c>
      <c r="B2549" s="1" t="n">
        <v>45518</v>
      </c>
      <c r="C2549" s="1" t="n">
        <v>45662</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33293-2024</t>
        </is>
      </c>
      <c r="B2550" s="1" t="n">
        <v>45518</v>
      </c>
      <c r="C2550" s="1" t="n">
        <v>45662</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33218-2024</t>
        </is>
      </c>
      <c r="B2551" s="1" t="n">
        <v>45518</v>
      </c>
      <c r="C2551" s="1" t="n">
        <v>45662</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33232-2024</t>
        </is>
      </c>
      <c r="B2552" s="1" t="n">
        <v>45518</v>
      </c>
      <c r="C2552" s="1" t="n">
        <v>45662</v>
      </c>
      <c r="D2552" t="inlineStr">
        <is>
          <t>VÄRMLANDS LÄN</t>
        </is>
      </c>
      <c r="E2552" t="inlineStr">
        <is>
          <t>TORSBY</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33133-2024</t>
        </is>
      </c>
      <c r="B2553" s="1" t="n">
        <v>45518</v>
      </c>
      <c r="C2553" s="1" t="n">
        <v>45662</v>
      </c>
      <c r="D2553" t="inlineStr">
        <is>
          <t>VÄRMLANDS LÄN</t>
        </is>
      </c>
      <c r="E2553" t="inlineStr">
        <is>
          <t>TORSBY</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33227-2024</t>
        </is>
      </c>
      <c r="B2554" s="1" t="n">
        <v>45518</v>
      </c>
      <c r="C2554" s="1" t="n">
        <v>45662</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33220-2024</t>
        </is>
      </c>
      <c r="B2555" s="1" t="n">
        <v>45518</v>
      </c>
      <c r="C2555" s="1" t="n">
        <v>45662</v>
      </c>
      <c r="D2555" t="inlineStr">
        <is>
          <t>VÄRMLANDS LÄN</t>
        </is>
      </c>
      <c r="E2555" t="inlineStr">
        <is>
          <t>TORSBY</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33172-2024</t>
        </is>
      </c>
      <c r="B2556" s="1" t="n">
        <v>45518</v>
      </c>
      <c r="C2556" s="1" t="n">
        <v>45662</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33151-2024</t>
        </is>
      </c>
      <c r="B2557" s="1" t="n">
        <v>45518</v>
      </c>
      <c r="C2557" s="1" t="n">
        <v>45662</v>
      </c>
      <c r="D2557" t="inlineStr">
        <is>
          <t>VÄRMLANDS LÄN</t>
        </is>
      </c>
      <c r="E2557" t="inlineStr">
        <is>
          <t>TORSBY</t>
        </is>
      </c>
      <c r="F2557" t="inlineStr">
        <is>
          <t>Bergvik skog väst AB</t>
        </is>
      </c>
      <c r="G2557" t="n">
        <v>28.2</v>
      </c>
      <c r="H2557" t="n">
        <v>0</v>
      </c>
      <c r="I2557" t="n">
        <v>0</v>
      </c>
      <c r="J2557" t="n">
        <v>0</v>
      </c>
      <c r="K2557" t="n">
        <v>0</v>
      </c>
      <c r="L2557" t="n">
        <v>0</v>
      </c>
      <c r="M2557" t="n">
        <v>0</v>
      </c>
      <c r="N2557" t="n">
        <v>0</v>
      </c>
      <c r="O2557" t="n">
        <v>0</v>
      </c>
      <c r="P2557" t="n">
        <v>0</v>
      </c>
      <c r="Q2557" t="n">
        <v>0</v>
      </c>
      <c r="R2557" s="2" t="inlineStr"/>
    </row>
    <row r="2558" ht="15" customHeight="1">
      <c r="A2558" t="inlineStr">
        <is>
          <t>A 33338-2024</t>
        </is>
      </c>
      <c r="B2558" s="1" t="n">
        <v>45519</v>
      </c>
      <c r="C2558" s="1" t="n">
        <v>45662</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33370-2024</t>
        </is>
      </c>
      <c r="B2559" s="1" t="n">
        <v>45519</v>
      </c>
      <c r="C2559" s="1" t="n">
        <v>45662</v>
      </c>
      <c r="D2559" t="inlineStr">
        <is>
          <t>VÄRMLANDS LÄN</t>
        </is>
      </c>
      <c r="E2559" t="inlineStr">
        <is>
          <t>TORSBY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33337-2024</t>
        </is>
      </c>
      <c r="B2560" s="1" t="n">
        <v>45519</v>
      </c>
      <c r="C2560" s="1" t="n">
        <v>45662</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33341-2024</t>
        </is>
      </c>
      <c r="B2561" s="1" t="n">
        <v>45519</v>
      </c>
      <c r="C2561" s="1" t="n">
        <v>45662</v>
      </c>
      <c r="D2561" t="inlineStr">
        <is>
          <t>VÄRMLANDS LÄN</t>
        </is>
      </c>
      <c r="E2561" t="inlineStr">
        <is>
          <t>TORSBY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33425-2024</t>
        </is>
      </c>
      <c r="B2562" s="1" t="n">
        <v>45519</v>
      </c>
      <c r="C2562" s="1" t="n">
        <v>45662</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33429-2024</t>
        </is>
      </c>
      <c r="B2563" s="1" t="n">
        <v>45519</v>
      </c>
      <c r="C2563" s="1" t="n">
        <v>45662</v>
      </c>
      <c r="D2563" t="inlineStr">
        <is>
          <t>VÄRMLANDS LÄN</t>
        </is>
      </c>
      <c r="E2563" t="inlineStr">
        <is>
          <t>TORSBY</t>
        </is>
      </c>
      <c r="F2563" t="inlineStr">
        <is>
          <t>Bergvik skog väst AB</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33469-2024</t>
        </is>
      </c>
      <c r="B2564" s="1" t="n">
        <v>45519</v>
      </c>
      <c r="C2564" s="1" t="n">
        <v>45662</v>
      </c>
      <c r="D2564" t="inlineStr">
        <is>
          <t>VÄRMLANDS LÄN</t>
        </is>
      </c>
      <c r="E2564" t="inlineStr">
        <is>
          <t>TORSBY</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33546-2024</t>
        </is>
      </c>
      <c r="B2565" s="1" t="n">
        <v>45519</v>
      </c>
      <c r="C2565" s="1" t="n">
        <v>45662</v>
      </c>
      <c r="D2565" t="inlineStr">
        <is>
          <t>VÄRMLANDS LÄN</t>
        </is>
      </c>
      <c r="E2565" t="inlineStr">
        <is>
          <t>TORSBY</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33418-2024</t>
        </is>
      </c>
      <c r="B2566" s="1" t="n">
        <v>45519</v>
      </c>
      <c r="C2566" s="1" t="n">
        <v>45662</v>
      </c>
      <c r="D2566" t="inlineStr">
        <is>
          <t>VÄRMLANDS LÄN</t>
        </is>
      </c>
      <c r="E2566" t="inlineStr">
        <is>
          <t>TORSBY</t>
        </is>
      </c>
      <c r="F2566" t="inlineStr">
        <is>
          <t>Bergvik skog väst AB</t>
        </is>
      </c>
      <c r="G2566" t="n">
        <v>27.6</v>
      </c>
      <c r="H2566" t="n">
        <v>0</v>
      </c>
      <c r="I2566" t="n">
        <v>0</v>
      </c>
      <c r="J2566" t="n">
        <v>0</v>
      </c>
      <c r="K2566" t="n">
        <v>0</v>
      </c>
      <c r="L2566" t="n">
        <v>0</v>
      </c>
      <c r="M2566" t="n">
        <v>0</v>
      </c>
      <c r="N2566" t="n">
        <v>0</v>
      </c>
      <c r="O2566" t="n">
        <v>0</v>
      </c>
      <c r="P2566" t="n">
        <v>0</v>
      </c>
      <c r="Q2566" t="n">
        <v>0</v>
      </c>
      <c r="R2566" s="2" t="inlineStr"/>
    </row>
    <row r="2567" ht="15" customHeight="1">
      <c r="A2567" t="inlineStr">
        <is>
          <t>A 33511-2024</t>
        </is>
      </c>
      <c r="B2567" s="1" t="n">
        <v>45519</v>
      </c>
      <c r="C2567" s="1" t="n">
        <v>45662</v>
      </c>
      <c r="D2567" t="inlineStr">
        <is>
          <t>VÄRMLANDS LÄN</t>
        </is>
      </c>
      <c r="E2567" t="inlineStr">
        <is>
          <t>TORSBY</t>
        </is>
      </c>
      <c r="F2567" t="inlineStr">
        <is>
          <t>Bergvik skog väst AB</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33547-2024</t>
        </is>
      </c>
      <c r="B2568" s="1" t="n">
        <v>45519</v>
      </c>
      <c r="C2568" s="1" t="n">
        <v>45662</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33495-2024</t>
        </is>
      </c>
      <c r="B2569" s="1" t="n">
        <v>45519</v>
      </c>
      <c r="C2569" s="1" t="n">
        <v>45662</v>
      </c>
      <c r="D2569" t="inlineStr">
        <is>
          <t>VÄRMLANDS LÄN</t>
        </is>
      </c>
      <c r="E2569" t="inlineStr">
        <is>
          <t>TORSBY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33499-2024</t>
        </is>
      </c>
      <c r="B2570" s="1" t="n">
        <v>45519</v>
      </c>
      <c r="C2570" s="1" t="n">
        <v>45662</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33548-2024</t>
        </is>
      </c>
      <c r="B2571" s="1" t="n">
        <v>45519</v>
      </c>
      <c r="C2571" s="1" t="n">
        <v>45662</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33367-2024</t>
        </is>
      </c>
      <c r="B2572" s="1" t="n">
        <v>45519</v>
      </c>
      <c r="C2572" s="1" t="n">
        <v>45662</v>
      </c>
      <c r="D2572" t="inlineStr">
        <is>
          <t>VÄRMLANDS LÄN</t>
        </is>
      </c>
      <c r="E2572" t="inlineStr">
        <is>
          <t>TORSBY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33371-2024</t>
        </is>
      </c>
      <c r="B2573" s="1" t="n">
        <v>45519</v>
      </c>
      <c r="C2573" s="1" t="n">
        <v>45662</v>
      </c>
      <c r="D2573" t="inlineStr">
        <is>
          <t>VÄRMLANDS LÄN</t>
        </is>
      </c>
      <c r="E2573" t="inlineStr">
        <is>
          <t>TORSBY</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33521-2024</t>
        </is>
      </c>
      <c r="B2574" s="1" t="n">
        <v>45519</v>
      </c>
      <c r="C2574" s="1" t="n">
        <v>45662</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33620-2024</t>
        </is>
      </c>
      <c r="B2575" s="1" t="n">
        <v>45520</v>
      </c>
      <c r="C2575" s="1" t="n">
        <v>45662</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33649-2024</t>
        </is>
      </c>
      <c r="B2576" s="1" t="n">
        <v>45520</v>
      </c>
      <c r="C2576" s="1" t="n">
        <v>45662</v>
      </c>
      <c r="D2576" t="inlineStr">
        <is>
          <t>VÄRMLANDS LÄN</t>
        </is>
      </c>
      <c r="E2576" t="inlineStr">
        <is>
          <t>TORSBY</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33769-2024</t>
        </is>
      </c>
      <c r="B2577" s="1" t="n">
        <v>45520</v>
      </c>
      <c r="C2577" s="1" t="n">
        <v>45662</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33862-2024</t>
        </is>
      </c>
      <c r="B2578" s="1" t="n">
        <v>45520</v>
      </c>
      <c r="C2578" s="1" t="n">
        <v>45662</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33791-2024</t>
        </is>
      </c>
      <c r="B2579" s="1" t="n">
        <v>45520</v>
      </c>
      <c r="C2579" s="1" t="n">
        <v>45662</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33964-2024</t>
        </is>
      </c>
      <c r="B2580" s="1" t="n">
        <v>45523</v>
      </c>
      <c r="C2580" s="1" t="n">
        <v>45662</v>
      </c>
      <c r="D2580" t="inlineStr">
        <is>
          <t>VÄRMLANDS LÄN</t>
        </is>
      </c>
      <c r="E2580" t="inlineStr">
        <is>
          <t>TORSBY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34034-2024</t>
        </is>
      </c>
      <c r="B2581" s="1" t="n">
        <v>45523</v>
      </c>
      <c r="C2581" s="1" t="n">
        <v>45662</v>
      </c>
      <c r="D2581" t="inlineStr">
        <is>
          <t>VÄRMLANDS LÄN</t>
        </is>
      </c>
      <c r="E2581" t="inlineStr">
        <is>
          <t>TORSBY</t>
        </is>
      </c>
      <c r="F2581" t="inlineStr">
        <is>
          <t>Bergvik skog väst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34031-2024</t>
        </is>
      </c>
      <c r="B2582" s="1" t="n">
        <v>45523</v>
      </c>
      <c r="C2582" s="1" t="n">
        <v>45662</v>
      </c>
      <c r="D2582" t="inlineStr">
        <is>
          <t>VÄRMLANDS LÄN</t>
        </is>
      </c>
      <c r="E2582" t="inlineStr">
        <is>
          <t>TORSBY</t>
        </is>
      </c>
      <c r="F2582" t="inlineStr">
        <is>
          <t>Bergvik skog väst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34081-2024</t>
        </is>
      </c>
      <c r="B2583" s="1" t="n">
        <v>45523</v>
      </c>
      <c r="C2583" s="1" t="n">
        <v>45662</v>
      </c>
      <c r="D2583" t="inlineStr">
        <is>
          <t>VÄRMLANDS LÄN</t>
        </is>
      </c>
      <c r="E2583" t="inlineStr">
        <is>
          <t>TORSBY</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34093-2024</t>
        </is>
      </c>
      <c r="B2584" s="1" t="n">
        <v>45523</v>
      </c>
      <c r="C2584" s="1" t="n">
        <v>45662</v>
      </c>
      <c r="D2584" t="inlineStr">
        <is>
          <t>VÄRMLANDS LÄN</t>
        </is>
      </c>
      <c r="E2584" t="inlineStr">
        <is>
          <t>TORSBY</t>
        </is>
      </c>
      <c r="F2584" t="inlineStr">
        <is>
          <t>Bergvik skog väst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34207-2024</t>
        </is>
      </c>
      <c r="B2585" s="1" t="n">
        <v>45524</v>
      </c>
      <c r="C2585" s="1" t="n">
        <v>45662</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34219-2024</t>
        </is>
      </c>
      <c r="B2586" s="1" t="n">
        <v>45524</v>
      </c>
      <c r="C2586" s="1" t="n">
        <v>45662</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34164-2024</t>
        </is>
      </c>
      <c r="B2587" s="1" t="n">
        <v>45524</v>
      </c>
      <c r="C2587" s="1" t="n">
        <v>45662</v>
      </c>
      <c r="D2587" t="inlineStr">
        <is>
          <t>VÄRMLANDS LÄN</t>
        </is>
      </c>
      <c r="E2587" t="inlineStr">
        <is>
          <t>TORSBY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34226-2024</t>
        </is>
      </c>
      <c r="B2588" s="1" t="n">
        <v>45524</v>
      </c>
      <c r="C2588" s="1" t="n">
        <v>45662</v>
      </c>
      <c r="D2588" t="inlineStr">
        <is>
          <t>VÄRMLANDS LÄN</t>
        </is>
      </c>
      <c r="E2588" t="inlineStr">
        <is>
          <t>TORSBY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34206-2024</t>
        </is>
      </c>
      <c r="B2589" s="1" t="n">
        <v>45524</v>
      </c>
      <c r="C2589" s="1" t="n">
        <v>45662</v>
      </c>
      <c r="D2589" t="inlineStr">
        <is>
          <t>VÄRMLANDS LÄN</t>
        </is>
      </c>
      <c r="E2589" t="inlineStr">
        <is>
          <t>TORSBY</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34236-2024</t>
        </is>
      </c>
      <c r="B2590" s="1" t="n">
        <v>45524</v>
      </c>
      <c r="C2590" s="1" t="n">
        <v>45662</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34256-2024</t>
        </is>
      </c>
      <c r="B2591" s="1" t="n">
        <v>45524</v>
      </c>
      <c r="C2591" s="1" t="n">
        <v>45662</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34281-2024</t>
        </is>
      </c>
      <c r="B2592" s="1" t="n">
        <v>45524</v>
      </c>
      <c r="C2592" s="1" t="n">
        <v>45662</v>
      </c>
      <c r="D2592" t="inlineStr">
        <is>
          <t>VÄRMLANDS LÄN</t>
        </is>
      </c>
      <c r="E2592" t="inlineStr">
        <is>
          <t>TORSBY</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34304-2024</t>
        </is>
      </c>
      <c r="B2593" s="1" t="n">
        <v>45524</v>
      </c>
      <c r="C2593" s="1" t="n">
        <v>45662</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34500-2024</t>
        </is>
      </c>
      <c r="B2594" s="1" t="n">
        <v>45525</v>
      </c>
      <c r="C2594" s="1" t="n">
        <v>45662</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34534-2024</t>
        </is>
      </c>
      <c r="B2595" s="1" t="n">
        <v>45525</v>
      </c>
      <c r="C2595" s="1" t="n">
        <v>45662</v>
      </c>
      <c r="D2595" t="inlineStr">
        <is>
          <t>VÄRMLANDS LÄN</t>
        </is>
      </c>
      <c r="E2595" t="inlineStr">
        <is>
          <t>TORSBY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34528-2024</t>
        </is>
      </c>
      <c r="B2596" s="1" t="n">
        <v>45525</v>
      </c>
      <c r="C2596" s="1" t="n">
        <v>45662</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34554-2024</t>
        </is>
      </c>
      <c r="B2597" s="1" t="n">
        <v>45525</v>
      </c>
      <c r="C2597" s="1" t="n">
        <v>45662</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34472-2024</t>
        </is>
      </c>
      <c r="B2598" s="1" t="n">
        <v>45525</v>
      </c>
      <c r="C2598" s="1" t="n">
        <v>45662</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34549-2024</t>
        </is>
      </c>
      <c r="B2599" s="1" t="n">
        <v>45525</v>
      </c>
      <c r="C2599" s="1" t="n">
        <v>45662</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34551-2024</t>
        </is>
      </c>
      <c r="B2600" s="1" t="n">
        <v>45525</v>
      </c>
      <c r="C2600" s="1" t="n">
        <v>45662</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34680-2024</t>
        </is>
      </c>
      <c r="B2601" s="1" t="n">
        <v>45526</v>
      </c>
      <c r="C2601" s="1" t="n">
        <v>45662</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34568-2024</t>
        </is>
      </c>
      <c r="B2602" s="1" t="n">
        <v>45526</v>
      </c>
      <c r="C2602" s="1" t="n">
        <v>45662</v>
      </c>
      <c r="D2602" t="inlineStr">
        <is>
          <t>VÄRMLANDS LÄN</t>
        </is>
      </c>
      <c r="E2602" t="inlineStr">
        <is>
          <t>TORSBY</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34573-2024</t>
        </is>
      </c>
      <c r="B2603" s="1" t="n">
        <v>45526</v>
      </c>
      <c r="C2603" s="1" t="n">
        <v>45662</v>
      </c>
      <c r="D2603" t="inlineStr">
        <is>
          <t>VÄRMLANDS LÄN</t>
        </is>
      </c>
      <c r="E2603" t="inlineStr">
        <is>
          <t>TORSBY</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34697-2024</t>
        </is>
      </c>
      <c r="B2604" s="1" t="n">
        <v>45526</v>
      </c>
      <c r="C2604" s="1" t="n">
        <v>45662</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34717-2024</t>
        </is>
      </c>
      <c r="B2605" s="1" t="n">
        <v>45526</v>
      </c>
      <c r="C2605" s="1" t="n">
        <v>45662</v>
      </c>
      <c r="D2605" t="inlineStr">
        <is>
          <t>VÄRMLANDS LÄN</t>
        </is>
      </c>
      <c r="E2605" t="inlineStr">
        <is>
          <t>TORSBY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34824-2024</t>
        </is>
      </c>
      <c r="B2606" s="1" t="n">
        <v>45526</v>
      </c>
      <c r="C2606" s="1" t="n">
        <v>45662</v>
      </c>
      <c r="D2606" t="inlineStr">
        <is>
          <t>VÄRMLANDS LÄN</t>
        </is>
      </c>
      <c r="E2606" t="inlineStr">
        <is>
          <t>TORSBY</t>
        </is>
      </c>
      <c r="F2606" t="inlineStr">
        <is>
          <t>Bergvik skog väst AB</t>
        </is>
      </c>
      <c r="G2606" t="n">
        <v>27.5</v>
      </c>
      <c r="H2606" t="n">
        <v>0</v>
      </c>
      <c r="I2606" t="n">
        <v>0</v>
      </c>
      <c r="J2606" t="n">
        <v>0</v>
      </c>
      <c r="K2606" t="n">
        <v>0</v>
      </c>
      <c r="L2606" t="n">
        <v>0</v>
      </c>
      <c r="M2606" t="n">
        <v>0</v>
      </c>
      <c r="N2606" t="n">
        <v>0</v>
      </c>
      <c r="O2606" t="n">
        <v>0</v>
      </c>
      <c r="P2606" t="n">
        <v>0</v>
      </c>
      <c r="Q2606" t="n">
        <v>0</v>
      </c>
      <c r="R2606" s="2" t="inlineStr"/>
    </row>
    <row r="2607" ht="15" customHeight="1">
      <c r="A2607" t="inlineStr">
        <is>
          <t>A 34686-2024</t>
        </is>
      </c>
      <c r="B2607" s="1" t="n">
        <v>45526</v>
      </c>
      <c r="C2607" s="1" t="n">
        <v>45662</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35019-2024</t>
        </is>
      </c>
      <c r="B2608" s="1" t="n">
        <v>45527</v>
      </c>
      <c r="C2608" s="1" t="n">
        <v>45662</v>
      </c>
      <c r="D2608" t="inlineStr">
        <is>
          <t>VÄRMLANDS LÄN</t>
        </is>
      </c>
      <c r="E2608" t="inlineStr">
        <is>
          <t>TORSBY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35075-2024</t>
        </is>
      </c>
      <c r="B2609" s="1" t="n">
        <v>45527</v>
      </c>
      <c r="C2609" s="1" t="n">
        <v>45662</v>
      </c>
      <c r="D2609" t="inlineStr">
        <is>
          <t>VÄRMLANDS LÄN</t>
        </is>
      </c>
      <c r="E2609" t="inlineStr">
        <is>
          <t>TORSBY</t>
        </is>
      </c>
      <c r="F2609" t="inlineStr">
        <is>
          <t>Bergvik skog väst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34970-2024</t>
        </is>
      </c>
      <c r="B2610" s="1" t="n">
        <v>45527</v>
      </c>
      <c r="C2610" s="1" t="n">
        <v>45662</v>
      </c>
      <c r="D2610" t="inlineStr">
        <is>
          <t>VÄRMLANDS LÄN</t>
        </is>
      </c>
      <c r="E2610" t="inlineStr">
        <is>
          <t>TORSBY</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34966-2024</t>
        </is>
      </c>
      <c r="B2611" s="1" t="n">
        <v>45527</v>
      </c>
      <c r="C2611" s="1" t="n">
        <v>45662</v>
      </c>
      <c r="D2611" t="inlineStr">
        <is>
          <t>VÄRMLANDS LÄN</t>
        </is>
      </c>
      <c r="E2611" t="inlineStr">
        <is>
          <t>TORSBY</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34958-2024</t>
        </is>
      </c>
      <c r="B2612" s="1" t="n">
        <v>45527</v>
      </c>
      <c r="C2612" s="1" t="n">
        <v>45662</v>
      </c>
      <c r="D2612" t="inlineStr">
        <is>
          <t>VÄRMLANDS LÄN</t>
        </is>
      </c>
      <c r="E2612" t="inlineStr">
        <is>
          <t>TORSBY</t>
        </is>
      </c>
      <c r="F2612" t="inlineStr">
        <is>
          <t>Bergvik skog väst AB</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34946-2024</t>
        </is>
      </c>
      <c r="B2613" s="1" t="n">
        <v>45527</v>
      </c>
      <c r="C2613" s="1" t="n">
        <v>45662</v>
      </c>
      <c r="D2613" t="inlineStr">
        <is>
          <t>VÄRMLANDS LÄN</t>
        </is>
      </c>
      <c r="E2613" t="inlineStr">
        <is>
          <t>TORSBY</t>
        </is>
      </c>
      <c r="F2613" t="inlineStr">
        <is>
          <t>Bergvik skog väst AB</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34906-2024</t>
        </is>
      </c>
      <c r="B2614" s="1" t="n">
        <v>45527</v>
      </c>
      <c r="C2614" s="1" t="n">
        <v>45662</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35066-2024</t>
        </is>
      </c>
      <c r="B2615" s="1" t="n">
        <v>45527</v>
      </c>
      <c r="C2615" s="1" t="n">
        <v>45662</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34961-2024</t>
        </is>
      </c>
      <c r="B2616" s="1" t="n">
        <v>45527</v>
      </c>
      <c r="C2616" s="1" t="n">
        <v>45662</v>
      </c>
      <c r="D2616" t="inlineStr">
        <is>
          <t>VÄRMLANDS LÄN</t>
        </is>
      </c>
      <c r="E2616" t="inlineStr">
        <is>
          <t>TORSBY</t>
        </is>
      </c>
      <c r="F2616" t="inlineStr">
        <is>
          <t>Bergvik skog väst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34921-2024</t>
        </is>
      </c>
      <c r="B2617" s="1" t="n">
        <v>45527</v>
      </c>
      <c r="C2617" s="1" t="n">
        <v>45662</v>
      </c>
      <c r="D2617" t="inlineStr">
        <is>
          <t>VÄRMLANDS LÄN</t>
        </is>
      </c>
      <c r="E2617" t="inlineStr">
        <is>
          <t>TORSBY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34968-2024</t>
        </is>
      </c>
      <c r="B2618" s="1" t="n">
        <v>45527</v>
      </c>
      <c r="C2618" s="1" t="n">
        <v>45662</v>
      </c>
      <c r="D2618" t="inlineStr">
        <is>
          <t>VÄRMLANDS LÄN</t>
        </is>
      </c>
      <c r="E2618" t="inlineStr">
        <is>
          <t>TORSBY</t>
        </is>
      </c>
      <c r="F2618" t="inlineStr">
        <is>
          <t>Bergvik skog väst AB</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34939-2024</t>
        </is>
      </c>
      <c r="B2619" s="1" t="n">
        <v>45527</v>
      </c>
      <c r="C2619" s="1" t="n">
        <v>45662</v>
      </c>
      <c r="D2619" t="inlineStr">
        <is>
          <t>VÄRMLANDS LÄN</t>
        </is>
      </c>
      <c r="E2619" t="inlineStr">
        <is>
          <t>TORSBY</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35107-2024</t>
        </is>
      </c>
      <c r="B2620" s="1" t="n">
        <v>45529</v>
      </c>
      <c r="C2620" s="1" t="n">
        <v>45662</v>
      </c>
      <c r="D2620" t="inlineStr">
        <is>
          <t>VÄRMLANDS LÄN</t>
        </is>
      </c>
      <c r="E2620" t="inlineStr">
        <is>
          <t>TORSBY</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35524-2024</t>
        </is>
      </c>
      <c r="B2621" s="1" t="n">
        <v>45531</v>
      </c>
      <c r="C2621" s="1" t="n">
        <v>45662</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35493-2024</t>
        </is>
      </c>
      <c r="B2622" s="1" t="n">
        <v>45531</v>
      </c>
      <c r="C2622" s="1" t="n">
        <v>45662</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35497-2024</t>
        </is>
      </c>
      <c r="B2623" s="1" t="n">
        <v>45531</v>
      </c>
      <c r="C2623" s="1" t="n">
        <v>45662</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35609-2024</t>
        </is>
      </c>
      <c r="B2624" s="1" t="n">
        <v>45531</v>
      </c>
      <c r="C2624" s="1" t="n">
        <v>45662</v>
      </c>
      <c r="D2624" t="inlineStr">
        <is>
          <t>VÄRMLANDS LÄN</t>
        </is>
      </c>
      <c r="E2624" t="inlineStr">
        <is>
          <t>TORSBY</t>
        </is>
      </c>
      <c r="G2624" t="n">
        <v>38.3</v>
      </c>
      <c r="H2624" t="n">
        <v>0</v>
      </c>
      <c r="I2624" t="n">
        <v>0</v>
      </c>
      <c r="J2624" t="n">
        <v>0</v>
      </c>
      <c r="K2624" t="n">
        <v>0</v>
      </c>
      <c r="L2624" t="n">
        <v>0</v>
      </c>
      <c r="M2624" t="n">
        <v>0</v>
      </c>
      <c r="N2624" t="n">
        <v>0</v>
      </c>
      <c r="O2624" t="n">
        <v>0</v>
      </c>
      <c r="P2624" t="n">
        <v>0</v>
      </c>
      <c r="Q2624" t="n">
        <v>0</v>
      </c>
      <c r="R2624" s="2" t="inlineStr"/>
    </row>
    <row r="2625" ht="15" customHeight="1">
      <c r="A2625" t="inlineStr">
        <is>
          <t>A 35632-2024</t>
        </is>
      </c>
      <c r="B2625" s="1" t="n">
        <v>45531</v>
      </c>
      <c r="C2625" s="1" t="n">
        <v>45662</v>
      </c>
      <c r="D2625" t="inlineStr">
        <is>
          <t>VÄRMLANDS LÄN</t>
        </is>
      </c>
      <c r="E2625" t="inlineStr">
        <is>
          <t>TORSBY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35762-2024</t>
        </is>
      </c>
      <c r="B2626" s="1" t="n">
        <v>45532</v>
      </c>
      <c r="C2626" s="1" t="n">
        <v>45662</v>
      </c>
      <c r="D2626" t="inlineStr">
        <is>
          <t>VÄRMLANDS LÄN</t>
        </is>
      </c>
      <c r="E2626" t="inlineStr">
        <is>
          <t>TORSBY</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35774-2024</t>
        </is>
      </c>
      <c r="B2627" s="1" t="n">
        <v>45532</v>
      </c>
      <c r="C2627" s="1" t="n">
        <v>45662</v>
      </c>
      <c r="D2627" t="inlineStr">
        <is>
          <t>VÄRMLANDS LÄN</t>
        </is>
      </c>
      <c r="E2627" t="inlineStr">
        <is>
          <t>TORSBY</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35787-2024</t>
        </is>
      </c>
      <c r="B2628" s="1" t="n">
        <v>45532</v>
      </c>
      <c r="C2628" s="1" t="n">
        <v>45662</v>
      </c>
      <c r="D2628" t="inlineStr">
        <is>
          <t>VÄRMLANDS LÄN</t>
        </is>
      </c>
      <c r="E2628" t="inlineStr">
        <is>
          <t>TORSBY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35769-2024</t>
        </is>
      </c>
      <c r="B2629" s="1" t="n">
        <v>45532</v>
      </c>
      <c r="C2629" s="1" t="n">
        <v>45662</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35777-2024</t>
        </is>
      </c>
      <c r="B2630" s="1" t="n">
        <v>45532</v>
      </c>
      <c r="C2630" s="1" t="n">
        <v>45662</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35967-2024</t>
        </is>
      </c>
      <c r="B2631" s="1" t="n">
        <v>45533</v>
      </c>
      <c r="C2631" s="1" t="n">
        <v>45662</v>
      </c>
      <c r="D2631" t="inlineStr">
        <is>
          <t>VÄRMLANDS LÄN</t>
        </is>
      </c>
      <c r="E2631" t="inlineStr">
        <is>
          <t>TORSBY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36057-2024</t>
        </is>
      </c>
      <c r="B2632" s="1" t="n">
        <v>45533</v>
      </c>
      <c r="C2632" s="1" t="n">
        <v>45662</v>
      </c>
      <c r="D2632" t="inlineStr">
        <is>
          <t>VÄRMLANDS LÄN</t>
        </is>
      </c>
      <c r="E2632" t="inlineStr">
        <is>
          <t>TORSBY</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36153-2024</t>
        </is>
      </c>
      <c r="B2633" s="1" t="n">
        <v>45534</v>
      </c>
      <c r="C2633" s="1" t="n">
        <v>45662</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36175-2024</t>
        </is>
      </c>
      <c r="B2634" s="1" t="n">
        <v>45534</v>
      </c>
      <c r="C2634" s="1" t="n">
        <v>45662</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36184-2024</t>
        </is>
      </c>
      <c r="B2635" s="1" t="n">
        <v>45534</v>
      </c>
      <c r="C2635" s="1" t="n">
        <v>45662</v>
      </c>
      <c r="D2635" t="inlineStr">
        <is>
          <t>VÄRMLANDS LÄN</t>
        </is>
      </c>
      <c r="E2635" t="inlineStr">
        <is>
          <t>TORSBY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36419-2024</t>
        </is>
      </c>
      <c r="B2636" s="1" t="n">
        <v>45536</v>
      </c>
      <c r="C2636" s="1" t="n">
        <v>45662</v>
      </c>
      <c r="D2636" t="inlineStr">
        <is>
          <t>VÄRMLANDS LÄN</t>
        </is>
      </c>
      <c r="E2636" t="inlineStr">
        <is>
          <t>TORSBY</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36558-2024</t>
        </is>
      </c>
      <c r="B2637" s="1" t="n">
        <v>45537</v>
      </c>
      <c r="C2637" s="1" t="n">
        <v>45662</v>
      </c>
      <c r="D2637" t="inlineStr">
        <is>
          <t>VÄRMLANDS LÄN</t>
        </is>
      </c>
      <c r="E2637" t="inlineStr">
        <is>
          <t>TORSBY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36578-2024</t>
        </is>
      </c>
      <c r="B2638" s="1" t="n">
        <v>45537</v>
      </c>
      <c r="C2638" s="1" t="n">
        <v>45662</v>
      </c>
      <c r="D2638" t="inlineStr">
        <is>
          <t>VÄRMLANDS LÄN</t>
        </is>
      </c>
      <c r="E2638" t="inlineStr">
        <is>
          <t>TORSBY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36540-2024</t>
        </is>
      </c>
      <c r="B2639" s="1" t="n">
        <v>45537</v>
      </c>
      <c r="C2639" s="1" t="n">
        <v>45662</v>
      </c>
      <c r="D2639" t="inlineStr">
        <is>
          <t>VÄRMLANDS LÄN</t>
        </is>
      </c>
      <c r="E2639" t="inlineStr">
        <is>
          <t>TORSBY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36445-2024</t>
        </is>
      </c>
      <c r="B2640" s="1" t="n">
        <v>45537</v>
      </c>
      <c r="C2640" s="1" t="n">
        <v>45662</v>
      </c>
      <c r="D2640" t="inlineStr">
        <is>
          <t>VÄRMLANDS LÄN</t>
        </is>
      </c>
      <c r="E2640" t="inlineStr">
        <is>
          <t>TORSBY</t>
        </is>
      </c>
      <c r="F2640" t="inlineStr">
        <is>
          <t>Bergvik skog väst AB</t>
        </is>
      </c>
      <c r="G2640" t="n">
        <v>78.3</v>
      </c>
      <c r="H2640" t="n">
        <v>0</v>
      </c>
      <c r="I2640" t="n">
        <v>0</v>
      </c>
      <c r="J2640" t="n">
        <v>0</v>
      </c>
      <c r="K2640" t="n">
        <v>0</v>
      </c>
      <c r="L2640" t="n">
        <v>0</v>
      </c>
      <c r="M2640" t="n">
        <v>0</v>
      </c>
      <c r="N2640" t="n">
        <v>0</v>
      </c>
      <c r="O2640" t="n">
        <v>0</v>
      </c>
      <c r="P2640" t="n">
        <v>0</v>
      </c>
      <c r="Q2640" t="n">
        <v>0</v>
      </c>
      <c r="R2640" s="2" t="inlineStr"/>
    </row>
    <row r="2641" ht="15" customHeight="1">
      <c r="A2641" t="inlineStr">
        <is>
          <t>A 36718-2024</t>
        </is>
      </c>
      <c r="B2641" s="1" t="n">
        <v>45537</v>
      </c>
      <c r="C2641" s="1" t="n">
        <v>45662</v>
      </c>
      <c r="D2641" t="inlineStr">
        <is>
          <t>VÄRMLANDS LÄN</t>
        </is>
      </c>
      <c r="E2641" t="inlineStr">
        <is>
          <t>TORSBY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36765-2024</t>
        </is>
      </c>
      <c r="B2642" s="1" t="n">
        <v>45538</v>
      </c>
      <c r="C2642" s="1" t="n">
        <v>45662</v>
      </c>
      <c r="D2642" t="inlineStr">
        <is>
          <t>VÄRMLANDS LÄN</t>
        </is>
      </c>
      <c r="E2642" t="inlineStr">
        <is>
          <t>TORSBY</t>
        </is>
      </c>
      <c r="F2642" t="inlineStr">
        <is>
          <t>Bergvik skog väst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36758-2024</t>
        </is>
      </c>
      <c r="B2643" s="1" t="n">
        <v>45538</v>
      </c>
      <c r="C2643" s="1" t="n">
        <v>45662</v>
      </c>
      <c r="D2643" t="inlineStr">
        <is>
          <t>VÄRMLANDS LÄN</t>
        </is>
      </c>
      <c r="E2643" t="inlineStr">
        <is>
          <t>TORSBY</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45662</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v>
      </c>
      <c r="C2645" s="1" t="n">
        <v>45662</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36775-2024</t>
        </is>
      </c>
      <c r="B2646" s="1" t="n">
        <v>45538</v>
      </c>
      <c r="C2646" s="1" t="n">
        <v>45662</v>
      </c>
      <c r="D2646" t="inlineStr">
        <is>
          <t>VÄRMLANDS LÄN</t>
        </is>
      </c>
      <c r="E2646" t="inlineStr">
        <is>
          <t>TORSBY</t>
        </is>
      </c>
      <c r="F2646" t="inlineStr">
        <is>
          <t>Kyrkan</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36850-2024</t>
        </is>
      </c>
      <c r="B2647" s="1" t="n">
        <v>45538</v>
      </c>
      <c r="C2647" s="1" t="n">
        <v>45662</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36879-2024</t>
        </is>
      </c>
      <c r="B2648" s="1" t="n">
        <v>45538</v>
      </c>
      <c r="C2648" s="1" t="n">
        <v>45662</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36922-2024</t>
        </is>
      </c>
      <c r="B2649" s="1" t="n">
        <v>45538</v>
      </c>
      <c r="C2649" s="1" t="n">
        <v>45662</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36939-2024</t>
        </is>
      </c>
      <c r="B2650" s="1" t="n">
        <v>45538</v>
      </c>
      <c r="C2650" s="1" t="n">
        <v>45662</v>
      </c>
      <c r="D2650" t="inlineStr">
        <is>
          <t>VÄRMLANDS LÄN</t>
        </is>
      </c>
      <c r="E2650" t="inlineStr">
        <is>
          <t>TORSBY</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36917-2024</t>
        </is>
      </c>
      <c r="B2651" s="1" t="n">
        <v>45538</v>
      </c>
      <c r="C2651" s="1" t="n">
        <v>45662</v>
      </c>
      <c r="D2651" t="inlineStr">
        <is>
          <t>VÄRMLANDS LÄN</t>
        </is>
      </c>
      <c r="E2651" t="inlineStr">
        <is>
          <t>TORSBY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36964-2024</t>
        </is>
      </c>
      <c r="B2652" s="1" t="n">
        <v>45538</v>
      </c>
      <c r="C2652" s="1" t="n">
        <v>45662</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37153-2024</t>
        </is>
      </c>
      <c r="B2653" s="1" t="n">
        <v>45539</v>
      </c>
      <c r="C2653" s="1" t="n">
        <v>45662</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37194-2024</t>
        </is>
      </c>
      <c r="B2654" s="1" t="n">
        <v>45539</v>
      </c>
      <c r="C2654" s="1" t="n">
        <v>45662</v>
      </c>
      <c r="D2654" t="inlineStr">
        <is>
          <t>VÄRMLANDS LÄN</t>
        </is>
      </c>
      <c r="E2654" t="inlineStr">
        <is>
          <t>TORSBY</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37238-2024</t>
        </is>
      </c>
      <c r="B2655" s="1" t="n">
        <v>45540</v>
      </c>
      <c r="C2655" s="1" t="n">
        <v>45662</v>
      </c>
      <c r="D2655" t="inlineStr">
        <is>
          <t>VÄRMLANDS LÄN</t>
        </is>
      </c>
      <c r="E2655" t="inlineStr">
        <is>
          <t>TORSBY</t>
        </is>
      </c>
      <c r="F2655" t="inlineStr">
        <is>
          <t>Bergvik skog väst AB</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37292-2024</t>
        </is>
      </c>
      <c r="B2656" s="1" t="n">
        <v>45540</v>
      </c>
      <c r="C2656" s="1" t="n">
        <v>45662</v>
      </c>
      <c r="D2656" t="inlineStr">
        <is>
          <t>VÄRMLANDS LÄN</t>
        </is>
      </c>
      <c r="E2656" t="inlineStr">
        <is>
          <t>TORSBY</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37477-2024</t>
        </is>
      </c>
      <c r="B2657" s="1" t="n">
        <v>45541</v>
      </c>
      <c r="C2657" s="1" t="n">
        <v>45662</v>
      </c>
      <c r="D2657" t="inlineStr">
        <is>
          <t>VÄRMLANDS LÄN</t>
        </is>
      </c>
      <c r="E2657" t="inlineStr">
        <is>
          <t>TORSBY</t>
        </is>
      </c>
      <c r="F2657" t="inlineStr">
        <is>
          <t>Bergvik skog väst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37580-2024</t>
        </is>
      </c>
      <c r="B2658" s="1" t="n">
        <v>45541</v>
      </c>
      <c r="C2658" s="1" t="n">
        <v>45662</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37665-2024</t>
        </is>
      </c>
      <c r="B2659" s="1" t="n">
        <v>45541</v>
      </c>
      <c r="C2659" s="1" t="n">
        <v>45662</v>
      </c>
      <c r="D2659" t="inlineStr">
        <is>
          <t>VÄRMLANDS LÄN</t>
        </is>
      </c>
      <c r="E2659" t="inlineStr">
        <is>
          <t>TORSBY</t>
        </is>
      </c>
      <c r="F2659" t="inlineStr">
        <is>
          <t>Kyrkan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37533-2024</t>
        </is>
      </c>
      <c r="B2660" s="1" t="n">
        <v>45541</v>
      </c>
      <c r="C2660" s="1" t="n">
        <v>45662</v>
      </c>
      <c r="D2660" t="inlineStr">
        <is>
          <t>VÄRMLANDS LÄN</t>
        </is>
      </c>
      <c r="E2660" t="inlineStr">
        <is>
          <t>TORSBY</t>
        </is>
      </c>
      <c r="F2660" t="inlineStr">
        <is>
          <t>Bergvik skog väst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37733-2024</t>
        </is>
      </c>
      <c r="B2661" s="1" t="n">
        <v>45541</v>
      </c>
      <c r="C2661" s="1" t="n">
        <v>45662</v>
      </c>
      <c r="D2661" t="inlineStr">
        <is>
          <t>VÄRMLANDS LÄN</t>
        </is>
      </c>
      <c r="E2661" t="inlineStr">
        <is>
          <t>TORSBY</t>
        </is>
      </c>
      <c r="F2661" t="inlineStr">
        <is>
          <t>Bergvik skog väst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37884-2024</t>
        </is>
      </c>
      <c r="B2662" s="1" t="n">
        <v>45544</v>
      </c>
      <c r="C2662" s="1" t="n">
        <v>45662</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37948-2024</t>
        </is>
      </c>
      <c r="B2663" s="1" t="n">
        <v>45544</v>
      </c>
      <c r="C2663" s="1" t="n">
        <v>45662</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37853-2024</t>
        </is>
      </c>
      <c r="B2664" s="1" t="n">
        <v>45544</v>
      </c>
      <c r="C2664" s="1" t="n">
        <v>45662</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37901-2024</t>
        </is>
      </c>
      <c r="B2665" s="1" t="n">
        <v>45544</v>
      </c>
      <c r="C2665" s="1" t="n">
        <v>45662</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37913-2024</t>
        </is>
      </c>
      <c r="B2666" s="1" t="n">
        <v>45544</v>
      </c>
      <c r="C2666" s="1" t="n">
        <v>45662</v>
      </c>
      <c r="D2666" t="inlineStr">
        <is>
          <t>VÄRMLANDS LÄN</t>
        </is>
      </c>
      <c r="E2666" t="inlineStr">
        <is>
          <t>TORSBY</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38062-2024</t>
        </is>
      </c>
      <c r="B2667" s="1" t="n">
        <v>45544</v>
      </c>
      <c r="C2667" s="1" t="n">
        <v>45662</v>
      </c>
      <c r="D2667" t="inlineStr">
        <is>
          <t>VÄRMLANDS LÄN</t>
        </is>
      </c>
      <c r="E2667" t="inlineStr">
        <is>
          <t>TORSBY</t>
        </is>
      </c>
      <c r="F2667" t="inlineStr">
        <is>
          <t>Bergvik skog väst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38076-2024</t>
        </is>
      </c>
      <c r="B2668" s="1" t="n">
        <v>45544</v>
      </c>
      <c r="C2668" s="1" t="n">
        <v>45662</v>
      </c>
      <c r="D2668" t="inlineStr">
        <is>
          <t>VÄRMLANDS LÄN</t>
        </is>
      </c>
      <c r="E2668" t="inlineStr">
        <is>
          <t>TORSBY</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38100-2024</t>
        </is>
      </c>
      <c r="B2669" s="1" t="n">
        <v>45545</v>
      </c>
      <c r="C2669" s="1" t="n">
        <v>45662</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38085-2024</t>
        </is>
      </c>
      <c r="B2670" s="1" t="n">
        <v>45545</v>
      </c>
      <c r="C2670" s="1" t="n">
        <v>45662</v>
      </c>
      <c r="D2670" t="inlineStr">
        <is>
          <t>VÄRMLANDS LÄN</t>
        </is>
      </c>
      <c r="E2670" t="inlineStr">
        <is>
          <t>TORSBY</t>
        </is>
      </c>
      <c r="F2670" t="inlineStr">
        <is>
          <t>Bergvik skog väst AB</t>
        </is>
      </c>
      <c r="G2670" t="n">
        <v>27.8</v>
      </c>
      <c r="H2670" t="n">
        <v>0</v>
      </c>
      <c r="I2670" t="n">
        <v>0</v>
      </c>
      <c r="J2670" t="n">
        <v>0</v>
      </c>
      <c r="K2670" t="n">
        <v>0</v>
      </c>
      <c r="L2670" t="n">
        <v>0</v>
      </c>
      <c r="M2670" t="n">
        <v>0</v>
      </c>
      <c r="N2670" t="n">
        <v>0</v>
      </c>
      <c r="O2670" t="n">
        <v>0</v>
      </c>
      <c r="P2670" t="n">
        <v>0</v>
      </c>
      <c r="Q2670" t="n">
        <v>0</v>
      </c>
      <c r="R2670" s="2" t="inlineStr"/>
    </row>
    <row r="2671" ht="15" customHeight="1">
      <c r="A2671" t="inlineStr">
        <is>
          <t>A 38148-2024</t>
        </is>
      </c>
      <c r="B2671" s="1" t="n">
        <v>45545</v>
      </c>
      <c r="C2671" s="1" t="n">
        <v>45662</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38184-2024</t>
        </is>
      </c>
      <c r="B2672" s="1" t="n">
        <v>45545</v>
      </c>
      <c r="C2672" s="1" t="n">
        <v>45662</v>
      </c>
      <c r="D2672" t="inlineStr">
        <is>
          <t>VÄRMLANDS LÄN</t>
        </is>
      </c>
      <c r="E2672" t="inlineStr">
        <is>
          <t>TORSBY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38206-2024</t>
        </is>
      </c>
      <c r="B2673" s="1" t="n">
        <v>45545</v>
      </c>
      <c r="C2673" s="1" t="n">
        <v>45662</v>
      </c>
      <c r="D2673" t="inlineStr">
        <is>
          <t>VÄRMLANDS LÄN</t>
        </is>
      </c>
      <c r="E2673" t="inlineStr">
        <is>
          <t>TORSBY</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38353-2024</t>
        </is>
      </c>
      <c r="B2674" s="1" t="n">
        <v>45545</v>
      </c>
      <c r="C2674" s="1" t="n">
        <v>45662</v>
      </c>
      <c r="D2674" t="inlineStr">
        <is>
          <t>VÄRMLANDS LÄN</t>
        </is>
      </c>
      <c r="E2674" t="inlineStr">
        <is>
          <t>TORSBY</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38497-2024</t>
        </is>
      </c>
      <c r="B2675" s="1" t="n">
        <v>45546</v>
      </c>
      <c r="C2675" s="1" t="n">
        <v>45662</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38618-2024</t>
        </is>
      </c>
      <c r="B2676" s="1" t="n">
        <v>45546</v>
      </c>
      <c r="C2676" s="1" t="n">
        <v>45662</v>
      </c>
      <c r="D2676" t="inlineStr">
        <is>
          <t>VÄRMLANDS LÄN</t>
        </is>
      </c>
      <c r="E2676" t="inlineStr">
        <is>
          <t>TORSBY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38911-2024</t>
        </is>
      </c>
      <c r="B2677" s="1" t="n">
        <v>45547</v>
      </c>
      <c r="C2677" s="1" t="n">
        <v>45662</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38931-2024</t>
        </is>
      </c>
      <c r="B2678" s="1" t="n">
        <v>45548</v>
      </c>
      <c r="C2678" s="1" t="n">
        <v>45662</v>
      </c>
      <c r="D2678" t="inlineStr">
        <is>
          <t>VÄRMLANDS LÄN</t>
        </is>
      </c>
      <c r="E2678" t="inlineStr">
        <is>
          <t>TORSBY</t>
        </is>
      </c>
      <c r="F2678" t="inlineStr">
        <is>
          <t>Bergvik skog väst AB</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39075-2024</t>
        </is>
      </c>
      <c r="B2679" s="1" t="n">
        <v>45548</v>
      </c>
      <c r="C2679" s="1" t="n">
        <v>45662</v>
      </c>
      <c r="D2679" t="inlineStr">
        <is>
          <t>VÄRMLANDS LÄN</t>
        </is>
      </c>
      <c r="E2679" t="inlineStr">
        <is>
          <t>TORSBY</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39277-2024</t>
        </is>
      </c>
      <c r="B2680" s="1" t="n">
        <v>45551</v>
      </c>
      <c r="C2680" s="1" t="n">
        <v>45662</v>
      </c>
      <c r="D2680" t="inlineStr">
        <is>
          <t>VÄRMLANDS LÄN</t>
        </is>
      </c>
      <c r="E2680" t="inlineStr">
        <is>
          <t>TORSBY</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39378-2024</t>
        </is>
      </c>
      <c r="B2681" s="1" t="n">
        <v>45551</v>
      </c>
      <c r="C2681" s="1" t="n">
        <v>45662</v>
      </c>
      <c r="D2681" t="inlineStr">
        <is>
          <t>VÄRMLANDS LÄN</t>
        </is>
      </c>
      <c r="E2681" t="inlineStr">
        <is>
          <t>TORSBY</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39383-2024</t>
        </is>
      </c>
      <c r="B2682" s="1" t="n">
        <v>45551</v>
      </c>
      <c r="C2682" s="1" t="n">
        <v>45662</v>
      </c>
      <c r="D2682" t="inlineStr">
        <is>
          <t>VÄRMLANDS LÄN</t>
        </is>
      </c>
      <c r="E2682" t="inlineStr">
        <is>
          <t>TORSBY</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39587-2024</t>
        </is>
      </c>
      <c r="B2683" s="1" t="n">
        <v>45551</v>
      </c>
      <c r="C2683" s="1" t="n">
        <v>45662</v>
      </c>
      <c r="D2683" t="inlineStr">
        <is>
          <t>VÄRMLANDS LÄN</t>
        </is>
      </c>
      <c r="E2683" t="inlineStr">
        <is>
          <t>TORSBY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39569-2024</t>
        </is>
      </c>
      <c r="B2684" s="1" t="n">
        <v>45551</v>
      </c>
      <c r="C2684" s="1" t="n">
        <v>45662</v>
      </c>
      <c r="D2684" t="inlineStr">
        <is>
          <t>VÄRMLANDS LÄN</t>
        </is>
      </c>
      <c r="E2684" t="inlineStr">
        <is>
          <t>TORSBY</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39567-2024</t>
        </is>
      </c>
      <c r="B2685" s="1" t="n">
        <v>45552</v>
      </c>
      <c r="C2685" s="1" t="n">
        <v>45662</v>
      </c>
      <c r="D2685" t="inlineStr">
        <is>
          <t>VÄRMLANDS LÄN</t>
        </is>
      </c>
      <c r="E2685" t="inlineStr">
        <is>
          <t>TORSBY</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39617-2024</t>
        </is>
      </c>
      <c r="B2686" s="1" t="n">
        <v>45552</v>
      </c>
      <c r="C2686" s="1" t="n">
        <v>45662</v>
      </c>
      <c r="D2686" t="inlineStr">
        <is>
          <t>VÄRMLANDS LÄN</t>
        </is>
      </c>
      <c r="E2686" t="inlineStr">
        <is>
          <t>TORSBY</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39767-2024</t>
        </is>
      </c>
      <c r="B2687" s="1" t="n">
        <v>45552</v>
      </c>
      <c r="C2687" s="1" t="n">
        <v>45662</v>
      </c>
      <c r="D2687" t="inlineStr">
        <is>
          <t>VÄRMLANDS LÄN</t>
        </is>
      </c>
      <c r="E2687" t="inlineStr">
        <is>
          <t>TORSBY</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39771-2024</t>
        </is>
      </c>
      <c r="B2688" s="1" t="n">
        <v>45552</v>
      </c>
      <c r="C2688" s="1" t="n">
        <v>45662</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39746-2024</t>
        </is>
      </c>
      <c r="B2689" s="1" t="n">
        <v>45552</v>
      </c>
      <c r="C2689" s="1" t="n">
        <v>45662</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39770-2024</t>
        </is>
      </c>
      <c r="B2690" s="1" t="n">
        <v>45552</v>
      </c>
      <c r="C2690" s="1" t="n">
        <v>45662</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39768-2024</t>
        </is>
      </c>
      <c r="B2691" s="1" t="n">
        <v>45552</v>
      </c>
      <c r="C2691" s="1" t="n">
        <v>45662</v>
      </c>
      <c r="D2691" t="inlineStr">
        <is>
          <t>VÄRMLANDS LÄN</t>
        </is>
      </c>
      <c r="E2691" t="inlineStr">
        <is>
          <t>TORSBY</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39772-2024</t>
        </is>
      </c>
      <c r="B2692" s="1" t="n">
        <v>45552</v>
      </c>
      <c r="C2692" s="1" t="n">
        <v>45662</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39769-2024</t>
        </is>
      </c>
      <c r="B2693" s="1" t="n">
        <v>45552</v>
      </c>
      <c r="C2693" s="1" t="n">
        <v>45662</v>
      </c>
      <c r="D2693" t="inlineStr">
        <is>
          <t>VÄRMLANDS LÄN</t>
        </is>
      </c>
      <c r="E2693" t="inlineStr">
        <is>
          <t>TORSBY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39953-2024</t>
        </is>
      </c>
      <c r="B2694" s="1" t="n">
        <v>45553</v>
      </c>
      <c r="C2694" s="1" t="n">
        <v>45662</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39985-2024</t>
        </is>
      </c>
      <c r="B2695" s="1" t="n">
        <v>45553</v>
      </c>
      <c r="C2695" s="1" t="n">
        <v>45662</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40180-2024</t>
        </is>
      </c>
      <c r="B2696" s="1" t="n">
        <v>45554</v>
      </c>
      <c r="C2696" s="1" t="n">
        <v>45662</v>
      </c>
      <c r="D2696" t="inlineStr">
        <is>
          <t>VÄRMLANDS LÄN</t>
        </is>
      </c>
      <c r="E2696" t="inlineStr">
        <is>
          <t>TORSBY</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40227-2024</t>
        </is>
      </c>
      <c r="B2697" s="1" t="n">
        <v>45554</v>
      </c>
      <c r="C2697" s="1" t="n">
        <v>45662</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40157-2024</t>
        </is>
      </c>
      <c r="B2698" s="1" t="n">
        <v>45554</v>
      </c>
      <c r="C2698" s="1" t="n">
        <v>45662</v>
      </c>
      <c r="D2698" t="inlineStr">
        <is>
          <t>VÄRMLANDS LÄN</t>
        </is>
      </c>
      <c r="E2698" t="inlineStr">
        <is>
          <t>TORSBY</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40301-2024</t>
        </is>
      </c>
      <c r="B2699" s="1" t="n">
        <v>45554</v>
      </c>
      <c r="C2699" s="1" t="n">
        <v>45662</v>
      </c>
      <c r="D2699" t="inlineStr">
        <is>
          <t>VÄRMLANDS LÄN</t>
        </is>
      </c>
      <c r="E2699" t="inlineStr">
        <is>
          <t>TORSBY</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40541-2024</t>
        </is>
      </c>
      <c r="B2700" s="1" t="n">
        <v>45555</v>
      </c>
      <c r="C2700" s="1" t="n">
        <v>45662</v>
      </c>
      <c r="D2700" t="inlineStr">
        <is>
          <t>VÄRMLANDS LÄN</t>
        </is>
      </c>
      <c r="E2700" t="inlineStr">
        <is>
          <t>TORSBY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40565-2024</t>
        </is>
      </c>
      <c r="B2701" s="1" t="n">
        <v>45555</v>
      </c>
      <c r="C2701" s="1" t="n">
        <v>45662</v>
      </c>
      <c r="D2701" t="inlineStr">
        <is>
          <t>VÄRMLANDS LÄN</t>
        </is>
      </c>
      <c r="E2701" t="inlineStr">
        <is>
          <t>TORSBY</t>
        </is>
      </c>
      <c r="F2701" t="inlineStr">
        <is>
          <t>Bergvik skog väst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40573-2024</t>
        </is>
      </c>
      <c r="B2702" s="1" t="n">
        <v>45555</v>
      </c>
      <c r="C2702" s="1" t="n">
        <v>45662</v>
      </c>
      <c r="D2702" t="inlineStr">
        <is>
          <t>VÄRMLANDS LÄN</t>
        </is>
      </c>
      <c r="E2702" t="inlineStr">
        <is>
          <t>TORSBY</t>
        </is>
      </c>
      <c r="F2702" t="inlineStr">
        <is>
          <t>Bergvik skog väst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40546-2024</t>
        </is>
      </c>
      <c r="B2703" s="1" t="n">
        <v>45555</v>
      </c>
      <c r="C2703" s="1" t="n">
        <v>45662</v>
      </c>
      <c r="D2703" t="inlineStr">
        <is>
          <t>VÄRMLANDS LÄN</t>
        </is>
      </c>
      <c r="E2703" t="inlineStr">
        <is>
          <t>TORSBY</t>
        </is>
      </c>
      <c r="F2703" t="inlineStr">
        <is>
          <t>Bergvik skog väst AB</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40914-2024</t>
        </is>
      </c>
      <c r="B2704" s="1" t="n">
        <v>45558</v>
      </c>
      <c r="C2704" s="1" t="n">
        <v>45662</v>
      </c>
      <c r="D2704" t="inlineStr">
        <is>
          <t>VÄRMLANDS LÄN</t>
        </is>
      </c>
      <c r="E2704" t="inlineStr">
        <is>
          <t>TORSBY</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40807-2024</t>
        </is>
      </c>
      <c r="B2705" s="1" t="n">
        <v>45558</v>
      </c>
      <c r="C2705" s="1" t="n">
        <v>45662</v>
      </c>
      <c r="D2705" t="inlineStr">
        <is>
          <t>VÄRMLANDS LÄN</t>
        </is>
      </c>
      <c r="E2705" t="inlineStr">
        <is>
          <t>TORSBY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40810-2024</t>
        </is>
      </c>
      <c r="B2706" s="1" t="n">
        <v>45558</v>
      </c>
      <c r="C2706" s="1" t="n">
        <v>45662</v>
      </c>
      <c r="D2706" t="inlineStr">
        <is>
          <t>VÄRMLANDS LÄN</t>
        </is>
      </c>
      <c r="E2706" t="inlineStr">
        <is>
          <t>TORSBY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40987-2024</t>
        </is>
      </c>
      <c r="B2707" s="1" t="n">
        <v>45558</v>
      </c>
      <c r="C2707" s="1" t="n">
        <v>45662</v>
      </c>
      <c r="D2707" t="inlineStr">
        <is>
          <t>VÄRMLANDS LÄN</t>
        </is>
      </c>
      <c r="E2707" t="inlineStr">
        <is>
          <t>TORSBY</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41161-2024</t>
        </is>
      </c>
      <c r="B2708" s="1" t="n">
        <v>45559</v>
      </c>
      <c r="C2708" s="1" t="n">
        <v>45662</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41162-2024</t>
        </is>
      </c>
      <c r="B2709" s="1" t="n">
        <v>45559</v>
      </c>
      <c r="C2709" s="1" t="n">
        <v>45662</v>
      </c>
      <c r="D2709" t="inlineStr">
        <is>
          <t>VÄRMLANDS LÄN</t>
        </is>
      </c>
      <c r="E2709" t="inlineStr">
        <is>
          <t>TORSBY</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41518-2024</t>
        </is>
      </c>
      <c r="B2710" s="1" t="n">
        <v>45560</v>
      </c>
      <c r="C2710" s="1" t="n">
        <v>45662</v>
      </c>
      <c r="D2710" t="inlineStr">
        <is>
          <t>VÄRMLANDS LÄN</t>
        </is>
      </c>
      <c r="E2710" t="inlineStr">
        <is>
          <t>TORSBY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41504-2024</t>
        </is>
      </c>
      <c r="B2711" s="1" t="n">
        <v>45560</v>
      </c>
      <c r="C2711" s="1" t="n">
        <v>45662</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41529-2024</t>
        </is>
      </c>
      <c r="B2712" s="1" t="n">
        <v>45560</v>
      </c>
      <c r="C2712" s="1" t="n">
        <v>45662</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41501-2024</t>
        </is>
      </c>
      <c r="B2713" s="1" t="n">
        <v>45560</v>
      </c>
      <c r="C2713" s="1" t="n">
        <v>45662</v>
      </c>
      <c r="D2713" t="inlineStr">
        <is>
          <t>VÄRMLANDS LÄN</t>
        </is>
      </c>
      <c r="E2713" t="inlineStr">
        <is>
          <t>TORSBY</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41720-2024</t>
        </is>
      </c>
      <c r="B2714" s="1" t="n">
        <v>45560</v>
      </c>
      <c r="C2714" s="1" t="n">
        <v>45662</v>
      </c>
      <c r="D2714" t="inlineStr">
        <is>
          <t>VÄRMLANDS LÄN</t>
        </is>
      </c>
      <c r="E2714" t="inlineStr">
        <is>
          <t>TORSBY</t>
        </is>
      </c>
      <c r="F2714" t="inlineStr">
        <is>
          <t>Bergvik skog väst AB</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41534-2024</t>
        </is>
      </c>
      <c r="B2715" s="1" t="n">
        <v>45560</v>
      </c>
      <c r="C2715" s="1" t="n">
        <v>45662</v>
      </c>
      <c r="D2715" t="inlineStr">
        <is>
          <t>VÄRMLANDS LÄN</t>
        </is>
      </c>
      <c r="E2715" t="inlineStr">
        <is>
          <t>TORSBY</t>
        </is>
      </c>
      <c r="G2715" t="n">
        <v>17.3</v>
      </c>
      <c r="H2715" t="n">
        <v>0</v>
      </c>
      <c r="I2715" t="n">
        <v>0</v>
      </c>
      <c r="J2715" t="n">
        <v>0</v>
      </c>
      <c r="K2715" t="n">
        <v>0</v>
      </c>
      <c r="L2715" t="n">
        <v>0</v>
      </c>
      <c r="M2715" t="n">
        <v>0</v>
      </c>
      <c r="N2715" t="n">
        <v>0</v>
      </c>
      <c r="O2715" t="n">
        <v>0</v>
      </c>
      <c r="P2715" t="n">
        <v>0</v>
      </c>
      <c r="Q2715" t="n">
        <v>0</v>
      </c>
      <c r="R2715" s="2" t="inlineStr"/>
    </row>
    <row r="2716" ht="15" customHeight="1">
      <c r="A2716" t="inlineStr">
        <is>
          <t>A 41631-2024</t>
        </is>
      </c>
      <c r="B2716" s="1" t="n">
        <v>45560</v>
      </c>
      <c r="C2716" s="1" t="n">
        <v>45662</v>
      </c>
      <c r="D2716" t="inlineStr">
        <is>
          <t>VÄRMLANDS LÄN</t>
        </is>
      </c>
      <c r="E2716" t="inlineStr">
        <is>
          <t>TORSBY</t>
        </is>
      </c>
      <c r="F2716" t="inlineStr">
        <is>
          <t>Bergvik skog väst AB</t>
        </is>
      </c>
      <c r="G2716" t="n">
        <v>16.3</v>
      </c>
      <c r="H2716" t="n">
        <v>0</v>
      </c>
      <c r="I2716" t="n">
        <v>0</v>
      </c>
      <c r="J2716" t="n">
        <v>0</v>
      </c>
      <c r="K2716" t="n">
        <v>0</v>
      </c>
      <c r="L2716" t="n">
        <v>0</v>
      </c>
      <c r="M2716" t="n">
        <v>0</v>
      </c>
      <c r="N2716" t="n">
        <v>0</v>
      </c>
      <c r="O2716" t="n">
        <v>0</v>
      </c>
      <c r="P2716" t="n">
        <v>0</v>
      </c>
      <c r="Q2716" t="n">
        <v>0</v>
      </c>
      <c r="R2716" s="2" t="inlineStr"/>
    </row>
    <row r="2717" ht="15" customHeight="1">
      <c r="A2717" t="inlineStr">
        <is>
          <t>A 41745-2024</t>
        </is>
      </c>
      <c r="B2717" s="1" t="n">
        <v>45561</v>
      </c>
      <c r="C2717" s="1" t="n">
        <v>45662</v>
      </c>
      <c r="D2717" t="inlineStr">
        <is>
          <t>VÄRMLANDS LÄN</t>
        </is>
      </c>
      <c r="E2717" t="inlineStr">
        <is>
          <t>TORSBY</t>
        </is>
      </c>
      <c r="F2717" t="inlineStr">
        <is>
          <t>Bergvik skog väst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41743-2024</t>
        </is>
      </c>
      <c r="B2718" s="1" t="n">
        <v>45561</v>
      </c>
      <c r="C2718" s="1" t="n">
        <v>45662</v>
      </c>
      <c r="D2718" t="inlineStr">
        <is>
          <t>VÄRMLANDS LÄN</t>
        </is>
      </c>
      <c r="E2718" t="inlineStr">
        <is>
          <t>TORSBY</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41936-2024</t>
        </is>
      </c>
      <c r="B2719" s="1" t="n">
        <v>45561</v>
      </c>
      <c r="C2719" s="1" t="n">
        <v>45662</v>
      </c>
      <c r="D2719" t="inlineStr">
        <is>
          <t>VÄRMLANDS LÄN</t>
        </is>
      </c>
      <c r="E2719" t="inlineStr">
        <is>
          <t>TORSBY</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42283-2024</t>
        </is>
      </c>
      <c r="B2720" s="1" t="n">
        <v>45562</v>
      </c>
      <c r="C2720" s="1" t="n">
        <v>45662</v>
      </c>
      <c r="D2720" t="inlineStr">
        <is>
          <t>VÄRMLANDS LÄN</t>
        </is>
      </c>
      <c r="E2720" t="inlineStr">
        <is>
          <t>TORSBY</t>
        </is>
      </c>
      <c r="F2720" t="inlineStr">
        <is>
          <t>Bergvik skog väst AB</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42250-2024</t>
        </is>
      </c>
      <c r="B2721" s="1" t="n">
        <v>45562</v>
      </c>
      <c r="C2721" s="1" t="n">
        <v>45662</v>
      </c>
      <c r="D2721" t="inlineStr">
        <is>
          <t>VÄRMLANDS LÄN</t>
        </is>
      </c>
      <c r="E2721" t="inlineStr">
        <is>
          <t>TORSBY</t>
        </is>
      </c>
      <c r="F2721" t="inlineStr">
        <is>
          <t>Bergvik skog väst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42176-2024</t>
        </is>
      </c>
      <c r="B2722" s="1" t="n">
        <v>45562</v>
      </c>
      <c r="C2722" s="1" t="n">
        <v>45662</v>
      </c>
      <c r="D2722" t="inlineStr">
        <is>
          <t>VÄRMLANDS LÄN</t>
        </is>
      </c>
      <c r="E2722" t="inlineStr">
        <is>
          <t>TORSBY</t>
        </is>
      </c>
      <c r="F2722" t="inlineStr">
        <is>
          <t>Kommuner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42405-2024</t>
        </is>
      </c>
      <c r="B2723" s="1" t="n">
        <v>45565</v>
      </c>
      <c r="C2723" s="1" t="n">
        <v>45662</v>
      </c>
      <c r="D2723" t="inlineStr">
        <is>
          <t>VÄRMLANDS LÄN</t>
        </is>
      </c>
      <c r="E2723" t="inlineStr">
        <is>
          <t>TORSBY</t>
        </is>
      </c>
      <c r="F2723" t="inlineStr">
        <is>
          <t>Bergvik skog väst AB</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45662</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42424-2024</t>
        </is>
      </c>
      <c r="B2725" s="1" t="n">
        <v>45565</v>
      </c>
      <c r="C2725" s="1" t="n">
        <v>45662</v>
      </c>
      <c r="D2725" t="inlineStr">
        <is>
          <t>VÄRMLANDS LÄN</t>
        </is>
      </c>
      <c r="E2725" t="inlineStr">
        <is>
          <t>TORSBY</t>
        </is>
      </c>
      <c r="F2725" t="inlineStr">
        <is>
          <t>Bergvik skog väst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42428-2024</t>
        </is>
      </c>
      <c r="B2726" s="1" t="n">
        <v>45565</v>
      </c>
      <c r="C2726" s="1" t="n">
        <v>45662</v>
      </c>
      <c r="D2726" t="inlineStr">
        <is>
          <t>VÄRMLANDS LÄN</t>
        </is>
      </c>
      <c r="E2726" t="inlineStr">
        <is>
          <t>TORSBY</t>
        </is>
      </c>
      <c r="F2726" t="inlineStr">
        <is>
          <t>Bergvik skog väst AB</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42457-2024</t>
        </is>
      </c>
      <c r="B2727" s="1" t="n">
        <v>45565</v>
      </c>
      <c r="C2727" s="1" t="n">
        <v>45662</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42834-2024</t>
        </is>
      </c>
      <c r="B2728" s="1" t="n">
        <v>45566</v>
      </c>
      <c r="C2728" s="1" t="n">
        <v>45662</v>
      </c>
      <c r="D2728" t="inlineStr">
        <is>
          <t>VÄRMLANDS LÄN</t>
        </is>
      </c>
      <c r="E2728" t="inlineStr">
        <is>
          <t>TORSBY</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42662-2024</t>
        </is>
      </c>
      <c r="B2729" s="1" t="n">
        <v>45566</v>
      </c>
      <c r="C2729" s="1" t="n">
        <v>45662</v>
      </c>
      <c r="D2729" t="inlineStr">
        <is>
          <t>VÄRMLANDS LÄN</t>
        </is>
      </c>
      <c r="E2729" t="inlineStr">
        <is>
          <t>TORSBY</t>
        </is>
      </c>
      <c r="F2729" t="inlineStr">
        <is>
          <t>Bergvik skog väst AB</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43037-2024</t>
        </is>
      </c>
      <c r="B2730" s="1" t="n">
        <v>45567</v>
      </c>
      <c r="C2730" s="1" t="n">
        <v>45662</v>
      </c>
      <c r="D2730" t="inlineStr">
        <is>
          <t>VÄRMLANDS LÄN</t>
        </is>
      </c>
      <c r="E2730" t="inlineStr">
        <is>
          <t>TORSBY</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42945-2024</t>
        </is>
      </c>
      <c r="B2731" s="1" t="n">
        <v>45567</v>
      </c>
      <c r="C2731" s="1" t="n">
        <v>45662</v>
      </c>
      <c r="D2731" t="inlineStr">
        <is>
          <t>VÄRMLANDS LÄN</t>
        </is>
      </c>
      <c r="E2731" t="inlineStr">
        <is>
          <t>TORSBY</t>
        </is>
      </c>
      <c r="F2731" t="inlineStr">
        <is>
          <t>Bergvik skog väst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43137-2024</t>
        </is>
      </c>
      <c r="B2732" s="1" t="n">
        <v>45567</v>
      </c>
      <c r="C2732" s="1" t="n">
        <v>45662</v>
      </c>
      <c r="D2732" t="inlineStr">
        <is>
          <t>VÄRMLANDS LÄN</t>
        </is>
      </c>
      <c r="E2732" t="inlineStr">
        <is>
          <t>TORSBY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43044-2024</t>
        </is>
      </c>
      <c r="B2733" s="1" t="n">
        <v>45567</v>
      </c>
      <c r="C2733" s="1" t="n">
        <v>45662</v>
      </c>
      <c r="D2733" t="inlineStr">
        <is>
          <t>VÄRMLANDS LÄN</t>
        </is>
      </c>
      <c r="E2733" t="inlineStr">
        <is>
          <t>TORSBY</t>
        </is>
      </c>
      <c r="F2733" t="inlineStr">
        <is>
          <t>Bergvik skog väst AB</t>
        </is>
      </c>
      <c r="G2733" t="n">
        <v>42.7</v>
      </c>
      <c r="H2733" t="n">
        <v>0</v>
      </c>
      <c r="I2733" t="n">
        <v>0</v>
      </c>
      <c r="J2733" t="n">
        <v>0</v>
      </c>
      <c r="K2733" t="n">
        <v>0</v>
      </c>
      <c r="L2733" t="n">
        <v>0</v>
      </c>
      <c r="M2733" t="n">
        <v>0</v>
      </c>
      <c r="N2733" t="n">
        <v>0</v>
      </c>
      <c r="O2733" t="n">
        <v>0</v>
      </c>
      <c r="P2733" t="n">
        <v>0</v>
      </c>
      <c r="Q2733" t="n">
        <v>0</v>
      </c>
      <c r="R2733" s="2" t="inlineStr"/>
    </row>
    <row r="2734" ht="15" customHeight="1">
      <c r="A2734" t="inlineStr">
        <is>
          <t>A 43164-2024</t>
        </is>
      </c>
      <c r="B2734" s="1" t="n">
        <v>45567</v>
      </c>
      <c r="C2734" s="1" t="n">
        <v>45662</v>
      </c>
      <c r="D2734" t="inlineStr">
        <is>
          <t>VÄRMLANDS LÄN</t>
        </is>
      </c>
      <c r="E2734" t="inlineStr">
        <is>
          <t>TORSBY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43144-2024</t>
        </is>
      </c>
      <c r="B2735" s="1" t="n">
        <v>45567</v>
      </c>
      <c r="C2735" s="1" t="n">
        <v>45662</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43420-2024</t>
        </is>
      </c>
      <c r="B2736" s="1" t="n">
        <v>45568</v>
      </c>
      <c r="C2736" s="1" t="n">
        <v>45662</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43409-2024</t>
        </is>
      </c>
      <c r="B2737" s="1" t="n">
        <v>45568</v>
      </c>
      <c r="C2737" s="1" t="n">
        <v>45662</v>
      </c>
      <c r="D2737" t="inlineStr">
        <is>
          <t>VÄRMLANDS LÄN</t>
        </is>
      </c>
      <c r="E2737" t="inlineStr">
        <is>
          <t>TORSBY</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43295-2024</t>
        </is>
      </c>
      <c r="B2738" s="1" t="n">
        <v>45568</v>
      </c>
      <c r="C2738" s="1" t="n">
        <v>45662</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43336-2024</t>
        </is>
      </c>
      <c r="B2739" s="1" t="n">
        <v>45568</v>
      </c>
      <c r="C2739" s="1" t="n">
        <v>45662</v>
      </c>
      <c r="D2739" t="inlineStr">
        <is>
          <t>VÄRMLANDS LÄN</t>
        </is>
      </c>
      <c r="E2739" t="inlineStr">
        <is>
          <t>TORSBY</t>
        </is>
      </c>
      <c r="F2739" t="inlineStr">
        <is>
          <t>Bergvik skog väst AB</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43301-2024</t>
        </is>
      </c>
      <c r="B2740" s="1" t="n">
        <v>45568</v>
      </c>
      <c r="C2740" s="1" t="n">
        <v>45662</v>
      </c>
      <c r="D2740" t="inlineStr">
        <is>
          <t>VÄRMLANDS LÄN</t>
        </is>
      </c>
      <c r="E2740" t="inlineStr">
        <is>
          <t>TORSBY</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43256-2024</t>
        </is>
      </c>
      <c r="B2741" s="1" t="n">
        <v>45568</v>
      </c>
      <c r="C2741" s="1" t="n">
        <v>45662</v>
      </c>
      <c r="D2741" t="inlineStr">
        <is>
          <t>VÄRMLANDS LÄN</t>
        </is>
      </c>
      <c r="E2741" t="inlineStr">
        <is>
          <t>TORSBY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43538-2024</t>
        </is>
      </c>
      <c r="B2742" s="1" t="n">
        <v>45569</v>
      </c>
      <c r="C2742" s="1" t="n">
        <v>45662</v>
      </c>
      <c r="D2742" t="inlineStr">
        <is>
          <t>VÄRMLANDS LÄN</t>
        </is>
      </c>
      <c r="E2742" t="inlineStr">
        <is>
          <t>TORSBY</t>
        </is>
      </c>
      <c r="F2742" t="inlineStr">
        <is>
          <t>Bergvik skog väst AB</t>
        </is>
      </c>
      <c r="G2742" t="n">
        <v>14.4</v>
      </c>
      <c r="H2742" t="n">
        <v>0</v>
      </c>
      <c r="I2742" t="n">
        <v>0</v>
      </c>
      <c r="J2742" t="n">
        <v>0</v>
      </c>
      <c r="K2742" t="n">
        <v>0</v>
      </c>
      <c r="L2742" t="n">
        <v>0</v>
      </c>
      <c r="M2742" t="n">
        <v>0</v>
      </c>
      <c r="N2742" t="n">
        <v>0</v>
      </c>
      <c r="O2742" t="n">
        <v>0</v>
      </c>
      <c r="P2742" t="n">
        <v>0</v>
      </c>
      <c r="Q2742" t="n">
        <v>0</v>
      </c>
      <c r="R2742" s="2" t="inlineStr"/>
    </row>
    <row r="2743" ht="15" customHeight="1">
      <c r="A2743" t="inlineStr">
        <is>
          <t>A 43718-2024</t>
        </is>
      </c>
      <c r="B2743" s="1" t="n">
        <v>45569</v>
      </c>
      <c r="C2743" s="1" t="n">
        <v>45662</v>
      </c>
      <c r="D2743" t="inlineStr">
        <is>
          <t>VÄRMLANDS LÄN</t>
        </is>
      </c>
      <c r="E2743" t="inlineStr">
        <is>
          <t>TORSBY</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43545-2024</t>
        </is>
      </c>
      <c r="B2744" s="1" t="n">
        <v>45569</v>
      </c>
      <c r="C2744" s="1" t="n">
        <v>45662</v>
      </c>
      <c r="D2744" t="inlineStr">
        <is>
          <t>VÄRMLANDS LÄN</t>
        </is>
      </c>
      <c r="E2744" t="inlineStr">
        <is>
          <t>TORSBY</t>
        </is>
      </c>
      <c r="F2744" t="inlineStr">
        <is>
          <t>Bergvik skog väst AB</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43739-2024</t>
        </is>
      </c>
      <c r="B2745" s="1" t="n">
        <v>45569</v>
      </c>
      <c r="C2745" s="1" t="n">
        <v>45662</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43864-2024</t>
        </is>
      </c>
      <c r="B2746" s="1" t="n">
        <v>45572</v>
      </c>
      <c r="C2746" s="1" t="n">
        <v>45662</v>
      </c>
      <c r="D2746" t="inlineStr">
        <is>
          <t>VÄRMLANDS LÄN</t>
        </is>
      </c>
      <c r="E2746" t="inlineStr">
        <is>
          <t>TORSBY</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43988-2024</t>
        </is>
      </c>
      <c r="B2747" s="1" t="n">
        <v>45572</v>
      </c>
      <c r="C2747" s="1" t="n">
        <v>45662</v>
      </c>
      <c r="D2747" t="inlineStr">
        <is>
          <t>VÄRMLANDS LÄN</t>
        </is>
      </c>
      <c r="E2747" t="inlineStr">
        <is>
          <t>TORSBY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44081-2024</t>
        </is>
      </c>
      <c r="B2748" s="1" t="n">
        <v>45572</v>
      </c>
      <c r="C2748" s="1" t="n">
        <v>45662</v>
      </c>
      <c r="D2748" t="inlineStr">
        <is>
          <t>VÄRMLANDS LÄN</t>
        </is>
      </c>
      <c r="E2748" t="inlineStr">
        <is>
          <t>TORSBY</t>
        </is>
      </c>
      <c r="F2748" t="inlineStr">
        <is>
          <t>Bergvik skog väst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44059-2024</t>
        </is>
      </c>
      <c r="B2749" s="1" t="n">
        <v>45572</v>
      </c>
      <c r="C2749" s="1" t="n">
        <v>45662</v>
      </c>
      <c r="D2749" t="inlineStr">
        <is>
          <t>VÄRMLANDS LÄN</t>
        </is>
      </c>
      <c r="E2749" t="inlineStr">
        <is>
          <t>TORSBY</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44349-2024</t>
        </is>
      </c>
      <c r="B2750" s="1" t="n">
        <v>45573</v>
      </c>
      <c r="C2750" s="1" t="n">
        <v>45662</v>
      </c>
      <c r="D2750" t="inlineStr">
        <is>
          <t>VÄRMLANDS LÄN</t>
        </is>
      </c>
      <c r="E2750" t="inlineStr">
        <is>
          <t>TORSBY</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44352-2024</t>
        </is>
      </c>
      <c r="B2751" s="1" t="n">
        <v>45573</v>
      </c>
      <c r="C2751" s="1" t="n">
        <v>45662</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44276-2024</t>
        </is>
      </c>
      <c r="B2752" s="1" t="n">
        <v>45573</v>
      </c>
      <c r="C2752" s="1" t="n">
        <v>45662</v>
      </c>
      <c r="D2752" t="inlineStr">
        <is>
          <t>VÄRMLANDS LÄN</t>
        </is>
      </c>
      <c r="E2752" t="inlineStr">
        <is>
          <t>TORSBY</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44241-2024</t>
        </is>
      </c>
      <c r="B2753" s="1" t="n">
        <v>45573</v>
      </c>
      <c r="C2753" s="1" t="n">
        <v>45662</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44303-2024</t>
        </is>
      </c>
      <c r="B2754" s="1" t="n">
        <v>45573</v>
      </c>
      <c r="C2754" s="1" t="n">
        <v>45662</v>
      </c>
      <c r="D2754" t="inlineStr">
        <is>
          <t>VÄRMLANDS LÄN</t>
        </is>
      </c>
      <c r="E2754" t="inlineStr">
        <is>
          <t>TORSBY</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44424-2024</t>
        </is>
      </c>
      <c r="B2755" s="1" t="n">
        <v>45573</v>
      </c>
      <c r="C2755" s="1" t="n">
        <v>45662</v>
      </c>
      <c r="D2755" t="inlineStr">
        <is>
          <t>VÄRMLANDS LÄN</t>
        </is>
      </c>
      <c r="E2755" t="inlineStr">
        <is>
          <t>TORSBY</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44325-2024</t>
        </is>
      </c>
      <c r="B2756" s="1" t="n">
        <v>45573</v>
      </c>
      <c r="C2756" s="1" t="n">
        <v>45662</v>
      </c>
      <c r="D2756" t="inlineStr">
        <is>
          <t>VÄRMLANDS LÄN</t>
        </is>
      </c>
      <c r="E2756" t="inlineStr">
        <is>
          <t>TORSBY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44422-2024</t>
        </is>
      </c>
      <c r="B2757" s="1" t="n">
        <v>45573</v>
      </c>
      <c r="C2757" s="1" t="n">
        <v>45662</v>
      </c>
      <c r="D2757" t="inlineStr">
        <is>
          <t>VÄRMLANDS LÄN</t>
        </is>
      </c>
      <c r="E2757" t="inlineStr">
        <is>
          <t>TORSBY</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44423-2024</t>
        </is>
      </c>
      <c r="B2758" s="1" t="n">
        <v>45573</v>
      </c>
      <c r="C2758" s="1" t="n">
        <v>45662</v>
      </c>
      <c r="D2758" t="inlineStr">
        <is>
          <t>VÄRMLANDS LÄN</t>
        </is>
      </c>
      <c r="E2758" t="inlineStr">
        <is>
          <t>TORSBY</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44278-2024</t>
        </is>
      </c>
      <c r="B2759" s="1" t="n">
        <v>45573</v>
      </c>
      <c r="C2759" s="1" t="n">
        <v>45662</v>
      </c>
      <c r="D2759" t="inlineStr">
        <is>
          <t>VÄRMLANDS LÄN</t>
        </is>
      </c>
      <c r="E2759" t="inlineStr">
        <is>
          <t>TORSBY</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44204-2024</t>
        </is>
      </c>
      <c r="B2760" s="1" t="n">
        <v>45573</v>
      </c>
      <c r="C2760" s="1" t="n">
        <v>45662</v>
      </c>
      <c r="D2760" t="inlineStr">
        <is>
          <t>VÄRMLANDS LÄN</t>
        </is>
      </c>
      <c r="E2760" t="inlineStr">
        <is>
          <t>TORSBY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44338-2024</t>
        </is>
      </c>
      <c r="B2761" s="1" t="n">
        <v>45573</v>
      </c>
      <c r="C2761" s="1" t="n">
        <v>45662</v>
      </c>
      <c r="D2761" t="inlineStr">
        <is>
          <t>VÄRMLANDS LÄN</t>
        </is>
      </c>
      <c r="E2761" t="inlineStr">
        <is>
          <t>TORSBY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44342-2024</t>
        </is>
      </c>
      <c r="B2762" s="1" t="n">
        <v>45573</v>
      </c>
      <c r="C2762" s="1" t="n">
        <v>45662</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44448-2024</t>
        </is>
      </c>
      <c r="B2763" s="1" t="n">
        <v>45574</v>
      </c>
      <c r="C2763" s="1" t="n">
        <v>45662</v>
      </c>
      <c r="D2763" t="inlineStr">
        <is>
          <t>VÄRMLANDS LÄN</t>
        </is>
      </c>
      <c r="E2763" t="inlineStr">
        <is>
          <t>TORSBY</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44697-2024</t>
        </is>
      </c>
      <c r="B2764" s="1" t="n">
        <v>45574</v>
      </c>
      <c r="C2764" s="1" t="n">
        <v>45662</v>
      </c>
      <c r="D2764" t="inlineStr">
        <is>
          <t>VÄRMLANDS LÄN</t>
        </is>
      </c>
      <c r="E2764" t="inlineStr">
        <is>
          <t>TORSBY</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44685-2024</t>
        </is>
      </c>
      <c r="B2765" s="1" t="n">
        <v>45574</v>
      </c>
      <c r="C2765" s="1" t="n">
        <v>45662</v>
      </c>
      <c r="D2765" t="inlineStr">
        <is>
          <t>VÄRMLANDS LÄN</t>
        </is>
      </c>
      <c r="E2765" t="inlineStr">
        <is>
          <t>TORSBY</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44690-2024</t>
        </is>
      </c>
      <c r="B2766" s="1" t="n">
        <v>45574</v>
      </c>
      <c r="C2766" s="1" t="n">
        <v>45662</v>
      </c>
      <c r="D2766" t="inlineStr">
        <is>
          <t>VÄRMLANDS LÄN</t>
        </is>
      </c>
      <c r="E2766" t="inlineStr">
        <is>
          <t>TORSBY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44702-2024</t>
        </is>
      </c>
      <c r="B2767" s="1" t="n">
        <v>45574</v>
      </c>
      <c r="C2767" s="1" t="n">
        <v>45662</v>
      </c>
      <c r="D2767" t="inlineStr">
        <is>
          <t>VÄRMLANDS LÄN</t>
        </is>
      </c>
      <c r="E2767" t="inlineStr">
        <is>
          <t>TORSBY</t>
        </is>
      </c>
      <c r="F2767" t="inlineStr">
        <is>
          <t>Bergvik skog väst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44770-2024</t>
        </is>
      </c>
      <c r="B2768" s="1" t="n">
        <v>45574</v>
      </c>
      <c r="C2768" s="1" t="n">
        <v>45662</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44786-2024</t>
        </is>
      </c>
      <c r="B2769" s="1" t="n">
        <v>45574</v>
      </c>
      <c r="C2769" s="1" t="n">
        <v>45662</v>
      </c>
      <c r="D2769" t="inlineStr">
        <is>
          <t>VÄRMLANDS LÄN</t>
        </is>
      </c>
      <c r="E2769" t="inlineStr">
        <is>
          <t>TORSBY</t>
        </is>
      </c>
      <c r="F2769" t="inlineStr">
        <is>
          <t>Bergvik skog väst AB</t>
        </is>
      </c>
      <c r="G2769" t="n">
        <v>21.9</v>
      </c>
      <c r="H2769" t="n">
        <v>0</v>
      </c>
      <c r="I2769" t="n">
        <v>0</v>
      </c>
      <c r="J2769" t="n">
        <v>0</v>
      </c>
      <c r="K2769" t="n">
        <v>0</v>
      </c>
      <c r="L2769" t="n">
        <v>0</v>
      </c>
      <c r="M2769" t="n">
        <v>0</v>
      </c>
      <c r="N2769" t="n">
        <v>0</v>
      </c>
      <c r="O2769" t="n">
        <v>0</v>
      </c>
      <c r="P2769" t="n">
        <v>0</v>
      </c>
      <c r="Q2769" t="n">
        <v>0</v>
      </c>
      <c r="R2769" s="2" t="inlineStr"/>
    </row>
    <row r="2770" ht="15" customHeight="1">
      <c r="A2770" t="inlineStr">
        <is>
          <t>A 44659-2024</t>
        </is>
      </c>
      <c r="B2770" s="1" t="n">
        <v>45574</v>
      </c>
      <c r="C2770" s="1" t="n">
        <v>45662</v>
      </c>
      <c r="D2770" t="inlineStr">
        <is>
          <t>VÄRMLANDS LÄN</t>
        </is>
      </c>
      <c r="E2770" t="inlineStr">
        <is>
          <t>TORSBY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44683-2024</t>
        </is>
      </c>
      <c r="B2771" s="1" t="n">
        <v>45574</v>
      </c>
      <c r="C2771" s="1" t="n">
        <v>45662</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44470-2024</t>
        </is>
      </c>
      <c r="B2772" s="1" t="n">
        <v>45574</v>
      </c>
      <c r="C2772" s="1" t="n">
        <v>45662</v>
      </c>
      <c r="D2772" t="inlineStr">
        <is>
          <t>VÄRMLANDS LÄN</t>
        </is>
      </c>
      <c r="E2772" t="inlineStr">
        <is>
          <t>TORSBY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44764-2024</t>
        </is>
      </c>
      <c r="B2773" s="1" t="n">
        <v>45574</v>
      </c>
      <c r="C2773" s="1" t="n">
        <v>45662</v>
      </c>
      <c r="D2773" t="inlineStr">
        <is>
          <t>VÄRMLANDS LÄN</t>
        </is>
      </c>
      <c r="E2773" t="inlineStr">
        <is>
          <t>TORSBY</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44838-2024</t>
        </is>
      </c>
      <c r="B2774" s="1" t="n">
        <v>45574</v>
      </c>
      <c r="C2774" s="1" t="n">
        <v>45662</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45134-2024</t>
        </is>
      </c>
      <c r="B2775" s="1" t="n">
        <v>45575</v>
      </c>
      <c r="C2775" s="1" t="n">
        <v>45662</v>
      </c>
      <c r="D2775" t="inlineStr">
        <is>
          <t>VÄRMLANDS LÄN</t>
        </is>
      </c>
      <c r="E2775" t="inlineStr">
        <is>
          <t>TORSBY</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45114-2024</t>
        </is>
      </c>
      <c r="B2776" s="1" t="n">
        <v>45575</v>
      </c>
      <c r="C2776" s="1" t="n">
        <v>45662</v>
      </c>
      <c r="D2776" t="inlineStr">
        <is>
          <t>VÄRMLANDS LÄN</t>
        </is>
      </c>
      <c r="E2776" t="inlineStr">
        <is>
          <t>TORSBY</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45129-2024</t>
        </is>
      </c>
      <c r="B2777" s="1" t="n">
        <v>45575</v>
      </c>
      <c r="C2777" s="1" t="n">
        <v>45662</v>
      </c>
      <c r="D2777" t="inlineStr">
        <is>
          <t>VÄRMLANDS LÄN</t>
        </is>
      </c>
      <c r="E2777" t="inlineStr">
        <is>
          <t>TORSBY</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45132-2024</t>
        </is>
      </c>
      <c r="B2778" s="1" t="n">
        <v>45575</v>
      </c>
      <c r="C2778" s="1" t="n">
        <v>45662</v>
      </c>
      <c r="D2778" t="inlineStr">
        <is>
          <t>VÄRMLANDS LÄN</t>
        </is>
      </c>
      <c r="E2778" t="inlineStr">
        <is>
          <t>TORSBY</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45022-2024</t>
        </is>
      </c>
      <c r="B2779" s="1" t="n">
        <v>45575</v>
      </c>
      <c r="C2779" s="1" t="n">
        <v>45662</v>
      </c>
      <c r="D2779" t="inlineStr">
        <is>
          <t>VÄRMLANDS LÄN</t>
        </is>
      </c>
      <c r="E2779" t="inlineStr">
        <is>
          <t>TORSBY</t>
        </is>
      </c>
      <c r="F2779" t="inlineStr">
        <is>
          <t>Bergvik skog väst AB</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45227-2024</t>
        </is>
      </c>
      <c r="B2780" s="1" t="n">
        <v>45575</v>
      </c>
      <c r="C2780" s="1" t="n">
        <v>45662</v>
      </c>
      <c r="D2780" t="inlineStr">
        <is>
          <t>VÄRMLANDS LÄN</t>
        </is>
      </c>
      <c r="E2780" t="inlineStr">
        <is>
          <t>TORSBY</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44965-2024</t>
        </is>
      </c>
      <c r="B2781" s="1" t="n">
        <v>45575</v>
      </c>
      <c r="C2781" s="1" t="n">
        <v>45662</v>
      </c>
      <c r="D2781" t="inlineStr">
        <is>
          <t>VÄRMLANDS LÄN</t>
        </is>
      </c>
      <c r="E2781" t="inlineStr">
        <is>
          <t>TORSBY</t>
        </is>
      </c>
      <c r="F2781" t="inlineStr">
        <is>
          <t>Bergvik skog väst AB</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45389-2024</t>
        </is>
      </c>
      <c r="B2782" s="1" t="n">
        <v>45576</v>
      </c>
      <c r="C2782" s="1" t="n">
        <v>45662</v>
      </c>
      <c r="D2782" t="inlineStr">
        <is>
          <t>VÄRMLANDS LÄN</t>
        </is>
      </c>
      <c r="E2782" t="inlineStr">
        <is>
          <t>TORSBY</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45448-2024</t>
        </is>
      </c>
      <c r="B2783" s="1" t="n">
        <v>45576</v>
      </c>
      <c r="C2783" s="1" t="n">
        <v>45662</v>
      </c>
      <c r="D2783" t="inlineStr">
        <is>
          <t>VÄRMLANDS LÄN</t>
        </is>
      </c>
      <c r="E2783" t="inlineStr">
        <is>
          <t>TORSBY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45385-2024</t>
        </is>
      </c>
      <c r="B2784" s="1" t="n">
        <v>45576</v>
      </c>
      <c r="C2784" s="1" t="n">
        <v>45662</v>
      </c>
      <c r="D2784" t="inlineStr">
        <is>
          <t>VÄRMLANDS LÄN</t>
        </is>
      </c>
      <c r="E2784" t="inlineStr">
        <is>
          <t>TORSBY</t>
        </is>
      </c>
      <c r="F2784" t="inlineStr">
        <is>
          <t>Bergvik skog väst AB</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45669-2024</t>
        </is>
      </c>
      <c r="B2785" s="1" t="n">
        <v>45579</v>
      </c>
      <c r="C2785" s="1" t="n">
        <v>45662</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45548-2024</t>
        </is>
      </c>
      <c r="B2786" s="1" t="n">
        <v>45579</v>
      </c>
      <c r="C2786" s="1" t="n">
        <v>45662</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45812-2024</t>
        </is>
      </c>
      <c r="B2787" s="1" t="n">
        <v>45579</v>
      </c>
      <c r="C2787" s="1" t="n">
        <v>45662</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45849-2024</t>
        </is>
      </c>
      <c r="B2788" s="1" t="n">
        <v>45580</v>
      </c>
      <c r="C2788" s="1" t="n">
        <v>45662</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46239-2024</t>
        </is>
      </c>
      <c r="B2789" s="1" t="n">
        <v>45581</v>
      </c>
      <c r="C2789" s="1" t="n">
        <v>45662</v>
      </c>
      <c r="D2789" t="inlineStr">
        <is>
          <t>VÄRMLANDS LÄN</t>
        </is>
      </c>
      <c r="E2789" t="inlineStr">
        <is>
          <t>TORSBY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46152-2024</t>
        </is>
      </c>
      <c r="B2790" s="1" t="n">
        <v>45581</v>
      </c>
      <c r="C2790" s="1" t="n">
        <v>45662</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46166-2024</t>
        </is>
      </c>
      <c r="B2791" s="1" t="n">
        <v>45581</v>
      </c>
      <c r="C2791" s="1" t="n">
        <v>45662</v>
      </c>
      <c r="D2791" t="inlineStr">
        <is>
          <t>VÄRMLANDS LÄN</t>
        </is>
      </c>
      <c r="E2791" t="inlineStr">
        <is>
          <t>TORSBY</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46471-2024</t>
        </is>
      </c>
      <c r="B2792" s="1" t="n">
        <v>45582</v>
      </c>
      <c r="C2792" s="1" t="n">
        <v>45662</v>
      </c>
      <c r="D2792" t="inlineStr">
        <is>
          <t>VÄRMLANDS LÄN</t>
        </is>
      </c>
      <c r="E2792" t="inlineStr">
        <is>
          <t>TORSBY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46503-2024</t>
        </is>
      </c>
      <c r="B2793" s="1" t="n">
        <v>45582</v>
      </c>
      <c r="C2793" s="1" t="n">
        <v>45662</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46456-2024</t>
        </is>
      </c>
      <c r="B2794" s="1" t="n">
        <v>45582</v>
      </c>
      <c r="C2794" s="1" t="n">
        <v>45662</v>
      </c>
      <c r="D2794" t="inlineStr">
        <is>
          <t>VÄRMLANDS LÄN</t>
        </is>
      </c>
      <c r="E2794" t="inlineStr">
        <is>
          <t>TORSBY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46343-2024</t>
        </is>
      </c>
      <c r="B2795" s="1" t="n">
        <v>45582</v>
      </c>
      <c r="C2795" s="1" t="n">
        <v>45662</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46914-2024</t>
        </is>
      </c>
      <c r="B2796" s="1" t="n">
        <v>45583</v>
      </c>
      <c r="C2796" s="1" t="n">
        <v>45662</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46698-2024</t>
        </is>
      </c>
      <c r="B2797" s="1" t="n">
        <v>45583</v>
      </c>
      <c r="C2797" s="1" t="n">
        <v>45662</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46909-2024</t>
        </is>
      </c>
      <c r="B2798" s="1" t="n">
        <v>45583</v>
      </c>
      <c r="C2798" s="1" t="n">
        <v>45662</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46917-2024</t>
        </is>
      </c>
      <c r="B2799" s="1" t="n">
        <v>45583</v>
      </c>
      <c r="C2799" s="1" t="n">
        <v>45662</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46912-2024</t>
        </is>
      </c>
      <c r="B2800" s="1" t="n">
        <v>45583</v>
      </c>
      <c r="C2800" s="1" t="n">
        <v>45662</v>
      </c>
      <c r="D2800" t="inlineStr">
        <is>
          <t>VÄRMLANDS LÄN</t>
        </is>
      </c>
      <c r="E2800" t="inlineStr">
        <is>
          <t>TORSBY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46915-2024</t>
        </is>
      </c>
      <c r="B2801" s="1" t="n">
        <v>45583</v>
      </c>
      <c r="C2801" s="1" t="n">
        <v>45662</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47005-2024</t>
        </is>
      </c>
      <c r="B2802" s="1" t="n">
        <v>45586</v>
      </c>
      <c r="C2802" s="1" t="n">
        <v>45662</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47006-2024</t>
        </is>
      </c>
      <c r="B2803" s="1" t="n">
        <v>45586</v>
      </c>
      <c r="C2803" s="1" t="n">
        <v>45662</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47553-2024</t>
        </is>
      </c>
      <c r="B2804" s="1" t="n">
        <v>45587</v>
      </c>
      <c r="C2804" s="1" t="n">
        <v>45662</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47465-2024</t>
        </is>
      </c>
      <c r="B2805" s="1" t="n">
        <v>45587</v>
      </c>
      <c r="C2805" s="1" t="n">
        <v>45662</v>
      </c>
      <c r="D2805" t="inlineStr">
        <is>
          <t>VÄRMLANDS LÄN</t>
        </is>
      </c>
      <c r="E2805" t="inlineStr">
        <is>
          <t>TORSBY</t>
        </is>
      </c>
      <c r="F2805" t="inlineStr">
        <is>
          <t>Övriga Aktiebolag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47316-2024</t>
        </is>
      </c>
      <c r="B2806" s="1" t="n">
        <v>45587</v>
      </c>
      <c r="C2806" s="1" t="n">
        <v>45662</v>
      </c>
      <c r="D2806" t="inlineStr">
        <is>
          <t>VÄRMLANDS LÄN</t>
        </is>
      </c>
      <c r="E2806" t="inlineStr">
        <is>
          <t>TORSBY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47452-2024</t>
        </is>
      </c>
      <c r="B2807" s="1" t="n">
        <v>45587</v>
      </c>
      <c r="C2807" s="1" t="n">
        <v>45662</v>
      </c>
      <c r="D2807" t="inlineStr">
        <is>
          <t>VÄRMLANDS LÄN</t>
        </is>
      </c>
      <c r="E2807" t="inlineStr">
        <is>
          <t>TORSBY</t>
        </is>
      </c>
      <c r="F2807" t="inlineStr">
        <is>
          <t>Övriga Aktiebolag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47755-2024</t>
        </is>
      </c>
      <c r="B2808" s="1" t="n">
        <v>45588</v>
      </c>
      <c r="C2808" s="1" t="n">
        <v>45662</v>
      </c>
      <c r="D2808" t="inlineStr">
        <is>
          <t>VÄRMLANDS LÄN</t>
        </is>
      </c>
      <c r="E2808" t="inlineStr">
        <is>
          <t>TORSBY</t>
        </is>
      </c>
      <c r="F2808" t="inlineStr">
        <is>
          <t>Bergvik skog väst AB</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47651-2024</t>
        </is>
      </c>
      <c r="B2809" s="1" t="n">
        <v>45588</v>
      </c>
      <c r="C2809" s="1" t="n">
        <v>45662</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47619-2024</t>
        </is>
      </c>
      <c r="B2810" s="1" t="n">
        <v>45588</v>
      </c>
      <c r="C2810" s="1" t="n">
        <v>45662</v>
      </c>
      <c r="D2810" t="inlineStr">
        <is>
          <t>VÄRMLANDS LÄN</t>
        </is>
      </c>
      <c r="E2810" t="inlineStr">
        <is>
          <t>TORSBY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47835-2024</t>
        </is>
      </c>
      <c r="B2811" s="1" t="n">
        <v>45588</v>
      </c>
      <c r="C2811" s="1" t="n">
        <v>45662</v>
      </c>
      <c r="D2811" t="inlineStr">
        <is>
          <t>VÄRMLANDS LÄN</t>
        </is>
      </c>
      <c r="E2811" t="inlineStr">
        <is>
          <t>TORSBY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47839-2024</t>
        </is>
      </c>
      <c r="B2812" s="1" t="n">
        <v>45588</v>
      </c>
      <c r="C2812" s="1" t="n">
        <v>45662</v>
      </c>
      <c r="D2812" t="inlineStr">
        <is>
          <t>VÄRMLANDS LÄN</t>
        </is>
      </c>
      <c r="E2812" t="inlineStr">
        <is>
          <t>TORSBY</t>
        </is>
      </c>
      <c r="F2812" t="inlineStr">
        <is>
          <t>Bergvik skog väst AB</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47863-2024</t>
        </is>
      </c>
      <c r="B2813" s="1" t="n">
        <v>45588</v>
      </c>
      <c r="C2813" s="1" t="n">
        <v>45662</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48185-2024</t>
        </is>
      </c>
      <c r="B2814" s="1" t="n">
        <v>45589</v>
      </c>
      <c r="C2814" s="1" t="n">
        <v>45662</v>
      </c>
      <c r="D2814" t="inlineStr">
        <is>
          <t>VÄRMLANDS LÄN</t>
        </is>
      </c>
      <c r="E2814" t="inlineStr">
        <is>
          <t>TORSBY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48160-2024</t>
        </is>
      </c>
      <c r="B2815" s="1" t="n">
        <v>45589</v>
      </c>
      <c r="C2815" s="1" t="n">
        <v>45662</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48305-2024</t>
        </is>
      </c>
      <c r="B2816" s="1" t="n">
        <v>45590</v>
      </c>
      <c r="C2816" s="1" t="n">
        <v>45662</v>
      </c>
      <c r="D2816" t="inlineStr">
        <is>
          <t>VÄRMLANDS LÄN</t>
        </is>
      </c>
      <c r="E2816" t="inlineStr">
        <is>
          <t>TORSBY</t>
        </is>
      </c>
      <c r="F2816" t="inlineStr">
        <is>
          <t>Bergvik skog väst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48253-2024</t>
        </is>
      </c>
      <c r="B2817" s="1" t="n">
        <v>45590</v>
      </c>
      <c r="C2817" s="1" t="n">
        <v>45662</v>
      </c>
      <c r="D2817" t="inlineStr">
        <is>
          <t>VÄRMLANDS LÄN</t>
        </is>
      </c>
      <c r="E2817" t="inlineStr">
        <is>
          <t>TORSBY</t>
        </is>
      </c>
      <c r="F2817" t="inlineStr">
        <is>
          <t>Bergvik skog väst AB</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48629-2024</t>
        </is>
      </c>
      <c r="B2818" s="1" t="n">
        <v>45593</v>
      </c>
      <c r="C2818" s="1" t="n">
        <v>45662</v>
      </c>
      <c r="D2818" t="inlineStr">
        <is>
          <t>VÄRMLANDS LÄN</t>
        </is>
      </c>
      <c r="E2818" t="inlineStr">
        <is>
          <t>TORSBY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48540-2024</t>
        </is>
      </c>
      <c r="B2819" s="1" t="n">
        <v>45593</v>
      </c>
      <c r="C2819" s="1" t="n">
        <v>45662</v>
      </c>
      <c r="D2819" t="inlineStr">
        <is>
          <t>VÄRMLANDS LÄN</t>
        </is>
      </c>
      <c r="E2819" t="inlineStr">
        <is>
          <t>TORSBY</t>
        </is>
      </c>
      <c r="G2819" t="n">
        <v>16.5</v>
      </c>
      <c r="H2819" t="n">
        <v>0</v>
      </c>
      <c r="I2819" t="n">
        <v>0</v>
      </c>
      <c r="J2819" t="n">
        <v>0</v>
      </c>
      <c r="K2819" t="n">
        <v>0</v>
      </c>
      <c r="L2819" t="n">
        <v>0</v>
      </c>
      <c r="M2819" t="n">
        <v>0</v>
      </c>
      <c r="N2819" t="n">
        <v>0</v>
      </c>
      <c r="O2819" t="n">
        <v>0</v>
      </c>
      <c r="P2819" t="n">
        <v>0</v>
      </c>
      <c r="Q2819" t="n">
        <v>0</v>
      </c>
      <c r="R2819" s="2" t="inlineStr"/>
    </row>
    <row r="2820" ht="15" customHeight="1">
      <c r="A2820" t="inlineStr">
        <is>
          <t>A 48721-2024</t>
        </is>
      </c>
      <c r="B2820" s="1" t="n">
        <v>45593</v>
      </c>
      <c r="C2820" s="1" t="n">
        <v>45662</v>
      </c>
      <c r="D2820" t="inlineStr">
        <is>
          <t>VÄRMLANDS LÄN</t>
        </is>
      </c>
      <c r="E2820" t="inlineStr">
        <is>
          <t>TORSBY</t>
        </is>
      </c>
      <c r="F2820" t="inlineStr">
        <is>
          <t>Bergvik skog väst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48840-2024</t>
        </is>
      </c>
      <c r="B2821" s="1" t="n">
        <v>45593</v>
      </c>
      <c r="C2821" s="1" t="n">
        <v>45662</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48627-2024</t>
        </is>
      </c>
      <c r="B2822" s="1" t="n">
        <v>45593</v>
      </c>
      <c r="C2822" s="1" t="n">
        <v>45662</v>
      </c>
      <c r="D2822" t="inlineStr">
        <is>
          <t>VÄRMLANDS LÄN</t>
        </is>
      </c>
      <c r="E2822" t="inlineStr">
        <is>
          <t>TORSBY</t>
        </is>
      </c>
      <c r="F2822" t="inlineStr">
        <is>
          <t>Bergvik skog väst AB</t>
        </is>
      </c>
      <c r="G2822" t="n">
        <v>42.6</v>
      </c>
      <c r="H2822" t="n">
        <v>0</v>
      </c>
      <c r="I2822" t="n">
        <v>0</v>
      </c>
      <c r="J2822" t="n">
        <v>0</v>
      </c>
      <c r="K2822" t="n">
        <v>0</v>
      </c>
      <c r="L2822" t="n">
        <v>0</v>
      </c>
      <c r="M2822" t="n">
        <v>0</v>
      </c>
      <c r="N2822" t="n">
        <v>0</v>
      </c>
      <c r="O2822" t="n">
        <v>0</v>
      </c>
      <c r="P2822" t="n">
        <v>0</v>
      </c>
      <c r="Q2822" t="n">
        <v>0</v>
      </c>
      <c r="R2822" s="2" t="inlineStr"/>
    </row>
    <row r="2823" ht="15" customHeight="1">
      <c r="A2823" t="inlineStr">
        <is>
          <t>A 48558-2024</t>
        </is>
      </c>
      <c r="B2823" s="1" t="n">
        <v>45593</v>
      </c>
      <c r="C2823" s="1" t="n">
        <v>45662</v>
      </c>
      <c r="D2823" t="inlineStr">
        <is>
          <t>VÄRMLANDS LÄN</t>
        </is>
      </c>
      <c r="E2823" t="inlineStr">
        <is>
          <t>TORSBY</t>
        </is>
      </c>
      <c r="F2823" t="inlineStr">
        <is>
          <t>Bergvik skog väst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48874-2024</t>
        </is>
      </c>
      <c r="B2824" s="1" t="n">
        <v>45594</v>
      </c>
      <c r="C2824" s="1" t="n">
        <v>45662</v>
      </c>
      <c r="D2824" t="inlineStr">
        <is>
          <t>VÄRMLANDS LÄN</t>
        </is>
      </c>
      <c r="E2824" t="inlineStr">
        <is>
          <t>TORSBY</t>
        </is>
      </c>
      <c r="F2824" t="inlineStr">
        <is>
          <t>Bergvik skog väst AB</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48963-2024</t>
        </is>
      </c>
      <c r="B2825" s="1" t="n">
        <v>45594</v>
      </c>
      <c r="C2825" s="1" t="n">
        <v>45662</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48903-2024</t>
        </is>
      </c>
      <c r="B2826" s="1" t="n">
        <v>45594</v>
      </c>
      <c r="C2826" s="1" t="n">
        <v>45662</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49163-2024</t>
        </is>
      </c>
      <c r="B2827" s="1" t="n">
        <v>45594</v>
      </c>
      <c r="C2827" s="1" t="n">
        <v>45662</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49195-2024</t>
        </is>
      </c>
      <c r="B2828" s="1" t="n">
        <v>45595</v>
      </c>
      <c r="C2828" s="1" t="n">
        <v>45662</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49383-2024</t>
        </is>
      </c>
      <c r="B2829" s="1" t="n">
        <v>45595</v>
      </c>
      <c r="C2829" s="1" t="n">
        <v>45662</v>
      </c>
      <c r="D2829" t="inlineStr">
        <is>
          <t>VÄRMLANDS LÄN</t>
        </is>
      </c>
      <c r="E2829" t="inlineStr">
        <is>
          <t>TORSBY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49298-2024</t>
        </is>
      </c>
      <c r="B2830" s="1" t="n">
        <v>45595</v>
      </c>
      <c r="C2830" s="1" t="n">
        <v>45662</v>
      </c>
      <c r="D2830" t="inlineStr">
        <is>
          <t>VÄRMLANDS LÄN</t>
        </is>
      </c>
      <c r="E2830" t="inlineStr">
        <is>
          <t>TORSBY</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49524-2024</t>
        </is>
      </c>
      <c r="B2831" s="1" t="n">
        <v>45596</v>
      </c>
      <c r="C2831" s="1" t="n">
        <v>45662</v>
      </c>
      <c r="D2831" t="inlineStr">
        <is>
          <t>VÄRMLANDS LÄN</t>
        </is>
      </c>
      <c r="E2831" t="inlineStr">
        <is>
          <t>TORSBY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49912-2024</t>
        </is>
      </c>
      <c r="B2832" s="1" t="n">
        <v>45597</v>
      </c>
      <c r="C2832" s="1" t="n">
        <v>45662</v>
      </c>
      <c r="D2832" t="inlineStr">
        <is>
          <t>VÄRMLANDS LÄN</t>
        </is>
      </c>
      <c r="E2832" t="inlineStr">
        <is>
          <t>TORSBY</t>
        </is>
      </c>
      <c r="F2832" t="inlineStr">
        <is>
          <t>Bergvik skog väst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49845-2024</t>
        </is>
      </c>
      <c r="B2833" s="1" t="n">
        <v>45597</v>
      </c>
      <c r="C2833" s="1" t="n">
        <v>45662</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49936-2024</t>
        </is>
      </c>
      <c r="B2834" s="1" t="n">
        <v>45597</v>
      </c>
      <c r="C2834" s="1" t="n">
        <v>45662</v>
      </c>
      <c r="D2834" t="inlineStr">
        <is>
          <t>VÄRMLANDS LÄN</t>
        </is>
      </c>
      <c r="E2834" t="inlineStr">
        <is>
          <t>TORSBY</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49840-2024</t>
        </is>
      </c>
      <c r="B2835" s="1" t="n">
        <v>45597</v>
      </c>
      <c r="C2835" s="1" t="n">
        <v>45662</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50147-2024</t>
        </is>
      </c>
      <c r="B2836" s="1" t="n">
        <v>45600</v>
      </c>
      <c r="C2836" s="1" t="n">
        <v>45662</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50235-2024</t>
        </is>
      </c>
      <c r="B2837" s="1" t="n">
        <v>45600</v>
      </c>
      <c r="C2837" s="1" t="n">
        <v>45662</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50318-2024</t>
        </is>
      </c>
      <c r="B2838" s="1" t="n">
        <v>45600</v>
      </c>
      <c r="C2838" s="1" t="n">
        <v>45662</v>
      </c>
      <c r="D2838" t="inlineStr">
        <is>
          <t>VÄRMLANDS LÄN</t>
        </is>
      </c>
      <c r="E2838" t="inlineStr">
        <is>
          <t>TORSBY</t>
        </is>
      </c>
      <c r="F2838" t="inlineStr">
        <is>
          <t>Bergvik skog väst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50568-2024</t>
        </is>
      </c>
      <c r="B2839" s="1" t="n">
        <v>45601</v>
      </c>
      <c r="C2839" s="1" t="n">
        <v>45662</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50386-2024</t>
        </is>
      </c>
      <c r="B2840" s="1" t="n">
        <v>45601</v>
      </c>
      <c r="C2840" s="1" t="n">
        <v>45662</v>
      </c>
      <c r="D2840" t="inlineStr">
        <is>
          <t>VÄRMLANDS LÄN</t>
        </is>
      </c>
      <c r="E2840" t="inlineStr">
        <is>
          <t>TORSBY</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50373-2024</t>
        </is>
      </c>
      <c r="B2841" s="1" t="n">
        <v>45601</v>
      </c>
      <c r="C2841" s="1" t="n">
        <v>45662</v>
      </c>
      <c r="D2841" t="inlineStr">
        <is>
          <t>VÄRMLANDS LÄN</t>
        </is>
      </c>
      <c r="E2841" t="inlineStr">
        <is>
          <t>TORSBY</t>
        </is>
      </c>
      <c r="F2841" t="inlineStr">
        <is>
          <t>Övriga Aktiebolag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50372-2024</t>
        </is>
      </c>
      <c r="B2842" s="1" t="n">
        <v>45601</v>
      </c>
      <c r="C2842" s="1" t="n">
        <v>45662</v>
      </c>
      <c r="D2842" t="inlineStr">
        <is>
          <t>VÄRMLANDS LÄN</t>
        </is>
      </c>
      <c r="E2842" t="inlineStr">
        <is>
          <t>TORSBY</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50376-2024</t>
        </is>
      </c>
      <c r="B2843" s="1" t="n">
        <v>45601</v>
      </c>
      <c r="C2843" s="1" t="n">
        <v>45662</v>
      </c>
      <c r="D2843" t="inlineStr">
        <is>
          <t>VÄRMLANDS LÄN</t>
        </is>
      </c>
      <c r="E2843" t="inlineStr">
        <is>
          <t>TORSBY</t>
        </is>
      </c>
      <c r="F2843" t="inlineStr">
        <is>
          <t>Övriga Aktiebolag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50380-2024</t>
        </is>
      </c>
      <c r="B2844" s="1" t="n">
        <v>45601</v>
      </c>
      <c r="C2844" s="1" t="n">
        <v>45662</v>
      </c>
      <c r="D2844" t="inlineStr">
        <is>
          <t>VÄRMLANDS LÄN</t>
        </is>
      </c>
      <c r="E2844" t="inlineStr">
        <is>
          <t>TORSBY</t>
        </is>
      </c>
      <c r="F2844" t="inlineStr">
        <is>
          <t>Bergvik skog väst AB</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50494-2024</t>
        </is>
      </c>
      <c r="B2845" s="1" t="n">
        <v>45601</v>
      </c>
      <c r="C2845" s="1" t="n">
        <v>45662</v>
      </c>
      <c r="D2845" t="inlineStr">
        <is>
          <t>VÄRMLANDS LÄN</t>
        </is>
      </c>
      <c r="E2845" t="inlineStr">
        <is>
          <t>TORSBY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50832-2024</t>
        </is>
      </c>
      <c r="B2846" s="1" t="n">
        <v>45602</v>
      </c>
      <c r="C2846" s="1" t="n">
        <v>45662</v>
      </c>
      <c r="D2846" t="inlineStr">
        <is>
          <t>VÄRMLANDS LÄN</t>
        </is>
      </c>
      <c r="E2846" t="inlineStr">
        <is>
          <t>TORSBY</t>
        </is>
      </c>
      <c r="F2846" t="inlineStr">
        <is>
          <t>Bergvik skog väst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51271-2024</t>
        </is>
      </c>
      <c r="B2847" s="1" t="n">
        <v>45603</v>
      </c>
      <c r="C2847" s="1" t="n">
        <v>45662</v>
      </c>
      <c r="D2847" t="inlineStr">
        <is>
          <t>VÄRMLANDS LÄN</t>
        </is>
      </c>
      <c r="E2847" t="inlineStr">
        <is>
          <t>TORSBY</t>
        </is>
      </c>
      <c r="F2847" t="inlineStr">
        <is>
          <t>Bergvik skog väst AB</t>
        </is>
      </c>
      <c r="G2847" t="n">
        <v>22.5</v>
      </c>
      <c r="H2847" t="n">
        <v>0</v>
      </c>
      <c r="I2847" t="n">
        <v>0</v>
      </c>
      <c r="J2847" t="n">
        <v>0</v>
      </c>
      <c r="K2847" t="n">
        <v>0</v>
      </c>
      <c r="L2847" t="n">
        <v>0</v>
      </c>
      <c r="M2847" t="n">
        <v>0</v>
      </c>
      <c r="N2847" t="n">
        <v>0</v>
      </c>
      <c r="O2847" t="n">
        <v>0</v>
      </c>
      <c r="P2847" t="n">
        <v>0</v>
      </c>
      <c r="Q2847" t="n">
        <v>0</v>
      </c>
      <c r="R2847" s="2" t="inlineStr"/>
    </row>
    <row r="2848" ht="15" customHeight="1">
      <c r="A2848" t="inlineStr">
        <is>
          <t>A 51369-2024</t>
        </is>
      </c>
      <c r="B2848" s="1" t="n">
        <v>45604</v>
      </c>
      <c r="C2848" s="1" t="n">
        <v>45662</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51469-2024</t>
        </is>
      </c>
      <c r="B2849" s="1" t="n">
        <v>45604</v>
      </c>
      <c r="C2849" s="1" t="n">
        <v>45662</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51661-2024</t>
        </is>
      </c>
      <c r="B2850" s="1" t="n">
        <v>45606</v>
      </c>
      <c r="C2850" s="1" t="n">
        <v>45662</v>
      </c>
      <c r="D2850" t="inlineStr">
        <is>
          <t>VÄRMLANDS LÄN</t>
        </is>
      </c>
      <c r="E2850" t="inlineStr">
        <is>
          <t>TORSBY</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51662-2024</t>
        </is>
      </c>
      <c r="B2851" s="1" t="n">
        <v>45606</v>
      </c>
      <c r="C2851" s="1" t="n">
        <v>45662</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51663-2024</t>
        </is>
      </c>
      <c r="B2852" s="1" t="n">
        <v>45606</v>
      </c>
      <c r="C2852" s="1" t="n">
        <v>45662</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51660-2024</t>
        </is>
      </c>
      <c r="B2853" s="1" t="n">
        <v>45606</v>
      </c>
      <c r="C2853" s="1" t="n">
        <v>45662</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51987-2024</t>
        </is>
      </c>
      <c r="B2854" s="1" t="n">
        <v>45607</v>
      </c>
      <c r="C2854" s="1" t="n">
        <v>45662</v>
      </c>
      <c r="D2854" t="inlineStr">
        <is>
          <t>VÄRMLANDS LÄN</t>
        </is>
      </c>
      <c r="E2854" t="inlineStr">
        <is>
          <t>TORSBY</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51836-2024</t>
        </is>
      </c>
      <c r="B2855" s="1" t="n">
        <v>45607</v>
      </c>
      <c r="C2855" s="1" t="n">
        <v>45662</v>
      </c>
      <c r="D2855" t="inlineStr">
        <is>
          <t>VÄRMLANDS LÄN</t>
        </is>
      </c>
      <c r="E2855" t="inlineStr">
        <is>
          <t>TORSBY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51823-2024</t>
        </is>
      </c>
      <c r="B2856" s="1" t="n">
        <v>45607</v>
      </c>
      <c r="C2856" s="1" t="n">
        <v>45662</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51785-2024</t>
        </is>
      </c>
      <c r="B2857" s="1" t="n">
        <v>45607</v>
      </c>
      <c r="C2857" s="1" t="n">
        <v>45662</v>
      </c>
      <c r="D2857" t="inlineStr">
        <is>
          <t>VÄRMLANDS LÄN</t>
        </is>
      </c>
      <c r="E2857" t="inlineStr">
        <is>
          <t>TORSBY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45662</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45662</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45662</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45662</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52062-2024</t>
        </is>
      </c>
      <c r="B2862" s="1" t="n">
        <v>45608</v>
      </c>
      <c r="C2862" s="1" t="n">
        <v>45662</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52262-2024</t>
        </is>
      </c>
      <c r="B2863" s="1" t="n">
        <v>45608</v>
      </c>
      <c r="C2863" s="1" t="n">
        <v>45662</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52051-2024</t>
        </is>
      </c>
      <c r="B2864" s="1" t="n">
        <v>45608</v>
      </c>
      <c r="C2864" s="1" t="n">
        <v>45662</v>
      </c>
      <c r="D2864" t="inlineStr">
        <is>
          <t>VÄRMLANDS LÄN</t>
        </is>
      </c>
      <c r="E2864" t="inlineStr">
        <is>
          <t>TORSBY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52057-2024</t>
        </is>
      </c>
      <c r="B2865" s="1" t="n">
        <v>45608</v>
      </c>
      <c r="C2865" s="1" t="n">
        <v>45662</v>
      </c>
      <c r="D2865" t="inlineStr">
        <is>
          <t>VÄRMLANDS LÄN</t>
        </is>
      </c>
      <c r="E2865" t="inlineStr">
        <is>
          <t>TORSBY</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52334-2024</t>
        </is>
      </c>
      <c r="B2866" s="1" t="n">
        <v>45609</v>
      </c>
      <c r="C2866" s="1" t="n">
        <v>45662</v>
      </c>
      <c r="D2866" t="inlineStr">
        <is>
          <t>VÄRMLANDS LÄN</t>
        </is>
      </c>
      <c r="E2866" t="inlineStr">
        <is>
          <t>TORSBY</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52386-2024</t>
        </is>
      </c>
      <c r="B2867" s="1" t="n">
        <v>45609</v>
      </c>
      <c r="C2867" s="1" t="n">
        <v>45662</v>
      </c>
      <c r="D2867" t="inlineStr">
        <is>
          <t>VÄRMLANDS LÄN</t>
        </is>
      </c>
      <c r="E2867" t="inlineStr">
        <is>
          <t>TORSBY</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52595-2024</t>
        </is>
      </c>
      <c r="B2868" s="1" t="n">
        <v>45609</v>
      </c>
      <c r="C2868" s="1" t="n">
        <v>45662</v>
      </c>
      <c r="D2868" t="inlineStr">
        <is>
          <t>VÄRMLANDS LÄN</t>
        </is>
      </c>
      <c r="E2868" t="inlineStr">
        <is>
          <t>TORSBY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52592-2024</t>
        </is>
      </c>
      <c r="B2869" s="1" t="n">
        <v>45609</v>
      </c>
      <c r="C2869" s="1" t="n">
        <v>45662</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52581-2024</t>
        </is>
      </c>
      <c r="B2870" s="1" t="n">
        <v>45609</v>
      </c>
      <c r="C2870" s="1" t="n">
        <v>45662</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52669-2024</t>
        </is>
      </c>
      <c r="B2871" s="1" t="n">
        <v>45610</v>
      </c>
      <c r="C2871" s="1" t="n">
        <v>45662</v>
      </c>
      <c r="D2871" t="inlineStr">
        <is>
          <t>VÄRMLANDS LÄN</t>
        </is>
      </c>
      <c r="E2871" t="inlineStr">
        <is>
          <t>TORSBY</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45662</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52689-2024</t>
        </is>
      </c>
      <c r="B2873" s="1" t="n">
        <v>45610</v>
      </c>
      <c r="C2873" s="1" t="n">
        <v>45662</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52801-2024</t>
        </is>
      </c>
      <c r="B2874" s="1" t="n">
        <v>45610</v>
      </c>
      <c r="C2874" s="1" t="n">
        <v>45662</v>
      </c>
      <c r="D2874" t="inlineStr">
        <is>
          <t>VÄRMLANDS LÄN</t>
        </is>
      </c>
      <c r="E2874" t="inlineStr">
        <is>
          <t>TORSBY</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52809-2024</t>
        </is>
      </c>
      <c r="B2875" s="1" t="n">
        <v>45610</v>
      </c>
      <c r="C2875" s="1" t="n">
        <v>45662</v>
      </c>
      <c r="D2875" t="inlineStr">
        <is>
          <t>VÄRMLANDS LÄN</t>
        </is>
      </c>
      <c r="E2875" t="inlineStr">
        <is>
          <t>TORSBY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52940-2024</t>
        </is>
      </c>
      <c r="B2876" s="1" t="n">
        <v>45610</v>
      </c>
      <c r="C2876" s="1" t="n">
        <v>45662</v>
      </c>
      <c r="D2876" t="inlineStr">
        <is>
          <t>VÄRMLANDS LÄN</t>
        </is>
      </c>
      <c r="E2876" t="inlineStr">
        <is>
          <t>TORSBY</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52956-2024</t>
        </is>
      </c>
      <c r="B2877" s="1" t="n">
        <v>45610</v>
      </c>
      <c r="C2877" s="1" t="n">
        <v>45662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52949-2024</t>
        </is>
      </c>
      <c r="B2878" s="1" t="n">
        <v>45610</v>
      </c>
      <c r="C2878" s="1" t="n">
        <v>45662</v>
      </c>
      <c r="D2878" t="inlineStr">
        <is>
          <t>VÄRMLANDS LÄN</t>
        </is>
      </c>
      <c r="E2878" t="inlineStr">
        <is>
          <t>TORSBY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52957-2024</t>
        </is>
      </c>
      <c r="B2879" s="1" t="n">
        <v>45610</v>
      </c>
      <c r="C2879" s="1" t="n">
        <v>45662</v>
      </c>
      <c r="D2879" t="inlineStr">
        <is>
          <t>VÄRMLANDS LÄN</t>
        </is>
      </c>
      <c r="E2879" t="inlineStr">
        <is>
          <t>TORSBY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52947-2024</t>
        </is>
      </c>
      <c r="B2880" s="1" t="n">
        <v>45610</v>
      </c>
      <c r="C2880" s="1" t="n">
        <v>45662</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52750-2024</t>
        </is>
      </c>
      <c r="B2881" s="1" t="n">
        <v>45610</v>
      </c>
      <c r="C2881" s="1" t="n">
        <v>45662</v>
      </c>
      <c r="D2881" t="inlineStr">
        <is>
          <t>VÄRMLANDS LÄN</t>
        </is>
      </c>
      <c r="E2881" t="inlineStr">
        <is>
          <t>TORSBY</t>
        </is>
      </c>
      <c r="F2881" t="inlineStr">
        <is>
          <t>Kyrkan</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53035-2024</t>
        </is>
      </c>
      <c r="B2882" s="1" t="n">
        <v>45611</v>
      </c>
      <c r="C2882" s="1" t="n">
        <v>45662</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53146-2024</t>
        </is>
      </c>
      <c r="B2883" s="1" t="n">
        <v>45611</v>
      </c>
      <c r="C2883" s="1" t="n">
        <v>45662</v>
      </c>
      <c r="D2883" t="inlineStr">
        <is>
          <t>VÄRMLANDS LÄN</t>
        </is>
      </c>
      <c r="E2883" t="inlineStr">
        <is>
          <t>TORSBY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45662</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53044-2024</t>
        </is>
      </c>
      <c r="B2885" s="1" t="n">
        <v>45611</v>
      </c>
      <c r="C2885" s="1" t="n">
        <v>45662</v>
      </c>
      <c r="D2885" t="inlineStr">
        <is>
          <t>VÄRMLANDS LÄN</t>
        </is>
      </c>
      <c r="E2885" t="inlineStr">
        <is>
          <t>TORSBY</t>
        </is>
      </c>
      <c r="F2885" t="inlineStr">
        <is>
          <t>Kyrkan</t>
        </is>
      </c>
      <c r="G2885" t="n">
        <v>25.8</v>
      </c>
      <c r="H2885" t="n">
        <v>0</v>
      </c>
      <c r="I2885" t="n">
        <v>0</v>
      </c>
      <c r="J2885" t="n">
        <v>0</v>
      </c>
      <c r="K2885" t="n">
        <v>0</v>
      </c>
      <c r="L2885" t="n">
        <v>0</v>
      </c>
      <c r="M2885" t="n">
        <v>0</v>
      </c>
      <c r="N2885" t="n">
        <v>0</v>
      </c>
      <c r="O2885" t="n">
        <v>0</v>
      </c>
      <c r="P2885" t="n">
        <v>0</v>
      </c>
      <c r="Q2885" t="n">
        <v>0</v>
      </c>
      <c r="R2885" s="2" t="inlineStr"/>
    </row>
    <row r="2886" ht="15" customHeight="1">
      <c r="A2886" t="inlineStr">
        <is>
          <t>A 53038-2024</t>
        </is>
      </c>
      <c r="B2886" s="1" t="n">
        <v>45611</v>
      </c>
      <c r="C2886" s="1" t="n">
        <v>45662</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53025-2024</t>
        </is>
      </c>
      <c r="B2887" s="1" t="n">
        <v>45611</v>
      </c>
      <c r="C2887" s="1" t="n">
        <v>45662</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53099-2024</t>
        </is>
      </c>
      <c r="B2888" s="1" t="n">
        <v>45611</v>
      </c>
      <c r="C2888" s="1" t="n">
        <v>45662</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53211-2024</t>
        </is>
      </c>
      <c r="B2889" s="1" t="n">
        <v>45612</v>
      </c>
      <c r="C2889" s="1" t="n">
        <v>45662</v>
      </c>
      <c r="D2889" t="inlineStr">
        <is>
          <t>VÄRMLANDS LÄN</t>
        </is>
      </c>
      <c r="E2889" t="inlineStr">
        <is>
          <t>TORSBY</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45662</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45662</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45662</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45662</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53253-2024</t>
        </is>
      </c>
      <c r="B2894" s="1" t="n">
        <v>45614</v>
      </c>
      <c r="C2894" s="1" t="n">
        <v>45662</v>
      </c>
      <c r="D2894" t="inlineStr">
        <is>
          <t>VÄRMLANDS LÄN</t>
        </is>
      </c>
      <c r="E2894" t="inlineStr">
        <is>
          <t>TORSBY</t>
        </is>
      </c>
      <c r="F2894" t="inlineStr">
        <is>
          <t>Bergvik skog väst AB</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45662</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53396-2024</t>
        </is>
      </c>
      <c r="B2896" s="1" t="n">
        <v>45614</v>
      </c>
      <c r="C2896" s="1" t="n">
        <v>45662</v>
      </c>
      <c r="D2896" t="inlineStr">
        <is>
          <t>VÄRMLANDS LÄN</t>
        </is>
      </c>
      <c r="E2896" t="inlineStr">
        <is>
          <t>TORSBY</t>
        </is>
      </c>
      <c r="F2896" t="inlineStr">
        <is>
          <t>Bergvik skog väst AB</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53593-2024</t>
        </is>
      </c>
      <c r="B2897" s="1" t="n">
        <v>45614</v>
      </c>
      <c r="C2897" s="1" t="n">
        <v>45662</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53506-2024</t>
        </is>
      </c>
      <c r="B2898" s="1" t="n">
        <v>45614</v>
      </c>
      <c r="C2898" s="1" t="n">
        <v>45662</v>
      </c>
      <c r="D2898" t="inlineStr">
        <is>
          <t>VÄRMLANDS LÄN</t>
        </is>
      </c>
      <c r="E2898" t="inlineStr">
        <is>
          <t>TORSBY</t>
        </is>
      </c>
      <c r="F2898" t="inlineStr">
        <is>
          <t>Bergvik skog väst AB</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53368-2024</t>
        </is>
      </c>
      <c r="B2899" s="1" t="n">
        <v>45614</v>
      </c>
      <c r="C2899" s="1" t="n">
        <v>45662</v>
      </c>
      <c r="D2899" t="inlineStr">
        <is>
          <t>VÄRMLANDS LÄN</t>
        </is>
      </c>
      <c r="E2899" t="inlineStr">
        <is>
          <t>TORSBY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53358-2024</t>
        </is>
      </c>
      <c r="B2900" s="1" t="n">
        <v>45614</v>
      </c>
      <c r="C2900" s="1" t="n">
        <v>45662</v>
      </c>
      <c r="D2900" t="inlineStr">
        <is>
          <t>VÄRMLANDS LÄN</t>
        </is>
      </c>
      <c r="E2900" t="inlineStr">
        <is>
          <t>TORSBY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53297-2024</t>
        </is>
      </c>
      <c r="B2901" s="1" t="n">
        <v>45614</v>
      </c>
      <c r="C2901" s="1" t="n">
        <v>45662</v>
      </c>
      <c r="D2901" t="inlineStr">
        <is>
          <t>VÄRMLANDS LÄN</t>
        </is>
      </c>
      <c r="E2901" t="inlineStr">
        <is>
          <t>TORSBY</t>
        </is>
      </c>
      <c r="F2901" t="inlineStr">
        <is>
          <t>Bergvik skog väst AB</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53744-2024</t>
        </is>
      </c>
      <c r="B2902" s="1" t="n">
        <v>45615</v>
      </c>
      <c r="C2902" s="1" t="n">
        <v>45662</v>
      </c>
      <c r="D2902" t="inlineStr">
        <is>
          <t>VÄRMLANDS LÄN</t>
        </is>
      </c>
      <c r="E2902" t="inlineStr">
        <is>
          <t>TORSBY</t>
        </is>
      </c>
      <c r="G2902" t="n">
        <v>16.9</v>
      </c>
      <c r="H2902" t="n">
        <v>0</v>
      </c>
      <c r="I2902" t="n">
        <v>0</v>
      </c>
      <c r="J2902" t="n">
        <v>0</v>
      </c>
      <c r="K2902" t="n">
        <v>0</v>
      </c>
      <c r="L2902" t="n">
        <v>0</v>
      </c>
      <c r="M2902" t="n">
        <v>0</v>
      </c>
      <c r="N2902" t="n">
        <v>0</v>
      </c>
      <c r="O2902" t="n">
        <v>0</v>
      </c>
      <c r="P2902" t="n">
        <v>0</v>
      </c>
      <c r="Q2902" t="n">
        <v>0</v>
      </c>
      <c r="R2902" s="2" t="inlineStr"/>
    </row>
    <row r="2903" ht="15" customHeight="1">
      <c r="A2903" t="inlineStr">
        <is>
          <t>A 53748-2024</t>
        </is>
      </c>
      <c r="B2903" s="1" t="n">
        <v>45615</v>
      </c>
      <c r="C2903" s="1" t="n">
        <v>45662</v>
      </c>
      <c r="D2903" t="inlineStr">
        <is>
          <t>VÄRMLANDS LÄN</t>
        </is>
      </c>
      <c r="E2903" t="inlineStr">
        <is>
          <t>TORSBY</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53667-2024</t>
        </is>
      </c>
      <c r="B2904" s="1" t="n">
        <v>45615</v>
      </c>
      <c r="C2904" s="1" t="n">
        <v>45662</v>
      </c>
      <c r="D2904" t="inlineStr">
        <is>
          <t>VÄRMLANDS LÄN</t>
        </is>
      </c>
      <c r="E2904" t="inlineStr">
        <is>
          <t>TORSBY</t>
        </is>
      </c>
      <c r="F2904" t="inlineStr">
        <is>
          <t>Bergvik skog väst AB</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45662</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45662</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54004-2024</t>
        </is>
      </c>
      <c r="B2907" s="1" t="n">
        <v>45616</v>
      </c>
      <c r="C2907" s="1" t="n">
        <v>45662</v>
      </c>
      <c r="D2907" t="inlineStr">
        <is>
          <t>VÄRMLANDS LÄN</t>
        </is>
      </c>
      <c r="E2907" t="inlineStr">
        <is>
          <t>TORSBY</t>
        </is>
      </c>
      <c r="F2907" t="inlineStr">
        <is>
          <t>Kommuner</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54011-2024</t>
        </is>
      </c>
      <c r="B2908" s="1" t="n">
        <v>45616</v>
      </c>
      <c r="C2908" s="1" t="n">
        <v>45662</v>
      </c>
      <c r="D2908" t="inlineStr">
        <is>
          <t>VÄRMLANDS LÄN</t>
        </is>
      </c>
      <c r="E2908" t="inlineStr">
        <is>
          <t>TORSBY</t>
        </is>
      </c>
      <c r="F2908" t="inlineStr">
        <is>
          <t>Kommuner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54026-2024</t>
        </is>
      </c>
      <c r="B2909" s="1" t="n">
        <v>45616</v>
      </c>
      <c r="C2909" s="1" t="n">
        <v>45662</v>
      </c>
      <c r="D2909" t="inlineStr">
        <is>
          <t>VÄRMLANDS LÄN</t>
        </is>
      </c>
      <c r="E2909" t="inlineStr">
        <is>
          <t>TORSBY</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45662</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54006-2024</t>
        </is>
      </c>
      <c r="B2911" s="1" t="n">
        <v>45616</v>
      </c>
      <c r="C2911" s="1" t="n">
        <v>45662</v>
      </c>
      <c r="D2911" t="inlineStr">
        <is>
          <t>VÄRMLANDS LÄN</t>
        </is>
      </c>
      <c r="E2911" t="inlineStr">
        <is>
          <t>TORSBY</t>
        </is>
      </c>
      <c r="F2911" t="inlineStr">
        <is>
          <t>Kommuner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54014-2024</t>
        </is>
      </c>
      <c r="B2912" s="1" t="n">
        <v>45616</v>
      </c>
      <c r="C2912" s="1" t="n">
        <v>45662</v>
      </c>
      <c r="D2912" t="inlineStr">
        <is>
          <t>VÄRMLANDS LÄN</t>
        </is>
      </c>
      <c r="E2912" t="inlineStr">
        <is>
          <t>TORSBY</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54027-2024</t>
        </is>
      </c>
      <c r="B2913" s="1" t="n">
        <v>45616</v>
      </c>
      <c r="C2913" s="1" t="n">
        <v>45662</v>
      </c>
      <c r="D2913" t="inlineStr">
        <is>
          <t>VÄRMLANDS LÄN</t>
        </is>
      </c>
      <c r="E2913" t="inlineStr">
        <is>
          <t>TORSBY</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54328-2024</t>
        </is>
      </c>
      <c r="B2914" s="1" t="n">
        <v>45617</v>
      </c>
      <c r="C2914" s="1" t="n">
        <v>45662</v>
      </c>
      <c r="D2914" t="inlineStr">
        <is>
          <t>VÄRMLANDS LÄN</t>
        </is>
      </c>
      <c r="E2914" t="inlineStr">
        <is>
          <t>TORSBY</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45662</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54374-2024</t>
        </is>
      </c>
      <c r="B2916" s="1" t="n">
        <v>45617</v>
      </c>
      <c r="C2916" s="1" t="n">
        <v>45662</v>
      </c>
      <c r="D2916" t="inlineStr">
        <is>
          <t>VÄRMLANDS LÄN</t>
        </is>
      </c>
      <c r="E2916" t="inlineStr">
        <is>
          <t>TORSBY</t>
        </is>
      </c>
      <c r="F2916" t="inlineStr">
        <is>
          <t>Bergvik skog väst AB</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54618-2024</t>
        </is>
      </c>
      <c r="B2917" s="1" t="n">
        <v>45617</v>
      </c>
      <c r="C2917" s="1" t="n">
        <v>45662</v>
      </c>
      <c r="D2917" t="inlineStr">
        <is>
          <t>VÄRMLANDS LÄN</t>
        </is>
      </c>
      <c r="E2917" t="inlineStr">
        <is>
          <t>TORSBY</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54646-2024</t>
        </is>
      </c>
      <c r="B2918" s="1" t="n">
        <v>45617</v>
      </c>
      <c r="C2918" s="1" t="n">
        <v>45662</v>
      </c>
      <c r="D2918" t="inlineStr">
        <is>
          <t>VÄRMLANDS LÄN</t>
        </is>
      </c>
      <c r="E2918" t="inlineStr">
        <is>
          <t>TORSBY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54489-2024</t>
        </is>
      </c>
      <c r="B2919" s="1" t="n">
        <v>45617</v>
      </c>
      <c r="C2919" s="1" t="n">
        <v>45662</v>
      </c>
      <c r="D2919" t="inlineStr">
        <is>
          <t>VÄRMLANDS LÄN</t>
        </is>
      </c>
      <c r="E2919" t="inlineStr">
        <is>
          <t>TORSBY</t>
        </is>
      </c>
      <c r="F2919" t="inlineStr">
        <is>
          <t>Bergvik skog väst AB</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54609-2024</t>
        </is>
      </c>
      <c r="B2920" s="1" t="n">
        <v>45617</v>
      </c>
      <c r="C2920" s="1" t="n">
        <v>45662</v>
      </c>
      <c r="D2920" t="inlineStr">
        <is>
          <t>VÄRMLANDS LÄN</t>
        </is>
      </c>
      <c r="E2920" t="inlineStr">
        <is>
          <t>TORSBY</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45662</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45662</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54813-2024</t>
        </is>
      </c>
      <c r="B2923" s="1" t="n">
        <v>45618</v>
      </c>
      <c r="C2923" s="1" t="n">
        <v>45662</v>
      </c>
      <c r="D2923" t="inlineStr">
        <is>
          <t>VÄRMLANDS LÄN</t>
        </is>
      </c>
      <c r="E2923" t="inlineStr">
        <is>
          <t>TORSBY</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54790-2024</t>
        </is>
      </c>
      <c r="B2924" s="1" t="n">
        <v>45618</v>
      </c>
      <c r="C2924" s="1" t="n">
        <v>45662</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54664-2024</t>
        </is>
      </c>
      <c r="B2925" s="1" t="n">
        <v>45618</v>
      </c>
      <c r="C2925" s="1" t="n">
        <v>45662</v>
      </c>
      <c r="D2925" t="inlineStr">
        <is>
          <t>VÄRMLANDS LÄN</t>
        </is>
      </c>
      <c r="E2925" t="inlineStr">
        <is>
          <t>TORSBY</t>
        </is>
      </c>
      <c r="F2925" t="inlineStr">
        <is>
          <t>Bergvik skog väst AB</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55072-2024</t>
        </is>
      </c>
      <c r="B2926" s="1" t="n">
        <v>45621</v>
      </c>
      <c r="C2926" s="1" t="n">
        <v>45662</v>
      </c>
      <c r="D2926" t="inlineStr">
        <is>
          <t>VÄRMLANDS LÄN</t>
        </is>
      </c>
      <c r="E2926" t="inlineStr">
        <is>
          <t>TORSBY</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55036-2024</t>
        </is>
      </c>
      <c r="B2927" s="1" t="n">
        <v>45621</v>
      </c>
      <c r="C2927" s="1" t="n">
        <v>45662</v>
      </c>
      <c r="D2927" t="inlineStr">
        <is>
          <t>VÄRMLANDS LÄN</t>
        </is>
      </c>
      <c r="E2927" t="inlineStr">
        <is>
          <t>TORSBY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45662</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45662</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55430-2024</t>
        </is>
      </c>
      <c r="B2930" s="1" t="n">
        <v>45622</v>
      </c>
      <c r="C2930" s="1" t="n">
        <v>45662</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55543-2024</t>
        </is>
      </c>
      <c r="B2931" s="1" t="n">
        <v>45622</v>
      </c>
      <c r="C2931" s="1" t="n">
        <v>45662</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55808-2024</t>
        </is>
      </c>
      <c r="B2932" s="1" t="n">
        <v>45622</v>
      </c>
      <c r="C2932" s="1" t="n">
        <v>45662</v>
      </c>
      <c r="D2932" t="inlineStr">
        <is>
          <t>VÄRMLANDS LÄN</t>
        </is>
      </c>
      <c r="E2932" t="inlineStr">
        <is>
          <t>TORSBY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45662</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55814-2024</t>
        </is>
      </c>
      <c r="B2934" s="1" t="n">
        <v>45623</v>
      </c>
      <c r="C2934" s="1" t="n">
        <v>45662</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45662</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45662</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55837-2024</t>
        </is>
      </c>
      <c r="B2937" s="1" t="n">
        <v>45623</v>
      </c>
      <c r="C2937" s="1" t="n">
        <v>45662</v>
      </c>
      <c r="D2937" t="inlineStr">
        <is>
          <t>VÄRMLANDS LÄN</t>
        </is>
      </c>
      <c r="E2937" t="inlineStr">
        <is>
          <t>TORSBY</t>
        </is>
      </c>
      <c r="F2937" t="inlineStr">
        <is>
          <t>Kommuner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55842-2024</t>
        </is>
      </c>
      <c r="B2938" s="1" t="n">
        <v>45623</v>
      </c>
      <c r="C2938" s="1" t="n">
        <v>45662</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55834-2024</t>
        </is>
      </c>
      <c r="B2939" s="1" t="n">
        <v>45623</v>
      </c>
      <c r="C2939" s="1" t="n">
        <v>45662</v>
      </c>
      <c r="D2939" t="inlineStr">
        <is>
          <t>VÄRMLANDS LÄN</t>
        </is>
      </c>
      <c r="E2939" t="inlineStr">
        <is>
          <t>TORSBY</t>
        </is>
      </c>
      <c r="F2939" t="inlineStr">
        <is>
          <t>Kommuner</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55839-2024</t>
        </is>
      </c>
      <c r="B2940" s="1" t="n">
        <v>45623</v>
      </c>
      <c r="C2940" s="1" t="n">
        <v>45662</v>
      </c>
      <c r="D2940" t="inlineStr">
        <is>
          <t>VÄRMLANDS LÄN</t>
        </is>
      </c>
      <c r="E2940" t="inlineStr">
        <is>
          <t>TORSBY</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55987-2024</t>
        </is>
      </c>
      <c r="B2941" s="1" t="n">
        <v>45623</v>
      </c>
      <c r="C2941" s="1" t="n">
        <v>45662</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45662</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45662</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56107-2024</t>
        </is>
      </c>
      <c r="B2944" s="1" t="n">
        <v>45624</v>
      </c>
      <c r="C2944" s="1" t="n">
        <v>45662</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56056-2024</t>
        </is>
      </c>
      <c r="B2945" s="1" t="n">
        <v>45624</v>
      </c>
      <c r="C2945" s="1" t="n">
        <v>45662</v>
      </c>
      <c r="D2945" t="inlineStr">
        <is>
          <t>VÄRMLANDS LÄN</t>
        </is>
      </c>
      <c r="E2945" t="inlineStr">
        <is>
          <t>TORSBY</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56098-2024</t>
        </is>
      </c>
      <c r="B2946" s="1" t="n">
        <v>45624</v>
      </c>
      <c r="C2946" s="1" t="n">
        <v>45662</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56430-2024</t>
        </is>
      </c>
      <c r="B2947" s="1" t="n">
        <v>45625</v>
      </c>
      <c r="C2947" s="1" t="n">
        <v>45662</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56509-2024</t>
        </is>
      </c>
      <c r="B2948" s="1" t="n">
        <v>45625</v>
      </c>
      <c r="C2948" s="1" t="n">
        <v>45662</v>
      </c>
      <c r="D2948" t="inlineStr">
        <is>
          <t>VÄRMLANDS LÄN</t>
        </is>
      </c>
      <c r="E2948" t="inlineStr">
        <is>
          <t>TORSBY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45662</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56635-2024</t>
        </is>
      </c>
      <c r="B2950" s="1" t="n">
        <v>45625</v>
      </c>
      <c r="C2950" s="1" t="n">
        <v>45662</v>
      </c>
      <c r="D2950" t="inlineStr">
        <is>
          <t>VÄRMLANDS LÄN</t>
        </is>
      </c>
      <c r="E2950" t="inlineStr">
        <is>
          <t>TORSBY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56571-2024</t>
        </is>
      </c>
      <c r="B2951" s="1" t="n">
        <v>45625</v>
      </c>
      <c r="C2951" s="1" t="n">
        <v>45662</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56611-2024</t>
        </is>
      </c>
      <c r="B2952" s="1" t="n">
        <v>45625</v>
      </c>
      <c r="C2952" s="1" t="n">
        <v>45662</v>
      </c>
      <c r="D2952" t="inlineStr">
        <is>
          <t>VÄRMLANDS LÄN</t>
        </is>
      </c>
      <c r="E2952" t="inlineStr">
        <is>
          <t>TORSBY</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56630-2024</t>
        </is>
      </c>
      <c r="B2953" s="1" t="n">
        <v>45625</v>
      </c>
      <c r="C2953" s="1" t="n">
        <v>45662</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56634-2024</t>
        </is>
      </c>
      <c r="B2954" s="1" t="n">
        <v>45625</v>
      </c>
      <c r="C2954" s="1" t="n">
        <v>45662</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56808-2024</t>
        </is>
      </c>
      <c r="B2955" s="1" t="n">
        <v>45628</v>
      </c>
      <c r="C2955" s="1" t="n">
        <v>45662</v>
      </c>
      <c r="D2955" t="inlineStr">
        <is>
          <t>VÄRMLANDS LÄN</t>
        </is>
      </c>
      <c r="E2955" t="inlineStr">
        <is>
          <t>TORSBY</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57329-2024</t>
        </is>
      </c>
      <c r="B2956" s="1" t="n">
        <v>45629</v>
      </c>
      <c r="C2956" s="1" t="n">
        <v>45662</v>
      </c>
      <c r="D2956" t="inlineStr">
        <is>
          <t>VÄRMLANDS LÄN</t>
        </is>
      </c>
      <c r="E2956" t="inlineStr">
        <is>
          <t>TORSBY</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57190-2024</t>
        </is>
      </c>
      <c r="B2957" s="1" t="n">
        <v>45629</v>
      </c>
      <c r="C2957" s="1" t="n">
        <v>45662</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57469-2024</t>
        </is>
      </c>
      <c r="B2958" s="1" t="n">
        <v>45630</v>
      </c>
      <c r="C2958" s="1" t="n">
        <v>45662</v>
      </c>
      <c r="D2958" t="inlineStr">
        <is>
          <t>VÄRMLANDS LÄN</t>
        </is>
      </c>
      <c r="E2958" t="inlineStr">
        <is>
          <t>TORSBY</t>
        </is>
      </c>
      <c r="F2958" t="inlineStr">
        <is>
          <t>Bergvik skog väst AB</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57481-2024</t>
        </is>
      </c>
      <c r="B2959" s="1" t="n">
        <v>45630</v>
      </c>
      <c r="C2959" s="1" t="n">
        <v>45662</v>
      </c>
      <c r="D2959" t="inlineStr">
        <is>
          <t>VÄRMLANDS LÄN</t>
        </is>
      </c>
      <c r="E2959" t="inlineStr">
        <is>
          <t>TORSBY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57502-2024</t>
        </is>
      </c>
      <c r="B2960" s="1" t="n">
        <v>45630</v>
      </c>
      <c r="C2960" s="1" t="n">
        <v>45662</v>
      </c>
      <c r="D2960" t="inlineStr">
        <is>
          <t>VÄRMLANDS LÄN</t>
        </is>
      </c>
      <c r="E2960" t="inlineStr">
        <is>
          <t>TORSBY</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57532-2024</t>
        </is>
      </c>
      <c r="B2961" s="1" t="n">
        <v>45630</v>
      </c>
      <c r="C2961" s="1" t="n">
        <v>45662</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57536-2024</t>
        </is>
      </c>
      <c r="B2962" s="1" t="n">
        <v>45630</v>
      </c>
      <c r="C2962" s="1" t="n">
        <v>45662</v>
      </c>
      <c r="D2962" t="inlineStr">
        <is>
          <t>VÄRMLANDS LÄN</t>
        </is>
      </c>
      <c r="E2962" t="inlineStr">
        <is>
          <t>TORSBY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57722-2024</t>
        </is>
      </c>
      <c r="B2963" s="1" t="n">
        <v>45630</v>
      </c>
      <c r="C2963" s="1" t="n">
        <v>45662</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45662</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45662</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45662</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57545-2024</t>
        </is>
      </c>
      <c r="B2967" s="1" t="n">
        <v>45630</v>
      </c>
      <c r="C2967" s="1" t="n">
        <v>45662</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57723-2024</t>
        </is>
      </c>
      <c r="B2968" s="1" t="n">
        <v>45630</v>
      </c>
      <c r="C2968" s="1" t="n">
        <v>45662</v>
      </c>
      <c r="D2968" t="inlineStr">
        <is>
          <t>VÄRMLANDS LÄN</t>
        </is>
      </c>
      <c r="E2968" t="inlineStr">
        <is>
          <t>TORSBY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57774-2024</t>
        </is>
      </c>
      <c r="B2969" s="1" t="n">
        <v>45630</v>
      </c>
      <c r="C2969" s="1" t="n">
        <v>45662</v>
      </c>
      <c r="D2969" t="inlineStr">
        <is>
          <t>VÄRMLANDS LÄN</t>
        </is>
      </c>
      <c r="E2969" t="inlineStr">
        <is>
          <t>TORSBY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57785-2024</t>
        </is>
      </c>
      <c r="B2970" s="1" t="n">
        <v>45631</v>
      </c>
      <c r="C2970" s="1" t="n">
        <v>45662</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57809-2024</t>
        </is>
      </c>
      <c r="B2971" s="1" t="n">
        <v>45631</v>
      </c>
      <c r="C2971" s="1" t="n">
        <v>45662</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58033-2024</t>
        </is>
      </c>
      <c r="B2972" s="1" t="n">
        <v>45631</v>
      </c>
      <c r="C2972" s="1" t="n">
        <v>45662</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58023-2024</t>
        </is>
      </c>
      <c r="B2973" s="1" t="n">
        <v>45631</v>
      </c>
      <c r="C2973" s="1" t="n">
        <v>45662</v>
      </c>
      <c r="D2973" t="inlineStr">
        <is>
          <t>VÄRMLANDS LÄN</t>
        </is>
      </c>
      <c r="E2973" t="inlineStr">
        <is>
          <t>TORSBY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58051-2024</t>
        </is>
      </c>
      <c r="B2974" s="1" t="n">
        <v>45631</v>
      </c>
      <c r="C2974" s="1" t="n">
        <v>45662</v>
      </c>
      <c r="D2974" t="inlineStr">
        <is>
          <t>VÄRMLANDS LÄN</t>
        </is>
      </c>
      <c r="E2974" t="inlineStr">
        <is>
          <t>TORSBY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45662</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45662</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58255-2024</t>
        </is>
      </c>
      <c r="B2977" s="1" t="n">
        <v>45632</v>
      </c>
      <c r="C2977" s="1" t="n">
        <v>45662</v>
      </c>
      <c r="D2977" t="inlineStr">
        <is>
          <t>VÄRMLANDS LÄN</t>
        </is>
      </c>
      <c r="E2977" t="inlineStr">
        <is>
          <t>TORSBY</t>
        </is>
      </c>
      <c r="F2977" t="inlineStr">
        <is>
          <t>Bergvik skog väst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58259-2024</t>
        </is>
      </c>
      <c r="B2978" s="1" t="n">
        <v>45632</v>
      </c>
      <c r="C2978" s="1" t="n">
        <v>45662</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58288-2024</t>
        </is>
      </c>
      <c r="B2979" s="1" t="n">
        <v>45632</v>
      </c>
      <c r="C2979" s="1" t="n">
        <v>45662</v>
      </c>
      <c r="D2979" t="inlineStr">
        <is>
          <t>VÄRMLANDS LÄN</t>
        </is>
      </c>
      <c r="E2979" t="inlineStr">
        <is>
          <t>TORSBY</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58707-2024</t>
        </is>
      </c>
      <c r="B2980" s="1" t="n">
        <v>45635</v>
      </c>
      <c r="C2980" s="1" t="n">
        <v>45662</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58786-2024</t>
        </is>
      </c>
      <c r="B2981" s="1" t="n">
        <v>45635</v>
      </c>
      <c r="C2981" s="1" t="n">
        <v>45662</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58948-2024</t>
        </is>
      </c>
      <c r="B2982" s="1" t="n">
        <v>45636</v>
      </c>
      <c r="C2982" s="1" t="n">
        <v>45662</v>
      </c>
      <c r="D2982" t="inlineStr">
        <is>
          <t>VÄRMLANDS LÄN</t>
        </is>
      </c>
      <c r="E2982" t="inlineStr">
        <is>
          <t>TORSBY</t>
        </is>
      </c>
      <c r="F2982" t="inlineStr">
        <is>
          <t>Bergvik skog väst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58945-2024</t>
        </is>
      </c>
      <c r="B2983" s="1" t="n">
        <v>45636</v>
      </c>
      <c r="C2983" s="1" t="n">
        <v>45662</v>
      </c>
      <c r="D2983" t="inlineStr">
        <is>
          <t>VÄRMLANDS LÄN</t>
        </is>
      </c>
      <c r="E2983" t="inlineStr">
        <is>
          <t>TORSBY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45662</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45662</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59080-2024</t>
        </is>
      </c>
      <c r="B2986" s="1" t="n">
        <v>45637</v>
      </c>
      <c r="C2986" s="1" t="n">
        <v>45662</v>
      </c>
      <c r="D2986" t="inlineStr">
        <is>
          <t>VÄRMLANDS LÄN</t>
        </is>
      </c>
      <c r="E2986" t="inlineStr">
        <is>
          <t>TORSBY</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45662</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45662</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59603-2024</t>
        </is>
      </c>
      <c r="B2989" s="1" t="n">
        <v>45638</v>
      </c>
      <c r="C2989" s="1" t="n">
        <v>45662</v>
      </c>
      <c r="D2989" t="inlineStr">
        <is>
          <t>VÄRMLANDS LÄN</t>
        </is>
      </c>
      <c r="E2989" t="inlineStr">
        <is>
          <t>TORSBY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59610-2024</t>
        </is>
      </c>
      <c r="B2990" s="1" t="n">
        <v>45638</v>
      </c>
      <c r="C2990" s="1" t="n">
        <v>45662</v>
      </c>
      <c r="D2990" t="inlineStr">
        <is>
          <t>VÄRMLANDS LÄN</t>
        </is>
      </c>
      <c r="E2990" t="inlineStr">
        <is>
          <t>TORSBY</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45662</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59780-2024</t>
        </is>
      </c>
      <c r="B2992" s="1" t="n">
        <v>45639</v>
      </c>
      <c r="C2992" s="1" t="n">
        <v>45662</v>
      </c>
      <c r="D2992" t="inlineStr">
        <is>
          <t>VÄRMLANDS LÄN</t>
        </is>
      </c>
      <c r="E2992" t="inlineStr">
        <is>
          <t>TORSBY</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59928-2024</t>
        </is>
      </c>
      <c r="B2993" s="1" t="n">
        <v>45642</v>
      </c>
      <c r="C2993" s="1" t="n">
        <v>45662</v>
      </c>
      <c r="D2993" t="inlineStr">
        <is>
          <t>VÄRMLANDS LÄN</t>
        </is>
      </c>
      <c r="E2993" t="inlineStr">
        <is>
          <t>TORSBY</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59927-2024</t>
        </is>
      </c>
      <c r="B2994" s="1" t="n">
        <v>45642</v>
      </c>
      <c r="C2994" s="1" t="n">
        <v>45662</v>
      </c>
      <c r="D2994" t="inlineStr">
        <is>
          <t>VÄRMLANDS LÄN</t>
        </is>
      </c>
      <c r="E2994" t="inlineStr">
        <is>
          <t>TORSBY</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45662</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60272-2024</t>
        </is>
      </c>
      <c r="B2996" s="1" t="n">
        <v>45642</v>
      </c>
      <c r="C2996" s="1" t="n">
        <v>45662</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60626-2024</t>
        </is>
      </c>
      <c r="B2997" s="1" t="n">
        <v>45642</v>
      </c>
      <c r="C2997" s="1" t="n">
        <v>45662</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60148-2024</t>
        </is>
      </c>
      <c r="B2998" s="1" t="n">
        <v>45642</v>
      </c>
      <c r="C2998" s="1" t="n">
        <v>45662</v>
      </c>
      <c r="D2998" t="inlineStr">
        <is>
          <t>VÄRMLANDS LÄN</t>
        </is>
      </c>
      <c r="E2998" t="inlineStr">
        <is>
          <t>TORSBY</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45662</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45662</v>
      </c>
      <c r="D3000" t="inlineStr">
        <is>
          <t>VÄRMLANDS LÄN</t>
        </is>
      </c>
      <c r="E3000" t="inlineStr">
        <is>
          <t>TORSBY</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45662</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45662</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60385-2024</t>
        </is>
      </c>
      <c r="B3003" s="1" t="n">
        <v>45643</v>
      </c>
      <c r="C3003" s="1" t="n">
        <v>45662</v>
      </c>
      <c r="D3003" t="inlineStr">
        <is>
          <t>VÄRMLANDS LÄN</t>
        </is>
      </c>
      <c r="E3003" t="inlineStr">
        <is>
          <t>TORSBY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60386-2024</t>
        </is>
      </c>
      <c r="B3004" s="1" t="n">
        <v>45643</v>
      </c>
      <c r="C3004" s="1" t="n">
        <v>45662</v>
      </c>
      <c r="D3004" t="inlineStr">
        <is>
          <t>VÄRMLANDS LÄN</t>
        </is>
      </c>
      <c r="E3004" t="inlineStr">
        <is>
          <t>TORSBY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60537-2024</t>
        </is>
      </c>
      <c r="B3005" s="1" t="n">
        <v>45643</v>
      </c>
      <c r="C3005" s="1" t="n">
        <v>45662</v>
      </c>
      <c r="D3005" t="inlineStr">
        <is>
          <t>VÄRMLANDS LÄN</t>
        </is>
      </c>
      <c r="E3005" t="inlineStr">
        <is>
          <t>TORSBY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45662</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45662</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45662</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60383-2024</t>
        </is>
      </c>
      <c r="B3009" s="1" t="n">
        <v>45643</v>
      </c>
      <c r="C3009" s="1" t="n">
        <v>45662</v>
      </c>
      <c r="D3009" t="inlineStr">
        <is>
          <t>VÄRMLANDS LÄN</t>
        </is>
      </c>
      <c r="E3009" t="inlineStr">
        <is>
          <t>TORSBY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45662</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60854-2024</t>
        </is>
      </c>
      <c r="B3011" s="1" t="n">
        <v>45644</v>
      </c>
      <c r="C3011" s="1" t="n">
        <v>45662</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61206-2024</t>
        </is>
      </c>
      <c r="B3012" s="1" t="n">
        <v>45645</v>
      </c>
      <c r="C3012" s="1" t="n">
        <v>45662</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45662</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45662</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45662</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45662</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45662</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61259-2024</t>
        </is>
      </c>
      <c r="B3018" s="1" t="n">
        <v>45645</v>
      </c>
      <c r="C3018" s="1" t="n">
        <v>45662</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61478-2024</t>
        </is>
      </c>
      <c r="B3019" s="1" t="n">
        <v>45646</v>
      </c>
      <c r="C3019" s="1" t="n">
        <v>45662</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61565-2024</t>
        </is>
      </c>
      <c r="B3020" s="1" t="n">
        <v>45646</v>
      </c>
      <c r="C3020" s="1" t="n">
        <v>45662</v>
      </c>
      <c r="D3020" t="inlineStr">
        <is>
          <t>VÄRMLANDS LÄN</t>
        </is>
      </c>
      <c r="E3020" t="inlineStr">
        <is>
          <t>TORSBY</t>
        </is>
      </c>
      <c r="F3020" t="inlineStr">
        <is>
          <t>Bergvik skog väst AB</t>
        </is>
      </c>
      <c r="G3020" t="n">
        <v>14.1</v>
      </c>
      <c r="H3020" t="n">
        <v>0</v>
      </c>
      <c r="I3020" t="n">
        <v>0</v>
      </c>
      <c r="J3020" t="n">
        <v>0</v>
      </c>
      <c r="K3020" t="n">
        <v>0</v>
      </c>
      <c r="L3020" t="n">
        <v>0</v>
      </c>
      <c r="M3020" t="n">
        <v>0</v>
      </c>
      <c r="N3020" t="n">
        <v>0</v>
      </c>
      <c r="O3020" t="n">
        <v>0</v>
      </c>
      <c r="P3020" t="n">
        <v>0</v>
      </c>
      <c r="Q3020" t="n">
        <v>0</v>
      </c>
      <c r="R3020" s="2" t="inlineStr"/>
    </row>
    <row r="3021" ht="15" customHeight="1">
      <c r="A3021" t="inlineStr">
        <is>
          <t>A 61672-2024</t>
        </is>
      </c>
      <c r="B3021" s="1" t="n">
        <v>45647</v>
      </c>
      <c r="C3021" s="1" t="n">
        <v>45662</v>
      </c>
      <c r="D3021" t="inlineStr">
        <is>
          <t>VÄRMLANDS LÄN</t>
        </is>
      </c>
      <c r="E3021" t="inlineStr">
        <is>
          <t>TORSBY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45662</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45662</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61851-2024</t>
        </is>
      </c>
      <c r="B3024" s="1" t="n">
        <v>45649</v>
      </c>
      <c r="C3024" s="1" t="n">
        <v>45662</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45662</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61856-2024</t>
        </is>
      </c>
      <c r="B3026" s="1" t="n">
        <v>45649</v>
      </c>
      <c r="C3026" s="1" t="n">
        <v>45662</v>
      </c>
      <c r="D3026" t="inlineStr">
        <is>
          <t>VÄRMLANDS LÄN</t>
        </is>
      </c>
      <c r="E3026" t="inlineStr">
        <is>
          <t>TORSBY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62090-2024</t>
        </is>
      </c>
      <c r="B3027" s="1" t="n">
        <v>45656</v>
      </c>
      <c r="C3027" s="1" t="n">
        <v>45662</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45662</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61-2025</t>
        </is>
      </c>
      <c r="B3029" s="1" t="n">
        <v>45659</v>
      </c>
      <c r="C3029" s="1" t="n">
        <v>45662</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45662</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311-2025</t>
        </is>
      </c>
      <c r="B3031" s="1" t="n">
        <v>45660</v>
      </c>
      <c r="C3031" s="1" t="n">
        <v>45662</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45662</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364-2025</t>
        </is>
      </c>
      <c r="B3033" s="1" t="n">
        <v>45661</v>
      </c>
      <c r="C3033" s="1" t="n">
        <v>45662</v>
      </c>
      <c r="D3033" t="inlineStr">
        <is>
          <t>VÄRMLANDS LÄN</t>
        </is>
      </c>
      <c r="E3033" t="inlineStr">
        <is>
          <t>TORSBY</t>
        </is>
      </c>
      <c r="G3033" t="n">
        <v>5.9</v>
      </c>
      <c r="H3033" t="n">
        <v>0</v>
      </c>
      <c r="I3033" t="n">
        <v>0</v>
      </c>
      <c r="J3033" t="n">
        <v>0</v>
      </c>
      <c r="K3033" t="n">
        <v>0</v>
      </c>
      <c r="L3033" t="n">
        <v>0</v>
      </c>
      <c r="M3033" t="n">
        <v>0</v>
      </c>
      <c r="N3033" t="n">
        <v>0</v>
      </c>
      <c r="O3033" t="n">
        <v>0</v>
      </c>
      <c r="P3033" t="n">
        <v>0</v>
      </c>
      <c r="Q3033" t="n">
        <v>0</v>
      </c>
      <c r="R3033" s="2" t="inlineStr"/>
    </row>
    <row r="3034">
      <c r="A3034" t="inlineStr">
        <is>
          <t>A 375-2025</t>
        </is>
      </c>
      <c r="B3034" s="1" t="n">
        <v>45661</v>
      </c>
      <c r="C3034" s="1" t="n">
        <v>45662</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2025-01-05T16:02:07Z</dcterms:created>
  <dcterms:modified xmlns:dcterms="http://purl.org/dc/terms/" xmlns:xsi="http://www.w3.org/2001/XMLSchema-instance" xsi:type="dcterms:W3CDTF">2025-01-05T16:02:10Z</dcterms:modified>
</cp:coreProperties>
</file>