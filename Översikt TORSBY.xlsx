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45265</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45265</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45265</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45265</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45265</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45265</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45265</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45265</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45265</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45265</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45265</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45265</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45265</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45265</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45265</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45265</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45265</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45265</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45265</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45265</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45265</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45265</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45265</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45265</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45265</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45265</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45265</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45265</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45265</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173-2021</t>
        </is>
      </c>
      <c r="B31" s="1" t="n">
        <v>44200</v>
      </c>
      <c r="C31" s="1" t="n">
        <v>45265</v>
      </c>
      <c r="D31" t="inlineStr">
        <is>
          <t>VÄRMLANDS LÄN</t>
        </is>
      </c>
      <c r="E31" t="inlineStr">
        <is>
          <t>TORSBY</t>
        </is>
      </c>
      <c r="G31" t="n">
        <v>6.8</v>
      </c>
      <c r="H31" t="n">
        <v>0</v>
      </c>
      <c r="I31" t="n">
        <v>1</v>
      </c>
      <c r="J31" t="n">
        <v>3</v>
      </c>
      <c r="K31" t="n">
        <v>0</v>
      </c>
      <c r="L31" t="n">
        <v>0</v>
      </c>
      <c r="M31" t="n">
        <v>0</v>
      </c>
      <c r="N31" t="n">
        <v>0</v>
      </c>
      <c r="O31" t="n">
        <v>3</v>
      </c>
      <c r="P31" t="n">
        <v>0</v>
      </c>
      <c r="Q31" t="n">
        <v>4</v>
      </c>
      <c r="R31" s="2" t="inlineStr">
        <is>
          <t>Gammelgransskål
Garnlav
Violettgrå tagellav
Vedticka</t>
        </is>
      </c>
      <c r="S31">
        <f>HYPERLINK("https://klasma.github.io/Logging_1737/artfynd/A 173-2021 artfynd.xlsx", "A 173-2021")</f>
        <v/>
      </c>
      <c r="T31">
        <f>HYPERLINK("https://klasma.github.io/Logging_1737/kartor/A 173-2021 karta.png", "A 173-2021")</f>
        <v/>
      </c>
      <c r="V31">
        <f>HYPERLINK("https://klasma.github.io/Logging_1737/klagomål/A 173-2021 FSC-klagomål.docx", "A 173-2021")</f>
        <v/>
      </c>
      <c r="W31">
        <f>HYPERLINK("https://klasma.github.io/Logging_1737/klagomålsmail/A 173-2021 FSC-klagomål mail.docx", "A 173-2021")</f>
        <v/>
      </c>
      <c r="X31">
        <f>HYPERLINK("https://klasma.github.io/Logging_1737/tillsyn/A 173-2021 tillsynsbegäran.docx", "A 173-2021")</f>
        <v/>
      </c>
      <c r="Y31">
        <f>HYPERLINK("https://klasma.github.io/Logging_1737/tillsynsmail/A 173-2021 tillsynsbegäran mail.docx", "A 173-2021")</f>
        <v/>
      </c>
    </row>
    <row r="32" ht="15" customHeight="1">
      <c r="A32" t="inlineStr">
        <is>
          <t>A 42501-2022</t>
        </is>
      </c>
      <c r="B32" s="1" t="n">
        <v>44831</v>
      </c>
      <c r="C32" s="1" t="n">
        <v>45265</v>
      </c>
      <c r="D32" t="inlineStr">
        <is>
          <t>VÄRMLANDS LÄN</t>
        </is>
      </c>
      <c r="E32" t="inlineStr">
        <is>
          <t>TORSBY</t>
        </is>
      </c>
      <c r="F32" t="inlineStr">
        <is>
          <t>Kommuner</t>
        </is>
      </c>
      <c r="G32" t="n">
        <v>2.4</v>
      </c>
      <c r="H32" t="n">
        <v>0</v>
      </c>
      <c r="I32" t="n">
        <v>1</v>
      </c>
      <c r="J32" t="n">
        <v>3</v>
      </c>
      <c r="K32" t="n">
        <v>0</v>
      </c>
      <c r="L32" t="n">
        <v>0</v>
      </c>
      <c r="M32" t="n">
        <v>0</v>
      </c>
      <c r="N32" t="n">
        <v>0</v>
      </c>
      <c r="O32" t="n">
        <v>3</v>
      </c>
      <c r="P32" t="n">
        <v>0</v>
      </c>
      <c r="Q32" t="n">
        <v>4</v>
      </c>
      <c r="R32" s="2" t="inlineStr">
        <is>
          <t>Garnlav
Mörk kolflarnlav
Vedtrappmossa
Skuggblåslav</t>
        </is>
      </c>
      <c r="S32">
        <f>HYPERLINK("https://klasma.github.io/Logging_1737/artfynd/A 42501-2022 artfynd.xlsx", "A 42501-2022")</f>
        <v/>
      </c>
      <c r="T32">
        <f>HYPERLINK("https://klasma.github.io/Logging_1737/kartor/A 42501-2022 karta.png", "A 42501-2022")</f>
        <v/>
      </c>
      <c r="V32">
        <f>HYPERLINK("https://klasma.github.io/Logging_1737/klagomål/A 42501-2022 FSC-klagomål.docx", "A 42501-2022")</f>
        <v/>
      </c>
      <c r="W32">
        <f>HYPERLINK("https://klasma.github.io/Logging_1737/klagomålsmail/A 42501-2022 FSC-klagomål mail.docx", "A 42501-2022")</f>
        <v/>
      </c>
      <c r="X32">
        <f>HYPERLINK("https://klasma.github.io/Logging_1737/tillsyn/A 42501-2022 tillsynsbegäran.docx", "A 42501-2022")</f>
        <v/>
      </c>
      <c r="Y32">
        <f>HYPERLINK("https://klasma.github.io/Logging_1737/tillsynsmail/A 42501-2022 tillsynsbegäran mail.docx", "A 42501-2022")</f>
        <v/>
      </c>
    </row>
    <row r="33" ht="15" customHeight="1">
      <c r="A33" t="inlineStr">
        <is>
          <t>A 54297-2022</t>
        </is>
      </c>
      <c r="B33" s="1" t="n">
        <v>44882</v>
      </c>
      <c r="C33" s="1" t="n">
        <v>45265</v>
      </c>
      <c r="D33" t="inlineStr">
        <is>
          <t>VÄRMLANDS LÄN</t>
        </is>
      </c>
      <c r="E33" t="inlineStr">
        <is>
          <t>TORSBY</t>
        </is>
      </c>
      <c r="G33" t="n">
        <v>10.2</v>
      </c>
      <c r="H33" t="n">
        <v>1</v>
      </c>
      <c r="I33" t="n">
        <v>3</v>
      </c>
      <c r="J33" t="n">
        <v>1</v>
      </c>
      <c r="K33" t="n">
        <v>0</v>
      </c>
      <c r="L33" t="n">
        <v>0</v>
      </c>
      <c r="M33" t="n">
        <v>0</v>
      </c>
      <c r="N33" t="n">
        <v>0</v>
      </c>
      <c r="O33" t="n">
        <v>1</v>
      </c>
      <c r="P33" t="n">
        <v>0</v>
      </c>
      <c r="Q33" t="n">
        <v>4</v>
      </c>
      <c r="R33" s="2" t="inlineStr">
        <is>
          <t>Tretåig hackspett
Bronshjon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row>
    <row r="34" ht="15" customHeight="1">
      <c r="A34" t="inlineStr">
        <is>
          <t>A 16134-2023</t>
        </is>
      </c>
      <c r="B34" s="1" t="n">
        <v>45021</v>
      </c>
      <c r="C34" s="1" t="n">
        <v>45265</v>
      </c>
      <c r="D34" t="inlineStr">
        <is>
          <t>VÄRMLANDS LÄN</t>
        </is>
      </c>
      <c r="E34" t="inlineStr">
        <is>
          <t>TORSBY</t>
        </is>
      </c>
      <c r="G34" t="n">
        <v>15.5</v>
      </c>
      <c r="H34" t="n">
        <v>0</v>
      </c>
      <c r="I34" t="n">
        <v>1</v>
      </c>
      <c r="J34" t="n">
        <v>3</v>
      </c>
      <c r="K34" t="n">
        <v>0</v>
      </c>
      <c r="L34" t="n">
        <v>0</v>
      </c>
      <c r="M34" t="n">
        <v>0</v>
      </c>
      <c r="N34" t="n">
        <v>0</v>
      </c>
      <c r="O34" t="n">
        <v>3</v>
      </c>
      <c r="P34" t="n">
        <v>0</v>
      </c>
      <c r="Q34" t="n">
        <v>4</v>
      </c>
      <c r="R34" s="2" t="inlineStr">
        <is>
          <t>Skrovlig taggsvamp
Svartvit taggsvamp
Vitgrynig nållav
Dropptaggsvamp</t>
        </is>
      </c>
      <c r="S34">
        <f>HYPERLINK("https://klasma.github.io/Logging_1737/artfynd/A 16134-2023 artfynd.xlsx", "A 16134-2023")</f>
        <v/>
      </c>
      <c r="T34">
        <f>HYPERLINK("https://klasma.github.io/Logging_1737/kartor/A 16134-2023 karta.png", "A 16134-2023")</f>
        <v/>
      </c>
      <c r="V34">
        <f>HYPERLINK("https://klasma.github.io/Logging_1737/klagomål/A 16134-2023 FSC-klagomål.docx", "A 16134-2023")</f>
        <v/>
      </c>
      <c r="W34">
        <f>HYPERLINK("https://klasma.github.io/Logging_1737/klagomålsmail/A 16134-2023 FSC-klagomål mail.docx", "A 16134-2023")</f>
        <v/>
      </c>
      <c r="X34">
        <f>HYPERLINK("https://klasma.github.io/Logging_1737/tillsyn/A 16134-2023 tillsynsbegäran.docx", "A 16134-2023")</f>
        <v/>
      </c>
      <c r="Y34">
        <f>HYPERLINK("https://klasma.github.io/Logging_1737/tillsynsmail/A 16134-2023 tillsynsbegäran mail.docx", "A 16134-2023")</f>
        <v/>
      </c>
    </row>
    <row r="35" ht="15" customHeight="1">
      <c r="A35" t="inlineStr">
        <is>
          <t>A 35706-2023</t>
        </is>
      </c>
      <c r="B35" s="1" t="n">
        <v>45147</v>
      </c>
      <c r="C35" s="1" t="n">
        <v>45265</v>
      </c>
      <c r="D35" t="inlineStr">
        <is>
          <t>VÄRMLANDS LÄN</t>
        </is>
      </c>
      <c r="E35" t="inlineStr">
        <is>
          <t>TORSBY</t>
        </is>
      </c>
      <c r="G35" t="n">
        <v>22.5</v>
      </c>
      <c r="H35" t="n">
        <v>0</v>
      </c>
      <c r="I35" t="n">
        <v>2</v>
      </c>
      <c r="J35" t="n">
        <v>2</v>
      </c>
      <c r="K35" t="n">
        <v>0</v>
      </c>
      <c r="L35" t="n">
        <v>0</v>
      </c>
      <c r="M35" t="n">
        <v>0</v>
      </c>
      <c r="N35" t="n">
        <v>0</v>
      </c>
      <c r="O35" t="n">
        <v>2</v>
      </c>
      <c r="P35" t="n">
        <v>0</v>
      </c>
      <c r="Q35" t="n">
        <v>4</v>
      </c>
      <c r="R35" s="2" t="inlineStr">
        <is>
          <t>Garnlav
Lunglav
Bronshjon
Vedticka</t>
        </is>
      </c>
      <c r="S35">
        <f>HYPERLINK("https://klasma.github.io/Logging_1737/artfynd/A 35706-2023 artfynd.xlsx", "A 35706-2023")</f>
        <v/>
      </c>
      <c r="T35">
        <f>HYPERLINK("https://klasma.github.io/Logging_1737/kartor/A 35706-2023 karta.png", "A 35706-2023")</f>
        <v/>
      </c>
      <c r="V35">
        <f>HYPERLINK("https://klasma.github.io/Logging_1737/klagomål/A 35706-2023 FSC-klagomål.docx", "A 35706-2023")</f>
        <v/>
      </c>
      <c r="W35">
        <f>HYPERLINK("https://klasma.github.io/Logging_1737/klagomålsmail/A 35706-2023 FSC-klagomål mail.docx", "A 35706-2023")</f>
        <v/>
      </c>
      <c r="X35">
        <f>HYPERLINK("https://klasma.github.io/Logging_1737/tillsyn/A 35706-2023 tillsynsbegäran.docx", "A 35706-2023")</f>
        <v/>
      </c>
      <c r="Y35">
        <f>HYPERLINK("https://klasma.github.io/Logging_1737/tillsynsmail/A 35706-2023 tillsynsbegäran mail.docx", "A 35706-2023")</f>
        <v/>
      </c>
    </row>
    <row r="36" ht="15" customHeight="1">
      <c r="A36" t="inlineStr">
        <is>
          <t>A 56910-2018</t>
        </is>
      </c>
      <c r="B36" s="1" t="n">
        <v>43395</v>
      </c>
      <c r="C36" s="1" t="n">
        <v>45265</v>
      </c>
      <c r="D36" t="inlineStr">
        <is>
          <t>VÄRMLANDS LÄN</t>
        </is>
      </c>
      <c r="E36" t="inlineStr">
        <is>
          <t>TORSBY</t>
        </is>
      </c>
      <c r="G36" t="n">
        <v>8.1</v>
      </c>
      <c r="H36" t="n">
        <v>1</v>
      </c>
      <c r="I36" t="n">
        <v>0</v>
      </c>
      <c r="J36" t="n">
        <v>3</v>
      </c>
      <c r="K36" t="n">
        <v>0</v>
      </c>
      <c r="L36" t="n">
        <v>0</v>
      </c>
      <c r="M36" t="n">
        <v>0</v>
      </c>
      <c r="N36" t="n">
        <v>0</v>
      </c>
      <c r="O36" t="n">
        <v>3</v>
      </c>
      <c r="P36" t="n">
        <v>0</v>
      </c>
      <c r="Q36" t="n">
        <v>3</v>
      </c>
      <c r="R36" s="2" t="inlineStr">
        <is>
          <t>Garnlav
Tretåig hackspett
Violettgrå tagellav</t>
        </is>
      </c>
      <c r="S36">
        <f>HYPERLINK("https://klasma.github.io/Logging_1737/artfynd/A 56910-2018 artfynd.xlsx", "A 56910-2018")</f>
        <v/>
      </c>
      <c r="T36">
        <f>HYPERLINK("https://klasma.github.io/Logging_1737/kartor/A 56910-2018 karta.png", "A 56910-2018")</f>
        <v/>
      </c>
      <c r="V36">
        <f>HYPERLINK("https://klasma.github.io/Logging_1737/klagomål/A 56910-2018 FSC-klagomål.docx", "A 56910-2018")</f>
        <v/>
      </c>
      <c r="W36">
        <f>HYPERLINK("https://klasma.github.io/Logging_1737/klagomålsmail/A 56910-2018 FSC-klagomål mail.docx", "A 56910-2018")</f>
        <v/>
      </c>
      <c r="X36">
        <f>HYPERLINK("https://klasma.github.io/Logging_1737/tillsyn/A 56910-2018 tillsynsbegäran.docx", "A 56910-2018")</f>
        <v/>
      </c>
      <c r="Y36">
        <f>HYPERLINK("https://klasma.github.io/Logging_1737/tillsynsmail/A 56910-2018 tillsynsbegäran mail.docx", "A 56910-2018")</f>
        <v/>
      </c>
    </row>
    <row r="37" ht="15" customHeight="1">
      <c r="A37" t="inlineStr">
        <is>
          <t>A 64103-2018</t>
        </is>
      </c>
      <c r="B37" s="1" t="n">
        <v>43430</v>
      </c>
      <c r="C37" s="1" t="n">
        <v>45265</v>
      </c>
      <c r="D37" t="inlineStr">
        <is>
          <t>VÄRMLANDS LÄN</t>
        </is>
      </c>
      <c r="E37" t="inlineStr">
        <is>
          <t>TORSBY</t>
        </is>
      </c>
      <c r="G37" t="n">
        <v>2.9</v>
      </c>
      <c r="H37" t="n">
        <v>0</v>
      </c>
      <c r="I37" t="n">
        <v>0</v>
      </c>
      <c r="J37" t="n">
        <v>3</v>
      </c>
      <c r="K37" t="n">
        <v>0</v>
      </c>
      <c r="L37" t="n">
        <v>0</v>
      </c>
      <c r="M37" t="n">
        <v>0</v>
      </c>
      <c r="N37" t="n">
        <v>0</v>
      </c>
      <c r="O37" t="n">
        <v>3</v>
      </c>
      <c r="P37" t="n">
        <v>0</v>
      </c>
      <c r="Q37" t="n">
        <v>3</v>
      </c>
      <c r="R37" s="2" t="inlineStr">
        <is>
          <t>Garnlav
Mörk kolflarnlav
Vedskivlav</t>
        </is>
      </c>
      <c r="S37">
        <f>HYPERLINK("https://klasma.github.io/Logging_1737/artfynd/A 64103-2018 artfynd.xlsx", "A 64103-2018")</f>
        <v/>
      </c>
      <c r="T37">
        <f>HYPERLINK("https://klasma.github.io/Logging_1737/kartor/A 64103-2018 karta.png", "A 64103-2018")</f>
        <v/>
      </c>
      <c r="V37">
        <f>HYPERLINK("https://klasma.github.io/Logging_1737/klagomål/A 64103-2018 FSC-klagomål.docx", "A 64103-2018")</f>
        <v/>
      </c>
      <c r="W37">
        <f>HYPERLINK("https://klasma.github.io/Logging_1737/klagomålsmail/A 64103-2018 FSC-klagomål mail.docx", "A 64103-2018")</f>
        <v/>
      </c>
      <c r="X37">
        <f>HYPERLINK("https://klasma.github.io/Logging_1737/tillsyn/A 64103-2018 tillsynsbegäran.docx", "A 64103-2018")</f>
        <v/>
      </c>
      <c r="Y37">
        <f>HYPERLINK("https://klasma.github.io/Logging_1737/tillsynsmail/A 64103-2018 tillsynsbegäran mail.docx", "A 64103-2018")</f>
        <v/>
      </c>
    </row>
    <row r="38" ht="15" customHeight="1">
      <c r="A38" t="inlineStr">
        <is>
          <t>A 17617-2019</t>
        </is>
      </c>
      <c r="B38" s="1" t="n">
        <v>43555</v>
      </c>
      <c r="C38" s="1" t="n">
        <v>45265</v>
      </c>
      <c r="D38" t="inlineStr">
        <is>
          <t>VÄRMLANDS LÄN</t>
        </is>
      </c>
      <c r="E38" t="inlineStr">
        <is>
          <t>TORSBY</t>
        </is>
      </c>
      <c r="G38" t="n">
        <v>1.4</v>
      </c>
      <c r="H38" t="n">
        <v>0</v>
      </c>
      <c r="I38" t="n">
        <v>0</v>
      </c>
      <c r="J38" t="n">
        <v>2</v>
      </c>
      <c r="K38" t="n">
        <v>1</v>
      </c>
      <c r="L38" t="n">
        <v>0</v>
      </c>
      <c r="M38" t="n">
        <v>0</v>
      </c>
      <c r="N38" t="n">
        <v>0</v>
      </c>
      <c r="O38" t="n">
        <v>3</v>
      </c>
      <c r="P38" t="n">
        <v>1</v>
      </c>
      <c r="Q38" t="n">
        <v>3</v>
      </c>
      <c r="R38" s="2" t="inlineStr">
        <is>
          <t>Laxporing
Rosenticka
Veckticka</t>
        </is>
      </c>
      <c r="S38">
        <f>HYPERLINK("https://klasma.github.io/Logging_1737/artfynd/A 17617-2019 artfynd.xlsx", "A 17617-2019")</f>
        <v/>
      </c>
      <c r="T38">
        <f>HYPERLINK("https://klasma.github.io/Logging_1737/kartor/A 17617-2019 karta.png", "A 17617-2019")</f>
        <v/>
      </c>
      <c r="U38">
        <f>HYPERLINK("https://klasma.github.io/Logging_1737/knärot/A 17617-2019 karta knärot.png", "A 17617-2019")</f>
        <v/>
      </c>
      <c r="V38">
        <f>HYPERLINK("https://klasma.github.io/Logging_1737/klagomål/A 17617-2019 FSC-klagomål.docx", "A 17617-2019")</f>
        <v/>
      </c>
      <c r="W38">
        <f>HYPERLINK("https://klasma.github.io/Logging_1737/klagomålsmail/A 17617-2019 FSC-klagomål mail.docx", "A 17617-2019")</f>
        <v/>
      </c>
      <c r="X38">
        <f>HYPERLINK("https://klasma.github.io/Logging_1737/tillsyn/A 17617-2019 tillsynsbegäran.docx", "A 17617-2019")</f>
        <v/>
      </c>
      <c r="Y38">
        <f>HYPERLINK("https://klasma.github.io/Logging_1737/tillsynsmail/A 17617-2019 tillsynsbegäran mail.docx", "A 17617-2019")</f>
        <v/>
      </c>
    </row>
    <row r="39" ht="15" customHeight="1">
      <c r="A39" t="inlineStr">
        <is>
          <t>A 24010-2019</t>
        </is>
      </c>
      <c r="B39" s="1" t="n">
        <v>43598</v>
      </c>
      <c r="C39" s="1" t="n">
        <v>45265</v>
      </c>
      <c r="D39" t="inlineStr">
        <is>
          <t>VÄRMLANDS LÄN</t>
        </is>
      </c>
      <c r="E39" t="inlineStr">
        <is>
          <t>TORSBY</t>
        </is>
      </c>
      <c r="G39" t="n">
        <v>2.2</v>
      </c>
      <c r="H39" t="n">
        <v>0</v>
      </c>
      <c r="I39" t="n">
        <v>0</v>
      </c>
      <c r="J39" t="n">
        <v>3</v>
      </c>
      <c r="K39" t="n">
        <v>0</v>
      </c>
      <c r="L39" t="n">
        <v>0</v>
      </c>
      <c r="M39" t="n">
        <v>0</v>
      </c>
      <c r="N39" t="n">
        <v>0</v>
      </c>
      <c r="O39" t="n">
        <v>3</v>
      </c>
      <c r="P39" t="n">
        <v>0</v>
      </c>
      <c r="Q39" t="n">
        <v>3</v>
      </c>
      <c r="R39" s="2" t="inlineStr">
        <is>
          <t>Garnlav
Kolflarnlav
Vedskivlav</t>
        </is>
      </c>
      <c r="S39">
        <f>HYPERLINK("https://klasma.github.io/Logging_1737/artfynd/A 24010-2019 artfynd.xlsx", "A 24010-2019")</f>
        <v/>
      </c>
      <c r="T39">
        <f>HYPERLINK("https://klasma.github.io/Logging_1737/kartor/A 24010-2019 karta.png", "A 24010-2019")</f>
        <v/>
      </c>
      <c r="V39">
        <f>HYPERLINK("https://klasma.github.io/Logging_1737/klagomål/A 24010-2019 FSC-klagomål.docx", "A 24010-2019")</f>
        <v/>
      </c>
      <c r="W39">
        <f>HYPERLINK("https://klasma.github.io/Logging_1737/klagomålsmail/A 24010-2019 FSC-klagomål mail.docx", "A 24010-2019")</f>
        <v/>
      </c>
      <c r="X39">
        <f>HYPERLINK("https://klasma.github.io/Logging_1737/tillsyn/A 24010-2019 tillsynsbegäran.docx", "A 24010-2019")</f>
        <v/>
      </c>
      <c r="Y39">
        <f>HYPERLINK("https://klasma.github.io/Logging_1737/tillsynsmail/A 24010-2019 tillsynsbegäran mail.docx", "A 24010-2019")</f>
        <v/>
      </c>
    </row>
    <row r="40" ht="15" customHeight="1">
      <c r="A40" t="inlineStr">
        <is>
          <t>A 26919-2019</t>
        </is>
      </c>
      <c r="B40" s="1" t="n">
        <v>43613</v>
      </c>
      <c r="C40" s="1" t="n">
        <v>45265</v>
      </c>
      <c r="D40" t="inlineStr">
        <is>
          <t>VÄRMLANDS LÄN</t>
        </is>
      </c>
      <c r="E40" t="inlineStr">
        <is>
          <t>TORSBY</t>
        </is>
      </c>
      <c r="G40" t="n">
        <v>4.6</v>
      </c>
      <c r="H40" t="n">
        <v>0</v>
      </c>
      <c r="I40" t="n">
        <v>0</v>
      </c>
      <c r="J40" t="n">
        <v>2</v>
      </c>
      <c r="K40" t="n">
        <v>0</v>
      </c>
      <c r="L40" t="n">
        <v>1</v>
      </c>
      <c r="M40" t="n">
        <v>0</v>
      </c>
      <c r="N40" t="n">
        <v>0</v>
      </c>
      <c r="O40" t="n">
        <v>3</v>
      </c>
      <c r="P40" t="n">
        <v>1</v>
      </c>
      <c r="Q40" t="n">
        <v>3</v>
      </c>
      <c r="R40" s="2" t="inlineStr">
        <is>
          <t>Broktagel
Lunglav
Violettgrå tagellav</t>
        </is>
      </c>
      <c r="S40">
        <f>HYPERLINK("https://klasma.github.io/Logging_1737/artfynd/A 26919-2019 artfynd.xlsx", "A 26919-2019")</f>
        <v/>
      </c>
      <c r="T40">
        <f>HYPERLINK("https://klasma.github.io/Logging_1737/kartor/A 26919-2019 karta.png", "A 26919-2019")</f>
        <v/>
      </c>
      <c r="V40">
        <f>HYPERLINK("https://klasma.github.io/Logging_1737/klagomål/A 26919-2019 FSC-klagomål.docx", "A 26919-2019")</f>
        <v/>
      </c>
      <c r="W40">
        <f>HYPERLINK("https://klasma.github.io/Logging_1737/klagomålsmail/A 26919-2019 FSC-klagomål mail.docx", "A 26919-2019")</f>
        <v/>
      </c>
      <c r="X40">
        <f>HYPERLINK("https://klasma.github.io/Logging_1737/tillsyn/A 26919-2019 tillsynsbegäran.docx", "A 26919-2019")</f>
        <v/>
      </c>
      <c r="Y40">
        <f>HYPERLINK("https://klasma.github.io/Logging_1737/tillsynsmail/A 26919-2019 tillsynsbegäran mail.docx", "A 26919-2019")</f>
        <v/>
      </c>
    </row>
    <row r="41" ht="15" customHeight="1">
      <c r="A41" t="inlineStr">
        <is>
          <t>A 32928-2019</t>
        </is>
      </c>
      <c r="B41" s="1" t="n">
        <v>43648</v>
      </c>
      <c r="C41" s="1" t="n">
        <v>45265</v>
      </c>
      <c r="D41" t="inlineStr">
        <is>
          <t>VÄRMLANDS LÄN</t>
        </is>
      </c>
      <c r="E41" t="inlineStr">
        <is>
          <t>TORSBY</t>
        </is>
      </c>
      <c r="G41" t="n">
        <v>5.3</v>
      </c>
      <c r="H41" t="n">
        <v>0</v>
      </c>
      <c r="I41" t="n">
        <v>0</v>
      </c>
      <c r="J41" t="n">
        <v>3</v>
      </c>
      <c r="K41" t="n">
        <v>0</v>
      </c>
      <c r="L41" t="n">
        <v>0</v>
      </c>
      <c r="M41" t="n">
        <v>0</v>
      </c>
      <c r="N41" t="n">
        <v>0</v>
      </c>
      <c r="O41" t="n">
        <v>3</v>
      </c>
      <c r="P41" t="n">
        <v>0</v>
      </c>
      <c r="Q41" t="n">
        <v>3</v>
      </c>
      <c r="R41" s="2" t="inlineStr">
        <is>
          <t>Garnlav
Lunglav
Skrovellav</t>
        </is>
      </c>
      <c r="S41">
        <f>HYPERLINK("https://klasma.github.io/Logging_1737/artfynd/A 32928-2019 artfynd.xlsx", "A 32928-2019")</f>
        <v/>
      </c>
      <c r="T41">
        <f>HYPERLINK("https://klasma.github.io/Logging_1737/kartor/A 32928-2019 karta.png", "A 32928-2019")</f>
        <v/>
      </c>
      <c r="V41">
        <f>HYPERLINK("https://klasma.github.io/Logging_1737/klagomål/A 32928-2019 FSC-klagomål.docx", "A 32928-2019")</f>
        <v/>
      </c>
      <c r="W41">
        <f>HYPERLINK("https://klasma.github.io/Logging_1737/klagomålsmail/A 32928-2019 FSC-klagomål mail.docx", "A 32928-2019")</f>
        <v/>
      </c>
      <c r="X41">
        <f>HYPERLINK("https://klasma.github.io/Logging_1737/tillsyn/A 32928-2019 tillsynsbegäran.docx", "A 32928-2019")</f>
        <v/>
      </c>
      <c r="Y41">
        <f>HYPERLINK("https://klasma.github.io/Logging_1737/tillsynsmail/A 32928-2019 tillsynsbegäran mail.docx", "A 32928-2019")</f>
        <v/>
      </c>
    </row>
    <row r="42" ht="15" customHeight="1">
      <c r="A42" t="inlineStr">
        <is>
          <t>A 38932-2019</t>
        </is>
      </c>
      <c r="B42" s="1" t="n">
        <v>43689</v>
      </c>
      <c r="C42" s="1" t="n">
        <v>45265</v>
      </c>
      <c r="D42" t="inlineStr">
        <is>
          <t>VÄRMLANDS LÄN</t>
        </is>
      </c>
      <c r="E42" t="inlineStr">
        <is>
          <t>TORSBY</t>
        </is>
      </c>
      <c r="G42" t="n">
        <v>1.3</v>
      </c>
      <c r="H42" t="n">
        <v>3</v>
      </c>
      <c r="I42" t="n">
        <v>0</v>
      </c>
      <c r="J42" t="n">
        <v>3</v>
      </c>
      <c r="K42" t="n">
        <v>0</v>
      </c>
      <c r="L42" t="n">
        <v>0</v>
      </c>
      <c r="M42" t="n">
        <v>0</v>
      </c>
      <c r="N42" t="n">
        <v>0</v>
      </c>
      <c r="O42" t="n">
        <v>3</v>
      </c>
      <c r="P42" t="n">
        <v>0</v>
      </c>
      <c r="Q42" t="n">
        <v>3</v>
      </c>
      <c r="R42" s="2" t="inlineStr">
        <is>
          <t>Buskskvätta
Grönsångare
Gulsparv</t>
        </is>
      </c>
      <c r="S42">
        <f>HYPERLINK("https://klasma.github.io/Logging_1737/artfynd/A 38932-2019 artfynd.xlsx", "A 38932-2019")</f>
        <v/>
      </c>
      <c r="T42">
        <f>HYPERLINK("https://klasma.github.io/Logging_1737/kartor/A 38932-2019 karta.png", "A 38932-2019")</f>
        <v/>
      </c>
      <c r="V42">
        <f>HYPERLINK("https://klasma.github.io/Logging_1737/klagomål/A 38932-2019 FSC-klagomål.docx", "A 38932-2019")</f>
        <v/>
      </c>
      <c r="W42">
        <f>HYPERLINK("https://klasma.github.io/Logging_1737/klagomålsmail/A 38932-2019 FSC-klagomål mail.docx", "A 38932-2019")</f>
        <v/>
      </c>
      <c r="X42">
        <f>HYPERLINK("https://klasma.github.io/Logging_1737/tillsyn/A 38932-2019 tillsynsbegäran.docx", "A 38932-2019")</f>
        <v/>
      </c>
      <c r="Y42">
        <f>HYPERLINK("https://klasma.github.io/Logging_1737/tillsynsmail/A 38932-2019 tillsynsbegäran mail.docx", "A 38932-2019")</f>
        <v/>
      </c>
    </row>
    <row r="43" ht="15" customHeight="1">
      <c r="A43" t="inlineStr">
        <is>
          <t>A 65913-2019</t>
        </is>
      </c>
      <c r="B43" s="1" t="n">
        <v>43805</v>
      </c>
      <c r="C43" s="1" t="n">
        <v>45265</v>
      </c>
      <c r="D43" t="inlineStr">
        <is>
          <t>VÄRMLANDS LÄN</t>
        </is>
      </c>
      <c r="E43" t="inlineStr">
        <is>
          <t>TORSBY</t>
        </is>
      </c>
      <c r="G43" t="n">
        <v>2.9</v>
      </c>
      <c r="H43" t="n">
        <v>3</v>
      </c>
      <c r="I43" t="n">
        <v>0</v>
      </c>
      <c r="J43" t="n">
        <v>3</v>
      </c>
      <c r="K43" t="n">
        <v>0</v>
      </c>
      <c r="L43" t="n">
        <v>0</v>
      </c>
      <c r="M43" t="n">
        <v>0</v>
      </c>
      <c r="N43" t="n">
        <v>0</v>
      </c>
      <c r="O43" t="n">
        <v>3</v>
      </c>
      <c r="P43" t="n">
        <v>0</v>
      </c>
      <c r="Q43" t="n">
        <v>3</v>
      </c>
      <c r="R43" s="2" t="inlineStr">
        <is>
          <t>Kråka
Spillkråka
Talltita</t>
        </is>
      </c>
      <c r="S43">
        <f>HYPERLINK("https://klasma.github.io/Logging_1737/artfynd/A 65913-2019 artfynd.xlsx", "A 65913-2019")</f>
        <v/>
      </c>
      <c r="T43">
        <f>HYPERLINK("https://klasma.github.io/Logging_1737/kartor/A 65913-2019 karta.png", "A 65913-2019")</f>
        <v/>
      </c>
      <c r="V43">
        <f>HYPERLINK("https://klasma.github.io/Logging_1737/klagomål/A 65913-2019 FSC-klagomål.docx", "A 65913-2019")</f>
        <v/>
      </c>
      <c r="W43">
        <f>HYPERLINK("https://klasma.github.io/Logging_1737/klagomålsmail/A 65913-2019 FSC-klagomål mail.docx", "A 65913-2019")</f>
        <v/>
      </c>
      <c r="X43">
        <f>HYPERLINK("https://klasma.github.io/Logging_1737/tillsyn/A 65913-2019 tillsynsbegäran.docx", "A 65913-2019")</f>
        <v/>
      </c>
      <c r="Y43">
        <f>HYPERLINK("https://klasma.github.io/Logging_1737/tillsynsmail/A 65913-2019 tillsynsbegäran mail.docx", "A 65913-2019")</f>
        <v/>
      </c>
    </row>
    <row r="44" ht="15" customHeight="1">
      <c r="A44" t="inlineStr">
        <is>
          <t>A 10035-2020</t>
        </is>
      </c>
      <c r="B44" s="1" t="n">
        <v>43882</v>
      </c>
      <c r="C44" s="1" t="n">
        <v>45265</v>
      </c>
      <c r="D44" t="inlineStr">
        <is>
          <t>VÄRMLANDS LÄN</t>
        </is>
      </c>
      <c r="E44" t="inlineStr">
        <is>
          <t>TORSBY</t>
        </is>
      </c>
      <c r="F44" t="inlineStr">
        <is>
          <t>Kyrkan</t>
        </is>
      </c>
      <c r="G44" t="n">
        <v>11.2</v>
      </c>
      <c r="H44" t="n">
        <v>0</v>
      </c>
      <c r="I44" t="n">
        <v>0</v>
      </c>
      <c r="J44" t="n">
        <v>3</v>
      </c>
      <c r="K44" t="n">
        <v>0</v>
      </c>
      <c r="L44" t="n">
        <v>0</v>
      </c>
      <c r="M44" t="n">
        <v>0</v>
      </c>
      <c r="N44" t="n">
        <v>0</v>
      </c>
      <c r="O44" t="n">
        <v>3</v>
      </c>
      <c r="P44" t="n">
        <v>0</v>
      </c>
      <c r="Q44" t="n">
        <v>3</v>
      </c>
      <c r="R44" s="2" t="inlineStr">
        <is>
          <t>Garnlav
Kolflarnlav
Mörk kolflarnlav</t>
        </is>
      </c>
      <c r="S44">
        <f>HYPERLINK("https://klasma.github.io/Logging_1737/artfynd/A 10035-2020 artfynd.xlsx", "A 10035-2020")</f>
        <v/>
      </c>
      <c r="T44">
        <f>HYPERLINK("https://klasma.github.io/Logging_1737/kartor/A 10035-2020 karta.png", "A 10035-2020")</f>
        <v/>
      </c>
      <c r="V44">
        <f>HYPERLINK("https://klasma.github.io/Logging_1737/klagomål/A 10035-2020 FSC-klagomål.docx", "A 10035-2020")</f>
        <v/>
      </c>
      <c r="W44">
        <f>HYPERLINK("https://klasma.github.io/Logging_1737/klagomålsmail/A 10035-2020 FSC-klagomål mail.docx", "A 10035-2020")</f>
        <v/>
      </c>
      <c r="X44">
        <f>HYPERLINK("https://klasma.github.io/Logging_1737/tillsyn/A 10035-2020 tillsynsbegäran.docx", "A 10035-2020")</f>
        <v/>
      </c>
      <c r="Y44">
        <f>HYPERLINK("https://klasma.github.io/Logging_1737/tillsynsmail/A 10035-2020 tillsynsbegäran mail.docx", "A 10035-2020")</f>
        <v/>
      </c>
    </row>
    <row r="45" ht="15" customHeight="1">
      <c r="A45" t="inlineStr">
        <is>
          <t>A 27265-2020</t>
        </is>
      </c>
      <c r="B45" s="1" t="n">
        <v>43992</v>
      </c>
      <c r="C45" s="1" t="n">
        <v>45265</v>
      </c>
      <c r="D45" t="inlineStr">
        <is>
          <t>VÄRMLANDS LÄN</t>
        </is>
      </c>
      <c r="E45" t="inlineStr">
        <is>
          <t>TORSBY</t>
        </is>
      </c>
      <c r="G45" t="n">
        <v>47.8</v>
      </c>
      <c r="H45" t="n">
        <v>1</v>
      </c>
      <c r="I45" t="n">
        <v>1</v>
      </c>
      <c r="J45" t="n">
        <v>2</v>
      </c>
      <c r="K45" t="n">
        <v>0</v>
      </c>
      <c r="L45" t="n">
        <v>0</v>
      </c>
      <c r="M45" t="n">
        <v>0</v>
      </c>
      <c r="N45" t="n">
        <v>0</v>
      </c>
      <c r="O45" t="n">
        <v>2</v>
      </c>
      <c r="P45" t="n">
        <v>0</v>
      </c>
      <c r="Q45" t="n">
        <v>3</v>
      </c>
      <c r="R45" s="2" t="inlineStr">
        <is>
          <t>Garnlav
Violettgrå tagellav
Plattlummer</t>
        </is>
      </c>
      <c r="S45">
        <f>HYPERLINK("https://klasma.github.io/Logging_1737/artfynd/A 27265-2020 artfynd.xlsx", "A 27265-2020")</f>
        <v/>
      </c>
      <c r="T45">
        <f>HYPERLINK("https://klasma.github.io/Logging_1737/kartor/A 27265-2020 karta.png", "A 27265-2020")</f>
        <v/>
      </c>
      <c r="V45">
        <f>HYPERLINK("https://klasma.github.io/Logging_1737/klagomål/A 27265-2020 FSC-klagomål.docx", "A 27265-2020")</f>
        <v/>
      </c>
      <c r="W45">
        <f>HYPERLINK("https://klasma.github.io/Logging_1737/klagomålsmail/A 27265-2020 FSC-klagomål mail.docx", "A 27265-2020")</f>
        <v/>
      </c>
      <c r="X45">
        <f>HYPERLINK("https://klasma.github.io/Logging_1737/tillsyn/A 27265-2020 tillsynsbegäran.docx", "A 27265-2020")</f>
        <v/>
      </c>
      <c r="Y45">
        <f>HYPERLINK("https://klasma.github.io/Logging_1737/tillsynsmail/A 27265-2020 tillsynsbegäran mail.docx", "A 27265-2020")</f>
        <v/>
      </c>
    </row>
    <row r="46" ht="15" customHeight="1">
      <c r="A46" t="inlineStr">
        <is>
          <t>A 46200-2020</t>
        </is>
      </c>
      <c r="B46" s="1" t="n">
        <v>44092</v>
      </c>
      <c r="C46" s="1" t="n">
        <v>45265</v>
      </c>
      <c r="D46" t="inlineStr">
        <is>
          <t>VÄRMLANDS LÄN</t>
        </is>
      </c>
      <c r="E46" t="inlineStr">
        <is>
          <t>TORSBY</t>
        </is>
      </c>
      <c r="F46" t="inlineStr">
        <is>
          <t>Bergvik skog väst AB</t>
        </is>
      </c>
      <c r="G46" t="n">
        <v>8.6</v>
      </c>
      <c r="H46" t="n">
        <v>0</v>
      </c>
      <c r="I46" t="n">
        <v>1</v>
      </c>
      <c r="J46" t="n">
        <v>2</v>
      </c>
      <c r="K46" t="n">
        <v>0</v>
      </c>
      <c r="L46" t="n">
        <v>0</v>
      </c>
      <c r="M46" t="n">
        <v>0</v>
      </c>
      <c r="N46" t="n">
        <v>0</v>
      </c>
      <c r="O46" t="n">
        <v>2</v>
      </c>
      <c r="P46" t="n">
        <v>0</v>
      </c>
      <c r="Q46" t="n">
        <v>3</v>
      </c>
      <c r="R46" s="2" t="inlineStr">
        <is>
          <t>Myskmåra
Spatelfibbla
Kransrams</t>
        </is>
      </c>
      <c r="S46">
        <f>HYPERLINK("https://klasma.github.io/Logging_1737/artfynd/A 46200-2020 artfynd.xlsx", "A 46200-2020")</f>
        <v/>
      </c>
      <c r="T46">
        <f>HYPERLINK("https://klasma.github.io/Logging_1737/kartor/A 46200-2020 karta.png", "A 46200-2020")</f>
        <v/>
      </c>
      <c r="V46">
        <f>HYPERLINK("https://klasma.github.io/Logging_1737/klagomål/A 46200-2020 FSC-klagomål.docx", "A 46200-2020")</f>
        <v/>
      </c>
      <c r="W46">
        <f>HYPERLINK("https://klasma.github.io/Logging_1737/klagomålsmail/A 46200-2020 FSC-klagomål mail.docx", "A 46200-2020")</f>
        <v/>
      </c>
      <c r="X46">
        <f>HYPERLINK("https://klasma.github.io/Logging_1737/tillsyn/A 46200-2020 tillsynsbegäran.docx", "A 46200-2020")</f>
        <v/>
      </c>
      <c r="Y46">
        <f>HYPERLINK("https://klasma.github.io/Logging_1737/tillsynsmail/A 46200-2020 tillsynsbegäran mail.docx", "A 46200-2020")</f>
        <v/>
      </c>
    </row>
    <row r="47" ht="15" customHeight="1">
      <c r="A47" t="inlineStr">
        <is>
          <t>A 4555-2021</t>
        </is>
      </c>
      <c r="B47" s="1" t="n">
        <v>44224</v>
      </c>
      <c r="C47" s="1" t="n">
        <v>45265</v>
      </c>
      <c r="D47" t="inlineStr">
        <is>
          <t>VÄRMLANDS LÄN</t>
        </is>
      </c>
      <c r="E47" t="inlineStr">
        <is>
          <t>TORSBY</t>
        </is>
      </c>
      <c r="G47" t="n">
        <v>11.3</v>
      </c>
      <c r="H47" t="n">
        <v>0</v>
      </c>
      <c r="I47" t="n">
        <v>0</v>
      </c>
      <c r="J47" t="n">
        <v>3</v>
      </c>
      <c r="K47" t="n">
        <v>0</v>
      </c>
      <c r="L47" t="n">
        <v>0</v>
      </c>
      <c r="M47" t="n">
        <v>0</v>
      </c>
      <c r="N47" t="n">
        <v>0</v>
      </c>
      <c r="O47" t="n">
        <v>3</v>
      </c>
      <c r="P47" t="n">
        <v>0</v>
      </c>
      <c r="Q47" t="n">
        <v>3</v>
      </c>
      <c r="R47" s="2" t="inlineStr">
        <is>
          <t>Garnlav
Lunglav
Violettgrå tagellav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16545-2021</t>
        </is>
      </c>
      <c r="B48" s="1" t="n">
        <v>44293</v>
      </c>
      <c r="C48" s="1" t="n">
        <v>45265</v>
      </c>
      <c r="D48" t="inlineStr">
        <is>
          <t>VÄRMLANDS LÄN</t>
        </is>
      </c>
      <c r="E48" t="inlineStr">
        <is>
          <t>TORSBY</t>
        </is>
      </c>
      <c r="G48" t="n">
        <v>140.3</v>
      </c>
      <c r="H48" t="n">
        <v>3</v>
      </c>
      <c r="I48" t="n">
        <v>0</v>
      </c>
      <c r="J48" t="n">
        <v>1</v>
      </c>
      <c r="K48" t="n">
        <v>0</v>
      </c>
      <c r="L48" t="n">
        <v>0</v>
      </c>
      <c r="M48" t="n">
        <v>0</v>
      </c>
      <c r="N48" t="n">
        <v>0</v>
      </c>
      <c r="O48" t="n">
        <v>1</v>
      </c>
      <c r="P48" t="n">
        <v>0</v>
      </c>
      <c r="Q48" t="n">
        <v>3</v>
      </c>
      <c r="R48" s="2" t="inlineStr">
        <is>
          <t>Spillkråka
Större vattensalamander
Mindre vattensalamander</t>
        </is>
      </c>
      <c r="S48">
        <f>HYPERLINK("https://klasma.github.io/Logging_1737/artfynd/A 16545-2021 artfynd.xlsx", "A 16545-2021")</f>
        <v/>
      </c>
      <c r="T48">
        <f>HYPERLINK("https://klasma.github.io/Logging_1737/kartor/A 16545-2021 karta.png", "A 16545-2021")</f>
        <v/>
      </c>
      <c r="V48">
        <f>HYPERLINK("https://klasma.github.io/Logging_1737/klagomål/A 16545-2021 FSC-klagomål.docx", "A 16545-2021")</f>
        <v/>
      </c>
      <c r="W48">
        <f>HYPERLINK("https://klasma.github.io/Logging_1737/klagomålsmail/A 16545-2021 FSC-klagomål mail.docx", "A 16545-2021")</f>
        <v/>
      </c>
      <c r="X48">
        <f>HYPERLINK("https://klasma.github.io/Logging_1737/tillsyn/A 16545-2021 tillsynsbegäran.docx", "A 16545-2021")</f>
        <v/>
      </c>
      <c r="Y48">
        <f>HYPERLINK("https://klasma.github.io/Logging_1737/tillsynsmail/A 16545-2021 tillsynsbegäran mail.docx", "A 16545-2021")</f>
        <v/>
      </c>
    </row>
    <row r="49" ht="15" customHeight="1">
      <c r="A49" t="inlineStr">
        <is>
          <t>A 67528-2021</t>
        </is>
      </c>
      <c r="B49" s="1" t="n">
        <v>44524</v>
      </c>
      <c r="C49" s="1" t="n">
        <v>45265</v>
      </c>
      <c r="D49" t="inlineStr">
        <is>
          <t>VÄRMLANDS LÄN</t>
        </is>
      </c>
      <c r="E49" t="inlineStr">
        <is>
          <t>TORSBY</t>
        </is>
      </c>
      <c r="G49" t="n">
        <v>47</v>
      </c>
      <c r="H49" t="n">
        <v>1</v>
      </c>
      <c r="I49" t="n">
        <v>1</v>
      </c>
      <c r="J49" t="n">
        <v>1</v>
      </c>
      <c r="K49" t="n">
        <v>0</v>
      </c>
      <c r="L49" t="n">
        <v>0</v>
      </c>
      <c r="M49" t="n">
        <v>0</v>
      </c>
      <c r="N49" t="n">
        <v>0</v>
      </c>
      <c r="O49" t="n">
        <v>1</v>
      </c>
      <c r="P49" t="n">
        <v>0</v>
      </c>
      <c r="Q49" t="n">
        <v>3</v>
      </c>
      <c r="R49" s="2" t="inlineStr">
        <is>
          <t>Garnlav
Vedticka
Tjäder</t>
        </is>
      </c>
      <c r="S49">
        <f>HYPERLINK("https://klasma.github.io/Logging_1737/artfynd/A 67528-2021 artfynd.xlsx", "A 67528-2021")</f>
        <v/>
      </c>
      <c r="T49">
        <f>HYPERLINK("https://klasma.github.io/Logging_1737/kartor/A 67528-2021 karta.png", "A 67528-2021")</f>
        <v/>
      </c>
      <c r="V49">
        <f>HYPERLINK("https://klasma.github.io/Logging_1737/klagomål/A 67528-2021 FSC-klagomål.docx", "A 67528-2021")</f>
        <v/>
      </c>
      <c r="W49">
        <f>HYPERLINK("https://klasma.github.io/Logging_1737/klagomålsmail/A 67528-2021 FSC-klagomål mail.docx", "A 67528-2021")</f>
        <v/>
      </c>
      <c r="X49">
        <f>HYPERLINK("https://klasma.github.io/Logging_1737/tillsyn/A 67528-2021 tillsynsbegäran.docx", "A 67528-2021")</f>
        <v/>
      </c>
      <c r="Y49">
        <f>HYPERLINK("https://klasma.github.io/Logging_1737/tillsynsmail/A 67528-2021 tillsynsbegäran mail.docx", "A 67528-2021")</f>
        <v/>
      </c>
    </row>
    <row r="50" ht="15" customHeight="1">
      <c r="A50" t="inlineStr">
        <is>
          <t>A 70301-2021</t>
        </is>
      </c>
      <c r="B50" s="1" t="n">
        <v>44536</v>
      </c>
      <c r="C50" s="1" t="n">
        <v>45265</v>
      </c>
      <c r="D50" t="inlineStr">
        <is>
          <t>VÄRMLANDS LÄN</t>
        </is>
      </c>
      <c r="E50" t="inlineStr">
        <is>
          <t>TORSBY</t>
        </is>
      </c>
      <c r="G50" t="n">
        <v>1</v>
      </c>
      <c r="H50" t="n">
        <v>0</v>
      </c>
      <c r="I50" t="n">
        <v>1</v>
      </c>
      <c r="J50" t="n">
        <v>2</v>
      </c>
      <c r="K50" t="n">
        <v>0</v>
      </c>
      <c r="L50" t="n">
        <v>0</v>
      </c>
      <c r="M50" t="n">
        <v>0</v>
      </c>
      <c r="N50" t="n">
        <v>0</v>
      </c>
      <c r="O50" t="n">
        <v>2</v>
      </c>
      <c r="P50" t="n">
        <v>0</v>
      </c>
      <c r="Q50" t="n">
        <v>3</v>
      </c>
      <c r="R50" s="2" t="inlineStr">
        <is>
          <t>Gammelgransskål
Garnlav
Stuplav</t>
        </is>
      </c>
      <c r="S50">
        <f>HYPERLINK("https://klasma.github.io/Logging_1737/artfynd/A 70301-2021 artfynd.xlsx", "A 70301-2021")</f>
        <v/>
      </c>
      <c r="T50">
        <f>HYPERLINK("https://klasma.github.io/Logging_1737/kartor/A 70301-2021 karta.png", "A 70301-2021")</f>
        <v/>
      </c>
      <c r="V50">
        <f>HYPERLINK("https://klasma.github.io/Logging_1737/klagomål/A 70301-2021 FSC-klagomål.docx", "A 70301-2021")</f>
        <v/>
      </c>
      <c r="W50">
        <f>HYPERLINK("https://klasma.github.io/Logging_1737/klagomålsmail/A 70301-2021 FSC-klagomål mail.docx", "A 70301-2021")</f>
        <v/>
      </c>
      <c r="X50">
        <f>HYPERLINK("https://klasma.github.io/Logging_1737/tillsyn/A 70301-2021 tillsynsbegäran.docx", "A 70301-2021")</f>
        <v/>
      </c>
      <c r="Y50">
        <f>HYPERLINK("https://klasma.github.io/Logging_1737/tillsynsmail/A 70301-2021 tillsynsbegäran mail.docx", "A 70301-2021")</f>
        <v/>
      </c>
    </row>
    <row r="51" ht="15" customHeight="1">
      <c r="A51" t="inlineStr">
        <is>
          <t>A 8514-2022</t>
        </is>
      </c>
      <c r="B51" s="1" t="n">
        <v>44613</v>
      </c>
      <c r="C51" s="1" t="n">
        <v>45265</v>
      </c>
      <c r="D51" t="inlineStr">
        <is>
          <t>VÄRMLANDS LÄN</t>
        </is>
      </c>
      <c r="E51" t="inlineStr">
        <is>
          <t>TORSBY</t>
        </is>
      </c>
      <c r="G51" t="n">
        <v>4.4</v>
      </c>
      <c r="H51" t="n">
        <v>0</v>
      </c>
      <c r="I51" t="n">
        <v>0</v>
      </c>
      <c r="J51" t="n">
        <v>3</v>
      </c>
      <c r="K51" t="n">
        <v>0</v>
      </c>
      <c r="L51" t="n">
        <v>0</v>
      </c>
      <c r="M51" t="n">
        <v>0</v>
      </c>
      <c r="N51" t="n">
        <v>0</v>
      </c>
      <c r="O51" t="n">
        <v>3</v>
      </c>
      <c r="P51" t="n">
        <v>0</v>
      </c>
      <c r="Q51" t="n">
        <v>3</v>
      </c>
      <c r="R51" s="2" t="inlineStr">
        <is>
          <t>Garnlav
Kolflarnlav
Mörk kolflarnlav</t>
        </is>
      </c>
      <c r="S51">
        <f>HYPERLINK("https://klasma.github.io/Logging_1737/artfynd/A 8514-2022 artfynd.xlsx", "A 8514-2022")</f>
        <v/>
      </c>
      <c r="T51">
        <f>HYPERLINK("https://klasma.github.io/Logging_1737/kartor/A 8514-2022 karta.png", "A 8514-2022")</f>
        <v/>
      </c>
      <c r="V51">
        <f>HYPERLINK("https://klasma.github.io/Logging_1737/klagomål/A 8514-2022 FSC-klagomål.docx", "A 8514-2022")</f>
        <v/>
      </c>
      <c r="W51">
        <f>HYPERLINK("https://klasma.github.io/Logging_1737/klagomålsmail/A 8514-2022 FSC-klagomål mail.docx", "A 8514-2022")</f>
        <v/>
      </c>
      <c r="X51">
        <f>HYPERLINK("https://klasma.github.io/Logging_1737/tillsyn/A 8514-2022 tillsynsbegäran.docx", "A 8514-2022")</f>
        <v/>
      </c>
      <c r="Y51">
        <f>HYPERLINK("https://klasma.github.io/Logging_1737/tillsynsmail/A 8514-2022 tillsynsbegäran mail.docx", "A 8514-2022")</f>
        <v/>
      </c>
    </row>
    <row r="52" ht="15" customHeight="1">
      <c r="A52" t="inlineStr">
        <is>
          <t>A 23576-2022</t>
        </is>
      </c>
      <c r="B52" s="1" t="n">
        <v>44721</v>
      </c>
      <c r="C52" s="1" t="n">
        <v>45265</v>
      </c>
      <c r="D52" t="inlineStr">
        <is>
          <t>VÄRMLANDS LÄN</t>
        </is>
      </c>
      <c r="E52" t="inlineStr">
        <is>
          <t>TORSBY</t>
        </is>
      </c>
      <c r="G52" t="n">
        <v>8.5</v>
      </c>
      <c r="H52" t="n">
        <v>0</v>
      </c>
      <c r="I52" t="n">
        <v>1</v>
      </c>
      <c r="J52" t="n">
        <v>2</v>
      </c>
      <c r="K52" t="n">
        <v>0</v>
      </c>
      <c r="L52" t="n">
        <v>0</v>
      </c>
      <c r="M52" t="n">
        <v>0</v>
      </c>
      <c r="N52" t="n">
        <v>0</v>
      </c>
      <c r="O52" t="n">
        <v>2</v>
      </c>
      <c r="P52" t="n">
        <v>0</v>
      </c>
      <c r="Q52" t="n">
        <v>3</v>
      </c>
      <c r="R52" s="2" t="inlineStr">
        <is>
          <t>Garnlav
Violettgrå tagellav
Gulnål</t>
        </is>
      </c>
      <c r="S52">
        <f>HYPERLINK("https://klasma.github.io/Logging_1737/artfynd/A 23576-2022 artfynd.xlsx", "A 23576-2022")</f>
        <v/>
      </c>
      <c r="T52">
        <f>HYPERLINK("https://klasma.github.io/Logging_1737/kartor/A 23576-2022 karta.png", "A 23576-2022")</f>
        <v/>
      </c>
      <c r="V52">
        <f>HYPERLINK("https://klasma.github.io/Logging_1737/klagomål/A 23576-2022 FSC-klagomål.docx", "A 23576-2022")</f>
        <v/>
      </c>
      <c r="W52">
        <f>HYPERLINK("https://klasma.github.io/Logging_1737/klagomålsmail/A 23576-2022 FSC-klagomål mail.docx", "A 23576-2022")</f>
        <v/>
      </c>
      <c r="X52">
        <f>HYPERLINK("https://klasma.github.io/Logging_1737/tillsyn/A 23576-2022 tillsynsbegäran.docx", "A 23576-2022")</f>
        <v/>
      </c>
      <c r="Y52">
        <f>HYPERLINK("https://klasma.github.io/Logging_1737/tillsynsmail/A 23576-2022 tillsynsbegäran mail.docx", "A 23576-2022")</f>
        <v/>
      </c>
    </row>
    <row r="53" ht="15" customHeight="1">
      <c r="A53" t="inlineStr">
        <is>
          <t>A 42480-2022</t>
        </is>
      </c>
      <c r="B53" s="1" t="n">
        <v>44831</v>
      </c>
      <c r="C53" s="1" t="n">
        <v>45265</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4486-2023</t>
        </is>
      </c>
      <c r="B54" s="1" t="n">
        <v>44956</v>
      </c>
      <c r="C54" s="1" t="n">
        <v>45265</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Vedskivlav
Skinnlav</t>
        </is>
      </c>
      <c r="S54">
        <f>HYPERLINK("https://klasma.github.io/Logging_1737/artfynd/A 4486-2023 artfynd.xlsx", "A 4486-2023")</f>
        <v/>
      </c>
      <c r="T54">
        <f>HYPERLINK("https://klasma.github.io/Logging_1737/kartor/A 4486-2023 karta.png", "A 4486-2023")</f>
        <v/>
      </c>
      <c r="V54">
        <f>HYPERLINK("https://klasma.github.io/Logging_1737/klagomål/A 4486-2023 FSC-klagomål.docx", "A 4486-2023")</f>
        <v/>
      </c>
      <c r="W54">
        <f>HYPERLINK("https://klasma.github.io/Logging_1737/klagomålsmail/A 4486-2023 FSC-klagomål mail.docx", "A 4486-2023")</f>
        <v/>
      </c>
      <c r="X54">
        <f>HYPERLINK("https://klasma.github.io/Logging_1737/tillsyn/A 4486-2023 tillsynsbegäran.docx", "A 4486-2023")</f>
        <v/>
      </c>
      <c r="Y54">
        <f>HYPERLINK("https://klasma.github.io/Logging_1737/tillsynsmail/A 4486-2023 tillsynsbegäran mail.docx", "A 4486-2023")</f>
        <v/>
      </c>
    </row>
    <row r="55" ht="15" customHeight="1">
      <c r="A55" t="inlineStr">
        <is>
          <t>A 42590-2023</t>
        </is>
      </c>
      <c r="B55" s="1" t="n">
        <v>45181</v>
      </c>
      <c r="C55" s="1" t="n">
        <v>45265</v>
      </c>
      <c r="D55" t="inlineStr">
        <is>
          <t>VÄRMLANDS LÄN</t>
        </is>
      </c>
      <c r="E55" t="inlineStr">
        <is>
          <t>TORSBY</t>
        </is>
      </c>
      <c r="G55" t="n">
        <v>12.1</v>
      </c>
      <c r="H55" t="n">
        <v>1</v>
      </c>
      <c r="I55" t="n">
        <v>0</v>
      </c>
      <c r="J55" t="n">
        <v>3</v>
      </c>
      <c r="K55" t="n">
        <v>0</v>
      </c>
      <c r="L55" t="n">
        <v>0</v>
      </c>
      <c r="M55" t="n">
        <v>0</v>
      </c>
      <c r="N55" t="n">
        <v>0</v>
      </c>
      <c r="O55" t="n">
        <v>3</v>
      </c>
      <c r="P55" t="n">
        <v>0</v>
      </c>
      <c r="Q55" t="n">
        <v>3</v>
      </c>
      <c r="R55" s="2" t="inlineStr">
        <is>
          <t>Garnlav
Tretåig hackspett
Violettgrå tagellav</t>
        </is>
      </c>
      <c r="S55">
        <f>HYPERLINK("https://klasma.github.io/Logging_1737/artfynd/A 42590-2023 artfynd.xlsx", "A 42590-2023")</f>
        <v/>
      </c>
      <c r="T55">
        <f>HYPERLINK("https://klasma.github.io/Logging_1737/kartor/A 42590-2023 karta.png", "A 42590-2023")</f>
        <v/>
      </c>
      <c r="V55">
        <f>HYPERLINK("https://klasma.github.io/Logging_1737/klagomål/A 42590-2023 FSC-klagomål.docx", "A 42590-2023")</f>
        <v/>
      </c>
      <c r="W55">
        <f>HYPERLINK("https://klasma.github.io/Logging_1737/klagomålsmail/A 42590-2023 FSC-klagomål mail.docx", "A 42590-2023")</f>
        <v/>
      </c>
      <c r="X55">
        <f>HYPERLINK("https://klasma.github.io/Logging_1737/tillsyn/A 42590-2023 tillsynsbegäran.docx", "A 42590-2023")</f>
        <v/>
      </c>
      <c r="Y55">
        <f>HYPERLINK("https://klasma.github.io/Logging_1737/tillsynsmail/A 42590-2023 tillsynsbegäran mail.docx", "A 42590-2023")</f>
        <v/>
      </c>
    </row>
    <row r="56" ht="15" customHeight="1">
      <c r="A56" t="inlineStr">
        <is>
          <t>A 46016-2023</t>
        </is>
      </c>
      <c r="B56" s="1" t="n">
        <v>45196</v>
      </c>
      <c r="C56" s="1" t="n">
        <v>45265</v>
      </c>
      <c r="D56" t="inlineStr">
        <is>
          <t>VÄRMLANDS LÄN</t>
        </is>
      </c>
      <c r="E56" t="inlineStr">
        <is>
          <t>TORSBY</t>
        </is>
      </c>
      <c r="G56" t="n">
        <v>6.3</v>
      </c>
      <c r="H56" t="n">
        <v>0</v>
      </c>
      <c r="I56" t="n">
        <v>0</v>
      </c>
      <c r="J56" t="n">
        <v>3</v>
      </c>
      <c r="K56" t="n">
        <v>0</v>
      </c>
      <c r="L56" t="n">
        <v>0</v>
      </c>
      <c r="M56" t="n">
        <v>0</v>
      </c>
      <c r="N56" t="n">
        <v>0</v>
      </c>
      <c r="O56" t="n">
        <v>3</v>
      </c>
      <c r="P56" t="n">
        <v>0</v>
      </c>
      <c r="Q56" t="n">
        <v>3</v>
      </c>
      <c r="R56" s="2" t="inlineStr">
        <is>
          <t>Dvärgbägarlav
Mörk kolflarnlav
Vedskivlav</t>
        </is>
      </c>
      <c r="S56">
        <f>HYPERLINK("https://klasma.github.io/Logging_1737/artfynd/A 46016-2023 artfynd.xlsx", "A 46016-2023")</f>
        <v/>
      </c>
      <c r="T56">
        <f>HYPERLINK("https://klasma.github.io/Logging_1737/kartor/A 46016-2023 karta.png", "A 46016-2023")</f>
        <v/>
      </c>
      <c r="V56">
        <f>HYPERLINK("https://klasma.github.io/Logging_1737/klagomål/A 46016-2023 FSC-klagomål.docx", "A 46016-2023")</f>
        <v/>
      </c>
      <c r="W56">
        <f>HYPERLINK("https://klasma.github.io/Logging_1737/klagomålsmail/A 46016-2023 FSC-klagomål mail.docx", "A 46016-2023")</f>
        <v/>
      </c>
      <c r="X56">
        <f>HYPERLINK("https://klasma.github.io/Logging_1737/tillsyn/A 46016-2023 tillsynsbegäran.docx", "A 46016-2023")</f>
        <v/>
      </c>
      <c r="Y56">
        <f>HYPERLINK("https://klasma.github.io/Logging_1737/tillsynsmail/A 46016-2023 tillsynsbegäran mail.docx", "A 46016-2023")</f>
        <v/>
      </c>
    </row>
    <row r="57" ht="15" customHeight="1">
      <c r="A57" t="inlineStr">
        <is>
          <t>A 54558-2018</t>
        </is>
      </c>
      <c r="B57" s="1" t="n">
        <v>43385</v>
      </c>
      <c r="C57" s="1" t="n">
        <v>45265</v>
      </c>
      <c r="D57" t="inlineStr">
        <is>
          <t>VÄRMLANDS LÄN</t>
        </is>
      </c>
      <c r="E57" t="inlineStr">
        <is>
          <t>TORSBY</t>
        </is>
      </c>
      <c r="G57" t="n">
        <v>4.8</v>
      </c>
      <c r="H57" t="n">
        <v>1</v>
      </c>
      <c r="I57" t="n">
        <v>0</v>
      </c>
      <c r="J57" t="n">
        <v>2</v>
      </c>
      <c r="K57" t="n">
        <v>0</v>
      </c>
      <c r="L57" t="n">
        <v>0</v>
      </c>
      <c r="M57" t="n">
        <v>0</v>
      </c>
      <c r="N57" t="n">
        <v>0</v>
      </c>
      <c r="O57" t="n">
        <v>2</v>
      </c>
      <c r="P57" t="n">
        <v>0</v>
      </c>
      <c r="Q57" t="n">
        <v>2</v>
      </c>
      <c r="R57" s="2" t="inlineStr">
        <is>
          <t>Lunglav
Tretåig hackspett</t>
        </is>
      </c>
      <c r="S57">
        <f>HYPERLINK("https://klasma.github.io/Logging_1737/artfynd/A 54558-2018 artfynd.xlsx", "A 54558-2018")</f>
        <v/>
      </c>
      <c r="T57">
        <f>HYPERLINK("https://klasma.github.io/Logging_1737/kartor/A 54558-2018 karta.png", "A 54558-2018")</f>
        <v/>
      </c>
      <c r="V57">
        <f>HYPERLINK("https://klasma.github.io/Logging_1737/klagomål/A 54558-2018 FSC-klagomål.docx", "A 54558-2018")</f>
        <v/>
      </c>
      <c r="W57">
        <f>HYPERLINK("https://klasma.github.io/Logging_1737/klagomålsmail/A 54558-2018 FSC-klagomål mail.docx", "A 54558-2018")</f>
        <v/>
      </c>
      <c r="X57">
        <f>HYPERLINK("https://klasma.github.io/Logging_1737/tillsyn/A 54558-2018 tillsynsbegäran.docx", "A 54558-2018")</f>
        <v/>
      </c>
      <c r="Y57">
        <f>HYPERLINK("https://klasma.github.io/Logging_1737/tillsynsmail/A 54558-2018 tillsynsbegäran mail.docx", "A 54558-2018")</f>
        <v/>
      </c>
    </row>
    <row r="58" ht="15" customHeight="1">
      <c r="A58" t="inlineStr">
        <is>
          <t>A 18528-2019</t>
        </is>
      </c>
      <c r="B58" s="1" t="n">
        <v>43559</v>
      </c>
      <c r="C58" s="1" t="n">
        <v>45265</v>
      </c>
      <c r="D58" t="inlineStr">
        <is>
          <t>VÄRMLANDS LÄN</t>
        </is>
      </c>
      <c r="E58" t="inlineStr">
        <is>
          <t>TORSBY</t>
        </is>
      </c>
      <c r="G58" t="n">
        <v>1.9</v>
      </c>
      <c r="H58" t="n">
        <v>0</v>
      </c>
      <c r="I58" t="n">
        <v>1</v>
      </c>
      <c r="J58" t="n">
        <v>1</v>
      </c>
      <c r="K58" t="n">
        <v>0</v>
      </c>
      <c r="L58" t="n">
        <v>0</v>
      </c>
      <c r="M58" t="n">
        <v>0</v>
      </c>
      <c r="N58" t="n">
        <v>0</v>
      </c>
      <c r="O58" t="n">
        <v>1</v>
      </c>
      <c r="P58" t="n">
        <v>0</v>
      </c>
      <c r="Q58" t="n">
        <v>2</v>
      </c>
      <c r="R58" s="2" t="inlineStr">
        <is>
          <t>Lunglav
Kattfotslav</t>
        </is>
      </c>
      <c r="S58">
        <f>HYPERLINK("https://klasma.github.io/Logging_1737/artfynd/A 18528-2019 artfynd.xlsx", "A 18528-2019")</f>
        <v/>
      </c>
      <c r="T58">
        <f>HYPERLINK("https://klasma.github.io/Logging_1737/kartor/A 18528-2019 karta.png", "A 18528-2019")</f>
        <v/>
      </c>
      <c r="V58">
        <f>HYPERLINK("https://klasma.github.io/Logging_1737/klagomål/A 18528-2019 FSC-klagomål.docx", "A 18528-2019")</f>
        <v/>
      </c>
      <c r="W58">
        <f>HYPERLINK("https://klasma.github.io/Logging_1737/klagomålsmail/A 18528-2019 FSC-klagomål mail.docx", "A 18528-2019")</f>
        <v/>
      </c>
      <c r="X58">
        <f>HYPERLINK("https://klasma.github.io/Logging_1737/tillsyn/A 18528-2019 tillsynsbegäran.docx", "A 18528-2019")</f>
        <v/>
      </c>
      <c r="Y58">
        <f>HYPERLINK("https://klasma.github.io/Logging_1737/tillsynsmail/A 18528-2019 tillsynsbegäran mail.docx", "A 18528-2019")</f>
        <v/>
      </c>
    </row>
    <row r="59" ht="15" customHeight="1">
      <c r="A59" t="inlineStr">
        <is>
          <t>A 60661-2019</t>
        </is>
      </c>
      <c r="B59" s="1" t="n">
        <v>43781</v>
      </c>
      <c r="C59" s="1" t="n">
        <v>45265</v>
      </c>
      <c r="D59" t="inlineStr">
        <is>
          <t>VÄRMLANDS LÄN</t>
        </is>
      </c>
      <c r="E59" t="inlineStr">
        <is>
          <t>TORSBY</t>
        </is>
      </c>
      <c r="F59" t="inlineStr">
        <is>
          <t>Bergvik skog väst AB</t>
        </is>
      </c>
      <c r="G59" t="n">
        <v>40.4</v>
      </c>
      <c r="H59" t="n">
        <v>2</v>
      </c>
      <c r="I59" t="n">
        <v>0</v>
      </c>
      <c r="J59" t="n">
        <v>2</v>
      </c>
      <c r="K59" t="n">
        <v>0</v>
      </c>
      <c r="L59" t="n">
        <v>0</v>
      </c>
      <c r="M59" t="n">
        <v>0</v>
      </c>
      <c r="N59" t="n">
        <v>0</v>
      </c>
      <c r="O59" t="n">
        <v>2</v>
      </c>
      <c r="P59" t="n">
        <v>0</v>
      </c>
      <c r="Q59" t="n">
        <v>2</v>
      </c>
      <c r="R59" s="2" t="inlineStr">
        <is>
          <t>Kråka
Spillkråka</t>
        </is>
      </c>
      <c r="S59">
        <f>HYPERLINK("https://klasma.github.io/Logging_1737/artfynd/A 60661-2019 artfynd.xlsx", "A 60661-2019")</f>
        <v/>
      </c>
      <c r="T59">
        <f>HYPERLINK("https://klasma.github.io/Logging_1737/kartor/A 60661-2019 karta.png", "A 60661-2019")</f>
        <v/>
      </c>
      <c r="V59">
        <f>HYPERLINK("https://klasma.github.io/Logging_1737/klagomål/A 60661-2019 FSC-klagomål.docx", "A 60661-2019")</f>
        <v/>
      </c>
      <c r="W59">
        <f>HYPERLINK("https://klasma.github.io/Logging_1737/klagomålsmail/A 60661-2019 FSC-klagomål mail.docx", "A 60661-2019")</f>
        <v/>
      </c>
      <c r="X59">
        <f>HYPERLINK("https://klasma.github.io/Logging_1737/tillsyn/A 60661-2019 tillsynsbegäran.docx", "A 60661-2019")</f>
        <v/>
      </c>
      <c r="Y59">
        <f>HYPERLINK("https://klasma.github.io/Logging_1737/tillsynsmail/A 60661-2019 tillsynsbegäran mail.docx", "A 60661-2019")</f>
        <v/>
      </c>
    </row>
    <row r="60" ht="15" customHeight="1">
      <c r="A60" t="inlineStr">
        <is>
          <t>A 53198-2020</t>
        </is>
      </c>
      <c r="B60" s="1" t="n">
        <v>44122</v>
      </c>
      <c r="C60" s="1" t="n">
        <v>45265</v>
      </c>
      <c r="D60" t="inlineStr">
        <is>
          <t>VÄRMLANDS LÄN</t>
        </is>
      </c>
      <c r="E60" t="inlineStr">
        <is>
          <t>TORSBY</t>
        </is>
      </c>
      <c r="G60" t="n">
        <v>6.5</v>
      </c>
      <c r="H60" t="n">
        <v>0</v>
      </c>
      <c r="I60" t="n">
        <v>0</v>
      </c>
      <c r="J60" t="n">
        <v>2</v>
      </c>
      <c r="K60" t="n">
        <v>0</v>
      </c>
      <c r="L60" t="n">
        <v>0</v>
      </c>
      <c r="M60" t="n">
        <v>0</v>
      </c>
      <c r="N60" t="n">
        <v>0</v>
      </c>
      <c r="O60" t="n">
        <v>2</v>
      </c>
      <c r="P60" t="n">
        <v>0</v>
      </c>
      <c r="Q60" t="n">
        <v>2</v>
      </c>
      <c r="R60" s="2" t="inlineStr">
        <is>
          <t>Garnlav
Kolflarnlav</t>
        </is>
      </c>
      <c r="S60">
        <f>HYPERLINK("https://klasma.github.io/Logging_1737/artfynd/A 53198-2020 artfynd.xlsx", "A 53198-2020")</f>
        <v/>
      </c>
      <c r="T60">
        <f>HYPERLINK("https://klasma.github.io/Logging_1737/kartor/A 53198-2020 karta.png", "A 53198-2020")</f>
        <v/>
      </c>
      <c r="V60">
        <f>HYPERLINK("https://klasma.github.io/Logging_1737/klagomål/A 53198-2020 FSC-klagomål.docx", "A 53198-2020")</f>
        <v/>
      </c>
      <c r="W60">
        <f>HYPERLINK("https://klasma.github.io/Logging_1737/klagomålsmail/A 53198-2020 FSC-klagomål mail.docx", "A 53198-2020")</f>
        <v/>
      </c>
      <c r="X60">
        <f>HYPERLINK("https://klasma.github.io/Logging_1737/tillsyn/A 53198-2020 tillsynsbegäran.docx", "A 53198-2020")</f>
        <v/>
      </c>
      <c r="Y60">
        <f>HYPERLINK("https://klasma.github.io/Logging_1737/tillsynsmail/A 53198-2020 tillsynsbegäran mail.docx", "A 53198-2020")</f>
        <v/>
      </c>
    </row>
    <row r="61" ht="15" customHeight="1">
      <c r="A61" t="inlineStr">
        <is>
          <t>A 1524-2021</t>
        </is>
      </c>
      <c r="B61" s="1" t="n">
        <v>44209</v>
      </c>
      <c r="C61" s="1" t="n">
        <v>45265</v>
      </c>
      <c r="D61" t="inlineStr">
        <is>
          <t>VÄRMLANDS LÄN</t>
        </is>
      </c>
      <c r="E61" t="inlineStr">
        <is>
          <t>TORSBY</t>
        </is>
      </c>
      <c r="G61" t="n">
        <v>1</v>
      </c>
      <c r="H61" t="n">
        <v>0</v>
      </c>
      <c r="I61" t="n">
        <v>2</v>
      </c>
      <c r="J61" t="n">
        <v>0</v>
      </c>
      <c r="K61" t="n">
        <v>0</v>
      </c>
      <c r="L61" t="n">
        <v>0</v>
      </c>
      <c r="M61" t="n">
        <v>0</v>
      </c>
      <c r="N61" t="n">
        <v>0</v>
      </c>
      <c r="O61" t="n">
        <v>0</v>
      </c>
      <c r="P61" t="n">
        <v>0</v>
      </c>
      <c r="Q61" t="n">
        <v>2</v>
      </c>
      <c r="R61" s="2" t="inlineStr">
        <is>
          <t>Dropptaggsvamp
Skarp dropptaggsvamp</t>
        </is>
      </c>
      <c r="S61">
        <f>HYPERLINK("https://klasma.github.io/Logging_1737/artfynd/A 1524-2021 artfynd.xlsx", "A 1524-2021")</f>
        <v/>
      </c>
      <c r="T61">
        <f>HYPERLINK("https://klasma.github.io/Logging_1737/kartor/A 1524-2021 karta.png", "A 1524-2021")</f>
        <v/>
      </c>
      <c r="V61">
        <f>HYPERLINK("https://klasma.github.io/Logging_1737/klagomål/A 1524-2021 FSC-klagomål.docx", "A 1524-2021")</f>
        <v/>
      </c>
      <c r="W61">
        <f>HYPERLINK("https://klasma.github.io/Logging_1737/klagomålsmail/A 1524-2021 FSC-klagomål mail.docx", "A 1524-2021")</f>
        <v/>
      </c>
      <c r="X61">
        <f>HYPERLINK("https://klasma.github.io/Logging_1737/tillsyn/A 1524-2021 tillsynsbegäran.docx", "A 1524-2021")</f>
        <v/>
      </c>
      <c r="Y61">
        <f>HYPERLINK("https://klasma.github.io/Logging_1737/tillsynsmail/A 1524-2021 tillsynsbegäran mail.docx", "A 1524-2021")</f>
        <v/>
      </c>
    </row>
    <row r="62" ht="15" customHeight="1">
      <c r="A62" t="inlineStr">
        <is>
          <t>A 43023-2021</t>
        </is>
      </c>
      <c r="B62" s="1" t="n">
        <v>44431</v>
      </c>
      <c r="C62" s="1" t="n">
        <v>45265</v>
      </c>
      <c r="D62" t="inlineStr">
        <is>
          <t>VÄRMLANDS LÄN</t>
        </is>
      </c>
      <c r="E62" t="inlineStr">
        <is>
          <t>TORSBY</t>
        </is>
      </c>
      <c r="G62" t="n">
        <v>1</v>
      </c>
      <c r="H62" t="n">
        <v>0</v>
      </c>
      <c r="I62" t="n">
        <v>0</v>
      </c>
      <c r="J62" t="n">
        <v>2</v>
      </c>
      <c r="K62" t="n">
        <v>0</v>
      </c>
      <c r="L62" t="n">
        <v>0</v>
      </c>
      <c r="M62" t="n">
        <v>0</v>
      </c>
      <c r="N62" t="n">
        <v>0</v>
      </c>
      <c r="O62" t="n">
        <v>2</v>
      </c>
      <c r="P62" t="n">
        <v>0</v>
      </c>
      <c r="Q62" t="n">
        <v>2</v>
      </c>
      <c r="R62" s="2" t="inlineStr">
        <is>
          <t>Doftskinn
Violettgrå tagellav</t>
        </is>
      </c>
      <c r="S62">
        <f>HYPERLINK("https://klasma.github.io/Logging_1737/artfynd/A 43023-2021 artfynd.xlsx", "A 43023-2021")</f>
        <v/>
      </c>
      <c r="T62">
        <f>HYPERLINK("https://klasma.github.io/Logging_1737/kartor/A 43023-2021 karta.png", "A 43023-2021")</f>
        <v/>
      </c>
      <c r="V62">
        <f>HYPERLINK("https://klasma.github.io/Logging_1737/klagomål/A 43023-2021 FSC-klagomål.docx", "A 43023-2021")</f>
        <v/>
      </c>
      <c r="W62">
        <f>HYPERLINK("https://klasma.github.io/Logging_1737/klagomålsmail/A 43023-2021 FSC-klagomål mail.docx", "A 43023-2021")</f>
        <v/>
      </c>
      <c r="X62">
        <f>HYPERLINK("https://klasma.github.io/Logging_1737/tillsyn/A 43023-2021 tillsynsbegäran.docx", "A 43023-2021")</f>
        <v/>
      </c>
      <c r="Y62">
        <f>HYPERLINK("https://klasma.github.io/Logging_1737/tillsynsmail/A 43023-2021 tillsynsbegäran mail.docx", "A 43023-2021")</f>
        <v/>
      </c>
    </row>
    <row r="63" ht="15" customHeight="1">
      <c r="A63" t="inlineStr">
        <is>
          <t>A 12375-2022</t>
        </is>
      </c>
      <c r="B63" s="1" t="n">
        <v>44637</v>
      </c>
      <c r="C63" s="1" t="n">
        <v>45265</v>
      </c>
      <c r="D63" t="inlineStr">
        <is>
          <t>VÄRMLANDS LÄN</t>
        </is>
      </c>
      <c r="E63" t="inlineStr">
        <is>
          <t>TORSBY</t>
        </is>
      </c>
      <c r="G63" t="n">
        <v>5.8</v>
      </c>
      <c r="H63" t="n">
        <v>0</v>
      </c>
      <c r="I63" t="n">
        <v>1</v>
      </c>
      <c r="J63" t="n">
        <v>1</v>
      </c>
      <c r="K63" t="n">
        <v>0</v>
      </c>
      <c r="L63" t="n">
        <v>0</v>
      </c>
      <c r="M63" t="n">
        <v>0</v>
      </c>
      <c r="N63" t="n">
        <v>0</v>
      </c>
      <c r="O63" t="n">
        <v>1</v>
      </c>
      <c r="P63" t="n">
        <v>0</v>
      </c>
      <c r="Q63" t="n">
        <v>2</v>
      </c>
      <c r="R63" s="2" t="inlineStr">
        <is>
          <t>Garnlav
Nästlav</t>
        </is>
      </c>
      <c r="S63">
        <f>HYPERLINK("https://klasma.github.io/Logging_1737/artfynd/A 12375-2022 artfynd.xlsx", "A 12375-2022")</f>
        <v/>
      </c>
      <c r="T63">
        <f>HYPERLINK("https://klasma.github.io/Logging_1737/kartor/A 12375-2022 karta.png", "A 12375-2022")</f>
        <v/>
      </c>
      <c r="V63">
        <f>HYPERLINK("https://klasma.github.io/Logging_1737/klagomål/A 12375-2022 FSC-klagomål.docx", "A 12375-2022")</f>
        <v/>
      </c>
      <c r="W63">
        <f>HYPERLINK("https://klasma.github.io/Logging_1737/klagomålsmail/A 12375-2022 FSC-klagomål mail.docx", "A 12375-2022")</f>
        <v/>
      </c>
      <c r="X63">
        <f>HYPERLINK("https://klasma.github.io/Logging_1737/tillsyn/A 12375-2022 tillsynsbegäran.docx", "A 12375-2022")</f>
        <v/>
      </c>
      <c r="Y63">
        <f>HYPERLINK("https://klasma.github.io/Logging_1737/tillsynsmail/A 12375-2022 tillsynsbegäran mail.docx", "A 12375-2022")</f>
        <v/>
      </c>
    </row>
    <row r="64" ht="15" customHeight="1">
      <c r="A64" t="inlineStr">
        <is>
          <t>A 12372-2022</t>
        </is>
      </c>
      <c r="B64" s="1" t="n">
        <v>44637</v>
      </c>
      <c r="C64" s="1" t="n">
        <v>45265</v>
      </c>
      <c r="D64" t="inlineStr">
        <is>
          <t>VÄRMLANDS LÄN</t>
        </is>
      </c>
      <c r="E64" t="inlineStr">
        <is>
          <t>TORSBY</t>
        </is>
      </c>
      <c r="G64" t="n">
        <v>3.4</v>
      </c>
      <c r="H64" t="n">
        <v>0</v>
      </c>
      <c r="I64" t="n">
        <v>0</v>
      </c>
      <c r="J64" t="n">
        <v>2</v>
      </c>
      <c r="K64" t="n">
        <v>0</v>
      </c>
      <c r="L64" t="n">
        <v>0</v>
      </c>
      <c r="M64" t="n">
        <v>0</v>
      </c>
      <c r="N64" t="n">
        <v>0</v>
      </c>
      <c r="O64" t="n">
        <v>2</v>
      </c>
      <c r="P64" t="n">
        <v>0</v>
      </c>
      <c r="Q64" t="n">
        <v>2</v>
      </c>
      <c r="R64" s="2" t="inlineStr">
        <is>
          <t>Gammelgransskål
Garnlav</t>
        </is>
      </c>
      <c r="S64">
        <f>HYPERLINK("https://klasma.github.io/Logging_1737/artfynd/A 12372-2022 artfynd.xlsx", "A 12372-2022")</f>
        <v/>
      </c>
      <c r="T64">
        <f>HYPERLINK("https://klasma.github.io/Logging_1737/kartor/A 12372-2022 karta.png", "A 12372-2022")</f>
        <v/>
      </c>
      <c r="V64">
        <f>HYPERLINK("https://klasma.github.io/Logging_1737/klagomål/A 12372-2022 FSC-klagomål.docx", "A 12372-2022")</f>
        <v/>
      </c>
      <c r="W64">
        <f>HYPERLINK("https://klasma.github.io/Logging_1737/klagomålsmail/A 12372-2022 FSC-klagomål mail.docx", "A 12372-2022")</f>
        <v/>
      </c>
      <c r="X64">
        <f>HYPERLINK("https://klasma.github.io/Logging_1737/tillsyn/A 12372-2022 tillsynsbegäran.docx", "A 12372-2022")</f>
        <v/>
      </c>
      <c r="Y64">
        <f>HYPERLINK("https://klasma.github.io/Logging_1737/tillsynsmail/A 12372-2022 tillsynsbegäran mail.docx", "A 12372-2022")</f>
        <v/>
      </c>
    </row>
    <row r="65" ht="15" customHeight="1">
      <c r="A65" t="inlineStr">
        <is>
          <t>A 28156-2022</t>
        </is>
      </c>
      <c r="B65" s="1" t="n">
        <v>44746</v>
      </c>
      <c r="C65" s="1" t="n">
        <v>45265</v>
      </c>
      <c r="D65" t="inlineStr">
        <is>
          <t>VÄRMLANDS LÄN</t>
        </is>
      </c>
      <c r="E65" t="inlineStr">
        <is>
          <t>TORSBY</t>
        </is>
      </c>
      <c r="F65" t="inlineStr">
        <is>
          <t>Bergvik skog väst AB</t>
        </is>
      </c>
      <c r="G65" t="n">
        <v>8.300000000000001</v>
      </c>
      <c r="H65" t="n">
        <v>0</v>
      </c>
      <c r="I65" t="n">
        <v>0</v>
      </c>
      <c r="J65" t="n">
        <v>1</v>
      </c>
      <c r="K65" t="n">
        <v>1</v>
      </c>
      <c r="L65" t="n">
        <v>0</v>
      </c>
      <c r="M65" t="n">
        <v>0</v>
      </c>
      <c r="N65" t="n">
        <v>0</v>
      </c>
      <c r="O65" t="n">
        <v>2</v>
      </c>
      <c r="P65" t="n">
        <v>1</v>
      </c>
      <c r="Q65" t="n">
        <v>2</v>
      </c>
      <c r="R65" s="2" t="inlineStr">
        <is>
          <t>Raggbock
Tallticka</t>
        </is>
      </c>
      <c r="S65">
        <f>HYPERLINK("https://klasma.github.io/Logging_1737/artfynd/A 28156-2022 artfynd.xlsx", "A 28156-2022")</f>
        <v/>
      </c>
      <c r="T65">
        <f>HYPERLINK("https://klasma.github.io/Logging_1737/kartor/A 28156-2022 karta.png", "A 28156-2022")</f>
        <v/>
      </c>
      <c r="V65">
        <f>HYPERLINK("https://klasma.github.io/Logging_1737/klagomål/A 28156-2022 FSC-klagomål.docx", "A 28156-2022")</f>
        <v/>
      </c>
      <c r="W65">
        <f>HYPERLINK("https://klasma.github.io/Logging_1737/klagomålsmail/A 28156-2022 FSC-klagomål mail.docx", "A 28156-2022")</f>
        <v/>
      </c>
      <c r="X65">
        <f>HYPERLINK("https://klasma.github.io/Logging_1737/tillsyn/A 28156-2022 tillsynsbegäran.docx", "A 28156-2022")</f>
        <v/>
      </c>
      <c r="Y65">
        <f>HYPERLINK("https://klasma.github.io/Logging_1737/tillsynsmail/A 28156-2022 tillsynsbegäran mail.docx", "A 28156-2022")</f>
        <v/>
      </c>
    </row>
    <row r="66" ht="15" customHeight="1">
      <c r="A66" t="inlineStr">
        <is>
          <t>A 34930-2022</t>
        </is>
      </c>
      <c r="B66" s="1" t="n">
        <v>44796</v>
      </c>
      <c r="C66" s="1" t="n">
        <v>45265</v>
      </c>
      <c r="D66" t="inlineStr">
        <is>
          <t>VÄRMLANDS LÄN</t>
        </is>
      </c>
      <c r="E66" t="inlineStr">
        <is>
          <t>TORSBY</t>
        </is>
      </c>
      <c r="G66" t="n">
        <v>3.3</v>
      </c>
      <c r="H66" t="n">
        <v>0</v>
      </c>
      <c r="I66" t="n">
        <v>2</v>
      </c>
      <c r="J66" t="n">
        <v>0</v>
      </c>
      <c r="K66" t="n">
        <v>0</v>
      </c>
      <c r="L66" t="n">
        <v>0</v>
      </c>
      <c r="M66" t="n">
        <v>0</v>
      </c>
      <c r="N66" t="n">
        <v>0</v>
      </c>
      <c r="O66" t="n">
        <v>0</v>
      </c>
      <c r="P66" t="n">
        <v>0</v>
      </c>
      <c r="Q66" t="n">
        <v>2</v>
      </c>
      <c r="R66" s="2" t="inlineStr">
        <is>
          <t>Mörk husmossa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2000-2023</t>
        </is>
      </c>
      <c r="B67" s="1" t="n">
        <v>44939</v>
      </c>
      <c r="C67" s="1" t="n">
        <v>45265</v>
      </c>
      <c r="D67" t="inlineStr">
        <is>
          <t>VÄRMLANDS LÄN</t>
        </is>
      </c>
      <c r="E67" t="inlineStr">
        <is>
          <t>TORSBY</t>
        </is>
      </c>
      <c r="G67" t="n">
        <v>3.2</v>
      </c>
      <c r="H67" t="n">
        <v>2</v>
      </c>
      <c r="I67" t="n">
        <v>1</v>
      </c>
      <c r="J67" t="n">
        <v>0</v>
      </c>
      <c r="K67" t="n">
        <v>0</v>
      </c>
      <c r="L67" t="n">
        <v>0</v>
      </c>
      <c r="M67" t="n">
        <v>0</v>
      </c>
      <c r="N67" t="n">
        <v>0</v>
      </c>
      <c r="O67" t="n">
        <v>0</v>
      </c>
      <c r="P67" t="n">
        <v>0</v>
      </c>
      <c r="Q67" t="n">
        <v>2</v>
      </c>
      <c r="R67" s="2" t="inlineStr">
        <is>
          <t>Spindelblomster
Mattlummer</t>
        </is>
      </c>
      <c r="S67">
        <f>HYPERLINK("https://klasma.github.io/Logging_1737/artfynd/A 2000-2023 artfynd.xlsx", "A 2000-2023")</f>
        <v/>
      </c>
      <c r="T67">
        <f>HYPERLINK("https://klasma.github.io/Logging_1737/kartor/A 2000-2023 karta.png", "A 2000-2023")</f>
        <v/>
      </c>
      <c r="V67">
        <f>HYPERLINK("https://klasma.github.io/Logging_1737/klagomål/A 2000-2023 FSC-klagomål.docx", "A 2000-2023")</f>
        <v/>
      </c>
      <c r="W67">
        <f>HYPERLINK("https://klasma.github.io/Logging_1737/klagomålsmail/A 2000-2023 FSC-klagomål mail.docx", "A 2000-2023")</f>
        <v/>
      </c>
      <c r="X67">
        <f>HYPERLINK("https://klasma.github.io/Logging_1737/tillsyn/A 2000-2023 tillsynsbegäran.docx", "A 2000-2023")</f>
        <v/>
      </c>
      <c r="Y67">
        <f>HYPERLINK("https://klasma.github.io/Logging_1737/tillsynsmail/A 2000-2023 tillsynsbegäran mail.docx", "A 2000-2023")</f>
        <v/>
      </c>
    </row>
    <row r="68" ht="15" customHeight="1">
      <c r="A68" t="inlineStr">
        <is>
          <t>A 4718-2023</t>
        </is>
      </c>
      <c r="B68" s="1" t="n">
        <v>44957</v>
      </c>
      <c r="C68" s="1" t="n">
        <v>45265</v>
      </c>
      <c r="D68" t="inlineStr">
        <is>
          <t>VÄRMLANDS LÄN</t>
        </is>
      </c>
      <c r="E68" t="inlineStr">
        <is>
          <t>TORSBY</t>
        </is>
      </c>
      <c r="G68" t="n">
        <v>8.5</v>
      </c>
      <c r="H68" t="n">
        <v>0</v>
      </c>
      <c r="I68" t="n">
        <v>0</v>
      </c>
      <c r="J68" t="n">
        <v>2</v>
      </c>
      <c r="K68" t="n">
        <v>0</v>
      </c>
      <c r="L68" t="n">
        <v>0</v>
      </c>
      <c r="M68" t="n">
        <v>0</v>
      </c>
      <c r="N68" t="n">
        <v>0</v>
      </c>
      <c r="O68" t="n">
        <v>2</v>
      </c>
      <c r="P68" t="n">
        <v>0</v>
      </c>
      <c r="Q68" t="n">
        <v>2</v>
      </c>
      <c r="R68" s="2" t="inlineStr">
        <is>
          <t>Garnlav
Violettgrå tagellav</t>
        </is>
      </c>
      <c r="S68">
        <f>HYPERLINK("https://klasma.github.io/Logging_1737/artfynd/A 4718-2023 artfynd.xlsx", "A 4718-2023")</f>
        <v/>
      </c>
      <c r="T68">
        <f>HYPERLINK("https://klasma.github.io/Logging_1737/kartor/A 4718-2023 karta.png", "A 4718-2023")</f>
        <v/>
      </c>
      <c r="V68">
        <f>HYPERLINK("https://klasma.github.io/Logging_1737/klagomål/A 4718-2023 FSC-klagomål.docx", "A 4718-2023")</f>
        <v/>
      </c>
      <c r="W68">
        <f>HYPERLINK("https://klasma.github.io/Logging_1737/klagomålsmail/A 4718-2023 FSC-klagomål mail.docx", "A 4718-2023")</f>
        <v/>
      </c>
      <c r="X68">
        <f>HYPERLINK("https://klasma.github.io/Logging_1737/tillsyn/A 4718-2023 tillsynsbegäran.docx", "A 4718-2023")</f>
        <v/>
      </c>
      <c r="Y68">
        <f>HYPERLINK("https://klasma.github.io/Logging_1737/tillsynsmail/A 4718-2023 tillsynsbegäran mail.docx", "A 4718-2023")</f>
        <v/>
      </c>
    </row>
    <row r="69" ht="15" customHeight="1">
      <c r="A69" t="inlineStr">
        <is>
          <t>A 13364-2023</t>
        </is>
      </c>
      <c r="B69" s="1" t="n">
        <v>45005</v>
      </c>
      <c r="C69" s="1" t="n">
        <v>45265</v>
      </c>
      <c r="D69" t="inlineStr">
        <is>
          <t>VÄRMLANDS LÄN</t>
        </is>
      </c>
      <c r="E69" t="inlineStr">
        <is>
          <t>TORSBY</t>
        </is>
      </c>
      <c r="G69" t="n">
        <v>16.3</v>
      </c>
      <c r="H69" t="n">
        <v>0</v>
      </c>
      <c r="I69" t="n">
        <v>1</v>
      </c>
      <c r="J69" t="n">
        <v>1</v>
      </c>
      <c r="K69" t="n">
        <v>0</v>
      </c>
      <c r="L69" t="n">
        <v>0</v>
      </c>
      <c r="M69" t="n">
        <v>0</v>
      </c>
      <c r="N69" t="n">
        <v>0</v>
      </c>
      <c r="O69" t="n">
        <v>1</v>
      </c>
      <c r="P69" t="n">
        <v>0</v>
      </c>
      <c r="Q69" t="n">
        <v>2</v>
      </c>
      <c r="R69" s="2" t="inlineStr">
        <is>
          <t>Mörk kolflarnlav
Dropptaggsvamp</t>
        </is>
      </c>
      <c r="S69">
        <f>HYPERLINK("https://klasma.github.io/Logging_1737/artfynd/A 13364-2023 artfynd.xlsx", "A 13364-2023")</f>
        <v/>
      </c>
      <c r="T69">
        <f>HYPERLINK("https://klasma.github.io/Logging_1737/kartor/A 13364-2023 karta.png", "A 13364-2023")</f>
        <v/>
      </c>
      <c r="V69">
        <f>HYPERLINK("https://klasma.github.io/Logging_1737/klagomål/A 13364-2023 FSC-klagomål.docx", "A 13364-2023")</f>
        <v/>
      </c>
      <c r="W69">
        <f>HYPERLINK("https://klasma.github.io/Logging_1737/klagomålsmail/A 13364-2023 FSC-klagomål mail.docx", "A 13364-2023")</f>
        <v/>
      </c>
      <c r="X69">
        <f>HYPERLINK("https://klasma.github.io/Logging_1737/tillsyn/A 13364-2023 tillsynsbegäran.docx", "A 13364-2023")</f>
        <v/>
      </c>
      <c r="Y69">
        <f>HYPERLINK("https://klasma.github.io/Logging_1737/tillsynsmail/A 13364-2023 tillsynsbegäran mail.docx", "A 13364-2023")</f>
        <v/>
      </c>
    </row>
    <row r="70" ht="15" customHeight="1">
      <c r="A70" t="inlineStr">
        <is>
          <t>A 16414-2023</t>
        </is>
      </c>
      <c r="B70" s="1" t="n">
        <v>45022</v>
      </c>
      <c r="C70" s="1" t="n">
        <v>45265</v>
      </c>
      <c r="D70" t="inlineStr">
        <is>
          <t>VÄRMLANDS LÄN</t>
        </is>
      </c>
      <c r="E70" t="inlineStr">
        <is>
          <t>TORSBY</t>
        </is>
      </c>
      <c r="G70" t="n">
        <v>8.800000000000001</v>
      </c>
      <c r="H70" t="n">
        <v>2</v>
      </c>
      <c r="I70" t="n">
        <v>0</v>
      </c>
      <c r="J70" t="n">
        <v>2</v>
      </c>
      <c r="K70" t="n">
        <v>0</v>
      </c>
      <c r="L70" t="n">
        <v>0</v>
      </c>
      <c r="M70" t="n">
        <v>0</v>
      </c>
      <c r="N70" t="n">
        <v>0</v>
      </c>
      <c r="O70" t="n">
        <v>2</v>
      </c>
      <c r="P70" t="n">
        <v>0</v>
      </c>
      <c r="Q70" t="n">
        <v>2</v>
      </c>
      <c r="R70" s="2" t="inlineStr">
        <is>
          <t>Spillkråka
Talltita</t>
        </is>
      </c>
      <c r="S70">
        <f>HYPERLINK("https://klasma.github.io/Logging_1737/artfynd/A 16414-2023 artfynd.xlsx", "A 16414-2023")</f>
        <v/>
      </c>
      <c r="T70">
        <f>HYPERLINK("https://klasma.github.io/Logging_1737/kartor/A 16414-2023 karta.png", "A 16414-2023")</f>
        <v/>
      </c>
      <c r="V70">
        <f>HYPERLINK("https://klasma.github.io/Logging_1737/klagomål/A 16414-2023 FSC-klagomål.docx", "A 16414-2023")</f>
        <v/>
      </c>
      <c r="W70">
        <f>HYPERLINK("https://klasma.github.io/Logging_1737/klagomålsmail/A 16414-2023 FSC-klagomål mail.docx", "A 16414-2023")</f>
        <v/>
      </c>
      <c r="X70">
        <f>HYPERLINK("https://klasma.github.io/Logging_1737/tillsyn/A 16414-2023 tillsynsbegäran.docx", "A 16414-2023")</f>
        <v/>
      </c>
      <c r="Y70">
        <f>HYPERLINK("https://klasma.github.io/Logging_1737/tillsynsmail/A 16414-2023 tillsynsbegäran mail.docx", "A 16414-2023")</f>
        <v/>
      </c>
    </row>
    <row r="71" ht="15" customHeight="1">
      <c r="A71" t="inlineStr">
        <is>
          <t>A 16442-2023</t>
        </is>
      </c>
      <c r="B71" s="1" t="n">
        <v>45026</v>
      </c>
      <c r="C71" s="1" t="n">
        <v>45265</v>
      </c>
      <c r="D71" t="inlineStr">
        <is>
          <t>VÄRMLANDS LÄN</t>
        </is>
      </c>
      <c r="E71" t="inlineStr">
        <is>
          <t>TORSBY</t>
        </is>
      </c>
      <c r="G71" t="n">
        <v>2.1</v>
      </c>
      <c r="H71" t="n">
        <v>0</v>
      </c>
      <c r="I71" t="n">
        <v>0</v>
      </c>
      <c r="J71" t="n">
        <v>2</v>
      </c>
      <c r="K71" t="n">
        <v>0</v>
      </c>
      <c r="L71" t="n">
        <v>0</v>
      </c>
      <c r="M71" t="n">
        <v>0</v>
      </c>
      <c r="N71" t="n">
        <v>0</v>
      </c>
      <c r="O71" t="n">
        <v>2</v>
      </c>
      <c r="P71" t="n">
        <v>0</v>
      </c>
      <c r="Q71" t="n">
        <v>2</v>
      </c>
      <c r="R71" s="2" t="inlineStr">
        <is>
          <t>Garnlav
Vedskivlav</t>
        </is>
      </c>
      <c r="S71">
        <f>HYPERLINK("https://klasma.github.io/Logging_1737/artfynd/A 16442-2023 artfynd.xlsx", "A 16442-2023")</f>
        <v/>
      </c>
      <c r="T71">
        <f>HYPERLINK("https://klasma.github.io/Logging_1737/kartor/A 16442-2023 karta.png", "A 16442-2023")</f>
        <v/>
      </c>
      <c r="V71">
        <f>HYPERLINK("https://klasma.github.io/Logging_1737/klagomål/A 16442-2023 FSC-klagomål.docx", "A 16442-2023")</f>
        <v/>
      </c>
      <c r="W71">
        <f>HYPERLINK("https://klasma.github.io/Logging_1737/klagomålsmail/A 16442-2023 FSC-klagomål mail.docx", "A 16442-2023")</f>
        <v/>
      </c>
      <c r="X71">
        <f>HYPERLINK("https://klasma.github.io/Logging_1737/tillsyn/A 16442-2023 tillsynsbegäran.docx", "A 16442-2023")</f>
        <v/>
      </c>
      <c r="Y71">
        <f>HYPERLINK("https://klasma.github.io/Logging_1737/tillsynsmail/A 16442-2023 tillsynsbegäran mail.docx", "A 16442-2023")</f>
        <v/>
      </c>
    </row>
    <row r="72" ht="15" customHeight="1">
      <c r="A72" t="inlineStr">
        <is>
          <t>A 42610-2023</t>
        </is>
      </c>
      <c r="B72" s="1" t="n">
        <v>45181</v>
      </c>
      <c r="C72" s="1" t="n">
        <v>45265</v>
      </c>
      <c r="D72" t="inlineStr">
        <is>
          <t>VÄRMLANDS LÄN</t>
        </is>
      </c>
      <c r="E72" t="inlineStr">
        <is>
          <t>TORSBY</t>
        </is>
      </c>
      <c r="G72" t="n">
        <v>16.9</v>
      </c>
      <c r="H72" t="n">
        <v>1</v>
      </c>
      <c r="I72" t="n">
        <v>0</v>
      </c>
      <c r="J72" t="n">
        <v>1</v>
      </c>
      <c r="K72" t="n">
        <v>0</v>
      </c>
      <c r="L72" t="n">
        <v>0</v>
      </c>
      <c r="M72" t="n">
        <v>0</v>
      </c>
      <c r="N72" t="n">
        <v>0</v>
      </c>
      <c r="O72" t="n">
        <v>1</v>
      </c>
      <c r="P72" t="n">
        <v>0</v>
      </c>
      <c r="Q72" t="n">
        <v>2</v>
      </c>
      <c r="R72" s="2" t="inlineStr">
        <is>
          <t>Garnlav
Tjäder</t>
        </is>
      </c>
      <c r="S72">
        <f>HYPERLINK("https://klasma.github.io/Logging_1737/artfynd/A 42610-2023 artfynd.xlsx", "A 42610-2023")</f>
        <v/>
      </c>
      <c r="T72">
        <f>HYPERLINK("https://klasma.github.io/Logging_1737/kartor/A 42610-2023 karta.png", "A 42610-2023")</f>
        <v/>
      </c>
      <c r="V72">
        <f>HYPERLINK("https://klasma.github.io/Logging_1737/klagomål/A 42610-2023 FSC-klagomål.docx", "A 42610-2023")</f>
        <v/>
      </c>
      <c r="W72">
        <f>HYPERLINK("https://klasma.github.io/Logging_1737/klagomålsmail/A 42610-2023 FSC-klagomål mail.docx", "A 42610-2023")</f>
        <v/>
      </c>
      <c r="X72">
        <f>HYPERLINK("https://klasma.github.io/Logging_1737/tillsyn/A 42610-2023 tillsynsbegäran.docx", "A 42610-2023")</f>
        <v/>
      </c>
      <c r="Y72">
        <f>HYPERLINK("https://klasma.github.io/Logging_1737/tillsynsmail/A 42610-2023 tillsynsbegäran mail.docx", "A 42610-2023")</f>
        <v/>
      </c>
    </row>
    <row r="73" ht="15" customHeight="1">
      <c r="A73" t="inlineStr">
        <is>
          <t>A 46008-2023</t>
        </is>
      </c>
      <c r="B73" s="1" t="n">
        <v>45196</v>
      </c>
      <c r="C73" s="1" t="n">
        <v>45265</v>
      </c>
      <c r="D73" t="inlineStr">
        <is>
          <t>VÄRMLANDS LÄN</t>
        </is>
      </c>
      <c r="E73" t="inlineStr">
        <is>
          <t>TORSBY</t>
        </is>
      </c>
      <c r="G73" t="n">
        <v>15.4</v>
      </c>
      <c r="H73" t="n">
        <v>0</v>
      </c>
      <c r="I73" t="n">
        <v>0</v>
      </c>
      <c r="J73" t="n">
        <v>2</v>
      </c>
      <c r="K73" t="n">
        <v>0</v>
      </c>
      <c r="L73" t="n">
        <v>0</v>
      </c>
      <c r="M73" t="n">
        <v>0</v>
      </c>
      <c r="N73" t="n">
        <v>0</v>
      </c>
      <c r="O73" t="n">
        <v>2</v>
      </c>
      <c r="P73" t="n">
        <v>0</v>
      </c>
      <c r="Q73" t="n">
        <v>2</v>
      </c>
      <c r="R73" s="2" t="inlineStr">
        <is>
          <t>Dvärgbägarlav
Garnlav</t>
        </is>
      </c>
      <c r="S73">
        <f>HYPERLINK("https://klasma.github.io/Logging_1737/artfynd/A 46008-2023 artfynd.xlsx", "A 46008-2023")</f>
        <v/>
      </c>
      <c r="T73">
        <f>HYPERLINK("https://klasma.github.io/Logging_1737/kartor/A 46008-2023 karta.png", "A 46008-2023")</f>
        <v/>
      </c>
      <c r="V73">
        <f>HYPERLINK("https://klasma.github.io/Logging_1737/klagomål/A 46008-2023 FSC-klagomål.docx", "A 46008-2023")</f>
        <v/>
      </c>
      <c r="W73">
        <f>HYPERLINK("https://klasma.github.io/Logging_1737/klagomålsmail/A 46008-2023 FSC-klagomål mail.docx", "A 46008-2023")</f>
        <v/>
      </c>
      <c r="X73">
        <f>HYPERLINK("https://klasma.github.io/Logging_1737/tillsyn/A 46008-2023 tillsynsbegäran.docx", "A 46008-2023")</f>
        <v/>
      </c>
      <c r="Y73">
        <f>HYPERLINK("https://klasma.github.io/Logging_1737/tillsynsmail/A 46008-2023 tillsynsbegäran mail.docx", "A 46008-2023")</f>
        <v/>
      </c>
    </row>
    <row r="74" ht="15" customHeight="1">
      <c r="A74" t="inlineStr">
        <is>
          <t>A 48292-2023</t>
        </is>
      </c>
      <c r="B74" s="1" t="n">
        <v>45205</v>
      </c>
      <c r="C74" s="1" t="n">
        <v>45265</v>
      </c>
      <c r="D74" t="inlineStr">
        <is>
          <t>VÄRMLANDS LÄN</t>
        </is>
      </c>
      <c r="E74" t="inlineStr">
        <is>
          <t>TORSBY</t>
        </is>
      </c>
      <c r="G74" t="n">
        <v>2.3</v>
      </c>
      <c r="H74" t="n">
        <v>0</v>
      </c>
      <c r="I74" t="n">
        <v>1</v>
      </c>
      <c r="J74" t="n">
        <v>1</v>
      </c>
      <c r="K74" t="n">
        <v>0</v>
      </c>
      <c r="L74" t="n">
        <v>0</v>
      </c>
      <c r="M74" t="n">
        <v>0</v>
      </c>
      <c r="N74" t="n">
        <v>0</v>
      </c>
      <c r="O74" t="n">
        <v>1</v>
      </c>
      <c r="P74" t="n">
        <v>0</v>
      </c>
      <c r="Q74" t="n">
        <v>2</v>
      </c>
      <c r="R74" s="2" t="inlineStr">
        <is>
          <t>Vedtrappmossa
Vedticka</t>
        </is>
      </c>
      <c r="S74">
        <f>HYPERLINK("https://klasma.github.io/Logging_1737/artfynd/A 48292-2023 artfynd.xlsx", "A 48292-2023")</f>
        <v/>
      </c>
      <c r="T74">
        <f>HYPERLINK("https://klasma.github.io/Logging_1737/kartor/A 48292-2023 karta.png", "A 48292-2023")</f>
        <v/>
      </c>
      <c r="V74">
        <f>HYPERLINK("https://klasma.github.io/Logging_1737/klagomål/A 48292-2023 FSC-klagomål.docx", "A 48292-2023")</f>
        <v/>
      </c>
      <c r="W74">
        <f>HYPERLINK("https://klasma.github.io/Logging_1737/klagomålsmail/A 48292-2023 FSC-klagomål mail.docx", "A 48292-2023")</f>
        <v/>
      </c>
      <c r="X74">
        <f>HYPERLINK("https://klasma.github.io/Logging_1737/tillsyn/A 48292-2023 tillsynsbegäran.docx", "A 48292-2023")</f>
        <v/>
      </c>
      <c r="Y74">
        <f>HYPERLINK("https://klasma.github.io/Logging_1737/tillsynsmail/A 48292-2023 tillsynsbegäran mail.docx", "A 48292-2023")</f>
        <v/>
      </c>
    </row>
    <row r="75" ht="15" customHeight="1">
      <c r="A75" t="inlineStr">
        <is>
          <t>A 56529-2018</t>
        </is>
      </c>
      <c r="B75" s="1" t="n">
        <v>43401</v>
      </c>
      <c r="C75" s="1" t="n">
        <v>45265</v>
      </c>
      <c r="D75" t="inlineStr">
        <is>
          <t>VÄRMLANDS LÄN</t>
        </is>
      </c>
      <c r="E75" t="inlineStr">
        <is>
          <t>TORSBY</t>
        </is>
      </c>
      <c r="G75" t="n">
        <v>2.5</v>
      </c>
      <c r="H75" t="n">
        <v>0</v>
      </c>
      <c r="I75" t="n">
        <v>0</v>
      </c>
      <c r="J75" t="n">
        <v>1</v>
      </c>
      <c r="K75" t="n">
        <v>0</v>
      </c>
      <c r="L75" t="n">
        <v>0</v>
      </c>
      <c r="M75" t="n">
        <v>0</v>
      </c>
      <c r="N75" t="n">
        <v>0</v>
      </c>
      <c r="O75" t="n">
        <v>1</v>
      </c>
      <c r="P75" t="n">
        <v>0</v>
      </c>
      <c r="Q75" t="n">
        <v>1</v>
      </c>
      <c r="R75" s="2" t="inlineStr">
        <is>
          <t>Vedskivlav</t>
        </is>
      </c>
      <c r="S75">
        <f>HYPERLINK("https://klasma.github.io/Logging_1737/artfynd/A 56529-2018 artfynd.xlsx", "A 56529-2018")</f>
        <v/>
      </c>
      <c r="T75">
        <f>HYPERLINK("https://klasma.github.io/Logging_1737/kartor/A 56529-2018 karta.png", "A 56529-2018")</f>
        <v/>
      </c>
      <c r="V75">
        <f>HYPERLINK("https://klasma.github.io/Logging_1737/klagomål/A 56529-2018 FSC-klagomål.docx", "A 56529-2018")</f>
        <v/>
      </c>
      <c r="W75">
        <f>HYPERLINK("https://klasma.github.io/Logging_1737/klagomålsmail/A 56529-2018 FSC-klagomål mail.docx", "A 56529-2018")</f>
        <v/>
      </c>
      <c r="X75">
        <f>HYPERLINK("https://klasma.github.io/Logging_1737/tillsyn/A 56529-2018 tillsynsbegäran.docx", "A 56529-2018")</f>
        <v/>
      </c>
      <c r="Y75">
        <f>HYPERLINK("https://klasma.github.io/Logging_1737/tillsynsmail/A 56529-2018 tillsynsbegäran mail.docx", "A 56529-2018")</f>
        <v/>
      </c>
    </row>
    <row r="76" ht="15" customHeight="1">
      <c r="A76" t="inlineStr">
        <is>
          <t>A 56530-2018</t>
        </is>
      </c>
      <c r="B76" s="1" t="n">
        <v>43401</v>
      </c>
      <c r="C76" s="1" t="n">
        <v>45265</v>
      </c>
      <c r="D76" t="inlineStr">
        <is>
          <t>VÄRMLANDS LÄN</t>
        </is>
      </c>
      <c r="E76" t="inlineStr">
        <is>
          <t>TORSBY</t>
        </is>
      </c>
      <c r="G76" t="n">
        <v>4.6</v>
      </c>
      <c r="H76" t="n">
        <v>0</v>
      </c>
      <c r="I76" t="n">
        <v>0</v>
      </c>
      <c r="J76" t="n">
        <v>1</v>
      </c>
      <c r="K76" t="n">
        <v>0</v>
      </c>
      <c r="L76" t="n">
        <v>0</v>
      </c>
      <c r="M76" t="n">
        <v>0</v>
      </c>
      <c r="N76" t="n">
        <v>0</v>
      </c>
      <c r="O76" t="n">
        <v>1</v>
      </c>
      <c r="P76" t="n">
        <v>0</v>
      </c>
      <c r="Q76" t="n">
        <v>1</v>
      </c>
      <c r="R76" s="2" t="inlineStr">
        <is>
          <t>Garnlav</t>
        </is>
      </c>
      <c r="S76">
        <f>HYPERLINK("https://klasma.github.io/Logging_1737/artfynd/A 56530-2018 artfynd.xlsx", "A 56530-2018")</f>
        <v/>
      </c>
      <c r="T76">
        <f>HYPERLINK("https://klasma.github.io/Logging_1737/kartor/A 56530-2018 karta.png", "A 56530-2018")</f>
        <v/>
      </c>
      <c r="V76">
        <f>HYPERLINK("https://klasma.github.io/Logging_1737/klagomål/A 56530-2018 FSC-klagomål.docx", "A 56530-2018")</f>
        <v/>
      </c>
      <c r="W76">
        <f>HYPERLINK("https://klasma.github.io/Logging_1737/klagomålsmail/A 56530-2018 FSC-klagomål mail.docx", "A 56530-2018")</f>
        <v/>
      </c>
      <c r="X76">
        <f>HYPERLINK("https://klasma.github.io/Logging_1737/tillsyn/A 56530-2018 tillsynsbegäran.docx", "A 56530-2018")</f>
        <v/>
      </c>
      <c r="Y76">
        <f>HYPERLINK("https://klasma.github.io/Logging_1737/tillsynsmail/A 56530-2018 tillsynsbegäran mail.docx", "A 56530-2018")</f>
        <v/>
      </c>
    </row>
    <row r="77" ht="15" customHeight="1">
      <c r="A77" t="inlineStr">
        <is>
          <t>A 7311-2019</t>
        </is>
      </c>
      <c r="B77" s="1" t="n">
        <v>43496</v>
      </c>
      <c r="C77" s="1" t="n">
        <v>45265</v>
      </c>
      <c r="D77" t="inlineStr">
        <is>
          <t>VÄRMLANDS LÄN</t>
        </is>
      </c>
      <c r="E77" t="inlineStr">
        <is>
          <t>TORSBY</t>
        </is>
      </c>
      <c r="G77" t="n">
        <v>1.2</v>
      </c>
      <c r="H77" t="n">
        <v>0</v>
      </c>
      <c r="I77" t="n">
        <v>0</v>
      </c>
      <c r="J77" t="n">
        <v>1</v>
      </c>
      <c r="K77" t="n">
        <v>0</v>
      </c>
      <c r="L77" t="n">
        <v>0</v>
      </c>
      <c r="M77" t="n">
        <v>0</v>
      </c>
      <c r="N77" t="n">
        <v>0</v>
      </c>
      <c r="O77" t="n">
        <v>1</v>
      </c>
      <c r="P77" t="n">
        <v>0</v>
      </c>
      <c r="Q77" t="n">
        <v>1</v>
      </c>
      <c r="R77" s="2" t="inlineStr">
        <is>
          <t>Garnlav</t>
        </is>
      </c>
      <c r="S77">
        <f>HYPERLINK("https://klasma.github.io/Logging_1737/artfynd/A 7311-2019 artfynd.xlsx", "A 7311-2019")</f>
        <v/>
      </c>
      <c r="T77">
        <f>HYPERLINK("https://klasma.github.io/Logging_1737/kartor/A 7311-2019 karta.png", "A 7311-2019")</f>
        <v/>
      </c>
      <c r="V77">
        <f>HYPERLINK("https://klasma.github.io/Logging_1737/klagomål/A 7311-2019 FSC-klagomål.docx", "A 7311-2019")</f>
        <v/>
      </c>
      <c r="W77">
        <f>HYPERLINK("https://klasma.github.io/Logging_1737/klagomålsmail/A 7311-2019 FSC-klagomål mail.docx", "A 7311-2019")</f>
        <v/>
      </c>
      <c r="X77">
        <f>HYPERLINK("https://klasma.github.io/Logging_1737/tillsyn/A 7311-2019 tillsynsbegäran.docx", "A 7311-2019")</f>
        <v/>
      </c>
      <c r="Y77">
        <f>HYPERLINK("https://klasma.github.io/Logging_1737/tillsynsmail/A 7311-2019 tillsynsbegäran mail.docx", "A 7311-2019")</f>
        <v/>
      </c>
    </row>
    <row r="78" ht="15" customHeight="1">
      <c r="A78" t="inlineStr">
        <is>
          <t>A 18499-2019</t>
        </is>
      </c>
      <c r="B78" s="1" t="n">
        <v>43559</v>
      </c>
      <c r="C78" s="1" t="n">
        <v>45265</v>
      </c>
      <c r="D78" t="inlineStr">
        <is>
          <t>VÄRMLANDS LÄN</t>
        </is>
      </c>
      <c r="E78" t="inlineStr">
        <is>
          <t>TORSBY</t>
        </is>
      </c>
      <c r="G78" t="n">
        <v>4.8</v>
      </c>
      <c r="H78" t="n">
        <v>0</v>
      </c>
      <c r="I78" t="n">
        <v>0</v>
      </c>
      <c r="J78" t="n">
        <v>0</v>
      </c>
      <c r="K78" t="n">
        <v>1</v>
      </c>
      <c r="L78" t="n">
        <v>0</v>
      </c>
      <c r="M78" t="n">
        <v>0</v>
      </c>
      <c r="N78" t="n">
        <v>0</v>
      </c>
      <c r="O78" t="n">
        <v>1</v>
      </c>
      <c r="P78" t="n">
        <v>1</v>
      </c>
      <c r="Q78" t="n">
        <v>1</v>
      </c>
      <c r="R78" s="2" t="inlineStr">
        <is>
          <t>Raggbock</t>
        </is>
      </c>
      <c r="S78">
        <f>HYPERLINK("https://klasma.github.io/Logging_1737/artfynd/A 18499-2019 artfynd.xlsx", "A 18499-2019")</f>
        <v/>
      </c>
      <c r="T78">
        <f>HYPERLINK("https://klasma.github.io/Logging_1737/kartor/A 18499-2019 karta.png", "A 18499-2019")</f>
        <v/>
      </c>
      <c r="V78">
        <f>HYPERLINK("https://klasma.github.io/Logging_1737/klagomål/A 18499-2019 FSC-klagomål.docx", "A 18499-2019")</f>
        <v/>
      </c>
      <c r="W78">
        <f>HYPERLINK("https://klasma.github.io/Logging_1737/klagomålsmail/A 18499-2019 FSC-klagomål mail.docx", "A 18499-2019")</f>
        <v/>
      </c>
      <c r="X78">
        <f>HYPERLINK("https://klasma.github.io/Logging_1737/tillsyn/A 18499-2019 tillsynsbegäran.docx", "A 18499-2019")</f>
        <v/>
      </c>
      <c r="Y78">
        <f>HYPERLINK("https://klasma.github.io/Logging_1737/tillsynsmail/A 18499-2019 tillsynsbegäran mail.docx", "A 18499-2019")</f>
        <v/>
      </c>
    </row>
    <row r="79" ht="15" customHeight="1">
      <c r="A79" t="inlineStr">
        <is>
          <t>A 31848-2019</t>
        </is>
      </c>
      <c r="B79" s="1" t="n">
        <v>43642</v>
      </c>
      <c r="C79" s="1" t="n">
        <v>45265</v>
      </c>
      <c r="D79" t="inlineStr">
        <is>
          <t>VÄRMLANDS LÄN</t>
        </is>
      </c>
      <c r="E79" t="inlineStr">
        <is>
          <t>TORSBY</t>
        </is>
      </c>
      <c r="G79" t="n">
        <v>6.1</v>
      </c>
      <c r="H79" t="n">
        <v>1</v>
      </c>
      <c r="I79" t="n">
        <v>0</v>
      </c>
      <c r="J79" t="n">
        <v>0</v>
      </c>
      <c r="K79" t="n">
        <v>1</v>
      </c>
      <c r="L79" t="n">
        <v>0</v>
      </c>
      <c r="M79" t="n">
        <v>0</v>
      </c>
      <c r="N79" t="n">
        <v>0</v>
      </c>
      <c r="O79" t="n">
        <v>1</v>
      </c>
      <c r="P79" t="n">
        <v>1</v>
      </c>
      <c r="Q79" t="n">
        <v>1</v>
      </c>
      <c r="R79" s="2" t="inlineStr">
        <is>
          <t>Knärot</t>
        </is>
      </c>
      <c r="S79">
        <f>HYPERLINK("https://klasma.github.io/Logging_1737/artfynd/A 31848-2019 artfynd.xlsx", "A 31848-2019")</f>
        <v/>
      </c>
      <c r="T79">
        <f>HYPERLINK("https://klasma.github.io/Logging_1737/kartor/A 31848-2019 karta.png", "A 31848-2019")</f>
        <v/>
      </c>
      <c r="U79">
        <f>HYPERLINK("https://klasma.github.io/Logging_1737/knärot/A 31848-2019 karta knärot.png", "A 31848-2019")</f>
        <v/>
      </c>
      <c r="V79">
        <f>HYPERLINK("https://klasma.github.io/Logging_1737/klagomål/A 31848-2019 FSC-klagomål.docx", "A 31848-2019")</f>
        <v/>
      </c>
      <c r="W79">
        <f>HYPERLINK("https://klasma.github.io/Logging_1737/klagomålsmail/A 31848-2019 FSC-klagomål mail.docx", "A 31848-2019")</f>
        <v/>
      </c>
      <c r="X79">
        <f>HYPERLINK("https://klasma.github.io/Logging_1737/tillsyn/A 31848-2019 tillsynsbegäran.docx", "A 31848-2019")</f>
        <v/>
      </c>
      <c r="Y79">
        <f>HYPERLINK("https://klasma.github.io/Logging_1737/tillsynsmail/A 31848-2019 tillsynsbegäran mail.docx", "A 31848-2019")</f>
        <v/>
      </c>
    </row>
    <row r="80" ht="15" customHeight="1">
      <c r="A80" t="inlineStr">
        <is>
          <t>A 45844-2019</t>
        </is>
      </c>
      <c r="B80" s="1" t="n">
        <v>43717</v>
      </c>
      <c r="C80" s="1" t="n">
        <v>45265</v>
      </c>
      <c r="D80" t="inlineStr">
        <is>
          <t>VÄRMLANDS LÄN</t>
        </is>
      </c>
      <c r="E80" t="inlineStr">
        <is>
          <t>TORSBY</t>
        </is>
      </c>
      <c r="G80" t="n">
        <v>4.1</v>
      </c>
      <c r="H80" t="n">
        <v>1</v>
      </c>
      <c r="I80" t="n">
        <v>0</v>
      </c>
      <c r="J80" t="n">
        <v>1</v>
      </c>
      <c r="K80" t="n">
        <v>0</v>
      </c>
      <c r="L80" t="n">
        <v>0</v>
      </c>
      <c r="M80" t="n">
        <v>0</v>
      </c>
      <c r="N80" t="n">
        <v>0</v>
      </c>
      <c r="O80" t="n">
        <v>1</v>
      </c>
      <c r="P80" t="n">
        <v>0</v>
      </c>
      <c r="Q80" t="n">
        <v>1</v>
      </c>
      <c r="R80" s="2" t="inlineStr">
        <is>
          <t>Talltita</t>
        </is>
      </c>
      <c r="S80">
        <f>HYPERLINK("https://klasma.github.io/Logging_1737/artfynd/A 45844-2019 artfynd.xlsx", "A 45844-2019")</f>
        <v/>
      </c>
      <c r="T80">
        <f>HYPERLINK("https://klasma.github.io/Logging_1737/kartor/A 45844-2019 karta.png", "A 45844-2019")</f>
        <v/>
      </c>
      <c r="V80">
        <f>HYPERLINK("https://klasma.github.io/Logging_1737/klagomål/A 45844-2019 FSC-klagomål.docx", "A 45844-2019")</f>
        <v/>
      </c>
      <c r="W80">
        <f>HYPERLINK("https://klasma.github.io/Logging_1737/klagomålsmail/A 45844-2019 FSC-klagomål mail.docx", "A 45844-2019")</f>
        <v/>
      </c>
      <c r="X80">
        <f>HYPERLINK("https://klasma.github.io/Logging_1737/tillsyn/A 45844-2019 tillsynsbegäran.docx", "A 45844-2019")</f>
        <v/>
      </c>
      <c r="Y80">
        <f>HYPERLINK("https://klasma.github.io/Logging_1737/tillsynsmail/A 45844-2019 tillsynsbegäran mail.docx", "A 45844-2019")</f>
        <v/>
      </c>
    </row>
    <row r="81" ht="15" customHeight="1">
      <c r="A81" t="inlineStr">
        <is>
          <t>A 47423-2019</t>
        </is>
      </c>
      <c r="B81" s="1" t="n">
        <v>43723</v>
      </c>
      <c r="C81" s="1" t="n">
        <v>45265</v>
      </c>
      <c r="D81" t="inlineStr">
        <is>
          <t>VÄRMLANDS LÄN</t>
        </is>
      </c>
      <c r="E81" t="inlineStr">
        <is>
          <t>TORSBY</t>
        </is>
      </c>
      <c r="G81" t="n">
        <v>5.1</v>
      </c>
      <c r="H81" t="n">
        <v>0</v>
      </c>
      <c r="I81" t="n">
        <v>0</v>
      </c>
      <c r="J81" t="n">
        <v>1</v>
      </c>
      <c r="K81" t="n">
        <v>0</v>
      </c>
      <c r="L81" t="n">
        <v>0</v>
      </c>
      <c r="M81" t="n">
        <v>0</v>
      </c>
      <c r="N81" t="n">
        <v>0</v>
      </c>
      <c r="O81" t="n">
        <v>1</v>
      </c>
      <c r="P81" t="n">
        <v>0</v>
      </c>
      <c r="Q81" t="n">
        <v>1</v>
      </c>
      <c r="R81" s="2" t="inlineStr">
        <is>
          <t>Gammelgransskål</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47731-2019</t>
        </is>
      </c>
      <c r="B82" s="1" t="n">
        <v>43724</v>
      </c>
      <c r="C82" s="1" t="n">
        <v>45265</v>
      </c>
      <c r="D82" t="inlineStr">
        <is>
          <t>VÄRMLANDS LÄN</t>
        </is>
      </c>
      <c r="E82" t="inlineStr">
        <is>
          <t>TORSBY</t>
        </is>
      </c>
      <c r="G82" t="n">
        <v>3.5</v>
      </c>
      <c r="H82" t="n">
        <v>1</v>
      </c>
      <c r="I82" t="n">
        <v>0</v>
      </c>
      <c r="J82" t="n">
        <v>1</v>
      </c>
      <c r="K82" t="n">
        <v>0</v>
      </c>
      <c r="L82" t="n">
        <v>0</v>
      </c>
      <c r="M82" t="n">
        <v>0</v>
      </c>
      <c r="N82" t="n">
        <v>0</v>
      </c>
      <c r="O82" t="n">
        <v>1</v>
      </c>
      <c r="P82" t="n">
        <v>0</v>
      </c>
      <c r="Q82" t="n">
        <v>1</v>
      </c>
      <c r="R82" s="2" t="inlineStr">
        <is>
          <t>Gulsparv</t>
        </is>
      </c>
      <c r="S82">
        <f>HYPERLINK("https://klasma.github.io/Logging_1737/artfynd/A 47731-2019 artfynd.xlsx", "A 47731-2019")</f>
        <v/>
      </c>
      <c r="T82">
        <f>HYPERLINK("https://klasma.github.io/Logging_1737/kartor/A 47731-2019 karta.png", "A 47731-2019")</f>
        <v/>
      </c>
      <c r="V82">
        <f>HYPERLINK("https://klasma.github.io/Logging_1737/klagomål/A 47731-2019 FSC-klagomål.docx", "A 47731-2019")</f>
        <v/>
      </c>
      <c r="W82">
        <f>HYPERLINK("https://klasma.github.io/Logging_1737/klagomålsmail/A 47731-2019 FSC-klagomål mail.docx", "A 47731-2019")</f>
        <v/>
      </c>
      <c r="X82">
        <f>HYPERLINK("https://klasma.github.io/Logging_1737/tillsyn/A 47731-2019 tillsynsbegäran.docx", "A 47731-2019")</f>
        <v/>
      </c>
      <c r="Y82">
        <f>HYPERLINK("https://klasma.github.io/Logging_1737/tillsynsmail/A 47731-2019 tillsynsbegäran mail.docx", "A 47731-2019")</f>
        <v/>
      </c>
    </row>
    <row r="83" ht="15" customHeight="1">
      <c r="A83" t="inlineStr">
        <is>
          <t>A 53924-2019</t>
        </is>
      </c>
      <c r="B83" s="1" t="n">
        <v>43742</v>
      </c>
      <c r="C83" s="1" t="n">
        <v>45265</v>
      </c>
      <c r="D83" t="inlineStr">
        <is>
          <t>VÄRMLANDS LÄN</t>
        </is>
      </c>
      <c r="E83" t="inlineStr">
        <is>
          <t>TORSBY</t>
        </is>
      </c>
      <c r="G83" t="n">
        <v>7.1</v>
      </c>
      <c r="H83" t="n">
        <v>1</v>
      </c>
      <c r="I83" t="n">
        <v>0</v>
      </c>
      <c r="J83" t="n">
        <v>0</v>
      </c>
      <c r="K83" t="n">
        <v>0</v>
      </c>
      <c r="L83" t="n">
        <v>0</v>
      </c>
      <c r="M83" t="n">
        <v>0</v>
      </c>
      <c r="N83" t="n">
        <v>0</v>
      </c>
      <c r="O83" t="n">
        <v>0</v>
      </c>
      <c r="P83" t="n">
        <v>0</v>
      </c>
      <c r="Q83" t="n">
        <v>1</v>
      </c>
      <c r="R83" s="2" t="inlineStr">
        <is>
          <t>Fläcknycklar</t>
        </is>
      </c>
      <c r="S83">
        <f>HYPERLINK("https://klasma.github.io/Logging_1737/artfynd/A 53924-2019 artfynd.xlsx", "A 53924-2019")</f>
        <v/>
      </c>
      <c r="T83">
        <f>HYPERLINK("https://klasma.github.io/Logging_1737/kartor/A 53924-2019 karta.png", "A 53924-2019")</f>
        <v/>
      </c>
      <c r="V83">
        <f>HYPERLINK("https://klasma.github.io/Logging_1737/klagomål/A 53924-2019 FSC-klagomål.docx", "A 53924-2019")</f>
        <v/>
      </c>
      <c r="W83">
        <f>HYPERLINK("https://klasma.github.io/Logging_1737/klagomålsmail/A 53924-2019 FSC-klagomål mail.docx", "A 53924-2019")</f>
        <v/>
      </c>
      <c r="X83">
        <f>HYPERLINK("https://klasma.github.io/Logging_1737/tillsyn/A 53924-2019 tillsynsbegäran.docx", "A 53924-2019")</f>
        <v/>
      </c>
      <c r="Y83">
        <f>HYPERLINK("https://klasma.github.io/Logging_1737/tillsynsmail/A 53924-2019 tillsynsbegäran mail.docx", "A 53924-2019")</f>
        <v/>
      </c>
    </row>
    <row r="84" ht="15" customHeight="1">
      <c r="A84" t="inlineStr">
        <is>
          <t>A 63767-2019</t>
        </is>
      </c>
      <c r="B84" s="1" t="n">
        <v>43795</v>
      </c>
      <c r="C84" s="1" t="n">
        <v>45265</v>
      </c>
      <c r="D84" t="inlineStr">
        <is>
          <t>VÄRMLANDS LÄN</t>
        </is>
      </c>
      <c r="E84" t="inlineStr">
        <is>
          <t>TORSBY</t>
        </is>
      </c>
      <c r="G84" t="n">
        <v>1.4</v>
      </c>
      <c r="H84" t="n">
        <v>0</v>
      </c>
      <c r="I84" t="n">
        <v>0</v>
      </c>
      <c r="J84" t="n">
        <v>1</v>
      </c>
      <c r="K84" t="n">
        <v>0</v>
      </c>
      <c r="L84" t="n">
        <v>0</v>
      </c>
      <c r="M84" t="n">
        <v>0</v>
      </c>
      <c r="N84" t="n">
        <v>0</v>
      </c>
      <c r="O84" t="n">
        <v>1</v>
      </c>
      <c r="P84" t="n">
        <v>0</v>
      </c>
      <c r="Q84" t="n">
        <v>1</v>
      </c>
      <c r="R84" s="2" t="inlineStr">
        <is>
          <t>Garnlav</t>
        </is>
      </c>
      <c r="S84">
        <f>HYPERLINK("https://klasma.github.io/Logging_1737/artfynd/A 63767-2019 artfynd.xlsx", "A 63767-2019")</f>
        <v/>
      </c>
      <c r="T84">
        <f>HYPERLINK("https://klasma.github.io/Logging_1737/kartor/A 63767-2019 karta.png", "A 63767-2019")</f>
        <v/>
      </c>
      <c r="V84">
        <f>HYPERLINK("https://klasma.github.io/Logging_1737/klagomål/A 63767-2019 FSC-klagomål.docx", "A 63767-2019")</f>
        <v/>
      </c>
      <c r="W84">
        <f>HYPERLINK("https://klasma.github.io/Logging_1737/klagomålsmail/A 63767-2019 FSC-klagomål mail.docx", "A 63767-2019")</f>
        <v/>
      </c>
      <c r="X84">
        <f>HYPERLINK("https://klasma.github.io/Logging_1737/tillsyn/A 63767-2019 tillsynsbegäran.docx", "A 63767-2019")</f>
        <v/>
      </c>
      <c r="Y84">
        <f>HYPERLINK("https://klasma.github.io/Logging_1737/tillsynsmail/A 63767-2019 tillsynsbegäran mail.docx", "A 63767-2019")</f>
        <v/>
      </c>
    </row>
    <row r="85" ht="15" customHeight="1">
      <c r="A85" t="inlineStr">
        <is>
          <t>A 65129-2019</t>
        </is>
      </c>
      <c r="B85" s="1" t="n">
        <v>43802</v>
      </c>
      <c r="C85" s="1" t="n">
        <v>45265</v>
      </c>
      <c r="D85" t="inlineStr">
        <is>
          <t>VÄRMLANDS LÄN</t>
        </is>
      </c>
      <c r="E85" t="inlineStr">
        <is>
          <t>TORSBY</t>
        </is>
      </c>
      <c r="G85" t="n">
        <v>3.3</v>
      </c>
      <c r="H85" t="n">
        <v>0</v>
      </c>
      <c r="I85" t="n">
        <v>0</v>
      </c>
      <c r="J85" t="n">
        <v>1</v>
      </c>
      <c r="K85" t="n">
        <v>0</v>
      </c>
      <c r="L85" t="n">
        <v>0</v>
      </c>
      <c r="M85" t="n">
        <v>0</v>
      </c>
      <c r="N85" t="n">
        <v>0</v>
      </c>
      <c r="O85" t="n">
        <v>1</v>
      </c>
      <c r="P85" t="n">
        <v>0</v>
      </c>
      <c r="Q85" t="n">
        <v>1</v>
      </c>
      <c r="R85" s="2" t="inlineStr">
        <is>
          <t>Garnlav</t>
        </is>
      </c>
      <c r="S85">
        <f>HYPERLINK("https://klasma.github.io/Logging_1737/artfynd/A 65129-2019 artfynd.xlsx", "A 65129-2019")</f>
        <v/>
      </c>
      <c r="T85">
        <f>HYPERLINK("https://klasma.github.io/Logging_1737/kartor/A 65129-2019 karta.png", "A 65129-2019")</f>
        <v/>
      </c>
      <c r="V85">
        <f>HYPERLINK("https://klasma.github.io/Logging_1737/klagomål/A 65129-2019 FSC-klagomål.docx", "A 65129-2019")</f>
        <v/>
      </c>
      <c r="W85">
        <f>HYPERLINK("https://klasma.github.io/Logging_1737/klagomålsmail/A 65129-2019 FSC-klagomål mail.docx", "A 65129-2019")</f>
        <v/>
      </c>
      <c r="X85">
        <f>HYPERLINK("https://klasma.github.io/Logging_1737/tillsyn/A 65129-2019 tillsynsbegäran.docx", "A 65129-2019")</f>
        <v/>
      </c>
      <c r="Y85">
        <f>HYPERLINK("https://klasma.github.io/Logging_1737/tillsynsmail/A 65129-2019 tillsynsbegäran mail.docx", "A 65129-2019")</f>
        <v/>
      </c>
    </row>
    <row r="86" ht="15" customHeight="1">
      <c r="A86" t="inlineStr">
        <is>
          <t>A 37035-2020</t>
        </is>
      </c>
      <c r="B86" s="1" t="n">
        <v>44054</v>
      </c>
      <c r="C86" s="1" t="n">
        <v>45265</v>
      </c>
      <c r="D86" t="inlineStr">
        <is>
          <t>VÄRMLANDS LÄN</t>
        </is>
      </c>
      <c r="E86" t="inlineStr">
        <is>
          <t>TORSBY</t>
        </is>
      </c>
      <c r="G86" t="n">
        <v>2.7</v>
      </c>
      <c r="H86" t="n">
        <v>0</v>
      </c>
      <c r="I86" t="n">
        <v>0</v>
      </c>
      <c r="J86" t="n">
        <v>0</v>
      </c>
      <c r="K86" t="n">
        <v>1</v>
      </c>
      <c r="L86" t="n">
        <v>0</v>
      </c>
      <c r="M86" t="n">
        <v>0</v>
      </c>
      <c r="N86" t="n">
        <v>0</v>
      </c>
      <c r="O86" t="n">
        <v>1</v>
      </c>
      <c r="P86" t="n">
        <v>1</v>
      </c>
      <c r="Q86" t="n">
        <v>1</v>
      </c>
      <c r="R86" s="2" t="inlineStr">
        <is>
          <t>Raggbock</t>
        </is>
      </c>
      <c r="S86">
        <f>HYPERLINK("https://klasma.github.io/Logging_1737/artfynd/A 37035-2020 artfynd.xlsx", "A 37035-2020")</f>
        <v/>
      </c>
      <c r="T86">
        <f>HYPERLINK("https://klasma.github.io/Logging_1737/kartor/A 37035-2020 karta.png", "A 37035-2020")</f>
        <v/>
      </c>
      <c r="V86">
        <f>HYPERLINK("https://klasma.github.io/Logging_1737/klagomål/A 37035-2020 FSC-klagomål.docx", "A 37035-2020")</f>
        <v/>
      </c>
      <c r="W86">
        <f>HYPERLINK("https://klasma.github.io/Logging_1737/klagomålsmail/A 37035-2020 FSC-klagomål mail.docx", "A 37035-2020")</f>
        <v/>
      </c>
      <c r="X86">
        <f>HYPERLINK("https://klasma.github.io/Logging_1737/tillsyn/A 37035-2020 tillsynsbegäran.docx", "A 37035-2020")</f>
        <v/>
      </c>
      <c r="Y86">
        <f>HYPERLINK("https://klasma.github.io/Logging_1737/tillsynsmail/A 37035-2020 tillsynsbegäran mail.docx", "A 37035-2020")</f>
        <v/>
      </c>
    </row>
    <row r="87" ht="15" customHeight="1">
      <c r="A87" t="inlineStr">
        <is>
          <t>A 50854-2020</t>
        </is>
      </c>
      <c r="B87" s="1" t="n">
        <v>44105</v>
      </c>
      <c r="C87" s="1" t="n">
        <v>45265</v>
      </c>
      <c r="D87" t="inlineStr">
        <is>
          <t>VÄRMLANDS LÄN</t>
        </is>
      </c>
      <c r="E87" t="inlineStr">
        <is>
          <t>TORSBY</t>
        </is>
      </c>
      <c r="G87" t="n">
        <v>6.5</v>
      </c>
      <c r="H87" t="n">
        <v>1</v>
      </c>
      <c r="I87" t="n">
        <v>0</v>
      </c>
      <c r="J87" t="n">
        <v>0</v>
      </c>
      <c r="K87" t="n">
        <v>1</v>
      </c>
      <c r="L87" t="n">
        <v>0</v>
      </c>
      <c r="M87" t="n">
        <v>0</v>
      </c>
      <c r="N87" t="n">
        <v>0</v>
      </c>
      <c r="O87" t="n">
        <v>1</v>
      </c>
      <c r="P87" t="n">
        <v>1</v>
      </c>
      <c r="Q87" t="n">
        <v>1</v>
      </c>
      <c r="R87" s="2" t="inlineStr">
        <is>
          <t>Knärot</t>
        </is>
      </c>
      <c r="S87">
        <f>HYPERLINK("https://klasma.github.io/Logging_1737/artfynd/A 50854-2020 artfynd.xlsx", "A 50854-2020")</f>
        <v/>
      </c>
      <c r="T87">
        <f>HYPERLINK("https://klasma.github.io/Logging_1737/kartor/A 50854-2020 karta.png", "A 50854-2020")</f>
        <v/>
      </c>
      <c r="U87">
        <f>HYPERLINK("https://klasma.github.io/Logging_1737/knärot/A 50854-2020 karta knärot.png", "A 50854-2020")</f>
        <v/>
      </c>
      <c r="V87">
        <f>HYPERLINK("https://klasma.github.io/Logging_1737/klagomål/A 50854-2020 FSC-klagomål.docx", "A 50854-2020")</f>
        <v/>
      </c>
      <c r="W87">
        <f>HYPERLINK("https://klasma.github.io/Logging_1737/klagomålsmail/A 50854-2020 FSC-klagomål mail.docx", "A 50854-2020")</f>
        <v/>
      </c>
      <c r="X87">
        <f>HYPERLINK("https://klasma.github.io/Logging_1737/tillsyn/A 50854-2020 tillsynsbegäran.docx", "A 50854-2020")</f>
        <v/>
      </c>
      <c r="Y87">
        <f>HYPERLINK("https://klasma.github.io/Logging_1737/tillsynsmail/A 50854-2020 tillsynsbegäran mail.docx", "A 50854-2020")</f>
        <v/>
      </c>
    </row>
    <row r="88" ht="15" customHeight="1">
      <c r="A88" t="inlineStr">
        <is>
          <t>A 50089-2020</t>
        </is>
      </c>
      <c r="B88" s="1" t="n">
        <v>44109</v>
      </c>
      <c r="C88" s="1" t="n">
        <v>45265</v>
      </c>
      <c r="D88" t="inlineStr">
        <is>
          <t>VÄRMLANDS LÄN</t>
        </is>
      </c>
      <c r="E88" t="inlineStr">
        <is>
          <t>TORSBY</t>
        </is>
      </c>
      <c r="G88" t="n">
        <v>0.9</v>
      </c>
      <c r="H88" t="n">
        <v>1</v>
      </c>
      <c r="I88" t="n">
        <v>0</v>
      </c>
      <c r="J88" t="n">
        <v>1</v>
      </c>
      <c r="K88" t="n">
        <v>0</v>
      </c>
      <c r="L88" t="n">
        <v>0</v>
      </c>
      <c r="M88" t="n">
        <v>0</v>
      </c>
      <c r="N88" t="n">
        <v>0</v>
      </c>
      <c r="O88" t="n">
        <v>1</v>
      </c>
      <c r="P88" t="n">
        <v>0</v>
      </c>
      <c r="Q88" t="n">
        <v>1</v>
      </c>
      <c r="R88" s="2" t="inlineStr">
        <is>
          <t>Spillkråka</t>
        </is>
      </c>
      <c r="S88">
        <f>HYPERLINK("https://klasma.github.io/Logging_1737/artfynd/A 50089-2020 artfynd.xlsx", "A 50089-2020")</f>
        <v/>
      </c>
      <c r="T88">
        <f>HYPERLINK("https://klasma.github.io/Logging_1737/kartor/A 50089-2020 karta.png", "A 50089-2020")</f>
        <v/>
      </c>
      <c r="V88">
        <f>HYPERLINK("https://klasma.github.io/Logging_1737/klagomål/A 50089-2020 FSC-klagomål.docx", "A 50089-2020")</f>
        <v/>
      </c>
      <c r="W88">
        <f>HYPERLINK("https://klasma.github.io/Logging_1737/klagomålsmail/A 50089-2020 FSC-klagomål mail.docx", "A 50089-2020")</f>
        <v/>
      </c>
      <c r="X88">
        <f>HYPERLINK("https://klasma.github.io/Logging_1737/tillsyn/A 50089-2020 tillsynsbegäran.docx", "A 50089-2020")</f>
        <v/>
      </c>
      <c r="Y88">
        <f>HYPERLINK("https://klasma.github.io/Logging_1737/tillsynsmail/A 50089-2020 tillsynsbegäran mail.docx", "A 50089-2020")</f>
        <v/>
      </c>
    </row>
    <row r="89" ht="15" customHeight="1">
      <c r="A89" t="inlineStr">
        <is>
          <t>A 53491-2020</t>
        </is>
      </c>
      <c r="B89" s="1" t="n">
        <v>44123</v>
      </c>
      <c r="C89" s="1" t="n">
        <v>45265</v>
      </c>
      <c r="D89" t="inlineStr">
        <is>
          <t>VÄRMLANDS LÄN</t>
        </is>
      </c>
      <c r="E89" t="inlineStr">
        <is>
          <t>TORSBY</t>
        </is>
      </c>
      <c r="G89" t="n">
        <v>1.5</v>
      </c>
      <c r="H89" t="n">
        <v>0</v>
      </c>
      <c r="I89" t="n">
        <v>0</v>
      </c>
      <c r="J89" t="n">
        <v>1</v>
      </c>
      <c r="K89" t="n">
        <v>0</v>
      </c>
      <c r="L89" t="n">
        <v>0</v>
      </c>
      <c r="M89" t="n">
        <v>0</v>
      </c>
      <c r="N89" t="n">
        <v>0</v>
      </c>
      <c r="O89" t="n">
        <v>1</v>
      </c>
      <c r="P89" t="n">
        <v>0</v>
      </c>
      <c r="Q89" t="n">
        <v>1</v>
      </c>
      <c r="R89" s="2" t="inlineStr">
        <is>
          <t>Garnlav</t>
        </is>
      </c>
      <c r="S89">
        <f>HYPERLINK("https://klasma.github.io/Logging_1737/artfynd/A 53491-2020 artfynd.xlsx", "A 53491-2020")</f>
        <v/>
      </c>
      <c r="T89">
        <f>HYPERLINK("https://klasma.github.io/Logging_1737/kartor/A 53491-2020 karta.png", "A 53491-2020")</f>
        <v/>
      </c>
      <c r="V89">
        <f>HYPERLINK("https://klasma.github.io/Logging_1737/klagomål/A 53491-2020 FSC-klagomål.docx", "A 53491-2020")</f>
        <v/>
      </c>
      <c r="W89">
        <f>HYPERLINK("https://klasma.github.io/Logging_1737/klagomålsmail/A 53491-2020 FSC-klagomål mail.docx", "A 53491-2020")</f>
        <v/>
      </c>
      <c r="X89">
        <f>HYPERLINK("https://klasma.github.io/Logging_1737/tillsyn/A 53491-2020 tillsynsbegäran.docx", "A 53491-2020")</f>
        <v/>
      </c>
      <c r="Y89">
        <f>HYPERLINK("https://klasma.github.io/Logging_1737/tillsynsmail/A 53491-2020 tillsynsbegäran mail.docx", "A 53491-2020")</f>
        <v/>
      </c>
    </row>
    <row r="90" ht="15" customHeight="1">
      <c r="A90" t="inlineStr">
        <is>
          <t>A 8747-2021</t>
        </is>
      </c>
      <c r="B90" s="1" t="n">
        <v>44246</v>
      </c>
      <c r="C90" s="1" t="n">
        <v>45265</v>
      </c>
      <c r="D90" t="inlineStr">
        <is>
          <t>VÄRMLANDS LÄN</t>
        </is>
      </c>
      <c r="E90" t="inlineStr">
        <is>
          <t>TORSBY</t>
        </is>
      </c>
      <c r="G90" t="n">
        <v>8.5</v>
      </c>
      <c r="H90" t="n">
        <v>0</v>
      </c>
      <c r="I90" t="n">
        <v>0</v>
      </c>
      <c r="J90" t="n">
        <v>1</v>
      </c>
      <c r="K90" t="n">
        <v>0</v>
      </c>
      <c r="L90" t="n">
        <v>0</v>
      </c>
      <c r="M90" t="n">
        <v>0</v>
      </c>
      <c r="N90" t="n">
        <v>0</v>
      </c>
      <c r="O90" t="n">
        <v>1</v>
      </c>
      <c r="P90" t="n">
        <v>0</v>
      </c>
      <c r="Q90" t="n">
        <v>1</v>
      </c>
      <c r="R90" s="2" t="inlineStr">
        <is>
          <t>Garnlav</t>
        </is>
      </c>
      <c r="S90">
        <f>HYPERLINK("https://klasma.github.io/Logging_1737/artfynd/A 8747-2021 artfynd.xlsx", "A 8747-2021")</f>
        <v/>
      </c>
      <c r="T90">
        <f>HYPERLINK("https://klasma.github.io/Logging_1737/kartor/A 8747-2021 karta.png", "A 8747-2021")</f>
        <v/>
      </c>
      <c r="V90">
        <f>HYPERLINK("https://klasma.github.io/Logging_1737/klagomål/A 8747-2021 FSC-klagomål.docx", "A 8747-2021")</f>
        <v/>
      </c>
      <c r="W90">
        <f>HYPERLINK("https://klasma.github.io/Logging_1737/klagomålsmail/A 8747-2021 FSC-klagomål mail.docx", "A 8747-2021")</f>
        <v/>
      </c>
      <c r="X90">
        <f>HYPERLINK("https://klasma.github.io/Logging_1737/tillsyn/A 8747-2021 tillsynsbegäran.docx", "A 8747-2021")</f>
        <v/>
      </c>
      <c r="Y90">
        <f>HYPERLINK("https://klasma.github.io/Logging_1737/tillsynsmail/A 8747-2021 tillsynsbegäran mail.docx", "A 8747-2021")</f>
        <v/>
      </c>
    </row>
    <row r="91" ht="15" customHeight="1">
      <c r="A91" t="inlineStr">
        <is>
          <t>A 24042-2021</t>
        </is>
      </c>
      <c r="B91" s="1" t="n">
        <v>44336</v>
      </c>
      <c r="C91" s="1" t="n">
        <v>45265</v>
      </c>
      <c r="D91" t="inlineStr">
        <is>
          <t>VÄRMLANDS LÄN</t>
        </is>
      </c>
      <c r="E91" t="inlineStr">
        <is>
          <t>TORSBY</t>
        </is>
      </c>
      <c r="G91" t="n">
        <v>4.5</v>
      </c>
      <c r="H91" t="n">
        <v>0</v>
      </c>
      <c r="I91" t="n">
        <v>1</v>
      </c>
      <c r="J91" t="n">
        <v>0</v>
      </c>
      <c r="K91" t="n">
        <v>0</v>
      </c>
      <c r="L91" t="n">
        <v>0</v>
      </c>
      <c r="M91" t="n">
        <v>0</v>
      </c>
      <c r="N91" t="n">
        <v>0</v>
      </c>
      <c r="O91" t="n">
        <v>0</v>
      </c>
      <c r="P91" t="n">
        <v>0</v>
      </c>
      <c r="Q91" t="n">
        <v>1</v>
      </c>
      <c r="R91" s="2" t="inlineStr">
        <is>
          <t>Stuplav</t>
        </is>
      </c>
      <c r="S91">
        <f>HYPERLINK("https://klasma.github.io/Logging_1737/artfynd/A 24042-2021 artfynd.xlsx", "A 24042-2021")</f>
        <v/>
      </c>
      <c r="T91">
        <f>HYPERLINK("https://klasma.github.io/Logging_1737/kartor/A 24042-2021 karta.png", "A 24042-2021")</f>
        <v/>
      </c>
      <c r="V91">
        <f>HYPERLINK("https://klasma.github.io/Logging_1737/klagomål/A 24042-2021 FSC-klagomål.docx", "A 24042-2021")</f>
        <v/>
      </c>
      <c r="W91">
        <f>HYPERLINK("https://klasma.github.io/Logging_1737/klagomålsmail/A 24042-2021 FSC-klagomål mail.docx", "A 24042-2021")</f>
        <v/>
      </c>
      <c r="X91">
        <f>HYPERLINK("https://klasma.github.io/Logging_1737/tillsyn/A 24042-2021 tillsynsbegäran.docx", "A 24042-2021")</f>
        <v/>
      </c>
      <c r="Y91">
        <f>HYPERLINK("https://klasma.github.io/Logging_1737/tillsynsmail/A 24042-2021 tillsynsbegäran mail.docx", "A 24042-2021")</f>
        <v/>
      </c>
    </row>
    <row r="92" ht="15" customHeight="1">
      <c r="A92" t="inlineStr">
        <is>
          <t>A 34876-2021</t>
        </is>
      </c>
      <c r="B92" s="1" t="n">
        <v>44383</v>
      </c>
      <c r="C92" s="1" t="n">
        <v>45265</v>
      </c>
      <c r="D92" t="inlineStr">
        <is>
          <t>VÄRMLANDS LÄN</t>
        </is>
      </c>
      <c r="E92" t="inlineStr">
        <is>
          <t>TORSBY</t>
        </is>
      </c>
      <c r="G92" t="n">
        <v>4.7</v>
      </c>
      <c r="H92" t="n">
        <v>0</v>
      </c>
      <c r="I92" t="n">
        <v>0</v>
      </c>
      <c r="J92" t="n">
        <v>1</v>
      </c>
      <c r="K92" t="n">
        <v>0</v>
      </c>
      <c r="L92" t="n">
        <v>0</v>
      </c>
      <c r="M92" t="n">
        <v>0</v>
      </c>
      <c r="N92" t="n">
        <v>0</v>
      </c>
      <c r="O92" t="n">
        <v>1</v>
      </c>
      <c r="P92" t="n">
        <v>0</v>
      </c>
      <c r="Q92" t="n">
        <v>1</v>
      </c>
      <c r="R92" s="2" t="inlineStr">
        <is>
          <t>Doftskinn</t>
        </is>
      </c>
      <c r="S92">
        <f>HYPERLINK("https://klasma.github.io/Logging_1737/artfynd/A 34876-2021 artfynd.xlsx", "A 34876-2021")</f>
        <v/>
      </c>
      <c r="T92">
        <f>HYPERLINK("https://klasma.github.io/Logging_1737/kartor/A 34876-2021 karta.png", "A 34876-2021")</f>
        <v/>
      </c>
      <c r="V92">
        <f>HYPERLINK("https://klasma.github.io/Logging_1737/klagomål/A 34876-2021 FSC-klagomål.docx", "A 34876-2021")</f>
        <v/>
      </c>
      <c r="W92">
        <f>HYPERLINK("https://klasma.github.io/Logging_1737/klagomålsmail/A 34876-2021 FSC-klagomål mail.docx", "A 34876-2021")</f>
        <v/>
      </c>
      <c r="X92">
        <f>HYPERLINK("https://klasma.github.io/Logging_1737/tillsyn/A 34876-2021 tillsynsbegäran.docx", "A 34876-2021")</f>
        <v/>
      </c>
      <c r="Y92">
        <f>HYPERLINK("https://klasma.github.io/Logging_1737/tillsynsmail/A 34876-2021 tillsynsbegäran mail.docx", "A 34876-2021")</f>
        <v/>
      </c>
    </row>
    <row r="93" ht="15" customHeight="1">
      <c r="A93" t="inlineStr">
        <is>
          <t>A 34853-2021</t>
        </is>
      </c>
      <c r="B93" s="1" t="n">
        <v>44383</v>
      </c>
      <c r="C93" s="1" t="n">
        <v>45265</v>
      </c>
      <c r="D93" t="inlineStr">
        <is>
          <t>VÄRMLANDS LÄN</t>
        </is>
      </c>
      <c r="E93" t="inlineStr">
        <is>
          <t>TORSBY</t>
        </is>
      </c>
      <c r="G93" t="n">
        <v>14.8</v>
      </c>
      <c r="H93" t="n">
        <v>1</v>
      </c>
      <c r="I93" t="n">
        <v>0</v>
      </c>
      <c r="J93" t="n">
        <v>1</v>
      </c>
      <c r="K93" t="n">
        <v>0</v>
      </c>
      <c r="L93" t="n">
        <v>0</v>
      </c>
      <c r="M93" t="n">
        <v>0</v>
      </c>
      <c r="N93" t="n">
        <v>0</v>
      </c>
      <c r="O93" t="n">
        <v>1</v>
      </c>
      <c r="P93" t="n">
        <v>0</v>
      </c>
      <c r="Q93" t="n">
        <v>1</v>
      </c>
      <c r="R93" s="2" t="inlineStr">
        <is>
          <t>Talltita</t>
        </is>
      </c>
      <c r="S93">
        <f>HYPERLINK("https://klasma.github.io/Logging_1737/artfynd/A 34853-2021 artfynd.xlsx", "A 34853-2021")</f>
        <v/>
      </c>
      <c r="T93">
        <f>HYPERLINK("https://klasma.github.io/Logging_1737/kartor/A 34853-2021 karta.png", "A 34853-2021")</f>
        <v/>
      </c>
      <c r="V93">
        <f>HYPERLINK("https://klasma.github.io/Logging_1737/klagomål/A 34853-2021 FSC-klagomål.docx", "A 34853-2021")</f>
        <v/>
      </c>
      <c r="W93">
        <f>HYPERLINK("https://klasma.github.io/Logging_1737/klagomålsmail/A 34853-2021 FSC-klagomål mail.docx", "A 34853-2021")</f>
        <v/>
      </c>
      <c r="X93">
        <f>HYPERLINK("https://klasma.github.io/Logging_1737/tillsyn/A 34853-2021 tillsynsbegäran.docx", "A 34853-2021")</f>
        <v/>
      </c>
      <c r="Y93">
        <f>HYPERLINK("https://klasma.github.io/Logging_1737/tillsynsmail/A 34853-2021 tillsynsbegäran mail.docx", "A 34853-2021")</f>
        <v/>
      </c>
    </row>
    <row r="94" ht="15" customHeight="1">
      <c r="A94" t="inlineStr">
        <is>
          <t>A 40265-2021</t>
        </is>
      </c>
      <c r="B94" s="1" t="n">
        <v>44419</v>
      </c>
      <c r="C94" s="1" t="n">
        <v>45265</v>
      </c>
      <c r="D94" t="inlineStr">
        <is>
          <t>VÄRMLANDS LÄN</t>
        </is>
      </c>
      <c r="E94" t="inlineStr">
        <is>
          <t>TORSBY</t>
        </is>
      </c>
      <c r="F94" t="inlineStr">
        <is>
          <t>Bergvik skog väst AB</t>
        </is>
      </c>
      <c r="G94" t="n">
        <v>5.7</v>
      </c>
      <c r="H94" t="n">
        <v>1</v>
      </c>
      <c r="I94" t="n">
        <v>0</v>
      </c>
      <c r="J94" t="n">
        <v>1</v>
      </c>
      <c r="K94" t="n">
        <v>0</v>
      </c>
      <c r="L94" t="n">
        <v>0</v>
      </c>
      <c r="M94" t="n">
        <v>0</v>
      </c>
      <c r="N94" t="n">
        <v>0</v>
      </c>
      <c r="O94" t="n">
        <v>1</v>
      </c>
      <c r="P94" t="n">
        <v>0</v>
      </c>
      <c r="Q94" t="n">
        <v>1</v>
      </c>
      <c r="R94" s="2" t="inlineStr">
        <is>
          <t>Nordfladdermus</t>
        </is>
      </c>
      <c r="S94">
        <f>HYPERLINK("https://klasma.github.io/Logging_1737/artfynd/A 40265-2021 artfynd.xlsx", "A 40265-2021")</f>
        <v/>
      </c>
      <c r="T94">
        <f>HYPERLINK("https://klasma.github.io/Logging_1737/kartor/A 40265-2021 karta.png", "A 40265-2021")</f>
        <v/>
      </c>
      <c r="V94">
        <f>HYPERLINK("https://klasma.github.io/Logging_1737/klagomål/A 40265-2021 FSC-klagomål.docx", "A 40265-2021")</f>
        <v/>
      </c>
      <c r="W94">
        <f>HYPERLINK("https://klasma.github.io/Logging_1737/klagomålsmail/A 40265-2021 FSC-klagomål mail.docx", "A 40265-2021")</f>
        <v/>
      </c>
      <c r="X94">
        <f>HYPERLINK("https://klasma.github.io/Logging_1737/tillsyn/A 40265-2021 tillsynsbegäran.docx", "A 40265-2021")</f>
        <v/>
      </c>
      <c r="Y94">
        <f>HYPERLINK("https://klasma.github.io/Logging_1737/tillsynsmail/A 40265-2021 tillsynsbegäran mail.docx", "A 40265-2021")</f>
        <v/>
      </c>
    </row>
    <row r="95" ht="15" customHeight="1">
      <c r="A95" t="inlineStr">
        <is>
          <t>A 49110-2021</t>
        </is>
      </c>
      <c r="B95" s="1" t="n">
        <v>44453</v>
      </c>
      <c r="C95" s="1" t="n">
        <v>45265</v>
      </c>
      <c r="D95" t="inlineStr">
        <is>
          <t>VÄRMLANDS LÄN</t>
        </is>
      </c>
      <c r="E95" t="inlineStr">
        <is>
          <t>TORSBY</t>
        </is>
      </c>
      <c r="G95" t="n">
        <v>33.8</v>
      </c>
      <c r="H95" t="n">
        <v>0</v>
      </c>
      <c r="I95" t="n">
        <v>1</v>
      </c>
      <c r="J95" t="n">
        <v>0</v>
      </c>
      <c r="K95" t="n">
        <v>0</v>
      </c>
      <c r="L95" t="n">
        <v>0</v>
      </c>
      <c r="M95" t="n">
        <v>0</v>
      </c>
      <c r="N95" t="n">
        <v>0</v>
      </c>
      <c r="O95" t="n">
        <v>0</v>
      </c>
      <c r="P95" t="n">
        <v>0</v>
      </c>
      <c r="Q95" t="n">
        <v>1</v>
      </c>
      <c r="R95" s="2" t="inlineStr">
        <is>
          <t>Vedticka</t>
        </is>
      </c>
      <c r="S95">
        <f>HYPERLINK("https://klasma.github.io/Logging_1737/artfynd/A 49110-2021 artfynd.xlsx", "A 49110-2021")</f>
        <v/>
      </c>
      <c r="T95">
        <f>HYPERLINK("https://klasma.github.io/Logging_1737/kartor/A 49110-2021 karta.png", "A 49110-2021")</f>
        <v/>
      </c>
      <c r="V95">
        <f>HYPERLINK("https://klasma.github.io/Logging_1737/klagomål/A 49110-2021 FSC-klagomål.docx", "A 49110-2021")</f>
        <v/>
      </c>
      <c r="W95">
        <f>HYPERLINK("https://klasma.github.io/Logging_1737/klagomålsmail/A 49110-2021 FSC-klagomål mail.docx", "A 49110-2021")</f>
        <v/>
      </c>
      <c r="X95">
        <f>HYPERLINK("https://klasma.github.io/Logging_1737/tillsyn/A 49110-2021 tillsynsbegäran.docx", "A 49110-2021")</f>
        <v/>
      </c>
      <c r="Y95">
        <f>HYPERLINK("https://klasma.github.io/Logging_1737/tillsynsmail/A 49110-2021 tillsynsbegäran mail.docx", "A 49110-2021")</f>
        <v/>
      </c>
    </row>
    <row r="96" ht="15" customHeight="1">
      <c r="A96" t="inlineStr">
        <is>
          <t>A 54982-2021</t>
        </is>
      </c>
      <c r="B96" s="1" t="n">
        <v>44469</v>
      </c>
      <c r="C96" s="1" t="n">
        <v>45265</v>
      </c>
      <c r="D96" t="inlineStr">
        <is>
          <t>VÄRMLANDS LÄN</t>
        </is>
      </c>
      <c r="E96" t="inlineStr">
        <is>
          <t>TORSBY</t>
        </is>
      </c>
      <c r="G96" t="n">
        <v>4.1</v>
      </c>
      <c r="H96" t="n">
        <v>0</v>
      </c>
      <c r="I96" t="n">
        <v>1</v>
      </c>
      <c r="J96" t="n">
        <v>0</v>
      </c>
      <c r="K96" t="n">
        <v>0</v>
      </c>
      <c r="L96" t="n">
        <v>0</v>
      </c>
      <c r="M96" t="n">
        <v>0</v>
      </c>
      <c r="N96" t="n">
        <v>0</v>
      </c>
      <c r="O96" t="n">
        <v>0</v>
      </c>
      <c r="P96" t="n">
        <v>0</v>
      </c>
      <c r="Q96" t="n">
        <v>1</v>
      </c>
      <c r="R96" s="2" t="inlineStr">
        <is>
          <t>Tibast</t>
        </is>
      </c>
      <c r="S96">
        <f>HYPERLINK("https://klasma.github.io/Logging_1737/artfynd/A 54982-2021 artfynd.xlsx", "A 54982-2021")</f>
        <v/>
      </c>
      <c r="T96">
        <f>HYPERLINK("https://klasma.github.io/Logging_1737/kartor/A 54982-2021 karta.png", "A 54982-2021")</f>
        <v/>
      </c>
      <c r="V96">
        <f>HYPERLINK("https://klasma.github.io/Logging_1737/klagomål/A 54982-2021 FSC-klagomål.docx", "A 54982-2021")</f>
        <v/>
      </c>
      <c r="W96">
        <f>HYPERLINK("https://klasma.github.io/Logging_1737/klagomålsmail/A 54982-2021 FSC-klagomål mail.docx", "A 54982-2021")</f>
        <v/>
      </c>
      <c r="X96">
        <f>HYPERLINK("https://klasma.github.io/Logging_1737/tillsyn/A 54982-2021 tillsynsbegäran.docx", "A 54982-2021")</f>
        <v/>
      </c>
      <c r="Y96">
        <f>HYPERLINK("https://klasma.github.io/Logging_1737/tillsynsmail/A 54982-2021 tillsynsbegäran mail.docx", "A 54982-2021")</f>
        <v/>
      </c>
    </row>
    <row r="97" ht="15" customHeight="1">
      <c r="A97" t="inlineStr">
        <is>
          <t>A 58471-2021</t>
        </is>
      </c>
      <c r="B97" s="1" t="n">
        <v>44488</v>
      </c>
      <c r="C97" s="1" t="n">
        <v>45265</v>
      </c>
      <c r="D97" t="inlineStr">
        <is>
          <t>VÄRMLANDS LÄN</t>
        </is>
      </c>
      <c r="E97" t="inlineStr">
        <is>
          <t>TORSBY</t>
        </is>
      </c>
      <c r="G97" t="n">
        <v>2.5</v>
      </c>
      <c r="H97" t="n">
        <v>0</v>
      </c>
      <c r="I97" t="n">
        <v>1</v>
      </c>
      <c r="J97" t="n">
        <v>0</v>
      </c>
      <c r="K97" t="n">
        <v>0</v>
      </c>
      <c r="L97" t="n">
        <v>0</v>
      </c>
      <c r="M97" t="n">
        <v>0</v>
      </c>
      <c r="N97" t="n">
        <v>0</v>
      </c>
      <c r="O97" t="n">
        <v>0</v>
      </c>
      <c r="P97" t="n">
        <v>0</v>
      </c>
      <c r="Q97" t="n">
        <v>1</v>
      </c>
      <c r="R97" s="2" t="inlineStr">
        <is>
          <t>Korallblylav</t>
        </is>
      </c>
      <c r="S97">
        <f>HYPERLINK("https://klasma.github.io/Logging_1737/artfynd/A 58471-2021 artfynd.xlsx", "A 58471-2021")</f>
        <v/>
      </c>
      <c r="T97">
        <f>HYPERLINK("https://klasma.github.io/Logging_1737/kartor/A 58471-2021 karta.png", "A 58471-2021")</f>
        <v/>
      </c>
      <c r="V97">
        <f>HYPERLINK("https://klasma.github.io/Logging_1737/klagomål/A 58471-2021 FSC-klagomål.docx", "A 58471-2021")</f>
        <v/>
      </c>
      <c r="W97">
        <f>HYPERLINK("https://klasma.github.io/Logging_1737/klagomålsmail/A 58471-2021 FSC-klagomål mail.docx", "A 58471-2021")</f>
        <v/>
      </c>
      <c r="X97">
        <f>HYPERLINK("https://klasma.github.io/Logging_1737/tillsyn/A 58471-2021 tillsynsbegäran.docx", "A 58471-2021")</f>
        <v/>
      </c>
      <c r="Y97">
        <f>HYPERLINK("https://klasma.github.io/Logging_1737/tillsynsmail/A 58471-2021 tillsynsbegäran mail.docx", "A 58471-2021")</f>
        <v/>
      </c>
    </row>
    <row r="98" ht="15" customHeight="1">
      <c r="A98" t="inlineStr">
        <is>
          <t>A 61813-2021</t>
        </is>
      </c>
      <c r="B98" s="1" t="n">
        <v>44501</v>
      </c>
      <c r="C98" s="1" t="n">
        <v>45265</v>
      </c>
      <c r="D98" t="inlineStr">
        <is>
          <t>VÄRMLANDS LÄN</t>
        </is>
      </c>
      <c r="E98" t="inlineStr">
        <is>
          <t>TORSBY</t>
        </is>
      </c>
      <c r="G98" t="n">
        <v>4.9</v>
      </c>
      <c r="H98" t="n">
        <v>0</v>
      </c>
      <c r="I98" t="n">
        <v>0</v>
      </c>
      <c r="J98" t="n">
        <v>1</v>
      </c>
      <c r="K98" t="n">
        <v>0</v>
      </c>
      <c r="L98" t="n">
        <v>0</v>
      </c>
      <c r="M98" t="n">
        <v>0</v>
      </c>
      <c r="N98" t="n">
        <v>0</v>
      </c>
      <c r="O98" t="n">
        <v>1</v>
      </c>
      <c r="P98" t="n">
        <v>0</v>
      </c>
      <c r="Q98" t="n">
        <v>1</v>
      </c>
      <c r="R98" s="2" t="inlineStr">
        <is>
          <t>Tallticka</t>
        </is>
      </c>
      <c r="S98">
        <f>HYPERLINK("https://klasma.github.io/Logging_1737/artfynd/A 61813-2021 artfynd.xlsx", "A 61813-2021")</f>
        <v/>
      </c>
      <c r="T98">
        <f>HYPERLINK("https://klasma.github.io/Logging_1737/kartor/A 61813-2021 karta.png", "A 61813-2021")</f>
        <v/>
      </c>
      <c r="V98">
        <f>HYPERLINK("https://klasma.github.io/Logging_1737/klagomål/A 61813-2021 FSC-klagomål.docx", "A 61813-2021")</f>
        <v/>
      </c>
      <c r="W98">
        <f>HYPERLINK("https://klasma.github.io/Logging_1737/klagomålsmail/A 61813-2021 FSC-klagomål mail.docx", "A 61813-2021")</f>
        <v/>
      </c>
      <c r="X98">
        <f>HYPERLINK("https://klasma.github.io/Logging_1737/tillsyn/A 61813-2021 tillsynsbegäran.docx", "A 61813-2021")</f>
        <v/>
      </c>
      <c r="Y98">
        <f>HYPERLINK("https://klasma.github.io/Logging_1737/tillsynsmail/A 61813-2021 tillsynsbegäran mail.docx", "A 61813-2021")</f>
        <v/>
      </c>
    </row>
    <row r="99" ht="15" customHeight="1">
      <c r="A99" t="inlineStr">
        <is>
          <t>A 65767-2021</t>
        </is>
      </c>
      <c r="B99" s="1" t="n">
        <v>44516</v>
      </c>
      <c r="C99" s="1" t="n">
        <v>45265</v>
      </c>
      <c r="D99" t="inlineStr">
        <is>
          <t>VÄRMLANDS LÄN</t>
        </is>
      </c>
      <c r="E99" t="inlineStr">
        <is>
          <t>TORSBY</t>
        </is>
      </c>
      <c r="G99" t="n">
        <v>7.5</v>
      </c>
      <c r="H99" t="n">
        <v>0</v>
      </c>
      <c r="I99" t="n">
        <v>1</v>
      </c>
      <c r="J99" t="n">
        <v>0</v>
      </c>
      <c r="K99" t="n">
        <v>0</v>
      </c>
      <c r="L99" t="n">
        <v>0</v>
      </c>
      <c r="M99" t="n">
        <v>0</v>
      </c>
      <c r="N99" t="n">
        <v>0</v>
      </c>
      <c r="O99" t="n">
        <v>0</v>
      </c>
      <c r="P99" t="n">
        <v>0</v>
      </c>
      <c r="Q99" t="n">
        <v>1</v>
      </c>
      <c r="R99" s="2" t="inlineStr">
        <is>
          <t>Mörk husmossa</t>
        </is>
      </c>
      <c r="S99">
        <f>HYPERLINK("https://klasma.github.io/Logging_1737/artfynd/A 65767-2021 artfynd.xlsx", "A 65767-2021")</f>
        <v/>
      </c>
      <c r="T99">
        <f>HYPERLINK("https://klasma.github.io/Logging_1737/kartor/A 65767-2021 karta.png", "A 65767-2021")</f>
        <v/>
      </c>
      <c r="V99">
        <f>HYPERLINK("https://klasma.github.io/Logging_1737/klagomål/A 65767-2021 FSC-klagomål.docx", "A 65767-2021")</f>
        <v/>
      </c>
      <c r="W99">
        <f>HYPERLINK("https://klasma.github.io/Logging_1737/klagomålsmail/A 65767-2021 FSC-klagomål mail.docx", "A 65767-2021")</f>
        <v/>
      </c>
      <c r="X99">
        <f>HYPERLINK("https://klasma.github.io/Logging_1737/tillsyn/A 65767-2021 tillsynsbegäran.docx", "A 65767-2021")</f>
        <v/>
      </c>
      <c r="Y99">
        <f>HYPERLINK("https://klasma.github.io/Logging_1737/tillsynsmail/A 65767-2021 tillsynsbegäran mail.docx", "A 65767-2021")</f>
        <v/>
      </c>
    </row>
    <row r="100" ht="15" customHeight="1">
      <c r="A100" t="inlineStr">
        <is>
          <t>A 71594-2021</t>
        </is>
      </c>
      <c r="B100" s="1" t="n">
        <v>44541</v>
      </c>
      <c r="C100" s="1" t="n">
        <v>45265</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3404-2022</t>
        </is>
      </c>
      <c r="B101" s="1" t="n">
        <v>44585</v>
      </c>
      <c r="C101" s="1" t="n">
        <v>45265</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22174-2022</t>
        </is>
      </c>
      <c r="B102" s="1" t="n">
        <v>44712</v>
      </c>
      <c r="C102" s="1" t="n">
        <v>45265</v>
      </c>
      <c r="D102" t="inlineStr">
        <is>
          <t>VÄRMLANDS LÄN</t>
        </is>
      </c>
      <c r="E102" t="inlineStr">
        <is>
          <t>TORSBY</t>
        </is>
      </c>
      <c r="G102" t="n">
        <v>11</v>
      </c>
      <c r="H102" t="n">
        <v>1</v>
      </c>
      <c r="I102" t="n">
        <v>0</v>
      </c>
      <c r="J102" t="n">
        <v>0</v>
      </c>
      <c r="K102" t="n">
        <v>0</v>
      </c>
      <c r="L102" t="n">
        <v>0</v>
      </c>
      <c r="M102" t="n">
        <v>0</v>
      </c>
      <c r="N102" t="n">
        <v>0</v>
      </c>
      <c r="O102" t="n">
        <v>0</v>
      </c>
      <c r="P102" t="n">
        <v>0</v>
      </c>
      <c r="Q102" t="n">
        <v>1</v>
      </c>
      <c r="R102" s="2" t="inlineStr">
        <is>
          <t>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25999-2022</t>
        </is>
      </c>
      <c r="B103" s="1" t="n">
        <v>44734</v>
      </c>
      <c r="C103" s="1" t="n">
        <v>45265</v>
      </c>
      <c r="D103" t="inlineStr">
        <is>
          <t>VÄRMLANDS LÄN</t>
        </is>
      </c>
      <c r="E103" t="inlineStr">
        <is>
          <t>TORSBY</t>
        </is>
      </c>
      <c r="G103" t="n">
        <v>0.6</v>
      </c>
      <c r="H103" t="n">
        <v>0</v>
      </c>
      <c r="I103" t="n">
        <v>1</v>
      </c>
      <c r="J103" t="n">
        <v>0</v>
      </c>
      <c r="K103" t="n">
        <v>0</v>
      </c>
      <c r="L103" t="n">
        <v>0</v>
      </c>
      <c r="M103" t="n">
        <v>0</v>
      </c>
      <c r="N103" t="n">
        <v>0</v>
      </c>
      <c r="O103" t="n">
        <v>0</v>
      </c>
      <c r="P103" t="n">
        <v>0</v>
      </c>
      <c r="Q103" t="n">
        <v>1</v>
      </c>
      <c r="R103" s="2" t="inlineStr">
        <is>
          <t>Korallblylav</t>
        </is>
      </c>
      <c r="S103">
        <f>HYPERLINK("https://klasma.github.io/Logging_1737/artfynd/A 25999-2022 artfynd.xlsx", "A 25999-2022")</f>
        <v/>
      </c>
      <c r="T103">
        <f>HYPERLINK("https://klasma.github.io/Logging_1737/kartor/A 25999-2022 karta.png", "A 25999-2022")</f>
        <v/>
      </c>
      <c r="V103">
        <f>HYPERLINK("https://klasma.github.io/Logging_1737/klagomål/A 25999-2022 FSC-klagomål.docx", "A 25999-2022")</f>
        <v/>
      </c>
      <c r="W103">
        <f>HYPERLINK("https://klasma.github.io/Logging_1737/klagomålsmail/A 25999-2022 FSC-klagomål mail.docx", "A 25999-2022")</f>
        <v/>
      </c>
      <c r="X103">
        <f>HYPERLINK("https://klasma.github.io/Logging_1737/tillsyn/A 25999-2022 tillsynsbegäran.docx", "A 25999-2022")</f>
        <v/>
      </c>
      <c r="Y103">
        <f>HYPERLINK("https://klasma.github.io/Logging_1737/tillsynsmail/A 25999-2022 tillsynsbegäran mail.docx", "A 25999-2022")</f>
        <v/>
      </c>
    </row>
    <row r="104" ht="15" customHeight="1">
      <c r="A104" t="inlineStr">
        <is>
          <t>A 35709-2022</t>
        </is>
      </c>
      <c r="B104" s="1" t="n">
        <v>44799</v>
      </c>
      <c r="C104" s="1" t="n">
        <v>45265</v>
      </c>
      <c r="D104" t="inlineStr">
        <is>
          <t>VÄRMLANDS LÄN</t>
        </is>
      </c>
      <c r="E104" t="inlineStr">
        <is>
          <t>TORSBY</t>
        </is>
      </c>
      <c r="G104" t="n">
        <v>4.4</v>
      </c>
      <c r="H104" t="n">
        <v>0</v>
      </c>
      <c r="I104" t="n">
        <v>1</v>
      </c>
      <c r="J104" t="n">
        <v>0</v>
      </c>
      <c r="K104" t="n">
        <v>0</v>
      </c>
      <c r="L104" t="n">
        <v>0</v>
      </c>
      <c r="M104" t="n">
        <v>0</v>
      </c>
      <c r="N104" t="n">
        <v>0</v>
      </c>
      <c r="O104" t="n">
        <v>0</v>
      </c>
      <c r="P104" t="n">
        <v>0</v>
      </c>
      <c r="Q104" t="n">
        <v>1</v>
      </c>
      <c r="R104" s="2" t="inlineStr">
        <is>
          <t>Dropptaggsvamp</t>
        </is>
      </c>
      <c r="S104">
        <f>HYPERLINK("https://klasma.github.io/Logging_1737/artfynd/A 35709-2022 artfynd.xlsx", "A 35709-2022")</f>
        <v/>
      </c>
      <c r="T104">
        <f>HYPERLINK("https://klasma.github.io/Logging_1737/kartor/A 35709-2022 karta.png", "A 35709-2022")</f>
        <v/>
      </c>
      <c r="V104">
        <f>HYPERLINK("https://klasma.github.io/Logging_1737/klagomål/A 35709-2022 FSC-klagomål.docx", "A 35709-2022")</f>
        <v/>
      </c>
      <c r="W104">
        <f>HYPERLINK("https://klasma.github.io/Logging_1737/klagomålsmail/A 35709-2022 FSC-klagomål mail.docx", "A 35709-2022")</f>
        <v/>
      </c>
      <c r="X104">
        <f>HYPERLINK("https://klasma.github.io/Logging_1737/tillsyn/A 35709-2022 tillsynsbegäran.docx", "A 35709-2022")</f>
        <v/>
      </c>
      <c r="Y104">
        <f>HYPERLINK("https://klasma.github.io/Logging_1737/tillsynsmail/A 35709-2022 tillsynsbegäran mail.docx", "A 35709-2022")</f>
        <v/>
      </c>
    </row>
    <row r="105" ht="15" customHeight="1">
      <c r="A105" t="inlineStr">
        <is>
          <t>A 42500-2022</t>
        </is>
      </c>
      <c r="B105" s="1" t="n">
        <v>44831</v>
      </c>
      <c r="C105" s="1" t="n">
        <v>45265</v>
      </c>
      <c r="D105" t="inlineStr">
        <is>
          <t>VÄRMLANDS LÄN</t>
        </is>
      </c>
      <c r="E105" t="inlineStr">
        <is>
          <t>TORSBY</t>
        </is>
      </c>
      <c r="F105" t="inlineStr">
        <is>
          <t>Kommuner</t>
        </is>
      </c>
      <c r="G105" t="n">
        <v>2.3</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42500-2022 artfynd.xlsx", "A 42500-2022")</f>
        <v/>
      </c>
      <c r="T105">
        <f>HYPERLINK("https://klasma.github.io/Logging_1737/kartor/A 42500-2022 karta.png", "A 42500-2022")</f>
        <v/>
      </c>
      <c r="U105">
        <f>HYPERLINK("https://klasma.github.io/Logging_1737/knärot/A 42500-2022 karta knärot.png", "A 42500-2022")</f>
        <v/>
      </c>
      <c r="V105">
        <f>HYPERLINK("https://klasma.github.io/Logging_1737/klagomål/A 42500-2022 FSC-klagomål.docx", "A 42500-2022")</f>
        <v/>
      </c>
      <c r="W105">
        <f>HYPERLINK("https://klasma.github.io/Logging_1737/klagomålsmail/A 42500-2022 FSC-klagomål mail.docx", "A 42500-2022")</f>
        <v/>
      </c>
      <c r="X105">
        <f>HYPERLINK("https://klasma.github.io/Logging_1737/tillsyn/A 42500-2022 tillsynsbegäran.docx", "A 42500-2022")</f>
        <v/>
      </c>
      <c r="Y105">
        <f>HYPERLINK("https://klasma.github.io/Logging_1737/tillsynsmail/A 42500-2022 tillsynsbegäran mail.docx", "A 42500-2022")</f>
        <v/>
      </c>
    </row>
    <row r="106" ht="15" customHeight="1">
      <c r="A106" t="inlineStr">
        <is>
          <t>A 44007-2022</t>
        </is>
      </c>
      <c r="B106" s="1" t="n">
        <v>44838</v>
      </c>
      <c r="C106" s="1" t="n">
        <v>45265</v>
      </c>
      <c r="D106" t="inlineStr">
        <is>
          <t>VÄRMLANDS LÄN</t>
        </is>
      </c>
      <c r="E106" t="inlineStr">
        <is>
          <t>TORSBY</t>
        </is>
      </c>
      <c r="F106" t="inlineStr">
        <is>
          <t>Bergvik skog väst AB</t>
        </is>
      </c>
      <c r="G106" t="n">
        <v>8</v>
      </c>
      <c r="H106" t="n">
        <v>1</v>
      </c>
      <c r="I106" t="n">
        <v>0</v>
      </c>
      <c r="J106" t="n">
        <v>1</v>
      </c>
      <c r="K106" t="n">
        <v>0</v>
      </c>
      <c r="L106" t="n">
        <v>0</v>
      </c>
      <c r="M106" t="n">
        <v>0</v>
      </c>
      <c r="N106" t="n">
        <v>0</v>
      </c>
      <c r="O106" t="n">
        <v>1</v>
      </c>
      <c r="P106" t="n">
        <v>0</v>
      </c>
      <c r="Q106" t="n">
        <v>1</v>
      </c>
      <c r="R106" s="2" t="inlineStr">
        <is>
          <t>Utter</t>
        </is>
      </c>
      <c r="S106">
        <f>HYPERLINK("https://klasma.github.io/Logging_1737/artfynd/A 44007-2022 artfynd.xlsx", "A 44007-2022")</f>
        <v/>
      </c>
      <c r="T106">
        <f>HYPERLINK("https://klasma.github.io/Logging_1737/kartor/A 44007-2022 karta.png", "A 44007-2022")</f>
        <v/>
      </c>
      <c r="V106">
        <f>HYPERLINK("https://klasma.github.io/Logging_1737/klagomål/A 44007-2022 FSC-klagomål.docx", "A 44007-2022")</f>
        <v/>
      </c>
      <c r="W106">
        <f>HYPERLINK("https://klasma.github.io/Logging_1737/klagomålsmail/A 44007-2022 FSC-klagomål mail.docx", "A 44007-2022")</f>
        <v/>
      </c>
      <c r="X106">
        <f>HYPERLINK("https://klasma.github.io/Logging_1737/tillsyn/A 44007-2022 tillsynsbegäran.docx", "A 44007-2022")</f>
        <v/>
      </c>
      <c r="Y106">
        <f>HYPERLINK("https://klasma.github.io/Logging_1737/tillsynsmail/A 44007-2022 tillsynsbegäran mail.docx", "A 44007-2022")</f>
        <v/>
      </c>
    </row>
    <row r="107" ht="15" customHeight="1">
      <c r="A107" t="inlineStr">
        <is>
          <t>A 50236-2022</t>
        </is>
      </c>
      <c r="B107" s="1" t="n">
        <v>44865</v>
      </c>
      <c r="C107" s="1" t="n">
        <v>45265</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Garnlav</t>
        </is>
      </c>
      <c r="S107">
        <f>HYPERLINK("https://klasma.github.io/Logging_1737/artfynd/A 50236-2022 artfynd.xlsx", "A 50236-2022")</f>
        <v/>
      </c>
      <c r="T107">
        <f>HYPERLINK("https://klasma.github.io/Logging_1737/kartor/A 50236-2022 karta.png", "A 50236-2022")</f>
        <v/>
      </c>
      <c r="V107">
        <f>HYPERLINK("https://klasma.github.io/Logging_1737/klagomål/A 50236-2022 FSC-klagomål.docx", "A 50236-2022")</f>
        <v/>
      </c>
      <c r="W107">
        <f>HYPERLINK("https://klasma.github.io/Logging_1737/klagomålsmail/A 50236-2022 FSC-klagomål mail.docx", "A 50236-2022")</f>
        <v/>
      </c>
      <c r="X107">
        <f>HYPERLINK("https://klasma.github.io/Logging_1737/tillsyn/A 50236-2022 tillsynsbegäran.docx", "A 50236-2022")</f>
        <v/>
      </c>
      <c r="Y107">
        <f>HYPERLINK("https://klasma.github.io/Logging_1737/tillsynsmail/A 50236-2022 tillsynsbegäran mail.docx", "A 50236-2022")</f>
        <v/>
      </c>
    </row>
    <row r="108" ht="15" customHeight="1">
      <c r="A108" t="inlineStr">
        <is>
          <t>A 51288-2022</t>
        </is>
      </c>
      <c r="B108" s="1" t="n">
        <v>44868</v>
      </c>
      <c r="C108" s="1" t="n">
        <v>45265</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13361-2023</t>
        </is>
      </c>
      <c r="B109" s="1" t="n">
        <v>45005</v>
      </c>
      <c r="C109" s="1" t="n">
        <v>45265</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13359-2023</t>
        </is>
      </c>
      <c r="B110" s="1" t="n">
        <v>45005</v>
      </c>
      <c r="C110" s="1" t="n">
        <v>45265</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15548-2023</t>
        </is>
      </c>
      <c r="B111" s="1" t="n">
        <v>45020</v>
      </c>
      <c r="C111" s="1" t="n">
        <v>45265</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row>
    <row r="112" ht="15" customHeight="1">
      <c r="A112" t="inlineStr">
        <is>
          <t>A 18882-2023</t>
        </is>
      </c>
      <c r="B112" s="1" t="n">
        <v>45044</v>
      </c>
      <c r="C112" s="1" t="n">
        <v>45265</v>
      </c>
      <c r="D112" t="inlineStr">
        <is>
          <t>VÄRMLANDS LÄN</t>
        </is>
      </c>
      <c r="E112" t="inlineStr">
        <is>
          <t>TORSBY</t>
        </is>
      </c>
      <c r="G112" t="n">
        <v>3</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18882-2023 artfynd.xlsx", "A 18882-2023")</f>
        <v/>
      </c>
      <c r="T112">
        <f>HYPERLINK("https://klasma.github.io/Logging_1737/kartor/A 18882-2023 karta.png", "A 18882-2023")</f>
        <v/>
      </c>
      <c r="V112">
        <f>HYPERLINK("https://klasma.github.io/Logging_1737/klagomål/A 18882-2023 FSC-klagomål.docx", "A 18882-2023")</f>
        <v/>
      </c>
      <c r="W112">
        <f>HYPERLINK("https://klasma.github.io/Logging_1737/klagomålsmail/A 18882-2023 FSC-klagomål mail.docx", "A 18882-2023")</f>
        <v/>
      </c>
      <c r="X112">
        <f>HYPERLINK("https://klasma.github.io/Logging_1737/tillsyn/A 18882-2023 tillsynsbegäran.docx", "A 18882-2023")</f>
        <v/>
      </c>
      <c r="Y112">
        <f>HYPERLINK("https://klasma.github.io/Logging_1737/tillsynsmail/A 18882-2023 tillsynsbegäran mail.docx", "A 18882-2023")</f>
        <v/>
      </c>
    </row>
    <row r="113" ht="15" customHeight="1">
      <c r="A113" t="inlineStr">
        <is>
          <t>A 19669-2023</t>
        </is>
      </c>
      <c r="B113" s="1" t="n">
        <v>45051</v>
      </c>
      <c r="C113" s="1" t="n">
        <v>45265</v>
      </c>
      <c r="D113" t="inlineStr">
        <is>
          <t>VÄRMLANDS LÄN</t>
        </is>
      </c>
      <c r="E113" t="inlineStr">
        <is>
          <t>TORSBY</t>
        </is>
      </c>
      <c r="F113" t="inlineStr">
        <is>
          <t>Kyrkan</t>
        </is>
      </c>
      <c r="G113" t="n">
        <v>5.2</v>
      </c>
      <c r="H113" t="n">
        <v>1</v>
      </c>
      <c r="I113" t="n">
        <v>0</v>
      </c>
      <c r="J113" t="n">
        <v>1</v>
      </c>
      <c r="K113" t="n">
        <v>0</v>
      </c>
      <c r="L113" t="n">
        <v>0</v>
      </c>
      <c r="M113" t="n">
        <v>0</v>
      </c>
      <c r="N113" t="n">
        <v>0</v>
      </c>
      <c r="O113" t="n">
        <v>1</v>
      </c>
      <c r="P113" t="n">
        <v>0</v>
      </c>
      <c r="Q113" t="n">
        <v>1</v>
      </c>
      <c r="R113" s="2" t="inlineStr">
        <is>
          <t>Utter</t>
        </is>
      </c>
      <c r="S113">
        <f>HYPERLINK("https://klasma.github.io/Logging_1737/artfynd/A 19669-2023 artfynd.xlsx", "A 19669-2023")</f>
        <v/>
      </c>
      <c r="T113">
        <f>HYPERLINK("https://klasma.github.io/Logging_1737/kartor/A 19669-2023 karta.png", "A 19669-2023")</f>
        <v/>
      </c>
      <c r="V113">
        <f>HYPERLINK("https://klasma.github.io/Logging_1737/klagomål/A 19669-2023 FSC-klagomål.docx", "A 19669-2023")</f>
        <v/>
      </c>
      <c r="W113">
        <f>HYPERLINK("https://klasma.github.io/Logging_1737/klagomålsmail/A 19669-2023 FSC-klagomål mail.docx", "A 19669-2023")</f>
        <v/>
      </c>
      <c r="X113">
        <f>HYPERLINK("https://klasma.github.io/Logging_1737/tillsyn/A 19669-2023 tillsynsbegäran.docx", "A 19669-2023")</f>
        <v/>
      </c>
      <c r="Y113">
        <f>HYPERLINK("https://klasma.github.io/Logging_1737/tillsynsmail/A 19669-2023 tillsynsbegäran mail.docx", "A 19669-2023")</f>
        <v/>
      </c>
    </row>
    <row r="114" ht="15" customHeight="1">
      <c r="A114" t="inlineStr">
        <is>
          <t>A 26747-2023</t>
        </is>
      </c>
      <c r="B114" s="1" t="n">
        <v>45090</v>
      </c>
      <c r="C114" s="1" t="n">
        <v>45265</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29560-2023</t>
        </is>
      </c>
      <c r="B115" s="1" t="n">
        <v>45106</v>
      </c>
      <c r="C115" s="1" t="n">
        <v>45265</v>
      </c>
      <c r="D115" t="inlineStr">
        <is>
          <t>VÄRMLANDS LÄN</t>
        </is>
      </c>
      <c r="E115" t="inlineStr">
        <is>
          <t>TORSBY</t>
        </is>
      </c>
      <c r="G115" t="n">
        <v>10.3</v>
      </c>
      <c r="H115" t="n">
        <v>1</v>
      </c>
      <c r="I115" t="n">
        <v>0</v>
      </c>
      <c r="J115" t="n">
        <v>1</v>
      </c>
      <c r="K115" t="n">
        <v>0</v>
      </c>
      <c r="L115" t="n">
        <v>0</v>
      </c>
      <c r="M115" t="n">
        <v>0</v>
      </c>
      <c r="N115" t="n">
        <v>0</v>
      </c>
      <c r="O115" t="n">
        <v>1</v>
      </c>
      <c r="P115" t="n">
        <v>0</v>
      </c>
      <c r="Q115" t="n">
        <v>1</v>
      </c>
      <c r="R115" s="2" t="inlineStr">
        <is>
          <t>Spillkråka</t>
        </is>
      </c>
      <c r="S115">
        <f>HYPERLINK("https://klasma.github.io/Logging_1737/artfynd/A 29560-2023 artfynd.xlsx", "A 29560-2023")</f>
        <v/>
      </c>
      <c r="T115">
        <f>HYPERLINK("https://klasma.github.io/Logging_1737/kartor/A 29560-2023 karta.png", "A 29560-2023")</f>
        <v/>
      </c>
      <c r="V115">
        <f>HYPERLINK("https://klasma.github.io/Logging_1737/klagomål/A 29560-2023 FSC-klagomål.docx", "A 29560-2023")</f>
        <v/>
      </c>
      <c r="W115">
        <f>HYPERLINK("https://klasma.github.io/Logging_1737/klagomålsmail/A 29560-2023 FSC-klagomål mail.docx", "A 29560-2023")</f>
        <v/>
      </c>
      <c r="X115">
        <f>HYPERLINK("https://klasma.github.io/Logging_1737/tillsyn/A 29560-2023 tillsynsbegäran.docx", "A 29560-2023")</f>
        <v/>
      </c>
      <c r="Y115">
        <f>HYPERLINK("https://klasma.github.io/Logging_1737/tillsynsmail/A 29560-2023 tillsynsbegäran mail.docx", "A 29560-2023")</f>
        <v/>
      </c>
    </row>
    <row r="116" ht="15" customHeight="1">
      <c r="A116" t="inlineStr">
        <is>
          <t>A 35809-2023</t>
        </is>
      </c>
      <c r="B116" s="1" t="n">
        <v>45147</v>
      </c>
      <c r="C116" s="1" t="n">
        <v>45265</v>
      </c>
      <c r="D116" t="inlineStr">
        <is>
          <t>VÄRMLANDS LÄN</t>
        </is>
      </c>
      <c r="E116" t="inlineStr">
        <is>
          <t>TORSBY</t>
        </is>
      </c>
      <c r="F116" t="inlineStr">
        <is>
          <t>Övriga statliga verk och myndigheter</t>
        </is>
      </c>
      <c r="G116" t="n">
        <v>7.2</v>
      </c>
      <c r="H116" t="n">
        <v>1</v>
      </c>
      <c r="I116" t="n">
        <v>0</v>
      </c>
      <c r="J116" t="n">
        <v>0</v>
      </c>
      <c r="K116" t="n">
        <v>0</v>
      </c>
      <c r="L116" t="n">
        <v>0</v>
      </c>
      <c r="M116" t="n">
        <v>0</v>
      </c>
      <c r="N116" t="n">
        <v>0</v>
      </c>
      <c r="O116" t="n">
        <v>0</v>
      </c>
      <c r="P116" t="n">
        <v>0</v>
      </c>
      <c r="Q116" t="n">
        <v>1</v>
      </c>
      <c r="R116" s="2" t="inlineStr">
        <is>
          <t>Fläcknycklar</t>
        </is>
      </c>
      <c r="S116">
        <f>HYPERLINK("https://klasma.github.io/Logging_1737/artfynd/A 35809-2023 artfynd.xlsx", "A 35809-2023")</f>
        <v/>
      </c>
      <c r="T116">
        <f>HYPERLINK("https://klasma.github.io/Logging_1737/kartor/A 35809-2023 karta.png", "A 35809-2023")</f>
        <v/>
      </c>
      <c r="V116">
        <f>HYPERLINK("https://klasma.github.io/Logging_1737/klagomål/A 35809-2023 FSC-klagomål.docx", "A 35809-2023")</f>
        <v/>
      </c>
      <c r="W116">
        <f>HYPERLINK("https://klasma.github.io/Logging_1737/klagomålsmail/A 35809-2023 FSC-klagomål mail.docx", "A 35809-2023")</f>
        <v/>
      </c>
      <c r="X116">
        <f>HYPERLINK("https://klasma.github.io/Logging_1737/tillsyn/A 35809-2023 tillsynsbegäran.docx", "A 35809-2023")</f>
        <v/>
      </c>
      <c r="Y116">
        <f>HYPERLINK("https://klasma.github.io/Logging_1737/tillsynsmail/A 35809-2023 tillsynsbegäran mail.docx", "A 35809-2023")</f>
        <v/>
      </c>
    </row>
    <row r="117" ht="15" customHeight="1">
      <c r="A117" t="inlineStr">
        <is>
          <t>A 39983-2023</t>
        </is>
      </c>
      <c r="B117" s="1" t="n">
        <v>45168</v>
      </c>
      <c r="C117" s="1" t="n">
        <v>45265</v>
      </c>
      <c r="D117" t="inlineStr">
        <is>
          <t>VÄRMLANDS LÄN</t>
        </is>
      </c>
      <c r="E117" t="inlineStr">
        <is>
          <t>TORSBY</t>
        </is>
      </c>
      <c r="G117" t="n">
        <v>17.2</v>
      </c>
      <c r="H117" t="n">
        <v>1</v>
      </c>
      <c r="I117" t="n">
        <v>0</v>
      </c>
      <c r="J117" t="n">
        <v>1</v>
      </c>
      <c r="K117" t="n">
        <v>0</v>
      </c>
      <c r="L117" t="n">
        <v>0</v>
      </c>
      <c r="M117" t="n">
        <v>0</v>
      </c>
      <c r="N117" t="n">
        <v>0</v>
      </c>
      <c r="O117" t="n">
        <v>1</v>
      </c>
      <c r="P117" t="n">
        <v>0</v>
      </c>
      <c r="Q117" t="n">
        <v>1</v>
      </c>
      <c r="R117" s="2" t="inlineStr">
        <is>
          <t>Kråka</t>
        </is>
      </c>
      <c r="S117">
        <f>HYPERLINK("https://klasma.github.io/Logging_1737/artfynd/A 39983-2023 artfynd.xlsx", "A 39983-2023")</f>
        <v/>
      </c>
      <c r="T117">
        <f>HYPERLINK("https://klasma.github.io/Logging_1737/kartor/A 39983-2023 karta.png", "A 39983-2023")</f>
        <v/>
      </c>
      <c r="V117">
        <f>HYPERLINK("https://klasma.github.io/Logging_1737/klagomål/A 39983-2023 FSC-klagomål.docx", "A 39983-2023")</f>
        <v/>
      </c>
      <c r="W117">
        <f>HYPERLINK("https://klasma.github.io/Logging_1737/klagomålsmail/A 39983-2023 FSC-klagomål mail.docx", "A 39983-2023")</f>
        <v/>
      </c>
      <c r="X117">
        <f>HYPERLINK("https://klasma.github.io/Logging_1737/tillsyn/A 39983-2023 tillsynsbegäran.docx", "A 39983-2023")</f>
        <v/>
      </c>
      <c r="Y117">
        <f>HYPERLINK("https://klasma.github.io/Logging_1737/tillsynsmail/A 39983-2023 tillsynsbegäran mail.docx", "A 39983-2023")</f>
        <v/>
      </c>
    </row>
    <row r="118" ht="15" customHeight="1">
      <c r="A118" t="inlineStr">
        <is>
          <t>A 46099-2023</t>
        </is>
      </c>
      <c r="B118" s="1" t="n">
        <v>45196</v>
      </c>
      <c r="C118" s="1" t="n">
        <v>45265</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49724-2023</t>
        </is>
      </c>
      <c r="B119" s="1" t="n">
        <v>45208</v>
      </c>
      <c r="C119" s="1" t="n">
        <v>45265</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57971-2023</t>
        </is>
      </c>
      <c r="B120" s="1" t="n">
        <v>45247</v>
      </c>
      <c r="C120" s="1" t="n">
        <v>45265</v>
      </c>
      <c r="D120" t="inlineStr">
        <is>
          <t>VÄRMLANDS LÄN</t>
        </is>
      </c>
      <c r="E120" t="inlineStr">
        <is>
          <t>TORSBY</t>
        </is>
      </c>
      <c r="G120" t="n">
        <v>12.4</v>
      </c>
      <c r="H120" t="n">
        <v>0</v>
      </c>
      <c r="I120" t="n">
        <v>0</v>
      </c>
      <c r="J120" t="n">
        <v>1</v>
      </c>
      <c r="K120" t="n">
        <v>0</v>
      </c>
      <c r="L120" t="n">
        <v>0</v>
      </c>
      <c r="M120" t="n">
        <v>0</v>
      </c>
      <c r="N120" t="n">
        <v>0</v>
      </c>
      <c r="O120" t="n">
        <v>1</v>
      </c>
      <c r="P120" t="n">
        <v>0</v>
      </c>
      <c r="Q120" t="n">
        <v>1</v>
      </c>
      <c r="R120" s="2" t="inlineStr">
        <is>
          <t>Garnlav</t>
        </is>
      </c>
      <c r="S120">
        <f>HYPERLINK("https://klasma.github.io/Logging_1737/artfynd/A 57971-2023 artfynd.xlsx", "A 57971-2023")</f>
        <v/>
      </c>
      <c r="T120">
        <f>HYPERLINK("https://klasma.github.io/Logging_1737/kartor/A 57971-2023 karta.png", "A 57971-2023")</f>
        <v/>
      </c>
      <c r="V120">
        <f>HYPERLINK("https://klasma.github.io/Logging_1737/klagomål/A 57971-2023 FSC-klagomål.docx", "A 57971-2023")</f>
        <v/>
      </c>
      <c r="W120">
        <f>HYPERLINK("https://klasma.github.io/Logging_1737/klagomålsmail/A 57971-2023 FSC-klagomål mail.docx", "A 57971-2023")</f>
        <v/>
      </c>
      <c r="X120">
        <f>HYPERLINK("https://klasma.github.io/Logging_1737/tillsyn/A 57971-2023 tillsynsbegäran.docx", "A 57971-2023")</f>
        <v/>
      </c>
      <c r="Y120">
        <f>HYPERLINK("https://klasma.github.io/Logging_1737/tillsynsmail/A 57971-2023 tillsynsbegäran mail.docx", "A 57971-2023")</f>
        <v/>
      </c>
    </row>
    <row r="121" ht="15" customHeight="1">
      <c r="A121" t="inlineStr">
        <is>
          <t>A 33955-2018</t>
        </is>
      </c>
      <c r="B121" s="1" t="n">
        <v>43314</v>
      </c>
      <c r="C121" s="1" t="n">
        <v>45265</v>
      </c>
      <c r="D121" t="inlineStr">
        <is>
          <t>VÄRMLANDS LÄN</t>
        </is>
      </c>
      <c r="E121" t="inlineStr">
        <is>
          <t>TORSBY</t>
        </is>
      </c>
      <c r="F121" t="inlineStr">
        <is>
          <t>Övriga Aktiebolag</t>
        </is>
      </c>
      <c r="G121" t="n">
        <v>4.6</v>
      </c>
      <c r="H121" t="n">
        <v>0</v>
      </c>
      <c r="I121" t="n">
        <v>0</v>
      </c>
      <c r="J121" t="n">
        <v>0</v>
      </c>
      <c r="K121" t="n">
        <v>0</v>
      </c>
      <c r="L121" t="n">
        <v>0</v>
      </c>
      <c r="M121" t="n">
        <v>0</v>
      </c>
      <c r="N121" t="n">
        <v>0</v>
      </c>
      <c r="O121" t="n">
        <v>0</v>
      </c>
      <c r="P121" t="n">
        <v>0</v>
      </c>
      <c r="Q121" t="n">
        <v>0</v>
      </c>
      <c r="R121" s="2" t="inlineStr"/>
    </row>
    <row r="122" ht="15" customHeight="1">
      <c r="A122" t="inlineStr">
        <is>
          <t>A 34562-2018</t>
        </is>
      </c>
      <c r="B122" s="1" t="n">
        <v>43320</v>
      </c>
      <c r="C122" s="1" t="n">
        <v>45265</v>
      </c>
      <c r="D122" t="inlineStr">
        <is>
          <t>VÄRMLANDS LÄN</t>
        </is>
      </c>
      <c r="E122" t="inlineStr">
        <is>
          <t>TORSBY</t>
        </is>
      </c>
      <c r="F122" t="inlineStr">
        <is>
          <t>Kyrkan</t>
        </is>
      </c>
      <c r="G122" t="n">
        <v>3.2</v>
      </c>
      <c r="H122" t="n">
        <v>0</v>
      </c>
      <c r="I122" t="n">
        <v>0</v>
      </c>
      <c r="J122" t="n">
        <v>0</v>
      </c>
      <c r="K122" t="n">
        <v>0</v>
      </c>
      <c r="L122" t="n">
        <v>0</v>
      </c>
      <c r="M122" t="n">
        <v>0</v>
      </c>
      <c r="N122" t="n">
        <v>0</v>
      </c>
      <c r="O122" t="n">
        <v>0</v>
      </c>
      <c r="P122" t="n">
        <v>0</v>
      </c>
      <c r="Q122" t="n">
        <v>0</v>
      </c>
      <c r="R122" s="2" t="inlineStr"/>
    </row>
    <row r="123" ht="15" customHeight="1">
      <c r="A123" t="inlineStr">
        <is>
          <t>A 35617-2018</t>
        </is>
      </c>
      <c r="B123" s="1" t="n">
        <v>43322</v>
      </c>
      <c r="C123" s="1" t="n">
        <v>45265</v>
      </c>
      <c r="D123" t="inlineStr">
        <is>
          <t>VÄRMLANDS LÄN</t>
        </is>
      </c>
      <c r="E123" t="inlineStr">
        <is>
          <t>TORSBY</t>
        </is>
      </c>
      <c r="G123" t="n">
        <v>1.9</v>
      </c>
      <c r="H123" t="n">
        <v>0</v>
      </c>
      <c r="I123" t="n">
        <v>0</v>
      </c>
      <c r="J123" t="n">
        <v>0</v>
      </c>
      <c r="K123" t="n">
        <v>0</v>
      </c>
      <c r="L123" t="n">
        <v>0</v>
      </c>
      <c r="M123" t="n">
        <v>0</v>
      </c>
      <c r="N123" t="n">
        <v>0</v>
      </c>
      <c r="O123" t="n">
        <v>0</v>
      </c>
      <c r="P123" t="n">
        <v>0</v>
      </c>
      <c r="Q123" t="n">
        <v>0</v>
      </c>
      <c r="R123" s="2" t="inlineStr"/>
    </row>
    <row r="124" ht="15" customHeight="1">
      <c r="A124" t="inlineStr">
        <is>
          <t>A 35622-2018</t>
        </is>
      </c>
      <c r="B124" s="1" t="n">
        <v>43322</v>
      </c>
      <c r="C124" s="1" t="n">
        <v>45265</v>
      </c>
      <c r="D124" t="inlineStr">
        <is>
          <t>VÄRMLANDS LÄN</t>
        </is>
      </c>
      <c r="E124" t="inlineStr">
        <is>
          <t>TORSBY</t>
        </is>
      </c>
      <c r="G124" t="n">
        <v>5</v>
      </c>
      <c r="H124" t="n">
        <v>0</v>
      </c>
      <c r="I124" t="n">
        <v>0</v>
      </c>
      <c r="J124" t="n">
        <v>0</v>
      </c>
      <c r="K124" t="n">
        <v>0</v>
      </c>
      <c r="L124" t="n">
        <v>0</v>
      </c>
      <c r="M124" t="n">
        <v>0</v>
      </c>
      <c r="N124" t="n">
        <v>0</v>
      </c>
      <c r="O124" t="n">
        <v>0</v>
      </c>
      <c r="P124" t="n">
        <v>0</v>
      </c>
      <c r="Q124" t="n">
        <v>0</v>
      </c>
      <c r="R124" s="2" t="inlineStr"/>
    </row>
    <row r="125" ht="15" customHeight="1">
      <c r="A125" t="inlineStr">
        <is>
          <t>A 36166-2018</t>
        </is>
      </c>
      <c r="B125" s="1" t="n">
        <v>43328</v>
      </c>
      <c r="C125" s="1" t="n">
        <v>45265</v>
      </c>
      <c r="D125" t="inlineStr">
        <is>
          <t>VÄRMLANDS LÄN</t>
        </is>
      </c>
      <c r="E125" t="inlineStr">
        <is>
          <t>TORSBY</t>
        </is>
      </c>
      <c r="G125" t="n">
        <v>2.8</v>
      </c>
      <c r="H125" t="n">
        <v>0</v>
      </c>
      <c r="I125" t="n">
        <v>0</v>
      </c>
      <c r="J125" t="n">
        <v>0</v>
      </c>
      <c r="K125" t="n">
        <v>0</v>
      </c>
      <c r="L125" t="n">
        <v>0</v>
      </c>
      <c r="M125" t="n">
        <v>0</v>
      </c>
      <c r="N125" t="n">
        <v>0</v>
      </c>
      <c r="O125" t="n">
        <v>0</v>
      </c>
      <c r="P125" t="n">
        <v>0</v>
      </c>
      <c r="Q125" t="n">
        <v>0</v>
      </c>
      <c r="R125" s="2" t="inlineStr"/>
    </row>
    <row r="126" ht="15" customHeight="1">
      <c r="A126" t="inlineStr">
        <is>
          <t>A 36930-2018</t>
        </is>
      </c>
      <c r="B126" s="1" t="n">
        <v>43332</v>
      </c>
      <c r="C126" s="1" t="n">
        <v>45265</v>
      </c>
      <c r="D126" t="inlineStr">
        <is>
          <t>VÄRMLANDS LÄN</t>
        </is>
      </c>
      <c r="E126" t="inlineStr">
        <is>
          <t>TORSBY</t>
        </is>
      </c>
      <c r="G126" t="n">
        <v>4.7</v>
      </c>
      <c r="H126" t="n">
        <v>0</v>
      </c>
      <c r="I126" t="n">
        <v>0</v>
      </c>
      <c r="J126" t="n">
        <v>0</v>
      </c>
      <c r="K126" t="n">
        <v>0</v>
      </c>
      <c r="L126" t="n">
        <v>0</v>
      </c>
      <c r="M126" t="n">
        <v>0</v>
      </c>
      <c r="N126" t="n">
        <v>0</v>
      </c>
      <c r="O126" t="n">
        <v>0</v>
      </c>
      <c r="P126" t="n">
        <v>0</v>
      </c>
      <c r="Q126" t="n">
        <v>0</v>
      </c>
      <c r="R126" s="2" t="inlineStr"/>
    </row>
    <row r="127" ht="15" customHeight="1">
      <c r="A127" t="inlineStr">
        <is>
          <t>A 37710-2018</t>
        </is>
      </c>
      <c r="B127" s="1" t="n">
        <v>43332</v>
      </c>
      <c r="C127" s="1" t="n">
        <v>45265</v>
      </c>
      <c r="D127" t="inlineStr">
        <is>
          <t>VÄRMLANDS LÄN</t>
        </is>
      </c>
      <c r="E127" t="inlineStr">
        <is>
          <t>TORSBY</t>
        </is>
      </c>
      <c r="G127" t="n">
        <v>2.3</v>
      </c>
      <c r="H127" t="n">
        <v>0</v>
      </c>
      <c r="I127" t="n">
        <v>0</v>
      </c>
      <c r="J127" t="n">
        <v>0</v>
      </c>
      <c r="K127" t="n">
        <v>0</v>
      </c>
      <c r="L127" t="n">
        <v>0</v>
      </c>
      <c r="M127" t="n">
        <v>0</v>
      </c>
      <c r="N127" t="n">
        <v>0</v>
      </c>
      <c r="O127" t="n">
        <v>0</v>
      </c>
      <c r="P127" t="n">
        <v>0</v>
      </c>
      <c r="Q127" t="n">
        <v>0</v>
      </c>
      <c r="R127" s="2" t="inlineStr"/>
    </row>
    <row r="128" ht="15" customHeight="1">
      <c r="A128" t="inlineStr">
        <is>
          <t>A 38737-2018</t>
        </is>
      </c>
      <c r="B128" s="1" t="n">
        <v>43336</v>
      </c>
      <c r="C128" s="1" t="n">
        <v>45265</v>
      </c>
      <c r="D128" t="inlineStr">
        <is>
          <t>VÄRMLANDS LÄN</t>
        </is>
      </c>
      <c r="E128" t="inlineStr">
        <is>
          <t>TORSBY</t>
        </is>
      </c>
      <c r="G128" t="n">
        <v>1.5</v>
      </c>
      <c r="H128" t="n">
        <v>0</v>
      </c>
      <c r="I128" t="n">
        <v>0</v>
      </c>
      <c r="J128" t="n">
        <v>0</v>
      </c>
      <c r="K128" t="n">
        <v>0</v>
      </c>
      <c r="L128" t="n">
        <v>0</v>
      </c>
      <c r="M128" t="n">
        <v>0</v>
      </c>
      <c r="N128" t="n">
        <v>0</v>
      </c>
      <c r="O128" t="n">
        <v>0</v>
      </c>
      <c r="P128" t="n">
        <v>0</v>
      </c>
      <c r="Q128" t="n">
        <v>0</v>
      </c>
      <c r="R128" s="2" t="inlineStr"/>
    </row>
    <row r="129" ht="15" customHeight="1">
      <c r="A129" t="inlineStr">
        <is>
          <t>A 38826-2018</t>
        </is>
      </c>
      <c r="B129" s="1" t="n">
        <v>43340</v>
      </c>
      <c r="C129" s="1" t="n">
        <v>45265</v>
      </c>
      <c r="D129" t="inlineStr">
        <is>
          <t>VÄRMLANDS LÄN</t>
        </is>
      </c>
      <c r="E129" t="inlineStr">
        <is>
          <t>TORSBY</t>
        </is>
      </c>
      <c r="G129" t="n">
        <v>1.6</v>
      </c>
      <c r="H129" t="n">
        <v>0</v>
      </c>
      <c r="I129" t="n">
        <v>0</v>
      </c>
      <c r="J129" t="n">
        <v>0</v>
      </c>
      <c r="K129" t="n">
        <v>0</v>
      </c>
      <c r="L129" t="n">
        <v>0</v>
      </c>
      <c r="M129" t="n">
        <v>0</v>
      </c>
      <c r="N129" t="n">
        <v>0</v>
      </c>
      <c r="O129" t="n">
        <v>0</v>
      </c>
      <c r="P129" t="n">
        <v>0</v>
      </c>
      <c r="Q129" t="n">
        <v>0</v>
      </c>
      <c r="R129" s="2" t="inlineStr"/>
    </row>
    <row r="130" ht="15" customHeight="1">
      <c r="A130" t="inlineStr">
        <is>
          <t>A 39326-2018</t>
        </is>
      </c>
      <c r="B130" s="1" t="n">
        <v>43341</v>
      </c>
      <c r="C130" s="1" t="n">
        <v>45265</v>
      </c>
      <c r="D130" t="inlineStr">
        <is>
          <t>VÄRMLANDS LÄN</t>
        </is>
      </c>
      <c r="E130" t="inlineStr">
        <is>
          <t>TORSBY</t>
        </is>
      </c>
      <c r="G130" t="n">
        <v>4.2</v>
      </c>
      <c r="H130" t="n">
        <v>0</v>
      </c>
      <c r="I130" t="n">
        <v>0</v>
      </c>
      <c r="J130" t="n">
        <v>0</v>
      </c>
      <c r="K130" t="n">
        <v>0</v>
      </c>
      <c r="L130" t="n">
        <v>0</v>
      </c>
      <c r="M130" t="n">
        <v>0</v>
      </c>
      <c r="N130" t="n">
        <v>0</v>
      </c>
      <c r="O130" t="n">
        <v>0</v>
      </c>
      <c r="P130" t="n">
        <v>0</v>
      </c>
      <c r="Q130" t="n">
        <v>0</v>
      </c>
      <c r="R130" s="2" t="inlineStr"/>
    </row>
    <row r="131" ht="15" customHeight="1">
      <c r="A131" t="inlineStr">
        <is>
          <t>A 40815-2018</t>
        </is>
      </c>
      <c r="B131" s="1" t="n">
        <v>43346</v>
      </c>
      <c r="C131" s="1" t="n">
        <v>45265</v>
      </c>
      <c r="D131" t="inlineStr">
        <is>
          <t>VÄRMLANDS LÄN</t>
        </is>
      </c>
      <c r="E131" t="inlineStr">
        <is>
          <t>TORSBY</t>
        </is>
      </c>
      <c r="G131" t="n">
        <v>3.3</v>
      </c>
      <c r="H131" t="n">
        <v>0</v>
      </c>
      <c r="I131" t="n">
        <v>0</v>
      </c>
      <c r="J131" t="n">
        <v>0</v>
      </c>
      <c r="K131" t="n">
        <v>0</v>
      </c>
      <c r="L131" t="n">
        <v>0</v>
      </c>
      <c r="M131" t="n">
        <v>0</v>
      </c>
      <c r="N131" t="n">
        <v>0</v>
      </c>
      <c r="O131" t="n">
        <v>0</v>
      </c>
      <c r="P131" t="n">
        <v>0</v>
      </c>
      <c r="Q131" t="n">
        <v>0</v>
      </c>
      <c r="R131" s="2" t="inlineStr"/>
    </row>
    <row r="132" ht="15" customHeight="1">
      <c r="A132" t="inlineStr">
        <is>
          <t>A 40853-2018</t>
        </is>
      </c>
      <c r="B132" s="1" t="n">
        <v>43346</v>
      </c>
      <c r="C132" s="1" t="n">
        <v>45265</v>
      </c>
      <c r="D132" t="inlineStr">
        <is>
          <t>VÄRMLANDS LÄN</t>
        </is>
      </c>
      <c r="E132" t="inlineStr">
        <is>
          <t>TORSBY</t>
        </is>
      </c>
      <c r="G132" t="n">
        <v>1.5</v>
      </c>
      <c r="H132" t="n">
        <v>0</v>
      </c>
      <c r="I132" t="n">
        <v>0</v>
      </c>
      <c r="J132" t="n">
        <v>0</v>
      </c>
      <c r="K132" t="n">
        <v>0</v>
      </c>
      <c r="L132" t="n">
        <v>0</v>
      </c>
      <c r="M132" t="n">
        <v>0</v>
      </c>
      <c r="N132" t="n">
        <v>0</v>
      </c>
      <c r="O132" t="n">
        <v>0</v>
      </c>
      <c r="P132" t="n">
        <v>0</v>
      </c>
      <c r="Q132" t="n">
        <v>0</v>
      </c>
      <c r="R132" s="2" t="inlineStr"/>
    </row>
    <row r="133" ht="15" customHeight="1">
      <c r="A133" t="inlineStr">
        <is>
          <t>A 40838-2018</t>
        </is>
      </c>
      <c r="B133" s="1" t="n">
        <v>43346</v>
      </c>
      <c r="C133" s="1" t="n">
        <v>45265</v>
      </c>
      <c r="D133" t="inlineStr">
        <is>
          <t>VÄRMLANDS LÄN</t>
        </is>
      </c>
      <c r="E133" t="inlineStr">
        <is>
          <t>TORSBY</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41074-2018</t>
        </is>
      </c>
      <c r="B134" s="1" t="n">
        <v>43348</v>
      </c>
      <c r="C134" s="1" t="n">
        <v>45265</v>
      </c>
      <c r="D134" t="inlineStr">
        <is>
          <t>VÄRMLANDS LÄN</t>
        </is>
      </c>
      <c r="E134" t="inlineStr">
        <is>
          <t>TORSBY</t>
        </is>
      </c>
      <c r="G134" t="n">
        <v>2.5</v>
      </c>
      <c r="H134" t="n">
        <v>0</v>
      </c>
      <c r="I134" t="n">
        <v>0</v>
      </c>
      <c r="J134" t="n">
        <v>0</v>
      </c>
      <c r="K134" t="n">
        <v>0</v>
      </c>
      <c r="L134" t="n">
        <v>0</v>
      </c>
      <c r="M134" t="n">
        <v>0</v>
      </c>
      <c r="N134" t="n">
        <v>0</v>
      </c>
      <c r="O134" t="n">
        <v>0</v>
      </c>
      <c r="P134" t="n">
        <v>0</v>
      </c>
      <c r="Q134" t="n">
        <v>0</v>
      </c>
      <c r="R134" s="2" t="inlineStr"/>
    </row>
    <row r="135" ht="15" customHeight="1">
      <c r="A135" t="inlineStr">
        <is>
          <t>A 42545-2018</t>
        </is>
      </c>
      <c r="B135" s="1" t="n">
        <v>43350</v>
      </c>
      <c r="C135" s="1" t="n">
        <v>45265</v>
      </c>
      <c r="D135" t="inlineStr">
        <is>
          <t>VÄRMLANDS LÄN</t>
        </is>
      </c>
      <c r="E135" t="inlineStr">
        <is>
          <t>TORSBY</t>
        </is>
      </c>
      <c r="G135" t="n">
        <v>3.2</v>
      </c>
      <c r="H135" t="n">
        <v>0</v>
      </c>
      <c r="I135" t="n">
        <v>0</v>
      </c>
      <c r="J135" t="n">
        <v>0</v>
      </c>
      <c r="K135" t="n">
        <v>0</v>
      </c>
      <c r="L135" t="n">
        <v>0</v>
      </c>
      <c r="M135" t="n">
        <v>0</v>
      </c>
      <c r="N135" t="n">
        <v>0</v>
      </c>
      <c r="O135" t="n">
        <v>0</v>
      </c>
      <c r="P135" t="n">
        <v>0</v>
      </c>
      <c r="Q135" t="n">
        <v>0</v>
      </c>
      <c r="R135" s="2" t="inlineStr"/>
    </row>
    <row r="136" ht="15" customHeight="1">
      <c r="A136" t="inlineStr">
        <is>
          <t>A 45097-2018</t>
        </is>
      </c>
      <c r="B136" s="1" t="n">
        <v>43361</v>
      </c>
      <c r="C136" s="1" t="n">
        <v>45265</v>
      </c>
      <c r="D136" t="inlineStr">
        <is>
          <t>VÄRMLANDS LÄN</t>
        </is>
      </c>
      <c r="E136" t="inlineStr">
        <is>
          <t>TORSBY</t>
        </is>
      </c>
      <c r="F136" t="inlineStr">
        <is>
          <t>Kyrkan</t>
        </is>
      </c>
      <c r="G136" t="n">
        <v>15.1</v>
      </c>
      <c r="H136" t="n">
        <v>0</v>
      </c>
      <c r="I136" t="n">
        <v>0</v>
      </c>
      <c r="J136" t="n">
        <v>0</v>
      </c>
      <c r="K136" t="n">
        <v>0</v>
      </c>
      <c r="L136" t="n">
        <v>0</v>
      </c>
      <c r="M136" t="n">
        <v>0</v>
      </c>
      <c r="N136" t="n">
        <v>0</v>
      </c>
      <c r="O136" t="n">
        <v>0</v>
      </c>
      <c r="P136" t="n">
        <v>0</v>
      </c>
      <c r="Q136" t="n">
        <v>0</v>
      </c>
      <c r="R136" s="2" t="inlineStr"/>
    </row>
    <row r="137" ht="15" customHeight="1">
      <c r="A137" t="inlineStr">
        <is>
          <t>A 46575-2018</t>
        </is>
      </c>
      <c r="B137" s="1" t="n">
        <v>43363</v>
      </c>
      <c r="C137" s="1" t="n">
        <v>45265</v>
      </c>
      <c r="D137" t="inlineStr">
        <is>
          <t>VÄRMLANDS LÄN</t>
        </is>
      </c>
      <c r="E137" t="inlineStr">
        <is>
          <t>TORSBY</t>
        </is>
      </c>
      <c r="G137" t="n">
        <v>2.6</v>
      </c>
      <c r="H137" t="n">
        <v>0</v>
      </c>
      <c r="I137" t="n">
        <v>0</v>
      </c>
      <c r="J137" t="n">
        <v>0</v>
      </c>
      <c r="K137" t="n">
        <v>0</v>
      </c>
      <c r="L137" t="n">
        <v>0</v>
      </c>
      <c r="M137" t="n">
        <v>0</v>
      </c>
      <c r="N137" t="n">
        <v>0</v>
      </c>
      <c r="O137" t="n">
        <v>0</v>
      </c>
      <c r="P137" t="n">
        <v>0</v>
      </c>
      <c r="Q137" t="n">
        <v>0</v>
      </c>
      <c r="R137" s="2" t="inlineStr"/>
    </row>
    <row r="138" ht="15" customHeight="1">
      <c r="A138" t="inlineStr">
        <is>
          <t>A 46565-2018</t>
        </is>
      </c>
      <c r="B138" s="1" t="n">
        <v>43363</v>
      </c>
      <c r="C138" s="1" t="n">
        <v>45265</v>
      </c>
      <c r="D138" t="inlineStr">
        <is>
          <t>VÄRMLANDS LÄN</t>
        </is>
      </c>
      <c r="E138" t="inlineStr">
        <is>
          <t>TORSBY</t>
        </is>
      </c>
      <c r="G138" t="n">
        <v>8.6</v>
      </c>
      <c r="H138" t="n">
        <v>0</v>
      </c>
      <c r="I138" t="n">
        <v>0</v>
      </c>
      <c r="J138" t="n">
        <v>0</v>
      </c>
      <c r="K138" t="n">
        <v>0</v>
      </c>
      <c r="L138" t="n">
        <v>0</v>
      </c>
      <c r="M138" t="n">
        <v>0</v>
      </c>
      <c r="N138" t="n">
        <v>0</v>
      </c>
      <c r="O138" t="n">
        <v>0</v>
      </c>
      <c r="P138" t="n">
        <v>0</v>
      </c>
      <c r="Q138" t="n">
        <v>0</v>
      </c>
      <c r="R138" s="2" t="inlineStr"/>
    </row>
    <row r="139" ht="15" customHeight="1">
      <c r="A139" t="inlineStr">
        <is>
          <t>A 46310-2018</t>
        </is>
      </c>
      <c r="B139" s="1" t="n">
        <v>43364</v>
      </c>
      <c r="C139" s="1" t="n">
        <v>45265</v>
      </c>
      <c r="D139" t="inlineStr">
        <is>
          <t>VÄRMLANDS LÄN</t>
        </is>
      </c>
      <c r="E139" t="inlineStr">
        <is>
          <t>TORSBY</t>
        </is>
      </c>
      <c r="G139" t="n">
        <v>0.5</v>
      </c>
      <c r="H139" t="n">
        <v>0</v>
      </c>
      <c r="I139" t="n">
        <v>0</v>
      </c>
      <c r="J139" t="n">
        <v>0</v>
      </c>
      <c r="K139" t="n">
        <v>0</v>
      </c>
      <c r="L139" t="n">
        <v>0</v>
      </c>
      <c r="M139" t="n">
        <v>0</v>
      </c>
      <c r="N139" t="n">
        <v>0</v>
      </c>
      <c r="O139" t="n">
        <v>0</v>
      </c>
      <c r="P139" t="n">
        <v>0</v>
      </c>
      <c r="Q139" t="n">
        <v>0</v>
      </c>
      <c r="R139" s="2" t="inlineStr"/>
    </row>
    <row r="140" ht="15" customHeight="1">
      <c r="A140" t="inlineStr">
        <is>
          <t>A 46261-2018</t>
        </is>
      </c>
      <c r="B140" s="1" t="n">
        <v>43364</v>
      </c>
      <c r="C140" s="1" t="n">
        <v>45265</v>
      </c>
      <c r="D140" t="inlineStr">
        <is>
          <t>VÄRMLANDS LÄN</t>
        </is>
      </c>
      <c r="E140" t="inlineStr">
        <is>
          <t>TORSBY</t>
        </is>
      </c>
      <c r="G140" t="n">
        <v>0.9</v>
      </c>
      <c r="H140" t="n">
        <v>0</v>
      </c>
      <c r="I140" t="n">
        <v>0</v>
      </c>
      <c r="J140" t="n">
        <v>0</v>
      </c>
      <c r="K140" t="n">
        <v>0</v>
      </c>
      <c r="L140" t="n">
        <v>0</v>
      </c>
      <c r="M140" t="n">
        <v>0</v>
      </c>
      <c r="N140" t="n">
        <v>0</v>
      </c>
      <c r="O140" t="n">
        <v>0</v>
      </c>
      <c r="P140" t="n">
        <v>0</v>
      </c>
      <c r="Q140" t="n">
        <v>0</v>
      </c>
      <c r="R140" s="2" t="inlineStr"/>
    </row>
    <row r="141" ht="15" customHeight="1">
      <c r="A141" t="inlineStr">
        <is>
          <t>A 46265-2018</t>
        </is>
      </c>
      <c r="B141" s="1" t="n">
        <v>43364</v>
      </c>
      <c r="C141" s="1" t="n">
        <v>45265</v>
      </c>
      <c r="D141" t="inlineStr">
        <is>
          <t>VÄRMLANDS LÄN</t>
        </is>
      </c>
      <c r="E141" t="inlineStr">
        <is>
          <t>TORSBY</t>
        </is>
      </c>
      <c r="G141" t="n">
        <v>1.4</v>
      </c>
      <c r="H141" t="n">
        <v>0</v>
      </c>
      <c r="I141" t="n">
        <v>0</v>
      </c>
      <c r="J141" t="n">
        <v>0</v>
      </c>
      <c r="K141" t="n">
        <v>0</v>
      </c>
      <c r="L141" t="n">
        <v>0</v>
      </c>
      <c r="M141" t="n">
        <v>0</v>
      </c>
      <c r="N141" t="n">
        <v>0</v>
      </c>
      <c r="O141" t="n">
        <v>0</v>
      </c>
      <c r="P141" t="n">
        <v>0</v>
      </c>
      <c r="Q141" t="n">
        <v>0</v>
      </c>
      <c r="R141" s="2" t="inlineStr"/>
    </row>
    <row r="142" ht="15" customHeight="1">
      <c r="A142" t="inlineStr">
        <is>
          <t>A 46300-2018</t>
        </is>
      </c>
      <c r="B142" s="1" t="n">
        <v>43364</v>
      </c>
      <c r="C142" s="1" t="n">
        <v>45265</v>
      </c>
      <c r="D142" t="inlineStr">
        <is>
          <t>VÄRMLANDS LÄN</t>
        </is>
      </c>
      <c r="E142" t="inlineStr">
        <is>
          <t>TORSBY</t>
        </is>
      </c>
      <c r="G142" t="n">
        <v>2</v>
      </c>
      <c r="H142" t="n">
        <v>0</v>
      </c>
      <c r="I142" t="n">
        <v>0</v>
      </c>
      <c r="J142" t="n">
        <v>0</v>
      </c>
      <c r="K142" t="n">
        <v>0</v>
      </c>
      <c r="L142" t="n">
        <v>0</v>
      </c>
      <c r="M142" t="n">
        <v>0</v>
      </c>
      <c r="N142" t="n">
        <v>0</v>
      </c>
      <c r="O142" t="n">
        <v>0</v>
      </c>
      <c r="P142" t="n">
        <v>0</v>
      </c>
      <c r="Q142" t="n">
        <v>0</v>
      </c>
      <c r="R142" s="2" t="inlineStr"/>
    </row>
    <row r="143" ht="15" customHeight="1">
      <c r="A143" t="inlineStr">
        <is>
          <t>A 46270-2018</t>
        </is>
      </c>
      <c r="B143" s="1" t="n">
        <v>43364</v>
      </c>
      <c r="C143" s="1" t="n">
        <v>45265</v>
      </c>
      <c r="D143" t="inlineStr">
        <is>
          <t>VÄRMLANDS LÄN</t>
        </is>
      </c>
      <c r="E143" t="inlineStr">
        <is>
          <t>TORSBY</t>
        </is>
      </c>
      <c r="G143" t="n">
        <v>3.4</v>
      </c>
      <c r="H143" t="n">
        <v>0</v>
      </c>
      <c r="I143" t="n">
        <v>0</v>
      </c>
      <c r="J143" t="n">
        <v>0</v>
      </c>
      <c r="K143" t="n">
        <v>0</v>
      </c>
      <c r="L143" t="n">
        <v>0</v>
      </c>
      <c r="M143" t="n">
        <v>0</v>
      </c>
      <c r="N143" t="n">
        <v>0</v>
      </c>
      <c r="O143" t="n">
        <v>0</v>
      </c>
      <c r="P143" t="n">
        <v>0</v>
      </c>
      <c r="Q143" t="n">
        <v>0</v>
      </c>
      <c r="R143" s="2" t="inlineStr"/>
    </row>
    <row r="144" ht="15" customHeight="1">
      <c r="A144" t="inlineStr">
        <is>
          <t>A 46319-2018</t>
        </is>
      </c>
      <c r="B144" s="1" t="n">
        <v>43364</v>
      </c>
      <c r="C144" s="1" t="n">
        <v>45265</v>
      </c>
      <c r="D144" t="inlineStr">
        <is>
          <t>VÄRMLANDS LÄN</t>
        </is>
      </c>
      <c r="E144" t="inlineStr">
        <is>
          <t>TORSBY</t>
        </is>
      </c>
      <c r="G144" t="n">
        <v>6.5</v>
      </c>
      <c r="H144" t="n">
        <v>0</v>
      </c>
      <c r="I144" t="n">
        <v>0</v>
      </c>
      <c r="J144" t="n">
        <v>0</v>
      </c>
      <c r="K144" t="n">
        <v>0</v>
      </c>
      <c r="L144" t="n">
        <v>0</v>
      </c>
      <c r="M144" t="n">
        <v>0</v>
      </c>
      <c r="N144" t="n">
        <v>0</v>
      </c>
      <c r="O144" t="n">
        <v>0</v>
      </c>
      <c r="P144" t="n">
        <v>0</v>
      </c>
      <c r="Q144" t="n">
        <v>0</v>
      </c>
      <c r="R144" s="2" t="inlineStr"/>
    </row>
    <row r="145" ht="15" customHeight="1">
      <c r="A145" t="inlineStr">
        <is>
          <t>A 47569-2018</t>
        </is>
      </c>
      <c r="B145" s="1" t="n">
        <v>43368</v>
      </c>
      <c r="C145" s="1" t="n">
        <v>45265</v>
      </c>
      <c r="D145" t="inlineStr">
        <is>
          <t>VÄRMLANDS LÄN</t>
        </is>
      </c>
      <c r="E145" t="inlineStr">
        <is>
          <t>TORSBY</t>
        </is>
      </c>
      <c r="G145" t="n">
        <v>2.7</v>
      </c>
      <c r="H145" t="n">
        <v>0</v>
      </c>
      <c r="I145" t="n">
        <v>0</v>
      </c>
      <c r="J145" t="n">
        <v>0</v>
      </c>
      <c r="K145" t="n">
        <v>0</v>
      </c>
      <c r="L145" t="n">
        <v>0</v>
      </c>
      <c r="M145" t="n">
        <v>0</v>
      </c>
      <c r="N145" t="n">
        <v>0</v>
      </c>
      <c r="O145" t="n">
        <v>0</v>
      </c>
      <c r="P145" t="n">
        <v>0</v>
      </c>
      <c r="Q145" t="n">
        <v>0</v>
      </c>
      <c r="R145" s="2" t="inlineStr"/>
    </row>
    <row r="146" ht="15" customHeight="1">
      <c r="A146" t="inlineStr">
        <is>
          <t>A 48932-2018</t>
        </is>
      </c>
      <c r="B146" s="1" t="n">
        <v>43371</v>
      </c>
      <c r="C146" s="1" t="n">
        <v>45265</v>
      </c>
      <c r="D146" t="inlineStr">
        <is>
          <t>VÄRMLANDS LÄN</t>
        </is>
      </c>
      <c r="E146" t="inlineStr">
        <is>
          <t>TORSBY</t>
        </is>
      </c>
      <c r="G146" t="n">
        <v>1.8</v>
      </c>
      <c r="H146" t="n">
        <v>0</v>
      </c>
      <c r="I146" t="n">
        <v>0</v>
      </c>
      <c r="J146" t="n">
        <v>0</v>
      </c>
      <c r="K146" t="n">
        <v>0</v>
      </c>
      <c r="L146" t="n">
        <v>0</v>
      </c>
      <c r="M146" t="n">
        <v>0</v>
      </c>
      <c r="N146" t="n">
        <v>0</v>
      </c>
      <c r="O146" t="n">
        <v>0</v>
      </c>
      <c r="P146" t="n">
        <v>0</v>
      </c>
      <c r="Q146" t="n">
        <v>0</v>
      </c>
      <c r="R146" s="2" t="inlineStr"/>
    </row>
    <row r="147" ht="15" customHeight="1">
      <c r="A147" t="inlineStr">
        <is>
          <t>A 48773-2018</t>
        </is>
      </c>
      <c r="B147" s="1" t="n">
        <v>43374</v>
      </c>
      <c r="C147" s="1" t="n">
        <v>45265</v>
      </c>
      <c r="D147" t="inlineStr">
        <is>
          <t>VÄRMLANDS LÄN</t>
        </is>
      </c>
      <c r="E147" t="inlineStr">
        <is>
          <t>TORSBY</t>
        </is>
      </c>
      <c r="G147" t="n">
        <v>3.8</v>
      </c>
      <c r="H147" t="n">
        <v>0</v>
      </c>
      <c r="I147" t="n">
        <v>0</v>
      </c>
      <c r="J147" t="n">
        <v>0</v>
      </c>
      <c r="K147" t="n">
        <v>0</v>
      </c>
      <c r="L147" t="n">
        <v>0</v>
      </c>
      <c r="M147" t="n">
        <v>0</v>
      </c>
      <c r="N147" t="n">
        <v>0</v>
      </c>
      <c r="O147" t="n">
        <v>0</v>
      </c>
      <c r="P147" t="n">
        <v>0</v>
      </c>
      <c r="Q147" t="n">
        <v>0</v>
      </c>
      <c r="R147" s="2" t="inlineStr"/>
    </row>
    <row r="148" ht="15" customHeight="1">
      <c r="A148" t="inlineStr">
        <is>
          <t>A 48718-2018</t>
        </is>
      </c>
      <c r="B148" s="1" t="n">
        <v>43374</v>
      </c>
      <c r="C148" s="1" t="n">
        <v>45265</v>
      </c>
      <c r="D148" t="inlineStr">
        <is>
          <t>VÄRMLANDS LÄN</t>
        </is>
      </c>
      <c r="E148" t="inlineStr">
        <is>
          <t>TORSBY</t>
        </is>
      </c>
      <c r="G148" t="n">
        <v>1.3</v>
      </c>
      <c r="H148" t="n">
        <v>0</v>
      </c>
      <c r="I148" t="n">
        <v>0</v>
      </c>
      <c r="J148" t="n">
        <v>0</v>
      </c>
      <c r="K148" t="n">
        <v>0</v>
      </c>
      <c r="L148" t="n">
        <v>0</v>
      </c>
      <c r="M148" t="n">
        <v>0</v>
      </c>
      <c r="N148" t="n">
        <v>0</v>
      </c>
      <c r="O148" t="n">
        <v>0</v>
      </c>
      <c r="P148" t="n">
        <v>0</v>
      </c>
      <c r="Q148" t="n">
        <v>0</v>
      </c>
      <c r="R148" s="2" t="inlineStr"/>
    </row>
    <row r="149" ht="15" customHeight="1">
      <c r="A149" t="inlineStr">
        <is>
          <t>A 49075-2018</t>
        </is>
      </c>
      <c r="B149" s="1" t="n">
        <v>43375</v>
      </c>
      <c r="C149" s="1" t="n">
        <v>45265</v>
      </c>
      <c r="D149" t="inlineStr">
        <is>
          <t>VÄRMLANDS LÄN</t>
        </is>
      </c>
      <c r="E149" t="inlineStr">
        <is>
          <t>TORSBY</t>
        </is>
      </c>
      <c r="G149" t="n">
        <v>3.7</v>
      </c>
      <c r="H149" t="n">
        <v>0</v>
      </c>
      <c r="I149" t="n">
        <v>0</v>
      </c>
      <c r="J149" t="n">
        <v>0</v>
      </c>
      <c r="K149" t="n">
        <v>0</v>
      </c>
      <c r="L149" t="n">
        <v>0</v>
      </c>
      <c r="M149" t="n">
        <v>0</v>
      </c>
      <c r="N149" t="n">
        <v>0</v>
      </c>
      <c r="O149" t="n">
        <v>0</v>
      </c>
      <c r="P149" t="n">
        <v>0</v>
      </c>
      <c r="Q149" t="n">
        <v>0</v>
      </c>
      <c r="R149" s="2" t="inlineStr"/>
    </row>
    <row r="150" ht="15" customHeight="1">
      <c r="A150" t="inlineStr">
        <is>
          <t>A 50296-2018</t>
        </is>
      </c>
      <c r="B150" s="1" t="n">
        <v>43376</v>
      </c>
      <c r="C150" s="1" t="n">
        <v>45265</v>
      </c>
      <c r="D150" t="inlineStr">
        <is>
          <t>VÄRMLANDS LÄN</t>
        </is>
      </c>
      <c r="E150" t="inlineStr">
        <is>
          <t>TORSBY</t>
        </is>
      </c>
      <c r="F150" t="inlineStr">
        <is>
          <t>Kyrkan</t>
        </is>
      </c>
      <c r="G150" t="n">
        <v>15</v>
      </c>
      <c r="H150" t="n">
        <v>0</v>
      </c>
      <c r="I150" t="n">
        <v>0</v>
      </c>
      <c r="J150" t="n">
        <v>0</v>
      </c>
      <c r="K150" t="n">
        <v>0</v>
      </c>
      <c r="L150" t="n">
        <v>0</v>
      </c>
      <c r="M150" t="n">
        <v>0</v>
      </c>
      <c r="N150" t="n">
        <v>0</v>
      </c>
      <c r="O150" t="n">
        <v>0</v>
      </c>
      <c r="P150" t="n">
        <v>0</v>
      </c>
      <c r="Q150" t="n">
        <v>0</v>
      </c>
      <c r="R150" s="2" t="inlineStr"/>
    </row>
    <row r="151" ht="15" customHeight="1">
      <c r="A151" t="inlineStr">
        <is>
          <t>A 50817-2018</t>
        </is>
      </c>
      <c r="B151" s="1" t="n">
        <v>43376</v>
      </c>
      <c r="C151" s="1" t="n">
        <v>45265</v>
      </c>
      <c r="D151" t="inlineStr">
        <is>
          <t>VÄRMLANDS LÄN</t>
        </is>
      </c>
      <c r="E151" t="inlineStr">
        <is>
          <t>TORSBY</t>
        </is>
      </c>
      <c r="G151" t="n">
        <v>1</v>
      </c>
      <c r="H151" t="n">
        <v>0</v>
      </c>
      <c r="I151" t="n">
        <v>0</v>
      </c>
      <c r="J151" t="n">
        <v>0</v>
      </c>
      <c r="K151" t="n">
        <v>0</v>
      </c>
      <c r="L151" t="n">
        <v>0</v>
      </c>
      <c r="M151" t="n">
        <v>0</v>
      </c>
      <c r="N151" t="n">
        <v>0</v>
      </c>
      <c r="O151" t="n">
        <v>0</v>
      </c>
      <c r="P151" t="n">
        <v>0</v>
      </c>
      <c r="Q151" t="n">
        <v>0</v>
      </c>
      <c r="R151" s="2" t="inlineStr"/>
    </row>
    <row r="152" ht="15" customHeight="1">
      <c r="A152" t="inlineStr">
        <is>
          <t>A 50824-2018</t>
        </is>
      </c>
      <c r="B152" s="1" t="n">
        <v>43376</v>
      </c>
      <c r="C152" s="1" t="n">
        <v>45265</v>
      </c>
      <c r="D152" t="inlineStr">
        <is>
          <t>VÄRMLANDS LÄN</t>
        </is>
      </c>
      <c r="E152" t="inlineStr">
        <is>
          <t>TORSBY</t>
        </is>
      </c>
      <c r="G152" t="n">
        <v>2.5</v>
      </c>
      <c r="H152" t="n">
        <v>0</v>
      </c>
      <c r="I152" t="n">
        <v>0</v>
      </c>
      <c r="J152" t="n">
        <v>0</v>
      </c>
      <c r="K152" t="n">
        <v>0</v>
      </c>
      <c r="L152" t="n">
        <v>0</v>
      </c>
      <c r="M152" t="n">
        <v>0</v>
      </c>
      <c r="N152" t="n">
        <v>0</v>
      </c>
      <c r="O152" t="n">
        <v>0</v>
      </c>
      <c r="P152" t="n">
        <v>0</v>
      </c>
      <c r="Q152" t="n">
        <v>0</v>
      </c>
      <c r="R152" s="2" t="inlineStr"/>
    </row>
    <row r="153" ht="15" customHeight="1">
      <c r="A153" t="inlineStr">
        <is>
          <t>A 50821-2018</t>
        </is>
      </c>
      <c r="B153" s="1" t="n">
        <v>43376</v>
      </c>
      <c r="C153" s="1" t="n">
        <v>45265</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52661-2018</t>
        </is>
      </c>
      <c r="B154" s="1" t="n">
        <v>43381</v>
      </c>
      <c r="C154" s="1" t="n">
        <v>45265</v>
      </c>
      <c r="D154" t="inlineStr">
        <is>
          <t>VÄRMLANDS LÄN</t>
        </is>
      </c>
      <c r="E154" t="inlineStr">
        <is>
          <t>TORSBY</t>
        </is>
      </c>
      <c r="G154" t="n">
        <v>11.3</v>
      </c>
      <c r="H154" t="n">
        <v>0</v>
      </c>
      <c r="I154" t="n">
        <v>0</v>
      </c>
      <c r="J154" t="n">
        <v>0</v>
      </c>
      <c r="K154" t="n">
        <v>0</v>
      </c>
      <c r="L154" t="n">
        <v>0</v>
      </c>
      <c r="M154" t="n">
        <v>0</v>
      </c>
      <c r="N154" t="n">
        <v>0</v>
      </c>
      <c r="O154" t="n">
        <v>0</v>
      </c>
      <c r="P154" t="n">
        <v>0</v>
      </c>
      <c r="Q154" t="n">
        <v>0</v>
      </c>
      <c r="R154" s="2" t="inlineStr"/>
    </row>
    <row r="155" ht="15" customHeight="1">
      <c r="A155" t="inlineStr">
        <is>
          <t>A 51437-2018</t>
        </is>
      </c>
      <c r="B155" s="1" t="n">
        <v>43383</v>
      </c>
      <c r="C155" s="1" t="n">
        <v>45265</v>
      </c>
      <c r="D155" t="inlineStr">
        <is>
          <t>VÄRMLANDS LÄN</t>
        </is>
      </c>
      <c r="E155" t="inlineStr">
        <is>
          <t>TORSBY</t>
        </is>
      </c>
      <c r="G155" t="n">
        <v>1.2</v>
      </c>
      <c r="H155" t="n">
        <v>0</v>
      </c>
      <c r="I155" t="n">
        <v>0</v>
      </c>
      <c r="J155" t="n">
        <v>0</v>
      </c>
      <c r="K155" t="n">
        <v>0</v>
      </c>
      <c r="L155" t="n">
        <v>0</v>
      </c>
      <c r="M155" t="n">
        <v>0</v>
      </c>
      <c r="N155" t="n">
        <v>0</v>
      </c>
      <c r="O155" t="n">
        <v>0</v>
      </c>
      <c r="P155" t="n">
        <v>0</v>
      </c>
      <c r="Q155" t="n">
        <v>0</v>
      </c>
      <c r="R155" s="2" t="inlineStr"/>
    </row>
    <row r="156" ht="15" customHeight="1">
      <c r="A156" t="inlineStr">
        <is>
          <t>A 53525-2018</t>
        </is>
      </c>
      <c r="B156" s="1" t="n">
        <v>43387</v>
      </c>
      <c r="C156" s="1" t="n">
        <v>45265</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53756-2018</t>
        </is>
      </c>
      <c r="B157" s="1" t="n">
        <v>43388</v>
      </c>
      <c r="C157" s="1" t="n">
        <v>45265</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52246-2018</t>
        </is>
      </c>
      <c r="B158" s="1" t="n">
        <v>43388</v>
      </c>
      <c r="C158" s="1" t="n">
        <v>45265</v>
      </c>
      <c r="D158" t="inlineStr">
        <is>
          <t>VÄRMLANDS LÄN</t>
        </is>
      </c>
      <c r="E158" t="inlineStr">
        <is>
          <t>TORSBY</t>
        </is>
      </c>
      <c r="G158" t="n">
        <v>3.3</v>
      </c>
      <c r="H158" t="n">
        <v>0</v>
      </c>
      <c r="I158" t="n">
        <v>0</v>
      </c>
      <c r="J158" t="n">
        <v>0</v>
      </c>
      <c r="K158" t="n">
        <v>0</v>
      </c>
      <c r="L158" t="n">
        <v>0</v>
      </c>
      <c r="M158" t="n">
        <v>0</v>
      </c>
      <c r="N158" t="n">
        <v>0</v>
      </c>
      <c r="O158" t="n">
        <v>0</v>
      </c>
      <c r="P158" t="n">
        <v>0</v>
      </c>
      <c r="Q158" t="n">
        <v>0</v>
      </c>
      <c r="R158" s="2" t="inlineStr"/>
    </row>
    <row r="159" ht="15" customHeight="1">
      <c r="A159" t="inlineStr">
        <is>
          <t>A 57511-2018</t>
        </is>
      </c>
      <c r="B159" s="1" t="n">
        <v>43388</v>
      </c>
      <c r="C159" s="1" t="n">
        <v>45265</v>
      </c>
      <c r="D159" t="inlineStr">
        <is>
          <t>VÄRMLANDS LÄN</t>
        </is>
      </c>
      <c r="E159" t="inlineStr">
        <is>
          <t>TORSBY</t>
        </is>
      </c>
      <c r="G159" t="n">
        <v>0.6</v>
      </c>
      <c r="H159" t="n">
        <v>0</v>
      </c>
      <c r="I159" t="n">
        <v>0</v>
      </c>
      <c r="J159" t="n">
        <v>0</v>
      </c>
      <c r="K159" t="n">
        <v>0</v>
      </c>
      <c r="L159" t="n">
        <v>0</v>
      </c>
      <c r="M159" t="n">
        <v>0</v>
      </c>
      <c r="N159" t="n">
        <v>0</v>
      </c>
      <c r="O159" t="n">
        <v>0</v>
      </c>
      <c r="P159" t="n">
        <v>0</v>
      </c>
      <c r="Q159" t="n">
        <v>0</v>
      </c>
      <c r="R159" s="2" t="inlineStr"/>
    </row>
    <row r="160" ht="15" customHeight="1">
      <c r="A160" t="inlineStr">
        <is>
          <t>A 52757-2018</t>
        </is>
      </c>
      <c r="B160" s="1" t="n">
        <v>43389</v>
      </c>
      <c r="C160" s="1" t="n">
        <v>45265</v>
      </c>
      <c r="D160" t="inlineStr">
        <is>
          <t>VÄRMLANDS LÄN</t>
        </is>
      </c>
      <c r="E160" t="inlineStr">
        <is>
          <t>TORSBY</t>
        </is>
      </c>
      <c r="G160" t="n">
        <v>9</v>
      </c>
      <c r="H160" t="n">
        <v>0</v>
      </c>
      <c r="I160" t="n">
        <v>0</v>
      </c>
      <c r="J160" t="n">
        <v>0</v>
      </c>
      <c r="K160" t="n">
        <v>0</v>
      </c>
      <c r="L160" t="n">
        <v>0</v>
      </c>
      <c r="M160" t="n">
        <v>0</v>
      </c>
      <c r="N160" t="n">
        <v>0</v>
      </c>
      <c r="O160" t="n">
        <v>0</v>
      </c>
      <c r="P160" t="n">
        <v>0</v>
      </c>
      <c r="Q160" t="n">
        <v>0</v>
      </c>
      <c r="R160" s="2" t="inlineStr"/>
    </row>
    <row r="161" ht="15" customHeight="1">
      <c r="A161" t="inlineStr">
        <is>
          <t>A 54690-2018</t>
        </is>
      </c>
      <c r="B161" s="1" t="n">
        <v>43389</v>
      </c>
      <c r="C161" s="1" t="n">
        <v>45265</v>
      </c>
      <c r="D161" t="inlineStr">
        <is>
          <t>VÄRMLANDS LÄN</t>
        </is>
      </c>
      <c r="E161" t="inlineStr">
        <is>
          <t>TORSBY</t>
        </is>
      </c>
      <c r="F161" t="inlineStr">
        <is>
          <t>Kyrkan</t>
        </is>
      </c>
      <c r="G161" t="n">
        <v>6.6</v>
      </c>
      <c r="H161" t="n">
        <v>0</v>
      </c>
      <c r="I161" t="n">
        <v>0</v>
      </c>
      <c r="J161" t="n">
        <v>0</v>
      </c>
      <c r="K161" t="n">
        <v>0</v>
      </c>
      <c r="L161" t="n">
        <v>0</v>
      </c>
      <c r="M161" t="n">
        <v>0</v>
      </c>
      <c r="N161" t="n">
        <v>0</v>
      </c>
      <c r="O161" t="n">
        <v>0</v>
      </c>
      <c r="P161" t="n">
        <v>0</v>
      </c>
      <c r="Q161" t="n">
        <v>0</v>
      </c>
      <c r="R161" s="2" t="inlineStr"/>
    </row>
    <row r="162" ht="15" customHeight="1">
      <c r="A162" t="inlineStr">
        <is>
          <t>A 64999-2018</t>
        </is>
      </c>
      <c r="B162" s="1" t="n">
        <v>43395</v>
      </c>
      <c r="C162" s="1" t="n">
        <v>45265</v>
      </c>
      <c r="D162" t="inlineStr">
        <is>
          <t>VÄRMLANDS LÄN</t>
        </is>
      </c>
      <c r="E162" t="inlineStr">
        <is>
          <t>TORSBY</t>
        </is>
      </c>
      <c r="G162" t="n">
        <v>2.4</v>
      </c>
      <c r="H162" t="n">
        <v>0</v>
      </c>
      <c r="I162" t="n">
        <v>0</v>
      </c>
      <c r="J162" t="n">
        <v>0</v>
      </c>
      <c r="K162" t="n">
        <v>0</v>
      </c>
      <c r="L162" t="n">
        <v>0</v>
      </c>
      <c r="M162" t="n">
        <v>0</v>
      </c>
      <c r="N162" t="n">
        <v>0</v>
      </c>
      <c r="O162" t="n">
        <v>0</v>
      </c>
      <c r="P162" t="n">
        <v>0</v>
      </c>
      <c r="Q162" t="n">
        <v>0</v>
      </c>
      <c r="R162" s="2" t="inlineStr"/>
    </row>
    <row r="163" ht="15" customHeight="1">
      <c r="A163" t="inlineStr">
        <is>
          <t>A 57018-2018</t>
        </is>
      </c>
      <c r="B163" s="1" t="n">
        <v>43395</v>
      </c>
      <c r="C163" s="1" t="n">
        <v>45265</v>
      </c>
      <c r="D163" t="inlineStr">
        <is>
          <t>VÄRMLANDS LÄN</t>
        </is>
      </c>
      <c r="E163" t="inlineStr">
        <is>
          <t>TORSBY</t>
        </is>
      </c>
      <c r="G163" t="n">
        <v>11.2</v>
      </c>
      <c r="H163" t="n">
        <v>0</v>
      </c>
      <c r="I163" t="n">
        <v>0</v>
      </c>
      <c r="J163" t="n">
        <v>0</v>
      </c>
      <c r="K163" t="n">
        <v>0</v>
      </c>
      <c r="L163" t="n">
        <v>0</v>
      </c>
      <c r="M163" t="n">
        <v>0</v>
      </c>
      <c r="N163" t="n">
        <v>0</v>
      </c>
      <c r="O163" t="n">
        <v>0</v>
      </c>
      <c r="P163" t="n">
        <v>0</v>
      </c>
      <c r="Q163" t="n">
        <v>0</v>
      </c>
      <c r="R163" s="2" t="inlineStr"/>
    </row>
    <row r="164" ht="15" customHeight="1">
      <c r="A164" t="inlineStr">
        <is>
          <t>A 64997-2018</t>
        </is>
      </c>
      <c r="B164" s="1" t="n">
        <v>43395</v>
      </c>
      <c r="C164" s="1" t="n">
        <v>45265</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56421-2018</t>
        </is>
      </c>
      <c r="B165" s="1" t="n">
        <v>43395</v>
      </c>
      <c r="C165" s="1" t="n">
        <v>45265</v>
      </c>
      <c r="D165" t="inlineStr">
        <is>
          <t>VÄRMLANDS LÄN</t>
        </is>
      </c>
      <c r="E165" t="inlineStr">
        <is>
          <t>TORSBY</t>
        </is>
      </c>
      <c r="G165" t="n">
        <v>0.6</v>
      </c>
      <c r="H165" t="n">
        <v>0</v>
      </c>
      <c r="I165" t="n">
        <v>0</v>
      </c>
      <c r="J165" t="n">
        <v>0</v>
      </c>
      <c r="K165" t="n">
        <v>0</v>
      </c>
      <c r="L165" t="n">
        <v>0</v>
      </c>
      <c r="M165" t="n">
        <v>0</v>
      </c>
      <c r="N165" t="n">
        <v>0</v>
      </c>
      <c r="O165" t="n">
        <v>0</v>
      </c>
      <c r="P165" t="n">
        <v>0</v>
      </c>
      <c r="Q165" t="n">
        <v>0</v>
      </c>
      <c r="R165" s="2" t="inlineStr"/>
    </row>
    <row r="166" ht="15" customHeight="1">
      <c r="A166" t="inlineStr">
        <is>
          <t>A 56914-2018</t>
        </is>
      </c>
      <c r="B166" s="1" t="n">
        <v>43395</v>
      </c>
      <c r="C166" s="1" t="n">
        <v>45265</v>
      </c>
      <c r="D166" t="inlineStr">
        <is>
          <t>VÄRMLANDS LÄN</t>
        </is>
      </c>
      <c r="E166" t="inlineStr">
        <is>
          <t>TORSBY</t>
        </is>
      </c>
      <c r="G166" t="n">
        <v>11.6</v>
      </c>
      <c r="H166" t="n">
        <v>0</v>
      </c>
      <c r="I166" t="n">
        <v>0</v>
      </c>
      <c r="J166" t="n">
        <v>0</v>
      </c>
      <c r="K166" t="n">
        <v>0</v>
      </c>
      <c r="L166" t="n">
        <v>0</v>
      </c>
      <c r="M166" t="n">
        <v>0</v>
      </c>
      <c r="N166" t="n">
        <v>0</v>
      </c>
      <c r="O166" t="n">
        <v>0</v>
      </c>
      <c r="P166" t="n">
        <v>0</v>
      </c>
      <c r="Q166" t="n">
        <v>0</v>
      </c>
      <c r="R166" s="2" t="inlineStr"/>
    </row>
    <row r="167" ht="15" customHeight="1">
      <c r="A167" t="inlineStr">
        <is>
          <t>A 57776-2018</t>
        </is>
      </c>
      <c r="B167" s="1" t="n">
        <v>43397</v>
      </c>
      <c r="C167" s="1" t="n">
        <v>45265</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57837-2018</t>
        </is>
      </c>
      <c r="B168" s="1" t="n">
        <v>43397</v>
      </c>
      <c r="C168" s="1" t="n">
        <v>45265</v>
      </c>
      <c r="D168" t="inlineStr">
        <is>
          <t>VÄRMLANDS LÄN</t>
        </is>
      </c>
      <c r="E168" t="inlineStr">
        <is>
          <t>TORSBY</t>
        </is>
      </c>
      <c r="G168" t="n">
        <v>1</v>
      </c>
      <c r="H168" t="n">
        <v>0</v>
      </c>
      <c r="I168" t="n">
        <v>0</v>
      </c>
      <c r="J168" t="n">
        <v>0</v>
      </c>
      <c r="K168" t="n">
        <v>0</v>
      </c>
      <c r="L168" t="n">
        <v>0</v>
      </c>
      <c r="M168" t="n">
        <v>0</v>
      </c>
      <c r="N168" t="n">
        <v>0</v>
      </c>
      <c r="O168" t="n">
        <v>0</v>
      </c>
      <c r="P168" t="n">
        <v>0</v>
      </c>
      <c r="Q168" t="n">
        <v>0</v>
      </c>
      <c r="R168" s="2" t="inlineStr"/>
    </row>
    <row r="169" ht="15" customHeight="1">
      <c r="A169" t="inlineStr">
        <is>
          <t>A 57766-2018</t>
        </is>
      </c>
      <c r="B169" s="1" t="n">
        <v>43397</v>
      </c>
      <c r="C169" s="1" t="n">
        <v>45265</v>
      </c>
      <c r="D169" t="inlineStr">
        <is>
          <t>VÄRMLANDS LÄN</t>
        </is>
      </c>
      <c r="E169" t="inlineStr">
        <is>
          <t>TORSBY</t>
        </is>
      </c>
      <c r="G169" t="n">
        <v>2.2</v>
      </c>
      <c r="H169" t="n">
        <v>0</v>
      </c>
      <c r="I169" t="n">
        <v>0</v>
      </c>
      <c r="J169" t="n">
        <v>0</v>
      </c>
      <c r="K169" t="n">
        <v>0</v>
      </c>
      <c r="L169" t="n">
        <v>0</v>
      </c>
      <c r="M169" t="n">
        <v>0</v>
      </c>
      <c r="N169" t="n">
        <v>0</v>
      </c>
      <c r="O169" t="n">
        <v>0</v>
      </c>
      <c r="P169" t="n">
        <v>0</v>
      </c>
      <c r="Q169" t="n">
        <v>0</v>
      </c>
      <c r="R169" s="2" t="inlineStr"/>
    </row>
    <row r="170" ht="15" customHeight="1">
      <c r="A170" t="inlineStr">
        <is>
          <t>A 57775-2018</t>
        </is>
      </c>
      <c r="B170" s="1" t="n">
        <v>43397</v>
      </c>
      <c r="C170" s="1" t="n">
        <v>45265</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58620-2018</t>
        </is>
      </c>
      <c r="B171" s="1" t="n">
        <v>43398</v>
      </c>
      <c r="C171" s="1" t="n">
        <v>45265</v>
      </c>
      <c r="D171" t="inlineStr">
        <is>
          <t>VÄRMLANDS LÄN</t>
        </is>
      </c>
      <c r="E171" t="inlineStr">
        <is>
          <t>TORSBY</t>
        </is>
      </c>
      <c r="G171" t="n">
        <v>5.3</v>
      </c>
      <c r="H171" t="n">
        <v>0</v>
      </c>
      <c r="I171" t="n">
        <v>0</v>
      </c>
      <c r="J171" t="n">
        <v>0</v>
      </c>
      <c r="K171" t="n">
        <v>0</v>
      </c>
      <c r="L171" t="n">
        <v>0</v>
      </c>
      <c r="M171" t="n">
        <v>0</v>
      </c>
      <c r="N171" t="n">
        <v>0</v>
      </c>
      <c r="O171" t="n">
        <v>0</v>
      </c>
      <c r="P171" t="n">
        <v>0</v>
      </c>
      <c r="Q171" t="n">
        <v>0</v>
      </c>
      <c r="R171" s="2" t="inlineStr"/>
    </row>
    <row r="172" ht="15" customHeight="1">
      <c r="A172" t="inlineStr">
        <is>
          <t>A 58601-2018</t>
        </is>
      </c>
      <c r="B172" s="1" t="n">
        <v>43398</v>
      </c>
      <c r="C172" s="1" t="n">
        <v>45265</v>
      </c>
      <c r="D172" t="inlineStr">
        <is>
          <t>VÄRMLANDS LÄN</t>
        </is>
      </c>
      <c r="E172" t="inlineStr">
        <is>
          <t>TORSBY</t>
        </is>
      </c>
      <c r="G172" t="n">
        <v>3.2</v>
      </c>
      <c r="H172" t="n">
        <v>0</v>
      </c>
      <c r="I172" t="n">
        <v>0</v>
      </c>
      <c r="J172" t="n">
        <v>0</v>
      </c>
      <c r="K172" t="n">
        <v>0</v>
      </c>
      <c r="L172" t="n">
        <v>0</v>
      </c>
      <c r="M172" t="n">
        <v>0</v>
      </c>
      <c r="N172" t="n">
        <v>0</v>
      </c>
      <c r="O172" t="n">
        <v>0</v>
      </c>
      <c r="P172" t="n">
        <v>0</v>
      </c>
      <c r="Q172" t="n">
        <v>0</v>
      </c>
      <c r="R172" s="2" t="inlineStr"/>
    </row>
    <row r="173" ht="15" customHeight="1">
      <c r="A173" t="inlineStr">
        <is>
          <t>A 55870-2018</t>
        </is>
      </c>
      <c r="B173" s="1" t="n">
        <v>43398</v>
      </c>
      <c r="C173" s="1" t="n">
        <v>45265</v>
      </c>
      <c r="D173" t="inlineStr">
        <is>
          <t>VÄRMLANDS LÄN</t>
        </is>
      </c>
      <c r="E173" t="inlineStr">
        <is>
          <t>TORSBY</t>
        </is>
      </c>
      <c r="G173" t="n">
        <v>1</v>
      </c>
      <c r="H173" t="n">
        <v>0</v>
      </c>
      <c r="I173" t="n">
        <v>0</v>
      </c>
      <c r="J173" t="n">
        <v>0</v>
      </c>
      <c r="K173" t="n">
        <v>0</v>
      </c>
      <c r="L173" t="n">
        <v>0</v>
      </c>
      <c r="M173" t="n">
        <v>0</v>
      </c>
      <c r="N173" t="n">
        <v>0</v>
      </c>
      <c r="O173" t="n">
        <v>0</v>
      </c>
      <c r="P173" t="n">
        <v>0</v>
      </c>
      <c r="Q173" t="n">
        <v>0</v>
      </c>
      <c r="R173" s="2" t="inlineStr"/>
    </row>
    <row r="174" ht="15" customHeight="1">
      <c r="A174" t="inlineStr">
        <is>
          <t>A 58625-2018</t>
        </is>
      </c>
      <c r="B174" s="1" t="n">
        <v>43398</v>
      </c>
      <c r="C174" s="1" t="n">
        <v>45265</v>
      </c>
      <c r="D174" t="inlineStr">
        <is>
          <t>VÄRMLANDS LÄN</t>
        </is>
      </c>
      <c r="E174" t="inlineStr">
        <is>
          <t>TORSBY</t>
        </is>
      </c>
      <c r="G174" t="n">
        <v>1.2</v>
      </c>
      <c r="H174" t="n">
        <v>0</v>
      </c>
      <c r="I174" t="n">
        <v>0</v>
      </c>
      <c r="J174" t="n">
        <v>0</v>
      </c>
      <c r="K174" t="n">
        <v>0</v>
      </c>
      <c r="L174" t="n">
        <v>0</v>
      </c>
      <c r="M174" t="n">
        <v>0</v>
      </c>
      <c r="N174" t="n">
        <v>0</v>
      </c>
      <c r="O174" t="n">
        <v>0</v>
      </c>
      <c r="P174" t="n">
        <v>0</v>
      </c>
      <c r="Q174" t="n">
        <v>0</v>
      </c>
      <c r="R174" s="2" t="inlineStr"/>
    </row>
    <row r="175" ht="15" customHeight="1">
      <c r="A175" t="inlineStr">
        <is>
          <t>A 56358-2018</t>
        </is>
      </c>
      <c r="B175" s="1" t="n">
        <v>43399</v>
      </c>
      <c r="C175" s="1" t="n">
        <v>45265</v>
      </c>
      <c r="D175" t="inlineStr">
        <is>
          <t>VÄRMLANDS LÄN</t>
        </is>
      </c>
      <c r="E175" t="inlineStr">
        <is>
          <t>TORSBY</t>
        </is>
      </c>
      <c r="G175" t="n">
        <v>6.4</v>
      </c>
      <c r="H175" t="n">
        <v>0</v>
      </c>
      <c r="I175" t="n">
        <v>0</v>
      </c>
      <c r="J175" t="n">
        <v>0</v>
      </c>
      <c r="K175" t="n">
        <v>0</v>
      </c>
      <c r="L175" t="n">
        <v>0</v>
      </c>
      <c r="M175" t="n">
        <v>0</v>
      </c>
      <c r="N175" t="n">
        <v>0</v>
      </c>
      <c r="O175" t="n">
        <v>0</v>
      </c>
      <c r="P175" t="n">
        <v>0</v>
      </c>
      <c r="Q175" t="n">
        <v>0</v>
      </c>
      <c r="R175" s="2" t="inlineStr"/>
    </row>
    <row r="176" ht="15" customHeight="1">
      <c r="A176" t="inlineStr">
        <is>
          <t>A 56528-2018</t>
        </is>
      </c>
      <c r="B176" s="1" t="n">
        <v>43401</v>
      </c>
      <c r="C176" s="1" t="n">
        <v>45265</v>
      </c>
      <c r="D176" t="inlineStr">
        <is>
          <t>VÄRMLANDS LÄN</t>
        </is>
      </c>
      <c r="E176" t="inlineStr">
        <is>
          <t>TORSBY</t>
        </is>
      </c>
      <c r="G176" t="n">
        <v>3.1</v>
      </c>
      <c r="H176" t="n">
        <v>0</v>
      </c>
      <c r="I176" t="n">
        <v>0</v>
      </c>
      <c r="J176" t="n">
        <v>0</v>
      </c>
      <c r="K176" t="n">
        <v>0</v>
      </c>
      <c r="L176" t="n">
        <v>0</v>
      </c>
      <c r="M176" t="n">
        <v>0</v>
      </c>
      <c r="N176" t="n">
        <v>0</v>
      </c>
      <c r="O176" t="n">
        <v>0</v>
      </c>
      <c r="P176" t="n">
        <v>0</v>
      </c>
      <c r="Q176" t="n">
        <v>0</v>
      </c>
      <c r="R176" s="2" t="inlineStr"/>
    </row>
    <row r="177" ht="15" customHeight="1">
      <c r="A177" t="inlineStr">
        <is>
          <t>A 56812-2018</t>
        </is>
      </c>
      <c r="B177" s="1" t="n">
        <v>43402</v>
      </c>
      <c r="C177" s="1" t="n">
        <v>45265</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59040-2018</t>
        </is>
      </c>
      <c r="B178" s="1" t="n">
        <v>43402</v>
      </c>
      <c r="C178" s="1" t="n">
        <v>45265</v>
      </c>
      <c r="D178" t="inlineStr">
        <is>
          <t>VÄRMLANDS LÄN</t>
        </is>
      </c>
      <c r="E178" t="inlineStr">
        <is>
          <t>TORSBY</t>
        </is>
      </c>
      <c r="G178" t="n">
        <v>3.5</v>
      </c>
      <c r="H178" t="n">
        <v>0</v>
      </c>
      <c r="I178" t="n">
        <v>0</v>
      </c>
      <c r="J178" t="n">
        <v>0</v>
      </c>
      <c r="K178" t="n">
        <v>0</v>
      </c>
      <c r="L178" t="n">
        <v>0</v>
      </c>
      <c r="M178" t="n">
        <v>0</v>
      </c>
      <c r="N178" t="n">
        <v>0</v>
      </c>
      <c r="O178" t="n">
        <v>0</v>
      </c>
      <c r="P178" t="n">
        <v>0</v>
      </c>
      <c r="Q178" t="n">
        <v>0</v>
      </c>
      <c r="R178" s="2" t="inlineStr"/>
    </row>
    <row r="179" ht="15" customHeight="1">
      <c r="A179" t="inlineStr">
        <is>
          <t>A 59041-2018</t>
        </is>
      </c>
      <c r="B179" s="1" t="n">
        <v>43402</v>
      </c>
      <c r="C179" s="1" t="n">
        <v>45265</v>
      </c>
      <c r="D179" t="inlineStr">
        <is>
          <t>VÄRMLANDS LÄN</t>
        </is>
      </c>
      <c r="E179" t="inlineStr">
        <is>
          <t>TORSBY</t>
        </is>
      </c>
      <c r="G179" t="n">
        <v>2.7</v>
      </c>
      <c r="H179" t="n">
        <v>0</v>
      </c>
      <c r="I179" t="n">
        <v>0</v>
      </c>
      <c r="J179" t="n">
        <v>0</v>
      </c>
      <c r="K179" t="n">
        <v>0</v>
      </c>
      <c r="L179" t="n">
        <v>0</v>
      </c>
      <c r="M179" t="n">
        <v>0</v>
      </c>
      <c r="N179" t="n">
        <v>0</v>
      </c>
      <c r="O179" t="n">
        <v>0</v>
      </c>
      <c r="P179" t="n">
        <v>0</v>
      </c>
      <c r="Q179" t="n">
        <v>0</v>
      </c>
      <c r="R179" s="2" t="inlineStr"/>
    </row>
    <row r="180" ht="15" customHeight="1">
      <c r="A180" t="inlineStr">
        <is>
          <t>A 59059-2018</t>
        </is>
      </c>
      <c r="B180" s="1" t="n">
        <v>43403</v>
      </c>
      <c r="C180" s="1" t="n">
        <v>45265</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59192-2018</t>
        </is>
      </c>
      <c r="B181" s="1" t="n">
        <v>43403</v>
      </c>
      <c r="C181" s="1" t="n">
        <v>45265</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64980-2018</t>
        </is>
      </c>
      <c r="B182" s="1" t="n">
        <v>43404</v>
      </c>
      <c r="C182" s="1" t="n">
        <v>45265</v>
      </c>
      <c r="D182" t="inlineStr">
        <is>
          <t>VÄRMLANDS LÄN</t>
        </is>
      </c>
      <c r="E182" t="inlineStr">
        <is>
          <t>TORSBY</t>
        </is>
      </c>
      <c r="G182" t="n">
        <v>2.3</v>
      </c>
      <c r="H182" t="n">
        <v>0</v>
      </c>
      <c r="I182" t="n">
        <v>0</v>
      </c>
      <c r="J182" t="n">
        <v>0</v>
      </c>
      <c r="K182" t="n">
        <v>0</v>
      </c>
      <c r="L182" t="n">
        <v>0</v>
      </c>
      <c r="M182" t="n">
        <v>0</v>
      </c>
      <c r="N182" t="n">
        <v>0</v>
      </c>
      <c r="O182" t="n">
        <v>0</v>
      </c>
      <c r="P182" t="n">
        <v>0</v>
      </c>
      <c r="Q182" t="n">
        <v>0</v>
      </c>
      <c r="R182" s="2" t="inlineStr"/>
    </row>
    <row r="183" ht="15" customHeight="1">
      <c r="A183" t="inlineStr">
        <is>
          <t>A 60450-2018</t>
        </is>
      </c>
      <c r="B183" s="1" t="n">
        <v>43405</v>
      </c>
      <c r="C183" s="1" t="n">
        <v>45265</v>
      </c>
      <c r="D183" t="inlineStr">
        <is>
          <t>VÄRMLANDS LÄN</t>
        </is>
      </c>
      <c r="E183" t="inlineStr">
        <is>
          <t>TORSBY</t>
        </is>
      </c>
      <c r="G183" t="n">
        <v>8.5</v>
      </c>
      <c r="H183" t="n">
        <v>0</v>
      </c>
      <c r="I183" t="n">
        <v>0</v>
      </c>
      <c r="J183" t="n">
        <v>0</v>
      </c>
      <c r="K183" t="n">
        <v>0</v>
      </c>
      <c r="L183" t="n">
        <v>0</v>
      </c>
      <c r="M183" t="n">
        <v>0</v>
      </c>
      <c r="N183" t="n">
        <v>0</v>
      </c>
      <c r="O183" t="n">
        <v>0</v>
      </c>
      <c r="P183" t="n">
        <v>0</v>
      </c>
      <c r="Q183" t="n">
        <v>0</v>
      </c>
      <c r="R183" s="2" t="inlineStr"/>
    </row>
    <row r="184" ht="15" customHeight="1">
      <c r="A184" t="inlineStr">
        <is>
          <t>A 58096-2018</t>
        </is>
      </c>
      <c r="B184" s="1" t="n">
        <v>43406</v>
      </c>
      <c r="C184" s="1" t="n">
        <v>45265</v>
      </c>
      <c r="D184" t="inlineStr">
        <is>
          <t>VÄRMLANDS LÄN</t>
        </is>
      </c>
      <c r="E184" t="inlineStr">
        <is>
          <t>TORSBY</t>
        </is>
      </c>
      <c r="F184" t="inlineStr">
        <is>
          <t>Bergvik skog väst AB</t>
        </is>
      </c>
      <c r="G184" t="n">
        <v>29.5</v>
      </c>
      <c r="H184" t="n">
        <v>0</v>
      </c>
      <c r="I184" t="n">
        <v>0</v>
      </c>
      <c r="J184" t="n">
        <v>0</v>
      </c>
      <c r="K184" t="n">
        <v>0</v>
      </c>
      <c r="L184" t="n">
        <v>0</v>
      </c>
      <c r="M184" t="n">
        <v>0</v>
      </c>
      <c r="N184" t="n">
        <v>0</v>
      </c>
      <c r="O184" t="n">
        <v>0</v>
      </c>
      <c r="P184" t="n">
        <v>0</v>
      </c>
      <c r="Q184" t="n">
        <v>0</v>
      </c>
      <c r="R184" s="2" t="inlineStr"/>
    </row>
    <row r="185" ht="15" customHeight="1">
      <c r="A185" t="inlineStr">
        <is>
          <t>A 60810-2018</t>
        </is>
      </c>
      <c r="B185" s="1" t="n">
        <v>43410</v>
      </c>
      <c r="C185" s="1" t="n">
        <v>45265</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58745-2018</t>
        </is>
      </c>
      <c r="B186" s="1" t="n">
        <v>43410</v>
      </c>
      <c r="C186" s="1" t="n">
        <v>45265</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60806-2018</t>
        </is>
      </c>
      <c r="B187" s="1" t="n">
        <v>43410</v>
      </c>
      <c r="C187" s="1" t="n">
        <v>45265</v>
      </c>
      <c r="D187" t="inlineStr">
        <is>
          <t>VÄRMLANDS LÄN</t>
        </is>
      </c>
      <c r="E187" t="inlineStr">
        <is>
          <t>TORSBY</t>
        </is>
      </c>
      <c r="G187" t="n">
        <v>7.2</v>
      </c>
      <c r="H187" t="n">
        <v>0</v>
      </c>
      <c r="I187" t="n">
        <v>0</v>
      </c>
      <c r="J187" t="n">
        <v>0</v>
      </c>
      <c r="K187" t="n">
        <v>0</v>
      </c>
      <c r="L187" t="n">
        <v>0</v>
      </c>
      <c r="M187" t="n">
        <v>0</v>
      </c>
      <c r="N187" t="n">
        <v>0</v>
      </c>
      <c r="O187" t="n">
        <v>0</v>
      </c>
      <c r="P187" t="n">
        <v>0</v>
      </c>
      <c r="Q187" t="n">
        <v>0</v>
      </c>
      <c r="R187" s="2" t="inlineStr"/>
    </row>
    <row r="188" ht="15" customHeight="1">
      <c r="A188" t="inlineStr">
        <is>
          <t>A 60137-2018</t>
        </is>
      </c>
      <c r="B188" s="1" t="n">
        <v>43412</v>
      </c>
      <c r="C188" s="1" t="n">
        <v>45265</v>
      </c>
      <c r="D188" t="inlineStr">
        <is>
          <t>VÄRMLANDS LÄN</t>
        </is>
      </c>
      <c r="E188" t="inlineStr">
        <is>
          <t>TORSBY</t>
        </is>
      </c>
      <c r="G188" t="n">
        <v>2.7</v>
      </c>
      <c r="H188" t="n">
        <v>0</v>
      </c>
      <c r="I188" t="n">
        <v>0</v>
      </c>
      <c r="J188" t="n">
        <v>0</v>
      </c>
      <c r="K188" t="n">
        <v>0</v>
      </c>
      <c r="L188" t="n">
        <v>0</v>
      </c>
      <c r="M188" t="n">
        <v>0</v>
      </c>
      <c r="N188" t="n">
        <v>0</v>
      </c>
      <c r="O188" t="n">
        <v>0</v>
      </c>
      <c r="P188" t="n">
        <v>0</v>
      </c>
      <c r="Q188" t="n">
        <v>0</v>
      </c>
      <c r="R188" s="2" t="inlineStr"/>
    </row>
    <row r="189" ht="15" customHeight="1">
      <c r="A189" t="inlineStr">
        <is>
          <t>A 60055-2018</t>
        </is>
      </c>
      <c r="B189" s="1" t="n">
        <v>43412</v>
      </c>
      <c r="C189" s="1" t="n">
        <v>45265</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60059-2018</t>
        </is>
      </c>
      <c r="B190" s="1" t="n">
        <v>43412</v>
      </c>
      <c r="C190" s="1" t="n">
        <v>45265</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62495-2018</t>
        </is>
      </c>
      <c r="B191" s="1" t="n">
        <v>43414</v>
      </c>
      <c r="C191" s="1" t="n">
        <v>45265</v>
      </c>
      <c r="D191" t="inlineStr">
        <is>
          <t>VÄRMLANDS LÄN</t>
        </is>
      </c>
      <c r="E191" t="inlineStr">
        <is>
          <t>TORSBY</t>
        </is>
      </c>
      <c r="G191" t="n">
        <v>3.1</v>
      </c>
      <c r="H191" t="n">
        <v>0</v>
      </c>
      <c r="I191" t="n">
        <v>0</v>
      </c>
      <c r="J191" t="n">
        <v>0</v>
      </c>
      <c r="K191" t="n">
        <v>0</v>
      </c>
      <c r="L191" t="n">
        <v>0</v>
      </c>
      <c r="M191" t="n">
        <v>0</v>
      </c>
      <c r="N191" t="n">
        <v>0</v>
      </c>
      <c r="O191" t="n">
        <v>0</v>
      </c>
      <c r="P191" t="n">
        <v>0</v>
      </c>
      <c r="Q191" t="n">
        <v>0</v>
      </c>
      <c r="R191" s="2" t="inlineStr"/>
    </row>
    <row r="192" ht="15" customHeight="1">
      <c r="A192" t="inlineStr">
        <is>
          <t>A 62492-2018</t>
        </is>
      </c>
      <c r="B192" s="1" t="n">
        <v>43414</v>
      </c>
      <c r="C192" s="1" t="n">
        <v>45265</v>
      </c>
      <c r="D192" t="inlineStr">
        <is>
          <t>VÄRMLANDS LÄN</t>
        </is>
      </c>
      <c r="E192" t="inlineStr">
        <is>
          <t>TORSBY</t>
        </is>
      </c>
      <c r="G192" t="n">
        <v>3.2</v>
      </c>
      <c r="H192" t="n">
        <v>0</v>
      </c>
      <c r="I192" t="n">
        <v>0</v>
      </c>
      <c r="J192" t="n">
        <v>0</v>
      </c>
      <c r="K192" t="n">
        <v>0</v>
      </c>
      <c r="L192" t="n">
        <v>0</v>
      </c>
      <c r="M192" t="n">
        <v>0</v>
      </c>
      <c r="N192" t="n">
        <v>0</v>
      </c>
      <c r="O192" t="n">
        <v>0</v>
      </c>
      <c r="P192" t="n">
        <v>0</v>
      </c>
      <c r="Q192" t="n">
        <v>0</v>
      </c>
      <c r="R192" s="2" t="inlineStr"/>
    </row>
    <row r="193" ht="15" customHeight="1">
      <c r="A193" t="inlineStr">
        <is>
          <t>A 62499-2018</t>
        </is>
      </c>
      <c r="B193" s="1" t="n">
        <v>43414</v>
      </c>
      <c r="C193" s="1" t="n">
        <v>45265</v>
      </c>
      <c r="D193" t="inlineStr">
        <is>
          <t>VÄRMLANDS LÄN</t>
        </is>
      </c>
      <c r="E193" t="inlineStr">
        <is>
          <t>TORSBY</t>
        </is>
      </c>
      <c r="G193" t="n">
        <v>0.7</v>
      </c>
      <c r="H193" t="n">
        <v>0</v>
      </c>
      <c r="I193" t="n">
        <v>0</v>
      </c>
      <c r="J193" t="n">
        <v>0</v>
      </c>
      <c r="K193" t="n">
        <v>0</v>
      </c>
      <c r="L193" t="n">
        <v>0</v>
      </c>
      <c r="M193" t="n">
        <v>0</v>
      </c>
      <c r="N193" t="n">
        <v>0</v>
      </c>
      <c r="O193" t="n">
        <v>0</v>
      </c>
      <c r="P193" t="n">
        <v>0</v>
      </c>
      <c r="Q193" t="n">
        <v>0</v>
      </c>
      <c r="R193" s="2" t="inlineStr"/>
    </row>
    <row r="194" ht="15" customHeight="1">
      <c r="A194" t="inlineStr">
        <is>
          <t>A 62345-2018</t>
        </is>
      </c>
      <c r="B194" s="1" t="n">
        <v>43416</v>
      </c>
      <c r="C194" s="1" t="n">
        <v>45265</v>
      </c>
      <c r="D194" t="inlineStr">
        <is>
          <t>VÄRMLANDS LÄN</t>
        </is>
      </c>
      <c r="E194" t="inlineStr">
        <is>
          <t>TORSBY</t>
        </is>
      </c>
      <c r="G194" t="n">
        <v>2</v>
      </c>
      <c r="H194" t="n">
        <v>0</v>
      </c>
      <c r="I194" t="n">
        <v>0</v>
      </c>
      <c r="J194" t="n">
        <v>0</v>
      </c>
      <c r="K194" t="n">
        <v>0</v>
      </c>
      <c r="L194" t="n">
        <v>0</v>
      </c>
      <c r="M194" t="n">
        <v>0</v>
      </c>
      <c r="N194" t="n">
        <v>0</v>
      </c>
      <c r="O194" t="n">
        <v>0</v>
      </c>
      <c r="P194" t="n">
        <v>0</v>
      </c>
      <c r="Q194" t="n">
        <v>0</v>
      </c>
      <c r="R194" s="2" t="inlineStr"/>
    </row>
    <row r="195" ht="15" customHeight="1">
      <c r="A195" t="inlineStr">
        <is>
          <t>A 62407-2018</t>
        </is>
      </c>
      <c r="B195" s="1" t="n">
        <v>43416</v>
      </c>
      <c r="C195" s="1" t="n">
        <v>45265</v>
      </c>
      <c r="D195" t="inlineStr">
        <is>
          <t>VÄRMLANDS LÄN</t>
        </is>
      </c>
      <c r="E195" t="inlineStr">
        <is>
          <t>TORSBY</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63407-2018</t>
        </is>
      </c>
      <c r="B196" s="1" t="n">
        <v>43416</v>
      </c>
      <c r="C196" s="1" t="n">
        <v>45265</v>
      </c>
      <c r="D196" t="inlineStr">
        <is>
          <t>VÄRMLANDS LÄN</t>
        </is>
      </c>
      <c r="E196" t="inlineStr">
        <is>
          <t>TORSBY</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63095-2018</t>
        </is>
      </c>
      <c r="B197" s="1" t="n">
        <v>43418</v>
      </c>
      <c r="C197" s="1" t="n">
        <v>45265</v>
      </c>
      <c r="D197" t="inlineStr">
        <is>
          <t>VÄRMLANDS LÄN</t>
        </is>
      </c>
      <c r="E197" t="inlineStr">
        <is>
          <t>TORSBY</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63172-2018</t>
        </is>
      </c>
      <c r="B198" s="1" t="n">
        <v>43418</v>
      </c>
      <c r="C198" s="1" t="n">
        <v>45265</v>
      </c>
      <c r="D198" t="inlineStr">
        <is>
          <t>VÄRMLANDS LÄN</t>
        </is>
      </c>
      <c r="E198" t="inlineStr">
        <is>
          <t>TORSBY</t>
        </is>
      </c>
      <c r="G198" t="n">
        <v>4.7</v>
      </c>
      <c r="H198" t="n">
        <v>0</v>
      </c>
      <c r="I198" t="n">
        <v>0</v>
      </c>
      <c r="J198" t="n">
        <v>0</v>
      </c>
      <c r="K198" t="n">
        <v>0</v>
      </c>
      <c r="L198" t="n">
        <v>0</v>
      </c>
      <c r="M198" t="n">
        <v>0</v>
      </c>
      <c r="N198" t="n">
        <v>0</v>
      </c>
      <c r="O198" t="n">
        <v>0</v>
      </c>
      <c r="P198" t="n">
        <v>0</v>
      </c>
      <c r="Q198" t="n">
        <v>0</v>
      </c>
      <c r="R198" s="2" t="inlineStr"/>
    </row>
    <row r="199" ht="15" customHeight="1">
      <c r="A199" t="inlineStr">
        <is>
          <t>A 63104-2018</t>
        </is>
      </c>
      <c r="B199" s="1" t="n">
        <v>43418</v>
      </c>
      <c r="C199" s="1" t="n">
        <v>45265</v>
      </c>
      <c r="D199" t="inlineStr">
        <is>
          <t>VÄRMLANDS LÄN</t>
        </is>
      </c>
      <c r="E199" t="inlineStr">
        <is>
          <t>TORSBY</t>
        </is>
      </c>
      <c r="F199" t="inlineStr">
        <is>
          <t>Bergvik skog väst AB</t>
        </is>
      </c>
      <c r="G199" t="n">
        <v>38.3</v>
      </c>
      <c r="H199" t="n">
        <v>0</v>
      </c>
      <c r="I199" t="n">
        <v>0</v>
      </c>
      <c r="J199" t="n">
        <v>0</v>
      </c>
      <c r="K199" t="n">
        <v>0</v>
      </c>
      <c r="L199" t="n">
        <v>0</v>
      </c>
      <c r="M199" t="n">
        <v>0</v>
      </c>
      <c r="N199" t="n">
        <v>0</v>
      </c>
      <c r="O199" t="n">
        <v>0</v>
      </c>
      <c r="P199" t="n">
        <v>0</v>
      </c>
      <c r="Q199" t="n">
        <v>0</v>
      </c>
      <c r="R199" s="2" t="inlineStr"/>
    </row>
    <row r="200" ht="15" customHeight="1">
      <c r="A200" t="inlineStr">
        <is>
          <t>A 63035-2018</t>
        </is>
      </c>
      <c r="B200" s="1" t="n">
        <v>43418</v>
      </c>
      <c r="C200" s="1" t="n">
        <v>45265</v>
      </c>
      <c r="D200" t="inlineStr">
        <is>
          <t>VÄRMLANDS LÄN</t>
        </is>
      </c>
      <c r="E200" t="inlineStr">
        <is>
          <t>TORSBY</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63109-2018</t>
        </is>
      </c>
      <c r="B201" s="1" t="n">
        <v>43418</v>
      </c>
      <c r="C201" s="1" t="n">
        <v>45265</v>
      </c>
      <c r="D201" t="inlineStr">
        <is>
          <t>VÄRMLANDS LÄN</t>
        </is>
      </c>
      <c r="E201" t="inlineStr">
        <is>
          <t>TORSBY</t>
        </is>
      </c>
      <c r="F201" t="inlineStr">
        <is>
          <t>Bergvik skog väst AB</t>
        </is>
      </c>
      <c r="G201" t="n">
        <v>19.7</v>
      </c>
      <c r="H201" t="n">
        <v>0</v>
      </c>
      <c r="I201" t="n">
        <v>0</v>
      </c>
      <c r="J201" t="n">
        <v>0</v>
      </c>
      <c r="K201" t="n">
        <v>0</v>
      </c>
      <c r="L201" t="n">
        <v>0</v>
      </c>
      <c r="M201" t="n">
        <v>0</v>
      </c>
      <c r="N201" t="n">
        <v>0</v>
      </c>
      <c r="O201" t="n">
        <v>0</v>
      </c>
      <c r="P201" t="n">
        <v>0</v>
      </c>
      <c r="Q201" t="n">
        <v>0</v>
      </c>
      <c r="R201" s="2" t="inlineStr"/>
    </row>
    <row r="202" ht="15" customHeight="1">
      <c r="A202" t="inlineStr">
        <is>
          <t>A 63103-2018</t>
        </is>
      </c>
      <c r="B202" s="1" t="n">
        <v>43418</v>
      </c>
      <c r="C202" s="1" t="n">
        <v>45265</v>
      </c>
      <c r="D202" t="inlineStr">
        <is>
          <t>VÄRMLANDS LÄN</t>
        </is>
      </c>
      <c r="E202" t="inlineStr">
        <is>
          <t>TORSBY</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63090-2018</t>
        </is>
      </c>
      <c r="B203" s="1" t="n">
        <v>43418</v>
      </c>
      <c r="C203" s="1" t="n">
        <v>45265</v>
      </c>
      <c r="D203" t="inlineStr">
        <is>
          <t>VÄRMLANDS LÄN</t>
        </is>
      </c>
      <c r="E203" t="inlineStr">
        <is>
          <t>TORSBY</t>
        </is>
      </c>
      <c r="F203" t="inlineStr">
        <is>
          <t>Bergvik skog väst AB</t>
        </is>
      </c>
      <c r="G203" t="n">
        <v>41.8</v>
      </c>
      <c r="H203" t="n">
        <v>0</v>
      </c>
      <c r="I203" t="n">
        <v>0</v>
      </c>
      <c r="J203" t="n">
        <v>0</v>
      </c>
      <c r="K203" t="n">
        <v>0</v>
      </c>
      <c r="L203" t="n">
        <v>0</v>
      </c>
      <c r="M203" t="n">
        <v>0</v>
      </c>
      <c r="N203" t="n">
        <v>0</v>
      </c>
      <c r="O203" t="n">
        <v>0</v>
      </c>
      <c r="P203" t="n">
        <v>0</v>
      </c>
      <c r="Q203" t="n">
        <v>0</v>
      </c>
      <c r="R203" s="2" t="inlineStr"/>
    </row>
    <row r="204" ht="15" customHeight="1">
      <c r="A204" t="inlineStr">
        <is>
          <t>A 59383-2018</t>
        </is>
      </c>
      <c r="B204" s="1" t="n">
        <v>43418</v>
      </c>
      <c r="C204" s="1" t="n">
        <v>45265</v>
      </c>
      <c r="D204" t="inlineStr">
        <is>
          <t>VÄRMLANDS LÄN</t>
        </is>
      </c>
      <c r="E204" t="inlineStr">
        <is>
          <t>TORSBY</t>
        </is>
      </c>
      <c r="G204" t="n">
        <v>7.8</v>
      </c>
      <c r="H204" t="n">
        <v>0</v>
      </c>
      <c r="I204" t="n">
        <v>0</v>
      </c>
      <c r="J204" t="n">
        <v>0</v>
      </c>
      <c r="K204" t="n">
        <v>0</v>
      </c>
      <c r="L204" t="n">
        <v>0</v>
      </c>
      <c r="M204" t="n">
        <v>0</v>
      </c>
      <c r="N204" t="n">
        <v>0</v>
      </c>
      <c r="O204" t="n">
        <v>0</v>
      </c>
      <c r="P204" t="n">
        <v>0</v>
      </c>
      <c r="Q204" t="n">
        <v>0</v>
      </c>
      <c r="R204" s="2" t="inlineStr"/>
    </row>
    <row r="205" ht="15" customHeight="1">
      <c r="A205" t="inlineStr">
        <is>
          <t>A 59969-2018</t>
        </is>
      </c>
      <c r="B205" s="1" t="n">
        <v>43420</v>
      </c>
      <c r="C205" s="1" t="n">
        <v>45265</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60912-2018</t>
        </is>
      </c>
      <c r="B206" s="1" t="n">
        <v>43423</v>
      </c>
      <c r="C206" s="1" t="n">
        <v>45265</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61392-2018</t>
        </is>
      </c>
      <c r="B207" s="1" t="n">
        <v>43424</v>
      </c>
      <c r="C207" s="1" t="n">
        <v>45265</v>
      </c>
      <c r="D207" t="inlineStr">
        <is>
          <t>VÄRMLANDS LÄN</t>
        </is>
      </c>
      <c r="E207" t="inlineStr">
        <is>
          <t>TORSBY</t>
        </is>
      </c>
      <c r="G207" t="n">
        <v>7</v>
      </c>
      <c r="H207" t="n">
        <v>0</v>
      </c>
      <c r="I207" t="n">
        <v>0</v>
      </c>
      <c r="J207" t="n">
        <v>0</v>
      </c>
      <c r="K207" t="n">
        <v>0</v>
      </c>
      <c r="L207" t="n">
        <v>0</v>
      </c>
      <c r="M207" t="n">
        <v>0</v>
      </c>
      <c r="N207" t="n">
        <v>0</v>
      </c>
      <c r="O207" t="n">
        <v>0</v>
      </c>
      <c r="P207" t="n">
        <v>0</v>
      </c>
      <c r="Q207" t="n">
        <v>0</v>
      </c>
      <c r="R207" s="2" t="inlineStr"/>
    </row>
    <row r="208" ht="15" customHeight="1">
      <c r="A208" t="inlineStr">
        <is>
          <t>A 61388-2018</t>
        </is>
      </c>
      <c r="B208" s="1" t="n">
        <v>43424</v>
      </c>
      <c r="C208" s="1" t="n">
        <v>45265</v>
      </c>
      <c r="D208" t="inlineStr">
        <is>
          <t>VÄRMLANDS LÄN</t>
        </is>
      </c>
      <c r="E208" t="inlineStr">
        <is>
          <t>TORSBY</t>
        </is>
      </c>
      <c r="F208" t="inlineStr">
        <is>
          <t>Kommuner</t>
        </is>
      </c>
      <c r="G208" t="n">
        <v>4.4</v>
      </c>
      <c r="H208" t="n">
        <v>0</v>
      </c>
      <c r="I208" t="n">
        <v>0</v>
      </c>
      <c r="J208" t="n">
        <v>0</v>
      </c>
      <c r="K208" t="n">
        <v>0</v>
      </c>
      <c r="L208" t="n">
        <v>0</v>
      </c>
      <c r="M208" t="n">
        <v>0</v>
      </c>
      <c r="N208" t="n">
        <v>0</v>
      </c>
      <c r="O208" t="n">
        <v>0</v>
      </c>
      <c r="P208" t="n">
        <v>0</v>
      </c>
      <c r="Q208" t="n">
        <v>0</v>
      </c>
      <c r="R208" s="2" t="inlineStr"/>
    </row>
    <row r="209" ht="15" customHeight="1">
      <c r="A209" t="inlineStr">
        <is>
          <t>A 65640-2018</t>
        </is>
      </c>
      <c r="B209" s="1" t="n">
        <v>43425</v>
      </c>
      <c r="C209" s="1" t="n">
        <v>45265</v>
      </c>
      <c r="D209" t="inlineStr">
        <is>
          <t>VÄRMLANDS LÄN</t>
        </is>
      </c>
      <c r="E209" t="inlineStr">
        <is>
          <t>TORSBY</t>
        </is>
      </c>
      <c r="G209" t="n">
        <v>5.4</v>
      </c>
      <c r="H209" t="n">
        <v>0</v>
      </c>
      <c r="I209" t="n">
        <v>0</v>
      </c>
      <c r="J209" t="n">
        <v>0</v>
      </c>
      <c r="K209" t="n">
        <v>0</v>
      </c>
      <c r="L209" t="n">
        <v>0</v>
      </c>
      <c r="M209" t="n">
        <v>0</v>
      </c>
      <c r="N209" t="n">
        <v>0</v>
      </c>
      <c r="O209" t="n">
        <v>0</v>
      </c>
      <c r="P209" t="n">
        <v>0</v>
      </c>
      <c r="Q209" t="n">
        <v>0</v>
      </c>
      <c r="R209" s="2" t="inlineStr"/>
    </row>
    <row r="210" ht="15" customHeight="1">
      <c r="A210" t="inlineStr">
        <is>
          <t>A 65858-2018</t>
        </is>
      </c>
      <c r="B210" s="1" t="n">
        <v>43426</v>
      </c>
      <c r="C210" s="1" t="n">
        <v>45265</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65897-2018</t>
        </is>
      </c>
      <c r="B211" s="1" t="n">
        <v>43426</v>
      </c>
      <c r="C211" s="1" t="n">
        <v>45265</v>
      </c>
      <c r="D211" t="inlineStr">
        <is>
          <t>VÄRMLANDS LÄN</t>
        </is>
      </c>
      <c r="E211" t="inlineStr">
        <is>
          <t>TORSBY</t>
        </is>
      </c>
      <c r="G211" t="n">
        <v>6.6</v>
      </c>
      <c r="H211" t="n">
        <v>0</v>
      </c>
      <c r="I211" t="n">
        <v>0</v>
      </c>
      <c r="J211" t="n">
        <v>0</v>
      </c>
      <c r="K211" t="n">
        <v>0</v>
      </c>
      <c r="L211" t="n">
        <v>0</v>
      </c>
      <c r="M211" t="n">
        <v>0</v>
      </c>
      <c r="N211" t="n">
        <v>0</v>
      </c>
      <c r="O211" t="n">
        <v>0</v>
      </c>
      <c r="P211" t="n">
        <v>0</v>
      </c>
      <c r="Q211" t="n">
        <v>0</v>
      </c>
      <c r="R211" s="2" t="inlineStr"/>
    </row>
    <row r="212" ht="15" customHeight="1">
      <c r="A212" t="inlineStr">
        <is>
          <t>A 65698-2018</t>
        </is>
      </c>
      <c r="B212" s="1" t="n">
        <v>43426</v>
      </c>
      <c r="C212" s="1" t="n">
        <v>45265</v>
      </c>
      <c r="D212" t="inlineStr">
        <is>
          <t>VÄRMLANDS LÄN</t>
        </is>
      </c>
      <c r="E212" t="inlineStr">
        <is>
          <t>TORSBY</t>
        </is>
      </c>
      <c r="G212" t="n">
        <v>2.2</v>
      </c>
      <c r="H212" t="n">
        <v>0</v>
      </c>
      <c r="I212" t="n">
        <v>0</v>
      </c>
      <c r="J212" t="n">
        <v>0</v>
      </c>
      <c r="K212" t="n">
        <v>0</v>
      </c>
      <c r="L212" t="n">
        <v>0</v>
      </c>
      <c r="M212" t="n">
        <v>0</v>
      </c>
      <c r="N212" t="n">
        <v>0</v>
      </c>
      <c r="O212" t="n">
        <v>0</v>
      </c>
      <c r="P212" t="n">
        <v>0</v>
      </c>
      <c r="Q212" t="n">
        <v>0</v>
      </c>
      <c r="R212" s="2" t="inlineStr"/>
    </row>
    <row r="213" ht="15" customHeight="1">
      <c r="A213" t="inlineStr">
        <is>
          <t>A 65691-2018</t>
        </is>
      </c>
      <c r="B213" s="1" t="n">
        <v>43426</v>
      </c>
      <c r="C213" s="1" t="n">
        <v>45265</v>
      </c>
      <c r="D213" t="inlineStr">
        <is>
          <t>VÄRMLANDS LÄN</t>
        </is>
      </c>
      <c r="E213" t="inlineStr">
        <is>
          <t>TORSBY</t>
        </is>
      </c>
      <c r="G213" t="n">
        <v>0.8</v>
      </c>
      <c r="H213" t="n">
        <v>0</v>
      </c>
      <c r="I213" t="n">
        <v>0</v>
      </c>
      <c r="J213" t="n">
        <v>0</v>
      </c>
      <c r="K213" t="n">
        <v>0</v>
      </c>
      <c r="L213" t="n">
        <v>0</v>
      </c>
      <c r="M213" t="n">
        <v>0</v>
      </c>
      <c r="N213" t="n">
        <v>0</v>
      </c>
      <c r="O213" t="n">
        <v>0</v>
      </c>
      <c r="P213" t="n">
        <v>0</v>
      </c>
      <c r="Q213" t="n">
        <v>0</v>
      </c>
      <c r="R213" s="2" t="inlineStr"/>
    </row>
    <row r="214" ht="15" customHeight="1">
      <c r="A214" t="inlineStr">
        <is>
          <t>A 65663-2018</t>
        </is>
      </c>
      <c r="B214" s="1" t="n">
        <v>43426</v>
      </c>
      <c r="C214" s="1" t="n">
        <v>45265</v>
      </c>
      <c r="D214" t="inlineStr">
        <is>
          <t>VÄRMLANDS LÄN</t>
        </is>
      </c>
      <c r="E214" t="inlineStr">
        <is>
          <t>TORSBY</t>
        </is>
      </c>
      <c r="G214" t="n">
        <v>0.7</v>
      </c>
      <c r="H214" t="n">
        <v>0</v>
      </c>
      <c r="I214" t="n">
        <v>0</v>
      </c>
      <c r="J214" t="n">
        <v>0</v>
      </c>
      <c r="K214" t="n">
        <v>0</v>
      </c>
      <c r="L214" t="n">
        <v>0</v>
      </c>
      <c r="M214" t="n">
        <v>0</v>
      </c>
      <c r="N214" t="n">
        <v>0</v>
      </c>
      <c r="O214" t="n">
        <v>0</v>
      </c>
      <c r="P214" t="n">
        <v>0</v>
      </c>
      <c r="Q214" t="n">
        <v>0</v>
      </c>
      <c r="R214" s="2" t="inlineStr"/>
    </row>
    <row r="215" ht="15" customHeight="1">
      <c r="A215" t="inlineStr">
        <is>
          <t>A 63228-2018</t>
        </is>
      </c>
      <c r="B215" s="1" t="n">
        <v>43426</v>
      </c>
      <c r="C215" s="1" t="n">
        <v>45265</v>
      </c>
      <c r="D215" t="inlineStr">
        <is>
          <t>VÄRMLANDS LÄN</t>
        </is>
      </c>
      <c r="E215" t="inlineStr">
        <is>
          <t>TORSBY</t>
        </is>
      </c>
      <c r="G215" t="n">
        <v>5</v>
      </c>
      <c r="H215" t="n">
        <v>0</v>
      </c>
      <c r="I215" t="n">
        <v>0</v>
      </c>
      <c r="J215" t="n">
        <v>0</v>
      </c>
      <c r="K215" t="n">
        <v>0</v>
      </c>
      <c r="L215" t="n">
        <v>0</v>
      </c>
      <c r="M215" t="n">
        <v>0</v>
      </c>
      <c r="N215" t="n">
        <v>0</v>
      </c>
      <c r="O215" t="n">
        <v>0</v>
      </c>
      <c r="P215" t="n">
        <v>0</v>
      </c>
      <c r="Q215" t="n">
        <v>0</v>
      </c>
      <c r="R215" s="2" t="inlineStr"/>
    </row>
    <row r="216" ht="15" customHeight="1">
      <c r="A216" t="inlineStr">
        <is>
          <t>A 65986-2018</t>
        </is>
      </c>
      <c r="B216" s="1" t="n">
        <v>43426</v>
      </c>
      <c r="C216" s="1" t="n">
        <v>45265</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65887-2018</t>
        </is>
      </c>
      <c r="B217" s="1" t="n">
        <v>43426</v>
      </c>
      <c r="C217" s="1" t="n">
        <v>45265</v>
      </c>
      <c r="D217" t="inlineStr">
        <is>
          <t>VÄRMLANDS LÄN</t>
        </is>
      </c>
      <c r="E217" t="inlineStr">
        <is>
          <t>TORSBY</t>
        </is>
      </c>
      <c r="G217" t="n">
        <v>1.7</v>
      </c>
      <c r="H217" t="n">
        <v>0</v>
      </c>
      <c r="I217" t="n">
        <v>0</v>
      </c>
      <c r="J217" t="n">
        <v>0</v>
      </c>
      <c r="K217" t="n">
        <v>0</v>
      </c>
      <c r="L217" t="n">
        <v>0</v>
      </c>
      <c r="M217" t="n">
        <v>0</v>
      </c>
      <c r="N217" t="n">
        <v>0</v>
      </c>
      <c r="O217" t="n">
        <v>0</v>
      </c>
      <c r="P217" t="n">
        <v>0</v>
      </c>
      <c r="Q217" t="n">
        <v>0</v>
      </c>
      <c r="R217" s="2" t="inlineStr"/>
    </row>
    <row r="218" ht="15" customHeight="1">
      <c r="A218" t="inlineStr">
        <is>
          <t>A 62587-2018</t>
        </is>
      </c>
      <c r="B218" s="1" t="n">
        <v>43426</v>
      </c>
      <c r="C218" s="1" t="n">
        <v>45265</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66077-2018</t>
        </is>
      </c>
      <c r="B219" s="1" t="n">
        <v>43426</v>
      </c>
      <c r="C219" s="1" t="n">
        <v>45265</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65696-2018</t>
        </is>
      </c>
      <c r="B220" s="1" t="n">
        <v>43426</v>
      </c>
      <c r="C220" s="1" t="n">
        <v>45265</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65873-2018</t>
        </is>
      </c>
      <c r="B221" s="1" t="n">
        <v>43426</v>
      </c>
      <c r="C221" s="1" t="n">
        <v>45265</v>
      </c>
      <c r="D221" t="inlineStr">
        <is>
          <t>VÄRMLANDS LÄN</t>
        </is>
      </c>
      <c r="E221" t="inlineStr">
        <is>
          <t>TORSBY</t>
        </is>
      </c>
      <c r="G221" t="n">
        <v>2.2</v>
      </c>
      <c r="H221" t="n">
        <v>0</v>
      </c>
      <c r="I221" t="n">
        <v>0</v>
      </c>
      <c r="J221" t="n">
        <v>0</v>
      </c>
      <c r="K221" t="n">
        <v>0</v>
      </c>
      <c r="L221" t="n">
        <v>0</v>
      </c>
      <c r="M221" t="n">
        <v>0</v>
      </c>
      <c r="N221" t="n">
        <v>0</v>
      </c>
      <c r="O221" t="n">
        <v>0</v>
      </c>
      <c r="P221" t="n">
        <v>0</v>
      </c>
      <c r="Q221" t="n">
        <v>0</v>
      </c>
      <c r="R221" s="2" t="inlineStr"/>
    </row>
    <row r="222" ht="15" customHeight="1">
      <c r="A222" t="inlineStr">
        <is>
          <t>A 64164-2018</t>
        </is>
      </c>
      <c r="B222" s="1" t="n">
        <v>43430</v>
      </c>
      <c r="C222" s="1" t="n">
        <v>45265</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64051-2018</t>
        </is>
      </c>
      <c r="B223" s="1" t="n">
        <v>43430</v>
      </c>
      <c r="C223" s="1" t="n">
        <v>45265</v>
      </c>
      <c r="D223" t="inlineStr">
        <is>
          <t>VÄRMLANDS LÄN</t>
        </is>
      </c>
      <c r="E223" t="inlineStr">
        <is>
          <t>TORSBY</t>
        </is>
      </c>
      <c r="F223" t="inlineStr">
        <is>
          <t>Bergvik skog väst AB</t>
        </is>
      </c>
      <c r="G223" t="n">
        <v>3.1</v>
      </c>
      <c r="H223" t="n">
        <v>0</v>
      </c>
      <c r="I223" t="n">
        <v>0</v>
      </c>
      <c r="J223" t="n">
        <v>0</v>
      </c>
      <c r="K223" t="n">
        <v>0</v>
      </c>
      <c r="L223" t="n">
        <v>0</v>
      </c>
      <c r="M223" t="n">
        <v>0</v>
      </c>
      <c r="N223" t="n">
        <v>0</v>
      </c>
      <c r="O223" t="n">
        <v>0</v>
      </c>
      <c r="P223" t="n">
        <v>0</v>
      </c>
      <c r="Q223" t="n">
        <v>0</v>
      </c>
      <c r="R223" s="2" t="inlineStr"/>
    </row>
    <row r="224" ht="15" customHeight="1">
      <c r="A224" t="inlineStr">
        <is>
          <t>A 66987-2018</t>
        </is>
      </c>
      <c r="B224" s="1" t="n">
        <v>43430</v>
      </c>
      <c r="C224" s="1" t="n">
        <v>45265</v>
      </c>
      <c r="D224" t="inlineStr">
        <is>
          <t>VÄRMLANDS LÄN</t>
        </is>
      </c>
      <c r="E224" t="inlineStr">
        <is>
          <t>TORSBY</t>
        </is>
      </c>
      <c r="G224" t="n">
        <v>7.9</v>
      </c>
      <c r="H224" t="n">
        <v>0</v>
      </c>
      <c r="I224" t="n">
        <v>0</v>
      </c>
      <c r="J224" t="n">
        <v>0</v>
      </c>
      <c r="K224" t="n">
        <v>0</v>
      </c>
      <c r="L224" t="n">
        <v>0</v>
      </c>
      <c r="M224" t="n">
        <v>0</v>
      </c>
      <c r="N224" t="n">
        <v>0</v>
      </c>
      <c r="O224" t="n">
        <v>0</v>
      </c>
      <c r="P224" t="n">
        <v>0</v>
      </c>
      <c r="Q224" t="n">
        <v>0</v>
      </c>
      <c r="R224" s="2" t="inlineStr"/>
    </row>
    <row r="225" ht="15" customHeight="1">
      <c r="A225" t="inlineStr">
        <is>
          <t>A 64474-2018</t>
        </is>
      </c>
      <c r="B225" s="1" t="n">
        <v>43431</v>
      </c>
      <c r="C225" s="1" t="n">
        <v>45265</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64511-2018</t>
        </is>
      </c>
      <c r="B226" s="1" t="n">
        <v>43431</v>
      </c>
      <c r="C226" s="1" t="n">
        <v>45265</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64470-2018</t>
        </is>
      </c>
      <c r="B227" s="1" t="n">
        <v>43431</v>
      </c>
      <c r="C227" s="1" t="n">
        <v>45265</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64501-2018</t>
        </is>
      </c>
      <c r="B228" s="1" t="n">
        <v>43431</v>
      </c>
      <c r="C228" s="1" t="n">
        <v>45265</v>
      </c>
      <c r="D228" t="inlineStr">
        <is>
          <t>VÄRMLANDS LÄN</t>
        </is>
      </c>
      <c r="E228" t="inlineStr">
        <is>
          <t>TORSBY</t>
        </is>
      </c>
      <c r="G228" t="n">
        <v>2.9</v>
      </c>
      <c r="H228" t="n">
        <v>0</v>
      </c>
      <c r="I228" t="n">
        <v>0</v>
      </c>
      <c r="J228" t="n">
        <v>0</v>
      </c>
      <c r="K228" t="n">
        <v>0</v>
      </c>
      <c r="L228" t="n">
        <v>0</v>
      </c>
      <c r="M228" t="n">
        <v>0</v>
      </c>
      <c r="N228" t="n">
        <v>0</v>
      </c>
      <c r="O228" t="n">
        <v>0</v>
      </c>
      <c r="P228" t="n">
        <v>0</v>
      </c>
      <c r="Q228" t="n">
        <v>0</v>
      </c>
      <c r="R228" s="2" t="inlineStr"/>
    </row>
    <row r="229" ht="15" customHeight="1">
      <c r="A229" t="inlineStr">
        <is>
          <t>A 67127-2018</t>
        </is>
      </c>
      <c r="B229" s="1" t="n">
        <v>43431</v>
      </c>
      <c r="C229" s="1" t="n">
        <v>45265</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65705-2018</t>
        </is>
      </c>
      <c r="B230" s="1" t="n">
        <v>43433</v>
      </c>
      <c r="C230" s="1" t="n">
        <v>45265</v>
      </c>
      <c r="D230" t="inlineStr">
        <is>
          <t>VÄRMLANDS LÄN</t>
        </is>
      </c>
      <c r="E230" t="inlineStr">
        <is>
          <t>TORSBY</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65743-2018</t>
        </is>
      </c>
      <c r="B231" s="1" t="n">
        <v>43433</v>
      </c>
      <c r="C231" s="1" t="n">
        <v>45265</v>
      </c>
      <c r="D231" t="inlineStr">
        <is>
          <t>VÄRMLANDS LÄN</t>
        </is>
      </c>
      <c r="E231" t="inlineStr">
        <is>
          <t>TORSBY</t>
        </is>
      </c>
      <c r="G231" t="n">
        <v>5</v>
      </c>
      <c r="H231" t="n">
        <v>0</v>
      </c>
      <c r="I231" t="n">
        <v>0</v>
      </c>
      <c r="J231" t="n">
        <v>0</v>
      </c>
      <c r="K231" t="n">
        <v>0</v>
      </c>
      <c r="L231" t="n">
        <v>0</v>
      </c>
      <c r="M231" t="n">
        <v>0</v>
      </c>
      <c r="N231" t="n">
        <v>0</v>
      </c>
      <c r="O231" t="n">
        <v>0</v>
      </c>
      <c r="P231" t="n">
        <v>0</v>
      </c>
      <c r="Q231" t="n">
        <v>0</v>
      </c>
      <c r="R231" s="2" t="inlineStr"/>
    </row>
    <row r="232" ht="15" customHeight="1">
      <c r="A232" t="inlineStr">
        <is>
          <t>A 65890-2018</t>
        </is>
      </c>
      <c r="B232" s="1" t="n">
        <v>43434</v>
      </c>
      <c r="C232" s="1" t="n">
        <v>45265</v>
      </c>
      <c r="D232" t="inlineStr">
        <is>
          <t>VÄRMLANDS LÄN</t>
        </is>
      </c>
      <c r="E232" t="inlineStr">
        <is>
          <t>TORSBY</t>
        </is>
      </c>
      <c r="G232" t="n">
        <v>3.3</v>
      </c>
      <c r="H232" t="n">
        <v>0</v>
      </c>
      <c r="I232" t="n">
        <v>0</v>
      </c>
      <c r="J232" t="n">
        <v>0</v>
      </c>
      <c r="K232" t="n">
        <v>0</v>
      </c>
      <c r="L232" t="n">
        <v>0</v>
      </c>
      <c r="M232" t="n">
        <v>0</v>
      </c>
      <c r="N232" t="n">
        <v>0</v>
      </c>
      <c r="O232" t="n">
        <v>0</v>
      </c>
      <c r="P232" t="n">
        <v>0</v>
      </c>
      <c r="Q232" t="n">
        <v>0</v>
      </c>
      <c r="R232" s="2" t="inlineStr"/>
    </row>
    <row r="233" ht="15" customHeight="1">
      <c r="A233" t="inlineStr">
        <is>
          <t>A 65969-2018</t>
        </is>
      </c>
      <c r="B233" s="1" t="n">
        <v>43434</v>
      </c>
      <c r="C233" s="1" t="n">
        <v>45265</v>
      </c>
      <c r="D233" t="inlineStr">
        <is>
          <t>VÄRMLANDS LÄN</t>
        </is>
      </c>
      <c r="E233" t="inlineStr">
        <is>
          <t>TORSBY</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66153-2018</t>
        </is>
      </c>
      <c r="B234" s="1" t="n">
        <v>43434</v>
      </c>
      <c r="C234" s="1" t="n">
        <v>45265</v>
      </c>
      <c r="D234" t="inlineStr">
        <is>
          <t>VÄRMLANDS LÄN</t>
        </is>
      </c>
      <c r="E234" t="inlineStr">
        <is>
          <t>TORSBY</t>
        </is>
      </c>
      <c r="G234" t="n">
        <v>3.7</v>
      </c>
      <c r="H234" t="n">
        <v>0</v>
      </c>
      <c r="I234" t="n">
        <v>0</v>
      </c>
      <c r="J234" t="n">
        <v>0</v>
      </c>
      <c r="K234" t="n">
        <v>0</v>
      </c>
      <c r="L234" t="n">
        <v>0</v>
      </c>
      <c r="M234" t="n">
        <v>0</v>
      </c>
      <c r="N234" t="n">
        <v>0</v>
      </c>
      <c r="O234" t="n">
        <v>0</v>
      </c>
      <c r="P234" t="n">
        <v>0</v>
      </c>
      <c r="Q234" t="n">
        <v>0</v>
      </c>
      <c r="R234" s="2" t="inlineStr"/>
    </row>
    <row r="235" ht="15" customHeight="1">
      <c r="A235" t="inlineStr">
        <is>
          <t>A 66970-2018</t>
        </is>
      </c>
      <c r="B235" s="1" t="n">
        <v>43438</v>
      </c>
      <c r="C235" s="1" t="n">
        <v>45265</v>
      </c>
      <c r="D235" t="inlineStr">
        <is>
          <t>VÄRMLANDS LÄN</t>
        </is>
      </c>
      <c r="E235" t="inlineStr">
        <is>
          <t>TORSBY</t>
        </is>
      </c>
      <c r="G235" t="n">
        <v>3.2</v>
      </c>
      <c r="H235" t="n">
        <v>0</v>
      </c>
      <c r="I235" t="n">
        <v>0</v>
      </c>
      <c r="J235" t="n">
        <v>0</v>
      </c>
      <c r="K235" t="n">
        <v>0</v>
      </c>
      <c r="L235" t="n">
        <v>0</v>
      </c>
      <c r="M235" t="n">
        <v>0</v>
      </c>
      <c r="N235" t="n">
        <v>0</v>
      </c>
      <c r="O235" t="n">
        <v>0</v>
      </c>
      <c r="P235" t="n">
        <v>0</v>
      </c>
      <c r="Q235" t="n">
        <v>0</v>
      </c>
      <c r="R235" s="2" t="inlineStr"/>
    </row>
    <row r="236" ht="15" customHeight="1">
      <c r="A236" t="inlineStr">
        <is>
          <t>A 67095-2018</t>
        </is>
      </c>
      <c r="B236" s="1" t="n">
        <v>43438</v>
      </c>
      <c r="C236" s="1" t="n">
        <v>45265</v>
      </c>
      <c r="D236" t="inlineStr">
        <is>
          <t>VÄRMLANDS LÄN</t>
        </is>
      </c>
      <c r="E236" t="inlineStr">
        <is>
          <t>TORSBY</t>
        </is>
      </c>
      <c r="G236" t="n">
        <v>3.9</v>
      </c>
      <c r="H236" t="n">
        <v>0</v>
      </c>
      <c r="I236" t="n">
        <v>0</v>
      </c>
      <c r="J236" t="n">
        <v>0</v>
      </c>
      <c r="K236" t="n">
        <v>0</v>
      </c>
      <c r="L236" t="n">
        <v>0</v>
      </c>
      <c r="M236" t="n">
        <v>0</v>
      </c>
      <c r="N236" t="n">
        <v>0</v>
      </c>
      <c r="O236" t="n">
        <v>0</v>
      </c>
      <c r="P236" t="n">
        <v>0</v>
      </c>
      <c r="Q236" t="n">
        <v>0</v>
      </c>
      <c r="R236" s="2" t="inlineStr"/>
    </row>
    <row r="237" ht="15" customHeight="1">
      <c r="A237" t="inlineStr">
        <is>
          <t>A 66752-2018</t>
        </is>
      </c>
      <c r="B237" s="1" t="n">
        <v>43438</v>
      </c>
      <c r="C237" s="1" t="n">
        <v>45265</v>
      </c>
      <c r="D237" t="inlineStr">
        <is>
          <t>VÄRMLANDS LÄN</t>
        </is>
      </c>
      <c r="E237" t="inlineStr">
        <is>
          <t>TORSBY</t>
        </is>
      </c>
      <c r="G237" t="n">
        <v>5</v>
      </c>
      <c r="H237" t="n">
        <v>0</v>
      </c>
      <c r="I237" t="n">
        <v>0</v>
      </c>
      <c r="J237" t="n">
        <v>0</v>
      </c>
      <c r="K237" t="n">
        <v>0</v>
      </c>
      <c r="L237" t="n">
        <v>0</v>
      </c>
      <c r="M237" t="n">
        <v>0</v>
      </c>
      <c r="N237" t="n">
        <v>0</v>
      </c>
      <c r="O237" t="n">
        <v>0</v>
      </c>
      <c r="P237" t="n">
        <v>0</v>
      </c>
      <c r="Q237" t="n">
        <v>0</v>
      </c>
      <c r="R237" s="2" t="inlineStr"/>
    </row>
    <row r="238" ht="15" customHeight="1">
      <c r="A238" t="inlineStr">
        <is>
          <t>A 67878-2018</t>
        </is>
      </c>
      <c r="B238" s="1" t="n">
        <v>43440</v>
      </c>
      <c r="C238" s="1" t="n">
        <v>45265</v>
      </c>
      <c r="D238" t="inlineStr">
        <is>
          <t>VÄRMLANDS LÄN</t>
        </is>
      </c>
      <c r="E238" t="inlineStr">
        <is>
          <t>TORSBY</t>
        </is>
      </c>
      <c r="F238" t="inlineStr">
        <is>
          <t>Bergvik skog väst AB</t>
        </is>
      </c>
      <c r="G238" t="n">
        <v>9.6</v>
      </c>
      <c r="H238" t="n">
        <v>0</v>
      </c>
      <c r="I238" t="n">
        <v>0</v>
      </c>
      <c r="J238" t="n">
        <v>0</v>
      </c>
      <c r="K238" t="n">
        <v>0</v>
      </c>
      <c r="L238" t="n">
        <v>0</v>
      </c>
      <c r="M238" t="n">
        <v>0</v>
      </c>
      <c r="N238" t="n">
        <v>0</v>
      </c>
      <c r="O238" t="n">
        <v>0</v>
      </c>
      <c r="P238" t="n">
        <v>0</v>
      </c>
      <c r="Q238" t="n">
        <v>0</v>
      </c>
      <c r="R238" s="2" t="inlineStr"/>
    </row>
    <row r="239" ht="15" customHeight="1">
      <c r="A239" t="inlineStr">
        <is>
          <t>A 67730-2018</t>
        </is>
      </c>
      <c r="B239" s="1" t="n">
        <v>43440</v>
      </c>
      <c r="C239" s="1" t="n">
        <v>45265</v>
      </c>
      <c r="D239" t="inlineStr">
        <is>
          <t>VÄRMLANDS LÄN</t>
        </is>
      </c>
      <c r="E239" t="inlineStr">
        <is>
          <t>TORSBY</t>
        </is>
      </c>
      <c r="F239" t="inlineStr">
        <is>
          <t>Bergvik skog väst AB</t>
        </is>
      </c>
      <c r="G239" t="n">
        <v>9.1</v>
      </c>
      <c r="H239" t="n">
        <v>0</v>
      </c>
      <c r="I239" t="n">
        <v>0</v>
      </c>
      <c r="J239" t="n">
        <v>0</v>
      </c>
      <c r="K239" t="n">
        <v>0</v>
      </c>
      <c r="L239" t="n">
        <v>0</v>
      </c>
      <c r="M239" t="n">
        <v>0</v>
      </c>
      <c r="N239" t="n">
        <v>0</v>
      </c>
      <c r="O239" t="n">
        <v>0</v>
      </c>
      <c r="P239" t="n">
        <v>0</v>
      </c>
      <c r="Q239" t="n">
        <v>0</v>
      </c>
      <c r="R239" s="2" t="inlineStr"/>
    </row>
    <row r="240" ht="15" customHeight="1">
      <c r="A240" t="inlineStr">
        <is>
          <t>A 67784-2018</t>
        </is>
      </c>
      <c r="B240" s="1" t="n">
        <v>43440</v>
      </c>
      <c r="C240" s="1" t="n">
        <v>45265</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69134-2018</t>
        </is>
      </c>
      <c r="B241" s="1" t="n">
        <v>43440</v>
      </c>
      <c r="C241" s="1" t="n">
        <v>45265</v>
      </c>
      <c r="D241" t="inlineStr">
        <is>
          <t>VÄRMLANDS LÄN</t>
        </is>
      </c>
      <c r="E241" t="inlineStr">
        <is>
          <t>TORSBY</t>
        </is>
      </c>
      <c r="F241" t="inlineStr">
        <is>
          <t>Kyrkan</t>
        </is>
      </c>
      <c r="G241" t="n">
        <v>2.9</v>
      </c>
      <c r="H241" t="n">
        <v>0</v>
      </c>
      <c r="I241" t="n">
        <v>0</v>
      </c>
      <c r="J241" t="n">
        <v>0</v>
      </c>
      <c r="K241" t="n">
        <v>0</v>
      </c>
      <c r="L241" t="n">
        <v>0</v>
      </c>
      <c r="M241" t="n">
        <v>0</v>
      </c>
      <c r="N241" t="n">
        <v>0</v>
      </c>
      <c r="O241" t="n">
        <v>0</v>
      </c>
      <c r="P241" t="n">
        <v>0</v>
      </c>
      <c r="Q241" t="n">
        <v>0</v>
      </c>
      <c r="R241" s="2" t="inlineStr"/>
    </row>
    <row r="242" ht="15" customHeight="1">
      <c r="A242" t="inlineStr">
        <is>
          <t>A 68647-2018</t>
        </is>
      </c>
      <c r="B242" s="1" t="n">
        <v>43444</v>
      </c>
      <c r="C242" s="1" t="n">
        <v>45265</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68720-2018</t>
        </is>
      </c>
      <c r="B243" s="1" t="n">
        <v>43444</v>
      </c>
      <c r="C243" s="1" t="n">
        <v>45265</v>
      </c>
      <c r="D243" t="inlineStr">
        <is>
          <t>VÄRMLANDS LÄN</t>
        </is>
      </c>
      <c r="E243" t="inlineStr">
        <is>
          <t>TORSBY</t>
        </is>
      </c>
      <c r="F243" t="inlineStr">
        <is>
          <t>Bergvik skog väst AB</t>
        </is>
      </c>
      <c r="G243" t="n">
        <v>35.1</v>
      </c>
      <c r="H243" t="n">
        <v>0</v>
      </c>
      <c r="I243" t="n">
        <v>0</v>
      </c>
      <c r="J243" t="n">
        <v>0</v>
      </c>
      <c r="K243" t="n">
        <v>0</v>
      </c>
      <c r="L243" t="n">
        <v>0</v>
      </c>
      <c r="M243" t="n">
        <v>0</v>
      </c>
      <c r="N243" t="n">
        <v>0</v>
      </c>
      <c r="O243" t="n">
        <v>0</v>
      </c>
      <c r="P243" t="n">
        <v>0</v>
      </c>
      <c r="Q243" t="n">
        <v>0</v>
      </c>
      <c r="R243" s="2" t="inlineStr"/>
    </row>
    <row r="244" ht="15" customHeight="1">
      <c r="A244" t="inlineStr">
        <is>
          <t>A 68791-2018</t>
        </is>
      </c>
      <c r="B244" s="1" t="n">
        <v>43444</v>
      </c>
      <c r="C244" s="1" t="n">
        <v>45265</v>
      </c>
      <c r="D244" t="inlineStr">
        <is>
          <t>VÄRMLANDS LÄN</t>
        </is>
      </c>
      <c r="E244" t="inlineStr">
        <is>
          <t>TORSBY</t>
        </is>
      </c>
      <c r="G244" t="n">
        <v>3.4</v>
      </c>
      <c r="H244" t="n">
        <v>0</v>
      </c>
      <c r="I244" t="n">
        <v>0</v>
      </c>
      <c r="J244" t="n">
        <v>0</v>
      </c>
      <c r="K244" t="n">
        <v>0</v>
      </c>
      <c r="L244" t="n">
        <v>0</v>
      </c>
      <c r="M244" t="n">
        <v>0</v>
      </c>
      <c r="N244" t="n">
        <v>0</v>
      </c>
      <c r="O244" t="n">
        <v>0</v>
      </c>
      <c r="P244" t="n">
        <v>0</v>
      </c>
      <c r="Q244" t="n">
        <v>0</v>
      </c>
      <c r="R244" s="2" t="inlineStr"/>
    </row>
    <row r="245" ht="15" customHeight="1">
      <c r="A245" t="inlineStr">
        <is>
          <t>A 69135-2018</t>
        </is>
      </c>
      <c r="B245" s="1" t="n">
        <v>43445</v>
      </c>
      <c r="C245" s="1" t="n">
        <v>45265</v>
      </c>
      <c r="D245" t="inlineStr">
        <is>
          <t>VÄRMLANDS LÄN</t>
        </is>
      </c>
      <c r="E245" t="inlineStr">
        <is>
          <t>TORSBY</t>
        </is>
      </c>
      <c r="F245" t="inlineStr">
        <is>
          <t>Bergvik skog väst AB</t>
        </is>
      </c>
      <c r="G245" t="n">
        <v>19.6</v>
      </c>
      <c r="H245" t="n">
        <v>0</v>
      </c>
      <c r="I245" t="n">
        <v>0</v>
      </c>
      <c r="J245" t="n">
        <v>0</v>
      </c>
      <c r="K245" t="n">
        <v>0</v>
      </c>
      <c r="L245" t="n">
        <v>0</v>
      </c>
      <c r="M245" t="n">
        <v>0</v>
      </c>
      <c r="N245" t="n">
        <v>0</v>
      </c>
      <c r="O245" t="n">
        <v>0</v>
      </c>
      <c r="P245" t="n">
        <v>0</v>
      </c>
      <c r="Q245" t="n">
        <v>0</v>
      </c>
      <c r="R245" s="2" t="inlineStr"/>
    </row>
    <row r="246" ht="15" customHeight="1">
      <c r="A246" t="inlineStr">
        <is>
          <t>A 69293-2018</t>
        </is>
      </c>
      <c r="B246" s="1" t="n">
        <v>43446</v>
      </c>
      <c r="C246" s="1" t="n">
        <v>45265</v>
      </c>
      <c r="D246" t="inlineStr">
        <is>
          <t>VÄRMLANDS LÄN</t>
        </is>
      </c>
      <c r="E246" t="inlineStr">
        <is>
          <t>TORSBY</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69297-2018</t>
        </is>
      </c>
      <c r="B247" s="1" t="n">
        <v>43446</v>
      </c>
      <c r="C247" s="1" t="n">
        <v>45265</v>
      </c>
      <c r="D247" t="inlineStr">
        <is>
          <t>VÄRMLANDS LÄN</t>
        </is>
      </c>
      <c r="E247" t="inlineStr">
        <is>
          <t>TORSBY</t>
        </is>
      </c>
      <c r="F247" t="inlineStr">
        <is>
          <t>Bergvik skog väst AB</t>
        </is>
      </c>
      <c r="G247" t="n">
        <v>10.8</v>
      </c>
      <c r="H247" t="n">
        <v>0</v>
      </c>
      <c r="I247" t="n">
        <v>0</v>
      </c>
      <c r="J247" t="n">
        <v>0</v>
      </c>
      <c r="K247" t="n">
        <v>0</v>
      </c>
      <c r="L247" t="n">
        <v>0</v>
      </c>
      <c r="M247" t="n">
        <v>0</v>
      </c>
      <c r="N247" t="n">
        <v>0</v>
      </c>
      <c r="O247" t="n">
        <v>0</v>
      </c>
      <c r="P247" t="n">
        <v>0</v>
      </c>
      <c r="Q247" t="n">
        <v>0</v>
      </c>
      <c r="R247" s="2" t="inlineStr"/>
    </row>
    <row r="248" ht="15" customHeight="1">
      <c r="A248" t="inlineStr">
        <is>
          <t>A 69552-2018</t>
        </is>
      </c>
      <c r="B248" s="1" t="n">
        <v>43446</v>
      </c>
      <c r="C248" s="1" t="n">
        <v>45265</v>
      </c>
      <c r="D248" t="inlineStr">
        <is>
          <t>VÄRMLANDS LÄN</t>
        </is>
      </c>
      <c r="E248" t="inlineStr">
        <is>
          <t>TORSBY</t>
        </is>
      </c>
      <c r="G248" t="n">
        <v>1.5</v>
      </c>
      <c r="H248" t="n">
        <v>0</v>
      </c>
      <c r="I248" t="n">
        <v>0</v>
      </c>
      <c r="J248" t="n">
        <v>0</v>
      </c>
      <c r="K248" t="n">
        <v>0</v>
      </c>
      <c r="L248" t="n">
        <v>0</v>
      </c>
      <c r="M248" t="n">
        <v>0</v>
      </c>
      <c r="N248" t="n">
        <v>0</v>
      </c>
      <c r="O248" t="n">
        <v>0</v>
      </c>
      <c r="P248" t="n">
        <v>0</v>
      </c>
      <c r="Q248" t="n">
        <v>0</v>
      </c>
      <c r="R248" s="2" t="inlineStr"/>
    </row>
    <row r="249" ht="15" customHeight="1">
      <c r="A249" t="inlineStr">
        <is>
          <t>A 69817-2018</t>
        </is>
      </c>
      <c r="B249" s="1" t="n">
        <v>43447</v>
      </c>
      <c r="C249" s="1" t="n">
        <v>45265</v>
      </c>
      <c r="D249" t="inlineStr">
        <is>
          <t>VÄRMLANDS LÄN</t>
        </is>
      </c>
      <c r="E249" t="inlineStr">
        <is>
          <t>TORSBY</t>
        </is>
      </c>
      <c r="G249" t="n">
        <v>2.6</v>
      </c>
      <c r="H249" t="n">
        <v>0</v>
      </c>
      <c r="I249" t="n">
        <v>0</v>
      </c>
      <c r="J249" t="n">
        <v>0</v>
      </c>
      <c r="K249" t="n">
        <v>0</v>
      </c>
      <c r="L249" t="n">
        <v>0</v>
      </c>
      <c r="M249" t="n">
        <v>0</v>
      </c>
      <c r="N249" t="n">
        <v>0</v>
      </c>
      <c r="O249" t="n">
        <v>0</v>
      </c>
      <c r="P249" t="n">
        <v>0</v>
      </c>
      <c r="Q249" t="n">
        <v>0</v>
      </c>
      <c r="R249" s="2" t="inlineStr"/>
    </row>
    <row r="250" ht="15" customHeight="1">
      <c r="A250" t="inlineStr">
        <is>
          <t>A 70225-2018</t>
        </is>
      </c>
      <c r="B250" s="1" t="n">
        <v>43448</v>
      </c>
      <c r="C250" s="1" t="n">
        <v>45265</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70226-2018</t>
        </is>
      </c>
      <c r="B251" s="1" t="n">
        <v>43448</v>
      </c>
      <c r="C251" s="1" t="n">
        <v>45265</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71262-2018</t>
        </is>
      </c>
      <c r="B252" s="1" t="n">
        <v>43453</v>
      </c>
      <c r="C252" s="1" t="n">
        <v>45265</v>
      </c>
      <c r="D252" t="inlineStr">
        <is>
          <t>VÄRMLANDS LÄN</t>
        </is>
      </c>
      <c r="E252" t="inlineStr">
        <is>
          <t>TORSBY</t>
        </is>
      </c>
      <c r="F252" t="inlineStr">
        <is>
          <t>Övriga statliga verk och myndigheter</t>
        </is>
      </c>
      <c r="G252" t="n">
        <v>4</v>
      </c>
      <c r="H252" t="n">
        <v>0</v>
      </c>
      <c r="I252" t="n">
        <v>0</v>
      </c>
      <c r="J252" t="n">
        <v>0</v>
      </c>
      <c r="K252" t="n">
        <v>0</v>
      </c>
      <c r="L252" t="n">
        <v>0</v>
      </c>
      <c r="M252" t="n">
        <v>0</v>
      </c>
      <c r="N252" t="n">
        <v>0</v>
      </c>
      <c r="O252" t="n">
        <v>0</v>
      </c>
      <c r="P252" t="n">
        <v>0</v>
      </c>
      <c r="Q252" t="n">
        <v>0</v>
      </c>
      <c r="R252" s="2" t="inlineStr"/>
    </row>
    <row r="253" ht="15" customHeight="1">
      <c r="A253" t="inlineStr">
        <is>
          <t>A 71959-2018</t>
        </is>
      </c>
      <c r="B253" s="1" t="n">
        <v>43453</v>
      </c>
      <c r="C253" s="1" t="n">
        <v>45265</v>
      </c>
      <c r="D253" t="inlineStr">
        <is>
          <t>VÄRMLANDS LÄN</t>
        </is>
      </c>
      <c r="E253" t="inlineStr">
        <is>
          <t>TORSBY</t>
        </is>
      </c>
      <c r="F253" t="inlineStr">
        <is>
          <t>Kyrkan</t>
        </is>
      </c>
      <c r="G253" t="n">
        <v>2.8</v>
      </c>
      <c r="H253" t="n">
        <v>0</v>
      </c>
      <c r="I253" t="n">
        <v>0</v>
      </c>
      <c r="J253" t="n">
        <v>0</v>
      </c>
      <c r="K253" t="n">
        <v>0</v>
      </c>
      <c r="L253" t="n">
        <v>0</v>
      </c>
      <c r="M253" t="n">
        <v>0</v>
      </c>
      <c r="N253" t="n">
        <v>0</v>
      </c>
      <c r="O253" t="n">
        <v>0</v>
      </c>
      <c r="P253" t="n">
        <v>0</v>
      </c>
      <c r="Q253" t="n">
        <v>0</v>
      </c>
      <c r="R253" s="2" t="inlineStr"/>
    </row>
    <row r="254" ht="15" customHeight="1">
      <c r="A254" t="inlineStr">
        <is>
          <t>A 71368-2018</t>
        </is>
      </c>
      <c r="B254" s="1" t="n">
        <v>43453</v>
      </c>
      <c r="C254" s="1" t="n">
        <v>45265</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71217-2018</t>
        </is>
      </c>
      <c r="B255" s="1" t="n">
        <v>43453</v>
      </c>
      <c r="C255" s="1" t="n">
        <v>45265</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71376-2018</t>
        </is>
      </c>
      <c r="B256" s="1" t="n">
        <v>43453</v>
      </c>
      <c r="C256" s="1" t="n">
        <v>45265</v>
      </c>
      <c r="D256" t="inlineStr">
        <is>
          <t>VÄRMLANDS LÄN</t>
        </is>
      </c>
      <c r="E256" t="inlineStr">
        <is>
          <t>TORSBY</t>
        </is>
      </c>
      <c r="G256" t="n">
        <v>7.6</v>
      </c>
      <c r="H256" t="n">
        <v>0</v>
      </c>
      <c r="I256" t="n">
        <v>0</v>
      </c>
      <c r="J256" t="n">
        <v>0</v>
      </c>
      <c r="K256" t="n">
        <v>0</v>
      </c>
      <c r="L256" t="n">
        <v>0</v>
      </c>
      <c r="M256" t="n">
        <v>0</v>
      </c>
      <c r="N256" t="n">
        <v>0</v>
      </c>
      <c r="O256" t="n">
        <v>0</v>
      </c>
      <c r="P256" t="n">
        <v>0</v>
      </c>
      <c r="Q256" t="n">
        <v>0</v>
      </c>
      <c r="R256" s="2" t="inlineStr"/>
    </row>
    <row r="257" ht="15" customHeight="1">
      <c r="A257" t="inlineStr">
        <is>
          <t>A 71381-2018</t>
        </is>
      </c>
      <c r="B257" s="1" t="n">
        <v>43453</v>
      </c>
      <c r="C257" s="1" t="n">
        <v>45265</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71632-2018</t>
        </is>
      </c>
      <c r="B258" s="1" t="n">
        <v>43454</v>
      </c>
      <c r="C258" s="1" t="n">
        <v>45265</v>
      </c>
      <c r="D258" t="inlineStr">
        <is>
          <t>VÄRMLANDS LÄN</t>
        </is>
      </c>
      <c r="E258" t="inlineStr">
        <is>
          <t>TORSBY</t>
        </is>
      </c>
      <c r="F258" t="inlineStr">
        <is>
          <t>Naturvårdsverket</t>
        </is>
      </c>
      <c r="G258" t="n">
        <v>5.3</v>
      </c>
      <c r="H258" t="n">
        <v>0</v>
      </c>
      <c r="I258" t="n">
        <v>0</v>
      </c>
      <c r="J258" t="n">
        <v>0</v>
      </c>
      <c r="K258" t="n">
        <v>0</v>
      </c>
      <c r="L258" t="n">
        <v>0</v>
      </c>
      <c r="M258" t="n">
        <v>0</v>
      </c>
      <c r="N258" t="n">
        <v>0</v>
      </c>
      <c r="O258" t="n">
        <v>0</v>
      </c>
      <c r="P258" t="n">
        <v>0</v>
      </c>
      <c r="Q258" t="n">
        <v>0</v>
      </c>
      <c r="R258" s="2" t="inlineStr"/>
    </row>
    <row r="259" ht="15" customHeight="1">
      <c r="A259" t="inlineStr">
        <is>
          <t>A 71917-2018</t>
        </is>
      </c>
      <c r="B259" s="1" t="n">
        <v>43455</v>
      </c>
      <c r="C259" s="1" t="n">
        <v>45265</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71954-2018</t>
        </is>
      </c>
      <c r="B260" s="1" t="n">
        <v>43455</v>
      </c>
      <c r="C260" s="1" t="n">
        <v>45265</v>
      </c>
      <c r="D260" t="inlineStr">
        <is>
          <t>VÄRMLANDS LÄN</t>
        </is>
      </c>
      <c r="E260" t="inlineStr">
        <is>
          <t>TORSBY</t>
        </is>
      </c>
      <c r="F260" t="inlineStr">
        <is>
          <t>Bergvik skog väst AB</t>
        </is>
      </c>
      <c r="G260" t="n">
        <v>48.7</v>
      </c>
      <c r="H260" t="n">
        <v>0</v>
      </c>
      <c r="I260" t="n">
        <v>0</v>
      </c>
      <c r="J260" t="n">
        <v>0</v>
      </c>
      <c r="K260" t="n">
        <v>0</v>
      </c>
      <c r="L260" t="n">
        <v>0</v>
      </c>
      <c r="M260" t="n">
        <v>0</v>
      </c>
      <c r="N260" t="n">
        <v>0</v>
      </c>
      <c r="O260" t="n">
        <v>0</v>
      </c>
      <c r="P260" t="n">
        <v>0</v>
      </c>
      <c r="Q260" t="n">
        <v>0</v>
      </c>
      <c r="R260" s="2" t="inlineStr"/>
    </row>
    <row r="261" ht="15" customHeight="1">
      <c r="A261" t="inlineStr">
        <is>
          <t>A 72401-2018</t>
        </is>
      </c>
      <c r="B261" s="1" t="n">
        <v>43461</v>
      </c>
      <c r="C261" s="1" t="n">
        <v>45265</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72531-2018</t>
        </is>
      </c>
      <c r="B262" s="1" t="n">
        <v>43462</v>
      </c>
      <c r="C262" s="1" t="n">
        <v>45265</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72533-2018</t>
        </is>
      </c>
      <c r="B263" s="1" t="n">
        <v>43462</v>
      </c>
      <c r="C263" s="1" t="n">
        <v>45265</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72606-2018</t>
        </is>
      </c>
      <c r="B264" s="1" t="n">
        <v>43463</v>
      </c>
      <c r="C264" s="1" t="n">
        <v>45265</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72648-2018</t>
        </is>
      </c>
      <c r="B265" s="1" t="n">
        <v>43465</v>
      </c>
      <c r="C265" s="1" t="n">
        <v>45265</v>
      </c>
      <c r="D265" t="inlineStr">
        <is>
          <t>VÄRMLANDS LÄN</t>
        </is>
      </c>
      <c r="E265" t="inlineStr">
        <is>
          <t>TORSBY</t>
        </is>
      </c>
      <c r="G265" t="n">
        <v>4.9</v>
      </c>
      <c r="H265" t="n">
        <v>0</v>
      </c>
      <c r="I265" t="n">
        <v>0</v>
      </c>
      <c r="J265" t="n">
        <v>0</v>
      </c>
      <c r="K265" t="n">
        <v>0</v>
      </c>
      <c r="L265" t="n">
        <v>0</v>
      </c>
      <c r="M265" t="n">
        <v>0</v>
      </c>
      <c r="N265" t="n">
        <v>0</v>
      </c>
      <c r="O265" t="n">
        <v>0</v>
      </c>
      <c r="P265" t="n">
        <v>0</v>
      </c>
      <c r="Q265" t="n">
        <v>0</v>
      </c>
      <c r="R265" s="2" t="inlineStr"/>
    </row>
    <row r="266" ht="15" customHeight="1">
      <c r="A266" t="inlineStr">
        <is>
          <t>A 22-2019</t>
        </is>
      </c>
      <c r="B266" s="1" t="n">
        <v>43466</v>
      </c>
      <c r="C266" s="1" t="n">
        <v>45265</v>
      </c>
      <c r="D266" t="inlineStr">
        <is>
          <t>VÄRMLANDS LÄN</t>
        </is>
      </c>
      <c r="E266" t="inlineStr">
        <is>
          <t>TORSBY</t>
        </is>
      </c>
      <c r="G266" t="n">
        <v>3.2</v>
      </c>
      <c r="H266" t="n">
        <v>0</v>
      </c>
      <c r="I266" t="n">
        <v>0</v>
      </c>
      <c r="J266" t="n">
        <v>0</v>
      </c>
      <c r="K266" t="n">
        <v>0</v>
      </c>
      <c r="L266" t="n">
        <v>0</v>
      </c>
      <c r="M266" t="n">
        <v>0</v>
      </c>
      <c r="N266" t="n">
        <v>0</v>
      </c>
      <c r="O266" t="n">
        <v>0</v>
      </c>
      <c r="P266" t="n">
        <v>0</v>
      </c>
      <c r="Q266" t="n">
        <v>0</v>
      </c>
      <c r="R266" s="2" t="inlineStr"/>
    </row>
    <row r="267" ht="15" customHeight="1">
      <c r="A267" t="inlineStr">
        <is>
          <t>A 152-2019</t>
        </is>
      </c>
      <c r="B267" s="1" t="n">
        <v>43467</v>
      </c>
      <c r="C267" s="1" t="n">
        <v>45265</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227-2019</t>
        </is>
      </c>
      <c r="B268" s="1" t="n">
        <v>43467</v>
      </c>
      <c r="C268" s="1" t="n">
        <v>45265</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223-2019</t>
        </is>
      </c>
      <c r="B269" s="1" t="n">
        <v>43467</v>
      </c>
      <c r="C269" s="1" t="n">
        <v>45265</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226-2019</t>
        </is>
      </c>
      <c r="B270" s="1" t="n">
        <v>43467</v>
      </c>
      <c r="C270" s="1" t="n">
        <v>45265</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319-2019</t>
        </is>
      </c>
      <c r="B271" s="1" t="n">
        <v>43468</v>
      </c>
      <c r="C271" s="1" t="n">
        <v>45265</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2161-2019</t>
        </is>
      </c>
      <c r="B272" s="1" t="n">
        <v>43468</v>
      </c>
      <c r="C272" s="1" t="n">
        <v>45265</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323-2019</t>
        </is>
      </c>
      <c r="B273" s="1" t="n">
        <v>43468</v>
      </c>
      <c r="C273" s="1" t="n">
        <v>45265</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666-2019</t>
        </is>
      </c>
      <c r="B274" s="1" t="n">
        <v>43469</v>
      </c>
      <c r="C274" s="1" t="n">
        <v>45265</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1047-2019</t>
        </is>
      </c>
      <c r="B275" s="1" t="n">
        <v>43472</v>
      </c>
      <c r="C275" s="1" t="n">
        <v>45265</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830-2019</t>
        </is>
      </c>
      <c r="B276" s="1" t="n">
        <v>43472</v>
      </c>
      <c r="C276" s="1" t="n">
        <v>45265</v>
      </c>
      <c r="D276" t="inlineStr">
        <is>
          <t>VÄRMLANDS LÄN</t>
        </is>
      </c>
      <c r="E276" t="inlineStr">
        <is>
          <t>TORSBY</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1372-2019</t>
        </is>
      </c>
      <c r="B277" s="1" t="n">
        <v>43473</v>
      </c>
      <c r="C277" s="1" t="n">
        <v>45265</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1482-2019</t>
        </is>
      </c>
      <c r="B278" s="1" t="n">
        <v>43473</v>
      </c>
      <c r="C278" s="1" t="n">
        <v>45265</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1979-2019</t>
        </is>
      </c>
      <c r="B279" s="1" t="n">
        <v>43475</v>
      </c>
      <c r="C279" s="1" t="n">
        <v>45265</v>
      </c>
      <c r="D279" t="inlineStr">
        <is>
          <t>VÄRMLANDS LÄN</t>
        </is>
      </c>
      <c r="E279" t="inlineStr">
        <is>
          <t>TORSBY</t>
        </is>
      </c>
      <c r="G279" t="n">
        <v>10.7</v>
      </c>
      <c r="H279" t="n">
        <v>0</v>
      </c>
      <c r="I279" t="n">
        <v>0</v>
      </c>
      <c r="J279" t="n">
        <v>0</v>
      </c>
      <c r="K279" t="n">
        <v>0</v>
      </c>
      <c r="L279" t="n">
        <v>0</v>
      </c>
      <c r="M279" t="n">
        <v>0</v>
      </c>
      <c r="N279" t="n">
        <v>0</v>
      </c>
      <c r="O279" t="n">
        <v>0</v>
      </c>
      <c r="P279" t="n">
        <v>0</v>
      </c>
      <c r="Q279" t="n">
        <v>0</v>
      </c>
      <c r="R279" s="2" t="inlineStr"/>
    </row>
    <row r="280" ht="15" customHeight="1">
      <c r="A280" t="inlineStr">
        <is>
          <t>A 2560-2019</t>
        </is>
      </c>
      <c r="B280" s="1" t="n">
        <v>43476</v>
      </c>
      <c r="C280" s="1" t="n">
        <v>45265</v>
      </c>
      <c r="D280" t="inlineStr">
        <is>
          <t>VÄRMLANDS LÄN</t>
        </is>
      </c>
      <c r="E280" t="inlineStr">
        <is>
          <t>TORSBY</t>
        </is>
      </c>
      <c r="G280" t="n">
        <v>2.2</v>
      </c>
      <c r="H280" t="n">
        <v>0</v>
      </c>
      <c r="I280" t="n">
        <v>0</v>
      </c>
      <c r="J280" t="n">
        <v>0</v>
      </c>
      <c r="K280" t="n">
        <v>0</v>
      </c>
      <c r="L280" t="n">
        <v>0</v>
      </c>
      <c r="M280" t="n">
        <v>0</v>
      </c>
      <c r="N280" t="n">
        <v>0</v>
      </c>
      <c r="O280" t="n">
        <v>0</v>
      </c>
      <c r="P280" t="n">
        <v>0</v>
      </c>
      <c r="Q280" t="n">
        <v>0</v>
      </c>
      <c r="R280" s="2" t="inlineStr"/>
    </row>
    <row r="281" ht="15" customHeight="1">
      <c r="A281" t="inlineStr">
        <is>
          <t>A 4317-2019</t>
        </is>
      </c>
      <c r="B281" s="1" t="n">
        <v>43476</v>
      </c>
      <c r="C281" s="1" t="n">
        <v>45265</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4173-2019</t>
        </is>
      </c>
      <c r="B282" s="1" t="n">
        <v>43476</v>
      </c>
      <c r="C282" s="1" t="n">
        <v>45265</v>
      </c>
      <c r="D282" t="inlineStr">
        <is>
          <t>VÄRMLANDS LÄN</t>
        </is>
      </c>
      <c r="E282" t="inlineStr">
        <is>
          <t>TORSBY</t>
        </is>
      </c>
      <c r="G282" t="n">
        <v>4.2</v>
      </c>
      <c r="H282" t="n">
        <v>0</v>
      </c>
      <c r="I282" t="n">
        <v>0</v>
      </c>
      <c r="J282" t="n">
        <v>0</v>
      </c>
      <c r="K282" t="n">
        <v>0</v>
      </c>
      <c r="L282" t="n">
        <v>0</v>
      </c>
      <c r="M282" t="n">
        <v>0</v>
      </c>
      <c r="N282" t="n">
        <v>0</v>
      </c>
      <c r="O282" t="n">
        <v>0</v>
      </c>
      <c r="P282" t="n">
        <v>0</v>
      </c>
      <c r="Q282" t="n">
        <v>0</v>
      </c>
      <c r="R282" s="2" t="inlineStr"/>
    </row>
    <row r="283" ht="15" customHeight="1">
      <c r="A283" t="inlineStr">
        <is>
          <t>A 4305-2019</t>
        </is>
      </c>
      <c r="B283" s="1" t="n">
        <v>43476</v>
      </c>
      <c r="C283" s="1" t="n">
        <v>45265</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4319-2019</t>
        </is>
      </c>
      <c r="B284" s="1" t="n">
        <v>43476</v>
      </c>
      <c r="C284" s="1" t="n">
        <v>45265</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4304-2019</t>
        </is>
      </c>
      <c r="B285" s="1" t="n">
        <v>43476</v>
      </c>
      <c r="C285" s="1" t="n">
        <v>45265</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4300-2019</t>
        </is>
      </c>
      <c r="B286" s="1" t="n">
        <v>43476</v>
      </c>
      <c r="C286" s="1" t="n">
        <v>45265</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2950-2019</t>
        </is>
      </c>
      <c r="B287" s="1" t="n">
        <v>43479</v>
      </c>
      <c r="C287" s="1" t="n">
        <v>45265</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2922-2019</t>
        </is>
      </c>
      <c r="B288" s="1" t="n">
        <v>43479</v>
      </c>
      <c r="C288" s="1" t="n">
        <v>45265</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2945-2019</t>
        </is>
      </c>
      <c r="B289" s="1" t="n">
        <v>43479</v>
      </c>
      <c r="C289" s="1" t="n">
        <v>45265</v>
      </c>
      <c r="D289" t="inlineStr">
        <is>
          <t>VÄRMLANDS LÄN</t>
        </is>
      </c>
      <c r="E289" t="inlineStr">
        <is>
          <t>TORSBY</t>
        </is>
      </c>
      <c r="G289" t="n">
        <v>4.3</v>
      </c>
      <c r="H289" t="n">
        <v>0</v>
      </c>
      <c r="I289" t="n">
        <v>0</v>
      </c>
      <c r="J289" t="n">
        <v>0</v>
      </c>
      <c r="K289" t="n">
        <v>0</v>
      </c>
      <c r="L289" t="n">
        <v>0</v>
      </c>
      <c r="M289" t="n">
        <v>0</v>
      </c>
      <c r="N289" t="n">
        <v>0</v>
      </c>
      <c r="O289" t="n">
        <v>0</v>
      </c>
      <c r="P289" t="n">
        <v>0</v>
      </c>
      <c r="Q289" t="n">
        <v>0</v>
      </c>
      <c r="R289" s="2" t="inlineStr"/>
    </row>
    <row r="290" ht="15" customHeight="1">
      <c r="A290" t="inlineStr">
        <is>
          <t>A 3060-2019</t>
        </is>
      </c>
      <c r="B290" s="1" t="n">
        <v>43479</v>
      </c>
      <c r="C290" s="1" t="n">
        <v>45265</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5048-2019</t>
        </is>
      </c>
      <c r="B291" s="1" t="n">
        <v>43480</v>
      </c>
      <c r="C291" s="1" t="n">
        <v>45265</v>
      </c>
      <c r="D291" t="inlineStr">
        <is>
          <t>VÄRMLANDS LÄN</t>
        </is>
      </c>
      <c r="E291" t="inlineStr">
        <is>
          <t>TORSBY</t>
        </is>
      </c>
      <c r="G291" t="n">
        <v>1.8</v>
      </c>
      <c r="H291" t="n">
        <v>0</v>
      </c>
      <c r="I291" t="n">
        <v>0</v>
      </c>
      <c r="J291" t="n">
        <v>0</v>
      </c>
      <c r="K291" t="n">
        <v>0</v>
      </c>
      <c r="L291" t="n">
        <v>0</v>
      </c>
      <c r="M291" t="n">
        <v>0</v>
      </c>
      <c r="N291" t="n">
        <v>0</v>
      </c>
      <c r="O291" t="n">
        <v>0</v>
      </c>
      <c r="P291" t="n">
        <v>0</v>
      </c>
      <c r="Q291" t="n">
        <v>0</v>
      </c>
      <c r="R291" s="2" t="inlineStr"/>
    </row>
    <row r="292" ht="15" customHeight="1">
      <c r="A292" t="inlineStr">
        <is>
          <t>A 3500-2019</t>
        </is>
      </c>
      <c r="B292" s="1" t="n">
        <v>43481</v>
      </c>
      <c r="C292" s="1" t="n">
        <v>45265</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3709-2019</t>
        </is>
      </c>
      <c r="B293" s="1" t="n">
        <v>43481</v>
      </c>
      <c r="C293" s="1" t="n">
        <v>45265</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3506-2019</t>
        </is>
      </c>
      <c r="B294" s="1" t="n">
        <v>43481</v>
      </c>
      <c r="C294" s="1" t="n">
        <v>45265</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3891-2019</t>
        </is>
      </c>
      <c r="B295" s="1" t="n">
        <v>43482</v>
      </c>
      <c r="C295" s="1" t="n">
        <v>45265</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3817-2019</t>
        </is>
      </c>
      <c r="B296" s="1" t="n">
        <v>43482</v>
      </c>
      <c r="C296" s="1" t="n">
        <v>45265</v>
      </c>
      <c r="D296" t="inlineStr">
        <is>
          <t>VÄRMLANDS LÄN</t>
        </is>
      </c>
      <c r="E296" t="inlineStr">
        <is>
          <t>TORSBY</t>
        </is>
      </c>
      <c r="G296" t="n">
        <v>4.8</v>
      </c>
      <c r="H296" t="n">
        <v>0</v>
      </c>
      <c r="I296" t="n">
        <v>0</v>
      </c>
      <c r="J296" t="n">
        <v>0</v>
      </c>
      <c r="K296" t="n">
        <v>0</v>
      </c>
      <c r="L296" t="n">
        <v>0</v>
      </c>
      <c r="M296" t="n">
        <v>0</v>
      </c>
      <c r="N296" t="n">
        <v>0</v>
      </c>
      <c r="O296" t="n">
        <v>0</v>
      </c>
      <c r="P296" t="n">
        <v>0</v>
      </c>
      <c r="Q296" t="n">
        <v>0</v>
      </c>
      <c r="R296" s="2" t="inlineStr"/>
    </row>
    <row r="297" ht="15" customHeight="1">
      <c r="A297" t="inlineStr">
        <is>
          <t>A 4284-2019</t>
        </is>
      </c>
      <c r="B297" s="1" t="n">
        <v>43483</v>
      </c>
      <c r="C297" s="1" t="n">
        <v>45265</v>
      </c>
      <c r="D297" t="inlineStr">
        <is>
          <t>VÄRMLANDS LÄN</t>
        </is>
      </c>
      <c r="E297" t="inlineStr">
        <is>
          <t>TORSBY</t>
        </is>
      </c>
      <c r="F297" t="inlineStr">
        <is>
          <t>Bergvik skog väst AB</t>
        </is>
      </c>
      <c r="G297" t="n">
        <v>9</v>
      </c>
      <c r="H297" t="n">
        <v>0</v>
      </c>
      <c r="I297" t="n">
        <v>0</v>
      </c>
      <c r="J297" t="n">
        <v>0</v>
      </c>
      <c r="K297" t="n">
        <v>0</v>
      </c>
      <c r="L297" t="n">
        <v>0</v>
      </c>
      <c r="M297" t="n">
        <v>0</v>
      </c>
      <c r="N297" t="n">
        <v>0</v>
      </c>
      <c r="O297" t="n">
        <v>0</v>
      </c>
      <c r="P297" t="n">
        <v>0</v>
      </c>
      <c r="Q297" t="n">
        <v>0</v>
      </c>
      <c r="R297" s="2" t="inlineStr"/>
    </row>
    <row r="298" ht="15" customHeight="1">
      <c r="A298" t="inlineStr">
        <is>
          <t>A 4892-2019</t>
        </is>
      </c>
      <c r="B298" s="1" t="n">
        <v>43487</v>
      </c>
      <c r="C298" s="1" t="n">
        <v>45265</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5734-2019</t>
        </is>
      </c>
      <c r="B299" s="1" t="n">
        <v>43490</v>
      </c>
      <c r="C299" s="1" t="n">
        <v>45265</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9347-2019</t>
        </is>
      </c>
      <c r="B300" s="1" t="n">
        <v>43507</v>
      </c>
      <c r="C300" s="1" t="n">
        <v>45265</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9583-2019</t>
        </is>
      </c>
      <c r="B301" s="1" t="n">
        <v>43508</v>
      </c>
      <c r="C301" s="1" t="n">
        <v>45265</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9542-2019</t>
        </is>
      </c>
      <c r="B302" s="1" t="n">
        <v>43508</v>
      </c>
      <c r="C302" s="1" t="n">
        <v>45265</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9906-2019</t>
        </is>
      </c>
      <c r="B303" s="1" t="n">
        <v>43509</v>
      </c>
      <c r="C303" s="1" t="n">
        <v>45265</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10031-2019</t>
        </is>
      </c>
      <c r="B304" s="1" t="n">
        <v>43510</v>
      </c>
      <c r="C304" s="1" t="n">
        <v>45265</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10089-2019</t>
        </is>
      </c>
      <c r="B305" s="1" t="n">
        <v>43510</v>
      </c>
      <c r="C305" s="1" t="n">
        <v>45265</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10389-2019</t>
        </is>
      </c>
      <c r="B306" s="1" t="n">
        <v>43511</v>
      </c>
      <c r="C306" s="1" t="n">
        <v>45265</v>
      </c>
      <c r="D306" t="inlineStr">
        <is>
          <t>VÄRMLANDS LÄN</t>
        </is>
      </c>
      <c r="E306" t="inlineStr">
        <is>
          <t>TORSBY</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10334-2019</t>
        </is>
      </c>
      <c r="B307" s="1" t="n">
        <v>43511</v>
      </c>
      <c r="C307" s="1" t="n">
        <v>45265</v>
      </c>
      <c r="D307" t="inlineStr">
        <is>
          <t>VÄRMLANDS LÄN</t>
        </is>
      </c>
      <c r="E307" t="inlineStr">
        <is>
          <t>TORSBY</t>
        </is>
      </c>
      <c r="G307" t="n">
        <v>2.6</v>
      </c>
      <c r="H307" t="n">
        <v>0</v>
      </c>
      <c r="I307" t="n">
        <v>0</v>
      </c>
      <c r="J307" t="n">
        <v>0</v>
      </c>
      <c r="K307" t="n">
        <v>0</v>
      </c>
      <c r="L307" t="n">
        <v>0</v>
      </c>
      <c r="M307" t="n">
        <v>0</v>
      </c>
      <c r="N307" t="n">
        <v>0</v>
      </c>
      <c r="O307" t="n">
        <v>0</v>
      </c>
      <c r="P307" t="n">
        <v>0</v>
      </c>
      <c r="Q307" t="n">
        <v>0</v>
      </c>
      <c r="R307" s="2" t="inlineStr"/>
    </row>
    <row r="308" ht="15" customHeight="1">
      <c r="A308" t="inlineStr">
        <is>
          <t>A 11730-2019</t>
        </is>
      </c>
      <c r="B308" s="1" t="n">
        <v>43518</v>
      </c>
      <c r="C308" s="1" t="n">
        <v>45265</v>
      </c>
      <c r="D308" t="inlineStr">
        <is>
          <t>VÄRMLANDS LÄN</t>
        </is>
      </c>
      <c r="E308" t="inlineStr">
        <is>
          <t>TORSBY</t>
        </is>
      </c>
      <c r="G308" t="n">
        <v>4.4</v>
      </c>
      <c r="H308" t="n">
        <v>0</v>
      </c>
      <c r="I308" t="n">
        <v>0</v>
      </c>
      <c r="J308" t="n">
        <v>0</v>
      </c>
      <c r="K308" t="n">
        <v>0</v>
      </c>
      <c r="L308" t="n">
        <v>0</v>
      </c>
      <c r="M308" t="n">
        <v>0</v>
      </c>
      <c r="N308" t="n">
        <v>0</v>
      </c>
      <c r="O308" t="n">
        <v>0</v>
      </c>
      <c r="P308" t="n">
        <v>0</v>
      </c>
      <c r="Q308" t="n">
        <v>0</v>
      </c>
      <c r="R308" s="2" t="inlineStr"/>
    </row>
    <row r="309" ht="15" customHeight="1">
      <c r="A309" t="inlineStr">
        <is>
          <t>A 11754-2019</t>
        </is>
      </c>
      <c r="B309" s="1" t="n">
        <v>43520</v>
      </c>
      <c r="C309" s="1" t="n">
        <v>45265</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11761-2019</t>
        </is>
      </c>
      <c r="B310" s="1" t="n">
        <v>43520</v>
      </c>
      <c r="C310" s="1" t="n">
        <v>45265</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11762-2019</t>
        </is>
      </c>
      <c r="B311" s="1" t="n">
        <v>43520</v>
      </c>
      <c r="C311" s="1" t="n">
        <v>45265</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11765-2019</t>
        </is>
      </c>
      <c r="B312" s="1" t="n">
        <v>43520</v>
      </c>
      <c r="C312" s="1" t="n">
        <v>45265</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11764-2019</t>
        </is>
      </c>
      <c r="B313" s="1" t="n">
        <v>43520</v>
      </c>
      <c r="C313" s="1" t="n">
        <v>45265</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12794-2019</t>
        </is>
      </c>
      <c r="B314" s="1" t="n">
        <v>43523</v>
      </c>
      <c r="C314" s="1" t="n">
        <v>45265</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12661-2019</t>
        </is>
      </c>
      <c r="B315" s="1" t="n">
        <v>43524</v>
      </c>
      <c r="C315" s="1" t="n">
        <v>45265</v>
      </c>
      <c r="D315" t="inlineStr">
        <is>
          <t>VÄRMLANDS LÄN</t>
        </is>
      </c>
      <c r="E315" t="inlineStr">
        <is>
          <t>TORSBY</t>
        </is>
      </c>
      <c r="G315" t="n">
        <v>2.1</v>
      </c>
      <c r="H315" t="n">
        <v>0</v>
      </c>
      <c r="I315" t="n">
        <v>0</v>
      </c>
      <c r="J315" t="n">
        <v>0</v>
      </c>
      <c r="K315" t="n">
        <v>0</v>
      </c>
      <c r="L315" t="n">
        <v>0</v>
      </c>
      <c r="M315" t="n">
        <v>0</v>
      </c>
      <c r="N315" t="n">
        <v>0</v>
      </c>
      <c r="O315" t="n">
        <v>0</v>
      </c>
      <c r="P315" t="n">
        <v>0</v>
      </c>
      <c r="Q315" t="n">
        <v>0</v>
      </c>
      <c r="R315" s="2" t="inlineStr"/>
    </row>
    <row r="316" ht="15" customHeight="1">
      <c r="A316" t="inlineStr">
        <is>
          <t>A 12663-2019</t>
        </is>
      </c>
      <c r="B316" s="1" t="n">
        <v>43524</v>
      </c>
      <c r="C316" s="1" t="n">
        <v>45265</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12710-2019</t>
        </is>
      </c>
      <c r="B317" s="1" t="n">
        <v>43524</v>
      </c>
      <c r="C317" s="1" t="n">
        <v>45265</v>
      </c>
      <c r="D317" t="inlineStr">
        <is>
          <t>VÄRMLANDS LÄN</t>
        </is>
      </c>
      <c r="E317" t="inlineStr">
        <is>
          <t>TORSBY</t>
        </is>
      </c>
      <c r="G317" t="n">
        <v>5.7</v>
      </c>
      <c r="H317" t="n">
        <v>0</v>
      </c>
      <c r="I317" t="n">
        <v>0</v>
      </c>
      <c r="J317" t="n">
        <v>0</v>
      </c>
      <c r="K317" t="n">
        <v>0</v>
      </c>
      <c r="L317" t="n">
        <v>0</v>
      </c>
      <c r="M317" t="n">
        <v>0</v>
      </c>
      <c r="N317" t="n">
        <v>0</v>
      </c>
      <c r="O317" t="n">
        <v>0</v>
      </c>
      <c r="P317" t="n">
        <v>0</v>
      </c>
      <c r="Q317" t="n">
        <v>0</v>
      </c>
      <c r="R317" s="2" t="inlineStr"/>
    </row>
    <row r="318" ht="15" customHeight="1">
      <c r="A318" t="inlineStr">
        <is>
          <t>A 12827-2019</t>
        </is>
      </c>
      <c r="B318" s="1" t="n">
        <v>43525</v>
      </c>
      <c r="C318" s="1" t="n">
        <v>45265</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13754-2019</t>
        </is>
      </c>
      <c r="B319" s="1" t="n">
        <v>43531</v>
      </c>
      <c r="C319" s="1" t="n">
        <v>45265</v>
      </c>
      <c r="D319" t="inlineStr">
        <is>
          <t>VÄRMLANDS LÄN</t>
        </is>
      </c>
      <c r="E319" t="inlineStr">
        <is>
          <t>TORSBY</t>
        </is>
      </c>
      <c r="G319" t="n">
        <v>2.9</v>
      </c>
      <c r="H319" t="n">
        <v>0</v>
      </c>
      <c r="I319" t="n">
        <v>0</v>
      </c>
      <c r="J319" t="n">
        <v>0</v>
      </c>
      <c r="K319" t="n">
        <v>0</v>
      </c>
      <c r="L319" t="n">
        <v>0</v>
      </c>
      <c r="M319" t="n">
        <v>0</v>
      </c>
      <c r="N319" t="n">
        <v>0</v>
      </c>
      <c r="O319" t="n">
        <v>0</v>
      </c>
      <c r="P319" t="n">
        <v>0</v>
      </c>
      <c r="Q319" t="n">
        <v>0</v>
      </c>
      <c r="R319" s="2" t="inlineStr"/>
    </row>
    <row r="320" ht="15" customHeight="1">
      <c r="A320" t="inlineStr">
        <is>
          <t>A 13838-2019</t>
        </is>
      </c>
      <c r="B320" s="1" t="n">
        <v>43531</v>
      </c>
      <c r="C320" s="1" t="n">
        <v>45265</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15459-2019</t>
        </is>
      </c>
      <c r="B321" s="1" t="n">
        <v>43538</v>
      </c>
      <c r="C321" s="1" t="n">
        <v>45265</v>
      </c>
      <c r="D321" t="inlineStr">
        <is>
          <t>VÄRMLANDS LÄN</t>
        </is>
      </c>
      <c r="E321" t="inlineStr">
        <is>
          <t>TORSBY</t>
        </is>
      </c>
      <c r="G321" t="n">
        <v>6.5</v>
      </c>
      <c r="H321" t="n">
        <v>0</v>
      </c>
      <c r="I321" t="n">
        <v>0</v>
      </c>
      <c r="J321" t="n">
        <v>0</v>
      </c>
      <c r="K321" t="n">
        <v>0</v>
      </c>
      <c r="L321" t="n">
        <v>0</v>
      </c>
      <c r="M321" t="n">
        <v>0</v>
      </c>
      <c r="N321" t="n">
        <v>0</v>
      </c>
      <c r="O321" t="n">
        <v>0</v>
      </c>
      <c r="P321" t="n">
        <v>0</v>
      </c>
      <c r="Q321" t="n">
        <v>0</v>
      </c>
      <c r="R321" s="2" t="inlineStr"/>
    </row>
    <row r="322" ht="15" customHeight="1">
      <c r="A322" t="inlineStr">
        <is>
          <t>A 15251-2019</t>
        </is>
      </c>
      <c r="B322" s="1" t="n">
        <v>43542</v>
      </c>
      <c r="C322" s="1" t="n">
        <v>45265</v>
      </c>
      <c r="D322" t="inlineStr">
        <is>
          <t>VÄRMLANDS LÄN</t>
        </is>
      </c>
      <c r="E322" t="inlineStr">
        <is>
          <t>TORSBY</t>
        </is>
      </c>
      <c r="G322" t="n">
        <v>8.1</v>
      </c>
      <c r="H322" t="n">
        <v>0</v>
      </c>
      <c r="I322" t="n">
        <v>0</v>
      </c>
      <c r="J322" t="n">
        <v>0</v>
      </c>
      <c r="K322" t="n">
        <v>0</v>
      </c>
      <c r="L322" t="n">
        <v>0</v>
      </c>
      <c r="M322" t="n">
        <v>0</v>
      </c>
      <c r="N322" t="n">
        <v>0</v>
      </c>
      <c r="O322" t="n">
        <v>0</v>
      </c>
      <c r="P322" t="n">
        <v>0</v>
      </c>
      <c r="Q322" t="n">
        <v>0</v>
      </c>
      <c r="R322" s="2" t="inlineStr"/>
    </row>
    <row r="323" ht="15" customHeight="1">
      <c r="A323" t="inlineStr">
        <is>
          <t>A 16529-2019</t>
        </is>
      </c>
      <c r="B323" s="1" t="n">
        <v>43546</v>
      </c>
      <c r="C323" s="1" t="n">
        <v>45265</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16480-2019</t>
        </is>
      </c>
      <c r="B324" s="1" t="n">
        <v>43546</v>
      </c>
      <c r="C324" s="1" t="n">
        <v>45265</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16528-2019</t>
        </is>
      </c>
      <c r="B325" s="1" t="n">
        <v>43546</v>
      </c>
      <c r="C325" s="1" t="n">
        <v>45265</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16610-2019</t>
        </is>
      </c>
      <c r="B326" s="1" t="n">
        <v>43546</v>
      </c>
      <c r="C326" s="1" t="n">
        <v>45265</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16525-2019</t>
        </is>
      </c>
      <c r="B327" s="1" t="n">
        <v>43546</v>
      </c>
      <c r="C327" s="1" t="n">
        <v>45265</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16527-2019</t>
        </is>
      </c>
      <c r="B328" s="1" t="n">
        <v>43546</v>
      </c>
      <c r="C328" s="1" t="n">
        <v>45265</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17016-2019</t>
        </is>
      </c>
      <c r="B329" s="1" t="n">
        <v>43550</v>
      </c>
      <c r="C329" s="1" t="n">
        <v>45265</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17545-2019</t>
        </is>
      </c>
      <c r="B330" s="1" t="n">
        <v>43553</v>
      </c>
      <c r="C330" s="1" t="n">
        <v>45265</v>
      </c>
      <c r="D330" t="inlineStr">
        <is>
          <t>VÄRMLANDS LÄN</t>
        </is>
      </c>
      <c r="E330" t="inlineStr">
        <is>
          <t>TORSBY</t>
        </is>
      </c>
      <c r="G330" t="n">
        <v>5</v>
      </c>
      <c r="H330" t="n">
        <v>0</v>
      </c>
      <c r="I330" t="n">
        <v>0</v>
      </c>
      <c r="J330" t="n">
        <v>0</v>
      </c>
      <c r="K330" t="n">
        <v>0</v>
      </c>
      <c r="L330" t="n">
        <v>0</v>
      </c>
      <c r="M330" t="n">
        <v>0</v>
      </c>
      <c r="N330" t="n">
        <v>0</v>
      </c>
      <c r="O330" t="n">
        <v>0</v>
      </c>
      <c r="P330" t="n">
        <v>0</v>
      </c>
      <c r="Q330" t="n">
        <v>0</v>
      </c>
      <c r="R330" s="2" t="inlineStr"/>
    </row>
    <row r="331" ht="15" customHeight="1">
      <c r="A331" t="inlineStr">
        <is>
          <t>A 17484-2019</t>
        </is>
      </c>
      <c r="B331" s="1" t="n">
        <v>43553</v>
      </c>
      <c r="C331" s="1" t="n">
        <v>45265</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17474-2019</t>
        </is>
      </c>
      <c r="B332" s="1" t="n">
        <v>43553</v>
      </c>
      <c r="C332" s="1" t="n">
        <v>45265</v>
      </c>
      <c r="D332" t="inlineStr">
        <is>
          <t>VÄRMLANDS LÄN</t>
        </is>
      </c>
      <c r="E332" t="inlineStr">
        <is>
          <t>TORSBY</t>
        </is>
      </c>
      <c r="G332" t="n">
        <v>4.1</v>
      </c>
      <c r="H332" t="n">
        <v>0</v>
      </c>
      <c r="I332" t="n">
        <v>0</v>
      </c>
      <c r="J332" t="n">
        <v>0</v>
      </c>
      <c r="K332" t="n">
        <v>0</v>
      </c>
      <c r="L332" t="n">
        <v>0</v>
      </c>
      <c r="M332" t="n">
        <v>0</v>
      </c>
      <c r="N332" t="n">
        <v>0</v>
      </c>
      <c r="O332" t="n">
        <v>0</v>
      </c>
      <c r="P332" t="n">
        <v>0</v>
      </c>
      <c r="Q332" t="n">
        <v>0</v>
      </c>
      <c r="R332" s="2" t="inlineStr"/>
    </row>
    <row r="333" ht="15" customHeight="1">
      <c r="A333" t="inlineStr">
        <is>
          <t>A 17616-2019</t>
        </is>
      </c>
      <c r="B333" s="1" t="n">
        <v>43555</v>
      </c>
      <c r="C333" s="1" t="n">
        <v>45265</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17808-2019</t>
        </is>
      </c>
      <c r="B334" s="1" t="n">
        <v>43556</v>
      </c>
      <c r="C334" s="1" t="n">
        <v>45265</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17788-2019</t>
        </is>
      </c>
      <c r="B335" s="1" t="n">
        <v>43556</v>
      </c>
      <c r="C335" s="1" t="n">
        <v>45265</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17957-2019</t>
        </is>
      </c>
      <c r="B336" s="1" t="n">
        <v>43557</v>
      </c>
      <c r="C336" s="1" t="n">
        <v>45265</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17864-2019</t>
        </is>
      </c>
      <c r="B337" s="1" t="n">
        <v>43557</v>
      </c>
      <c r="C337" s="1" t="n">
        <v>45265</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18551-2019</t>
        </is>
      </c>
      <c r="B338" s="1" t="n">
        <v>43559</v>
      </c>
      <c r="C338" s="1" t="n">
        <v>45265</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18947-2019</t>
        </is>
      </c>
      <c r="B339" s="1" t="n">
        <v>43563</v>
      </c>
      <c r="C339" s="1" t="n">
        <v>45265</v>
      </c>
      <c r="D339" t="inlineStr">
        <is>
          <t>VÄRMLANDS LÄN</t>
        </is>
      </c>
      <c r="E339" t="inlineStr">
        <is>
          <t>TORSBY</t>
        </is>
      </c>
      <c r="G339" t="n">
        <v>7.6</v>
      </c>
      <c r="H339" t="n">
        <v>0</v>
      </c>
      <c r="I339" t="n">
        <v>0</v>
      </c>
      <c r="J339" t="n">
        <v>0</v>
      </c>
      <c r="K339" t="n">
        <v>0</v>
      </c>
      <c r="L339" t="n">
        <v>0</v>
      </c>
      <c r="M339" t="n">
        <v>0</v>
      </c>
      <c r="N339" t="n">
        <v>0</v>
      </c>
      <c r="O339" t="n">
        <v>0</v>
      </c>
      <c r="P339" t="n">
        <v>0</v>
      </c>
      <c r="Q339" t="n">
        <v>0</v>
      </c>
      <c r="R339" s="2" t="inlineStr"/>
    </row>
    <row r="340" ht="15" customHeight="1">
      <c r="A340" t="inlineStr">
        <is>
          <t>A 19974-2019</t>
        </is>
      </c>
      <c r="B340" s="1" t="n">
        <v>43564</v>
      </c>
      <c r="C340" s="1" t="n">
        <v>45265</v>
      </c>
      <c r="D340" t="inlineStr">
        <is>
          <t>VÄRMLANDS LÄN</t>
        </is>
      </c>
      <c r="E340" t="inlineStr">
        <is>
          <t>TORSBY</t>
        </is>
      </c>
      <c r="G340" t="n">
        <v>5.1</v>
      </c>
      <c r="H340" t="n">
        <v>0</v>
      </c>
      <c r="I340" t="n">
        <v>0</v>
      </c>
      <c r="J340" t="n">
        <v>0</v>
      </c>
      <c r="K340" t="n">
        <v>0</v>
      </c>
      <c r="L340" t="n">
        <v>0</v>
      </c>
      <c r="M340" t="n">
        <v>0</v>
      </c>
      <c r="N340" t="n">
        <v>0</v>
      </c>
      <c r="O340" t="n">
        <v>0</v>
      </c>
      <c r="P340" t="n">
        <v>0</v>
      </c>
      <c r="Q340" t="n">
        <v>0</v>
      </c>
      <c r="R340" s="2" t="inlineStr"/>
    </row>
    <row r="341" ht="15" customHeight="1">
      <c r="A341" t="inlineStr">
        <is>
          <t>A 19125-2019</t>
        </is>
      </c>
      <c r="B341" s="1" t="n">
        <v>43564</v>
      </c>
      <c r="C341" s="1" t="n">
        <v>45265</v>
      </c>
      <c r="D341" t="inlineStr">
        <is>
          <t>VÄRMLANDS LÄN</t>
        </is>
      </c>
      <c r="E341" t="inlineStr">
        <is>
          <t>TORSBY</t>
        </is>
      </c>
      <c r="G341" t="n">
        <v>18.3</v>
      </c>
      <c r="H341" t="n">
        <v>0</v>
      </c>
      <c r="I341" t="n">
        <v>0</v>
      </c>
      <c r="J341" t="n">
        <v>0</v>
      </c>
      <c r="K341" t="n">
        <v>0</v>
      </c>
      <c r="L341" t="n">
        <v>0</v>
      </c>
      <c r="M341" t="n">
        <v>0</v>
      </c>
      <c r="N341" t="n">
        <v>0</v>
      </c>
      <c r="O341" t="n">
        <v>0</v>
      </c>
      <c r="P341" t="n">
        <v>0</v>
      </c>
      <c r="Q341" t="n">
        <v>0</v>
      </c>
      <c r="R341" s="2" t="inlineStr"/>
    </row>
    <row r="342" ht="15" customHeight="1">
      <c r="A342" t="inlineStr">
        <is>
          <t>A 19591-2019</t>
        </is>
      </c>
      <c r="B342" s="1" t="n">
        <v>43566</v>
      </c>
      <c r="C342" s="1" t="n">
        <v>45265</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20167-2019</t>
        </is>
      </c>
      <c r="B343" s="1" t="n">
        <v>43570</v>
      </c>
      <c r="C343" s="1" t="n">
        <v>45265</v>
      </c>
      <c r="D343" t="inlineStr">
        <is>
          <t>VÄRMLANDS LÄN</t>
        </is>
      </c>
      <c r="E343" t="inlineStr">
        <is>
          <t>TORSBY</t>
        </is>
      </c>
      <c r="G343" t="n">
        <v>5</v>
      </c>
      <c r="H343" t="n">
        <v>0</v>
      </c>
      <c r="I343" t="n">
        <v>0</v>
      </c>
      <c r="J343" t="n">
        <v>0</v>
      </c>
      <c r="K343" t="n">
        <v>0</v>
      </c>
      <c r="L343" t="n">
        <v>0</v>
      </c>
      <c r="M343" t="n">
        <v>0</v>
      </c>
      <c r="N343" t="n">
        <v>0</v>
      </c>
      <c r="O343" t="n">
        <v>0</v>
      </c>
      <c r="P343" t="n">
        <v>0</v>
      </c>
      <c r="Q343" t="n">
        <v>0</v>
      </c>
      <c r="R343" s="2" t="inlineStr"/>
    </row>
    <row r="344" ht="15" customHeight="1">
      <c r="A344" t="inlineStr">
        <is>
          <t>A 20190-2019</t>
        </is>
      </c>
      <c r="B344" s="1" t="n">
        <v>43570</v>
      </c>
      <c r="C344" s="1" t="n">
        <v>45265</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20244-2019</t>
        </is>
      </c>
      <c r="B345" s="1" t="n">
        <v>43571</v>
      </c>
      <c r="C345" s="1" t="n">
        <v>45265</v>
      </c>
      <c r="D345" t="inlineStr">
        <is>
          <t>VÄRMLANDS LÄN</t>
        </is>
      </c>
      <c r="E345" t="inlineStr">
        <is>
          <t>TORSBY</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20616-2019</t>
        </is>
      </c>
      <c r="B346" s="1" t="n">
        <v>43572</v>
      </c>
      <c r="C346" s="1" t="n">
        <v>45265</v>
      </c>
      <c r="D346" t="inlineStr">
        <is>
          <t>VÄRMLANDS LÄN</t>
        </is>
      </c>
      <c r="E346" t="inlineStr">
        <is>
          <t>TORSBY</t>
        </is>
      </c>
      <c r="G346" t="n">
        <v>0.4</v>
      </c>
      <c r="H346" t="n">
        <v>0</v>
      </c>
      <c r="I346" t="n">
        <v>0</v>
      </c>
      <c r="J346" t="n">
        <v>0</v>
      </c>
      <c r="K346" t="n">
        <v>0</v>
      </c>
      <c r="L346" t="n">
        <v>0</v>
      </c>
      <c r="M346" t="n">
        <v>0</v>
      </c>
      <c r="N346" t="n">
        <v>0</v>
      </c>
      <c r="O346" t="n">
        <v>0</v>
      </c>
      <c r="P346" t="n">
        <v>0</v>
      </c>
      <c r="Q346" t="n">
        <v>0</v>
      </c>
      <c r="R346" s="2" t="inlineStr"/>
    </row>
    <row r="347" ht="15" customHeight="1">
      <c r="A347" t="inlineStr">
        <is>
          <t>A 20468-2019</t>
        </is>
      </c>
      <c r="B347" s="1" t="n">
        <v>43572</v>
      </c>
      <c r="C347" s="1" t="n">
        <v>45265</v>
      </c>
      <c r="D347" t="inlineStr">
        <is>
          <t>VÄRMLANDS LÄN</t>
        </is>
      </c>
      <c r="E347" t="inlineStr">
        <is>
          <t>TORSBY</t>
        </is>
      </c>
      <c r="G347" t="n">
        <v>2.9</v>
      </c>
      <c r="H347" t="n">
        <v>0</v>
      </c>
      <c r="I347" t="n">
        <v>0</v>
      </c>
      <c r="J347" t="n">
        <v>0</v>
      </c>
      <c r="K347" t="n">
        <v>0</v>
      </c>
      <c r="L347" t="n">
        <v>0</v>
      </c>
      <c r="M347" t="n">
        <v>0</v>
      </c>
      <c r="N347" t="n">
        <v>0</v>
      </c>
      <c r="O347" t="n">
        <v>0</v>
      </c>
      <c r="P347" t="n">
        <v>0</v>
      </c>
      <c r="Q347" t="n">
        <v>0</v>
      </c>
      <c r="R347" s="2" t="inlineStr"/>
    </row>
    <row r="348" ht="15" customHeight="1">
      <c r="A348" t="inlineStr">
        <is>
          <t>A 21166-2019</t>
        </is>
      </c>
      <c r="B348" s="1" t="n">
        <v>43578</v>
      </c>
      <c r="C348" s="1" t="n">
        <v>45265</v>
      </c>
      <c r="D348" t="inlineStr">
        <is>
          <t>VÄRMLANDS LÄN</t>
        </is>
      </c>
      <c r="E348" t="inlineStr">
        <is>
          <t>TORSBY</t>
        </is>
      </c>
      <c r="G348" t="n">
        <v>3.4</v>
      </c>
      <c r="H348" t="n">
        <v>0</v>
      </c>
      <c r="I348" t="n">
        <v>0</v>
      </c>
      <c r="J348" t="n">
        <v>0</v>
      </c>
      <c r="K348" t="n">
        <v>0</v>
      </c>
      <c r="L348" t="n">
        <v>0</v>
      </c>
      <c r="M348" t="n">
        <v>0</v>
      </c>
      <c r="N348" t="n">
        <v>0</v>
      </c>
      <c r="O348" t="n">
        <v>0</v>
      </c>
      <c r="P348" t="n">
        <v>0</v>
      </c>
      <c r="Q348" t="n">
        <v>0</v>
      </c>
      <c r="R348" s="2" t="inlineStr"/>
    </row>
    <row r="349" ht="15" customHeight="1">
      <c r="A349" t="inlineStr">
        <is>
          <t>A 21387-2019</t>
        </is>
      </c>
      <c r="B349" s="1" t="n">
        <v>43580</v>
      </c>
      <c r="C349" s="1" t="n">
        <v>45265</v>
      </c>
      <c r="D349" t="inlineStr">
        <is>
          <t>VÄRMLANDS LÄN</t>
        </is>
      </c>
      <c r="E349" t="inlineStr">
        <is>
          <t>TORSBY</t>
        </is>
      </c>
      <c r="G349" t="n">
        <v>2.4</v>
      </c>
      <c r="H349" t="n">
        <v>0</v>
      </c>
      <c r="I349" t="n">
        <v>0</v>
      </c>
      <c r="J349" t="n">
        <v>0</v>
      </c>
      <c r="K349" t="n">
        <v>0</v>
      </c>
      <c r="L349" t="n">
        <v>0</v>
      </c>
      <c r="M349" t="n">
        <v>0</v>
      </c>
      <c r="N349" t="n">
        <v>0</v>
      </c>
      <c r="O349" t="n">
        <v>0</v>
      </c>
      <c r="P349" t="n">
        <v>0</v>
      </c>
      <c r="Q349" t="n">
        <v>0</v>
      </c>
      <c r="R349" s="2" t="inlineStr"/>
    </row>
    <row r="350" ht="15" customHeight="1">
      <c r="A350" t="inlineStr">
        <is>
          <t>A 21958-2019</t>
        </is>
      </c>
      <c r="B350" s="1" t="n">
        <v>43584</v>
      </c>
      <c r="C350" s="1" t="n">
        <v>45265</v>
      </c>
      <c r="D350" t="inlineStr">
        <is>
          <t>VÄRMLANDS LÄN</t>
        </is>
      </c>
      <c r="E350" t="inlineStr">
        <is>
          <t>TORSBY</t>
        </is>
      </c>
      <c r="G350" t="n">
        <v>3.5</v>
      </c>
      <c r="H350" t="n">
        <v>0</v>
      </c>
      <c r="I350" t="n">
        <v>0</v>
      </c>
      <c r="J350" t="n">
        <v>0</v>
      </c>
      <c r="K350" t="n">
        <v>0</v>
      </c>
      <c r="L350" t="n">
        <v>0</v>
      </c>
      <c r="M350" t="n">
        <v>0</v>
      </c>
      <c r="N350" t="n">
        <v>0</v>
      </c>
      <c r="O350" t="n">
        <v>0</v>
      </c>
      <c r="P350" t="n">
        <v>0</v>
      </c>
      <c r="Q350" t="n">
        <v>0</v>
      </c>
      <c r="R350" s="2" t="inlineStr"/>
    </row>
    <row r="351" ht="15" customHeight="1">
      <c r="A351" t="inlineStr">
        <is>
          <t>A 22252-2019</t>
        </is>
      </c>
      <c r="B351" s="1" t="n">
        <v>43585</v>
      </c>
      <c r="C351" s="1" t="n">
        <v>45265</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22158-2019</t>
        </is>
      </c>
      <c r="B352" s="1" t="n">
        <v>43585</v>
      </c>
      <c r="C352" s="1" t="n">
        <v>45265</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22416-2019</t>
        </is>
      </c>
      <c r="B353" s="1" t="n">
        <v>43587</v>
      </c>
      <c r="C353" s="1" t="n">
        <v>45265</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22351-2019</t>
        </is>
      </c>
      <c r="B354" s="1" t="n">
        <v>43587</v>
      </c>
      <c r="C354" s="1" t="n">
        <v>45265</v>
      </c>
      <c r="D354" t="inlineStr">
        <is>
          <t>VÄRMLANDS LÄN</t>
        </is>
      </c>
      <c r="E354" t="inlineStr">
        <is>
          <t>TORSBY</t>
        </is>
      </c>
      <c r="G354" t="n">
        <v>4.3</v>
      </c>
      <c r="H354" t="n">
        <v>0</v>
      </c>
      <c r="I354" t="n">
        <v>0</v>
      </c>
      <c r="J354" t="n">
        <v>0</v>
      </c>
      <c r="K354" t="n">
        <v>0</v>
      </c>
      <c r="L354" t="n">
        <v>0</v>
      </c>
      <c r="M354" t="n">
        <v>0</v>
      </c>
      <c r="N354" t="n">
        <v>0</v>
      </c>
      <c r="O354" t="n">
        <v>0</v>
      </c>
      <c r="P354" t="n">
        <v>0</v>
      </c>
      <c r="Q354" t="n">
        <v>0</v>
      </c>
      <c r="R354" s="2" t="inlineStr"/>
    </row>
    <row r="355" ht="15" customHeight="1">
      <c r="A355" t="inlineStr">
        <is>
          <t>A 22692-2019</t>
        </is>
      </c>
      <c r="B355" s="1" t="n">
        <v>43588</v>
      </c>
      <c r="C355" s="1" t="n">
        <v>45265</v>
      </c>
      <c r="D355" t="inlineStr">
        <is>
          <t>VÄRMLANDS LÄN</t>
        </is>
      </c>
      <c r="E355" t="inlineStr">
        <is>
          <t>TORSBY</t>
        </is>
      </c>
      <c r="F355" t="inlineStr">
        <is>
          <t>Bergvik skog väst AB</t>
        </is>
      </c>
      <c r="G355" t="n">
        <v>5.4</v>
      </c>
      <c r="H355" t="n">
        <v>0</v>
      </c>
      <c r="I355" t="n">
        <v>0</v>
      </c>
      <c r="J355" t="n">
        <v>0</v>
      </c>
      <c r="K355" t="n">
        <v>0</v>
      </c>
      <c r="L355" t="n">
        <v>0</v>
      </c>
      <c r="M355" t="n">
        <v>0</v>
      </c>
      <c r="N355" t="n">
        <v>0</v>
      </c>
      <c r="O355" t="n">
        <v>0</v>
      </c>
      <c r="P355" t="n">
        <v>0</v>
      </c>
      <c r="Q355" t="n">
        <v>0</v>
      </c>
      <c r="R355" s="2" t="inlineStr"/>
    </row>
    <row r="356" ht="15" customHeight="1">
      <c r="A356" t="inlineStr">
        <is>
          <t>A 22717-2019</t>
        </is>
      </c>
      <c r="B356" s="1" t="n">
        <v>43588</v>
      </c>
      <c r="C356" s="1" t="n">
        <v>45265</v>
      </c>
      <c r="D356" t="inlineStr">
        <is>
          <t>VÄRMLANDS LÄN</t>
        </is>
      </c>
      <c r="E356" t="inlineStr">
        <is>
          <t>TORSBY</t>
        </is>
      </c>
      <c r="G356" t="n">
        <v>8</v>
      </c>
      <c r="H356" t="n">
        <v>0</v>
      </c>
      <c r="I356" t="n">
        <v>0</v>
      </c>
      <c r="J356" t="n">
        <v>0</v>
      </c>
      <c r="K356" t="n">
        <v>0</v>
      </c>
      <c r="L356" t="n">
        <v>0</v>
      </c>
      <c r="M356" t="n">
        <v>0</v>
      </c>
      <c r="N356" t="n">
        <v>0</v>
      </c>
      <c r="O356" t="n">
        <v>0</v>
      </c>
      <c r="P356" t="n">
        <v>0</v>
      </c>
      <c r="Q356" t="n">
        <v>0</v>
      </c>
      <c r="R356" s="2" t="inlineStr"/>
    </row>
    <row r="357" ht="15" customHeight="1">
      <c r="A357" t="inlineStr">
        <is>
          <t>A 23412-2019</t>
        </is>
      </c>
      <c r="B357" s="1" t="n">
        <v>43593</v>
      </c>
      <c r="C357" s="1" t="n">
        <v>45265</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23892-2019</t>
        </is>
      </c>
      <c r="B358" s="1" t="n">
        <v>43595</v>
      </c>
      <c r="C358" s="1" t="n">
        <v>45265</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23771-2019</t>
        </is>
      </c>
      <c r="B359" s="1" t="n">
        <v>43595</v>
      </c>
      <c r="C359" s="1" t="n">
        <v>45265</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24667-2019</t>
        </is>
      </c>
      <c r="B360" s="1" t="n">
        <v>43599</v>
      </c>
      <c r="C360" s="1" t="n">
        <v>45265</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24703-2019</t>
        </is>
      </c>
      <c r="B361" s="1" t="n">
        <v>43601</v>
      </c>
      <c r="C361" s="1" t="n">
        <v>45265</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26493-2019</t>
        </is>
      </c>
      <c r="B362" s="1" t="n">
        <v>43612</v>
      </c>
      <c r="C362" s="1" t="n">
        <v>45265</v>
      </c>
      <c r="D362" t="inlineStr">
        <is>
          <t>VÄRMLANDS LÄN</t>
        </is>
      </c>
      <c r="E362" t="inlineStr">
        <is>
          <t>TORSBY</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27907-2019</t>
        </is>
      </c>
      <c r="B363" s="1" t="n">
        <v>43612</v>
      </c>
      <c r="C363" s="1" t="n">
        <v>45265</v>
      </c>
      <c r="D363" t="inlineStr">
        <is>
          <t>VÄRMLANDS LÄN</t>
        </is>
      </c>
      <c r="E363" t="inlineStr">
        <is>
          <t>TORSBY</t>
        </is>
      </c>
      <c r="G363" t="n">
        <v>7.5</v>
      </c>
      <c r="H363" t="n">
        <v>0</v>
      </c>
      <c r="I363" t="n">
        <v>0</v>
      </c>
      <c r="J363" t="n">
        <v>0</v>
      </c>
      <c r="K363" t="n">
        <v>0</v>
      </c>
      <c r="L363" t="n">
        <v>0</v>
      </c>
      <c r="M363" t="n">
        <v>0</v>
      </c>
      <c r="N363" t="n">
        <v>0</v>
      </c>
      <c r="O363" t="n">
        <v>0</v>
      </c>
      <c r="P363" t="n">
        <v>0</v>
      </c>
      <c r="Q363" t="n">
        <v>0</v>
      </c>
      <c r="R363" s="2" t="inlineStr"/>
    </row>
    <row r="364" ht="15" customHeight="1">
      <c r="A364" t="inlineStr">
        <is>
          <t>A 26783-2019</t>
        </is>
      </c>
      <c r="B364" s="1" t="n">
        <v>43613</v>
      </c>
      <c r="C364" s="1" t="n">
        <v>45265</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27711-2019</t>
        </is>
      </c>
      <c r="B365" s="1" t="n">
        <v>43619</v>
      </c>
      <c r="C365" s="1" t="n">
        <v>45265</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27682-2019</t>
        </is>
      </c>
      <c r="B366" s="1" t="n">
        <v>43619</v>
      </c>
      <c r="C366" s="1" t="n">
        <v>45265</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28975-2019</t>
        </is>
      </c>
      <c r="B367" s="1" t="n">
        <v>43619</v>
      </c>
      <c r="C367" s="1" t="n">
        <v>45265</v>
      </c>
      <c r="D367" t="inlineStr">
        <is>
          <t>VÄRMLANDS LÄN</t>
        </is>
      </c>
      <c r="E367" t="inlineStr">
        <is>
          <t>TORSBY</t>
        </is>
      </c>
      <c r="G367" t="n">
        <v>6.5</v>
      </c>
      <c r="H367" t="n">
        <v>0</v>
      </c>
      <c r="I367" t="n">
        <v>0</v>
      </c>
      <c r="J367" t="n">
        <v>0</v>
      </c>
      <c r="K367" t="n">
        <v>0</v>
      </c>
      <c r="L367" t="n">
        <v>0</v>
      </c>
      <c r="M367" t="n">
        <v>0</v>
      </c>
      <c r="N367" t="n">
        <v>0</v>
      </c>
      <c r="O367" t="n">
        <v>0</v>
      </c>
      <c r="P367" t="n">
        <v>0</v>
      </c>
      <c r="Q367" t="n">
        <v>0</v>
      </c>
      <c r="R367" s="2" t="inlineStr"/>
    </row>
    <row r="368" ht="15" customHeight="1">
      <c r="A368" t="inlineStr">
        <is>
          <t>A 28487-2019</t>
        </is>
      </c>
      <c r="B368" s="1" t="n">
        <v>43621</v>
      </c>
      <c r="C368" s="1" t="n">
        <v>45265</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28653-2019</t>
        </is>
      </c>
      <c r="B369" s="1" t="n">
        <v>43627</v>
      </c>
      <c r="C369" s="1" t="n">
        <v>45265</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28818-2019</t>
        </is>
      </c>
      <c r="B370" s="1" t="n">
        <v>43627</v>
      </c>
      <c r="C370" s="1" t="n">
        <v>45265</v>
      </c>
      <c r="D370" t="inlineStr">
        <is>
          <t>VÄRMLANDS LÄN</t>
        </is>
      </c>
      <c r="E370" t="inlineStr">
        <is>
          <t>TORSBY</t>
        </is>
      </c>
      <c r="F370" t="inlineStr">
        <is>
          <t>Bergvik skog väst AB</t>
        </is>
      </c>
      <c r="G370" t="n">
        <v>58.6</v>
      </c>
      <c r="H370" t="n">
        <v>0</v>
      </c>
      <c r="I370" t="n">
        <v>0</v>
      </c>
      <c r="J370" t="n">
        <v>0</v>
      </c>
      <c r="K370" t="n">
        <v>0</v>
      </c>
      <c r="L370" t="n">
        <v>0</v>
      </c>
      <c r="M370" t="n">
        <v>0</v>
      </c>
      <c r="N370" t="n">
        <v>0</v>
      </c>
      <c r="O370" t="n">
        <v>0</v>
      </c>
      <c r="P370" t="n">
        <v>0</v>
      </c>
      <c r="Q370" t="n">
        <v>0</v>
      </c>
      <c r="R370" s="2" t="inlineStr"/>
    </row>
    <row r="371" ht="15" customHeight="1">
      <c r="A371" t="inlineStr">
        <is>
          <t>A 28889-2019</t>
        </is>
      </c>
      <c r="B371" s="1" t="n">
        <v>43628</v>
      </c>
      <c r="C371" s="1" t="n">
        <v>45265</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29436-2019</t>
        </is>
      </c>
      <c r="B372" s="1" t="n">
        <v>43629</v>
      </c>
      <c r="C372" s="1" t="n">
        <v>45265</v>
      </c>
      <c r="D372" t="inlineStr">
        <is>
          <t>VÄRMLANDS LÄN</t>
        </is>
      </c>
      <c r="E372" t="inlineStr">
        <is>
          <t>TORSBY</t>
        </is>
      </c>
      <c r="F372" t="inlineStr">
        <is>
          <t>Bergvik skog väst AB</t>
        </is>
      </c>
      <c r="G372" t="n">
        <v>33.7</v>
      </c>
      <c r="H372" t="n">
        <v>0</v>
      </c>
      <c r="I372" t="n">
        <v>0</v>
      </c>
      <c r="J372" t="n">
        <v>0</v>
      </c>
      <c r="K372" t="n">
        <v>0</v>
      </c>
      <c r="L372" t="n">
        <v>0</v>
      </c>
      <c r="M372" t="n">
        <v>0</v>
      </c>
      <c r="N372" t="n">
        <v>0</v>
      </c>
      <c r="O372" t="n">
        <v>0</v>
      </c>
      <c r="P372" t="n">
        <v>0</v>
      </c>
      <c r="Q372" t="n">
        <v>0</v>
      </c>
      <c r="R372" s="2" t="inlineStr"/>
    </row>
    <row r="373" ht="15" customHeight="1">
      <c r="A373" t="inlineStr">
        <is>
          <t>A 30031-2019</t>
        </is>
      </c>
      <c r="B373" s="1" t="n">
        <v>43633</v>
      </c>
      <c r="C373" s="1" t="n">
        <v>45265</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30049-2019</t>
        </is>
      </c>
      <c r="B374" s="1" t="n">
        <v>43633</v>
      </c>
      <c r="C374" s="1" t="n">
        <v>45265</v>
      </c>
      <c r="D374" t="inlineStr">
        <is>
          <t>VÄRMLANDS LÄN</t>
        </is>
      </c>
      <c r="E374" t="inlineStr">
        <is>
          <t>TORSBY</t>
        </is>
      </c>
      <c r="G374" t="n">
        <v>7.1</v>
      </c>
      <c r="H374" t="n">
        <v>0</v>
      </c>
      <c r="I374" t="n">
        <v>0</v>
      </c>
      <c r="J374" t="n">
        <v>0</v>
      </c>
      <c r="K374" t="n">
        <v>0</v>
      </c>
      <c r="L374" t="n">
        <v>0</v>
      </c>
      <c r="M374" t="n">
        <v>0</v>
      </c>
      <c r="N374" t="n">
        <v>0</v>
      </c>
      <c r="O374" t="n">
        <v>0</v>
      </c>
      <c r="P374" t="n">
        <v>0</v>
      </c>
      <c r="Q374" t="n">
        <v>0</v>
      </c>
      <c r="R374" s="2" t="inlineStr"/>
    </row>
    <row r="375" ht="15" customHeight="1">
      <c r="A375" t="inlineStr">
        <is>
          <t>A 29984-2019</t>
        </is>
      </c>
      <c r="B375" s="1" t="n">
        <v>43633</v>
      </c>
      <c r="C375" s="1" t="n">
        <v>45265</v>
      </c>
      <c r="D375" t="inlineStr">
        <is>
          <t>VÄRMLANDS LÄN</t>
        </is>
      </c>
      <c r="E375" t="inlineStr">
        <is>
          <t>TORSBY</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30158-2019</t>
        </is>
      </c>
      <c r="B376" s="1" t="n">
        <v>43634</v>
      </c>
      <c r="C376" s="1" t="n">
        <v>45265</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30596-2019</t>
        </is>
      </c>
      <c r="B377" s="1" t="n">
        <v>43635</v>
      </c>
      <c r="C377" s="1" t="n">
        <v>45265</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30860-2019</t>
        </is>
      </c>
      <c r="B378" s="1" t="n">
        <v>43636</v>
      </c>
      <c r="C378" s="1" t="n">
        <v>45265</v>
      </c>
      <c r="D378" t="inlineStr">
        <is>
          <t>VÄRMLANDS LÄN</t>
        </is>
      </c>
      <c r="E378" t="inlineStr">
        <is>
          <t>TORSBY</t>
        </is>
      </c>
      <c r="G378" t="n">
        <v>11.7</v>
      </c>
      <c r="H378" t="n">
        <v>0</v>
      </c>
      <c r="I378" t="n">
        <v>0</v>
      </c>
      <c r="J378" t="n">
        <v>0</v>
      </c>
      <c r="K378" t="n">
        <v>0</v>
      </c>
      <c r="L378" t="n">
        <v>0</v>
      </c>
      <c r="M378" t="n">
        <v>0</v>
      </c>
      <c r="N378" t="n">
        <v>0</v>
      </c>
      <c r="O378" t="n">
        <v>0</v>
      </c>
      <c r="P378" t="n">
        <v>0</v>
      </c>
      <c r="Q378" t="n">
        <v>0</v>
      </c>
      <c r="R378" s="2" t="inlineStr"/>
    </row>
    <row r="379" ht="15" customHeight="1">
      <c r="A379" t="inlineStr">
        <is>
          <t>A 31109-2019</t>
        </is>
      </c>
      <c r="B379" s="1" t="n">
        <v>43640</v>
      </c>
      <c r="C379" s="1" t="n">
        <v>45265</v>
      </c>
      <c r="D379" t="inlineStr">
        <is>
          <t>VÄRMLANDS LÄN</t>
        </is>
      </c>
      <c r="E379" t="inlineStr">
        <is>
          <t>TORSBY</t>
        </is>
      </c>
      <c r="G379" t="n">
        <v>4</v>
      </c>
      <c r="H379" t="n">
        <v>0</v>
      </c>
      <c r="I379" t="n">
        <v>0</v>
      </c>
      <c r="J379" t="n">
        <v>0</v>
      </c>
      <c r="K379" t="n">
        <v>0</v>
      </c>
      <c r="L379" t="n">
        <v>0</v>
      </c>
      <c r="M379" t="n">
        <v>0</v>
      </c>
      <c r="N379" t="n">
        <v>0</v>
      </c>
      <c r="O379" t="n">
        <v>0</v>
      </c>
      <c r="P379" t="n">
        <v>0</v>
      </c>
      <c r="Q379" t="n">
        <v>0</v>
      </c>
      <c r="R379" s="2" t="inlineStr"/>
    </row>
    <row r="380" ht="15" customHeight="1">
      <c r="A380" t="inlineStr">
        <is>
          <t>A 31010-2019</t>
        </is>
      </c>
      <c r="B380" s="1" t="n">
        <v>43640</v>
      </c>
      <c r="C380" s="1" t="n">
        <v>45265</v>
      </c>
      <c r="D380" t="inlineStr">
        <is>
          <t>VÄRMLANDS LÄN</t>
        </is>
      </c>
      <c r="E380" t="inlineStr">
        <is>
          <t>TORSBY</t>
        </is>
      </c>
      <c r="G380" t="n">
        <v>4</v>
      </c>
      <c r="H380" t="n">
        <v>0</v>
      </c>
      <c r="I380" t="n">
        <v>0</v>
      </c>
      <c r="J380" t="n">
        <v>0</v>
      </c>
      <c r="K380" t="n">
        <v>0</v>
      </c>
      <c r="L380" t="n">
        <v>0</v>
      </c>
      <c r="M380" t="n">
        <v>0</v>
      </c>
      <c r="N380" t="n">
        <v>0</v>
      </c>
      <c r="O380" t="n">
        <v>0</v>
      </c>
      <c r="P380" t="n">
        <v>0</v>
      </c>
      <c r="Q380" t="n">
        <v>0</v>
      </c>
      <c r="R380" s="2" t="inlineStr"/>
    </row>
    <row r="381" ht="15" customHeight="1">
      <c r="A381" t="inlineStr">
        <is>
          <t>A 31138-2019</t>
        </is>
      </c>
      <c r="B381" s="1" t="n">
        <v>43640</v>
      </c>
      <c r="C381" s="1" t="n">
        <v>45265</v>
      </c>
      <c r="D381" t="inlineStr">
        <is>
          <t>VÄRMLANDS LÄN</t>
        </is>
      </c>
      <c r="E381" t="inlineStr">
        <is>
          <t>TORSBY</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31543-2019</t>
        </is>
      </c>
      <c r="B382" s="1" t="n">
        <v>43641</v>
      </c>
      <c r="C382" s="1" t="n">
        <v>45265</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31930-2019</t>
        </is>
      </c>
      <c r="B383" s="1" t="n">
        <v>43642</v>
      </c>
      <c r="C383" s="1" t="n">
        <v>45265</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32170-2019</t>
        </is>
      </c>
      <c r="B384" s="1" t="n">
        <v>43643</v>
      </c>
      <c r="C384" s="1" t="n">
        <v>45265</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32443-2019</t>
        </is>
      </c>
      <c r="B385" s="1" t="n">
        <v>43644</v>
      </c>
      <c r="C385" s="1" t="n">
        <v>45265</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32298-2019</t>
        </is>
      </c>
      <c r="B386" s="1" t="n">
        <v>43644</v>
      </c>
      <c r="C386" s="1" t="n">
        <v>45265</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32468-2019</t>
        </is>
      </c>
      <c r="B387" s="1" t="n">
        <v>43644</v>
      </c>
      <c r="C387" s="1" t="n">
        <v>45265</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32444-2019</t>
        </is>
      </c>
      <c r="B388" s="1" t="n">
        <v>43644</v>
      </c>
      <c r="C388" s="1" t="n">
        <v>45265</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33918-2019</t>
        </is>
      </c>
      <c r="B389" s="1" t="n">
        <v>43654</v>
      </c>
      <c r="C389" s="1" t="n">
        <v>45265</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35505-2019</t>
        </is>
      </c>
      <c r="B390" s="1" t="n">
        <v>43654</v>
      </c>
      <c r="C390" s="1" t="n">
        <v>45265</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35788-2019</t>
        </is>
      </c>
      <c r="B391" s="1" t="n">
        <v>43656</v>
      </c>
      <c r="C391" s="1" t="n">
        <v>45265</v>
      </c>
      <c r="D391" t="inlineStr">
        <is>
          <t>VÄRMLANDS LÄN</t>
        </is>
      </c>
      <c r="E391" t="inlineStr">
        <is>
          <t>TORSBY</t>
        </is>
      </c>
      <c r="F391" t="inlineStr">
        <is>
          <t>Kyrkan</t>
        </is>
      </c>
      <c r="G391" t="n">
        <v>0.8</v>
      </c>
      <c r="H391" t="n">
        <v>0</v>
      </c>
      <c r="I391" t="n">
        <v>0</v>
      </c>
      <c r="J391" t="n">
        <v>0</v>
      </c>
      <c r="K391" t="n">
        <v>0</v>
      </c>
      <c r="L391" t="n">
        <v>0</v>
      </c>
      <c r="M391" t="n">
        <v>0</v>
      </c>
      <c r="N391" t="n">
        <v>0</v>
      </c>
      <c r="O391" t="n">
        <v>0</v>
      </c>
      <c r="P391" t="n">
        <v>0</v>
      </c>
      <c r="Q391" t="n">
        <v>0</v>
      </c>
      <c r="R391" s="2" t="inlineStr"/>
    </row>
    <row r="392" ht="15" customHeight="1">
      <c r="A392" t="inlineStr">
        <is>
          <t>A 34541-2019</t>
        </is>
      </c>
      <c r="B392" s="1" t="n">
        <v>43657</v>
      </c>
      <c r="C392" s="1" t="n">
        <v>45265</v>
      </c>
      <c r="D392" t="inlineStr">
        <is>
          <t>VÄRMLANDS LÄN</t>
        </is>
      </c>
      <c r="E392" t="inlineStr">
        <is>
          <t>TORSBY</t>
        </is>
      </c>
      <c r="G392" t="n">
        <v>5.7</v>
      </c>
      <c r="H392" t="n">
        <v>0</v>
      </c>
      <c r="I392" t="n">
        <v>0</v>
      </c>
      <c r="J392" t="n">
        <v>0</v>
      </c>
      <c r="K392" t="n">
        <v>0</v>
      </c>
      <c r="L392" t="n">
        <v>0</v>
      </c>
      <c r="M392" t="n">
        <v>0</v>
      </c>
      <c r="N392" t="n">
        <v>0</v>
      </c>
      <c r="O392" t="n">
        <v>0</v>
      </c>
      <c r="P392" t="n">
        <v>0</v>
      </c>
      <c r="Q392" t="n">
        <v>0</v>
      </c>
      <c r="R392" s="2" t="inlineStr"/>
    </row>
    <row r="393" ht="15" customHeight="1">
      <c r="A393" t="inlineStr">
        <is>
          <t>A 36480-2019</t>
        </is>
      </c>
      <c r="B393" s="1" t="n">
        <v>43668</v>
      </c>
      <c r="C393" s="1" t="n">
        <v>45265</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38010-2019</t>
        </is>
      </c>
      <c r="B394" s="1" t="n">
        <v>43669</v>
      </c>
      <c r="C394" s="1" t="n">
        <v>45265</v>
      </c>
      <c r="D394" t="inlineStr">
        <is>
          <t>VÄRMLANDS LÄN</t>
        </is>
      </c>
      <c r="E394" t="inlineStr">
        <is>
          <t>TORSBY</t>
        </is>
      </c>
      <c r="G394" t="n">
        <v>6.2</v>
      </c>
      <c r="H394" t="n">
        <v>0</v>
      </c>
      <c r="I394" t="n">
        <v>0</v>
      </c>
      <c r="J394" t="n">
        <v>0</v>
      </c>
      <c r="K394" t="n">
        <v>0</v>
      </c>
      <c r="L394" t="n">
        <v>0</v>
      </c>
      <c r="M394" t="n">
        <v>0</v>
      </c>
      <c r="N394" t="n">
        <v>0</v>
      </c>
      <c r="O394" t="n">
        <v>0</v>
      </c>
      <c r="P394" t="n">
        <v>0</v>
      </c>
      <c r="Q394" t="n">
        <v>0</v>
      </c>
      <c r="R394" s="2" t="inlineStr"/>
    </row>
    <row r="395" ht="15" customHeight="1">
      <c r="A395" t="inlineStr">
        <is>
          <t>A 38003-2019</t>
        </is>
      </c>
      <c r="B395" s="1" t="n">
        <v>43669</v>
      </c>
      <c r="C395" s="1" t="n">
        <v>45265</v>
      </c>
      <c r="D395" t="inlineStr">
        <is>
          <t>VÄRMLANDS LÄN</t>
        </is>
      </c>
      <c r="E395" t="inlineStr">
        <is>
          <t>TORSBY</t>
        </is>
      </c>
      <c r="G395" t="n">
        <v>3.1</v>
      </c>
      <c r="H395" t="n">
        <v>0</v>
      </c>
      <c r="I395" t="n">
        <v>0</v>
      </c>
      <c r="J395" t="n">
        <v>0</v>
      </c>
      <c r="K395" t="n">
        <v>0</v>
      </c>
      <c r="L395" t="n">
        <v>0</v>
      </c>
      <c r="M395" t="n">
        <v>0</v>
      </c>
      <c r="N395" t="n">
        <v>0</v>
      </c>
      <c r="O395" t="n">
        <v>0</v>
      </c>
      <c r="P395" t="n">
        <v>0</v>
      </c>
      <c r="Q395" t="n">
        <v>0</v>
      </c>
      <c r="R395" s="2" t="inlineStr"/>
    </row>
    <row r="396" ht="15" customHeight="1">
      <c r="A396" t="inlineStr">
        <is>
          <t>A 36712-2019</t>
        </is>
      </c>
      <c r="B396" s="1" t="n">
        <v>43669</v>
      </c>
      <c r="C396" s="1" t="n">
        <v>45265</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36682-2019</t>
        </is>
      </c>
      <c r="B397" s="1" t="n">
        <v>43670</v>
      </c>
      <c r="C397" s="1" t="n">
        <v>45265</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36734-2019</t>
        </is>
      </c>
      <c r="B398" s="1" t="n">
        <v>43672</v>
      </c>
      <c r="C398" s="1" t="n">
        <v>45265</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36820-2019</t>
        </is>
      </c>
      <c r="B399" s="1" t="n">
        <v>43673</v>
      </c>
      <c r="C399" s="1" t="n">
        <v>45265</v>
      </c>
      <c r="D399" t="inlineStr">
        <is>
          <t>VÄRMLANDS LÄN</t>
        </is>
      </c>
      <c r="E399" t="inlineStr">
        <is>
          <t>TORSBY</t>
        </is>
      </c>
      <c r="G399" t="n">
        <v>0.2</v>
      </c>
      <c r="H399" t="n">
        <v>0</v>
      </c>
      <c r="I399" t="n">
        <v>0</v>
      </c>
      <c r="J399" t="n">
        <v>0</v>
      </c>
      <c r="K399" t="n">
        <v>0</v>
      </c>
      <c r="L399" t="n">
        <v>0</v>
      </c>
      <c r="M399" t="n">
        <v>0</v>
      </c>
      <c r="N399" t="n">
        <v>0</v>
      </c>
      <c r="O399" t="n">
        <v>0</v>
      </c>
      <c r="P399" t="n">
        <v>0</v>
      </c>
      <c r="Q399" t="n">
        <v>0</v>
      </c>
      <c r="R399" s="2" t="inlineStr"/>
    </row>
    <row r="400" ht="15" customHeight="1">
      <c r="A400" t="inlineStr">
        <is>
          <t>A 37005-2019</t>
        </is>
      </c>
      <c r="B400" s="1" t="n">
        <v>43676</v>
      </c>
      <c r="C400" s="1" t="n">
        <v>45265</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37719-2019</t>
        </is>
      </c>
      <c r="B401" s="1" t="n">
        <v>43682</v>
      </c>
      <c r="C401" s="1" t="n">
        <v>45265</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38068-2019</t>
        </is>
      </c>
      <c r="B402" s="1" t="n">
        <v>43683</v>
      </c>
      <c r="C402" s="1" t="n">
        <v>45265</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38265-2019</t>
        </is>
      </c>
      <c r="B403" s="1" t="n">
        <v>43684</v>
      </c>
      <c r="C403" s="1" t="n">
        <v>45265</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39213-2019</t>
        </is>
      </c>
      <c r="B404" s="1" t="n">
        <v>43690</v>
      </c>
      <c r="C404" s="1" t="n">
        <v>45265</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40632-2019</t>
        </is>
      </c>
      <c r="B405" s="1" t="n">
        <v>43696</v>
      </c>
      <c r="C405" s="1" t="n">
        <v>45265</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40589-2019</t>
        </is>
      </c>
      <c r="B406" s="1" t="n">
        <v>43696</v>
      </c>
      <c r="C406" s="1" t="n">
        <v>45265</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40810-2019</t>
        </is>
      </c>
      <c r="B407" s="1" t="n">
        <v>43697</v>
      </c>
      <c r="C407" s="1" t="n">
        <v>45265</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41698-2019</t>
        </is>
      </c>
      <c r="B408" s="1" t="n">
        <v>43697</v>
      </c>
      <c r="C408" s="1" t="n">
        <v>45265</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42441-2019</t>
        </is>
      </c>
      <c r="B409" s="1" t="n">
        <v>43697</v>
      </c>
      <c r="C409" s="1" t="n">
        <v>45265</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41436-2019</t>
        </is>
      </c>
      <c r="B410" s="1" t="n">
        <v>43698</v>
      </c>
      <c r="C410" s="1" t="n">
        <v>45265</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41435-2019</t>
        </is>
      </c>
      <c r="B411" s="1" t="n">
        <v>43698</v>
      </c>
      <c r="C411" s="1" t="n">
        <v>45265</v>
      </c>
      <c r="D411" t="inlineStr">
        <is>
          <t>VÄRMLANDS LÄN</t>
        </is>
      </c>
      <c r="E411" t="inlineStr">
        <is>
          <t>TORSBY</t>
        </is>
      </c>
      <c r="G411" t="n">
        <v>2</v>
      </c>
      <c r="H411" t="n">
        <v>0</v>
      </c>
      <c r="I411" t="n">
        <v>0</v>
      </c>
      <c r="J411" t="n">
        <v>0</v>
      </c>
      <c r="K411" t="n">
        <v>0</v>
      </c>
      <c r="L411" t="n">
        <v>0</v>
      </c>
      <c r="M411" t="n">
        <v>0</v>
      </c>
      <c r="N411" t="n">
        <v>0</v>
      </c>
      <c r="O411" t="n">
        <v>0</v>
      </c>
      <c r="P411" t="n">
        <v>0</v>
      </c>
      <c r="Q411" t="n">
        <v>0</v>
      </c>
      <c r="R411" s="2" t="inlineStr"/>
    </row>
    <row r="412" ht="15" customHeight="1">
      <c r="A412" t="inlineStr">
        <is>
          <t>A 41438-2019</t>
        </is>
      </c>
      <c r="B412" s="1" t="n">
        <v>43698</v>
      </c>
      <c r="C412" s="1" t="n">
        <v>45265</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41621-2019</t>
        </is>
      </c>
      <c r="B413" s="1" t="n">
        <v>43699</v>
      </c>
      <c r="C413" s="1" t="n">
        <v>45265</v>
      </c>
      <c r="D413" t="inlineStr">
        <is>
          <t>VÄRMLANDS LÄN</t>
        </is>
      </c>
      <c r="E413" t="inlineStr">
        <is>
          <t>TORSBY</t>
        </is>
      </c>
      <c r="G413" t="n">
        <v>4.2</v>
      </c>
      <c r="H413" t="n">
        <v>0</v>
      </c>
      <c r="I413" t="n">
        <v>0</v>
      </c>
      <c r="J413" t="n">
        <v>0</v>
      </c>
      <c r="K413" t="n">
        <v>0</v>
      </c>
      <c r="L413" t="n">
        <v>0</v>
      </c>
      <c r="M413" t="n">
        <v>0</v>
      </c>
      <c r="N413" t="n">
        <v>0</v>
      </c>
      <c r="O413" t="n">
        <v>0</v>
      </c>
      <c r="P413" t="n">
        <v>0</v>
      </c>
      <c r="Q413" t="n">
        <v>0</v>
      </c>
      <c r="R413" s="2" t="inlineStr"/>
    </row>
    <row r="414" ht="15" customHeight="1">
      <c r="A414" t="inlineStr">
        <is>
          <t>A 42230-2019</t>
        </is>
      </c>
      <c r="B414" s="1" t="n">
        <v>43703</v>
      </c>
      <c r="C414" s="1" t="n">
        <v>45265</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43273-2019</t>
        </is>
      </c>
      <c r="B415" s="1" t="n">
        <v>43704</v>
      </c>
      <c r="C415" s="1" t="n">
        <v>45265</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43897-2019</t>
        </is>
      </c>
      <c r="B416" s="1" t="n">
        <v>43707</v>
      </c>
      <c r="C416" s="1" t="n">
        <v>45265</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44832-2019</t>
        </is>
      </c>
      <c r="B417" s="1" t="n">
        <v>43707</v>
      </c>
      <c r="C417" s="1" t="n">
        <v>45265</v>
      </c>
      <c r="D417" t="inlineStr">
        <is>
          <t>VÄRMLANDS LÄN</t>
        </is>
      </c>
      <c r="E417" t="inlineStr">
        <is>
          <t>TORSBY</t>
        </is>
      </c>
      <c r="G417" t="n">
        <v>27.1</v>
      </c>
      <c r="H417" t="n">
        <v>0</v>
      </c>
      <c r="I417" t="n">
        <v>0</v>
      </c>
      <c r="J417" t="n">
        <v>0</v>
      </c>
      <c r="K417" t="n">
        <v>0</v>
      </c>
      <c r="L417" t="n">
        <v>0</v>
      </c>
      <c r="M417" t="n">
        <v>0</v>
      </c>
      <c r="N417" t="n">
        <v>0</v>
      </c>
      <c r="O417" t="n">
        <v>0</v>
      </c>
      <c r="P417" t="n">
        <v>0</v>
      </c>
      <c r="Q417" t="n">
        <v>0</v>
      </c>
      <c r="R417" s="2" t="inlineStr"/>
    </row>
    <row r="418" ht="15" customHeight="1">
      <c r="A418" t="inlineStr">
        <is>
          <t>A 44708-2019</t>
        </is>
      </c>
      <c r="B418" s="1" t="n">
        <v>43712</v>
      </c>
      <c r="C418" s="1" t="n">
        <v>45265</v>
      </c>
      <c r="D418" t="inlineStr">
        <is>
          <t>VÄRMLANDS LÄN</t>
        </is>
      </c>
      <c r="E418" t="inlineStr">
        <is>
          <t>TORSBY</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44706-2019</t>
        </is>
      </c>
      <c r="B419" s="1" t="n">
        <v>43712</v>
      </c>
      <c r="C419" s="1" t="n">
        <v>45265</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45053-2019</t>
        </is>
      </c>
      <c r="B420" s="1" t="n">
        <v>43713</v>
      </c>
      <c r="C420" s="1" t="n">
        <v>45265</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45083-2019</t>
        </is>
      </c>
      <c r="B421" s="1" t="n">
        <v>43713</v>
      </c>
      <c r="C421" s="1" t="n">
        <v>45265</v>
      </c>
      <c r="D421" t="inlineStr">
        <is>
          <t>VÄRMLANDS LÄN</t>
        </is>
      </c>
      <c r="E421" t="inlineStr">
        <is>
          <t>TORSBY</t>
        </is>
      </c>
      <c r="F421" t="inlineStr">
        <is>
          <t>Bergvik skog väst AB</t>
        </is>
      </c>
      <c r="G421" t="n">
        <v>37.8</v>
      </c>
      <c r="H421" t="n">
        <v>0</v>
      </c>
      <c r="I421" t="n">
        <v>0</v>
      </c>
      <c r="J421" t="n">
        <v>0</v>
      </c>
      <c r="K421" t="n">
        <v>0</v>
      </c>
      <c r="L421" t="n">
        <v>0</v>
      </c>
      <c r="M421" t="n">
        <v>0</v>
      </c>
      <c r="N421" t="n">
        <v>0</v>
      </c>
      <c r="O421" t="n">
        <v>0</v>
      </c>
      <c r="P421" t="n">
        <v>0</v>
      </c>
      <c r="Q421" t="n">
        <v>0</v>
      </c>
      <c r="R421" s="2" t="inlineStr"/>
    </row>
    <row r="422" ht="15" customHeight="1">
      <c r="A422" t="inlineStr">
        <is>
          <t>A 45189-2019</t>
        </is>
      </c>
      <c r="B422" s="1" t="n">
        <v>43713</v>
      </c>
      <c r="C422" s="1" t="n">
        <v>45265</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45068-2019</t>
        </is>
      </c>
      <c r="B423" s="1" t="n">
        <v>43713</v>
      </c>
      <c r="C423" s="1" t="n">
        <v>45265</v>
      </c>
      <c r="D423" t="inlineStr">
        <is>
          <t>VÄRMLANDS LÄN</t>
        </is>
      </c>
      <c r="E423" t="inlineStr">
        <is>
          <t>TORSBY</t>
        </is>
      </c>
      <c r="G423" t="n">
        <v>2.4</v>
      </c>
      <c r="H423" t="n">
        <v>0</v>
      </c>
      <c r="I423" t="n">
        <v>0</v>
      </c>
      <c r="J423" t="n">
        <v>0</v>
      </c>
      <c r="K423" t="n">
        <v>0</v>
      </c>
      <c r="L423" t="n">
        <v>0</v>
      </c>
      <c r="M423" t="n">
        <v>0</v>
      </c>
      <c r="N423" t="n">
        <v>0</v>
      </c>
      <c r="O423" t="n">
        <v>0</v>
      </c>
      <c r="P423" t="n">
        <v>0</v>
      </c>
      <c r="Q423" t="n">
        <v>0</v>
      </c>
      <c r="R423" s="2" t="inlineStr"/>
    </row>
    <row r="424" ht="15" customHeight="1">
      <c r="A424" t="inlineStr">
        <is>
          <t>A 45891-2019</t>
        </is>
      </c>
      <c r="B424" s="1" t="n">
        <v>43717</v>
      </c>
      <c r="C424" s="1" t="n">
        <v>45265</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46738-2019</t>
        </is>
      </c>
      <c r="B425" s="1" t="n">
        <v>43719</v>
      </c>
      <c r="C425" s="1" t="n">
        <v>45265</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46743-2019</t>
        </is>
      </c>
      <c r="B426" s="1" t="n">
        <v>43719</v>
      </c>
      <c r="C426" s="1" t="n">
        <v>45265</v>
      </c>
      <c r="D426" t="inlineStr">
        <is>
          <t>VÄRMLANDS LÄN</t>
        </is>
      </c>
      <c r="E426" t="inlineStr">
        <is>
          <t>TORSBY</t>
        </is>
      </c>
      <c r="G426" t="n">
        <v>7</v>
      </c>
      <c r="H426" t="n">
        <v>0</v>
      </c>
      <c r="I426" t="n">
        <v>0</v>
      </c>
      <c r="J426" t="n">
        <v>0</v>
      </c>
      <c r="K426" t="n">
        <v>0</v>
      </c>
      <c r="L426" t="n">
        <v>0</v>
      </c>
      <c r="M426" t="n">
        <v>0</v>
      </c>
      <c r="N426" t="n">
        <v>0</v>
      </c>
      <c r="O426" t="n">
        <v>0</v>
      </c>
      <c r="P426" t="n">
        <v>0</v>
      </c>
      <c r="Q426" t="n">
        <v>0</v>
      </c>
      <c r="R426" s="2" t="inlineStr"/>
    </row>
    <row r="427" ht="15" customHeight="1">
      <c r="A427" t="inlineStr">
        <is>
          <t>A 47114-2019</t>
        </is>
      </c>
      <c r="B427" s="1" t="n">
        <v>43720</v>
      </c>
      <c r="C427" s="1" t="n">
        <v>45265</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47214-2019</t>
        </is>
      </c>
      <c r="B428" s="1" t="n">
        <v>43721</v>
      </c>
      <c r="C428" s="1" t="n">
        <v>45265</v>
      </c>
      <c r="D428" t="inlineStr">
        <is>
          <t>VÄRMLANDS LÄN</t>
        </is>
      </c>
      <c r="E428" t="inlineStr">
        <is>
          <t>TORSBY</t>
        </is>
      </c>
      <c r="G428" t="n">
        <v>3</v>
      </c>
      <c r="H428" t="n">
        <v>0</v>
      </c>
      <c r="I428" t="n">
        <v>0</v>
      </c>
      <c r="J428" t="n">
        <v>0</v>
      </c>
      <c r="K428" t="n">
        <v>0</v>
      </c>
      <c r="L428" t="n">
        <v>0</v>
      </c>
      <c r="M428" t="n">
        <v>0</v>
      </c>
      <c r="N428" t="n">
        <v>0</v>
      </c>
      <c r="O428" t="n">
        <v>0</v>
      </c>
      <c r="P428" t="n">
        <v>0</v>
      </c>
      <c r="Q428" t="n">
        <v>0</v>
      </c>
      <c r="R428" s="2" t="inlineStr"/>
    </row>
    <row r="429" ht="15" customHeight="1">
      <c r="A429" t="inlineStr">
        <is>
          <t>A 47137-2019</t>
        </is>
      </c>
      <c r="B429" s="1" t="n">
        <v>43721</v>
      </c>
      <c r="C429" s="1" t="n">
        <v>45265</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47316-2019</t>
        </is>
      </c>
      <c r="B430" s="1" t="n">
        <v>43721</v>
      </c>
      <c r="C430" s="1" t="n">
        <v>45265</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47608-2019</t>
        </is>
      </c>
      <c r="B431" s="1" t="n">
        <v>43724</v>
      </c>
      <c r="C431" s="1" t="n">
        <v>45265</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47772-2019</t>
        </is>
      </c>
      <c r="B432" s="1" t="n">
        <v>43724</v>
      </c>
      <c r="C432" s="1" t="n">
        <v>45265</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47648-2019</t>
        </is>
      </c>
      <c r="B433" s="1" t="n">
        <v>43724</v>
      </c>
      <c r="C433" s="1" t="n">
        <v>45265</v>
      </c>
      <c r="D433" t="inlineStr">
        <is>
          <t>VÄRMLANDS LÄN</t>
        </is>
      </c>
      <c r="E433" t="inlineStr">
        <is>
          <t>TORSBY</t>
        </is>
      </c>
      <c r="G433" t="n">
        <v>2</v>
      </c>
      <c r="H433" t="n">
        <v>0</v>
      </c>
      <c r="I433" t="n">
        <v>0</v>
      </c>
      <c r="J433" t="n">
        <v>0</v>
      </c>
      <c r="K433" t="n">
        <v>0</v>
      </c>
      <c r="L433" t="n">
        <v>0</v>
      </c>
      <c r="M433" t="n">
        <v>0</v>
      </c>
      <c r="N433" t="n">
        <v>0</v>
      </c>
      <c r="O433" t="n">
        <v>0</v>
      </c>
      <c r="P433" t="n">
        <v>0</v>
      </c>
      <c r="Q433" t="n">
        <v>0</v>
      </c>
      <c r="R433" s="2" t="inlineStr"/>
    </row>
    <row r="434" ht="15" customHeight="1">
      <c r="A434" t="inlineStr">
        <is>
          <t>A 47502-2019</t>
        </is>
      </c>
      <c r="B434" s="1" t="n">
        <v>43724</v>
      </c>
      <c r="C434" s="1" t="n">
        <v>45265</v>
      </c>
      <c r="D434" t="inlineStr">
        <is>
          <t>VÄRMLANDS LÄN</t>
        </is>
      </c>
      <c r="E434" t="inlineStr">
        <is>
          <t>TORSBY</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47869-2019</t>
        </is>
      </c>
      <c r="B435" s="1" t="n">
        <v>43725</v>
      </c>
      <c r="C435" s="1" t="n">
        <v>45265</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47979-2019</t>
        </is>
      </c>
      <c r="B436" s="1" t="n">
        <v>43725</v>
      </c>
      <c r="C436" s="1" t="n">
        <v>45265</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48040-2019</t>
        </is>
      </c>
      <c r="B437" s="1" t="n">
        <v>43725</v>
      </c>
      <c r="C437" s="1" t="n">
        <v>45265</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48346-2019</t>
        </is>
      </c>
      <c r="B438" s="1" t="n">
        <v>43726</v>
      </c>
      <c r="C438" s="1" t="n">
        <v>45265</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48366-2019</t>
        </is>
      </c>
      <c r="B439" s="1" t="n">
        <v>43726</v>
      </c>
      <c r="C439" s="1" t="n">
        <v>45265</v>
      </c>
      <c r="D439" t="inlineStr">
        <is>
          <t>VÄRMLANDS LÄN</t>
        </is>
      </c>
      <c r="E439" t="inlineStr">
        <is>
          <t>TORSBY</t>
        </is>
      </c>
      <c r="G439" t="n">
        <v>2.3</v>
      </c>
      <c r="H439" t="n">
        <v>0</v>
      </c>
      <c r="I439" t="n">
        <v>0</v>
      </c>
      <c r="J439" t="n">
        <v>0</v>
      </c>
      <c r="K439" t="n">
        <v>0</v>
      </c>
      <c r="L439" t="n">
        <v>0</v>
      </c>
      <c r="M439" t="n">
        <v>0</v>
      </c>
      <c r="N439" t="n">
        <v>0</v>
      </c>
      <c r="O439" t="n">
        <v>0</v>
      </c>
      <c r="P439" t="n">
        <v>0</v>
      </c>
      <c r="Q439" t="n">
        <v>0</v>
      </c>
      <c r="R439" s="2" t="inlineStr"/>
    </row>
    <row r="440" ht="15" customHeight="1">
      <c r="A440" t="inlineStr">
        <is>
          <t>A 49550-2019</t>
        </is>
      </c>
      <c r="B440" s="1" t="n">
        <v>43727</v>
      </c>
      <c r="C440" s="1" t="n">
        <v>45265</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51497-2019</t>
        </is>
      </c>
      <c r="B441" s="1" t="n">
        <v>43734</v>
      </c>
      <c r="C441" s="1" t="n">
        <v>45265</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50428-2019</t>
        </is>
      </c>
      <c r="B442" s="1" t="n">
        <v>43735</v>
      </c>
      <c r="C442" s="1" t="n">
        <v>45265</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52319-2019</t>
        </is>
      </c>
      <c r="B443" s="1" t="n">
        <v>43735</v>
      </c>
      <c r="C443" s="1" t="n">
        <v>45265</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52326-2019</t>
        </is>
      </c>
      <c r="B444" s="1" t="n">
        <v>43735</v>
      </c>
      <c r="C444" s="1" t="n">
        <v>45265</v>
      </c>
      <c r="D444" t="inlineStr">
        <is>
          <t>VÄRMLANDS LÄN</t>
        </is>
      </c>
      <c r="E444" t="inlineStr">
        <is>
          <t>TORSBY</t>
        </is>
      </c>
      <c r="G444" t="n">
        <v>6.2</v>
      </c>
      <c r="H444" t="n">
        <v>0</v>
      </c>
      <c r="I444" t="n">
        <v>0</v>
      </c>
      <c r="J444" t="n">
        <v>0</v>
      </c>
      <c r="K444" t="n">
        <v>0</v>
      </c>
      <c r="L444" t="n">
        <v>0</v>
      </c>
      <c r="M444" t="n">
        <v>0</v>
      </c>
      <c r="N444" t="n">
        <v>0</v>
      </c>
      <c r="O444" t="n">
        <v>0</v>
      </c>
      <c r="P444" t="n">
        <v>0</v>
      </c>
      <c r="Q444" t="n">
        <v>0</v>
      </c>
      <c r="R444" s="2" t="inlineStr"/>
    </row>
    <row r="445" ht="15" customHeight="1">
      <c r="A445" t="inlineStr">
        <is>
          <t>A 52317-2019</t>
        </is>
      </c>
      <c r="B445" s="1" t="n">
        <v>43735</v>
      </c>
      <c r="C445" s="1" t="n">
        <v>45265</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51254-2019</t>
        </is>
      </c>
      <c r="B446" s="1" t="n">
        <v>43739</v>
      </c>
      <c r="C446" s="1" t="n">
        <v>45265</v>
      </c>
      <c r="D446" t="inlineStr">
        <is>
          <t>VÄRMLANDS LÄN</t>
        </is>
      </c>
      <c r="E446" t="inlineStr">
        <is>
          <t>TORSBY</t>
        </is>
      </c>
      <c r="F446" t="inlineStr">
        <is>
          <t>Bergvik skog väst AB</t>
        </is>
      </c>
      <c r="G446" t="n">
        <v>4.5</v>
      </c>
      <c r="H446" t="n">
        <v>0</v>
      </c>
      <c r="I446" t="n">
        <v>0</v>
      </c>
      <c r="J446" t="n">
        <v>0</v>
      </c>
      <c r="K446" t="n">
        <v>0</v>
      </c>
      <c r="L446" t="n">
        <v>0</v>
      </c>
      <c r="M446" t="n">
        <v>0</v>
      </c>
      <c r="N446" t="n">
        <v>0</v>
      </c>
      <c r="O446" t="n">
        <v>0</v>
      </c>
      <c r="P446" t="n">
        <v>0</v>
      </c>
      <c r="Q446" t="n">
        <v>0</v>
      </c>
      <c r="R446" s="2" t="inlineStr"/>
    </row>
    <row r="447" ht="15" customHeight="1">
      <c r="A447" t="inlineStr">
        <is>
          <t>A 52186-2019</t>
        </is>
      </c>
      <c r="B447" s="1" t="n">
        <v>43742</v>
      </c>
      <c r="C447" s="1" t="n">
        <v>45265</v>
      </c>
      <c r="D447" t="inlineStr">
        <is>
          <t>VÄRMLANDS LÄN</t>
        </is>
      </c>
      <c r="E447" t="inlineStr">
        <is>
          <t>TORSBY</t>
        </is>
      </c>
      <c r="G447" t="n">
        <v>3.6</v>
      </c>
      <c r="H447" t="n">
        <v>0</v>
      </c>
      <c r="I447" t="n">
        <v>0</v>
      </c>
      <c r="J447" t="n">
        <v>0</v>
      </c>
      <c r="K447" t="n">
        <v>0</v>
      </c>
      <c r="L447" t="n">
        <v>0</v>
      </c>
      <c r="M447" t="n">
        <v>0</v>
      </c>
      <c r="N447" t="n">
        <v>0</v>
      </c>
      <c r="O447" t="n">
        <v>0</v>
      </c>
      <c r="P447" t="n">
        <v>0</v>
      </c>
      <c r="Q447" t="n">
        <v>0</v>
      </c>
      <c r="R447" s="2" t="inlineStr"/>
    </row>
    <row r="448" ht="15" customHeight="1">
      <c r="A448" t="inlineStr">
        <is>
          <t>A 52311-2019</t>
        </is>
      </c>
      <c r="B448" s="1" t="n">
        <v>43745</v>
      </c>
      <c r="C448" s="1" t="n">
        <v>45265</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52674-2019</t>
        </is>
      </c>
      <c r="B449" s="1" t="n">
        <v>43746</v>
      </c>
      <c r="C449" s="1" t="n">
        <v>45265</v>
      </c>
      <c r="D449" t="inlineStr">
        <is>
          <t>VÄRMLANDS LÄN</t>
        </is>
      </c>
      <c r="E449" t="inlineStr">
        <is>
          <t>TORSBY</t>
        </is>
      </c>
      <c r="F449" t="inlineStr">
        <is>
          <t>Bergvik skog väst AB</t>
        </is>
      </c>
      <c r="G449" t="n">
        <v>26.4</v>
      </c>
      <c r="H449" t="n">
        <v>0</v>
      </c>
      <c r="I449" t="n">
        <v>0</v>
      </c>
      <c r="J449" t="n">
        <v>0</v>
      </c>
      <c r="K449" t="n">
        <v>0</v>
      </c>
      <c r="L449" t="n">
        <v>0</v>
      </c>
      <c r="M449" t="n">
        <v>0</v>
      </c>
      <c r="N449" t="n">
        <v>0</v>
      </c>
      <c r="O449" t="n">
        <v>0</v>
      </c>
      <c r="P449" t="n">
        <v>0</v>
      </c>
      <c r="Q449" t="n">
        <v>0</v>
      </c>
      <c r="R449" s="2" t="inlineStr"/>
    </row>
    <row r="450" ht="15" customHeight="1">
      <c r="A450" t="inlineStr">
        <is>
          <t>A 52885-2019</t>
        </is>
      </c>
      <c r="B450" s="1" t="n">
        <v>43746</v>
      </c>
      <c r="C450" s="1" t="n">
        <v>45265</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53271-2019</t>
        </is>
      </c>
      <c r="B451" s="1" t="n">
        <v>43748</v>
      </c>
      <c r="C451" s="1" t="n">
        <v>45265</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54764-2019</t>
        </is>
      </c>
      <c r="B452" s="1" t="n">
        <v>43748</v>
      </c>
      <c r="C452" s="1" t="n">
        <v>45265</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53635-2019</t>
        </is>
      </c>
      <c r="B453" s="1" t="n">
        <v>43749</v>
      </c>
      <c r="C453" s="1" t="n">
        <v>45265</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53746-2019</t>
        </is>
      </c>
      <c r="B454" s="1" t="n">
        <v>43749</v>
      </c>
      <c r="C454" s="1" t="n">
        <v>45265</v>
      </c>
      <c r="D454" t="inlineStr">
        <is>
          <t>VÄRMLANDS LÄN</t>
        </is>
      </c>
      <c r="E454" t="inlineStr">
        <is>
          <t>TORSBY</t>
        </is>
      </c>
      <c r="G454" t="n">
        <v>0.3</v>
      </c>
      <c r="H454" t="n">
        <v>0</v>
      </c>
      <c r="I454" t="n">
        <v>0</v>
      </c>
      <c r="J454" t="n">
        <v>0</v>
      </c>
      <c r="K454" t="n">
        <v>0</v>
      </c>
      <c r="L454" t="n">
        <v>0</v>
      </c>
      <c r="M454" t="n">
        <v>0</v>
      </c>
      <c r="N454" t="n">
        <v>0</v>
      </c>
      <c r="O454" t="n">
        <v>0</v>
      </c>
      <c r="P454" t="n">
        <v>0</v>
      </c>
      <c r="Q454" t="n">
        <v>0</v>
      </c>
      <c r="R454" s="2" t="inlineStr"/>
    </row>
    <row r="455" ht="15" customHeight="1">
      <c r="A455" t="inlineStr">
        <is>
          <t>A 53744-2019</t>
        </is>
      </c>
      <c r="B455" s="1" t="n">
        <v>43749</v>
      </c>
      <c r="C455" s="1" t="n">
        <v>45265</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54437-2019</t>
        </is>
      </c>
      <c r="B456" s="1" t="n">
        <v>43754</v>
      </c>
      <c r="C456" s="1" t="n">
        <v>45265</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56256-2019</t>
        </is>
      </c>
      <c r="B457" s="1" t="n">
        <v>43756</v>
      </c>
      <c r="C457" s="1" t="n">
        <v>45265</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55988-2019</t>
        </is>
      </c>
      <c r="B458" s="1" t="n">
        <v>43759</v>
      </c>
      <c r="C458" s="1" t="n">
        <v>45265</v>
      </c>
      <c r="D458" t="inlineStr">
        <is>
          <t>VÄRMLANDS LÄN</t>
        </is>
      </c>
      <c r="E458" t="inlineStr">
        <is>
          <t>TORSBY</t>
        </is>
      </c>
      <c r="G458" t="n">
        <v>1</v>
      </c>
      <c r="H458" t="n">
        <v>0</v>
      </c>
      <c r="I458" t="n">
        <v>0</v>
      </c>
      <c r="J458" t="n">
        <v>0</v>
      </c>
      <c r="K458" t="n">
        <v>0</v>
      </c>
      <c r="L458" t="n">
        <v>0</v>
      </c>
      <c r="M458" t="n">
        <v>0</v>
      </c>
      <c r="N458" t="n">
        <v>0</v>
      </c>
      <c r="O458" t="n">
        <v>0</v>
      </c>
      <c r="P458" t="n">
        <v>0</v>
      </c>
      <c r="Q458" t="n">
        <v>0</v>
      </c>
      <c r="R458" s="2" t="inlineStr"/>
    </row>
    <row r="459" ht="15" customHeight="1">
      <c r="A459" t="inlineStr">
        <is>
          <t>A 56704-2019</t>
        </is>
      </c>
      <c r="B459" s="1" t="n">
        <v>43759</v>
      </c>
      <c r="C459" s="1" t="n">
        <v>45265</v>
      </c>
      <c r="D459" t="inlineStr">
        <is>
          <t>VÄRMLANDS LÄN</t>
        </is>
      </c>
      <c r="E459" t="inlineStr">
        <is>
          <t>TORSBY</t>
        </is>
      </c>
      <c r="G459" t="n">
        <v>2.6</v>
      </c>
      <c r="H459" t="n">
        <v>0</v>
      </c>
      <c r="I459" t="n">
        <v>0</v>
      </c>
      <c r="J459" t="n">
        <v>0</v>
      </c>
      <c r="K459" t="n">
        <v>0</v>
      </c>
      <c r="L459" t="n">
        <v>0</v>
      </c>
      <c r="M459" t="n">
        <v>0</v>
      </c>
      <c r="N459" t="n">
        <v>0</v>
      </c>
      <c r="O459" t="n">
        <v>0</v>
      </c>
      <c r="P459" t="n">
        <v>0</v>
      </c>
      <c r="Q459" t="n">
        <v>0</v>
      </c>
      <c r="R459" s="2" t="inlineStr"/>
    </row>
    <row r="460" ht="15" customHeight="1">
      <c r="A460" t="inlineStr">
        <is>
          <t>A 55927-2019</t>
        </is>
      </c>
      <c r="B460" s="1" t="n">
        <v>43761</v>
      </c>
      <c r="C460" s="1" t="n">
        <v>45265</v>
      </c>
      <c r="D460" t="inlineStr">
        <is>
          <t>VÄRMLANDS LÄN</t>
        </is>
      </c>
      <c r="E460" t="inlineStr">
        <is>
          <t>TORSBY</t>
        </is>
      </c>
      <c r="G460" t="n">
        <v>2.8</v>
      </c>
      <c r="H460" t="n">
        <v>0</v>
      </c>
      <c r="I460" t="n">
        <v>0</v>
      </c>
      <c r="J460" t="n">
        <v>0</v>
      </c>
      <c r="K460" t="n">
        <v>0</v>
      </c>
      <c r="L460" t="n">
        <v>0</v>
      </c>
      <c r="M460" t="n">
        <v>0</v>
      </c>
      <c r="N460" t="n">
        <v>0</v>
      </c>
      <c r="O460" t="n">
        <v>0</v>
      </c>
      <c r="P460" t="n">
        <v>0</v>
      </c>
      <c r="Q460" t="n">
        <v>0</v>
      </c>
      <c r="R460" s="2" t="inlineStr"/>
    </row>
    <row r="461" ht="15" customHeight="1">
      <c r="A461" t="inlineStr">
        <is>
          <t>A 56021-2019</t>
        </is>
      </c>
      <c r="B461" s="1" t="n">
        <v>43761</v>
      </c>
      <c r="C461" s="1" t="n">
        <v>45265</v>
      </c>
      <c r="D461" t="inlineStr">
        <is>
          <t>VÄRMLANDS LÄN</t>
        </is>
      </c>
      <c r="E461" t="inlineStr">
        <is>
          <t>TORSBY</t>
        </is>
      </c>
      <c r="G461" t="n">
        <v>1.5</v>
      </c>
      <c r="H461" t="n">
        <v>0</v>
      </c>
      <c r="I461" t="n">
        <v>0</v>
      </c>
      <c r="J461" t="n">
        <v>0</v>
      </c>
      <c r="K461" t="n">
        <v>0</v>
      </c>
      <c r="L461" t="n">
        <v>0</v>
      </c>
      <c r="M461" t="n">
        <v>0</v>
      </c>
      <c r="N461" t="n">
        <v>0</v>
      </c>
      <c r="O461" t="n">
        <v>0</v>
      </c>
      <c r="P461" t="n">
        <v>0</v>
      </c>
      <c r="Q461" t="n">
        <v>0</v>
      </c>
      <c r="R461" s="2" t="inlineStr"/>
    </row>
    <row r="462" ht="15" customHeight="1">
      <c r="A462" t="inlineStr">
        <is>
          <t>A 56305-2019</t>
        </is>
      </c>
      <c r="B462" s="1" t="n">
        <v>43762</v>
      </c>
      <c r="C462" s="1" t="n">
        <v>45265</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56594-2019</t>
        </is>
      </c>
      <c r="B463" s="1" t="n">
        <v>43763</v>
      </c>
      <c r="C463" s="1" t="n">
        <v>45265</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56633-2019</t>
        </is>
      </c>
      <c r="B464" s="1" t="n">
        <v>43763</v>
      </c>
      <c r="C464" s="1" t="n">
        <v>45265</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56824-2019</t>
        </is>
      </c>
      <c r="B465" s="1" t="n">
        <v>43764</v>
      </c>
      <c r="C465" s="1" t="n">
        <v>45265</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56935-2019</t>
        </is>
      </c>
      <c r="B466" s="1" t="n">
        <v>43766</v>
      </c>
      <c r="C466" s="1" t="n">
        <v>45265</v>
      </c>
      <c r="D466" t="inlineStr">
        <is>
          <t>VÄRMLANDS LÄN</t>
        </is>
      </c>
      <c r="E466" t="inlineStr">
        <is>
          <t>TORSBY</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57399-2019</t>
        </is>
      </c>
      <c r="B467" s="1" t="n">
        <v>43767</v>
      </c>
      <c r="C467" s="1" t="n">
        <v>45265</v>
      </c>
      <c r="D467" t="inlineStr">
        <is>
          <t>VÄRMLANDS LÄN</t>
        </is>
      </c>
      <c r="E467" t="inlineStr">
        <is>
          <t>TORSBY</t>
        </is>
      </c>
      <c r="F467" t="inlineStr">
        <is>
          <t>Bergvik skog väst AB</t>
        </is>
      </c>
      <c r="G467" t="n">
        <v>18.9</v>
      </c>
      <c r="H467" t="n">
        <v>0</v>
      </c>
      <c r="I467" t="n">
        <v>0</v>
      </c>
      <c r="J467" t="n">
        <v>0</v>
      </c>
      <c r="K467" t="n">
        <v>0</v>
      </c>
      <c r="L467" t="n">
        <v>0</v>
      </c>
      <c r="M467" t="n">
        <v>0</v>
      </c>
      <c r="N467" t="n">
        <v>0</v>
      </c>
      <c r="O467" t="n">
        <v>0</v>
      </c>
      <c r="P467" t="n">
        <v>0</v>
      </c>
      <c r="Q467" t="n">
        <v>0</v>
      </c>
      <c r="R467" s="2" t="inlineStr"/>
    </row>
    <row r="468" ht="15" customHeight="1">
      <c r="A468" t="inlineStr">
        <is>
          <t>A 57251-2019</t>
        </is>
      </c>
      <c r="B468" s="1" t="n">
        <v>43767</v>
      </c>
      <c r="C468" s="1" t="n">
        <v>45265</v>
      </c>
      <c r="D468" t="inlineStr">
        <is>
          <t>VÄRMLANDS LÄN</t>
        </is>
      </c>
      <c r="E468" t="inlineStr">
        <is>
          <t>TORSBY</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57301-2019</t>
        </is>
      </c>
      <c r="B469" s="1" t="n">
        <v>43767</v>
      </c>
      <c r="C469" s="1" t="n">
        <v>45265</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57268-2019</t>
        </is>
      </c>
      <c r="B470" s="1" t="n">
        <v>43767</v>
      </c>
      <c r="C470" s="1" t="n">
        <v>45265</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58530-2019</t>
        </is>
      </c>
      <c r="B471" s="1" t="n">
        <v>43767</v>
      </c>
      <c r="C471" s="1" t="n">
        <v>45265</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57223-2019</t>
        </is>
      </c>
      <c r="B472" s="1" t="n">
        <v>43767</v>
      </c>
      <c r="C472" s="1" t="n">
        <v>45265</v>
      </c>
      <c r="D472" t="inlineStr">
        <is>
          <t>VÄRMLANDS LÄN</t>
        </is>
      </c>
      <c r="E472" t="inlineStr">
        <is>
          <t>TORSBY</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57566-2019</t>
        </is>
      </c>
      <c r="B473" s="1" t="n">
        <v>43768</v>
      </c>
      <c r="C473" s="1" t="n">
        <v>45265</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57704-2019</t>
        </is>
      </c>
      <c r="B474" s="1" t="n">
        <v>43768</v>
      </c>
      <c r="C474" s="1" t="n">
        <v>45265</v>
      </c>
      <c r="D474" t="inlineStr">
        <is>
          <t>VÄRMLANDS LÄN</t>
        </is>
      </c>
      <c r="E474" t="inlineStr">
        <is>
          <t>TORSBY</t>
        </is>
      </c>
      <c r="F474" t="inlineStr">
        <is>
          <t>Kommuner</t>
        </is>
      </c>
      <c r="G474" t="n">
        <v>0.9</v>
      </c>
      <c r="H474" t="n">
        <v>0</v>
      </c>
      <c r="I474" t="n">
        <v>0</v>
      </c>
      <c r="J474" t="n">
        <v>0</v>
      </c>
      <c r="K474" t="n">
        <v>0</v>
      </c>
      <c r="L474" t="n">
        <v>0</v>
      </c>
      <c r="M474" t="n">
        <v>0</v>
      </c>
      <c r="N474" t="n">
        <v>0</v>
      </c>
      <c r="O474" t="n">
        <v>0</v>
      </c>
      <c r="P474" t="n">
        <v>0</v>
      </c>
      <c r="Q474" t="n">
        <v>0</v>
      </c>
      <c r="R474" s="2" t="inlineStr"/>
    </row>
    <row r="475" ht="15" customHeight="1">
      <c r="A475" t="inlineStr">
        <is>
          <t>A 57565-2019</t>
        </is>
      </c>
      <c r="B475" s="1" t="n">
        <v>43768</v>
      </c>
      <c r="C475" s="1" t="n">
        <v>45265</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58004-2019</t>
        </is>
      </c>
      <c r="B476" s="1" t="n">
        <v>43769</v>
      </c>
      <c r="C476" s="1" t="n">
        <v>45265</v>
      </c>
      <c r="D476" t="inlineStr">
        <is>
          <t>VÄRMLANDS LÄN</t>
        </is>
      </c>
      <c r="E476" t="inlineStr">
        <is>
          <t>TORSBY</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58678-2019</t>
        </is>
      </c>
      <c r="B477" s="1" t="n">
        <v>43773</v>
      </c>
      <c r="C477" s="1" t="n">
        <v>45265</v>
      </c>
      <c r="D477" t="inlineStr">
        <is>
          <t>VÄRMLANDS LÄN</t>
        </is>
      </c>
      <c r="E477" t="inlineStr">
        <is>
          <t>TORSBY</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59127-2019</t>
        </is>
      </c>
      <c r="B478" s="1" t="n">
        <v>43775</v>
      </c>
      <c r="C478" s="1" t="n">
        <v>45265</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59593-2019</t>
        </is>
      </c>
      <c r="B479" s="1" t="n">
        <v>43776</v>
      </c>
      <c r="C479" s="1" t="n">
        <v>45265</v>
      </c>
      <c r="D479" t="inlineStr">
        <is>
          <t>VÄRMLANDS LÄN</t>
        </is>
      </c>
      <c r="E479" t="inlineStr">
        <is>
          <t>TORSBY</t>
        </is>
      </c>
      <c r="F479" t="inlineStr">
        <is>
          <t>Bergvik skog väst AB</t>
        </is>
      </c>
      <c r="G479" t="n">
        <v>6.8</v>
      </c>
      <c r="H479" t="n">
        <v>0</v>
      </c>
      <c r="I479" t="n">
        <v>0</v>
      </c>
      <c r="J479" t="n">
        <v>0</v>
      </c>
      <c r="K479" t="n">
        <v>0</v>
      </c>
      <c r="L479" t="n">
        <v>0</v>
      </c>
      <c r="M479" t="n">
        <v>0</v>
      </c>
      <c r="N479" t="n">
        <v>0</v>
      </c>
      <c r="O479" t="n">
        <v>0</v>
      </c>
      <c r="P479" t="n">
        <v>0</v>
      </c>
      <c r="Q479" t="n">
        <v>0</v>
      </c>
      <c r="R479" s="2" t="inlineStr"/>
    </row>
    <row r="480" ht="15" customHeight="1">
      <c r="A480" t="inlineStr">
        <is>
          <t>A 60545-2019</t>
        </is>
      </c>
      <c r="B480" s="1" t="n">
        <v>43781</v>
      </c>
      <c r="C480" s="1" t="n">
        <v>45265</v>
      </c>
      <c r="D480" t="inlineStr">
        <is>
          <t>VÄRMLANDS LÄN</t>
        </is>
      </c>
      <c r="E480" t="inlineStr">
        <is>
          <t>TORSBY</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61074-2019</t>
        </is>
      </c>
      <c r="B481" s="1" t="n">
        <v>43782</v>
      </c>
      <c r="C481" s="1" t="n">
        <v>45265</v>
      </c>
      <c r="D481" t="inlineStr">
        <is>
          <t>VÄRMLANDS LÄN</t>
        </is>
      </c>
      <c r="E481" t="inlineStr">
        <is>
          <t>TORSBY</t>
        </is>
      </c>
      <c r="G481" t="n">
        <v>6.4</v>
      </c>
      <c r="H481" t="n">
        <v>0</v>
      </c>
      <c r="I481" t="n">
        <v>0</v>
      </c>
      <c r="J481" t="n">
        <v>0</v>
      </c>
      <c r="K481" t="n">
        <v>0</v>
      </c>
      <c r="L481" t="n">
        <v>0</v>
      </c>
      <c r="M481" t="n">
        <v>0</v>
      </c>
      <c r="N481" t="n">
        <v>0</v>
      </c>
      <c r="O481" t="n">
        <v>0</v>
      </c>
      <c r="P481" t="n">
        <v>0</v>
      </c>
      <c r="Q481" t="n">
        <v>0</v>
      </c>
      <c r="R481" s="2" t="inlineStr"/>
    </row>
    <row r="482" ht="15" customHeight="1">
      <c r="A482" t="inlineStr">
        <is>
          <t>A 62050-2019</t>
        </is>
      </c>
      <c r="B482" s="1" t="n">
        <v>43787</v>
      </c>
      <c r="C482" s="1" t="n">
        <v>45265</v>
      </c>
      <c r="D482" t="inlineStr">
        <is>
          <t>VÄRMLANDS LÄN</t>
        </is>
      </c>
      <c r="E482" t="inlineStr">
        <is>
          <t>TORSBY</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61958-2019</t>
        </is>
      </c>
      <c r="B483" s="1" t="n">
        <v>43787</v>
      </c>
      <c r="C483" s="1" t="n">
        <v>45265</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62255-2019</t>
        </is>
      </c>
      <c r="B484" s="1" t="n">
        <v>43788</v>
      </c>
      <c r="C484" s="1" t="n">
        <v>45265</v>
      </c>
      <c r="D484" t="inlineStr">
        <is>
          <t>VÄRMLANDS LÄN</t>
        </is>
      </c>
      <c r="E484" t="inlineStr">
        <is>
          <t>TORSBY</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62286-2019</t>
        </is>
      </c>
      <c r="B485" s="1" t="n">
        <v>43788</v>
      </c>
      <c r="C485" s="1" t="n">
        <v>45265</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63743-2019</t>
        </is>
      </c>
      <c r="B486" s="1" t="n">
        <v>43795</v>
      </c>
      <c r="C486" s="1" t="n">
        <v>45265</v>
      </c>
      <c r="D486" t="inlineStr">
        <is>
          <t>VÄRMLANDS LÄN</t>
        </is>
      </c>
      <c r="E486" t="inlineStr">
        <is>
          <t>TORSBY</t>
        </is>
      </c>
      <c r="F486" t="inlineStr">
        <is>
          <t>Bergvik skog väst AB</t>
        </is>
      </c>
      <c r="G486" t="n">
        <v>6.3</v>
      </c>
      <c r="H486" t="n">
        <v>0</v>
      </c>
      <c r="I486" t="n">
        <v>0</v>
      </c>
      <c r="J486" t="n">
        <v>0</v>
      </c>
      <c r="K486" t="n">
        <v>0</v>
      </c>
      <c r="L486" t="n">
        <v>0</v>
      </c>
      <c r="M486" t="n">
        <v>0</v>
      </c>
      <c r="N486" t="n">
        <v>0</v>
      </c>
      <c r="O486" t="n">
        <v>0</v>
      </c>
      <c r="P486" t="n">
        <v>0</v>
      </c>
      <c r="Q486" t="n">
        <v>0</v>
      </c>
      <c r="R486" s="2" t="inlineStr"/>
    </row>
    <row r="487" ht="15" customHeight="1">
      <c r="A487" t="inlineStr">
        <is>
          <t>A 64114-2019</t>
        </is>
      </c>
      <c r="B487" s="1" t="n">
        <v>43796</v>
      </c>
      <c r="C487" s="1" t="n">
        <v>45265</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64444-2019</t>
        </is>
      </c>
      <c r="B488" s="1" t="n">
        <v>43797</v>
      </c>
      <c r="C488" s="1" t="n">
        <v>45265</v>
      </c>
      <c r="D488" t="inlineStr">
        <is>
          <t>VÄRMLANDS LÄN</t>
        </is>
      </c>
      <c r="E488" t="inlineStr">
        <is>
          <t>TORSBY</t>
        </is>
      </c>
      <c r="G488" t="n">
        <v>3.5</v>
      </c>
      <c r="H488" t="n">
        <v>0</v>
      </c>
      <c r="I488" t="n">
        <v>0</v>
      </c>
      <c r="J488" t="n">
        <v>0</v>
      </c>
      <c r="K488" t="n">
        <v>0</v>
      </c>
      <c r="L488" t="n">
        <v>0</v>
      </c>
      <c r="M488" t="n">
        <v>0</v>
      </c>
      <c r="N488" t="n">
        <v>0</v>
      </c>
      <c r="O488" t="n">
        <v>0</v>
      </c>
      <c r="P488" t="n">
        <v>0</v>
      </c>
      <c r="Q488" t="n">
        <v>0</v>
      </c>
      <c r="R488" s="2" t="inlineStr"/>
    </row>
    <row r="489" ht="15" customHeight="1">
      <c r="A489" t="inlineStr">
        <is>
          <t>A 65187-2019</t>
        </is>
      </c>
      <c r="B489" s="1" t="n">
        <v>43797</v>
      </c>
      <c r="C489" s="1" t="n">
        <v>45265</v>
      </c>
      <c r="D489" t="inlineStr">
        <is>
          <t>VÄRMLANDS LÄN</t>
        </is>
      </c>
      <c r="E489" t="inlineStr">
        <is>
          <t>TORSBY</t>
        </is>
      </c>
      <c r="G489" t="n">
        <v>2</v>
      </c>
      <c r="H489" t="n">
        <v>0</v>
      </c>
      <c r="I489" t="n">
        <v>0</v>
      </c>
      <c r="J489" t="n">
        <v>0</v>
      </c>
      <c r="K489" t="n">
        <v>0</v>
      </c>
      <c r="L489" t="n">
        <v>0</v>
      </c>
      <c r="M489" t="n">
        <v>0</v>
      </c>
      <c r="N489" t="n">
        <v>0</v>
      </c>
      <c r="O489" t="n">
        <v>0</v>
      </c>
      <c r="P489" t="n">
        <v>0</v>
      </c>
      <c r="Q489" t="n">
        <v>0</v>
      </c>
      <c r="R489" s="2" t="inlineStr"/>
    </row>
    <row r="490" ht="15" customHeight="1">
      <c r="A490" t="inlineStr">
        <is>
          <t>A 65243-2019</t>
        </is>
      </c>
      <c r="B490" s="1" t="n">
        <v>43797</v>
      </c>
      <c r="C490" s="1" t="n">
        <v>45265</v>
      </c>
      <c r="D490" t="inlineStr">
        <is>
          <t>VÄRMLANDS LÄN</t>
        </is>
      </c>
      <c r="E490" t="inlineStr">
        <is>
          <t>TORSBY</t>
        </is>
      </c>
      <c r="F490" t="inlineStr">
        <is>
          <t>Övriga statliga verk och myndigheter</t>
        </is>
      </c>
      <c r="G490" t="n">
        <v>20.3</v>
      </c>
      <c r="H490" t="n">
        <v>0</v>
      </c>
      <c r="I490" t="n">
        <v>0</v>
      </c>
      <c r="J490" t="n">
        <v>0</v>
      </c>
      <c r="K490" t="n">
        <v>0</v>
      </c>
      <c r="L490" t="n">
        <v>0</v>
      </c>
      <c r="M490" t="n">
        <v>0</v>
      </c>
      <c r="N490" t="n">
        <v>0</v>
      </c>
      <c r="O490" t="n">
        <v>0</v>
      </c>
      <c r="P490" t="n">
        <v>0</v>
      </c>
      <c r="Q490" t="n">
        <v>0</v>
      </c>
      <c r="R490" s="2" t="inlineStr"/>
    </row>
    <row r="491" ht="15" customHeight="1">
      <c r="A491" t="inlineStr">
        <is>
          <t>A 64803-2019</t>
        </is>
      </c>
      <c r="B491" s="1" t="n">
        <v>43801</v>
      </c>
      <c r="C491" s="1" t="n">
        <v>45265</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65132-2019</t>
        </is>
      </c>
      <c r="B492" s="1" t="n">
        <v>43802</v>
      </c>
      <c r="C492" s="1" t="n">
        <v>45265</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65076-2019</t>
        </is>
      </c>
      <c r="B493" s="1" t="n">
        <v>43802</v>
      </c>
      <c r="C493" s="1" t="n">
        <v>45265</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65465-2019</t>
        </is>
      </c>
      <c r="B494" s="1" t="n">
        <v>43803</v>
      </c>
      <c r="C494" s="1" t="n">
        <v>45265</v>
      </c>
      <c r="D494" t="inlineStr">
        <is>
          <t>VÄRMLANDS LÄN</t>
        </is>
      </c>
      <c r="E494" t="inlineStr">
        <is>
          <t>TORSBY</t>
        </is>
      </c>
      <c r="G494" t="n">
        <v>2.8</v>
      </c>
      <c r="H494" t="n">
        <v>0</v>
      </c>
      <c r="I494" t="n">
        <v>0</v>
      </c>
      <c r="J494" t="n">
        <v>0</v>
      </c>
      <c r="K494" t="n">
        <v>0</v>
      </c>
      <c r="L494" t="n">
        <v>0</v>
      </c>
      <c r="M494" t="n">
        <v>0</v>
      </c>
      <c r="N494" t="n">
        <v>0</v>
      </c>
      <c r="O494" t="n">
        <v>0</v>
      </c>
      <c r="P494" t="n">
        <v>0</v>
      </c>
      <c r="Q494" t="n">
        <v>0</v>
      </c>
      <c r="R494" s="2" t="inlineStr"/>
    </row>
    <row r="495" ht="15" customHeight="1">
      <c r="A495" t="inlineStr">
        <is>
          <t>A 65914-2019</t>
        </is>
      </c>
      <c r="B495" s="1" t="n">
        <v>43805</v>
      </c>
      <c r="C495" s="1" t="n">
        <v>45265</v>
      </c>
      <c r="D495" t="inlineStr">
        <is>
          <t>VÄRMLANDS LÄN</t>
        </is>
      </c>
      <c r="E495" t="inlineStr">
        <is>
          <t>TORSBY</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67527-2019</t>
        </is>
      </c>
      <c r="B496" s="1" t="n">
        <v>43808</v>
      </c>
      <c r="C496" s="1" t="n">
        <v>45265</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66690-2019</t>
        </is>
      </c>
      <c r="B497" s="1" t="n">
        <v>43809</v>
      </c>
      <c r="C497" s="1" t="n">
        <v>45265</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66689-2019</t>
        </is>
      </c>
      <c r="B498" s="1" t="n">
        <v>43809</v>
      </c>
      <c r="C498" s="1" t="n">
        <v>45265</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67686-2019</t>
        </is>
      </c>
      <c r="B499" s="1" t="n">
        <v>43809</v>
      </c>
      <c r="C499" s="1" t="n">
        <v>45265</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66688-2019</t>
        </is>
      </c>
      <c r="B500" s="1" t="n">
        <v>43809</v>
      </c>
      <c r="C500" s="1" t="n">
        <v>45265</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67690-2019</t>
        </is>
      </c>
      <c r="B501" s="1" t="n">
        <v>43809</v>
      </c>
      <c r="C501" s="1" t="n">
        <v>45265</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67671-2019</t>
        </is>
      </c>
      <c r="B502" s="1" t="n">
        <v>43810</v>
      </c>
      <c r="C502" s="1" t="n">
        <v>45265</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67728-2019</t>
        </is>
      </c>
      <c r="B503" s="1" t="n">
        <v>43815</v>
      </c>
      <c r="C503" s="1" t="n">
        <v>45265</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68354-2019</t>
        </is>
      </c>
      <c r="B504" s="1" t="n">
        <v>43818</v>
      </c>
      <c r="C504" s="1" t="n">
        <v>45265</v>
      </c>
      <c r="D504" t="inlineStr">
        <is>
          <t>VÄRMLANDS LÄN</t>
        </is>
      </c>
      <c r="E504" t="inlineStr">
        <is>
          <t>TORSBY</t>
        </is>
      </c>
      <c r="G504" t="n">
        <v>61.1</v>
      </c>
      <c r="H504" t="n">
        <v>0</v>
      </c>
      <c r="I504" t="n">
        <v>0</v>
      </c>
      <c r="J504" t="n">
        <v>0</v>
      </c>
      <c r="K504" t="n">
        <v>0</v>
      </c>
      <c r="L504" t="n">
        <v>0</v>
      </c>
      <c r="M504" t="n">
        <v>0</v>
      </c>
      <c r="N504" t="n">
        <v>0</v>
      </c>
      <c r="O504" t="n">
        <v>0</v>
      </c>
      <c r="P504" t="n">
        <v>0</v>
      </c>
      <c r="Q504" t="n">
        <v>0</v>
      </c>
      <c r="R504" s="2" t="inlineStr"/>
    </row>
    <row r="505" ht="15" customHeight="1">
      <c r="A505" t="inlineStr">
        <is>
          <t>A 68360-2019</t>
        </is>
      </c>
      <c r="B505" s="1" t="n">
        <v>43818</v>
      </c>
      <c r="C505" s="1" t="n">
        <v>45265</v>
      </c>
      <c r="D505" t="inlineStr">
        <is>
          <t>VÄRMLANDS LÄN</t>
        </is>
      </c>
      <c r="E505" t="inlineStr">
        <is>
          <t>TORSBY</t>
        </is>
      </c>
      <c r="G505" t="n">
        <v>9</v>
      </c>
      <c r="H505" t="n">
        <v>0</v>
      </c>
      <c r="I505" t="n">
        <v>0</v>
      </c>
      <c r="J505" t="n">
        <v>0</v>
      </c>
      <c r="K505" t="n">
        <v>0</v>
      </c>
      <c r="L505" t="n">
        <v>0</v>
      </c>
      <c r="M505" t="n">
        <v>0</v>
      </c>
      <c r="N505" t="n">
        <v>0</v>
      </c>
      <c r="O505" t="n">
        <v>0</v>
      </c>
      <c r="P505" t="n">
        <v>0</v>
      </c>
      <c r="Q505" t="n">
        <v>0</v>
      </c>
      <c r="R505" s="2" t="inlineStr"/>
    </row>
    <row r="506" ht="15" customHeight="1">
      <c r="A506" t="inlineStr">
        <is>
          <t>A 68553-2019</t>
        </is>
      </c>
      <c r="B506" s="1" t="n">
        <v>43818</v>
      </c>
      <c r="C506" s="1" t="n">
        <v>45265</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140-2020</t>
        </is>
      </c>
      <c r="B507" s="1" t="n">
        <v>43833</v>
      </c>
      <c r="C507" s="1" t="n">
        <v>45265</v>
      </c>
      <c r="D507" t="inlineStr">
        <is>
          <t>VÄRMLANDS LÄN</t>
        </is>
      </c>
      <c r="E507" t="inlineStr">
        <is>
          <t>TORSBY</t>
        </is>
      </c>
      <c r="G507" t="n">
        <v>2.8</v>
      </c>
      <c r="H507" t="n">
        <v>0</v>
      </c>
      <c r="I507" t="n">
        <v>0</v>
      </c>
      <c r="J507" t="n">
        <v>0</v>
      </c>
      <c r="K507" t="n">
        <v>0</v>
      </c>
      <c r="L507" t="n">
        <v>0</v>
      </c>
      <c r="M507" t="n">
        <v>0</v>
      </c>
      <c r="N507" t="n">
        <v>0</v>
      </c>
      <c r="O507" t="n">
        <v>0</v>
      </c>
      <c r="P507" t="n">
        <v>0</v>
      </c>
      <c r="Q507" t="n">
        <v>0</v>
      </c>
      <c r="R507" s="2" t="inlineStr"/>
    </row>
    <row r="508" ht="15" customHeight="1">
      <c r="A508" t="inlineStr">
        <is>
          <t>A 338-2020</t>
        </is>
      </c>
      <c r="B508" s="1" t="n">
        <v>43837</v>
      </c>
      <c r="C508" s="1" t="n">
        <v>45265</v>
      </c>
      <c r="D508" t="inlineStr">
        <is>
          <t>VÄRMLANDS LÄN</t>
        </is>
      </c>
      <c r="E508" t="inlineStr">
        <is>
          <t>TORSBY</t>
        </is>
      </c>
      <c r="G508" t="n">
        <v>3.2</v>
      </c>
      <c r="H508" t="n">
        <v>0</v>
      </c>
      <c r="I508" t="n">
        <v>0</v>
      </c>
      <c r="J508" t="n">
        <v>0</v>
      </c>
      <c r="K508" t="n">
        <v>0</v>
      </c>
      <c r="L508" t="n">
        <v>0</v>
      </c>
      <c r="M508" t="n">
        <v>0</v>
      </c>
      <c r="N508" t="n">
        <v>0</v>
      </c>
      <c r="O508" t="n">
        <v>0</v>
      </c>
      <c r="P508" t="n">
        <v>0</v>
      </c>
      <c r="Q508" t="n">
        <v>0</v>
      </c>
      <c r="R508" s="2" t="inlineStr"/>
    </row>
    <row r="509" ht="15" customHeight="1">
      <c r="A509" t="inlineStr">
        <is>
          <t>A 388-2020</t>
        </is>
      </c>
      <c r="B509" s="1" t="n">
        <v>43837</v>
      </c>
      <c r="C509" s="1" t="n">
        <v>45265</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3263-2020</t>
        </is>
      </c>
      <c r="B510" s="1" t="n">
        <v>43844</v>
      </c>
      <c r="C510" s="1" t="n">
        <v>45265</v>
      </c>
      <c r="D510" t="inlineStr">
        <is>
          <t>VÄRMLANDS LÄN</t>
        </is>
      </c>
      <c r="E510" t="inlineStr">
        <is>
          <t>TORSBY</t>
        </is>
      </c>
      <c r="G510" t="n">
        <v>14.7</v>
      </c>
      <c r="H510" t="n">
        <v>0</v>
      </c>
      <c r="I510" t="n">
        <v>0</v>
      </c>
      <c r="J510" t="n">
        <v>0</v>
      </c>
      <c r="K510" t="n">
        <v>0</v>
      </c>
      <c r="L510" t="n">
        <v>0</v>
      </c>
      <c r="M510" t="n">
        <v>0</v>
      </c>
      <c r="N510" t="n">
        <v>0</v>
      </c>
      <c r="O510" t="n">
        <v>0</v>
      </c>
      <c r="P510" t="n">
        <v>0</v>
      </c>
      <c r="Q510" t="n">
        <v>0</v>
      </c>
      <c r="R510" s="2" t="inlineStr"/>
    </row>
    <row r="511" ht="15" customHeight="1">
      <c r="A511" t="inlineStr">
        <is>
          <t>A 3172-2020</t>
        </is>
      </c>
      <c r="B511" s="1" t="n">
        <v>43844</v>
      </c>
      <c r="C511" s="1" t="n">
        <v>45265</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2082-2020</t>
        </is>
      </c>
      <c r="B512" s="1" t="n">
        <v>43845</v>
      </c>
      <c r="C512" s="1" t="n">
        <v>45265</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1875-2020</t>
        </is>
      </c>
      <c r="B513" s="1" t="n">
        <v>43845</v>
      </c>
      <c r="C513" s="1" t="n">
        <v>45265</v>
      </c>
      <c r="D513" t="inlineStr">
        <is>
          <t>VÄRMLANDS LÄN</t>
        </is>
      </c>
      <c r="E513" t="inlineStr">
        <is>
          <t>TORSBY</t>
        </is>
      </c>
      <c r="G513" t="n">
        <v>3</v>
      </c>
      <c r="H513" t="n">
        <v>0</v>
      </c>
      <c r="I513" t="n">
        <v>0</v>
      </c>
      <c r="J513" t="n">
        <v>0</v>
      </c>
      <c r="K513" t="n">
        <v>0</v>
      </c>
      <c r="L513" t="n">
        <v>0</v>
      </c>
      <c r="M513" t="n">
        <v>0</v>
      </c>
      <c r="N513" t="n">
        <v>0</v>
      </c>
      <c r="O513" t="n">
        <v>0</v>
      </c>
      <c r="P513" t="n">
        <v>0</v>
      </c>
      <c r="Q513" t="n">
        <v>0</v>
      </c>
      <c r="R513" s="2" t="inlineStr"/>
    </row>
    <row r="514" ht="15" customHeight="1">
      <c r="A514" t="inlineStr">
        <is>
          <t>A 2068-2020</t>
        </is>
      </c>
      <c r="B514" s="1" t="n">
        <v>43845</v>
      </c>
      <c r="C514" s="1" t="n">
        <v>45265</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4017-2020</t>
        </is>
      </c>
      <c r="B515" s="1" t="n">
        <v>43846</v>
      </c>
      <c r="C515" s="1" t="n">
        <v>45265</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4753-2020</t>
        </is>
      </c>
      <c r="B516" s="1" t="n">
        <v>43859</v>
      </c>
      <c r="C516" s="1" t="n">
        <v>45265</v>
      </c>
      <c r="D516" t="inlineStr">
        <is>
          <t>VÄRMLANDS LÄN</t>
        </is>
      </c>
      <c r="E516" t="inlineStr">
        <is>
          <t>TORSBY</t>
        </is>
      </c>
      <c r="G516" t="n">
        <v>4.5</v>
      </c>
      <c r="H516" t="n">
        <v>0</v>
      </c>
      <c r="I516" t="n">
        <v>0</v>
      </c>
      <c r="J516" t="n">
        <v>0</v>
      </c>
      <c r="K516" t="n">
        <v>0</v>
      </c>
      <c r="L516" t="n">
        <v>0</v>
      </c>
      <c r="M516" t="n">
        <v>0</v>
      </c>
      <c r="N516" t="n">
        <v>0</v>
      </c>
      <c r="O516" t="n">
        <v>0</v>
      </c>
      <c r="P516" t="n">
        <v>0</v>
      </c>
      <c r="Q516" t="n">
        <v>0</v>
      </c>
      <c r="R516" s="2" t="inlineStr"/>
    </row>
    <row r="517" ht="15" customHeight="1">
      <c r="A517" t="inlineStr">
        <is>
          <t>A 5180-2020</t>
        </is>
      </c>
      <c r="B517" s="1" t="n">
        <v>43860</v>
      </c>
      <c r="C517" s="1" t="n">
        <v>45265</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5426-2020</t>
        </is>
      </c>
      <c r="B518" s="1" t="n">
        <v>43861</v>
      </c>
      <c r="C518" s="1" t="n">
        <v>45265</v>
      </c>
      <c r="D518" t="inlineStr">
        <is>
          <t>VÄRMLANDS LÄN</t>
        </is>
      </c>
      <c r="E518" t="inlineStr">
        <is>
          <t>TORSBY</t>
        </is>
      </c>
      <c r="G518" t="n">
        <v>7.2</v>
      </c>
      <c r="H518" t="n">
        <v>0</v>
      </c>
      <c r="I518" t="n">
        <v>0</v>
      </c>
      <c r="J518" t="n">
        <v>0</v>
      </c>
      <c r="K518" t="n">
        <v>0</v>
      </c>
      <c r="L518" t="n">
        <v>0</v>
      </c>
      <c r="M518" t="n">
        <v>0</v>
      </c>
      <c r="N518" t="n">
        <v>0</v>
      </c>
      <c r="O518" t="n">
        <v>0</v>
      </c>
      <c r="P518" t="n">
        <v>0</v>
      </c>
      <c r="Q518" t="n">
        <v>0</v>
      </c>
      <c r="R518" s="2" t="inlineStr"/>
    </row>
    <row r="519" ht="15" customHeight="1">
      <c r="A519" t="inlineStr">
        <is>
          <t>A 5425-2020</t>
        </is>
      </c>
      <c r="B519" s="1" t="n">
        <v>43861</v>
      </c>
      <c r="C519" s="1" t="n">
        <v>45265</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5427-2020</t>
        </is>
      </c>
      <c r="B520" s="1" t="n">
        <v>43861</v>
      </c>
      <c r="C520" s="1" t="n">
        <v>45265</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7000-2020</t>
        </is>
      </c>
      <c r="B521" s="1" t="n">
        <v>43868</v>
      </c>
      <c r="C521" s="1" t="n">
        <v>45265</v>
      </c>
      <c r="D521" t="inlineStr">
        <is>
          <t>VÄRMLANDS LÄN</t>
        </is>
      </c>
      <c r="E521" t="inlineStr">
        <is>
          <t>TORSBY</t>
        </is>
      </c>
      <c r="G521" t="n">
        <v>2.8</v>
      </c>
      <c r="H521" t="n">
        <v>0</v>
      </c>
      <c r="I521" t="n">
        <v>0</v>
      </c>
      <c r="J521" t="n">
        <v>0</v>
      </c>
      <c r="K521" t="n">
        <v>0</v>
      </c>
      <c r="L521" t="n">
        <v>0</v>
      </c>
      <c r="M521" t="n">
        <v>0</v>
      </c>
      <c r="N521" t="n">
        <v>0</v>
      </c>
      <c r="O521" t="n">
        <v>0</v>
      </c>
      <c r="P521" t="n">
        <v>0</v>
      </c>
      <c r="Q521" t="n">
        <v>0</v>
      </c>
      <c r="R521" s="2" t="inlineStr"/>
    </row>
    <row r="522" ht="15" customHeight="1">
      <c r="A522" t="inlineStr">
        <is>
          <t>A 6862-2020</t>
        </is>
      </c>
      <c r="B522" s="1" t="n">
        <v>43868</v>
      </c>
      <c r="C522" s="1" t="n">
        <v>45265</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7153-2020</t>
        </is>
      </c>
      <c r="B523" s="1" t="n">
        <v>43870</v>
      </c>
      <c r="C523" s="1" t="n">
        <v>45265</v>
      </c>
      <c r="D523" t="inlineStr">
        <is>
          <t>VÄRMLANDS LÄN</t>
        </is>
      </c>
      <c r="E523" t="inlineStr">
        <is>
          <t>TORSBY</t>
        </is>
      </c>
      <c r="G523" t="n">
        <v>2.5</v>
      </c>
      <c r="H523" t="n">
        <v>0</v>
      </c>
      <c r="I523" t="n">
        <v>0</v>
      </c>
      <c r="J523" t="n">
        <v>0</v>
      </c>
      <c r="K523" t="n">
        <v>0</v>
      </c>
      <c r="L523" t="n">
        <v>0</v>
      </c>
      <c r="M523" t="n">
        <v>0</v>
      </c>
      <c r="N523" t="n">
        <v>0</v>
      </c>
      <c r="O523" t="n">
        <v>0</v>
      </c>
      <c r="P523" t="n">
        <v>0</v>
      </c>
      <c r="Q523" t="n">
        <v>0</v>
      </c>
      <c r="R523" s="2" t="inlineStr"/>
    </row>
    <row r="524" ht="15" customHeight="1">
      <c r="A524" t="inlineStr">
        <is>
          <t>A 7279-2020</t>
        </is>
      </c>
      <c r="B524" s="1" t="n">
        <v>43871</v>
      </c>
      <c r="C524" s="1" t="n">
        <v>45265</v>
      </c>
      <c r="D524" t="inlineStr">
        <is>
          <t>VÄRMLANDS LÄN</t>
        </is>
      </c>
      <c r="E524" t="inlineStr">
        <is>
          <t>TORSBY</t>
        </is>
      </c>
      <c r="G524" t="n">
        <v>6.7</v>
      </c>
      <c r="H524" t="n">
        <v>0</v>
      </c>
      <c r="I524" t="n">
        <v>0</v>
      </c>
      <c r="J524" t="n">
        <v>0</v>
      </c>
      <c r="K524" t="n">
        <v>0</v>
      </c>
      <c r="L524" t="n">
        <v>0</v>
      </c>
      <c r="M524" t="n">
        <v>0</v>
      </c>
      <c r="N524" t="n">
        <v>0</v>
      </c>
      <c r="O524" t="n">
        <v>0</v>
      </c>
      <c r="P524" t="n">
        <v>0</v>
      </c>
      <c r="Q524" t="n">
        <v>0</v>
      </c>
      <c r="R524" s="2" t="inlineStr"/>
    </row>
    <row r="525" ht="15" customHeight="1">
      <c r="A525" t="inlineStr">
        <is>
          <t>A 7526-2020</t>
        </is>
      </c>
      <c r="B525" s="1" t="n">
        <v>43871</v>
      </c>
      <c r="C525" s="1" t="n">
        <v>45265</v>
      </c>
      <c r="D525" t="inlineStr">
        <is>
          <t>VÄRMLANDS LÄN</t>
        </is>
      </c>
      <c r="E525" t="inlineStr">
        <is>
          <t>TORSBY</t>
        </is>
      </c>
      <c r="G525" t="n">
        <v>11.8</v>
      </c>
      <c r="H525" t="n">
        <v>0</v>
      </c>
      <c r="I525" t="n">
        <v>0</v>
      </c>
      <c r="J525" t="n">
        <v>0</v>
      </c>
      <c r="K525" t="n">
        <v>0</v>
      </c>
      <c r="L525" t="n">
        <v>0</v>
      </c>
      <c r="M525" t="n">
        <v>0</v>
      </c>
      <c r="N525" t="n">
        <v>0</v>
      </c>
      <c r="O525" t="n">
        <v>0</v>
      </c>
      <c r="P525" t="n">
        <v>0</v>
      </c>
      <c r="Q525" t="n">
        <v>0</v>
      </c>
      <c r="R525" s="2" t="inlineStr"/>
    </row>
    <row r="526" ht="15" customHeight="1">
      <c r="A526" t="inlineStr">
        <is>
          <t>A 7582-2020</t>
        </is>
      </c>
      <c r="B526" s="1" t="n">
        <v>43871</v>
      </c>
      <c r="C526" s="1" t="n">
        <v>45265</v>
      </c>
      <c r="D526" t="inlineStr">
        <is>
          <t>VÄRMLANDS LÄN</t>
        </is>
      </c>
      <c r="E526" t="inlineStr">
        <is>
          <t>TORSBY</t>
        </is>
      </c>
      <c r="G526" t="n">
        <v>7.4</v>
      </c>
      <c r="H526" t="n">
        <v>0</v>
      </c>
      <c r="I526" t="n">
        <v>0</v>
      </c>
      <c r="J526" t="n">
        <v>0</v>
      </c>
      <c r="K526" t="n">
        <v>0</v>
      </c>
      <c r="L526" t="n">
        <v>0</v>
      </c>
      <c r="M526" t="n">
        <v>0</v>
      </c>
      <c r="N526" t="n">
        <v>0</v>
      </c>
      <c r="O526" t="n">
        <v>0</v>
      </c>
      <c r="P526" t="n">
        <v>0</v>
      </c>
      <c r="Q526" t="n">
        <v>0</v>
      </c>
      <c r="R526" s="2" t="inlineStr"/>
    </row>
    <row r="527" ht="15" customHeight="1">
      <c r="A527" t="inlineStr">
        <is>
          <t>A 7749-2020</t>
        </is>
      </c>
      <c r="B527" s="1" t="n">
        <v>43872</v>
      </c>
      <c r="C527" s="1" t="n">
        <v>45265</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7856-2020</t>
        </is>
      </c>
      <c r="B528" s="1" t="n">
        <v>43873</v>
      </c>
      <c r="C528" s="1" t="n">
        <v>45265</v>
      </c>
      <c r="D528" t="inlineStr">
        <is>
          <t>VÄRMLANDS LÄN</t>
        </is>
      </c>
      <c r="E528" t="inlineStr">
        <is>
          <t>TORSBY</t>
        </is>
      </c>
      <c r="G528" t="n">
        <v>4.5</v>
      </c>
      <c r="H528" t="n">
        <v>0</v>
      </c>
      <c r="I528" t="n">
        <v>0</v>
      </c>
      <c r="J528" t="n">
        <v>0</v>
      </c>
      <c r="K528" t="n">
        <v>0</v>
      </c>
      <c r="L528" t="n">
        <v>0</v>
      </c>
      <c r="M528" t="n">
        <v>0</v>
      </c>
      <c r="N528" t="n">
        <v>0</v>
      </c>
      <c r="O528" t="n">
        <v>0</v>
      </c>
      <c r="P528" t="n">
        <v>0</v>
      </c>
      <c r="Q528" t="n">
        <v>0</v>
      </c>
      <c r="R528" s="2" t="inlineStr"/>
    </row>
    <row r="529" ht="15" customHeight="1">
      <c r="A529" t="inlineStr">
        <is>
          <t>A 8631-2020</t>
        </is>
      </c>
      <c r="B529" s="1" t="n">
        <v>43874</v>
      </c>
      <c r="C529" s="1" t="n">
        <v>45265</v>
      </c>
      <c r="D529" t="inlineStr">
        <is>
          <t>VÄRMLANDS LÄN</t>
        </is>
      </c>
      <c r="E529" t="inlineStr">
        <is>
          <t>TORSBY</t>
        </is>
      </c>
      <c r="G529" t="n">
        <v>3.3</v>
      </c>
      <c r="H529" t="n">
        <v>0</v>
      </c>
      <c r="I529" t="n">
        <v>0</v>
      </c>
      <c r="J529" t="n">
        <v>0</v>
      </c>
      <c r="K529" t="n">
        <v>0</v>
      </c>
      <c r="L529" t="n">
        <v>0</v>
      </c>
      <c r="M529" t="n">
        <v>0</v>
      </c>
      <c r="N529" t="n">
        <v>0</v>
      </c>
      <c r="O529" t="n">
        <v>0</v>
      </c>
      <c r="P529" t="n">
        <v>0</v>
      </c>
      <c r="Q529" t="n">
        <v>0</v>
      </c>
      <c r="R529" s="2" t="inlineStr"/>
    </row>
    <row r="530" ht="15" customHeight="1">
      <c r="A530" t="inlineStr">
        <is>
          <t>A 8899-2020</t>
        </is>
      </c>
      <c r="B530" s="1" t="n">
        <v>43878</v>
      </c>
      <c r="C530" s="1" t="n">
        <v>45265</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9192-2020</t>
        </is>
      </c>
      <c r="B531" s="1" t="n">
        <v>43879</v>
      </c>
      <c r="C531" s="1" t="n">
        <v>45265</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9766-2020</t>
        </is>
      </c>
      <c r="B532" s="1" t="n">
        <v>43879</v>
      </c>
      <c r="C532" s="1" t="n">
        <v>45265</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9760-2020</t>
        </is>
      </c>
      <c r="B533" s="1" t="n">
        <v>43879</v>
      </c>
      <c r="C533" s="1" t="n">
        <v>45265</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9600-2020</t>
        </is>
      </c>
      <c r="B534" s="1" t="n">
        <v>43881</v>
      </c>
      <c r="C534" s="1" t="n">
        <v>45265</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10899-2020</t>
        </is>
      </c>
      <c r="B535" s="1" t="n">
        <v>43885</v>
      </c>
      <c r="C535" s="1" t="n">
        <v>45265</v>
      </c>
      <c r="D535" t="inlineStr">
        <is>
          <t>VÄRMLANDS LÄN</t>
        </is>
      </c>
      <c r="E535" t="inlineStr">
        <is>
          <t>TORSBY</t>
        </is>
      </c>
      <c r="G535" t="n">
        <v>7.4</v>
      </c>
      <c r="H535" t="n">
        <v>0</v>
      </c>
      <c r="I535" t="n">
        <v>0</v>
      </c>
      <c r="J535" t="n">
        <v>0</v>
      </c>
      <c r="K535" t="n">
        <v>0</v>
      </c>
      <c r="L535" t="n">
        <v>0</v>
      </c>
      <c r="M535" t="n">
        <v>0</v>
      </c>
      <c r="N535" t="n">
        <v>0</v>
      </c>
      <c r="O535" t="n">
        <v>0</v>
      </c>
      <c r="P535" t="n">
        <v>0</v>
      </c>
      <c r="Q535" t="n">
        <v>0</v>
      </c>
      <c r="R535" s="2" t="inlineStr"/>
    </row>
    <row r="536" ht="15" customHeight="1">
      <c r="A536" t="inlineStr">
        <is>
          <t>A 10422-2020</t>
        </is>
      </c>
      <c r="B536" s="1" t="n">
        <v>43886</v>
      </c>
      <c r="C536" s="1" t="n">
        <v>45265</v>
      </c>
      <c r="D536" t="inlineStr">
        <is>
          <t>VÄRMLANDS LÄN</t>
        </is>
      </c>
      <c r="E536" t="inlineStr">
        <is>
          <t>TORSBY</t>
        </is>
      </c>
      <c r="G536" t="n">
        <v>3.4</v>
      </c>
      <c r="H536" t="n">
        <v>0</v>
      </c>
      <c r="I536" t="n">
        <v>0</v>
      </c>
      <c r="J536" t="n">
        <v>0</v>
      </c>
      <c r="K536" t="n">
        <v>0</v>
      </c>
      <c r="L536" t="n">
        <v>0</v>
      </c>
      <c r="M536" t="n">
        <v>0</v>
      </c>
      <c r="N536" t="n">
        <v>0</v>
      </c>
      <c r="O536" t="n">
        <v>0</v>
      </c>
      <c r="P536" t="n">
        <v>0</v>
      </c>
      <c r="Q536" t="n">
        <v>0</v>
      </c>
      <c r="R536" s="2" t="inlineStr"/>
    </row>
    <row r="537" ht="15" customHeight="1">
      <c r="A537" t="inlineStr">
        <is>
          <t>A 10449-2020</t>
        </is>
      </c>
      <c r="B537" s="1" t="n">
        <v>43886</v>
      </c>
      <c r="C537" s="1" t="n">
        <v>45265</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11213-2020</t>
        </is>
      </c>
      <c r="B538" s="1" t="n">
        <v>43892</v>
      </c>
      <c r="C538" s="1" t="n">
        <v>45265</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12428-2020</t>
        </is>
      </c>
      <c r="B539" s="1" t="n">
        <v>43896</v>
      </c>
      <c r="C539" s="1" t="n">
        <v>45265</v>
      </c>
      <c r="D539" t="inlineStr">
        <is>
          <t>VÄRMLANDS LÄN</t>
        </is>
      </c>
      <c r="E539" t="inlineStr">
        <is>
          <t>TORSBY</t>
        </is>
      </c>
      <c r="G539" t="n">
        <v>2.3</v>
      </c>
      <c r="H539" t="n">
        <v>0</v>
      </c>
      <c r="I539" t="n">
        <v>0</v>
      </c>
      <c r="J539" t="n">
        <v>0</v>
      </c>
      <c r="K539" t="n">
        <v>0</v>
      </c>
      <c r="L539" t="n">
        <v>0</v>
      </c>
      <c r="M539" t="n">
        <v>0</v>
      </c>
      <c r="N539" t="n">
        <v>0</v>
      </c>
      <c r="O539" t="n">
        <v>0</v>
      </c>
      <c r="P539" t="n">
        <v>0</v>
      </c>
      <c r="Q539" t="n">
        <v>0</v>
      </c>
      <c r="R539" s="2" t="inlineStr"/>
    </row>
    <row r="540" ht="15" customHeight="1">
      <c r="A540" t="inlineStr">
        <is>
          <t>A 12855-2020</t>
        </is>
      </c>
      <c r="B540" s="1" t="n">
        <v>43899</v>
      </c>
      <c r="C540" s="1" t="n">
        <v>45265</v>
      </c>
      <c r="D540" t="inlineStr">
        <is>
          <t>VÄRMLANDS LÄN</t>
        </is>
      </c>
      <c r="E540" t="inlineStr">
        <is>
          <t>TORSBY</t>
        </is>
      </c>
      <c r="G540" t="n">
        <v>5.9</v>
      </c>
      <c r="H540" t="n">
        <v>0</v>
      </c>
      <c r="I540" t="n">
        <v>0</v>
      </c>
      <c r="J540" t="n">
        <v>0</v>
      </c>
      <c r="K540" t="n">
        <v>0</v>
      </c>
      <c r="L540" t="n">
        <v>0</v>
      </c>
      <c r="M540" t="n">
        <v>0</v>
      </c>
      <c r="N540" t="n">
        <v>0</v>
      </c>
      <c r="O540" t="n">
        <v>0</v>
      </c>
      <c r="P540" t="n">
        <v>0</v>
      </c>
      <c r="Q540" t="n">
        <v>0</v>
      </c>
      <c r="R540" s="2" t="inlineStr"/>
    </row>
    <row r="541" ht="15" customHeight="1">
      <c r="A541" t="inlineStr">
        <is>
          <t>A 12881-2020</t>
        </is>
      </c>
      <c r="B541" s="1" t="n">
        <v>43900</v>
      </c>
      <c r="C541" s="1" t="n">
        <v>45265</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14246-2020</t>
        </is>
      </c>
      <c r="B542" s="1" t="n">
        <v>43900</v>
      </c>
      <c r="C542" s="1" t="n">
        <v>45265</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13153-2020</t>
        </is>
      </c>
      <c r="B543" s="1" t="n">
        <v>43901</v>
      </c>
      <c r="C543" s="1" t="n">
        <v>45265</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13250-2020</t>
        </is>
      </c>
      <c r="B544" s="1" t="n">
        <v>43901</v>
      </c>
      <c r="C544" s="1" t="n">
        <v>45265</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14695-2020</t>
        </is>
      </c>
      <c r="B545" s="1" t="n">
        <v>43903</v>
      </c>
      <c r="C545" s="1" t="n">
        <v>45265</v>
      </c>
      <c r="D545" t="inlineStr">
        <is>
          <t>VÄRMLANDS LÄN</t>
        </is>
      </c>
      <c r="E545" t="inlineStr">
        <is>
          <t>TORSBY</t>
        </is>
      </c>
      <c r="G545" t="n">
        <v>8</v>
      </c>
      <c r="H545" t="n">
        <v>0</v>
      </c>
      <c r="I545" t="n">
        <v>0</v>
      </c>
      <c r="J545" t="n">
        <v>0</v>
      </c>
      <c r="K545" t="n">
        <v>0</v>
      </c>
      <c r="L545" t="n">
        <v>0</v>
      </c>
      <c r="M545" t="n">
        <v>0</v>
      </c>
      <c r="N545" t="n">
        <v>0</v>
      </c>
      <c r="O545" t="n">
        <v>0</v>
      </c>
      <c r="P545" t="n">
        <v>0</v>
      </c>
      <c r="Q545" t="n">
        <v>0</v>
      </c>
      <c r="R545" s="2" t="inlineStr"/>
    </row>
    <row r="546" ht="15" customHeight="1">
      <c r="A546" t="inlineStr">
        <is>
          <t>A 14693-2020</t>
        </is>
      </c>
      <c r="B546" s="1" t="n">
        <v>43903</v>
      </c>
      <c r="C546" s="1" t="n">
        <v>45265</v>
      </c>
      <c r="D546" t="inlineStr">
        <is>
          <t>VÄRMLANDS LÄN</t>
        </is>
      </c>
      <c r="E546" t="inlineStr">
        <is>
          <t>TORSBY</t>
        </is>
      </c>
      <c r="G546" t="n">
        <v>2.9</v>
      </c>
      <c r="H546" t="n">
        <v>0</v>
      </c>
      <c r="I546" t="n">
        <v>0</v>
      </c>
      <c r="J546" t="n">
        <v>0</v>
      </c>
      <c r="K546" t="n">
        <v>0</v>
      </c>
      <c r="L546" t="n">
        <v>0</v>
      </c>
      <c r="M546" t="n">
        <v>0</v>
      </c>
      <c r="N546" t="n">
        <v>0</v>
      </c>
      <c r="O546" t="n">
        <v>0</v>
      </c>
      <c r="P546" t="n">
        <v>0</v>
      </c>
      <c r="Q546" t="n">
        <v>0</v>
      </c>
      <c r="R546" s="2" t="inlineStr"/>
    </row>
    <row r="547" ht="15" customHeight="1">
      <c r="A547" t="inlineStr">
        <is>
          <t>A 14962-2020</t>
        </is>
      </c>
      <c r="B547" s="1" t="n">
        <v>43907</v>
      </c>
      <c r="C547" s="1" t="n">
        <v>45265</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14968-2020</t>
        </is>
      </c>
      <c r="B548" s="1" t="n">
        <v>43907</v>
      </c>
      <c r="C548" s="1" t="n">
        <v>45265</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14702-2020</t>
        </is>
      </c>
      <c r="B549" s="1" t="n">
        <v>43909</v>
      </c>
      <c r="C549" s="1" t="n">
        <v>45265</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14694-2020</t>
        </is>
      </c>
      <c r="B550" s="1" t="n">
        <v>43909</v>
      </c>
      <c r="C550" s="1" t="n">
        <v>45265</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14851-2020</t>
        </is>
      </c>
      <c r="B551" s="1" t="n">
        <v>43909</v>
      </c>
      <c r="C551" s="1" t="n">
        <v>45265</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15161-2020</t>
        </is>
      </c>
      <c r="B552" s="1" t="n">
        <v>43912</v>
      </c>
      <c r="C552" s="1" t="n">
        <v>45265</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15280-2020</t>
        </is>
      </c>
      <c r="B553" s="1" t="n">
        <v>43913</v>
      </c>
      <c r="C553" s="1" t="n">
        <v>45265</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15589-2020</t>
        </is>
      </c>
      <c r="B554" s="1" t="n">
        <v>43914</v>
      </c>
      <c r="C554" s="1" t="n">
        <v>45265</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15701-2020</t>
        </is>
      </c>
      <c r="B555" s="1" t="n">
        <v>43915</v>
      </c>
      <c r="C555" s="1" t="n">
        <v>45265</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15768-2020</t>
        </is>
      </c>
      <c r="B556" s="1" t="n">
        <v>43915</v>
      </c>
      <c r="C556" s="1" t="n">
        <v>45265</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16101-2020</t>
        </is>
      </c>
      <c r="B557" s="1" t="n">
        <v>43916</v>
      </c>
      <c r="C557" s="1" t="n">
        <v>45265</v>
      </c>
      <c r="D557" t="inlineStr">
        <is>
          <t>VÄRMLANDS LÄN</t>
        </is>
      </c>
      <c r="E557" t="inlineStr">
        <is>
          <t>TORSBY</t>
        </is>
      </c>
      <c r="G557" t="n">
        <v>14.6</v>
      </c>
      <c r="H557" t="n">
        <v>0</v>
      </c>
      <c r="I557" t="n">
        <v>0</v>
      </c>
      <c r="J557" t="n">
        <v>0</v>
      </c>
      <c r="K557" t="n">
        <v>0</v>
      </c>
      <c r="L557" t="n">
        <v>0</v>
      </c>
      <c r="M557" t="n">
        <v>0</v>
      </c>
      <c r="N557" t="n">
        <v>0</v>
      </c>
      <c r="O557" t="n">
        <v>0</v>
      </c>
      <c r="P557" t="n">
        <v>0</v>
      </c>
      <c r="Q557" t="n">
        <v>0</v>
      </c>
      <c r="R557" s="2" t="inlineStr"/>
    </row>
    <row r="558" ht="15" customHeight="1">
      <c r="A558" t="inlineStr">
        <is>
          <t>A 16364-2020</t>
        </is>
      </c>
      <c r="B558" s="1" t="n">
        <v>43917</v>
      </c>
      <c r="C558" s="1" t="n">
        <v>45265</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16437-2020</t>
        </is>
      </c>
      <c r="B559" s="1" t="n">
        <v>43919</v>
      </c>
      <c r="C559" s="1" t="n">
        <v>45265</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17021-2020</t>
        </is>
      </c>
      <c r="B560" s="1" t="n">
        <v>43921</v>
      </c>
      <c r="C560" s="1" t="n">
        <v>45265</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16999-2020</t>
        </is>
      </c>
      <c r="B561" s="1" t="n">
        <v>43921</v>
      </c>
      <c r="C561" s="1" t="n">
        <v>45265</v>
      </c>
      <c r="D561" t="inlineStr">
        <is>
          <t>VÄRMLANDS LÄN</t>
        </is>
      </c>
      <c r="E561" t="inlineStr">
        <is>
          <t>TORSBY</t>
        </is>
      </c>
      <c r="G561" t="n">
        <v>6.6</v>
      </c>
      <c r="H561" t="n">
        <v>0</v>
      </c>
      <c r="I561" t="n">
        <v>0</v>
      </c>
      <c r="J561" t="n">
        <v>0</v>
      </c>
      <c r="K561" t="n">
        <v>0</v>
      </c>
      <c r="L561" t="n">
        <v>0</v>
      </c>
      <c r="M561" t="n">
        <v>0</v>
      </c>
      <c r="N561" t="n">
        <v>0</v>
      </c>
      <c r="O561" t="n">
        <v>0</v>
      </c>
      <c r="P561" t="n">
        <v>0</v>
      </c>
      <c r="Q561" t="n">
        <v>0</v>
      </c>
      <c r="R561" s="2" t="inlineStr"/>
    </row>
    <row r="562" ht="15" customHeight="1">
      <c r="A562" t="inlineStr">
        <is>
          <t>A 17009-2020</t>
        </is>
      </c>
      <c r="B562" s="1" t="n">
        <v>43921</v>
      </c>
      <c r="C562" s="1" t="n">
        <v>45265</v>
      </c>
      <c r="D562" t="inlineStr">
        <is>
          <t>VÄRMLANDS LÄN</t>
        </is>
      </c>
      <c r="E562" t="inlineStr">
        <is>
          <t>TORSBY</t>
        </is>
      </c>
      <c r="G562" t="n">
        <v>3.3</v>
      </c>
      <c r="H562" t="n">
        <v>0</v>
      </c>
      <c r="I562" t="n">
        <v>0</v>
      </c>
      <c r="J562" t="n">
        <v>0</v>
      </c>
      <c r="K562" t="n">
        <v>0</v>
      </c>
      <c r="L562" t="n">
        <v>0</v>
      </c>
      <c r="M562" t="n">
        <v>0</v>
      </c>
      <c r="N562" t="n">
        <v>0</v>
      </c>
      <c r="O562" t="n">
        <v>0</v>
      </c>
      <c r="P562" t="n">
        <v>0</v>
      </c>
      <c r="Q562" t="n">
        <v>0</v>
      </c>
      <c r="R562" s="2" t="inlineStr"/>
    </row>
    <row r="563" ht="15" customHeight="1">
      <c r="A563" t="inlineStr">
        <is>
          <t>A 18155-2020</t>
        </is>
      </c>
      <c r="B563" s="1" t="n">
        <v>43927</v>
      </c>
      <c r="C563" s="1" t="n">
        <v>45265</v>
      </c>
      <c r="D563" t="inlineStr">
        <is>
          <t>VÄRMLANDS LÄN</t>
        </is>
      </c>
      <c r="E563" t="inlineStr">
        <is>
          <t>TORSBY</t>
        </is>
      </c>
      <c r="G563" t="n">
        <v>0.8</v>
      </c>
      <c r="H563" t="n">
        <v>0</v>
      </c>
      <c r="I563" t="n">
        <v>0</v>
      </c>
      <c r="J563" t="n">
        <v>0</v>
      </c>
      <c r="K563" t="n">
        <v>0</v>
      </c>
      <c r="L563" t="n">
        <v>0</v>
      </c>
      <c r="M563" t="n">
        <v>0</v>
      </c>
      <c r="N563" t="n">
        <v>0</v>
      </c>
      <c r="O563" t="n">
        <v>0</v>
      </c>
      <c r="P563" t="n">
        <v>0</v>
      </c>
      <c r="Q563" t="n">
        <v>0</v>
      </c>
      <c r="R563" s="2" t="inlineStr"/>
    </row>
    <row r="564" ht="15" customHeight="1">
      <c r="A564" t="inlineStr">
        <is>
          <t>A 18641-2020</t>
        </is>
      </c>
      <c r="B564" s="1" t="n">
        <v>43928</v>
      </c>
      <c r="C564" s="1" t="n">
        <v>45265</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18769-2020</t>
        </is>
      </c>
      <c r="B565" s="1" t="n">
        <v>43930</v>
      </c>
      <c r="C565" s="1" t="n">
        <v>45265</v>
      </c>
      <c r="D565" t="inlineStr">
        <is>
          <t>VÄRMLANDS LÄN</t>
        </is>
      </c>
      <c r="E565" t="inlineStr">
        <is>
          <t>TORSBY</t>
        </is>
      </c>
      <c r="G565" t="n">
        <v>5.2</v>
      </c>
      <c r="H565" t="n">
        <v>0</v>
      </c>
      <c r="I565" t="n">
        <v>0</v>
      </c>
      <c r="J565" t="n">
        <v>0</v>
      </c>
      <c r="K565" t="n">
        <v>0</v>
      </c>
      <c r="L565" t="n">
        <v>0</v>
      </c>
      <c r="M565" t="n">
        <v>0</v>
      </c>
      <c r="N565" t="n">
        <v>0</v>
      </c>
      <c r="O565" t="n">
        <v>0</v>
      </c>
      <c r="P565" t="n">
        <v>0</v>
      </c>
      <c r="Q565" t="n">
        <v>0</v>
      </c>
      <c r="R565" s="2" t="inlineStr"/>
    </row>
    <row r="566" ht="15" customHeight="1">
      <c r="A566" t="inlineStr">
        <is>
          <t>A 18770-2020</t>
        </is>
      </c>
      <c r="B566" s="1" t="n">
        <v>43930</v>
      </c>
      <c r="C566" s="1" t="n">
        <v>45265</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18972-2020</t>
        </is>
      </c>
      <c r="B567" s="1" t="n">
        <v>43935</v>
      </c>
      <c r="C567" s="1" t="n">
        <v>45265</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19032-2020</t>
        </is>
      </c>
      <c r="B568" s="1" t="n">
        <v>43936</v>
      </c>
      <c r="C568" s="1" t="n">
        <v>45265</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19181-2020</t>
        </is>
      </c>
      <c r="B569" s="1" t="n">
        <v>43937</v>
      </c>
      <c r="C569" s="1" t="n">
        <v>45265</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19384-2020</t>
        </is>
      </c>
      <c r="B570" s="1" t="n">
        <v>43938</v>
      </c>
      <c r="C570" s="1" t="n">
        <v>45265</v>
      </c>
      <c r="D570" t="inlineStr">
        <is>
          <t>VÄRMLANDS LÄN</t>
        </is>
      </c>
      <c r="E570" t="inlineStr">
        <is>
          <t>TORSBY</t>
        </is>
      </c>
      <c r="G570" t="n">
        <v>0.9</v>
      </c>
      <c r="H570" t="n">
        <v>0</v>
      </c>
      <c r="I570" t="n">
        <v>0</v>
      </c>
      <c r="J570" t="n">
        <v>0</v>
      </c>
      <c r="K570" t="n">
        <v>0</v>
      </c>
      <c r="L570" t="n">
        <v>0</v>
      </c>
      <c r="M570" t="n">
        <v>0</v>
      </c>
      <c r="N570" t="n">
        <v>0</v>
      </c>
      <c r="O570" t="n">
        <v>0</v>
      </c>
      <c r="P570" t="n">
        <v>0</v>
      </c>
      <c r="Q570" t="n">
        <v>0</v>
      </c>
      <c r="R570" s="2" t="inlineStr"/>
    </row>
    <row r="571" ht="15" customHeight="1">
      <c r="A571" t="inlineStr">
        <is>
          <t>A 19963-2020</t>
        </is>
      </c>
      <c r="B571" s="1" t="n">
        <v>43941</v>
      </c>
      <c r="C571" s="1" t="n">
        <v>45265</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20025-2020</t>
        </is>
      </c>
      <c r="B572" s="1" t="n">
        <v>43943</v>
      </c>
      <c r="C572" s="1" t="n">
        <v>45265</v>
      </c>
      <c r="D572" t="inlineStr">
        <is>
          <t>VÄRMLANDS LÄN</t>
        </is>
      </c>
      <c r="E572" t="inlineStr">
        <is>
          <t>TORSBY</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20280-2020</t>
        </is>
      </c>
      <c r="B573" s="1" t="n">
        <v>43945</v>
      </c>
      <c r="C573" s="1" t="n">
        <v>45265</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20464-2020</t>
        </is>
      </c>
      <c r="B574" s="1" t="n">
        <v>43948</v>
      </c>
      <c r="C574" s="1" t="n">
        <v>45265</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21099-2020</t>
        </is>
      </c>
      <c r="B575" s="1" t="n">
        <v>43951</v>
      </c>
      <c r="C575" s="1" t="n">
        <v>45265</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21335-2020</t>
        </is>
      </c>
      <c r="B576" s="1" t="n">
        <v>43951</v>
      </c>
      <c r="C576" s="1" t="n">
        <v>45265</v>
      </c>
      <c r="D576" t="inlineStr">
        <is>
          <t>VÄRMLANDS LÄN</t>
        </is>
      </c>
      <c r="E576" t="inlineStr">
        <is>
          <t>TORSBY</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21369-2020</t>
        </is>
      </c>
      <c r="B577" s="1" t="n">
        <v>43951</v>
      </c>
      <c r="C577" s="1" t="n">
        <v>45265</v>
      </c>
      <c r="D577" t="inlineStr">
        <is>
          <t>VÄRMLANDS LÄN</t>
        </is>
      </c>
      <c r="E577" t="inlineStr">
        <is>
          <t>TORSBY</t>
        </is>
      </c>
      <c r="F577" t="inlineStr">
        <is>
          <t>Övriga Aktiebolag</t>
        </is>
      </c>
      <c r="G577" t="n">
        <v>3.5</v>
      </c>
      <c r="H577" t="n">
        <v>0</v>
      </c>
      <c r="I577" t="n">
        <v>0</v>
      </c>
      <c r="J577" t="n">
        <v>0</v>
      </c>
      <c r="K577" t="n">
        <v>0</v>
      </c>
      <c r="L577" t="n">
        <v>0</v>
      </c>
      <c r="M577" t="n">
        <v>0</v>
      </c>
      <c r="N577" t="n">
        <v>0</v>
      </c>
      <c r="O577" t="n">
        <v>0</v>
      </c>
      <c r="P577" t="n">
        <v>0</v>
      </c>
      <c r="Q577" t="n">
        <v>0</v>
      </c>
      <c r="R577" s="2" t="inlineStr"/>
    </row>
    <row r="578" ht="15" customHeight="1">
      <c r="A578" t="inlineStr">
        <is>
          <t>A 21045-2020</t>
        </is>
      </c>
      <c r="B578" s="1" t="n">
        <v>43951</v>
      </c>
      <c r="C578" s="1" t="n">
        <v>45265</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21347-2020</t>
        </is>
      </c>
      <c r="B579" s="1" t="n">
        <v>43951</v>
      </c>
      <c r="C579" s="1" t="n">
        <v>45265</v>
      </c>
      <c r="D579" t="inlineStr">
        <is>
          <t>VÄRMLANDS LÄN</t>
        </is>
      </c>
      <c r="E579" t="inlineStr">
        <is>
          <t>TORSBY</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21900-2020</t>
        </is>
      </c>
      <c r="B580" s="1" t="n">
        <v>43955</v>
      </c>
      <c r="C580" s="1" t="n">
        <v>45265</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21672-2020</t>
        </is>
      </c>
      <c r="B581" s="1" t="n">
        <v>43957</v>
      </c>
      <c r="C581" s="1" t="n">
        <v>45265</v>
      </c>
      <c r="D581" t="inlineStr">
        <is>
          <t>VÄRMLANDS LÄN</t>
        </is>
      </c>
      <c r="E581" t="inlineStr">
        <is>
          <t>TORSBY</t>
        </is>
      </c>
      <c r="F581" t="inlineStr">
        <is>
          <t>Bergvik skog väst AB</t>
        </is>
      </c>
      <c r="G581" t="n">
        <v>44.1</v>
      </c>
      <c r="H581" t="n">
        <v>0</v>
      </c>
      <c r="I581" t="n">
        <v>0</v>
      </c>
      <c r="J581" t="n">
        <v>0</v>
      </c>
      <c r="K581" t="n">
        <v>0</v>
      </c>
      <c r="L581" t="n">
        <v>0</v>
      </c>
      <c r="M581" t="n">
        <v>0</v>
      </c>
      <c r="N581" t="n">
        <v>0</v>
      </c>
      <c r="O581" t="n">
        <v>0</v>
      </c>
      <c r="P581" t="n">
        <v>0</v>
      </c>
      <c r="Q581" t="n">
        <v>0</v>
      </c>
      <c r="R581" s="2" t="inlineStr"/>
    </row>
    <row r="582" ht="15" customHeight="1">
      <c r="A582" t="inlineStr">
        <is>
          <t>A 22194-2020</t>
        </is>
      </c>
      <c r="B582" s="1" t="n">
        <v>43962</v>
      </c>
      <c r="C582" s="1" t="n">
        <v>45265</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22209-2020</t>
        </is>
      </c>
      <c r="B583" s="1" t="n">
        <v>43962</v>
      </c>
      <c r="C583" s="1" t="n">
        <v>45265</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25518-2020</t>
        </is>
      </c>
      <c r="B584" s="1" t="n">
        <v>43983</v>
      </c>
      <c r="C584" s="1" t="n">
        <v>45265</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26915-2020</t>
        </is>
      </c>
      <c r="B585" s="1" t="n">
        <v>43986</v>
      </c>
      <c r="C585" s="1" t="n">
        <v>45265</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26926-2020</t>
        </is>
      </c>
      <c r="B586" s="1" t="n">
        <v>43986</v>
      </c>
      <c r="C586" s="1" t="n">
        <v>45265</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26919-2020</t>
        </is>
      </c>
      <c r="B587" s="1" t="n">
        <v>43986</v>
      </c>
      <c r="C587" s="1" t="n">
        <v>45265</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26666-2020</t>
        </is>
      </c>
      <c r="B588" s="1" t="n">
        <v>43989</v>
      </c>
      <c r="C588" s="1" t="n">
        <v>45265</v>
      </c>
      <c r="D588" t="inlineStr">
        <is>
          <t>VÄRMLANDS LÄN</t>
        </is>
      </c>
      <c r="E588" t="inlineStr">
        <is>
          <t>TORSBY</t>
        </is>
      </c>
      <c r="G588" t="n">
        <v>8.4</v>
      </c>
      <c r="H588" t="n">
        <v>0</v>
      </c>
      <c r="I588" t="n">
        <v>0</v>
      </c>
      <c r="J588" t="n">
        <v>0</v>
      </c>
      <c r="K588" t="n">
        <v>0</v>
      </c>
      <c r="L588" t="n">
        <v>0</v>
      </c>
      <c r="M588" t="n">
        <v>0</v>
      </c>
      <c r="N588" t="n">
        <v>0</v>
      </c>
      <c r="O588" t="n">
        <v>0</v>
      </c>
      <c r="P588" t="n">
        <v>0</v>
      </c>
      <c r="Q588" t="n">
        <v>0</v>
      </c>
      <c r="R588" s="2" t="inlineStr"/>
    </row>
    <row r="589" ht="15" customHeight="1">
      <c r="A589" t="inlineStr">
        <is>
          <t>A 27339-2020</t>
        </is>
      </c>
      <c r="B589" s="1" t="n">
        <v>43990</v>
      </c>
      <c r="C589" s="1" t="n">
        <v>45265</v>
      </c>
      <c r="D589" t="inlineStr">
        <is>
          <t>VÄRMLANDS LÄN</t>
        </is>
      </c>
      <c r="E589" t="inlineStr">
        <is>
          <t>TORSBY</t>
        </is>
      </c>
      <c r="G589" t="n">
        <v>4.2</v>
      </c>
      <c r="H589" t="n">
        <v>0</v>
      </c>
      <c r="I589" t="n">
        <v>0</v>
      </c>
      <c r="J589" t="n">
        <v>0</v>
      </c>
      <c r="K589" t="n">
        <v>0</v>
      </c>
      <c r="L589" t="n">
        <v>0</v>
      </c>
      <c r="M589" t="n">
        <v>0</v>
      </c>
      <c r="N589" t="n">
        <v>0</v>
      </c>
      <c r="O589" t="n">
        <v>0</v>
      </c>
      <c r="P589" t="n">
        <v>0</v>
      </c>
      <c r="Q589" t="n">
        <v>0</v>
      </c>
      <c r="R589" s="2" t="inlineStr"/>
    </row>
    <row r="590" ht="15" customHeight="1">
      <c r="A590" t="inlineStr">
        <is>
          <t>A 27009-2020</t>
        </is>
      </c>
      <c r="B590" s="1" t="n">
        <v>43991</v>
      </c>
      <c r="C590" s="1" t="n">
        <v>45265</v>
      </c>
      <c r="D590" t="inlineStr">
        <is>
          <t>VÄRMLANDS LÄN</t>
        </is>
      </c>
      <c r="E590" t="inlineStr">
        <is>
          <t>TORSBY</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28397-2020</t>
        </is>
      </c>
      <c r="B591" s="1" t="n">
        <v>43998</v>
      </c>
      <c r="C591" s="1" t="n">
        <v>45265</v>
      </c>
      <c r="D591" t="inlineStr">
        <is>
          <t>VÄRMLANDS LÄN</t>
        </is>
      </c>
      <c r="E591" t="inlineStr">
        <is>
          <t>TORSBY</t>
        </is>
      </c>
      <c r="G591" t="n">
        <v>7.3</v>
      </c>
      <c r="H591" t="n">
        <v>0</v>
      </c>
      <c r="I591" t="n">
        <v>0</v>
      </c>
      <c r="J591" t="n">
        <v>0</v>
      </c>
      <c r="K591" t="n">
        <v>0</v>
      </c>
      <c r="L591" t="n">
        <v>0</v>
      </c>
      <c r="M591" t="n">
        <v>0</v>
      </c>
      <c r="N591" t="n">
        <v>0</v>
      </c>
      <c r="O591" t="n">
        <v>0</v>
      </c>
      <c r="P591" t="n">
        <v>0</v>
      </c>
      <c r="Q591" t="n">
        <v>0</v>
      </c>
      <c r="R591" s="2" t="inlineStr"/>
    </row>
    <row r="592" ht="15" customHeight="1">
      <c r="A592" t="inlineStr">
        <is>
          <t>A 28416-2020</t>
        </is>
      </c>
      <c r="B592" s="1" t="n">
        <v>43998</v>
      </c>
      <c r="C592" s="1" t="n">
        <v>45265</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28703-2020</t>
        </is>
      </c>
      <c r="B593" s="1" t="n">
        <v>43999</v>
      </c>
      <c r="C593" s="1" t="n">
        <v>45265</v>
      </c>
      <c r="D593" t="inlineStr">
        <is>
          <t>VÄRMLANDS LÄN</t>
        </is>
      </c>
      <c r="E593" t="inlineStr">
        <is>
          <t>TORSBY</t>
        </is>
      </c>
      <c r="G593" t="n">
        <v>4.3</v>
      </c>
      <c r="H593" t="n">
        <v>0</v>
      </c>
      <c r="I593" t="n">
        <v>0</v>
      </c>
      <c r="J593" t="n">
        <v>0</v>
      </c>
      <c r="K593" t="n">
        <v>0</v>
      </c>
      <c r="L593" t="n">
        <v>0</v>
      </c>
      <c r="M593" t="n">
        <v>0</v>
      </c>
      <c r="N593" t="n">
        <v>0</v>
      </c>
      <c r="O593" t="n">
        <v>0</v>
      </c>
      <c r="P593" t="n">
        <v>0</v>
      </c>
      <c r="Q593" t="n">
        <v>0</v>
      </c>
      <c r="R593" s="2" t="inlineStr"/>
    </row>
    <row r="594" ht="15" customHeight="1">
      <c r="A594" t="inlineStr">
        <is>
          <t>A 28849-2020</t>
        </is>
      </c>
      <c r="B594" s="1" t="n">
        <v>44000</v>
      </c>
      <c r="C594" s="1" t="n">
        <v>45265</v>
      </c>
      <c r="D594" t="inlineStr">
        <is>
          <t>VÄRMLANDS LÄN</t>
        </is>
      </c>
      <c r="E594" t="inlineStr">
        <is>
          <t>TORSBY</t>
        </is>
      </c>
      <c r="G594" t="n">
        <v>10.9</v>
      </c>
      <c r="H594" t="n">
        <v>0</v>
      </c>
      <c r="I594" t="n">
        <v>0</v>
      </c>
      <c r="J594" t="n">
        <v>0</v>
      </c>
      <c r="K594" t="n">
        <v>0</v>
      </c>
      <c r="L594" t="n">
        <v>0</v>
      </c>
      <c r="M594" t="n">
        <v>0</v>
      </c>
      <c r="N594" t="n">
        <v>0</v>
      </c>
      <c r="O594" t="n">
        <v>0</v>
      </c>
      <c r="P594" t="n">
        <v>0</v>
      </c>
      <c r="Q594" t="n">
        <v>0</v>
      </c>
      <c r="R594" s="2" t="inlineStr"/>
    </row>
    <row r="595" ht="15" customHeight="1">
      <c r="A595" t="inlineStr">
        <is>
          <t>A 28897-2020</t>
        </is>
      </c>
      <c r="B595" s="1" t="n">
        <v>44000</v>
      </c>
      <c r="C595" s="1" t="n">
        <v>45265</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28911-2020</t>
        </is>
      </c>
      <c r="B596" s="1" t="n">
        <v>44000</v>
      </c>
      <c r="C596" s="1" t="n">
        <v>45265</v>
      </c>
      <c r="D596" t="inlineStr">
        <is>
          <t>VÄRMLANDS LÄN</t>
        </is>
      </c>
      <c r="E596" t="inlineStr">
        <is>
          <t>TORSBY</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28976-2020</t>
        </is>
      </c>
      <c r="B597" s="1" t="n">
        <v>44000</v>
      </c>
      <c r="C597" s="1" t="n">
        <v>45265</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28987-2020</t>
        </is>
      </c>
      <c r="B598" s="1" t="n">
        <v>44000</v>
      </c>
      <c r="C598" s="1" t="n">
        <v>45265</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29970-2020</t>
        </is>
      </c>
      <c r="B599" s="1" t="n">
        <v>44006</v>
      </c>
      <c r="C599" s="1" t="n">
        <v>45265</v>
      </c>
      <c r="D599" t="inlineStr">
        <is>
          <t>VÄRMLANDS LÄN</t>
        </is>
      </c>
      <c r="E599" t="inlineStr">
        <is>
          <t>TORSBY</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30572-2020</t>
        </is>
      </c>
      <c r="B600" s="1" t="n">
        <v>44008</v>
      </c>
      <c r="C600" s="1" t="n">
        <v>45265</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30996-2020</t>
        </is>
      </c>
      <c r="B601" s="1" t="n">
        <v>44011</v>
      </c>
      <c r="C601" s="1" t="n">
        <v>45265</v>
      </c>
      <c r="D601" t="inlineStr">
        <is>
          <t>VÄRMLANDS LÄN</t>
        </is>
      </c>
      <c r="E601" t="inlineStr">
        <is>
          <t>TORSBY</t>
        </is>
      </c>
      <c r="G601" t="n">
        <v>0.4</v>
      </c>
      <c r="H601" t="n">
        <v>0</v>
      </c>
      <c r="I601" t="n">
        <v>0</v>
      </c>
      <c r="J601" t="n">
        <v>0</v>
      </c>
      <c r="K601" t="n">
        <v>0</v>
      </c>
      <c r="L601" t="n">
        <v>0</v>
      </c>
      <c r="M601" t="n">
        <v>0</v>
      </c>
      <c r="N601" t="n">
        <v>0</v>
      </c>
      <c r="O601" t="n">
        <v>0</v>
      </c>
      <c r="P601" t="n">
        <v>0</v>
      </c>
      <c r="Q601" t="n">
        <v>0</v>
      </c>
      <c r="R601" s="2" t="inlineStr"/>
    </row>
    <row r="602" ht="15" customHeight="1">
      <c r="A602" t="inlineStr">
        <is>
          <t>A 30930-2020</t>
        </is>
      </c>
      <c r="B602" s="1" t="n">
        <v>44011</v>
      </c>
      <c r="C602" s="1" t="n">
        <v>45265</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31298-2020</t>
        </is>
      </c>
      <c r="B603" s="1" t="n">
        <v>44012</v>
      </c>
      <c r="C603" s="1" t="n">
        <v>45265</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31436-2020</t>
        </is>
      </c>
      <c r="B604" s="1" t="n">
        <v>44013</v>
      </c>
      <c r="C604" s="1" t="n">
        <v>45265</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31577-2020</t>
        </is>
      </c>
      <c r="B605" s="1" t="n">
        <v>44013</v>
      </c>
      <c r="C605" s="1" t="n">
        <v>45265</v>
      </c>
      <c r="D605" t="inlineStr">
        <is>
          <t>VÄRMLANDS LÄN</t>
        </is>
      </c>
      <c r="E605" t="inlineStr">
        <is>
          <t>TORSBY</t>
        </is>
      </c>
      <c r="F605" t="inlineStr">
        <is>
          <t>Kommuner</t>
        </is>
      </c>
      <c r="G605" t="n">
        <v>1</v>
      </c>
      <c r="H605" t="n">
        <v>0</v>
      </c>
      <c r="I605" t="n">
        <v>0</v>
      </c>
      <c r="J605" t="n">
        <v>0</v>
      </c>
      <c r="K605" t="n">
        <v>0</v>
      </c>
      <c r="L605" t="n">
        <v>0</v>
      </c>
      <c r="M605" t="n">
        <v>0</v>
      </c>
      <c r="N605" t="n">
        <v>0</v>
      </c>
      <c r="O605" t="n">
        <v>0</v>
      </c>
      <c r="P605" t="n">
        <v>0</v>
      </c>
      <c r="Q605" t="n">
        <v>0</v>
      </c>
      <c r="R605" s="2" t="inlineStr"/>
    </row>
    <row r="606" ht="15" customHeight="1">
      <c r="A606" t="inlineStr">
        <is>
          <t>A 31759-2020</t>
        </is>
      </c>
      <c r="B606" s="1" t="n">
        <v>44014</v>
      </c>
      <c r="C606" s="1" t="n">
        <v>45265</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32122-2020</t>
        </is>
      </c>
      <c r="B607" s="1" t="n">
        <v>44015</v>
      </c>
      <c r="C607" s="1" t="n">
        <v>45265</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32623-2020</t>
        </is>
      </c>
      <c r="B608" s="1" t="n">
        <v>44019</v>
      </c>
      <c r="C608" s="1" t="n">
        <v>45265</v>
      </c>
      <c r="D608" t="inlineStr">
        <is>
          <t>VÄRMLANDS LÄN</t>
        </is>
      </c>
      <c r="E608" t="inlineStr">
        <is>
          <t>TORSBY</t>
        </is>
      </c>
      <c r="F608" t="inlineStr">
        <is>
          <t>Kommuner</t>
        </is>
      </c>
      <c r="G608" t="n">
        <v>13.9</v>
      </c>
      <c r="H608" t="n">
        <v>0</v>
      </c>
      <c r="I608" t="n">
        <v>0</v>
      </c>
      <c r="J608" t="n">
        <v>0</v>
      </c>
      <c r="K608" t="n">
        <v>0</v>
      </c>
      <c r="L608" t="n">
        <v>0</v>
      </c>
      <c r="M608" t="n">
        <v>0</v>
      </c>
      <c r="N608" t="n">
        <v>0</v>
      </c>
      <c r="O608" t="n">
        <v>0</v>
      </c>
      <c r="P608" t="n">
        <v>0</v>
      </c>
      <c r="Q608" t="n">
        <v>0</v>
      </c>
      <c r="R608" s="2" t="inlineStr"/>
    </row>
    <row r="609" ht="15" customHeight="1">
      <c r="A609" t="inlineStr">
        <is>
          <t>A 32651-2020</t>
        </is>
      </c>
      <c r="B609" s="1" t="n">
        <v>44019</v>
      </c>
      <c r="C609" s="1" t="n">
        <v>45265</v>
      </c>
      <c r="D609" t="inlineStr">
        <is>
          <t>VÄRMLANDS LÄN</t>
        </is>
      </c>
      <c r="E609" t="inlineStr">
        <is>
          <t>TORSBY</t>
        </is>
      </c>
      <c r="F609" t="inlineStr">
        <is>
          <t>Kommuner</t>
        </is>
      </c>
      <c r="G609" t="n">
        <v>8.6</v>
      </c>
      <c r="H609" t="n">
        <v>0</v>
      </c>
      <c r="I609" t="n">
        <v>0</v>
      </c>
      <c r="J609" t="n">
        <v>0</v>
      </c>
      <c r="K609" t="n">
        <v>0</v>
      </c>
      <c r="L609" t="n">
        <v>0</v>
      </c>
      <c r="M609" t="n">
        <v>0</v>
      </c>
      <c r="N609" t="n">
        <v>0</v>
      </c>
      <c r="O609" t="n">
        <v>0</v>
      </c>
      <c r="P609" t="n">
        <v>0</v>
      </c>
      <c r="Q609" t="n">
        <v>0</v>
      </c>
      <c r="R609" s="2" t="inlineStr"/>
    </row>
    <row r="610" ht="15" customHeight="1">
      <c r="A610" t="inlineStr">
        <is>
          <t>A 33124-2020</t>
        </is>
      </c>
      <c r="B610" s="1" t="n">
        <v>44021</v>
      </c>
      <c r="C610" s="1" t="n">
        <v>45265</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33095-2020</t>
        </is>
      </c>
      <c r="B611" s="1" t="n">
        <v>44021</v>
      </c>
      <c r="C611" s="1" t="n">
        <v>45265</v>
      </c>
      <c r="D611" t="inlineStr">
        <is>
          <t>VÄRMLANDS LÄN</t>
        </is>
      </c>
      <c r="E611" t="inlineStr">
        <is>
          <t>TORSBY</t>
        </is>
      </c>
      <c r="G611" t="n">
        <v>3.1</v>
      </c>
      <c r="H611" t="n">
        <v>0</v>
      </c>
      <c r="I611" t="n">
        <v>0</v>
      </c>
      <c r="J611" t="n">
        <v>0</v>
      </c>
      <c r="K611" t="n">
        <v>0</v>
      </c>
      <c r="L611" t="n">
        <v>0</v>
      </c>
      <c r="M611" t="n">
        <v>0</v>
      </c>
      <c r="N611" t="n">
        <v>0</v>
      </c>
      <c r="O611" t="n">
        <v>0</v>
      </c>
      <c r="P611" t="n">
        <v>0</v>
      </c>
      <c r="Q611" t="n">
        <v>0</v>
      </c>
      <c r="R611" s="2" t="inlineStr"/>
    </row>
    <row r="612" ht="15" customHeight="1">
      <c r="A612" t="inlineStr">
        <is>
          <t>A 33126-2020</t>
        </is>
      </c>
      <c r="B612" s="1" t="n">
        <v>44021</v>
      </c>
      <c r="C612" s="1" t="n">
        <v>45265</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33691-2020</t>
        </is>
      </c>
      <c r="B613" s="1" t="n">
        <v>44022</v>
      </c>
      <c r="C613" s="1" t="n">
        <v>45265</v>
      </c>
      <c r="D613" t="inlineStr">
        <is>
          <t>VÄRMLANDS LÄN</t>
        </is>
      </c>
      <c r="E613" t="inlineStr">
        <is>
          <t>TORSBY</t>
        </is>
      </c>
      <c r="F613" t="inlineStr">
        <is>
          <t>Övriga Aktiebolag</t>
        </is>
      </c>
      <c r="G613" t="n">
        <v>3.8</v>
      </c>
      <c r="H613" t="n">
        <v>0</v>
      </c>
      <c r="I613" t="n">
        <v>0</v>
      </c>
      <c r="J613" t="n">
        <v>0</v>
      </c>
      <c r="K613" t="n">
        <v>0</v>
      </c>
      <c r="L613" t="n">
        <v>0</v>
      </c>
      <c r="M613" t="n">
        <v>0</v>
      </c>
      <c r="N613" t="n">
        <v>0</v>
      </c>
      <c r="O613" t="n">
        <v>0</v>
      </c>
      <c r="P613" t="n">
        <v>0</v>
      </c>
      <c r="Q613" t="n">
        <v>0</v>
      </c>
      <c r="R613" s="2" t="inlineStr"/>
    </row>
    <row r="614" ht="15" customHeight="1">
      <c r="A614" t="inlineStr">
        <is>
          <t>A 34901-2020</t>
        </is>
      </c>
      <c r="B614" s="1" t="n">
        <v>44022</v>
      </c>
      <c r="C614" s="1" t="n">
        <v>45265</v>
      </c>
      <c r="D614" t="inlineStr">
        <is>
          <t>VÄRMLANDS LÄN</t>
        </is>
      </c>
      <c r="E614" t="inlineStr">
        <is>
          <t>TORSBY</t>
        </is>
      </c>
      <c r="F614" t="inlineStr">
        <is>
          <t>Övriga Aktiebolag</t>
        </is>
      </c>
      <c r="G614" t="n">
        <v>0.4</v>
      </c>
      <c r="H614" t="n">
        <v>0</v>
      </c>
      <c r="I614" t="n">
        <v>0</v>
      </c>
      <c r="J614" t="n">
        <v>0</v>
      </c>
      <c r="K614" t="n">
        <v>0</v>
      </c>
      <c r="L614" t="n">
        <v>0</v>
      </c>
      <c r="M614" t="n">
        <v>0</v>
      </c>
      <c r="N614" t="n">
        <v>0</v>
      </c>
      <c r="O614" t="n">
        <v>0</v>
      </c>
      <c r="P614" t="n">
        <v>0</v>
      </c>
      <c r="Q614" t="n">
        <v>0</v>
      </c>
      <c r="R614" s="2" t="inlineStr"/>
    </row>
    <row r="615" ht="15" customHeight="1">
      <c r="A615" t="inlineStr">
        <is>
          <t>A 33908-2020</t>
        </is>
      </c>
      <c r="B615" s="1" t="n">
        <v>44027</v>
      </c>
      <c r="C615" s="1" t="n">
        <v>45265</v>
      </c>
      <c r="D615" t="inlineStr">
        <is>
          <t>VÄRMLANDS LÄN</t>
        </is>
      </c>
      <c r="E615" t="inlineStr">
        <is>
          <t>TORSBY</t>
        </is>
      </c>
      <c r="G615" t="n">
        <v>3.6</v>
      </c>
      <c r="H615" t="n">
        <v>0</v>
      </c>
      <c r="I615" t="n">
        <v>0</v>
      </c>
      <c r="J615" t="n">
        <v>0</v>
      </c>
      <c r="K615" t="n">
        <v>0</v>
      </c>
      <c r="L615" t="n">
        <v>0</v>
      </c>
      <c r="M615" t="n">
        <v>0</v>
      </c>
      <c r="N615" t="n">
        <v>0</v>
      </c>
      <c r="O615" t="n">
        <v>0</v>
      </c>
      <c r="P615" t="n">
        <v>0</v>
      </c>
      <c r="Q615" t="n">
        <v>0</v>
      </c>
      <c r="R615" s="2" t="inlineStr"/>
    </row>
    <row r="616" ht="15" customHeight="1">
      <c r="A616" t="inlineStr">
        <is>
          <t>A 33864-2020</t>
        </is>
      </c>
      <c r="B616" s="1" t="n">
        <v>44027</v>
      </c>
      <c r="C616" s="1" t="n">
        <v>45265</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34118-2020</t>
        </is>
      </c>
      <c r="B617" s="1" t="n">
        <v>44028</v>
      </c>
      <c r="C617" s="1" t="n">
        <v>45265</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34247-2020</t>
        </is>
      </c>
      <c r="B618" s="1" t="n">
        <v>44029</v>
      </c>
      <c r="C618" s="1" t="n">
        <v>45265</v>
      </c>
      <c r="D618" t="inlineStr">
        <is>
          <t>VÄRMLANDS LÄN</t>
        </is>
      </c>
      <c r="E618" t="inlineStr">
        <is>
          <t>TORSBY</t>
        </is>
      </c>
      <c r="F618" t="inlineStr">
        <is>
          <t>Kommuner</t>
        </is>
      </c>
      <c r="G618" t="n">
        <v>3.3</v>
      </c>
      <c r="H618" t="n">
        <v>0</v>
      </c>
      <c r="I618" t="n">
        <v>0</v>
      </c>
      <c r="J618" t="n">
        <v>0</v>
      </c>
      <c r="K618" t="n">
        <v>0</v>
      </c>
      <c r="L618" t="n">
        <v>0</v>
      </c>
      <c r="M618" t="n">
        <v>0</v>
      </c>
      <c r="N618" t="n">
        <v>0</v>
      </c>
      <c r="O618" t="n">
        <v>0</v>
      </c>
      <c r="P618" t="n">
        <v>0</v>
      </c>
      <c r="Q618" t="n">
        <v>0</v>
      </c>
      <c r="R618" s="2" t="inlineStr"/>
    </row>
    <row r="619" ht="15" customHeight="1">
      <c r="A619" t="inlineStr">
        <is>
          <t>A 35132-2020</t>
        </is>
      </c>
      <c r="B619" s="1" t="n">
        <v>44040</v>
      </c>
      <c r="C619" s="1" t="n">
        <v>45265</v>
      </c>
      <c r="D619" t="inlineStr">
        <is>
          <t>VÄRMLANDS LÄN</t>
        </is>
      </c>
      <c r="E619" t="inlineStr">
        <is>
          <t>TORSBY</t>
        </is>
      </c>
      <c r="F619" t="inlineStr">
        <is>
          <t>Kommuner</t>
        </is>
      </c>
      <c r="G619" t="n">
        <v>5.3</v>
      </c>
      <c r="H619" t="n">
        <v>0</v>
      </c>
      <c r="I619" t="n">
        <v>0</v>
      </c>
      <c r="J619" t="n">
        <v>0</v>
      </c>
      <c r="K619" t="n">
        <v>0</v>
      </c>
      <c r="L619" t="n">
        <v>0</v>
      </c>
      <c r="M619" t="n">
        <v>0</v>
      </c>
      <c r="N619" t="n">
        <v>0</v>
      </c>
      <c r="O619" t="n">
        <v>0</v>
      </c>
      <c r="P619" t="n">
        <v>0</v>
      </c>
      <c r="Q619" t="n">
        <v>0</v>
      </c>
      <c r="R619" s="2" t="inlineStr"/>
    </row>
    <row r="620" ht="15" customHeight="1">
      <c r="A620" t="inlineStr">
        <is>
          <t>A 35174-2020</t>
        </is>
      </c>
      <c r="B620" s="1" t="n">
        <v>44040</v>
      </c>
      <c r="C620" s="1" t="n">
        <v>45265</v>
      </c>
      <c r="D620" t="inlineStr">
        <is>
          <t>VÄRMLANDS LÄN</t>
        </is>
      </c>
      <c r="E620" t="inlineStr">
        <is>
          <t>TORSBY</t>
        </is>
      </c>
      <c r="F620" t="inlineStr">
        <is>
          <t>Kommuner</t>
        </is>
      </c>
      <c r="G620" t="n">
        <v>5.3</v>
      </c>
      <c r="H620" t="n">
        <v>0</v>
      </c>
      <c r="I620" t="n">
        <v>0</v>
      </c>
      <c r="J620" t="n">
        <v>0</v>
      </c>
      <c r="K620" t="n">
        <v>0</v>
      </c>
      <c r="L620" t="n">
        <v>0</v>
      </c>
      <c r="M620" t="n">
        <v>0</v>
      </c>
      <c r="N620" t="n">
        <v>0</v>
      </c>
      <c r="O620" t="n">
        <v>0</v>
      </c>
      <c r="P620" t="n">
        <v>0</v>
      </c>
      <c r="Q620" t="n">
        <v>0</v>
      </c>
      <c r="R620" s="2" t="inlineStr"/>
    </row>
    <row r="621" ht="15" customHeight="1">
      <c r="A621" t="inlineStr">
        <is>
          <t>A 35500-2020</t>
        </is>
      </c>
      <c r="B621" s="1" t="n">
        <v>44043</v>
      </c>
      <c r="C621" s="1" t="n">
        <v>45265</v>
      </c>
      <c r="D621" t="inlineStr">
        <is>
          <t>VÄRMLANDS LÄN</t>
        </is>
      </c>
      <c r="E621" t="inlineStr">
        <is>
          <t>TORSBY</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35778-2020</t>
        </is>
      </c>
      <c r="B622" s="1" t="n">
        <v>44046</v>
      </c>
      <c r="C622" s="1" t="n">
        <v>45265</v>
      </c>
      <c r="D622" t="inlineStr">
        <is>
          <t>VÄRMLANDS LÄN</t>
        </is>
      </c>
      <c r="E622" t="inlineStr">
        <is>
          <t>TORSBY</t>
        </is>
      </c>
      <c r="G622" t="n">
        <v>10.2</v>
      </c>
      <c r="H622" t="n">
        <v>0</v>
      </c>
      <c r="I622" t="n">
        <v>0</v>
      </c>
      <c r="J622" t="n">
        <v>0</v>
      </c>
      <c r="K622" t="n">
        <v>0</v>
      </c>
      <c r="L622" t="n">
        <v>0</v>
      </c>
      <c r="M622" t="n">
        <v>0</v>
      </c>
      <c r="N622" t="n">
        <v>0</v>
      </c>
      <c r="O622" t="n">
        <v>0</v>
      </c>
      <c r="P622" t="n">
        <v>0</v>
      </c>
      <c r="Q622" t="n">
        <v>0</v>
      </c>
      <c r="R622" s="2" t="inlineStr"/>
    </row>
    <row r="623" ht="15" customHeight="1">
      <c r="A623" t="inlineStr">
        <is>
          <t>A 35900-2020</t>
        </is>
      </c>
      <c r="B623" s="1" t="n">
        <v>44047</v>
      </c>
      <c r="C623" s="1" t="n">
        <v>45265</v>
      </c>
      <c r="D623" t="inlineStr">
        <is>
          <t>VÄRMLANDS LÄN</t>
        </is>
      </c>
      <c r="E623" t="inlineStr">
        <is>
          <t>TORSBY</t>
        </is>
      </c>
      <c r="G623" t="n">
        <v>7.2</v>
      </c>
      <c r="H623" t="n">
        <v>0</v>
      </c>
      <c r="I623" t="n">
        <v>0</v>
      </c>
      <c r="J623" t="n">
        <v>0</v>
      </c>
      <c r="K623" t="n">
        <v>0</v>
      </c>
      <c r="L623" t="n">
        <v>0</v>
      </c>
      <c r="M623" t="n">
        <v>0</v>
      </c>
      <c r="N623" t="n">
        <v>0</v>
      </c>
      <c r="O623" t="n">
        <v>0</v>
      </c>
      <c r="P623" t="n">
        <v>0</v>
      </c>
      <c r="Q623" t="n">
        <v>0</v>
      </c>
      <c r="R623" s="2" t="inlineStr"/>
    </row>
    <row r="624" ht="15" customHeight="1">
      <c r="A624" t="inlineStr">
        <is>
          <t>A 35955-2020</t>
        </is>
      </c>
      <c r="B624" s="1" t="n">
        <v>44047</v>
      </c>
      <c r="C624" s="1" t="n">
        <v>45265</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35826-2020</t>
        </is>
      </c>
      <c r="B625" s="1" t="n">
        <v>44047</v>
      </c>
      <c r="C625" s="1" t="n">
        <v>45265</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35905-2020</t>
        </is>
      </c>
      <c r="B626" s="1" t="n">
        <v>44047</v>
      </c>
      <c r="C626" s="1" t="n">
        <v>45265</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36482-2020</t>
        </is>
      </c>
      <c r="B627" s="1" t="n">
        <v>44048</v>
      </c>
      <c r="C627" s="1" t="n">
        <v>45265</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36104-2020</t>
        </is>
      </c>
      <c r="B628" s="1" t="n">
        <v>44048</v>
      </c>
      <c r="C628" s="1" t="n">
        <v>45265</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36265-2020</t>
        </is>
      </c>
      <c r="B629" s="1" t="n">
        <v>44049</v>
      </c>
      <c r="C629" s="1" t="n">
        <v>45265</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36396-2020</t>
        </is>
      </c>
      <c r="B630" s="1" t="n">
        <v>44049</v>
      </c>
      <c r="C630" s="1" t="n">
        <v>45265</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36394-2020</t>
        </is>
      </c>
      <c r="B631" s="1" t="n">
        <v>44049</v>
      </c>
      <c r="C631" s="1" t="n">
        <v>45265</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36847-2020</t>
        </is>
      </c>
      <c r="B632" s="1" t="n">
        <v>44053</v>
      </c>
      <c r="C632" s="1" t="n">
        <v>45265</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36901-2020</t>
        </is>
      </c>
      <c r="B633" s="1" t="n">
        <v>44053</v>
      </c>
      <c r="C633" s="1" t="n">
        <v>45265</v>
      </c>
      <c r="D633" t="inlineStr">
        <is>
          <t>VÄRMLANDS LÄN</t>
        </is>
      </c>
      <c r="E633" t="inlineStr">
        <is>
          <t>TORSBY</t>
        </is>
      </c>
      <c r="G633" t="n">
        <v>3.1</v>
      </c>
      <c r="H633" t="n">
        <v>0</v>
      </c>
      <c r="I633" t="n">
        <v>0</v>
      </c>
      <c r="J633" t="n">
        <v>0</v>
      </c>
      <c r="K633" t="n">
        <v>0</v>
      </c>
      <c r="L633" t="n">
        <v>0</v>
      </c>
      <c r="M633" t="n">
        <v>0</v>
      </c>
      <c r="N633" t="n">
        <v>0</v>
      </c>
      <c r="O633" t="n">
        <v>0</v>
      </c>
      <c r="P633" t="n">
        <v>0</v>
      </c>
      <c r="Q633" t="n">
        <v>0</v>
      </c>
      <c r="R633" s="2" t="inlineStr"/>
    </row>
    <row r="634" ht="15" customHeight="1">
      <c r="A634" t="inlineStr">
        <is>
          <t>A 37305-2020</t>
        </is>
      </c>
      <c r="B634" s="1" t="n">
        <v>44055</v>
      </c>
      <c r="C634" s="1" t="n">
        <v>45265</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37302-2020</t>
        </is>
      </c>
      <c r="B635" s="1" t="n">
        <v>44055</v>
      </c>
      <c r="C635" s="1" t="n">
        <v>45265</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37307-2020</t>
        </is>
      </c>
      <c r="B636" s="1" t="n">
        <v>44055</v>
      </c>
      <c r="C636" s="1" t="n">
        <v>45265</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37303-2020</t>
        </is>
      </c>
      <c r="B637" s="1" t="n">
        <v>44055</v>
      </c>
      <c r="C637" s="1" t="n">
        <v>45265</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38506-2020</t>
        </is>
      </c>
      <c r="B638" s="1" t="n">
        <v>44061</v>
      </c>
      <c r="C638" s="1" t="n">
        <v>45265</v>
      </c>
      <c r="D638" t="inlineStr">
        <is>
          <t>VÄRMLANDS LÄN</t>
        </is>
      </c>
      <c r="E638" t="inlineStr">
        <is>
          <t>TORSBY</t>
        </is>
      </c>
      <c r="G638" t="n">
        <v>5</v>
      </c>
      <c r="H638" t="n">
        <v>0</v>
      </c>
      <c r="I638" t="n">
        <v>0</v>
      </c>
      <c r="J638" t="n">
        <v>0</v>
      </c>
      <c r="K638" t="n">
        <v>0</v>
      </c>
      <c r="L638" t="n">
        <v>0</v>
      </c>
      <c r="M638" t="n">
        <v>0</v>
      </c>
      <c r="N638" t="n">
        <v>0</v>
      </c>
      <c r="O638" t="n">
        <v>0</v>
      </c>
      <c r="P638" t="n">
        <v>0</v>
      </c>
      <c r="Q638" t="n">
        <v>0</v>
      </c>
      <c r="R638" s="2" t="inlineStr"/>
    </row>
    <row r="639" ht="15" customHeight="1">
      <c r="A639" t="inlineStr">
        <is>
          <t>A 38978-2020</t>
        </is>
      </c>
      <c r="B639" s="1" t="n">
        <v>44062</v>
      </c>
      <c r="C639" s="1" t="n">
        <v>45265</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40218-2020</t>
        </is>
      </c>
      <c r="B640" s="1" t="n">
        <v>44064</v>
      </c>
      <c r="C640" s="1" t="n">
        <v>45265</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40015-2020</t>
        </is>
      </c>
      <c r="B641" s="1" t="n">
        <v>44067</v>
      </c>
      <c r="C641" s="1" t="n">
        <v>45265</v>
      </c>
      <c r="D641" t="inlineStr">
        <is>
          <t>VÄRMLANDS LÄN</t>
        </is>
      </c>
      <c r="E641" t="inlineStr">
        <is>
          <t>TORSBY</t>
        </is>
      </c>
      <c r="G641" t="n">
        <v>5.7</v>
      </c>
      <c r="H641" t="n">
        <v>0</v>
      </c>
      <c r="I641" t="n">
        <v>0</v>
      </c>
      <c r="J641" t="n">
        <v>0</v>
      </c>
      <c r="K641" t="n">
        <v>0</v>
      </c>
      <c r="L641" t="n">
        <v>0</v>
      </c>
      <c r="M641" t="n">
        <v>0</v>
      </c>
      <c r="N641" t="n">
        <v>0</v>
      </c>
      <c r="O641" t="n">
        <v>0</v>
      </c>
      <c r="P641" t="n">
        <v>0</v>
      </c>
      <c r="Q641" t="n">
        <v>0</v>
      </c>
      <c r="R641" s="2" t="inlineStr"/>
    </row>
    <row r="642" ht="15" customHeight="1">
      <c r="A642" t="inlineStr">
        <is>
          <t>A 40550-2020</t>
        </is>
      </c>
      <c r="B642" s="1" t="n">
        <v>44069</v>
      </c>
      <c r="C642" s="1" t="n">
        <v>45265</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40594-2020</t>
        </is>
      </c>
      <c r="B643" s="1" t="n">
        <v>44069</v>
      </c>
      <c r="C643" s="1" t="n">
        <v>45265</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40509-2020</t>
        </is>
      </c>
      <c r="B644" s="1" t="n">
        <v>44069</v>
      </c>
      <c r="C644" s="1" t="n">
        <v>45265</v>
      </c>
      <c r="D644" t="inlineStr">
        <is>
          <t>VÄRMLANDS LÄN</t>
        </is>
      </c>
      <c r="E644" t="inlineStr">
        <is>
          <t>TORSBY</t>
        </is>
      </c>
      <c r="F644" t="inlineStr">
        <is>
          <t>Naturvårdsverket</t>
        </is>
      </c>
      <c r="G644" t="n">
        <v>57</v>
      </c>
      <c r="H644" t="n">
        <v>0</v>
      </c>
      <c r="I644" t="n">
        <v>0</v>
      </c>
      <c r="J644" t="n">
        <v>0</v>
      </c>
      <c r="K644" t="n">
        <v>0</v>
      </c>
      <c r="L644" t="n">
        <v>0</v>
      </c>
      <c r="M644" t="n">
        <v>0</v>
      </c>
      <c r="N644" t="n">
        <v>0</v>
      </c>
      <c r="O644" t="n">
        <v>0</v>
      </c>
      <c r="P644" t="n">
        <v>0</v>
      </c>
      <c r="Q644" t="n">
        <v>0</v>
      </c>
      <c r="R644" s="2" t="inlineStr"/>
    </row>
    <row r="645" ht="15" customHeight="1">
      <c r="A645" t="inlineStr">
        <is>
          <t>A 40601-2020</t>
        </is>
      </c>
      <c r="B645" s="1" t="n">
        <v>44069</v>
      </c>
      <c r="C645" s="1" t="n">
        <v>45265</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40994-2020</t>
        </is>
      </c>
      <c r="B646" s="1" t="n">
        <v>44070</v>
      </c>
      <c r="C646" s="1" t="n">
        <v>45265</v>
      </c>
      <c r="D646" t="inlineStr">
        <is>
          <t>VÄRMLANDS LÄN</t>
        </is>
      </c>
      <c r="E646" t="inlineStr">
        <is>
          <t>TORSBY</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40987-2020</t>
        </is>
      </c>
      <c r="B647" s="1" t="n">
        <v>44070</v>
      </c>
      <c r="C647" s="1" t="n">
        <v>45265</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40993-2020</t>
        </is>
      </c>
      <c r="B648" s="1" t="n">
        <v>44070</v>
      </c>
      <c r="C648" s="1" t="n">
        <v>45265</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41469-2020</t>
        </is>
      </c>
      <c r="B649" s="1" t="n">
        <v>44074</v>
      </c>
      <c r="C649" s="1" t="n">
        <v>45265</v>
      </c>
      <c r="D649" t="inlineStr">
        <is>
          <t>VÄRMLANDS LÄN</t>
        </is>
      </c>
      <c r="E649" t="inlineStr">
        <is>
          <t>TORSBY</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42391-2020</t>
        </is>
      </c>
      <c r="B650" s="1" t="n">
        <v>44076</v>
      </c>
      <c r="C650" s="1" t="n">
        <v>45265</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42566-2020</t>
        </is>
      </c>
      <c r="B651" s="1" t="n">
        <v>44077</v>
      </c>
      <c r="C651" s="1" t="n">
        <v>45265</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42982-2020</t>
        </is>
      </c>
      <c r="B652" s="1" t="n">
        <v>44078</v>
      </c>
      <c r="C652" s="1" t="n">
        <v>45265</v>
      </c>
      <c r="D652" t="inlineStr">
        <is>
          <t>VÄRMLANDS LÄN</t>
        </is>
      </c>
      <c r="E652" t="inlineStr">
        <is>
          <t>TORSBY</t>
        </is>
      </c>
      <c r="G652" t="n">
        <v>1.5</v>
      </c>
      <c r="H652" t="n">
        <v>0</v>
      </c>
      <c r="I652" t="n">
        <v>0</v>
      </c>
      <c r="J652" t="n">
        <v>0</v>
      </c>
      <c r="K652" t="n">
        <v>0</v>
      </c>
      <c r="L652" t="n">
        <v>0</v>
      </c>
      <c r="M652" t="n">
        <v>0</v>
      </c>
      <c r="N652" t="n">
        <v>0</v>
      </c>
      <c r="O652" t="n">
        <v>0</v>
      </c>
      <c r="P652" t="n">
        <v>0</v>
      </c>
      <c r="Q652" t="n">
        <v>0</v>
      </c>
      <c r="R652" s="2" t="inlineStr"/>
    </row>
    <row r="653" ht="15" customHeight="1">
      <c r="A653" t="inlineStr">
        <is>
          <t>A 44722-2020</t>
        </is>
      </c>
      <c r="B653" s="1" t="n">
        <v>44078</v>
      </c>
      <c r="C653" s="1" t="n">
        <v>45265</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43547-2020</t>
        </is>
      </c>
      <c r="B654" s="1" t="n">
        <v>44078</v>
      </c>
      <c r="C654" s="1" t="n">
        <v>45265</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44715-2020</t>
        </is>
      </c>
      <c r="B655" s="1" t="n">
        <v>44078</v>
      </c>
      <c r="C655" s="1" t="n">
        <v>45265</v>
      </c>
      <c r="D655" t="inlineStr">
        <is>
          <t>VÄRMLANDS LÄN</t>
        </is>
      </c>
      <c r="E655" t="inlineStr">
        <is>
          <t>TORSBY</t>
        </is>
      </c>
      <c r="G655" t="n">
        <v>1.9</v>
      </c>
      <c r="H655" t="n">
        <v>0</v>
      </c>
      <c r="I655" t="n">
        <v>0</v>
      </c>
      <c r="J655" t="n">
        <v>0</v>
      </c>
      <c r="K655" t="n">
        <v>0</v>
      </c>
      <c r="L655" t="n">
        <v>0</v>
      </c>
      <c r="M655" t="n">
        <v>0</v>
      </c>
      <c r="N655" t="n">
        <v>0</v>
      </c>
      <c r="O655" t="n">
        <v>0</v>
      </c>
      <c r="P655" t="n">
        <v>0</v>
      </c>
      <c r="Q655" t="n">
        <v>0</v>
      </c>
      <c r="R655" s="2" t="inlineStr"/>
    </row>
    <row r="656" ht="15" customHeight="1">
      <c r="A656" t="inlineStr">
        <is>
          <t>A 44720-2020</t>
        </is>
      </c>
      <c r="B656" s="1" t="n">
        <v>44078</v>
      </c>
      <c r="C656" s="1" t="n">
        <v>45265</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43725-2020</t>
        </is>
      </c>
      <c r="B657" s="1" t="n">
        <v>44082</v>
      </c>
      <c r="C657" s="1" t="n">
        <v>45265</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44666-2020</t>
        </is>
      </c>
      <c r="B658" s="1" t="n">
        <v>44085</v>
      </c>
      <c r="C658" s="1" t="n">
        <v>45265</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46482-2020</t>
        </is>
      </c>
      <c r="B659" s="1" t="n">
        <v>44089</v>
      </c>
      <c r="C659" s="1" t="n">
        <v>45265</v>
      </c>
      <c r="D659" t="inlineStr">
        <is>
          <t>VÄRMLANDS LÄN</t>
        </is>
      </c>
      <c r="E659" t="inlineStr">
        <is>
          <t>TORSBY</t>
        </is>
      </c>
      <c r="G659" t="n">
        <v>2.2</v>
      </c>
      <c r="H659" t="n">
        <v>0</v>
      </c>
      <c r="I659" t="n">
        <v>0</v>
      </c>
      <c r="J659" t="n">
        <v>0</v>
      </c>
      <c r="K659" t="n">
        <v>0</v>
      </c>
      <c r="L659" t="n">
        <v>0</v>
      </c>
      <c r="M659" t="n">
        <v>0</v>
      </c>
      <c r="N659" t="n">
        <v>0</v>
      </c>
      <c r="O659" t="n">
        <v>0</v>
      </c>
      <c r="P659" t="n">
        <v>0</v>
      </c>
      <c r="Q659" t="n">
        <v>0</v>
      </c>
      <c r="R659" s="2" t="inlineStr"/>
    </row>
    <row r="660" ht="15" customHeight="1">
      <c r="A660" t="inlineStr">
        <is>
          <t>A 45404-2020</t>
        </is>
      </c>
      <c r="B660" s="1" t="n">
        <v>44089</v>
      </c>
      <c r="C660" s="1" t="n">
        <v>45265</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45872-2020</t>
        </is>
      </c>
      <c r="B661" s="1" t="n">
        <v>44091</v>
      </c>
      <c r="C661" s="1" t="n">
        <v>45265</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45898-2020</t>
        </is>
      </c>
      <c r="B662" s="1" t="n">
        <v>44091</v>
      </c>
      <c r="C662" s="1" t="n">
        <v>45265</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46271-2020</t>
        </is>
      </c>
      <c r="B663" s="1" t="n">
        <v>44092</v>
      </c>
      <c r="C663" s="1" t="n">
        <v>45265</v>
      </c>
      <c r="D663" t="inlineStr">
        <is>
          <t>VÄRMLANDS LÄN</t>
        </is>
      </c>
      <c r="E663" t="inlineStr">
        <is>
          <t>TORSBY</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47707-2020</t>
        </is>
      </c>
      <c r="B664" s="1" t="n">
        <v>44096</v>
      </c>
      <c r="C664" s="1" t="n">
        <v>45265</v>
      </c>
      <c r="D664" t="inlineStr">
        <is>
          <t>VÄRMLANDS LÄN</t>
        </is>
      </c>
      <c r="E664" t="inlineStr">
        <is>
          <t>TORSBY</t>
        </is>
      </c>
      <c r="F664" t="inlineStr">
        <is>
          <t>Kyrkan</t>
        </is>
      </c>
      <c r="G664" t="n">
        <v>1.2</v>
      </c>
      <c r="H664" t="n">
        <v>0</v>
      </c>
      <c r="I664" t="n">
        <v>0</v>
      </c>
      <c r="J664" t="n">
        <v>0</v>
      </c>
      <c r="K664" t="n">
        <v>0</v>
      </c>
      <c r="L664" t="n">
        <v>0</v>
      </c>
      <c r="M664" t="n">
        <v>0</v>
      </c>
      <c r="N664" t="n">
        <v>0</v>
      </c>
      <c r="O664" t="n">
        <v>0</v>
      </c>
      <c r="P664" t="n">
        <v>0</v>
      </c>
      <c r="Q664" t="n">
        <v>0</v>
      </c>
      <c r="R664" s="2" t="inlineStr"/>
    </row>
    <row r="665" ht="15" customHeight="1">
      <c r="A665" t="inlineStr">
        <is>
          <t>A 47709-2020</t>
        </is>
      </c>
      <c r="B665" s="1" t="n">
        <v>44096</v>
      </c>
      <c r="C665" s="1" t="n">
        <v>45265</v>
      </c>
      <c r="D665" t="inlineStr">
        <is>
          <t>VÄRMLANDS LÄN</t>
        </is>
      </c>
      <c r="E665" t="inlineStr">
        <is>
          <t>TORSBY</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47490-2020</t>
        </is>
      </c>
      <c r="B666" s="1" t="n">
        <v>44098</v>
      </c>
      <c r="C666" s="1" t="n">
        <v>45265</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48231-2020</t>
        </is>
      </c>
      <c r="B667" s="1" t="n">
        <v>44102</v>
      </c>
      <c r="C667" s="1" t="n">
        <v>45265</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48383-2020</t>
        </is>
      </c>
      <c r="B668" s="1" t="n">
        <v>44102</v>
      </c>
      <c r="C668" s="1" t="n">
        <v>45265</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48488-2020</t>
        </is>
      </c>
      <c r="B669" s="1" t="n">
        <v>44103</v>
      </c>
      <c r="C669" s="1" t="n">
        <v>45265</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53557-2020</t>
        </is>
      </c>
      <c r="B670" s="1" t="n">
        <v>44104</v>
      </c>
      <c r="C670" s="1" t="n">
        <v>45265</v>
      </c>
      <c r="D670" t="inlineStr">
        <is>
          <t>VÄRMLANDS LÄN</t>
        </is>
      </c>
      <c r="E670" t="inlineStr">
        <is>
          <t>TORSBY</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50084-2020</t>
        </is>
      </c>
      <c r="B671" s="1" t="n">
        <v>44109</v>
      </c>
      <c r="C671" s="1" t="n">
        <v>45265</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50092-2020</t>
        </is>
      </c>
      <c r="B672" s="1" t="n">
        <v>44109</v>
      </c>
      <c r="C672" s="1" t="n">
        <v>45265</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50103-2020</t>
        </is>
      </c>
      <c r="B673" s="1" t="n">
        <v>44109</v>
      </c>
      <c r="C673" s="1" t="n">
        <v>45265</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50096-2020</t>
        </is>
      </c>
      <c r="B674" s="1" t="n">
        <v>44109</v>
      </c>
      <c r="C674" s="1" t="n">
        <v>45265</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50486-2020</t>
        </is>
      </c>
      <c r="B675" s="1" t="n">
        <v>44110</v>
      </c>
      <c r="C675" s="1" t="n">
        <v>45265</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50943-2020</t>
        </is>
      </c>
      <c r="B676" s="1" t="n">
        <v>44111</v>
      </c>
      <c r="C676" s="1" t="n">
        <v>45265</v>
      </c>
      <c r="D676" t="inlineStr">
        <is>
          <t>VÄRMLANDS LÄN</t>
        </is>
      </c>
      <c r="E676" t="inlineStr">
        <is>
          <t>TORSBY</t>
        </is>
      </c>
      <c r="F676" t="inlineStr">
        <is>
          <t>Bergvik skog väst AB</t>
        </is>
      </c>
      <c r="G676" t="n">
        <v>18.4</v>
      </c>
      <c r="H676" t="n">
        <v>0</v>
      </c>
      <c r="I676" t="n">
        <v>0</v>
      </c>
      <c r="J676" t="n">
        <v>0</v>
      </c>
      <c r="K676" t="n">
        <v>0</v>
      </c>
      <c r="L676" t="n">
        <v>0</v>
      </c>
      <c r="M676" t="n">
        <v>0</v>
      </c>
      <c r="N676" t="n">
        <v>0</v>
      </c>
      <c r="O676" t="n">
        <v>0</v>
      </c>
      <c r="P676" t="n">
        <v>0</v>
      </c>
      <c r="Q676" t="n">
        <v>0</v>
      </c>
      <c r="R676" s="2" t="inlineStr"/>
    </row>
    <row r="677" ht="15" customHeight="1">
      <c r="A677" t="inlineStr">
        <is>
          <t>A 51380-2020</t>
        </is>
      </c>
      <c r="B677" s="1" t="n">
        <v>44113</v>
      </c>
      <c r="C677" s="1" t="n">
        <v>45265</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51385-2020</t>
        </is>
      </c>
      <c r="B678" s="1" t="n">
        <v>44113</v>
      </c>
      <c r="C678" s="1" t="n">
        <v>45265</v>
      </c>
      <c r="D678" t="inlineStr">
        <is>
          <t>VÄRMLANDS LÄN</t>
        </is>
      </c>
      <c r="E678" t="inlineStr">
        <is>
          <t>TORSBY</t>
        </is>
      </c>
      <c r="G678" t="n">
        <v>6.8</v>
      </c>
      <c r="H678" t="n">
        <v>0</v>
      </c>
      <c r="I678" t="n">
        <v>0</v>
      </c>
      <c r="J678" t="n">
        <v>0</v>
      </c>
      <c r="K678" t="n">
        <v>0</v>
      </c>
      <c r="L678" t="n">
        <v>0</v>
      </c>
      <c r="M678" t="n">
        <v>0</v>
      </c>
      <c r="N678" t="n">
        <v>0</v>
      </c>
      <c r="O678" t="n">
        <v>0</v>
      </c>
      <c r="P678" t="n">
        <v>0</v>
      </c>
      <c r="Q678" t="n">
        <v>0</v>
      </c>
      <c r="R678" s="2" t="inlineStr"/>
    </row>
    <row r="679" ht="15" customHeight="1">
      <c r="A679" t="inlineStr">
        <is>
          <t>A 51389-2020</t>
        </is>
      </c>
      <c r="B679" s="1" t="n">
        <v>44113</v>
      </c>
      <c r="C679" s="1" t="n">
        <v>45265</v>
      </c>
      <c r="D679" t="inlineStr">
        <is>
          <t>VÄRMLANDS LÄN</t>
        </is>
      </c>
      <c r="E679" t="inlineStr">
        <is>
          <t>TORSBY</t>
        </is>
      </c>
      <c r="G679" t="n">
        <v>15.4</v>
      </c>
      <c r="H679" t="n">
        <v>0</v>
      </c>
      <c r="I679" t="n">
        <v>0</v>
      </c>
      <c r="J679" t="n">
        <v>0</v>
      </c>
      <c r="K679" t="n">
        <v>0</v>
      </c>
      <c r="L679" t="n">
        <v>0</v>
      </c>
      <c r="M679" t="n">
        <v>0</v>
      </c>
      <c r="N679" t="n">
        <v>0</v>
      </c>
      <c r="O679" t="n">
        <v>0</v>
      </c>
      <c r="P679" t="n">
        <v>0</v>
      </c>
      <c r="Q679" t="n">
        <v>0</v>
      </c>
      <c r="R679" s="2" t="inlineStr"/>
    </row>
    <row r="680" ht="15" customHeight="1">
      <c r="A680" t="inlineStr">
        <is>
          <t>A 51382-2020</t>
        </is>
      </c>
      <c r="B680" s="1" t="n">
        <v>44113</v>
      </c>
      <c r="C680" s="1" t="n">
        <v>45265</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51381-2020</t>
        </is>
      </c>
      <c r="B681" s="1" t="n">
        <v>44113</v>
      </c>
      <c r="C681" s="1" t="n">
        <v>45265</v>
      </c>
      <c r="D681" t="inlineStr">
        <is>
          <t>VÄRMLANDS LÄN</t>
        </is>
      </c>
      <c r="E681" t="inlineStr">
        <is>
          <t>TORSBY</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51386-2020</t>
        </is>
      </c>
      <c r="B682" s="1" t="n">
        <v>44113</v>
      </c>
      <c r="C682" s="1" t="n">
        <v>45265</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51635-2020</t>
        </is>
      </c>
      <c r="B683" s="1" t="n">
        <v>44113</v>
      </c>
      <c r="C683" s="1" t="n">
        <v>45265</v>
      </c>
      <c r="D683" t="inlineStr">
        <is>
          <t>VÄRMLANDS LÄN</t>
        </is>
      </c>
      <c r="E683" t="inlineStr">
        <is>
          <t>TORSBY</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51383-2020</t>
        </is>
      </c>
      <c r="B684" s="1" t="n">
        <v>44113</v>
      </c>
      <c r="C684" s="1" t="n">
        <v>45265</v>
      </c>
      <c r="D684" t="inlineStr">
        <is>
          <t>VÄRMLANDS LÄN</t>
        </is>
      </c>
      <c r="E684" t="inlineStr">
        <is>
          <t>TORSBY</t>
        </is>
      </c>
      <c r="G684" t="n">
        <v>3.8</v>
      </c>
      <c r="H684" t="n">
        <v>0</v>
      </c>
      <c r="I684" t="n">
        <v>0</v>
      </c>
      <c r="J684" t="n">
        <v>0</v>
      </c>
      <c r="K684" t="n">
        <v>0</v>
      </c>
      <c r="L684" t="n">
        <v>0</v>
      </c>
      <c r="M684" t="n">
        <v>0</v>
      </c>
      <c r="N684" t="n">
        <v>0</v>
      </c>
      <c r="O684" t="n">
        <v>0</v>
      </c>
      <c r="P684" t="n">
        <v>0</v>
      </c>
      <c r="Q684" t="n">
        <v>0</v>
      </c>
      <c r="R684" s="2" t="inlineStr"/>
    </row>
    <row r="685" ht="15" customHeight="1">
      <c r="A685" t="inlineStr">
        <is>
          <t>A 51838-2020</t>
        </is>
      </c>
      <c r="B685" s="1" t="n">
        <v>44116</v>
      </c>
      <c r="C685" s="1" t="n">
        <v>45265</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52460-2020</t>
        </is>
      </c>
      <c r="B686" s="1" t="n">
        <v>44116</v>
      </c>
      <c r="C686" s="1" t="n">
        <v>45265</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51837-2020</t>
        </is>
      </c>
      <c r="B687" s="1" t="n">
        <v>44116</v>
      </c>
      <c r="C687" s="1" t="n">
        <v>45265</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52141-2020</t>
        </is>
      </c>
      <c r="B688" s="1" t="n">
        <v>44117</v>
      </c>
      <c r="C688" s="1" t="n">
        <v>45265</v>
      </c>
      <c r="D688" t="inlineStr">
        <is>
          <t>VÄRMLANDS LÄN</t>
        </is>
      </c>
      <c r="E688" t="inlineStr">
        <is>
          <t>TORSBY</t>
        </is>
      </c>
      <c r="G688" t="n">
        <v>4.1</v>
      </c>
      <c r="H688" t="n">
        <v>0</v>
      </c>
      <c r="I688" t="n">
        <v>0</v>
      </c>
      <c r="J688" t="n">
        <v>0</v>
      </c>
      <c r="K688" t="n">
        <v>0</v>
      </c>
      <c r="L688" t="n">
        <v>0</v>
      </c>
      <c r="M688" t="n">
        <v>0</v>
      </c>
      <c r="N688" t="n">
        <v>0</v>
      </c>
      <c r="O688" t="n">
        <v>0</v>
      </c>
      <c r="P688" t="n">
        <v>0</v>
      </c>
      <c r="Q688" t="n">
        <v>0</v>
      </c>
      <c r="R688" s="2" t="inlineStr"/>
    </row>
    <row r="689" ht="15" customHeight="1">
      <c r="A689" t="inlineStr">
        <is>
          <t>A 52799-2020</t>
        </is>
      </c>
      <c r="B689" s="1" t="n">
        <v>44119</v>
      </c>
      <c r="C689" s="1" t="n">
        <v>45265</v>
      </c>
      <c r="D689" t="inlineStr">
        <is>
          <t>VÄRMLANDS LÄN</t>
        </is>
      </c>
      <c r="E689" t="inlineStr">
        <is>
          <t>TORSBY</t>
        </is>
      </c>
      <c r="G689" t="n">
        <v>6.2</v>
      </c>
      <c r="H689" t="n">
        <v>0</v>
      </c>
      <c r="I689" t="n">
        <v>0</v>
      </c>
      <c r="J689" t="n">
        <v>0</v>
      </c>
      <c r="K689" t="n">
        <v>0</v>
      </c>
      <c r="L689" t="n">
        <v>0</v>
      </c>
      <c r="M689" t="n">
        <v>0</v>
      </c>
      <c r="N689" t="n">
        <v>0</v>
      </c>
      <c r="O689" t="n">
        <v>0</v>
      </c>
      <c r="P689" t="n">
        <v>0</v>
      </c>
      <c r="Q689" t="n">
        <v>0</v>
      </c>
      <c r="R689" s="2" t="inlineStr"/>
    </row>
    <row r="690" ht="15" customHeight="1">
      <c r="A690" t="inlineStr">
        <is>
          <t>A 52979-2020</t>
        </is>
      </c>
      <c r="B690" s="1" t="n">
        <v>44120</v>
      </c>
      <c r="C690" s="1" t="n">
        <v>45265</v>
      </c>
      <c r="D690" t="inlineStr">
        <is>
          <t>VÄRMLANDS LÄN</t>
        </is>
      </c>
      <c r="E690" t="inlineStr">
        <is>
          <t>TORSBY</t>
        </is>
      </c>
      <c r="G690" t="n">
        <v>3.6</v>
      </c>
      <c r="H690" t="n">
        <v>0</v>
      </c>
      <c r="I690" t="n">
        <v>0</v>
      </c>
      <c r="J690" t="n">
        <v>0</v>
      </c>
      <c r="K690" t="n">
        <v>0</v>
      </c>
      <c r="L690" t="n">
        <v>0</v>
      </c>
      <c r="M690" t="n">
        <v>0</v>
      </c>
      <c r="N690" t="n">
        <v>0</v>
      </c>
      <c r="O690" t="n">
        <v>0</v>
      </c>
      <c r="P690" t="n">
        <v>0</v>
      </c>
      <c r="Q690" t="n">
        <v>0</v>
      </c>
      <c r="R690" s="2" t="inlineStr"/>
    </row>
    <row r="691" ht="15" customHeight="1">
      <c r="A691" t="inlineStr">
        <is>
          <t>A 53111-2020</t>
        </is>
      </c>
      <c r="B691" s="1" t="n">
        <v>44120</v>
      </c>
      <c r="C691" s="1" t="n">
        <v>45265</v>
      </c>
      <c r="D691" t="inlineStr">
        <is>
          <t>VÄRMLANDS LÄN</t>
        </is>
      </c>
      <c r="E691" t="inlineStr">
        <is>
          <t>TORSBY</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53771-2020</t>
        </is>
      </c>
      <c r="B692" s="1" t="n">
        <v>44124</v>
      </c>
      <c r="C692" s="1" t="n">
        <v>45265</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53733-2020</t>
        </is>
      </c>
      <c r="B693" s="1" t="n">
        <v>44124</v>
      </c>
      <c r="C693" s="1" t="n">
        <v>45265</v>
      </c>
      <c r="D693" t="inlineStr">
        <is>
          <t>VÄRMLANDS LÄN</t>
        </is>
      </c>
      <c r="E693" t="inlineStr">
        <is>
          <t>TORSBY</t>
        </is>
      </c>
      <c r="G693" t="n">
        <v>2.7</v>
      </c>
      <c r="H693" t="n">
        <v>0</v>
      </c>
      <c r="I693" t="n">
        <v>0</v>
      </c>
      <c r="J693" t="n">
        <v>0</v>
      </c>
      <c r="K693" t="n">
        <v>0</v>
      </c>
      <c r="L693" t="n">
        <v>0</v>
      </c>
      <c r="M693" t="n">
        <v>0</v>
      </c>
      <c r="N693" t="n">
        <v>0</v>
      </c>
      <c r="O693" t="n">
        <v>0</v>
      </c>
      <c r="P693" t="n">
        <v>0</v>
      </c>
      <c r="Q693" t="n">
        <v>0</v>
      </c>
      <c r="R693" s="2" t="inlineStr"/>
    </row>
    <row r="694" ht="15" customHeight="1">
      <c r="A694" t="inlineStr">
        <is>
          <t>A 54331-2020</t>
        </is>
      </c>
      <c r="B694" s="1" t="n">
        <v>44124</v>
      </c>
      <c r="C694" s="1" t="n">
        <v>45265</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54060-2020</t>
        </is>
      </c>
      <c r="B695" s="1" t="n">
        <v>44125</v>
      </c>
      <c r="C695" s="1" t="n">
        <v>45265</v>
      </c>
      <c r="D695" t="inlineStr">
        <is>
          <t>VÄRMLANDS LÄN</t>
        </is>
      </c>
      <c r="E695" t="inlineStr">
        <is>
          <t>TORSBY</t>
        </is>
      </c>
      <c r="G695" t="n">
        <v>3.2</v>
      </c>
      <c r="H695" t="n">
        <v>0</v>
      </c>
      <c r="I695" t="n">
        <v>0</v>
      </c>
      <c r="J695" t="n">
        <v>0</v>
      </c>
      <c r="K695" t="n">
        <v>0</v>
      </c>
      <c r="L695" t="n">
        <v>0</v>
      </c>
      <c r="M695" t="n">
        <v>0</v>
      </c>
      <c r="N695" t="n">
        <v>0</v>
      </c>
      <c r="O695" t="n">
        <v>0</v>
      </c>
      <c r="P695" t="n">
        <v>0</v>
      </c>
      <c r="Q695" t="n">
        <v>0</v>
      </c>
      <c r="R695" s="2" t="inlineStr"/>
    </row>
    <row r="696" ht="15" customHeight="1">
      <c r="A696" t="inlineStr">
        <is>
          <t>A 54072-2020</t>
        </is>
      </c>
      <c r="B696" s="1" t="n">
        <v>44125</v>
      </c>
      <c r="C696" s="1" t="n">
        <v>45265</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54916-2020</t>
        </is>
      </c>
      <c r="B697" s="1" t="n">
        <v>44127</v>
      </c>
      <c r="C697" s="1" t="n">
        <v>45265</v>
      </c>
      <c r="D697" t="inlineStr">
        <is>
          <t>VÄRMLANDS LÄN</t>
        </is>
      </c>
      <c r="E697" t="inlineStr">
        <is>
          <t>TORSBY</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54924-2020</t>
        </is>
      </c>
      <c r="B698" s="1" t="n">
        <v>44127</v>
      </c>
      <c r="C698" s="1" t="n">
        <v>45265</v>
      </c>
      <c r="D698" t="inlineStr">
        <is>
          <t>VÄRMLANDS LÄN</t>
        </is>
      </c>
      <c r="E698" t="inlineStr">
        <is>
          <t>TORSBY</t>
        </is>
      </c>
      <c r="G698" t="n">
        <v>2.1</v>
      </c>
      <c r="H698" t="n">
        <v>0</v>
      </c>
      <c r="I698" t="n">
        <v>0</v>
      </c>
      <c r="J698" t="n">
        <v>0</v>
      </c>
      <c r="K698" t="n">
        <v>0</v>
      </c>
      <c r="L698" t="n">
        <v>0</v>
      </c>
      <c r="M698" t="n">
        <v>0</v>
      </c>
      <c r="N698" t="n">
        <v>0</v>
      </c>
      <c r="O698" t="n">
        <v>0</v>
      </c>
      <c r="P698" t="n">
        <v>0</v>
      </c>
      <c r="Q698" t="n">
        <v>0</v>
      </c>
      <c r="R698" s="2" t="inlineStr"/>
    </row>
    <row r="699" ht="15" customHeight="1">
      <c r="A699" t="inlineStr">
        <is>
          <t>A 55058-2020</t>
        </is>
      </c>
      <c r="B699" s="1" t="n">
        <v>44130</v>
      </c>
      <c r="C699" s="1" t="n">
        <v>45265</v>
      </c>
      <c r="D699" t="inlineStr">
        <is>
          <t>VÄRMLANDS LÄN</t>
        </is>
      </c>
      <c r="E699" t="inlineStr">
        <is>
          <t>TORSBY</t>
        </is>
      </c>
      <c r="F699" t="inlineStr">
        <is>
          <t>Bergvik skog väst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55217-2020</t>
        </is>
      </c>
      <c r="B700" s="1" t="n">
        <v>44130</v>
      </c>
      <c r="C700" s="1" t="n">
        <v>45265</v>
      </c>
      <c r="D700" t="inlineStr">
        <is>
          <t>VÄRMLANDS LÄN</t>
        </is>
      </c>
      <c r="E700" t="inlineStr">
        <is>
          <t>TORSBY</t>
        </is>
      </c>
      <c r="G700" t="n">
        <v>4.2</v>
      </c>
      <c r="H700" t="n">
        <v>0</v>
      </c>
      <c r="I700" t="n">
        <v>0</v>
      </c>
      <c r="J700" t="n">
        <v>0</v>
      </c>
      <c r="K700" t="n">
        <v>0</v>
      </c>
      <c r="L700" t="n">
        <v>0</v>
      </c>
      <c r="M700" t="n">
        <v>0</v>
      </c>
      <c r="N700" t="n">
        <v>0</v>
      </c>
      <c r="O700" t="n">
        <v>0</v>
      </c>
      <c r="P700" t="n">
        <v>0</v>
      </c>
      <c r="Q700" t="n">
        <v>0</v>
      </c>
      <c r="R700" s="2" t="inlineStr"/>
    </row>
    <row r="701" ht="15" customHeight="1">
      <c r="A701" t="inlineStr">
        <is>
          <t>A 55401-2020</t>
        </is>
      </c>
      <c r="B701" s="1" t="n">
        <v>44131</v>
      </c>
      <c r="C701" s="1" t="n">
        <v>45265</v>
      </c>
      <c r="D701" t="inlineStr">
        <is>
          <t>VÄRMLANDS LÄN</t>
        </is>
      </c>
      <c r="E701" t="inlineStr">
        <is>
          <t>TORSBY</t>
        </is>
      </c>
      <c r="G701" t="n">
        <v>1.9</v>
      </c>
      <c r="H701" t="n">
        <v>0</v>
      </c>
      <c r="I701" t="n">
        <v>0</v>
      </c>
      <c r="J701" t="n">
        <v>0</v>
      </c>
      <c r="K701" t="n">
        <v>0</v>
      </c>
      <c r="L701" t="n">
        <v>0</v>
      </c>
      <c r="M701" t="n">
        <v>0</v>
      </c>
      <c r="N701" t="n">
        <v>0</v>
      </c>
      <c r="O701" t="n">
        <v>0</v>
      </c>
      <c r="P701" t="n">
        <v>0</v>
      </c>
      <c r="Q701" t="n">
        <v>0</v>
      </c>
      <c r="R701" s="2" t="inlineStr"/>
    </row>
    <row r="702" ht="15" customHeight="1">
      <c r="A702" t="inlineStr">
        <is>
          <t>A 56979-2020</t>
        </is>
      </c>
      <c r="B702" s="1" t="n">
        <v>44138</v>
      </c>
      <c r="C702" s="1" t="n">
        <v>45265</v>
      </c>
      <c r="D702" t="inlineStr">
        <is>
          <t>VÄRMLANDS LÄN</t>
        </is>
      </c>
      <c r="E702" t="inlineStr">
        <is>
          <t>TORSBY</t>
        </is>
      </c>
      <c r="G702" t="n">
        <v>3.2</v>
      </c>
      <c r="H702" t="n">
        <v>0</v>
      </c>
      <c r="I702" t="n">
        <v>0</v>
      </c>
      <c r="J702" t="n">
        <v>0</v>
      </c>
      <c r="K702" t="n">
        <v>0</v>
      </c>
      <c r="L702" t="n">
        <v>0</v>
      </c>
      <c r="M702" t="n">
        <v>0</v>
      </c>
      <c r="N702" t="n">
        <v>0</v>
      </c>
      <c r="O702" t="n">
        <v>0</v>
      </c>
      <c r="P702" t="n">
        <v>0</v>
      </c>
      <c r="Q702" t="n">
        <v>0</v>
      </c>
      <c r="R702" s="2" t="inlineStr"/>
    </row>
    <row r="703" ht="15" customHeight="1">
      <c r="A703" t="inlineStr">
        <is>
          <t>A 57119-2020</t>
        </is>
      </c>
      <c r="B703" s="1" t="n">
        <v>44139</v>
      </c>
      <c r="C703" s="1" t="n">
        <v>45265</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57896-2020</t>
        </is>
      </c>
      <c r="B704" s="1" t="n">
        <v>44141</v>
      </c>
      <c r="C704" s="1" t="n">
        <v>45265</v>
      </c>
      <c r="D704" t="inlineStr">
        <is>
          <t>VÄRMLANDS LÄN</t>
        </is>
      </c>
      <c r="E704" t="inlineStr">
        <is>
          <t>TORSBY</t>
        </is>
      </c>
      <c r="F704" t="inlineStr">
        <is>
          <t>Bergvik skog väst AB</t>
        </is>
      </c>
      <c r="G704" t="n">
        <v>5.2</v>
      </c>
      <c r="H704" t="n">
        <v>0</v>
      </c>
      <c r="I704" t="n">
        <v>0</v>
      </c>
      <c r="J704" t="n">
        <v>0</v>
      </c>
      <c r="K704" t="n">
        <v>0</v>
      </c>
      <c r="L704" t="n">
        <v>0</v>
      </c>
      <c r="M704" t="n">
        <v>0</v>
      </c>
      <c r="N704" t="n">
        <v>0</v>
      </c>
      <c r="O704" t="n">
        <v>0</v>
      </c>
      <c r="P704" t="n">
        <v>0</v>
      </c>
      <c r="Q704" t="n">
        <v>0</v>
      </c>
      <c r="R704" s="2" t="inlineStr"/>
    </row>
    <row r="705" ht="15" customHeight="1">
      <c r="A705" t="inlineStr">
        <is>
          <t>A 57980-2020</t>
        </is>
      </c>
      <c r="B705" s="1" t="n">
        <v>44143</v>
      </c>
      <c r="C705" s="1" t="n">
        <v>45265</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58078-2020</t>
        </is>
      </c>
      <c r="B706" s="1" t="n">
        <v>44144</v>
      </c>
      <c r="C706" s="1" t="n">
        <v>45265</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58599-2020</t>
        </is>
      </c>
      <c r="B707" s="1" t="n">
        <v>44145</v>
      </c>
      <c r="C707" s="1" t="n">
        <v>45265</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58574-2020</t>
        </is>
      </c>
      <c r="B708" s="1" t="n">
        <v>44145</v>
      </c>
      <c r="C708" s="1" t="n">
        <v>45265</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58643-2020</t>
        </is>
      </c>
      <c r="B709" s="1" t="n">
        <v>44145</v>
      </c>
      <c r="C709" s="1" t="n">
        <v>45265</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58680-2020</t>
        </is>
      </c>
      <c r="B710" s="1" t="n">
        <v>44146</v>
      </c>
      <c r="C710" s="1" t="n">
        <v>45265</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58877-2020</t>
        </is>
      </c>
      <c r="B711" s="1" t="n">
        <v>44146</v>
      </c>
      <c r="C711" s="1" t="n">
        <v>45265</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58930-2020</t>
        </is>
      </c>
      <c r="B712" s="1" t="n">
        <v>44146</v>
      </c>
      <c r="C712" s="1" t="n">
        <v>45265</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59800-2020</t>
        </is>
      </c>
      <c r="B713" s="1" t="n">
        <v>44151</v>
      </c>
      <c r="C713" s="1" t="n">
        <v>45265</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60167-2020</t>
        </is>
      </c>
      <c r="B714" s="1" t="n">
        <v>44152</v>
      </c>
      <c r="C714" s="1" t="n">
        <v>45265</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60533-2020</t>
        </is>
      </c>
      <c r="B715" s="1" t="n">
        <v>44153</v>
      </c>
      <c r="C715" s="1" t="n">
        <v>45265</v>
      </c>
      <c r="D715" t="inlineStr">
        <is>
          <t>VÄRMLANDS LÄN</t>
        </is>
      </c>
      <c r="E715" t="inlineStr">
        <is>
          <t>TORSBY</t>
        </is>
      </c>
      <c r="G715" t="n">
        <v>1.6</v>
      </c>
      <c r="H715" t="n">
        <v>0</v>
      </c>
      <c r="I715" t="n">
        <v>0</v>
      </c>
      <c r="J715" t="n">
        <v>0</v>
      </c>
      <c r="K715" t="n">
        <v>0</v>
      </c>
      <c r="L715" t="n">
        <v>0</v>
      </c>
      <c r="M715" t="n">
        <v>0</v>
      </c>
      <c r="N715" t="n">
        <v>0</v>
      </c>
      <c r="O715" t="n">
        <v>0</v>
      </c>
      <c r="P715" t="n">
        <v>0</v>
      </c>
      <c r="Q715" t="n">
        <v>0</v>
      </c>
      <c r="R715" s="2" t="inlineStr"/>
    </row>
    <row r="716" ht="15" customHeight="1">
      <c r="A716" t="inlineStr">
        <is>
          <t>A 60719-2020</t>
        </is>
      </c>
      <c r="B716" s="1" t="n">
        <v>44153</v>
      </c>
      <c r="C716" s="1" t="n">
        <v>45265</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60823-2020</t>
        </is>
      </c>
      <c r="B717" s="1" t="n">
        <v>44153</v>
      </c>
      <c r="C717" s="1" t="n">
        <v>45265</v>
      </c>
      <c r="D717" t="inlineStr">
        <is>
          <t>VÄRMLANDS LÄN</t>
        </is>
      </c>
      <c r="E717" t="inlineStr">
        <is>
          <t>TORSBY</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60941-2020</t>
        </is>
      </c>
      <c r="B718" s="1" t="n">
        <v>44154</v>
      </c>
      <c r="C718" s="1" t="n">
        <v>45265</v>
      </c>
      <c r="D718" t="inlineStr">
        <is>
          <t>VÄRMLANDS LÄN</t>
        </is>
      </c>
      <c r="E718" t="inlineStr">
        <is>
          <t>TORSBY</t>
        </is>
      </c>
      <c r="G718" t="n">
        <v>4.1</v>
      </c>
      <c r="H718" t="n">
        <v>0</v>
      </c>
      <c r="I718" t="n">
        <v>0</v>
      </c>
      <c r="J718" t="n">
        <v>0</v>
      </c>
      <c r="K718" t="n">
        <v>0</v>
      </c>
      <c r="L718" t="n">
        <v>0</v>
      </c>
      <c r="M718" t="n">
        <v>0</v>
      </c>
      <c r="N718" t="n">
        <v>0</v>
      </c>
      <c r="O718" t="n">
        <v>0</v>
      </c>
      <c r="P718" t="n">
        <v>0</v>
      </c>
      <c r="Q718" t="n">
        <v>0</v>
      </c>
      <c r="R718" s="2" t="inlineStr"/>
    </row>
    <row r="719" ht="15" customHeight="1">
      <c r="A719" t="inlineStr">
        <is>
          <t>A 61009-2020</t>
        </is>
      </c>
      <c r="B719" s="1" t="n">
        <v>44154</v>
      </c>
      <c r="C719" s="1" t="n">
        <v>45265</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61594-2020</t>
        </is>
      </c>
      <c r="B720" s="1" t="n">
        <v>44154</v>
      </c>
      <c r="C720" s="1" t="n">
        <v>45265</v>
      </c>
      <c r="D720" t="inlineStr">
        <is>
          <t>VÄRMLANDS LÄN</t>
        </is>
      </c>
      <c r="E720" t="inlineStr">
        <is>
          <t>TORSBY</t>
        </is>
      </c>
      <c r="G720" t="n">
        <v>6</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45265</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61738-2020</t>
        </is>
      </c>
      <c r="B722" s="1" t="n">
        <v>44158</v>
      </c>
      <c r="C722" s="1" t="n">
        <v>45265</v>
      </c>
      <c r="D722" t="inlineStr">
        <is>
          <t>VÄRMLANDS LÄN</t>
        </is>
      </c>
      <c r="E722" t="inlineStr">
        <is>
          <t>TORSBY</t>
        </is>
      </c>
      <c r="F722" t="inlineStr">
        <is>
          <t>Kommuner</t>
        </is>
      </c>
      <c r="G722" t="n">
        <v>5.8</v>
      </c>
      <c r="H722" t="n">
        <v>0</v>
      </c>
      <c r="I722" t="n">
        <v>0</v>
      </c>
      <c r="J722" t="n">
        <v>0</v>
      </c>
      <c r="K722" t="n">
        <v>0</v>
      </c>
      <c r="L722" t="n">
        <v>0</v>
      </c>
      <c r="M722" t="n">
        <v>0</v>
      </c>
      <c r="N722" t="n">
        <v>0</v>
      </c>
      <c r="O722" t="n">
        <v>0</v>
      </c>
      <c r="P722" t="n">
        <v>0</v>
      </c>
      <c r="Q722" t="n">
        <v>0</v>
      </c>
      <c r="R722" s="2" t="inlineStr"/>
    </row>
    <row r="723" ht="15" customHeight="1">
      <c r="A723" t="inlineStr">
        <is>
          <t>A 61753-2020</t>
        </is>
      </c>
      <c r="B723" s="1" t="n">
        <v>44158</v>
      </c>
      <c r="C723" s="1" t="n">
        <v>45265</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61998-2020</t>
        </is>
      </c>
      <c r="B724" s="1" t="n">
        <v>44158</v>
      </c>
      <c r="C724" s="1" t="n">
        <v>45265</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61910-2020</t>
        </is>
      </c>
      <c r="B725" s="1" t="n">
        <v>44159</v>
      </c>
      <c r="C725" s="1" t="n">
        <v>45265</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61956-2020</t>
        </is>
      </c>
      <c r="B726" s="1" t="n">
        <v>44159</v>
      </c>
      <c r="C726" s="1" t="n">
        <v>45265</v>
      </c>
      <c r="D726" t="inlineStr">
        <is>
          <t>VÄRMLANDS LÄN</t>
        </is>
      </c>
      <c r="E726" t="inlineStr">
        <is>
          <t>TORSBY</t>
        </is>
      </c>
      <c r="F726" t="inlineStr">
        <is>
          <t>Kommuner</t>
        </is>
      </c>
      <c r="G726" t="n">
        <v>7.5</v>
      </c>
      <c r="H726" t="n">
        <v>0</v>
      </c>
      <c r="I726" t="n">
        <v>0</v>
      </c>
      <c r="J726" t="n">
        <v>0</v>
      </c>
      <c r="K726" t="n">
        <v>0</v>
      </c>
      <c r="L726" t="n">
        <v>0</v>
      </c>
      <c r="M726" t="n">
        <v>0</v>
      </c>
      <c r="N726" t="n">
        <v>0</v>
      </c>
      <c r="O726" t="n">
        <v>0</v>
      </c>
      <c r="P726" t="n">
        <v>0</v>
      </c>
      <c r="Q726" t="n">
        <v>0</v>
      </c>
      <c r="R726" s="2" t="inlineStr"/>
    </row>
    <row r="727" ht="15" customHeight="1">
      <c r="A727" t="inlineStr">
        <is>
          <t>A 62209-2020</t>
        </is>
      </c>
      <c r="B727" s="1" t="n">
        <v>44159</v>
      </c>
      <c r="C727" s="1" t="n">
        <v>45265</v>
      </c>
      <c r="D727" t="inlineStr">
        <is>
          <t>VÄRMLANDS LÄN</t>
        </is>
      </c>
      <c r="E727" t="inlineStr">
        <is>
          <t>TORSBY</t>
        </is>
      </c>
      <c r="F727" t="inlineStr">
        <is>
          <t>Kommuner</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62211-2020</t>
        </is>
      </c>
      <c r="B728" s="1" t="n">
        <v>44159</v>
      </c>
      <c r="C728" s="1" t="n">
        <v>45265</v>
      </c>
      <c r="D728" t="inlineStr">
        <is>
          <t>VÄRMLANDS LÄN</t>
        </is>
      </c>
      <c r="E728" t="inlineStr">
        <is>
          <t>TORSBY</t>
        </is>
      </c>
      <c r="F728" t="inlineStr">
        <is>
          <t>Kommuner</t>
        </is>
      </c>
      <c r="G728" t="n">
        <v>3.2</v>
      </c>
      <c r="H728" t="n">
        <v>0</v>
      </c>
      <c r="I728" t="n">
        <v>0</v>
      </c>
      <c r="J728" t="n">
        <v>0</v>
      </c>
      <c r="K728" t="n">
        <v>0</v>
      </c>
      <c r="L728" t="n">
        <v>0</v>
      </c>
      <c r="M728" t="n">
        <v>0</v>
      </c>
      <c r="N728" t="n">
        <v>0</v>
      </c>
      <c r="O728" t="n">
        <v>0</v>
      </c>
      <c r="P728" t="n">
        <v>0</v>
      </c>
      <c r="Q728" t="n">
        <v>0</v>
      </c>
      <c r="R728" s="2" t="inlineStr"/>
    </row>
    <row r="729" ht="15" customHeight="1">
      <c r="A729" t="inlineStr">
        <is>
          <t>A 62915-2020</t>
        </is>
      </c>
      <c r="B729" s="1" t="n">
        <v>44162</v>
      </c>
      <c r="C729" s="1" t="n">
        <v>45265</v>
      </c>
      <c r="D729" t="inlineStr">
        <is>
          <t>VÄRMLANDS LÄN</t>
        </is>
      </c>
      <c r="E729" t="inlineStr">
        <is>
          <t>TORSBY</t>
        </is>
      </c>
      <c r="G729" t="n">
        <v>4.6</v>
      </c>
      <c r="H729" t="n">
        <v>0</v>
      </c>
      <c r="I729" t="n">
        <v>0</v>
      </c>
      <c r="J729" t="n">
        <v>0</v>
      </c>
      <c r="K729" t="n">
        <v>0</v>
      </c>
      <c r="L729" t="n">
        <v>0</v>
      </c>
      <c r="M729" t="n">
        <v>0</v>
      </c>
      <c r="N729" t="n">
        <v>0</v>
      </c>
      <c r="O729" t="n">
        <v>0</v>
      </c>
      <c r="P729" t="n">
        <v>0</v>
      </c>
      <c r="Q729" t="n">
        <v>0</v>
      </c>
      <c r="R729" s="2" t="inlineStr"/>
    </row>
    <row r="730" ht="15" customHeight="1">
      <c r="A730" t="inlineStr">
        <is>
          <t>A 63565-2020</t>
        </is>
      </c>
      <c r="B730" s="1" t="n">
        <v>44165</v>
      </c>
      <c r="C730" s="1" t="n">
        <v>45265</v>
      </c>
      <c r="D730" t="inlineStr">
        <is>
          <t>VÄRMLANDS LÄN</t>
        </is>
      </c>
      <c r="E730" t="inlineStr">
        <is>
          <t>TORSBY</t>
        </is>
      </c>
      <c r="G730" t="n">
        <v>10.3</v>
      </c>
      <c r="H730" t="n">
        <v>0</v>
      </c>
      <c r="I730" t="n">
        <v>0</v>
      </c>
      <c r="J730" t="n">
        <v>0</v>
      </c>
      <c r="K730" t="n">
        <v>0</v>
      </c>
      <c r="L730" t="n">
        <v>0</v>
      </c>
      <c r="M730" t="n">
        <v>0</v>
      </c>
      <c r="N730" t="n">
        <v>0</v>
      </c>
      <c r="O730" t="n">
        <v>0</v>
      </c>
      <c r="P730" t="n">
        <v>0</v>
      </c>
      <c r="Q730" t="n">
        <v>0</v>
      </c>
      <c r="R730" s="2" t="inlineStr"/>
    </row>
    <row r="731" ht="15" customHeight="1">
      <c r="A731" t="inlineStr">
        <is>
          <t>A 64396-2020</t>
        </is>
      </c>
      <c r="B731" s="1" t="n">
        <v>44168</v>
      </c>
      <c r="C731" s="1" t="n">
        <v>45265</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64434-2020</t>
        </is>
      </c>
      <c r="B732" s="1" t="n">
        <v>44168</v>
      </c>
      <c r="C732" s="1" t="n">
        <v>45265</v>
      </c>
      <c r="D732" t="inlineStr">
        <is>
          <t>VÄRMLANDS LÄN</t>
        </is>
      </c>
      <c r="E732" t="inlineStr">
        <is>
          <t>TORSBY</t>
        </is>
      </c>
      <c r="G732" t="n">
        <v>7.7</v>
      </c>
      <c r="H732" t="n">
        <v>0</v>
      </c>
      <c r="I732" t="n">
        <v>0</v>
      </c>
      <c r="J732" t="n">
        <v>0</v>
      </c>
      <c r="K732" t="n">
        <v>0</v>
      </c>
      <c r="L732" t="n">
        <v>0</v>
      </c>
      <c r="M732" t="n">
        <v>0</v>
      </c>
      <c r="N732" t="n">
        <v>0</v>
      </c>
      <c r="O732" t="n">
        <v>0</v>
      </c>
      <c r="P732" t="n">
        <v>0</v>
      </c>
      <c r="Q732" t="n">
        <v>0</v>
      </c>
      <c r="R732" s="2" t="inlineStr"/>
    </row>
    <row r="733" ht="15" customHeight="1">
      <c r="A733" t="inlineStr">
        <is>
          <t>A 65369-2020</t>
        </is>
      </c>
      <c r="B733" s="1" t="n">
        <v>44169</v>
      </c>
      <c r="C733" s="1" t="n">
        <v>45265</v>
      </c>
      <c r="D733" t="inlineStr">
        <is>
          <t>VÄRMLANDS LÄN</t>
        </is>
      </c>
      <c r="E733" t="inlineStr">
        <is>
          <t>TORSBY</t>
        </is>
      </c>
      <c r="G733" t="n">
        <v>32.5</v>
      </c>
      <c r="H733" t="n">
        <v>0</v>
      </c>
      <c r="I733" t="n">
        <v>0</v>
      </c>
      <c r="J733" t="n">
        <v>0</v>
      </c>
      <c r="K733" t="n">
        <v>0</v>
      </c>
      <c r="L733" t="n">
        <v>0</v>
      </c>
      <c r="M733" t="n">
        <v>0</v>
      </c>
      <c r="N733" t="n">
        <v>0</v>
      </c>
      <c r="O733" t="n">
        <v>0</v>
      </c>
      <c r="P733" t="n">
        <v>0</v>
      </c>
      <c r="Q733" t="n">
        <v>0</v>
      </c>
      <c r="R733" s="2" t="inlineStr"/>
    </row>
    <row r="734" ht="15" customHeight="1">
      <c r="A734" t="inlineStr">
        <is>
          <t>A 65482-2020</t>
        </is>
      </c>
      <c r="B734" s="1" t="n">
        <v>44169</v>
      </c>
      <c r="C734" s="1" t="n">
        <v>45265</v>
      </c>
      <c r="D734" t="inlineStr">
        <is>
          <t>VÄRMLANDS LÄN</t>
        </is>
      </c>
      <c r="E734" t="inlineStr">
        <is>
          <t>TORSBY</t>
        </is>
      </c>
      <c r="F734" t="inlineStr">
        <is>
          <t>Kyrkan</t>
        </is>
      </c>
      <c r="G734" t="n">
        <v>21.6</v>
      </c>
      <c r="H734" t="n">
        <v>0</v>
      </c>
      <c r="I734" t="n">
        <v>0</v>
      </c>
      <c r="J734" t="n">
        <v>0</v>
      </c>
      <c r="K734" t="n">
        <v>0</v>
      </c>
      <c r="L734" t="n">
        <v>0</v>
      </c>
      <c r="M734" t="n">
        <v>0</v>
      </c>
      <c r="N734" t="n">
        <v>0</v>
      </c>
      <c r="O734" t="n">
        <v>0</v>
      </c>
      <c r="P734" t="n">
        <v>0</v>
      </c>
      <c r="Q734" t="n">
        <v>0</v>
      </c>
      <c r="R734" s="2" t="inlineStr"/>
    </row>
    <row r="735" ht="15" customHeight="1">
      <c r="A735" t="inlineStr">
        <is>
          <t>A 65398-2020</t>
        </is>
      </c>
      <c r="B735" s="1" t="n">
        <v>44169</v>
      </c>
      <c r="C735" s="1" t="n">
        <v>45265</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65678-2020</t>
        </is>
      </c>
      <c r="B736" s="1" t="n">
        <v>44172</v>
      </c>
      <c r="C736" s="1" t="n">
        <v>45265</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65827-2020</t>
        </is>
      </c>
      <c r="B737" s="1" t="n">
        <v>44173</v>
      </c>
      <c r="C737" s="1" t="n">
        <v>45265</v>
      </c>
      <c r="D737" t="inlineStr">
        <is>
          <t>VÄRMLANDS LÄN</t>
        </is>
      </c>
      <c r="E737" t="inlineStr">
        <is>
          <t>TORSBY</t>
        </is>
      </c>
      <c r="G737" t="n">
        <v>6.7</v>
      </c>
      <c r="H737" t="n">
        <v>0</v>
      </c>
      <c r="I737" t="n">
        <v>0</v>
      </c>
      <c r="J737" t="n">
        <v>0</v>
      </c>
      <c r="K737" t="n">
        <v>0</v>
      </c>
      <c r="L737" t="n">
        <v>0</v>
      </c>
      <c r="M737" t="n">
        <v>0</v>
      </c>
      <c r="N737" t="n">
        <v>0</v>
      </c>
      <c r="O737" t="n">
        <v>0</v>
      </c>
      <c r="P737" t="n">
        <v>0</v>
      </c>
      <c r="Q737" t="n">
        <v>0</v>
      </c>
      <c r="R737" s="2" t="inlineStr"/>
    </row>
    <row r="738" ht="15" customHeight="1">
      <c r="A738" t="inlineStr">
        <is>
          <t>A 66703-2020</t>
        </is>
      </c>
      <c r="B738" s="1" t="n">
        <v>44174</v>
      </c>
      <c r="C738" s="1" t="n">
        <v>45265</v>
      </c>
      <c r="D738" t="inlineStr">
        <is>
          <t>VÄRMLANDS LÄN</t>
        </is>
      </c>
      <c r="E738" t="inlineStr">
        <is>
          <t>TORSBY</t>
        </is>
      </c>
      <c r="G738" t="n">
        <v>6.3</v>
      </c>
      <c r="H738" t="n">
        <v>0</v>
      </c>
      <c r="I738" t="n">
        <v>0</v>
      </c>
      <c r="J738" t="n">
        <v>0</v>
      </c>
      <c r="K738" t="n">
        <v>0</v>
      </c>
      <c r="L738" t="n">
        <v>0</v>
      </c>
      <c r="M738" t="n">
        <v>0</v>
      </c>
      <c r="N738" t="n">
        <v>0</v>
      </c>
      <c r="O738" t="n">
        <v>0</v>
      </c>
      <c r="P738" t="n">
        <v>0</v>
      </c>
      <c r="Q738" t="n">
        <v>0</v>
      </c>
      <c r="R738" s="2" t="inlineStr"/>
    </row>
    <row r="739" ht="15" customHeight="1">
      <c r="A739" t="inlineStr">
        <is>
          <t>A 66194-2020</t>
        </is>
      </c>
      <c r="B739" s="1" t="n">
        <v>44175</v>
      </c>
      <c r="C739" s="1" t="n">
        <v>45265</v>
      </c>
      <c r="D739" t="inlineStr">
        <is>
          <t>VÄRMLANDS LÄN</t>
        </is>
      </c>
      <c r="E739" t="inlineStr">
        <is>
          <t>TORSBY</t>
        </is>
      </c>
      <c r="F739" t="inlineStr">
        <is>
          <t>Bergvik skog väst AB</t>
        </is>
      </c>
      <c r="G739" t="n">
        <v>18.4</v>
      </c>
      <c r="H739" t="n">
        <v>0</v>
      </c>
      <c r="I739" t="n">
        <v>0</v>
      </c>
      <c r="J739" t="n">
        <v>0</v>
      </c>
      <c r="K739" t="n">
        <v>0</v>
      </c>
      <c r="L739" t="n">
        <v>0</v>
      </c>
      <c r="M739" t="n">
        <v>0</v>
      </c>
      <c r="N739" t="n">
        <v>0</v>
      </c>
      <c r="O739" t="n">
        <v>0</v>
      </c>
      <c r="P739" t="n">
        <v>0</v>
      </c>
      <c r="Q739" t="n">
        <v>0</v>
      </c>
      <c r="R739" s="2" t="inlineStr"/>
    </row>
    <row r="740" ht="15" customHeight="1">
      <c r="A740" t="inlineStr">
        <is>
          <t>A 66326-2020</t>
        </is>
      </c>
      <c r="B740" s="1" t="n">
        <v>44176</v>
      </c>
      <c r="C740" s="1" t="n">
        <v>45265</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67084-2020</t>
        </is>
      </c>
      <c r="B741" s="1" t="n">
        <v>44179</v>
      </c>
      <c r="C741" s="1" t="n">
        <v>45265</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67547-2020</t>
        </is>
      </c>
      <c r="B742" s="1" t="n">
        <v>44181</v>
      </c>
      <c r="C742" s="1" t="n">
        <v>45265</v>
      </c>
      <c r="D742" t="inlineStr">
        <is>
          <t>VÄRMLANDS LÄN</t>
        </is>
      </c>
      <c r="E742" t="inlineStr">
        <is>
          <t>TORSBY</t>
        </is>
      </c>
      <c r="G742" t="n">
        <v>3</v>
      </c>
      <c r="H742" t="n">
        <v>0</v>
      </c>
      <c r="I742" t="n">
        <v>0</v>
      </c>
      <c r="J742" t="n">
        <v>0</v>
      </c>
      <c r="K742" t="n">
        <v>0</v>
      </c>
      <c r="L742" t="n">
        <v>0</v>
      </c>
      <c r="M742" t="n">
        <v>0</v>
      </c>
      <c r="N742" t="n">
        <v>0</v>
      </c>
      <c r="O742" t="n">
        <v>0</v>
      </c>
      <c r="P742" t="n">
        <v>0</v>
      </c>
      <c r="Q742" t="n">
        <v>0</v>
      </c>
      <c r="R742" s="2" t="inlineStr"/>
    </row>
    <row r="743" ht="15" customHeight="1">
      <c r="A743" t="inlineStr">
        <is>
          <t>A 67464-2020</t>
        </is>
      </c>
      <c r="B743" s="1" t="n">
        <v>44181</v>
      </c>
      <c r="C743" s="1" t="n">
        <v>45265</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67734-2020</t>
        </is>
      </c>
      <c r="B744" s="1" t="n">
        <v>44182</v>
      </c>
      <c r="C744" s="1" t="n">
        <v>45265</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68220-2020</t>
        </is>
      </c>
      <c r="B745" s="1" t="n">
        <v>44183</v>
      </c>
      <c r="C745" s="1" t="n">
        <v>45265</v>
      </c>
      <c r="D745" t="inlineStr">
        <is>
          <t>VÄRMLANDS LÄN</t>
        </is>
      </c>
      <c r="E745" t="inlineStr">
        <is>
          <t>TORSBY</t>
        </is>
      </c>
      <c r="G745" t="n">
        <v>1.4</v>
      </c>
      <c r="H745" t="n">
        <v>0</v>
      </c>
      <c r="I745" t="n">
        <v>0</v>
      </c>
      <c r="J745" t="n">
        <v>0</v>
      </c>
      <c r="K745" t="n">
        <v>0</v>
      </c>
      <c r="L745" t="n">
        <v>0</v>
      </c>
      <c r="M745" t="n">
        <v>0</v>
      </c>
      <c r="N745" t="n">
        <v>0</v>
      </c>
      <c r="O745" t="n">
        <v>0</v>
      </c>
      <c r="P745" t="n">
        <v>0</v>
      </c>
      <c r="Q745" t="n">
        <v>0</v>
      </c>
      <c r="R745" s="2" t="inlineStr"/>
    </row>
    <row r="746" ht="15" customHeight="1">
      <c r="A746" t="inlineStr">
        <is>
          <t>A 68238-2020</t>
        </is>
      </c>
      <c r="B746" s="1" t="n">
        <v>44183</v>
      </c>
      <c r="C746" s="1" t="n">
        <v>45265</v>
      </c>
      <c r="D746" t="inlineStr">
        <is>
          <t>VÄRMLANDS LÄN</t>
        </is>
      </c>
      <c r="E746" t="inlineStr">
        <is>
          <t>TORSBY</t>
        </is>
      </c>
      <c r="F746" t="inlineStr">
        <is>
          <t>Bergvik skog väst AB</t>
        </is>
      </c>
      <c r="G746" t="n">
        <v>6.7</v>
      </c>
      <c r="H746" t="n">
        <v>0</v>
      </c>
      <c r="I746" t="n">
        <v>0</v>
      </c>
      <c r="J746" t="n">
        <v>0</v>
      </c>
      <c r="K746" t="n">
        <v>0</v>
      </c>
      <c r="L746" t="n">
        <v>0</v>
      </c>
      <c r="M746" t="n">
        <v>0</v>
      </c>
      <c r="N746" t="n">
        <v>0</v>
      </c>
      <c r="O746" t="n">
        <v>0</v>
      </c>
      <c r="P746" t="n">
        <v>0</v>
      </c>
      <c r="Q746" t="n">
        <v>0</v>
      </c>
      <c r="R746" s="2" t="inlineStr"/>
    </row>
    <row r="747" ht="15" customHeight="1">
      <c r="A747" t="inlineStr">
        <is>
          <t>A 68246-2020</t>
        </is>
      </c>
      <c r="B747" s="1" t="n">
        <v>44183</v>
      </c>
      <c r="C747" s="1" t="n">
        <v>45265</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68603-2020</t>
        </is>
      </c>
      <c r="B748" s="1" t="n">
        <v>44186</v>
      </c>
      <c r="C748" s="1" t="n">
        <v>45265</v>
      </c>
      <c r="D748" t="inlineStr">
        <is>
          <t>VÄRMLANDS LÄN</t>
        </is>
      </c>
      <c r="E748" t="inlineStr">
        <is>
          <t>TORSBY</t>
        </is>
      </c>
      <c r="G748" t="n">
        <v>11.2</v>
      </c>
      <c r="H748" t="n">
        <v>0</v>
      </c>
      <c r="I748" t="n">
        <v>0</v>
      </c>
      <c r="J748" t="n">
        <v>0</v>
      </c>
      <c r="K748" t="n">
        <v>0</v>
      </c>
      <c r="L748" t="n">
        <v>0</v>
      </c>
      <c r="M748" t="n">
        <v>0</v>
      </c>
      <c r="N748" t="n">
        <v>0</v>
      </c>
      <c r="O748" t="n">
        <v>0</v>
      </c>
      <c r="P748" t="n">
        <v>0</v>
      </c>
      <c r="Q748" t="n">
        <v>0</v>
      </c>
      <c r="R748" s="2" t="inlineStr"/>
    </row>
    <row r="749" ht="15" customHeight="1">
      <c r="A749" t="inlineStr">
        <is>
          <t>A 69245-2020</t>
        </is>
      </c>
      <c r="B749" s="1" t="n">
        <v>44192</v>
      </c>
      <c r="C749" s="1" t="n">
        <v>45265</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69250-2020</t>
        </is>
      </c>
      <c r="B750" s="1" t="n">
        <v>44192</v>
      </c>
      <c r="C750" s="1" t="n">
        <v>45265</v>
      </c>
      <c r="D750" t="inlineStr">
        <is>
          <t>VÄRMLANDS LÄN</t>
        </is>
      </c>
      <c r="E750" t="inlineStr">
        <is>
          <t>TORSBY</t>
        </is>
      </c>
      <c r="G750" t="n">
        <v>2.7</v>
      </c>
      <c r="H750" t="n">
        <v>0</v>
      </c>
      <c r="I750" t="n">
        <v>0</v>
      </c>
      <c r="J750" t="n">
        <v>0</v>
      </c>
      <c r="K750" t="n">
        <v>0</v>
      </c>
      <c r="L750" t="n">
        <v>0</v>
      </c>
      <c r="M750" t="n">
        <v>0</v>
      </c>
      <c r="N750" t="n">
        <v>0</v>
      </c>
      <c r="O750" t="n">
        <v>0</v>
      </c>
      <c r="P750" t="n">
        <v>0</v>
      </c>
      <c r="Q750" t="n">
        <v>0</v>
      </c>
      <c r="R750" s="2" t="inlineStr"/>
    </row>
    <row r="751" ht="15" customHeight="1">
      <c r="A751" t="inlineStr">
        <is>
          <t>A 69242-2020</t>
        </is>
      </c>
      <c r="B751" s="1" t="n">
        <v>44192</v>
      </c>
      <c r="C751" s="1" t="n">
        <v>45265</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69247-2020</t>
        </is>
      </c>
      <c r="B752" s="1" t="n">
        <v>44192</v>
      </c>
      <c r="C752" s="1" t="n">
        <v>45265</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69244-2020</t>
        </is>
      </c>
      <c r="B753" s="1" t="n">
        <v>44192</v>
      </c>
      <c r="C753" s="1" t="n">
        <v>45265</v>
      </c>
      <c r="D753" t="inlineStr">
        <is>
          <t>VÄRMLANDS LÄN</t>
        </is>
      </c>
      <c r="E753" t="inlineStr">
        <is>
          <t>TORSBY</t>
        </is>
      </c>
      <c r="G753" t="n">
        <v>2.6</v>
      </c>
      <c r="H753" t="n">
        <v>0</v>
      </c>
      <c r="I753" t="n">
        <v>0</v>
      </c>
      <c r="J753" t="n">
        <v>0</v>
      </c>
      <c r="K753" t="n">
        <v>0</v>
      </c>
      <c r="L753" t="n">
        <v>0</v>
      </c>
      <c r="M753" t="n">
        <v>0</v>
      </c>
      <c r="N753" t="n">
        <v>0</v>
      </c>
      <c r="O753" t="n">
        <v>0</v>
      </c>
      <c r="P753" t="n">
        <v>0</v>
      </c>
      <c r="Q753" t="n">
        <v>0</v>
      </c>
      <c r="R753" s="2" t="inlineStr"/>
    </row>
    <row r="754" ht="15" customHeight="1">
      <c r="A754" t="inlineStr">
        <is>
          <t>A 69248-2020</t>
        </is>
      </c>
      <c r="B754" s="1" t="n">
        <v>44192</v>
      </c>
      <c r="C754" s="1" t="n">
        <v>45265</v>
      </c>
      <c r="D754" t="inlineStr">
        <is>
          <t>VÄRMLANDS LÄN</t>
        </is>
      </c>
      <c r="E754" t="inlineStr">
        <is>
          <t>TORSBY</t>
        </is>
      </c>
      <c r="G754" t="n">
        <v>0.4</v>
      </c>
      <c r="H754" t="n">
        <v>0</v>
      </c>
      <c r="I754" t="n">
        <v>0</v>
      </c>
      <c r="J754" t="n">
        <v>0</v>
      </c>
      <c r="K754" t="n">
        <v>0</v>
      </c>
      <c r="L754" t="n">
        <v>0</v>
      </c>
      <c r="M754" t="n">
        <v>0</v>
      </c>
      <c r="N754" t="n">
        <v>0</v>
      </c>
      <c r="O754" t="n">
        <v>0</v>
      </c>
      <c r="P754" t="n">
        <v>0</v>
      </c>
      <c r="Q754" t="n">
        <v>0</v>
      </c>
      <c r="R754" s="2" t="inlineStr"/>
    </row>
    <row r="755" ht="15" customHeight="1">
      <c r="A755" t="inlineStr">
        <is>
          <t>A 69241-2020</t>
        </is>
      </c>
      <c r="B755" s="1" t="n">
        <v>44192</v>
      </c>
      <c r="C755" s="1" t="n">
        <v>45265</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69246-2020</t>
        </is>
      </c>
      <c r="B756" s="1" t="n">
        <v>44192</v>
      </c>
      <c r="C756" s="1" t="n">
        <v>45265</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69434-2020</t>
        </is>
      </c>
      <c r="B757" s="1" t="n">
        <v>44194</v>
      </c>
      <c r="C757" s="1" t="n">
        <v>45265</v>
      </c>
      <c r="D757" t="inlineStr">
        <is>
          <t>VÄRMLANDS LÄN</t>
        </is>
      </c>
      <c r="E757" t="inlineStr">
        <is>
          <t>TORSBY</t>
        </is>
      </c>
      <c r="G757" t="n">
        <v>6.3</v>
      </c>
      <c r="H757" t="n">
        <v>0</v>
      </c>
      <c r="I757" t="n">
        <v>0</v>
      </c>
      <c r="J757" t="n">
        <v>0</v>
      </c>
      <c r="K757" t="n">
        <v>0</v>
      </c>
      <c r="L757" t="n">
        <v>0</v>
      </c>
      <c r="M757" t="n">
        <v>0</v>
      </c>
      <c r="N757" t="n">
        <v>0</v>
      </c>
      <c r="O757" t="n">
        <v>0</v>
      </c>
      <c r="P757" t="n">
        <v>0</v>
      </c>
      <c r="Q757" t="n">
        <v>0</v>
      </c>
      <c r="R757" s="2" t="inlineStr"/>
    </row>
    <row r="758" ht="15" customHeight="1">
      <c r="A758" t="inlineStr">
        <is>
          <t>A 69448-2020</t>
        </is>
      </c>
      <c r="B758" s="1" t="n">
        <v>44194</v>
      </c>
      <c r="C758" s="1" t="n">
        <v>45265</v>
      </c>
      <c r="D758" t="inlineStr">
        <is>
          <t>VÄRMLANDS LÄN</t>
        </is>
      </c>
      <c r="E758" t="inlineStr">
        <is>
          <t>TORSBY</t>
        </is>
      </c>
      <c r="G758" t="n">
        <v>4.8</v>
      </c>
      <c r="H758" t="n">
        <v>0</v>
      </c>
      <c r="I758" t="n">
        <v>0</v>
      </c>
      <c r="J758" t="n">
        <v>0</v>
      </c>
      <c r="K758" t="n">
        <v>0</v>
      </c>
      <c r="L758" t="n">
        <v>0</v>
      </c>
      <c r="M758" t="n">
        <v>0</v>
      </c>
      <c r="N758" t="n">
        <v>0</v>
      </c>
      <c r="O758" t="n">
        <v>0</v>
      </c>
      <c r="P758" t="n">
        <v>0</v>
      </c>
      <c r="Q758" t="n">
        <v>0</v>
      </c>
      <c r="R758" s="2" t="inlineStr"/>
    </row>
    <row r="759" ht="15" customHeight="1">
      <c r="A759" t="inlineStr">
        <is>
          <t>A 69628-2020</t>
        </is>
      </c>
      <c r="B759" s="1" t="n">
        <v>44195</v>
      </c>
      <c r="C759" s="1" t="n">
        <v>45265</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45265</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1516-2021</t>
        </is>
      </c>
      <c r="B761" s="1" t="n">
        <v>44209</v>
      </c>
      <c r="C761" s="1" t="n">
        <v>45265</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1526-2021</t>
        </is>
      </c>
      <c r="B762" s="1" t="n">
        <v>44209</v>
      </c>
      <c r="C762" s="1" t="n">
        <v>45265</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1535-2021</t>
        </is>
      </c>
      <c r="B763" s="1" t="n">
        <v>44209</v>
      </c>
      <c r="C763" s="1" t="n">
        <v>45265</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1544-2021</t>
        </is>
      </c>
      <c r="B764" s="1" t="n">
        <v>44209</v>
      </c>
      <c r="C764" s="1" t="n">
        <v>45265</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2321-2021</t>
        </is>
      </c>
      <c r="B765" s="1" t="n">
        <v>44214</v>
      </c>
      <c r="C765" s="1" t="n">
        <v>45265</v>
      </c>
      <c r="D765" t="inlineStr">
        <is>
          <t>VÄRMLANDS LÄN</t>
        </is>
      </c>
      <c r="E765" t="inlineStr">
        <is>
          <t>TORSBY</t>
        </is>
      </c>
      <c r="G765" t="n">
        <v>4.8</v>
      </c>
      <c r="H765" t="n">
        <v>0</v>
      </c>
      <c r="I765" t="n">
        <v>0</v>
      </c>
      <c r="J765" t="n">
        <v>0</v>
      </c>
      <c r="K765" t="n">
        <v>0</v>
      </c>
      <c r="L765" t="n">
        <v>0</v>
      </c>
      <c r="M765" t="n">
        <v>0</v>
      </c>
      <c r="N765" t="n">
        <v>0</v>
      </c>
      <c r="O765" t="n">
        <v>0</v>
      </c>
      <c r="P765" t="n">
        <v>0</v>
      </c>
      <c r="Q765" t="n">
        <v>0</v>
      </c>
      <c r="R765" s="2" t="inlineStr"/>
    </row>
    <row r="766" ht="15" customHeight="1">
      <c r="A766" t="inlineStr">
        <is>
          <t>A 2576-2021</t>
        </is>
      </c>
      <c r="B766" s="1" t="n">
        <v>44214</v>
      </c>
      <c r="C766" s="1" t="n">
        <v>45265</v>
      </c>
      <c r="D766" t="inlineStr">
        <is>
          <t>VÄRMLANDS LÄN</t>
        </is>
      </c>
      <c r="E766" t="inlineStr">
        <is>
          <t>TORSBY</t>
        </is>
      </c>
      <c r="F766" t="inlineStr">
        <is>
          <t>Kommuner</t>
        </is>
      </c>
      <c r="G766" t="n">
        <v>0.6</v>
      </c>
      <c r="H766" t="n">
        <v>0</v>
      </c>
      <c r="I766" t="n">
        <v>0</v>
      </c>
      <c r="J766" t="n">
        <v>0</v>
      </c>
      <c r="K766" t="n">
        <v>0</v>
      </c>
      <c r="L766" t="n">
        <v>0</v>
      </c>
      <c r="M766" t="n">
        <v>0</v>
      </c>
      <c r="N766" t="n">
        <v>0</v>
      </c>
      <c r="O766" t="n">
        <v>0</v>
      </c>
      <c r="P766" t="n">
        <v>0</v>
      </c>
      <c r="Q766" t="n">
        <v>0</v>
      </c>
      <c r="R766" s="2" t="inlineStr"/>
    </row>
    <row r="767" ht="15" customHeight="1">
      <c r="A767" t="inlineStr">
        <is>
          <t>A 2758-2021</t>
        </is>
      </c>
      <c r="B767" s="1" t="n">
        <v>44215</v>
      </c>
      <c r="C767" s="1" t="n">
        <v>45265</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3160-2021</t>
        </is>
      </c>
      <c r="B768" s="1" t="n">
        <v>44217</v>
      </c>
      <c r="C768" s="1" t="n">
        <v>45265</v>
      </c>
      <c r="D768" t="inlineStr">
        <is>
          <t>VÄRMLANDS LÄN</t>
        </is>
      </c>
      <c r="E768" t="inlineStr">
        <is>
          <t>TORSBY</t>
        </is>
      </c>
      <c r="G768" t="n">
        <v>4.4</v>
      </c>
      <c r="H768" t="n">
        <v>0</v>
      </c>
      <c r="I768" t="n">
        <v>0</v>
      </c>
      <c r="J768" t="n">
        <v>0</v>
      </c>
      <c r="K768" t="n">
        <v>0</v>
      </c>
      <c r="L768" t="n">
        <v>0</v>
      </c>
      <c r="M768" t="n">
        <v>0</v>
      </c>
      <c r="N768" t="n">
        <v>0</v>
      </c>
      <c r="O768" t="n">
        <v>0</v>
      </c>
      <c r="P768" t="n">
        <v>0</v>
      </c>
      <c r="Q768" t="n">
        <v>0</v>
      </c>
      <c r="R768" s="2" t="inlineStr"/>
    </row>
    <row r="769" ht="15" customHeight="1">
      <c r="A769" t="inlineStr">
        <is>
          <t>A 3336-2021</t>
        </is>
      </c>
      <c r="B769" s="1" t="n">
        <v>44217</v>
      </c>
      <c r="C769" s="1" t="n">
        <v>45265</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4392-2021</t>
        </is>
      </c>
      <c r="B770" s="1" t="n">
        <v>44223</v>
      </c>
      <c r="C770" s="1" t="n">
        <v>45265</v>
      </c>
      <c r="D770" t="inlineStr">
        <is>
          <t>VÄRMLANDS LÄN</t>
        </is>
      </c>
      <c r="E770" t="inlineStr">
        <is>
          <t>TORSBY</t>
        </is>
      </c>
      <c r="G770" t="n">
        <v>3.8</v>
      </c>
      <c r="H770" t="n">
        <v>0</v>
      </c>
      <c r="I770" t="n">
        <v>0</v>
      </c>
      <c r="J770" t="n">
        <v>0</v>
      </c>
      <c r="K770" t="n">
        <v>0</v>
      </c>
      <c r="L770" t="n">
        <v>0</v>
      </c>
      <c r="M770" t="n">
        <v>0</v>
      </c>
      <c r="N770" t="n">
        <v>0</v>
      </c>
      <c r="O770" t="n">
        <v>0</v>
      </c>
      <c r="P770" t="n">
        <v>0</v>
      </c>
      <c r="Q770" t="n">
        <v>0</v>
      </c>
      <c r="R770" s="2" t="inlineStr"/>
    </row>
    <row r="771" ht="15" customHeight="1">
      <c r="A771" t="inlineStr">
        <is>
          <t>A 4558-2021</t>
        </is>
      </c>
      <c r="B771" s="1" t="n">
        <v>44223</v>
      </c>
      <c r="C771" s="1" t="n">
        <v>45265</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4393-2021</t>
        </is>
      </c>
      <c r="B772" s="1" t="n">
        <v>44223</v>
      </c>
      <c r="C772" s="1" t="n">
        <v>45265</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4564-2021</t>
        </is>
      </c>
      <c r="B773" s="1" t="n">
        <v>44223</v>
      </c>
      <c r="C773" s="1" t="n">
        <v>45265</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4479-2021</t>
        </is>
      </c>
      <c r="B774" s="1" t="n">
        <v>44224</v>
      </c>
      <c r="C774" s="1" t="n">
        <v>45265</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4711-2021</t>
        </is>
      </c>
      <c r="B775" s="1" t="n">
        <v>44225</v>
      </c>
      <c r="C775" s="1" t="n">
        <v>45265</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5050-2021</t>
        </is>
      </c>
      <c r="B776" s="1" t="n">
        <v>44228</v>
      </c>
      <c r="C776" s="1" t="n">
        <v>45265</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5105-2021</t>
        </is>
      </c>
      <c r="B777" s="1" t="n">
        <v>44228</v>
      </c>
      <c r="C777" s="1" t="n">
        <v>45265</v>
      </c>
      <c r="D777" t="inlineStr">
        <is>
          <t>VÄRMLANDS LÄN</t>
        </is>
      </c>
      <c r="E777" t="inlineStr">
        <is>
          <t>TORSBY</t>
        </is>
      </c>
      <c r="G777" t="n">
        <v>5.6</v>
      </c>
      <c r="H777" t="n">
        <v>0</v>
      </c>
      <c r="I777" t="n">
        <v>0</v>
      </c>
      <c r="J777" t="n">
        <v>0</v>
      </c>
      <c r="K777" t="n">
        <v>0</v>
      </c>
      <c r="L777" t="n">
        <v>0</v>
      </c>
      <c r="M777" t="n">
        <v>0</v>
      </c>
      <c r="N777" t="n">
        <v>0</v>
      </c>
      <c r="O777" t="n">
        <v>0</v>
      </c>
      <c r="P777" t="n">
        <v>0</v>
      </c>
      <c r="Q777" t="n">
        <v>0</v>
      </c>
      <c r="R777" s="2" t="inlineStr"/>
    </row>
    <row r="778" ht="15" customHeight="1">
      <c r="A778" t="inlineStr">
        <is>
          <t>A 5365-2021</t>
        </is>
      </c>
      <c r="B778" s="1" t="n">
        <v>44229</v>
      </c>
      <c r="C778" s="1" t="n">
        <v>45265</v>
      </c>
      <c r="D778" t="inlineStr">
        <is>
          <t>VÄRMLANDS LÄN</t>
        </is>
      </c>
      <c r="E778" t="inlineStr">
        <is>
          <t>TORSBY</t>
        </is>
      </c>
      <c r="G778" t="n">
        <v>8.1</v>
      </c>
      <c r="H778" t="n">
        <v>0</v>
      </c>
      <c r="I778" t="n">
        <v>0</v>
      </c>
      <c r="J778" t="n">
        <v>0</v>
      </c>
      <c r="K778" t="n">
        <v>0</v>
      </c>
      <c r="L778" t="n">
        <v>0</v>
      </c>
      <c r="M778" t="n">
        <v>0</v>
      </c>
      <c r="N778" t="n">
        <v>0</v>
      </c>
      <c r="O778" t="n">
        <v>0</v>
      </c>
      <c r="P778" t="n">
        <v>0</v>
      </c>
      <c r="Q778" t="n">
        <v>0</v>
      </c>
      <c r="R778" s="2" t="inlineStr"/>
    </row>
    <row r="779" ht="15" customHeight="1">
      <c r="A779" t="inlineStr">
        <is>
          <t>A 5572-2021</t>
        </is>
      </c>
      <c r="B779" s="1" t="n">
        <v>44230</v>
      </c>
      <c r="C779" s="1" t="n">
        <v>45265</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5839-2021</t>
        </is>
      </c>
      <c r="B780" s="1" t="n">
        <v>44231</v>
      </c>
      <c r="C780" s="1" t="n">
        <v>45265</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6063-2021</t>
        </is>
      </c>
      <c r="B781" s="1" t="n">
        <v>44232</v>
      </c>
      <c r="C781" s="1" t="n">
        <v>45265</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6111-2021</t>
        </is>
      </c>
      <c r="B782" s="1" t="n">
        <v>44232</v>
      </c>
      <c r="C782" s="1" t="n">
        <v>45265</v>
      </c>
      <c r="D782" t="inlineStr">
        <is>
          <t>VÄRMLANDS LÄN</t>
        </is>
      </c>
      <c r="E782" t="inlineStr">
        <is>
          <t>TORSBY</t>
        </is>
      </c>
      <c r="G782" t="n">
        <v>0.8</v>
      </c>
      <c r="H782" t="n">
        <v>0</v>
      </c>
      <c r="I782" t="n">
        <v>0</v>
      </c>
      <c r="J782" t="n">
        <v>0</v>
      </c>
      <c r="K782" t="n">
        <v>0</v>
      </c>
      <c r="L782" t="n">
        <v>0</v>
      </c>
      <c r="M782" t="n">
        <v>0</v>
      </c>
      <c r="N782" t="n">
        <v>0</v>
      </c>
      <c r="O782" t="n">
        <v>0</v>
      </c>
      <c r="P782" t="n">
        <v>0</v>
      </c>
      <c r="Q782" t="n">
        <v>0</v>
      </c>
      <c r="R782" s="2" t="inlineStr"/>
    </row>
    <row r="783" ht="15" customHeight="1">
      <c r="A783" t="inlineStr">
        <is>
          <t>A 6121-2021</t>
        </is>
      </c>
      <c r="B783" s="1" t="n">
        <v>44232</v>
      </c>
      <c r="C783" s="1" t="n">
        <v>45265</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6068-2021</t>
        </is>
      </c>
      <c r="B784" s="1" t="n">
        <v>44232</v>
      </c>
      <c r="C784" s="1" t="n">
        <v>45265</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6102-2021</t>
        </is>
      </c>
      <c r="B785" s="1" t="n">
        <v>44232</v>
      </c>
      <c r="C785" s="1" t="n">
        <v>45265</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6656-2021</t>
        </is>
      </c>
      <c r="B786" s="1" t="n">
        <v>44236</v>
      </c>
      <c r="C786" s="1" t="n">
        <v>45265</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7661-2021</t>
        </is>
      </c>
      <c r="B787" s="1" t="n">
        <v>44242</v>
      </c>
      <c r="C787" s="1" t="n">
        <v>45265</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8034-2021</t>
        </is>
      </c>
      <c r="B788" s="1" t="n">
        <v>44243</v>
      </c>
      <c r="C788" s="1" t="n">
        <v>45265</v>
      </c>
      <c r="D788" t="inlineStr">
        <is>
          <t>VÄRMLANDS LÄN</t>
        </is>
      </c>
      <c r="E788" t="inlineStr">
        <is>
          <t>TORSBY</t>
        </is>
      </c>
      <c r="G788" t="n">
        <v>15.4</v>
      </c>
      <c r="H788" t="n">
        <v>0</v>
      </c>
      <c r="I788" t="n">
        <v>0</v>
      </c>
      <c r="J788" t="n">
        <v>0</v>
      </c>
      <c r="K788" t="n">
        <v>0</v>
      </c>
      <c r="L788" t="n">
        <v>0</v>
      </c>
      <c r="M788" t="n">
        <v>0</v>
      </c>
      <c r="N788" t="n">
        <v>0</v>
      </c>
      <c r="O788" t="n">
        <v>0</v>
      </c>
      <c r="P788" t="n">
        <v>0</v>
      </c>
      <c r="Q788" t="n">
        <v>0</v>
      </c>
      <c r="R788" s="2" t="inlineStr"/>
    </row>
    <row r="789" ht="15" customHeight="1">
      <c r="A789" t="inlineStr">
        <is>
          <t>A 7898-2021</t>
        </is>
      </c>
      <c r="B789" s="1" t="n">
        <v>44243</v>
      </c>
      <c r="C789" s="1" t="n">
        <v>45265</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8910-2021</t>
        </is>
      </c>
      <c r="B790" s="1" t="n">
        <v>44246</v>
      </c>
      <c r="C790" s="1" t="n">
        <v>45265</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9775-2021</t>
        </is>
      </c>
      <c r="B791" s="1" t="n">
        <v>44252</v>
      </c>
      <c r="C791" s="1" t="n">
        <v>45265</v>
      </c>
      <c r="D791" t="inlineStr">
        <is>
          <t>VÄRMLANDS LÄN</t>
        </is>
      </c>
      <c r="E791" t="inlineStr">
        <is>
          <t>TORSBY</t>
        </is>
      </c>
      <c r="G791" t="n">
        <v>2.7</v>
      </c>
      <c r="H791" t="n">
        <v>0</v>
      </c>
      <c r="I791" t="n">
        <v>0</v>
      </c>
      <c r="J791" t="n">
        <v>0</v>
      </c>
      <c r="K791" t="n">
        <v>0</v>
      </c>
      <c r="L791" t="n">
        <v>0</v>
      </c>
      <c r="M791" t="n">
        <v>0</v>
      </c>
      <c r="N791" t="n">
        <v>0</v>
      </c>
      <c r="O791" t="n">
        <v>0</v>
      </c>
      <c r="P791" t="n">
        <v>0</v>
      </c>
      <c r="Q791" t="n">
        <v>0</v>
      </c>
      <c r="R791" s="2" t="inlineStr"/>
    </row>
    <row r="792" ht="15" customHeight="1">
      <c r="A792" t="inlineStr">
        <is>
          <t>A 10133-2021</t>
        </is>
      </c>
      <c r="B792" s="1" t="n">
        <v>44256</v>
      </c>
      <c r="C792" s="1" t="n">
        <v>45265</v>
      </c>
      <c r="D792" t="inlineStr">
        <is>
          <t>VÄRMLANDS LÄN</t>
        </is>
      </c>
      <c r="E792" t="inlineStr">
        <is>
          <t>TORSBY</t>
        </is>
      </c>
      <c r="G792" t="n">
        <v>5</v>
      </c>
      <c r="H792" t="n">
        <v>0</v>
      </c>
      <c r="I792" t="n">
        <v>0</v>
      </c>
      <c r="J792" t="n">
        <v>0</v>
      </c>
      <c r="K792" t="n">
        <v>0</v>
      </c>
      <c r="L792" t="n">
        <v>0</v>
      </c>
      <c r="M792" t="n">
        <v>0</v>
      </c>
      <c r="N792" t="n">
        <v>0</v>
      </c>
      <c r="O792" t="n">
        <v>0</v>
      </c>
      <c r="P792" t="n">
        <v>0</v>
      </c>
      <c r="Q792" t="n">
        <v>0</v>
      </c>
      <c r="R792" s="2" t="inlineStr"/>
    </row>
    <row r="793" ht="15" customHeight="1">
      <c r="A793" t="inlineStr">
        <is>
          <t>A 10118-2021</t>
        </is>
      </c>
      <c r="B793" s="1" t="n">
        <v>44256</v>
      </c>
      <c r="C793" s="1" t="n">
        <v>45265</v>
      </c>
      <c r="D793" t="inlineStr">
        <is>
          <t>VÄRMLANDS LÄN</t>
        </is>
      </c>
      <c r="E793" t="inlineStr">
        <is>
          <t>TORSBY</t>
        </is>
      </c>
      <c r="G793" t="n">
        <v>12.5</v>
      </c>
      <c r="H793" t="n">
        <v>0</v>
      </c>
      <c r="I793" t="n">
        <v>0</v>
      </c>
      <c r="J793" t="n">
        <v>0</v>
      </c>
      <c r="K793" t="n">
        <v>0</v>
      </c>
      <c r="L793" t="n">
        <v>0</v>
      </c>
      <c r="M793" t="n">
        <v>0</v>
      </c>
      <c r="N793" t="n">
        <v>0</v>
      </c>
      <c r="O793" t="n">
        <v>0</v>
      </c>
      <c r="P793" t="n">
        <v>0</v>
      </c>
      <c r="Q793" t="n">
        <v>0</v>
      </c>
      <c r="R793" s="2" t="inlineStr"/>
    </row>
    <row r="794" ht="15" customHeight="1">
      <c r="A794" t="inlineStr">
        <is>
          <t>A 10579-2021</t>
        </is>
      </c>
      <c r="B794" s="1" t="n">
        <v>44257</v>
      </c>
      <c r="C794" s="1" t="n">
        <v>45265</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10778-2021</t>
        </is>
      </c>
      <c r="B795" s="1" t="n">
        <v>44259</v>
      </c>
      <c r="C795" s="1" t="n">
        <v>45265</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11695-2021</t>
        </is>
      </c>
      <c r="B796" s="1" t="n">
        <v>44264</v>
      </c>
      <c r="C796" s="1" t="n">
        <v>45265</v>
      </c>
      <c r="D796" t="inlineStr">
        <is>
          <t>VÄRMLANDS LÄN</t>
        </is>
      </c>
      <c r="E796" t="inlineStr">
        <is>
          <t>TORSBY</t>
        </is>
      </c>
      <c r="G796" t="n">
        <v>3</v>
      </c>
      <c r="H796" t="n">
        <v>0</v>
      </c>
      <c r="I796" t="n">
        <v>0</v>
      </c>
      <c r="J796" t="n">
        <v>0</v>
      </c>
      <c r="K796" t="n">
        <v>0</v>
      </c>
      <c r="L796" t="n">
        <v>0</v>
      </c>
      <c r="M796" t="n">
        <v>0</v>
      </c>
      <c r="N796" t="n">
        <v>0</v>
      </c>
      <c r="O796" t="n">
        <v>0</v>
      </c>
      <c r="P796" t="n">
        <v>0</v>
      </c>
      <c r="Q796" t="n">
        <v>0</v>
      </c>
      <c r="R796" s="2" t="inlineStr"/>
    </row>
    <row r="797" ht="15" customHeight="1">
      <c r="A797" t="inlineStr">
        <is>
          <t>A 11947-2021</t>
        </is>
      </c>
      <c r="B797" s="1" t="n">
        <v>44265</v>
      </c>
      <c r="C797" s="1" t="n">
        <v>45265</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13013-2021</t>
        </is>
      </c>
      <c r="B798" s="1" t="n">
        <v>44271</v>
      </c>
      <c r="C798" s="1" t="n">
        <v>45265</v>
      </c>
      <c r="D798" t="inlineStr">
        <is>
          <t>VÄRMLANDS LÄN</t>
        </is>
      </c>
      <c r="E798" t="inlineStr">
        <is>
          <t>TORSBY</t>
        </is>
      </c>
      <c r="G798" t="n">
        <v>7.7</v>
      </c>
      <c r="H798" t="n">
        <v>0</v>
      </c>
      <c r="I798" t="n">
        <v>0</v>
      </c>
      <c r="J798" t="n">
        <v>0</v>
      </c>
      <c r="K798" t="n">
        <v>0</v>
      </c>
      <c r="L798" t="n">
        <v>0</v>
      </c>
      <c r="M798" t="n">
        <v>0</v>
      </c>
      <c r="N798" t="n">
        <v>0</v>
      </c>
      <c r="O798" t="n">
        <v>0</v>
      </c>
      <c r="P798" t="n">
        <v>0</v>
      </c>
      <c r="Q798" t="n">
        <v>0</v>
      </c>
      <c r="R798" s="2" t="inlineStr"/>
    </row>
    <row r="799" ht="15" customHeight="1">
      <c r="A799" t="inlineStr">
        <is>
          <t>A 14942-2021</t>
        </is>
      </c>
      <c r="B799" s="1" t="n">
        <v>44281</v>
      </c>
      <c r="C799" s="1" t="n">
        <v>45265</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15279-2021</t>
        </is>
      </c>
      <c r="B800" s="1" t="n">
        <v>44284</v>
      </c>
      <c r="C800" s="1" t="n">
        <v>45265</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16191-2021</t>
        </is>
      </c>
      <c r="B801" s="1" t="n">
        <v>44285</v>
      </c>
      <c r="C801" s="1" t="n">
        <v>45265</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15854-2021</t>
        </is>
      </c>
      <c r="B802" s="1" t="n">
        <v>44286</v>
      </c>
      <c r="C802" s="1" t="n">
        <v>45265</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15853-2021</t>
        </is>
      </c>
      <c r="B803" s="1" t="n">
        <v>44286</v>
      </c>
      <c r="C803" s="1" t="n">
        <v>45265</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15945-2021</t>
        </is>
      </c>
      <c r="B804" s="1" t="n">
        <v>44287</v>
      </c>
      <c r="C804" s="1" t="n">
        <v>45265</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15939-2021</t>
        </is>
      </c>
      <c r="B805" s="1" t="n">
        <v>44287</v>
      </c>
      <c r="C805" s="1" t="n">
        <v>45265</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16303-2021</t>
        </is>
      </c>
      <c r="B806" s="1" t="n">
        <v>44292</v>
      </c>
      <c r="C806" s="1" t="n">
        <v>45265</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16299-2021</t>
        </is>
      </c>
      <c r="B807" s="1" t="n">
        <v>44292</v>
      </c>
      <c r="C807" s="1" t="n">
        <v>45265</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16375-2021</t>
        </is>
      </c>
      <c r="B808" s="1" t="n">
        <v>44292</v>
      </c>
      <c r="C808" s="1" t="n">
        <v>45265</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17249-2021</t>
        </is>
      </c>
      <c r="B809" s="1" t="n">
        <v>44298</v>
      </c>
      <c r="C809" s="1" t="n">
        <v>45265</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17941-2021</t>
        </is>
      </c>
      <c r="B810" s="1" t="n">
        <v>44301</v>
      </c>
      <c r="C810" s="1" t="n">
        <v>45265</v>
      </c>
      <c r="D810" t="inlineStr">
        <is>
          <t>VÄRMLANDS LÄN</t>
        </is>
      </c>
      <c r="E810" t="inlineStr">
        <is>
          <t>TORSBY</t>
        </is>
      </c>
      <c r="F810" t="inlineStr">
        <is>
          <t>Kommuner</t>
        </is>
      </c>
      <c r="G810" t="n">
        <v>8</v>
      </c>
      <c r="H810" t="n">
        <v>0</v>
      </c>
      <c r="I810" t="n">
        <v>0</v>
      </c>
      <c r="J810" t="n">
        <v>0</v>
      </c>
      <c r="K810" t="n">
        <v>0</v>
      </c>
      <c r="L810" t="n">
        <v>0</v>
      </c>
      <c r="M810" t="n">
        <v>0</v>
      </c>
      <c r="N810" t="n">
        <v>0</v>
      </c>
      <c r="O810" t="n">
        <v>0</v>
      </c>
      <c r="P810" t="n">
        <v>0</v>
      </c>
      <c r="Q810" t="n">
        <v>0</v>
      </c>
      <c r="R810" s="2" t="inlineStr"/>
    </row>
    <row r="811" ht="15" customHeight="1">
      <c r="A811" t="inlineStr">
        <is>
          <t>A 17962-2021</t>
        </is>
      </c>
      <c r="B811" s="1" t="n">
        <v>44301</v>
      </c>
      <c r="C811" s="1" t="n">
        <v>45265</v>
      </c>
      <c r="D811" t="inlineStr">
        <is>
          <t>VÄRMLANDS LÄN</t>
        </is>
      </c>
      <c r="E811" t="inlineStr">
        <is>
          <t>TORSBY</t>
        </is>
      </c>
      <c r="G811" t="n">
        <v>2.1</v>
      </c>
      <c r="H811" t="n">
        <v>0</v>
      </c>
      <c r="I811" t="n">
        <v>0</v>
      </c>
      <c r="J811" t="n">
        <v>0</v>
      </c>
      <c r="K811" t="n">
        <v>0</v>
      </c>
      <c r="L811" t="n">
        <v>0</v>
      </c>
      <c r="M811" t="n">
        <v>0</v>
      </c>
      <c r="N811" t="n">
        <v>0</v>
      </c>
      <c r="O811" t="n">
        <v>0</v>
      </c>
      <c r="P811" t="n">
        <v>0</v>
      </c>
      <c r="Q811" t="n">
        <v>0</v>
      </c>
      <c r="R811" s="2" t="inlineStr"/>
    </row>
    <row r="812" ht="15" customHeight="1">
      <c r="A812" t="inlineStr">
        <is>
          <t>A 17944-2021</t>
        </is>
      </c>
      <c r="B812" s="1" t="n">
        <v>44301</v>
      </c>
      <c r="C812" s="1" t="n">
        <v>45265</v>
      </c>
      <c r="D812" t="inlineStr">
        <is>
          <t>VÄRMLANDS LÄN</t>
        </is>
      </c>
      <c r="E812" t="inlineStr">
        <is>
          <t>TORSBY</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23524-2021</t>
        </is>
      </c>
      <c r="B813" s="1" t="n">
        <v>44301</v>
      </c>
      <c r="C813" s="1" t="n">
        <v>45265</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18174-2021</t>
        </is>
      </c>
      <c r="B814" s="1" t="n">
        <v>44302</v>
      </c>
      <c r="C814" s="1" t="n">
        <v>45265</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18033-2021</t>
        </is>
      </c>
      <c r="B815" s="1" t="n">
        <v>44302</v>
      </c>
      <c r="C815" s="1" t="n">
        <v>45265</v>
      </c>
      <c r="D815" t="inlineStr">
        <is>
          <t>VÄRMLANDS LÄN</t>
        </is>
      </c>
      <c r="E815" t="inlineStr">
        <is>
          <t>TORSBY</t>
        </is>
      </c>
      <c r="G815" t="n">
        <v>0.8</v>
      </c>
      <c r="H815" t="n">
        <v>0</v>
      </c>
      <c r="I815" t="n">
        <v>0</v>
      </c>
      <c r="J815" t="n">
        <v>0</v>
      </c>
      <c r="K815" t="n">
        <v>0</v>
      </c>
      <c r="L815" t="n">
        <v>0</v>
      </c>
      <c r="M815" t="n">
        <v>0</v>
      </c>
      <c r="N815" t="n">
        <v>0</v>
      </c>
      <c r="O815" t="n">
        <v>0</v>
      </c>
      <c r="P815" t="n">
        <v>0</v>
      </c>
      <c r="Q815" t="n">
        <v>0</v>
      </c>
      <c r="R815" s="2" t="inlineStr"/>
    </row>
    <row r="816" ht="15" customHeight="1">
      <c r="A816" t="inlineStr">
        <is>
          <t>A 18354-2021</t>
        </is>
      </c>
      <c r="B816" s="1" t="n">
        <v>44305</v>
      </c>
      <c r="C816" s="1" t="n">
        <v>45265</v>
      </c>
      <c r="D816" t="inlineStr">
        <is>
          <t>VÄRMLANDS LÄN</t>
        </is>
      </c>
      <c r="E816" t="inlineStr">
        <is>
          <t>TORSBY</t>
        </is>
      </c>
      <c r="F816" t="inlineStr">
        <is>
          <t>Kommuner</t>
        </is>
      </c>
      <c r="G816" t="n">
        <v>2.4</v>
      </c>
      <c r="H816" t="n">
        <v>0</v>
      </c>
      <c r="I816" t="n">
        <v>0</v>
      </c>
      <c r="J816" t="n">
        <v>0</v>
      </c>
      <c r="K816" t="n">
        <v>0</v>
      </c>
      <c r="L816" t="n">
        <v>0</v>
      </c>
      <c r="M816" t="n">
        <v>0</v>
      </c>
      <c r="N816" t="n">
        <v>0</v>
      </c>
      <c r="O816" t="n">
        <v>0</v>
      </c>
      <c r="P816" t="n">
        <v>0</v>
      </c>
      <c r="Q816" t="n">
        <v>0</v>
      </c>
      <c r="R816" s="2" t="inlineStr"/>
    </row>
    <row r="817" ht="15" customHeight="1">
      <c r="A817" t="inlineStr">
        <is>
          <t>A 18344-2021</t>
        </is>
      </c>
      <c r="B817" s="1" t="n">
        <v>44305</v>
      </c>
      <c r="C817" s="1" t="n">
        <v>45265</v>
      </c>
      <c r="D817" t="inlineStr">
        <is>
          <t>VÄRMLANDS LÄN</t>
        </is>
      </c>
      <c r="E817" t="inlineStr">
        <is>
          <t>TORSBY</t>
        </is>
      </c>
      <c r="F817" t="inlineStr">
        <is>
          <t>Kommuner</t>
        </is>
      </c>
      <c r="G817" t="n">
        <v>4.3</v>
      </c>
      <c r="H817" t="n">
        <v>0</v>
      </c>
      <c r="I817" t="n">
        <v>0</v>
      </c>
      <c r="J817" t="n">
        <v>0</v>
      </c>
      <c r="K817" t="n">
        <v>0</v>
      </c>
      <c r="L817" t="n">
        <v>0</v>
      </c>
      <c r="M817" t="n">
        <v>0</v>
      </c>
      <c r="N817" t="n">
        <v>0</v>
      </c>
      <c r="O817" t="n">
        <v>0</v>
      </c>
      <c r="P817" t="n">
        <v>0</v>
      </c>
      <c r="Q817" t="n">
        <v>0</v>
      </c>
      <c r="R817" s="2" t="inlineStr"/>
    </row>
    <row r="818" ht="15" customHeight="1">
      <c r="A818" t="inlineStr">
        <is>
          <t>A 18349-2021</t>
        </is>
      </c>
      <c r="B818" s="1" t="n">
        <v>44305</v>
      </c>
      <c r="C818" s="1" t="n">
        <v>45265</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18560-2021</t>
        </is>
      </c>
      <c r="B819" s="1" t="n">
        <v>44306</v>
      </c>
      <c r="C819" s="1" t="n">
        <v>45265</v>
      </c>
      <c r="D819" t="inlineStr">
        <is>
          <t>VÄRMLANDS LÄN</t>
        </is>
      </c>
      <c r="E819" t="inlineStr">
        <is>
          <t>TORSBY</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19031-2021</t>
        </is>
      </c>
      <c r="B820" s="1" t="n">
        <v>44308</v>
      </c>
      <c r="C820" s="1" t="n">
        <v>45265</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19338-2021</t>
        </is>
      </c>
      <c r="B821" s="1" t="n">
        <v>44309</v>
      </c>
      <c r="C821" s="1" t="n">
        <v>45265</v>
      </c>
      <c r="D821" t="inlineStr">
        <is>
          <t>VÄRMLANDS LÄN</t>
        </is>
      </c>
      <c r="E821" t="inlineStr">
        <is>
          <t>TORSBY</t>
        </is>
      </c>
      <c r="F821" t="inlineStr">
        <is>
          <t>Bergvik skog väst AB</t>
        </is>
      </c>
      <c r="G821" t="n">
        <v>3.7</v>
      </c>
      <c r="H821" t="n">
        <v>0</v>
      </c>
      <c r="I821" t="n">
        <v>0</v>
      </c>
      <c r="J821" t="n">
        <v>0</v>
      </c>
      <c r="K821" t="n">
        <v>0</v>
      </c>
      <c r="L821" t="n">
        <v>0</v>
      </c>
      <c r="M821" t="n">
        <v>0</v>
      </c>
      <c r="N821" t="n">
        <v>0</v>
      </c>
      <c r="O821" t="n">
        <v>0</v>
      </c>
      <c r="P821" t="n">
        <v>0</v>
      </c>
      <c r="Q821" t="n">
        <v>0</v>
      </c>
      <c r="R821" s="2" t="inlineStr"/>
    </row>
    <row r="822" ht="15" customHeight="1">
      <c r="A822" t="inlineStr">
        <is>
          <t>A 19375-2021</t>
        </is>
      </c>
      <c r="B822" s="1" t="n">
        <v>44309</v>
      </c>
      <c r="C822" s="1" t="n">
        <v>45265</v>
      </c>
      <c r="D822" t="inlineStr">
        <is>
          <t>VÄRMLANDS LÄN</t>
        </is>
      </c>
      <c r="E822" t="inlineStr">
        <is>
          <t>TORSBY</t>
        </is>
      </c>
      <c r="G822" t="n">
        <v>2</v>
      </c>
      <c r="H822" t="n">
        <v>0</v>
      </c>
      <c r="I822" t="n">
        <v>0</v>
      </c>
      <c r="J822" t="n">
        <v>0</v>
      </c>
      <c r="K822" t="n">
        <v>0</v>
      </c>
      <c r="L822" t="n">
        <v>0</v>
      </c>
      <c r="M822" t="n">
        <v>0</v>
      </c>
      <c r="N822" t="n">
        <v>0</v>
      </c>
      <c r="O822" t="n">
        <v>0</v>
      </c>
      <c r="P822" t="n">
        <v>0</v>
      </c>
      <c r="Q822" t="n">
        <v>0</v>
      </c>
      <c r="R822" s="2" t="inlineStr"/>
    </row>
    <row r="823" ht="15" customHeight="1">
      <c r="A823" t="inlineStr">
        <is>
          <t>A 20182-2021</t>
        </is>
      </c>
      <c r="B823" s="1" t="n">
        <v>44312</v>
      </c>
      <c r="C823" s="1" t="n">
        <v>45265</v>
      </c>
      <c r="D823" t="inlineStr">
        <is>
          <t>VÄRMLANDS LÄN</t>
        </is>
      </c>
      <c r="E823" t="inlineStr">
        <is>
          <t>TORSBY</t>
        </is>
      </c>
      <c r="G823" t="n">
        <v>14.4</v>
      </c>
      <c r="H823" t="n">
        <v>0</v>
      </c>
      <c r="I823" t="n">
        <v>0</v>
      </c>
      <c r="J823" t="n">
        <v>0</v>
      </c>
      <c r="K823" t="n">
        <v>0</v>
      </c>
      <c r="L823" t="n">
        <v>0</v>
      </c>
      <c r="M823" t="n">
        <v>0</v>
      </c>
      <c r="N823" t="n">
        <v>0</v>
      </c>
      <c r="O823" t="n">
        <v>0</v>
      </c>
      <c r="P823" t="n">
        <v>0</v>
      </c>
      <c r="Q823" t="n">
        <v>0</v>
      </c>
      <c r="R823" s="2" t="inlineStr"/>
    </row>
    <row r="824" ht="15" customHeight="1">
      <c r="A824" t="inlineStr">
        <is>
          <t>A 20199-2021</t>
        </is>
      </c>
      <c r="B824" s="1" t="n">
        <v>44312</v>
      </c>
      <c r="C824" s="1" t="n">
        <v>45265</v>
      </c>
      <c r="D824" t="inlineStr">
        <is>
          <t>VÄRMLANDS LÄN</t>
        </is>
      </c>
      <c r="E824" t="inlineStr">
        <is>
          <t>TORSBY</t>
        </is>
      </c>
      <c r="G824" t="n">
        <v>11.4</v>
      </c>
      <c r="H824" t="n">
        <v>0</v>
      </c>
      <c r="I824" t="n">
        <v>0</v>
      </c>
      <c r="J824" t="n">
        <v>0</v>
      </c>
      <c r="K824" t="n">
        <v>0</v>
      </c>
      <c r="L824" t="n">
        <v>0</v>
      </c>
      <c r="M824" t="n">
        <v>0</v>
      </c>
      <c r="N824" t="n">
        <v>0</v>
      </c>
      <c r="O824" t="n">
        <v>0</v>
      </c>
      <c r="P824" t="n">
        <v>0</v>
      </c>
      <c r="Q824" t="n">
        <v>0</v>
      </c>
      <c r="R824" s="2" t="inlineStr"/>
    </row>
    <row r="825" ht="15" customHeight="1">
      <c r="A825" t="inlineStr">
        <is>
          <t>A 20170-2021</t>
        </is>
      </c>
      <c r="B825" s="1" t="n">
        <v>44312</v>
      </c>
      <c r="C825" s="1" t="n">
        <v>45265</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19877-2021</t>
        </is>
      </c>
      <c r="B826" s="1" t="n">
        <v>44313</v>
      </c>
      <c r="C826" s="1" t="n">
        <v>45265</v>
      </c>
      <c r="D826" t="inlineStr">
        <is>
          <t>VÄRMLANDS LÄN</t>
        </is>
      </c>
      <c r="E826" t="inlineStr">
        <is>
          <t>TORSBY</t>
        </is>
      </c>
      <c r="G826" t="n">
        <v>1.7</v>
      </c>
      <c r="H826" t="n">
        <v>0</v>
      </c>
      <c r="I826" t="n">
        <v>0</v>
      </c>
      <c r="J826" t="n">
        <v>0</v>
      </c>
      <c r="K826" t="n">
        <v>0</v>
      </c>
      <c r="L826" t="n">
        <v>0</v>
      </c>
      <c r="M826" t="n">
        <v>0</v>
      </c>
      <c r="N826" t="n">
        <v>0</v>
      </c>
      <c r="O826" t="n">
        <v>0</v>
      </c>
      <c r="P826" t="n">
        <v>0</v>
      </c>
      <c r="Q826" t="n">
        <v>0</v>
      </c>
      <c r="R826" s="2" t="inlineStr"/>
    </row>
    <row r="827" ht="15" customHeight="1">
      <c r="A827" t="inlineStr">
        <is>
          <t>A 19974-2021</t>
        </is>
      </c>
      <c r="B827" s="1" t="n">
        <v>44313</v>
      </c>
      <c r="C827" s="1" t="n">
        <v>45265</v>
      </c>
      <c r="D827" t="inlineStr">
        <is>
          <t>VÄRMLANDS LÄN</t>
        </is>
      </c>
      <c r="E827" t="inlineStr">
        <is>
          <t>TORSBY</t>
        </is>
      </c>
      <c r="G827" t="n">
        <v>0.4</v>
      </c>
      <c r="H827" t="n">
        <v>0</v>
      </c>
      <c r="I827" t="n">
        <v>0</v>
      </c>
      <c r="J827" t="n">
        <v>0</v>
      </c>
      <c r="K827" t="n">
        <v>0</v>
      </c>
      <c r="L827" t="n">
        <v>0</v>
      </c>
      <c r="M827" t="n">
        <v>0</v>
      </c>
      <c r="N827" t="n">
        <v>0</v>
      </c>
      <c r="O827" t="n">
        <v>0</v>
      </c>
      <c r="P827" t="n">
        <v>0</v>
      </c>
      <c r="Q827" t="n">
        <v>0</v>
      </c>
      <c r="R827" s="2" t="inlineStr"/>
    </row>
    <row r="828" ht="15" customHeight="1">
      <c r="A828" t="inlineStr">
        <is>
          <t>A 20122-2021</t>
        </is>
      </c>
      <c r="B828" s="1" t="n">
        <v>44314</v>
      </c>
      <c r="C828" s="1" t="n">
        <v>45265</v>
      </c>
      <c r="D828" t="inlineStr">
        <is>
          <t>VÄRMLANDS LÄN</t>
        </is>
      </c>
      <c r="E828" t="inlineStr">
        <is>
          <t>TORSBY</t>
        </is>
      </c>
      <c r="G828" t="n">
        <v>2.5</v>
      </c>
      <c r="H828" t="n">
        <v>0</v>
      </c>
      <c r="I828" t="n">
        <v>0</v>
      </c>
      <c r="J828" t="n">
        <v>0</v>
      </c>
      <c r="K828" t="n">
        <v>0</v>
      </c>
      <c r="L828" t="n">
        <v>0</v>
      </c>
      <c r="M828" t="n">
        <v>0</v>
      </c>
      <c r="N828" t="n">
        <v>0</v>
      </c>
      <c r="O828" t="n">
        <v>0</v>
      </c>
      <c r="P828" t="n">
        <v>0</v>
      </c>
      <c r="Q828" t="n">
        <v>0</v>
      </c>
      <c r="R828" s="2" t="inlineStr"/>
    </row>
    <row r="829" ht="15" customHeight="1">
      <c r="A829" t="inlineStr">
        <is>
          <t>A 20895-2021</t>
        </is>
      </c>
      <c r="B829" s="1" t="n">
        <v>44319</v>
      </c>
      <c r="C829" s="1" t="n">
        <v>45265</v>
      </c>
      <c r="D829" t="inlineStr">
        <is>
          <t>VÄRMLANDS LÄN</t>
        </is>
      </c>
      <c r="E829" t="inlineStr">
        <is>
          <t>TORSBY</t>
        </is>
      </c>
      <c r="G829" t="n">
        <v>16.6</v>
      </c>
      <c r="H829" t="n">
        <v>0</v>
      </c>
      <c r="I829" t="n">
        <v>0</v>
      </c>
      <c r="J829" t="n">
        <v>0</v>
      </c>
      <c r="K829" t="n">
        <v>0</v>
      </c>
      <c r="L829" t="n">
        <v>0</v>
      </c>
      <c r="M829" t="n">
        <v>0</v>
      </c>
      <c r="N829" t="n">
        <v>0</v>
      </c>
      <c r="O829" t="n">
        <v>0</v>
      </c>
      <c r="P829" t="n">
        <v>0</v>
      </c>
      <c r="Q829" t="n">
        <v>0</v>
      </c>
      <c r="R829" s="2" t="inlineStr"/>
    </row>
    <row r="830" ht="15" customHeight="1">
      <c r="A830" t="inlineStr">
        <is>
          <t>A 21031-2021</t>
        </is>
      </c>
      <c r="B830" s="1" t="n">
        <v>44319</v>
      </c>
      <c r="C830" s="1" t="n">
        <v>45265</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21206-2021</t>
        </is>
      </c>
      <c r="B831" s="1" t="n">
        <v>44320</v>
      </c>
      <c r="C831" s="1" t="n">
        <v>45265</v>
      </c>
      <c r="D831" t="inlineStr">
        <is>
          <t>VÄRMLANDS LÄN</t>
        </is>
      </c>
      <c r="E831" t="inlineStr">
        <is>
          <t>TORSBY</t>
        </is>
      </c>
      <c r="G831" t="n">
        <v>2.6</v>
      </c>
      <c r="H831" t="n">
        <v>0</v>
      </c>
      <c r="I831" t="n">
        <v>0</v>
      </c>
      <c r="J831" t="n">
        <v>0</v>
      </c>
      <c r="K831" t="n">
        <v>0</v>
      </c>
      <c r="L831" t="n">
        <v>0</v>
      </c>
      <c r="M831" t="n">
        <v>0</v>
      </c>
      <c r="N831" t="n">
        <v>0</v>
      </c>
      <c r="O831" t="n">
        <v>0</v>
      </c>
      <c r="P831" t="n">
        <v>0</v>
      </c>
      <c r="Q831" t="n">
        <v>0</v>
      </c>
      <c r="R831" s="2" t="inlineStr"/>
    </row>
    <row r="832" ht="15" customHeight="1">
      <c r="A832" t="inlineStr">
        <is>
          <t>A 22038-2021</t>
        </is>
      </c>
      <c r="B832" s="1" t="n">
        <v>44323</v>
      </c>
      <c r="C832" s="1" t="n">
        <v>45265</v>
      </c>
      <c r="D832" t="inlineStr">
        <is>
          <t>VÄRMLANDS LÄN</t>
        </is>
      </c>
      <c r="E832" t="inlineStr">
        <is>
          <t>TORSBY</t>
        </is>
      </c>
      <c r="G832" t="n">
        <v>4</v>
      </c>
      <c r="H832" t="n">
        <v>0</v>
      </c>
      <c r="I832" t="n">
        <v>0</v>
      </c>
      <c r="J832" t="n">
        <v>0</v>
      </c>
      <c r="K832" t="n">
        <v>0</v>
      </c>
      <c r="L832" t="n">
        <v>0</v>
      </c>
      <c r="M832" t="n">
        <v>0</v>
      </c>
      <c r="N832" t="n">
        <v>0</v>
      </c>
      <c r="O832" t="n">
        <v>0</v>
      </c>
      <c r="P832" t="n">
        <v>0</v>
      </c>
      <c r="Q832" t="n">
        <v>0</v>
      </c>
      <c r="R832" s="2" t="inlineStr"/>
    </row>
    <row r="833" ht="15" customHeight="1">
      <c r="A833" t="inlineStr">
        <is>
          <t>A 22113-2021</t>
        </is>
      </c>
      <c r="B833" s="1" t="n">
        <v>44323</v>
      </c>
      <c r="C833" s="1" t="n">
        <v>45265</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22464-2021</t>
        </is>
      </c>
      <c r="B834" s="1" t="n">
        <v>44326</v>
      </c>
      <c r="C834" s="1" t="n">
        <v>45265</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22463-2021</t>
        </is>
      </c>
      <c r="B835" s="1" t="n">
        <v>44326</v>
      </c>
      <c r="C835" s="1" t="n">
        <v>45265</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22671-2021</t>
        </is>
      </c>
      <c r="B836" s="1" t="n">
        <v>44327</v>
      </c>
      <c r="C836" s="1" t="n">
        <v>45265</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22638-2021</t>
        </is>
      </c>
      <c r="B837" s="1" t="n">
        <v>44327</v>
      </c>
      <c r="C837" s="1" t="n">
        <v>45265</v>
      </c>
      <c r="D837" t="inlineStr">
        <is>
          <t>VÄRMLANDS LÄN</t>
        </is>
      </c>
      <c r="E837" t="inlineStr">
        <is>
          <t>TORSBY</t>
        </is>
      </c>
      <c r="G837" t="n">
        <v>1.8</v>
      </c>
      <c r="H837" t="n">
        <v>0</v>
      </c>
      <c r="I837" t="n">
        <v>0</v>
      </c>
      <c r="J837" t="n">
        <v>0</v>
      </c>
      <c r="K837" t="n">
        <v>0</v>
      </c>
      <c r="L837" t="n">
        <v>0</v>
      </c>
      <c r="M837" t="n">
        <v>0</v>
      </c>
      <c r="N837" t="n">
        <v>0</v>
      </c>
      <c r="O837" t="n">
        <v>0</v>
      </c>
      <c r="P837" t="n">
        <v>0</v>
      </c>
      <c r="Q837" t="n">
        <v>0</v>
      </c>
      <c r="R837" s="2" t="inlineStr"/>
    </row>
    <row r="838" ht="15" customHeight="1">
      <c r="A838" t="inlineStr">
        <is>
          <t>A 23191-2021</t>
        </is>
      </c>
      <c r="B838" s="1" t="n">
        <v>44328</v>
      </c>
      <c r="C838" s="1" t="n">
        <v>45265</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23194-2021</t>
        </is>
      </c>
      <c r="B839" s="1" t="n">
        <v>44328</v>
      </c>
      <c r="C839" s="1" t="n">
        <v>45265</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23435-2021</t>
        </is>
      </c>
      <c r="B840" s="1" t="n">
        <v>44333</v>
      </c>
      <c r="C840" s="1" t="n">
        <v>45265</v>
      </c>
      <c r="D840" t="inlineStr">
        <is>
          <t>VÄRMLANDS LÄN</t>
        </is>
      </c>
      <c r="E840" t="inlineStr">
        <is>
          <t>TORSBY</t>
        </is>
      </c>
      <c r="G840" t="n">
        <v>4.9</v>
      </c>
      <c r="H840" t="n">
        <v>0</v>
      </c>
      <c r="I840" t="n">
        <v>0</v>
      </c>
      <c r="J840" t="n">
        <v>0</v>
      </c>
      <c r="K840" t="n">
        <v>0</v>
      </c>
      <c r="L840" t="n">
        <v>0</v>
      </c>
      <c r="M840" t="n">
        <v>0</v>
      </c>
      <c r="N840" t="n">
        <v>0</v>
      </c>
      <c r="O840" t="n">
        <v>0</v>
      </c>
      <c r="P840" t="n">
        <v>0</v>
      </c>
      <c r="Q840" t="n">
        <v>0</v>
      </c>
      <c r="R840" s="2" t="inlineStr"/>
    </row>
    <row r="841" ht="15" customHeight="1">
      <c r="A841" t="inlineStr">
        <is>
          <t>A 23548-2021</t>
        </is>
      </c>
      <c r="B841" s="1" t="n">
        <v>44333</v>
      </c>
      <c r="C841" s="1" t="n">
        <v>45265</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45265</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23823-2021</t>
        </is>
      </c>
      <c r="B843" s="1" t="n">
        <v>44335</v>
      </c>
      <c r="C843" s="1" t="n">
        <v>45265</v>
      </c>
      <c r="D843" t="inlineStr">
        <is>
          <t>VÄRMLANDS LÄN</t>
        </is>
      </c>
      <c r="E843" t="inlineStr">
        <is>
          <t>TORSBY</t>
        </is>
      </c>
      <c r="G843" t="n">
        <v>3.1</v>
      </c>
      <c r="H843" t="n">
        <v>0</v>
      </c>
      <c r="I843" t="n">
        <v>0</v>
      </c>
      <c r="J843" t="n">
        <v>0</v>
      </c>
      <c r="K843" t="n">
        <v>0</v>
      </c>
      <c r="L843" t="n">
        <v>0</v>
      </c>
      <c r="M843" t="n">
        <v>0</v>
      </c>
      <c r="N843" t="n">
        <v>0</v>
      </c>
      <c r="O843" t="n">
        <v>0</v>
      </c>
      <c r="P843" t="n">
        <v>0</v>
      </c>
      <c r="Q843" t="n">
        <v>0</v>
      </c>
      <c r="R843" s="2" t="inlineStr"/>
    </row>
    <row r="844" ht="15" customHeight="1">
      <c r="A844" t="inlineStr">
        <is>
          <t>A 24054-2021</t>
        </is>
      </c>
      <c r="B844" s="1" t="n">
        <v>44336</v>
      </c>
      <c r="C844" s="1" t="n">
        <v>45265</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24150-2021</t>
        </is>
      </c>
      <c r="B845" s="1" t="n">
        <v>44336</v>
      </c>
      <c r="C845" s="1" t="n">
        <v>45265</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24165-2021</t>
        </is>
      </c>
      <c r="B846" s="1" t="n">
        <v>44336</v>
      </c>
      <c r="C846" s="1" t="n">
        <v>45265</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25096-2021</t>
        </is>
      </c>
      <c r="B847" s="1" t="n">
        <v>44341</v>
      </c>
      <c r="C847" s="1" t="n">
        <v>45265</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25247-2021</t>
        </is>
      </c>
      <c r="B848" s="1" t="n">
        <v>44342</v>
      </c>
      <c r="C848" s="1" t="n">
        <v>45265</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25920-2021</t>
        </is>
      </c>
      <c r="B849" s="1" t="n">
        <v>44344</v>
      </c>
      <c r="C849" s="1" t="n">
        <v>45265</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26082-2021</t>
        </is>
      </c>
      <c r="B850" s="1" t="n">
        <v>44344</v>
      </c>
      <c r="C850" s="1" t="n">
        <v>45265</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26223-2021</t>
        </is>
      </c>
      <c r="B851" s="1" t="n">
        <v>44347</v>
      </c>
      <c r="C851" s="1" t="n">
        <v>45265</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26558-2021</t>
        </is>
      </c>
      <c r="B852" s="1" t="n">
        <v>44348</v>
      </c>
      <c r="C852" s="1" t="n">
        <v>45265</v>
      </c>
      <c r="D852" t="inlineStr">
        <is>
          <t>VÄRMLANDS LÄN</t>
        </is>
      </c>
      <c r="E852" t="inlineStr">
        <is>
          <t>TORSBY</t>
        </is>
      </c>
      <c r="G852" t="n">
        <v>19.7</v>
      </c>
      <c r="H852" t="n">
        <v>0</v>
      </c>
      <c r="I852" t="n">
        <v>0</v>
      </c>
      <c r="J852" t="n">
        <v>0</v>
      </c>
      <c r="K852" t="n">
        <v>0</v>
      </c>
      <c r="L852" t="n">
        <v>0</v>
      </c>
      <c r="M852" t="n">
        <v>0</v>
      </c>
      <c r="N852" t="n">
        <v>0</v>
      </c>
      <c r="O852" t="n">
        <v>0</v>
      </c>
      <c r="P852" t="n">
        <v>0</v>
      </c>
      <c r="Q852" t="n">
        <v>0</v>
      </c>
      <c r="R852" s="2" t="inlineStr"/>
    </row>
    <row r="853" ht="15" customHeight="1">
      <c r="A853" t="inlineStr">
        <is>
          <t>A 27446-2021</t>
        </is>
      </c>
      <c r="B853" s="1" t="n">
        <v>44351</v>
      </c>
      <c r="C853" s="1" t="n">
        <v>45265</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27411-2021</t>
        </is>
      </c>
      <c r="B854" s="1" t="n">
        <v>44351</v>
      </c>
      <c r="C854" s="1" t="n">
        <v>45265</v>
      </c>
      <c r="D854" t="inlineStr">
        <is>
          <t>VÄRMLANDS LÄN</t>
        </is>
      </c>
      <c r="E854" t="inlineStr">
        <is>
          <t>TORSBY</t>
        </is>
      </c>
      <c r="G854" t="n">
        <v>2.5</v>
      </c>
      <c r="H854" t="n">
        <v>0</v>
      </c>
      <c r="I854" t="n">
        <v>0</v>
      </c>
      <c r="J854" t="n">
        <v>0</v>
      </c>
      <c r="K854" t="n">
        <v>0</v>
      </c>
      <c r="L854" t="n">
        <v>0</v>
      </c>
      <c r="M854" t="n">
        <v>0</v>
      </c>
      <c r="N854" t="n">
        <v>0</v>
      </c>
      <c r="O854" t="n">
        <v>0</v>
      </c>
      <c r="P854" t="n">
        <v>0</v>
      </c>
      <c r="Q854" t="n">
        <v>0</v>
      </c>
      <c r="R854" s="2" t="inlineStr"/>
    </row>
    <row r="855" ht="15" customHeight="1">
      <c r="A855" t="inlineStr">
        <is>
          <t>A 27362-2021</t>
        </is>
      </c>
      <c r="B855" s="1" t="n">
        <v>44351</v>
      </c>
      <c r="C855" s="1" t="n">
        <v>45265</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27932-2021</t>
        </is>
      </c>
      <c r="B856" s="1" t="n">
        <v>44354</v>
      </c>
      <c r="C856" s="1" t="n">
        <v>45265</v>
      </c>
      <c r="D856" t="inlineStr">
        <is>
          <t>VÄRMLANDS LÄN</t>
        </is>
      </c>
      <c r="E856" t="inlineStr">
        <is>
          <t>TORSBY</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28559-2021</t>
        </is>
      </c>
      <c r="B857" s="1" t="n">
        <v>44356</v>
      </c>
      <c r="C857" s="1" t="n">
        <v>45265</v>
      </c>
      <c r="D857" t="inlineStr">
        <is>
          <t>VÄRMLANDS LÄN</t>
        </is>
      </c>
      <c r="E857" t="inlineStr">
        <is>
          <t>TORSBY</t>
        </is>
      </c>
      <c r="G857" t="n">
        <v>2.3</v>
      </c>
      <c r="H857" t="n">
        <v>0</v>
      </c>
      <c r="I857" t="n">
        <v>0</v>
      </c>
      <c r="J857" t="n">
        <v>0</v>
      </c>
      <c r="K857" t="n">
        <v>0</v>
      </c>
      <c r="L857" t="n">
        <v>0</v>
      </c>
      <c r="M857" t="n">
        <v>0</v>
      </c>
      <c r="N857" t="n">
        <v>0</v>
      </c>
      <c r="O857" t="n">
        <v>0</v>
      </c>
      <c r="P857" t="n">
        <v>0</v>
      </c>
      <c r="Q857" t="n">
        <v>0</v>
      </c>
      <c r="R857" s="2" t="inlineStr"/>
    </row>
    <row r="858" ht="15" customHeight="1">
      <c r="A858" t="inlineStr">
        <is>
          <t>A 28562-2021</t>
        </is>
      </c>
      <c r="B858" s="1" t="n">
        <v>44356</v>
      </c>
      <c r="C858" s="1" t="n">
        <v>45265</v>
      </c>
      <c r="D858" t="inlineStr">
        <is>
          <t>VÄRMLANDS LÄN</t>
        </is>
      </c>
      <c r="E858" t="inlineStr">
        <is>
          <t>TORSBY</t>
        </is>
      </c>
      <c r="G858" t="n">
        <v>4.4</v>
      </c>
      <c r="H858" t="n">
        <v>0</v>
      </c>
      <c r="I858" t="n">
        <v>0</v>
      </c>
      <c r="J858" t="n">
        <v>0</v>
      </c>
      <c r="K858" t="n">
        <v>0</v>
      </c>
      <c r="L858" t="n">
        <v>0</v>
      </c>
      <c r="M858" t="n">
        <v>0</v>
      </c>
      <c r="N858" t="n">
        <v>0</v>
      </c>
      <c r="O858" t="n">
        <v>0</v>
      </c>
      <c r="P858" t="n">
        <v>0</v>
      </c>
      <c r="Q858" t="n">
        <v>0</v>
      </c>
      <c r="R858" s="2" t="inlineStr"/>
    </row>
    <row r="859" ht="15" customHeight="1">
      <c r="A859" t="inlineStr">
        <is>
          <t>A 28940-2021</t>
        </is>
      </c>
      <c r="B859" s="1" t="n">
        <v>44358</v>
      </c>
      <c r="C859" s="1" t="n">
        <v>45265</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29495-2021</t>
        </is>
      </c>
      <c r="B860" s="1" t="n">
        <v>44361</v>
      </c>
      <c r="C860" s="1" t="n">
        <v>45265</v>
      </c>
      <c r="D860" t="inlineStr">
        <is>
          <t>VÄRMLANDS LÄN</t>
        </is>
      </c>
      <c r="E860" t="inlineStr">
        <is>
          <t>TORSBY</t>
        </is>
      </c>
      <c r="F860" t="inlineStr">
        <is>
          <t>Övriga Aktiebolag</t>
        </is>
      </c>
      <c r="G860" t="n">
        <v>38.2</v>
      </c>
      <c r="H860" t="n">
        <v>0</v>
      </c>
      <c r="I860" t="n">
        <v>0</v>
      </c>
      <c r="J860" t="n">
        <v>0</v>
      </c>
      <c r="K860" t="n">
        <v>0</v>
      </c>
      <c r="L860" t="n">
        <v>0</v>
      </c>
      <c r="M860" t="n">
        <v>0</v>
      </c>
      <c r="N860" t="n">
        <v>0</v>
      </c>
      <c r="O860" t="n">
        <v>0</v>
      </c>
      <c r="P860" t="n">
        <v>0</v>
      </c>
      <c r="Q860" t="n">
        <v>0</v>
      </c>
      <c r="R860" s="2" t="inlineStr"/>
    </row>
    <row r="861" ht="15" customHeight="1">
      <c r="A861" t="inlineStr">
        <is>
          <t>A 29457-2021</t>
        </is>
      </c>
      <c r="B861" s="1" t="n">
        <v>44361</v>
      </c>
      <c r="C861" s="1" t="n">
        <v>45265</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29518-2021</t>
        </is>
      </c>
      <c r="B862" s="1" t="n">
        <v>44361</v>
      </c>
      <c r="C862" s="1" t="n">
        <v>45265</v>
      </c>
      <c r="D862" t="inlineStr">
        <is>
          <t>VÄRMLANDS LÄN</t>
        </is>
      </c>
      <c r="E862" t="inlineStr">
        <is>
          <t>TORSBY</t>
        </is>
      </c>
      <c r="F862" t="inlineStr">
        <is>
          <t>Bergvik skog väst AB</t>
        </is>
      </c>
      <c r="G862" t="n">
        <v>16.7</v>
      </c>
      <c r="H862" t="n">
        <v>0</v>
      </c>
      <c r="I862" t="n">
        <v>0</v>
      </c>
      <c r="J862" t="n">
        <v>0</v>
      </c>
      <c r="K862" t="n">
        <v>0</v>
      </c>
      <c r="L862" t="n">
        <v>0</v>
      </c>
      <c r="M862" t="n">
        <v>0</v>
      </c>
      <c r="N862" t="n">
        <v>0</v>
      </c>
      <c r="O862" t="n">
        <v>0</v>
      </c>
      <c r="P862" t="n">
        <v>0</v>
      </c>
      <c r="Q862" t="n">
        <v>0</v>
      </c>
      <c r="R862" s="2" t="inlineStr"/>
    </row>
    <row r="863" ht="15" customHeight="1">
      <c r="A863" t="inlineStr">
        <is>
          <t>A 29746-2021</t>
        </is>
      </c>
      <c r="B863" s="1" t="n">
        <v>44362</v>
      </c>
      <c r="C863" s="1" t="n">
        <v>45265</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30162-2021</t>
        </is>
      </c>
      <c r="B864" s="1" t="n">
        <v>44363</v>
      </c>
      <c r="C864" s="1" t="n">
        <v>45265</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30384-2021</t>
        </is>
      </c>
      <c r="B865" s="1" t="n">
        <v>44364</v>
      </c>
      <c r="C865" s="1" t="n">
        <v>45265</v>
      </c>
      <c r="D865" t="inlineStr">
        <is>
          <t>VÄRMLANDS LÄN</t>
        </is>
      </c>
      <c r="E865" t="inlineStr">
        <is>
          <t>TORSBY</t>
        </is>
      </c>
      <c r="G865" t="n">
        <v>2.8</v>
      </c>
      <c r="H865" t="n">
        <v>0</v>
      </c>
      <c r="I865" t="n">
        <v>0</v>
      </c>
      <c r="J865" t="n">
        <v>0</v>
      </c>
      <c r="K865" t="n">
        <v>0</v>
      </c>
      <c r="L865" t="n">
        <v>0</v>
      </c>
      <c r="M865" t="n">
        <v>0</v>
      </c>
      <c r="N865" t="n">
        <v>0</v>
      </c>
      <c r="O865" t="n">
        <v>0</v>
      </c>
      <c r="P865" t="n">
        <v>0</v>
      </c>
      <c r="Q865" t="n">
        <v>0</v>
      </c>
      <c r="R865" s="2" t="inlineStr"/>
    </row>
    <row r="866" ht="15" customHeight="1">
      <c r="A866" t="inlineStr">
        <is>
          <t>A 30802-2021</t>
        </is>
      </c>
      <c r="B866" s="1" t="n">
        <v>44365</v>
      </c>
      <c r="C866" s="1" t="n">
        <v>45265</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31494-2021</t>
        </is>
      </c>
      <c r="B867" s="1" t="n">
        <v>44369</v>
      </c>
      <c r="C867" s="1" t="n">
        <v>45265</v>
      </c>
      <c r="D867" t="inlineStr">
        <is>
          <t>VÄRMLANDS LÄN</t>
        </is>
      </c>
      <c r="E867" t="inlineStr">
        <is>
          <t>TORSBY</t>
        </is>
      </c>
      <c r="G867" t="n">
        <v>3.5</v>
      </c>
      <c r="H867" t="n">
        <v>0</v>
      </c>
      <c r="I867" t="n">
        <v>0</v>
      </c>
      <c r="J867" t="n">
        <v>0</v>
      </c>
      <c r="K867" t="n">
        <v>0</v>
      </c>
      <c r="L867" t="n">
        <v>0</v>
      </c>
      <c r="M867" t="n">
        <v>0</v>
      </c>
      <c r="N867" t="n">
        <v>0</v>
      </c>
      <c r="O867" t="n">
        <v>0</v>
      </c>
      <c r="P867" t="n">
        <v>0</v>
      </c>
      <c r="Q867" t="n">
        <v>0</v>
      </c>
      <c r="R867" s="2" t="inlineStr"/>
    </row>
    <row r="868" ht="15" customHeight="1">
      <c r="A868" t="inlineStr">
        <is>
          <t>A 31493-2021</t>
        </is>
      </c>
      <c r="B868" s="1" t="n">
        <v>44369</v>
      </c>
      <c r="C868" s="1" t="n">
        <v>45265</v>
      </c>
      <c r="D868" t="inlineStr">
        <is>
          <t>VÄRMLANDS LÄN</t>
        </is>
      </c>
      <c r="E868" t="inlineStr">
        <is>
          <t>TORSBY</t>
        </is>
      </c>
      <c r="G868" t="n">
        <v>2.6</v>
      </c>
      <c r="H868" t="n">
        <v>0</v>
      </c>
      <c r="I868" t="n">
        <v>0</v>
      </c>
      <c r="J868" t="n">
        <v>0</v>
      </c>
      <c r="K868" t="n">
        <v>0</v>
      </c>
      <c r="L868" t="n">
        <v>0</v>
      </c>
      <c r="M868" t="n">
        <v>0</v>
      </c>
      <c r="N868" t="n">
        <v>0</v>
      </c>
      <c r="O868" t="n">
        <v>0</v>
      </c>
      <c r="P868" t="n">
        <v>0</v>
      </c>
      <c r="Q868" t="n">
        <v>0</v>
      </c>
      <c r="R868" s="2" t="inlineStr"/>
    </row>
    <row r="869" ht="15" customHeight="1">
      <c r="A869" t="inlineStr">
        <is>
          <t>A 31511-2021</t>
        </is>
      </c>
      <c r="B869" s="1" t="n">
        <v>44369</v>
      </c>
      <c r="C869" s="1" t="n">
        <v>45265</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31894-2021</t>
        </is>
      </c>
      <c r="B870" s="1" t="n">
        <v>44370</v>
      </c>
      <c r="C870" s="1" t="n">
        <v>45265</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31911-2021</t>
        </is>
      </c>
      <c r="B871" s="1" t="n">
        <v>44370</v>
      </c>
      <c r="C871" s="1" t="n">
        <v>45265</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32696-2021</t>
        </is>
      </c>
      <c r="B872" s="1" t="n">
        <v>44375</v>
      </c>
      <c r="C872" s="1" t="n">
        <v>45265</v>
      </c>
      <c r="D872" t="inlineStr">
        <is>
          <t>VÄRMLANDS LÄN</t>
        </is>
      </c>
      <c r="E872" t="inlineStr">
        <is>
          <t>TORSBY</t>
        </is>
      </c>
      <c r="F872" t="inlineStr">
        <is>
          <t>Bergvik skog väst AB</t>
        </is>
      </c>
      <c r="G872" t="n">
        <v>14.8</v>
      </c>
      <c r="H872" t="n">
        <v>0</v>
      </c>
      <c r="I872" t="n">
        <v>0</v>
      </c>
      <c r="J872" t="n">
        <v>0</v>
      </c>
      <c r="K872" t="n">
        <v>0</v>
      </c>
      <c r="L872" t="n">
        <v>0</v>
      </c>
      <c r="M872" t="n">
        <v>0</v>
      </c>
      <c r="N872" t="n">
        <v>0</v>
      </c>
      <c r="O872" t="n">
        <v>0</v>
      </c>
      <c r="P872" t="n">
        <v>0</v>
      </c>
      <c r="Q872" t="n">
        <v>0</v>
      </c>
      <c r="R872" s="2" t="inlineStr"/>
    </row>
    <row r="873" ht="15" customHeight="1">
      <c r="A873" t="inlineStr">
        <is>
          <t>A 32821-2021</t>
        </is>
      </c>
      <c r="B873" s="1" t="n">
        <v>44375</v>
      </c>
      <c r="C873" s="1" t="n">
        <v>45265</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32747-2021</t>
        </is>
      </c>
      <c r="B874" s="1" t="n">
        <v>44375</v>
      </c>
      <c r="C874" s="1" t="n">
        <v>45265</v>
      </c>
      <c r="D874" t="inlineStr">
        <is>
          <t>VÄRMLANDS LÄN</t>
        </is>
      </c>
      <c r="E874" t="inlineStr">
        <is>
          <t>TORSBY</t>
        </is>
      </c>
      <c r="G874" t="n">
        <v>6.3</v>
      </c>
      <c r="H874" t="n">
        <v>0</v>
      </c>
      <c r="I874" t="n">
        <v>0</v>
      </c>
      <c r="J874" t="n">
        <v>0</v>
      </c>
      <c r="K874" t="n">
        <v>0</v>
      </c>
      <c r="L874" t="n">
        <v>0</v>
      </c>
      <c r="M874" t="n">
        <v>0</v>
      </c>
      <c r="N874" t="n">
        <v>0</v>
      </c>
      <c r="O874" t="n">
        <v>0</v>
      </c>
      <c r="P874" t="n">
        <v>0</v>
      </c>
      <c r="Q874" t="n">
        <v>0</v>
      </c>
      <c r="R874" s="2" t="inlineStr"/>
    </row>
    <row r="875" ht="15" customHeight="1">
      <c r="A875" t="inlineStr">
        <is>
          <t>A 33146-2021</t>
        </is>
      </c>
      <c r="B875" s="1" t="n">
        <v>44376</v>
      </c>
      <c r="C875" s="1" t="n">
        <v>45265</v>
      </c>
      <c r="D875" t="inlineStr">
        <is>
          <t>VÄRMLANDS LÄN</t>
        </is>
      </c>
      <c r="E875" t="inlineStr">
        <is>
          <t>TORSBY</t>
        </is>
      </c>
      <c r="F875" t="inlineStr">
        <is>
          <t>Bergvik skog väst AB</t>
        </is>
      </c>
      <c r="G875" t="n">
        <v>44.5</v>
      </c>
      <c r="H875" t="n">
        <v>0</v>
      </c>
      <c r="I875" t="n">
        <v>0</v>
      </c>
      <c r="J875" t="n">
        <v>0</v>
      </c>
      <c r="K875" t="n">
        <v>0</v>
      </c>
      <c r="L875" t="n">
        <v>0</v>
      </c>
      <c r="M875" t="n">
        <v>0</v>
      </c>
      <c r="N875" t="n">
        <v>0</v>
      </c>
      <c r="O875" t="n">
        <v>0</v>
      </c>
      <c r="P875" t="n">
        <v>0</v>
      </c>
      <c r="Q875" t="n">
        <v>0</v>
      </c>
      <c r="R875" s="2" t="inlineStr"/>
    </row>
    <row r="876" ht="15" customHeight="1">
      <c r="A876" t="inlineStr">
        <is>
          <t>A 33182-2021</t>
        </is>
      </c>
      <c r="B876" s="1" t="n">
        <v>44376</v>
      </c>
      <c r="C876" s="1" t="n">
        <v>45265</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33145-2021</t>
        </is>
      </c>
      <c r="B877" s="1" t="n">
        <v>44376</v>
      </c>
      <c r="C877" s="1" t="n">
        <v>45265</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33149-2021</t>
        </is>
      </c>
      <c r="B878" s="1" t="n">
        <v>44376</v>
      </c>
      <c r="C878" s="1" t="n">
        <v>45265</v>
      </c>
      <c r="D878" t="inlineStr">
        <is>
          <t>VÄRMLANDS LÄN</t>
        </is>
      </c>
      <c r="E878" t="inlineStr">
        <is>
          <t>TORSBY</t>
        </is>
      </c>
      <c r="G878" t="n">
        <v>1.2</v>
      </c>
      <c r="H878" t="n">
        <v>0</v>
      </c>
      <c r="I878" t="n">
        <v>0</v>
      </c>
      <c r="J878" t="n">
        <v>0</v>
      </c>
      <c r="K878" t="n">
        <v>0</v>
      </c>
      <c r="L878" t="n">
        <v>0</v>
      </c>
      <c r="M878" t="n">
        <v>0</v>
      </c>
      <c r="N878" t="n">
        <v>0</v>
      </c>
      <c r="O878" t="n">
        <v>0</v>
      </c>
      <c r="P878" t="n">
        <v>0</v>
      </c>
      <c r="Q878" t="n">
        <v>0</v>
      </c>
      <c r="R878" s="2" t="inlineStr"/>
    </row>
    <row r="879" ht="15" customHeight="1">
      <c r="A879" t="inlineStr">
        <is>
          <t>A 33183-2021</t>
        </is>
      </c>
      <c r="B879" s="1" t="n">
        <v>44376</v>
      </c>
      <c r="C879" s="1" t="n">
        <v>45265</v>
      </c>
      <c r="D879" t="inlineStr">
        <is>
          <t>VÄRMLANDS LÄN</t>
        </is>
      </c>
      <c r="E879" t="inlineStr">
        <is>
          <t>TORSBY</t>
        </is>
      </c>
      <c r="G879" t="n">
        <v>2.3</v>
      </c>
      <c r="H879" t="n">
        <v>0</v>
      </c>
      <c r="I879" t="n">
        <v>0</v>
      </c>
      <c r="J879" t="n">
        <v>0</v>
      </c>
      <c r="K879" t="n">
        <v>0</v>
      </c>
      <c r="L879" t="n">
        <v>0</v>
      </c>
      <c r="M879" t="n">
        <v>0</v>
      </c>
      <c r="N879" t="n">
        <v>0</v>
      </c>
      <c r="O879" t="n">
        <v>0</v>
      </c>
      <c r="P879" t="n">
        <v>0</v>
      </c>
      <c r="Q879" t="n">
        <v>0</v>
      </c>
      <c r="R879" s="2" t="inlineStr"/>
    </row>
    <row r="880" ht="15" customHeight="1">
      <c r="A880" t="inlineStr">
        <is>
          <t>A 33517-2021</t>
        </is>
      </c>
      <c r="B880" s="1" t="n">
        <v>44377</v>
      </c>
      <c r="C880" s="1" t="n">
        <v>45265</v>
      </c>
      <c r="D880" t="inlineStr">
        <is>
          <t>VÄRMLANDS LÄN</t>
        </is>
      </c>
      <c r="E880" t="inlineStr">
        <is>
          <t>TORSBY</t>
        </is>
      </c>
      <c r="G880" t="n">
        <v>2.2</v>
      </c>
      <c r="H880" t="n">
        <v>0</v>
      </c>
      <c r="I880" t="n">
        <v>0</v>
      </c>
      <c r="J880" t="n">
        <v>0</v>
      </c>
      <c r="K880" t="n">
        <v>0</v>
      </c>
      <c r="L880" t="n">
        <v>0</v>
      </c>
      <c r="M880" t="n">
        <v>0</v>
      </c>
      <c r="N880" t="n">
        <v>0</v>
      </c>
      <c r="O880" t="n">
        <v>0</v>
      </c>
      <c r="P880" t="n">
        <v>0</v>
      </c>
      <c r="Q880" t="n">
        <v>0</v>
      </c>
      <c r="R880" s="2" t="inlineStr"/>
    </row>
    <row r="881" ht="15" customHeight="1">
      <c r="A881" t="inlineStr">
        <is>
          <t>A 33515-2021</t>
        </is>
      </c>
      <c r="B881" s="1" t="n">
        <v>44377</v>
      </c>
      <c r="C881" s="1" t="n">
        <v>45265</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33839-2021</t>
        </is>
      </c>
      <c r="B882" s="1" t="n">
        <v>44378</v>
      </c>
      <c r="C882" s="1" t="n">
        <v>45265</v>
      </c>
      <c r="D882" t="inlineStr">
        <is>
          <t>VÄRMLANDS LÄN</t>
        </is>
      </c>
      <c r="E882" t="inlineStr">
        <is>
          <t>TORSBY</t>
        </is>
      </c>
      <c r="F882" t="inlineStr">
        <is>
          <t>Bergvik skog väst AB</t>
        </is>
      </c>
      <c r="G882" t="n">
        <v>2.5</v>
      </c>
      <c r="H882" t="n">
        <v>0</v>
      </c>
      <c r="I882" t="n">
        <v>0</v>
      </c>
      <c r="J882" t="n">
        <v>0</v>
      </c>
      <c r="K882" t="n">
        <v>0</v>
      </c>
      <c r="L882" t="n">
        <v>0</v>
      </c>
      <c r="M882" t="n">
        <v>0</v>
      </c>
      <c r="N882" t="n">
        <v>0</v>
      </c>
      <c r="O882" t="n">
        <v>0</v>
      </c>
      <c r="P882" t="n">
        <v>0</v>
      </c>
      <c r="Q882" t="n">
        <v>0</v>
      </c>
      <c r="R882" s="2" t="inlineStr"/>
    </row>
    <row r="883" ht="15" customHeight="1">
      <c r="A883" t="inlineStr">
        <is>
          <t>A 33853-2021</t>
        </is>
      </c>
      <c r="B883" s="1" t="n">
        <v>44378</v>
      </c>
      <c r="C883" s="1" t="n">
        <v>45265</v>
      </c>
      <c r="D883" t="inlineStr">
        <is>
          <t>VÄRMLANDS LÄN</t>
        </is>
      </c>
      <c r="E883" t="inlineStr">
        <is>
          <t>TORSBY</t>
        </is>
      </c>
      <c r="F883" t="inlineStr">
        <is>
          <t>Bergvik skog väst AB</t>
        </is>
      </c>
      <c r="G883" t="n">
        <v>2</v>
      </c>
      <c r="H883" t="n">
        <v>0</v>
      </c>
      <c r="I883" t="n">
        <v>0</v>
      </c>
      <c r="J883" t="n">
        <v>0</v>
      </c>
      <c r="K883" t="n">
        <v>0</v>
      </c>
      <c r="L883" t="n">
        <v>0</v>
      </c>
      <c r="M883" t="n">
        <v>0</v>
      </c>
      <c r="N883" t="n">
        <v>0</v>
      </c>
      <c r="O883" t="n">
        <v>0</v>
      </c>
      <c r="P883" t="n">
        <v>0</v>
      </c>
      <c r="Q883" t="n">
        <v>0</v>
      </c>
      <c r="R883" s="2" t="inlineStr"/>
    </row>
    <row r="884" ht="15" customHeight="1">
      <c r="A884" t="inlineStr">
        <is>
          <t>A 33937-2021</t>
        </is>
      </c>
      <c r="B884" s="1" t="n">
        <v>44378</v>
      </c>
      <c r="C884" s="1" t="n">
        <v>45265</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34626-2021</t>
        </is>
      </c>
      <c r="B885" s="1" t="n">
        <v>44382</v>
      </c>
      <c r="C885" s="1" t="n">
        <v>45265</v>
      </c>
      <c r="D885" t="inlineStr">
        <is>
          <t>VÄRMLANDS LÄN</t>
        </is>
      </c>
      <c r="E885" t="inlineStr">
        <is>
          <t>TORSBY</t>
        </is>
      </c>
      <c r="G885" t="n">
        <v>2.1</v>
      </c>
      <c r="H885" t="n">
        <v>0</v>
      </c>
      <c r="I885" t="n">
        <v>0</v>
      </c>
      <c r="J885" t="n">
        <v>0</v>
      </c>
      <c r="K885" t="n">
        <v>0</v>
      </c>
      <c r="L885" t="n">
        <v>0</v>
      </c>
      <c r="M885" t="n">
        <v>0</v>
      </c>
      <c r="N885" t="n">
        <v>0</v>
      </c>
      <c r="O885" t="n">
        <v>0</v>
      </c>
      <c r="P885" t="n">
        <v>0</v>
      </c>
      <c r="Q885" t="n">
        <v>0</v>
      </c>
      <c r="R885" s="2" t="inlineStr"/>
    </row>
    <row r="886" ht="15" customHeight="1">
      <c r="A886" t="inlineStr">
        <is>
          <t>A 34694-2021</t>
        </is>
      </c>
      <c r="B886" s="1" t="n">
        <v>44382</v>
      </c>
      <c r="C886" s="1" t="n">
        <v>45265</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34885-2021</t>
        </is>
      </c>
      <c r="B887" s="1" t="n">
        <v>44383</v>
      </c>
      <c r="C887" s="1" t="n">
        <v>45265</v>
      </c>
      <c r="D887" t="inlineStr">
        <is>
          <t>VÄRMLANDS LÄN</t>
        </is>
      </c>
      <c r="E887" t="inlineStr">
        <is>
          <t>TORSBY</t>
        </is>
      </c>
      <c r="G887" t="n">
        <v>8.9</v>
      </c>
      <c r="H887" t="n">
        <v>0</v>
      </c>
      <c r="I887" t="n">
        <v>0</v>
      </c>
      <c r="J887" t="n">
        <v>0</v>
      </c>
      <c r="K887" t="n">
        <v>0</v>
      </c>
      <c r="L887" t="n">
        <v>0</v>
      </c>
      <c r="M887" t="n">
        <v>0</v>
      </c>
      <c r="N887" t="n">
        <v>0</v>
      </c>
      <c r="O887" t="n">
        <v>0</v>
      </c>
      <c r="P887" t="n">
        <v>0</v>
      </c>
      <c r="Q887" t="n">
        <v>0</v>
      </c>
      <c r="R887" s="2" t="inlineStr"/>
    </row>
    <row r="888" ht="15" customHeight="1">
      <c r="A888" t="inlineStr">
        <is>
          <t>A 35221-2021</t>
        </is>
      </c>
      <c r="B888" s="1" t="n">
        <v>44384</v>
      </c>
      <c r="C888" s="1" t="n">
        <v>45265</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35586-2021</t>
        </is>
      </c>
      <c r="B889" s="1" t="n">
        <v>44386</v>
      </c>
      <c r="C889" s="1" t="n">
        <v>45265</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35907-2021</t>
        </is>
      </c>
      <c r="B890" s="1" t="n">
        <v>44387</v>
      </c>
      <c r="C890" s="1" t="n">
        <v>45265</v>
      </c>
      <c r="D890" t="inlineStr">
        <is>
          <t>VÄRMLANDS LÄN</t>
        </is>
      </c>
      <c r="E890" t="inlineStr">
        <is>
          <t>TORSBY</t>
        </is>
      </c>
      <c r="G890" t="n">
        <v>3</v>
      </c>
      <c r="H890" t="n">
        <v>0</v>
      </c>
      <c r="I890" t="n">
        <v>0</v>
      </c>
      <c r="J890" t="n">
        <v>0</v>
      </c>
      <c r="K890" t="n">
        <v>0</v>
      </c>
      <c r="L890" t="n">
        <v>0</v>
      </c>
      <c r="M890" t="n">
        <v>0</v>
      </c>
      <c r="N890" t="n">
        <v>0</v>
      </c>
      <c r="O890" t="n">
        <v>0</v>
      </c>
      <c r="P890" t="n">
        <v>0</v>
      </c>
      <c r="Q890" t="n">
        <v>0</v>
      </c>
      <c r="R890" s="2" t="inlineStr"/>
    </row>
    <row r="891" ht="15" customHeight="1">
      <c r="A891" t="inlineStr">
        <is>
          <t>A 35909-2021</t>
        </is>
      </c>
      <c r="B891" s="1" t="n">
        <v>44387</v>
      </c>
      <c r="C891" s="1" t="n">
        <v>45265</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36189-2021</t>
        </is>
      </c>
      <c r="B892" s="1" t="n">
        <v>44389</v>
      </c>
      <c r="C892" s="1" t="n">
        <v>45265</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36186-2021</t>
        </is>
      </c>
      <c r="B893" s="1" t="n">
        <v>44389</v>
      </c>
      <c r="C893" s="1" t="n">
        <v>45265</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36327-2021</t>
        </is>
      </c>
      <c r="B894" s="1" t="n">
        <v>44390</v>
      </c>
      <c r="C894" s="1" t="n">
        <v>45265</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36589-2021</t>
        </is>
      </c>
      <c r="B895" s="1" t="n">
        <v>44391</v>
      </c>
      <c r="C895" s="1" t="n">
        <v>45265</v>
      </c>
      <c r="D895" t="inlineStr">
        <is>
          <t>VÄRMLANDS LÄN</t>
        </is>
      </c>
      <c r="E895" t="inlineStr">
        <is>
          <t>TORSBY</t>
        </is>
      </c>
      <c r="G895" t="n">
        <v>3.9</v>
      </c>
      <c r="H895" t="n">
        <v>0</v>
      </c>
      <c r="I895" t="n">
        <v>0</v>
      </c>
      <c r="J895" t="n">
        <v>0</v>
      </c>
      <c r="K895" t="n">
        <v>0</v>
      </c>
      <c r="L895" t="n">
        <v>0</v>
      </c>
      <c r="M895" t="n">
        <v>0</v>
      </c>
      <c r="N895" t="n">
        <v>0</v>
      </c>
      <c r="O895" t="n">
        <v>0</v>
      </c>
      <c r="P895" t="n">
        <v>0</v>
      </c>
      <c r="Q895" t="n">
        <v>0</v>
      </c>
      <c r="R895" s="2" t="inlineStr"/>
    </row>
    <row r="896" ht="15" customHeight="1">
      <c r="A896" t="inlineStr">
        <is>
          <t>A 36700-2021</t>
        </is>
      </c>
      <c r="B896" s="1" t="n">
        <v>44392</v>
      </c>
      <c r="C896" s="1" t="n">
        <v>45265</v>
      </c>
      <c r="D896" t="inlineStr">
        <is>
          <t>VÄRMLANDS LÄN</t>
        </is>
      </c>
      <c r="E896" t="inlineStr">
        <is>
          <t>TORSBY</t>
        </is>
      </c>
      <c r="F896" t="inlineStr">
        <is>
          <t>Bergvik skog väst AB</t>
        </is>
      </c>
      <c r="G896" t="n">
        <v>9.9</v>
      </c>
      <c r="H896" t="n">
        <v>0</v>
      </c>
      <c r="I896" t="n">
        <v>0</v>
      </c>
      <c r="J896" t="n">
        <v>0</v>
      </c>
      <c r="K896" t="n">
        <v>0</v>
      </c>
      <c r="L896" t="n">
        <v>0</v>
      </c>
      <c r="M896" t="n">
        <v>0</v>
      </c>
      <c r="N896" t="n">
        <v>0</v>
      </c>
      <c r="O896" t="n">
        <v>0</v>
      </c>
      <c r="P896" t="n">
        <v>0</v>
      </c>
      <c r="Q896" t="n">
        <v>0</v>
      </c>
      <c r="R896" s="2" t="inlineStr"/>
    </row>
    <row r="897" ht="15" customHeight="1">
      <c r="A897" t="inlineStr">
        <is>
          <t>A 37074-2021</t>
        </is>
      </c>
      <c r="B897" s="1" t="n">
        <v>44394</v>
      </c>
      <c r="C897" s="1" t="n">
        <v>45265</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37075-2021</t>
        </is>
      </c>
      <c r="B898" s="1" t="n">
        <v>44394</v>
      </c>
      <c r="C898" s="1" t="n">
        <v>45265</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37225-2021</t>
        </is>
      </c>
      <c r="B899" s="1" t="n">
        <v>44396</v>
      </c>
      <c r="C899" s="1" t="n">
        <v>45265</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45265</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37608-2021</t>
        </is>
      </c>
      <c r="B901" s="1" t="n">
        <v>44399</v>
      </c>
      <c r="C901" s="1" t="n">
        <v>45265</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38467-2021</t>
        </is>
      </c>
      <c r="B902" s="1" t="n">
        <v>44405</v>
      </c>
      <c r="C902" s="1" t="n">
        <v>45265</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38229-2021</t>
        </is>
      </c>
      <c r="B903" s="1" t="n">
        <v>44405</v>
      </c>
      <c r="C903" s="1" t="n">
        <v>45265</v>
      </c>
      <c r="D903" t="inlineStr">
        <is>
          <t>VÄRMLANDS LÄN</t>
        </is>
      </c>
      <c r="E903" t="inlineStr">
        <is>
          <t>TORSBY</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38298-2021</t>
        </is>
      </c>
      <c r="B904" s="1" t="n">
        <v>44406</v>
      </c>
      <c r="C904" s="1" t="n">
        <v>45265</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38564-2021</t>
        </is>
      </c>
      <c r="B905" s="1" t="n">
        <v>44407</v>
      </c>
      <c r="C905" s="1" t="n">
        <v>45265</v>
      </c>
      <c r="D905" t="inlineStr">
        <is>
          <t>VÄRMLANDS LÄN</t>
        </is>
      </c>
      <c r="E905" t="inlineStr">
        <is>
          <t>TORSBY</t>
        </is>
      </c>
      <c r="F905" t="inlineStr">
        <is>
          <t>Bergvik skog väst AB</t>
        </is>
      </c>
      <c r="G905" t="n">
        <v>15.7</v>
      </c>
      <c r="H905" t="n">
        <v>0</v>
      </c>
      <c r="I905" t="n">
        <v>0</v>
      </c>
      <c r="J905" t="n">
        <v>0</v>
      </c>
      <c r="K905" t="n">
        <v>0</v>
      </c>
      <c r="L905" t="n">
        <v>0</v>
      </c>
      <c r="M905" t="n">
        <v>0</v>
      </c>
      <c r="N905" t="n">
        <v>0</v>
      </c>
      <c r="O905" t="n">
        <v>0</v>
      </c>
      <c r="P905" t="n">
        <v>0</v>
      </c>
      <c r="Q905" t="n">
        <v>0</v>
      </c>
      <c r="R905" s="2" t="inlineStr"/>
    </row>
    <row r="906" ht="15" customHeight="1">
      <c r="A906" t="inlineStr">
        <is>
          <t>A 38528-2021</t>
        </is>
      </c>
      <c r="B906" s="1" t="n">
        <v>44407</v>
      </c>
      <c r="C906" s="1" t="n">
        <v>45265</v>
      </c>
      <c r="D906" t="inlineStr">
        <is>
          <t>VÄRMLANDS LÄN</t>
        </is>
      </c>
      <c r="E906" t="inlineStr">
        <is>
          <t>TORSBY</t>
        </is>
      </c>
      <c r="F906" t="inlineStr">
        <is>
          <t>Bergvik skog väst AB</t>
        </is>
      </c>
      <c r="G906" t="n">
        <v>12.5</v>
      </c>
      <c r="H906" t="n">
        <v>0</v>
      </c>
      <c r="I906" t="n">
        <v>0</v>
      </c>
      <c r="J906" t="n">
        <v>0</v>
      </c>
      <c r="K906" t="n">
        <v>0</v>
      </c>
      <c r="L906" t="n">
        <v>0</v>
      </c>
      <c r="M906" t="n">
        <v>0</v>
      </c>
      <c r="N906" t="n">
        <v>0</v>
      </c>
      <c r="O906" t="n">
        <v>0</v>
      </c>
      <c r="P906" t="n">
        <v>0</v>
      </c>
      <c r="Q906" t="n">
        <v>0</v>
      </c>
      <c r="R906" s="2" t="inlineStr"/>
    </row>
    <row r="907" ht="15" customHeight="1">
      <c r="A907" t="inlineStr">
        <is>
          <t>A 38767-2021</t>
        </is>
      </c>
      <c r="B907" s="1" t="n">
        <v>44410</v>
      </c>
      <c r="C907" s="1" t="n">
        <v>45265</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38841-2021</t>
        </is>
      </c>
      <c r="B908" s="1" t="n">
        <v>44411</v>
      </c>
      <c r="C908" s="1" t="n">
        <v>45265</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39003-2021</t>
        </is>
      </c>
      <c r="B909" s="1" t="n">
        <v>44412</v>
      </c>
      <c r="C909" s="1" t="n">
        <v>45265</v>
      </c>
      <c r="D909" t="inlineStr">
        <is>
          <t>VÄRMLANDS LÄN</t>
        </is>
      </c>
      <c r="E909" t="inlineStr">
        <is>
          <t>TORSBY</t>
        </is>
      </c>
      <c r="F909" t="inlineStr">
        <is>
          <t>Bergvik skog väst AB</t>
        </is>
      </c>
      <c r="G909" t="n">
        <v>3.1</v>
      </c>
      <c r="H909" t="n">
        <v>0</v>
      </c>
      <c r="I909" t="n">
        <v>0</v>
      </c>
      <c r="J909" t="n">
        <v>0</v>
      </c>
      <c r="K909" t="n">
        <v>0</v>
      </c>
      <c r="L909" t="n">
        <v>0</v>
      </c>
      <c r="M909" t="n">
        <v>0</v>
      </c>
      <c r="N909" t="n">
        <v>0</v>
      </c>
      <c r="O909" t="n">
        <v>0</v>
      </c>
      <c r="P909" t="n">
        <v>0</v>
      </c>
      <c r="Q909" t="n">
        <v>0</v>
      </c>
      <c r="R909" s="2" t="inlineStr"/>
    </row>
    <row r="910" ht="15" customHeight="1">
      <c r="A910" t="inlineStr">
        <is>
          <t>A 39260-2021</t>
        </is>
      </c>
      <c r="B910" s="1" t="n">
        <v>44413</v>
      </c>
      <c r="C910" s="1" t="n">
        <v>45265</v>
      </c>
      <c r="D910" t="inlineStr">
        <is>
          <t>VÄRMLANDS LÄN</t>
        </is>
      </c>
      <c r="E910" t="inlineStr">
        <is>
          <t>TORSBY</t>
        </is>
      </c>
      <c r="G910" t="n">
        <v>4.7</v>
      </c>
      <c r="H910" t="n">
        <v>0</v>
      </c>
      <c r="I910" t="n">
        <v>0</v>
      </c>
      <c r="J910" t="n">
        <v>0</v>
      </c>
      <c r="K910" t="n">
        <v>0</v>
      </c>
      <c r="L910" t="n">
        <v>0</v>
      </c>
      <c r="M910" t="n">
        <v>0</v>
      </c>
      <c r="N910" t="n">
        <v>0</v>
      </c>
      <c r="O910" t="n">
        <v>0</v>
      </c>
      <c r="P910" t="n">
        <v>0</v>
      </c>
      <c r="Q910" t="n">
        <v>0</v>
      </c>
      <c r="R910" s="2" t="inlineStr"/>
    </row>
    <row r="911" ht="15" customHeight="1">
      <c r="A911" t="inlineStr">
        <is>
          <t>A 39642-2021</t>
        </is>
      </c>
      <c r="B911" s="1" t="n">
        <v>44417</v>
      </c>
      <c r="C911" s="1" t="n">
        <v>45265</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39826-2021</t>
        </is>
      </c>
      <c r="B912" s="1" t="n">
        <v>44417</v>
      </c>
      <c r="C912" s="1" t="n">
        <v>45265</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39967-2021</t>
        </is>
      </c>
      <c r="B913" s="1" t="n">
        <v>44418</v>
      </c>
      <c r="C913" s="1" t="n">
        <v>45265</v>
      </c>
      <c r="D913" t="inlineStr">
        <is>
          <t>VÄRMLANDS LÄN</t>
        </is>
      </c>
      <c r="E913" t="inlineStr">
        <is>
          <t>TORSBY</t>
        </is>
      </c>
      <c r="F913" t="inlineStr">
        <is>
          <t>Bergvik skog väst AB</t>
        </is>
      </c>
      <c r="G913" t="n">
        <v>11.8</v>
      </c>
      <c r="H913" t="n">
        <v>0</v>
      </c>
      <c r="I913" t="n">
        <v>0</v>
      </c>
      <c r="J913" t="n">
        <v>0</v>
      </c>
      <c r="K913" t="n">
        <v>0</v>
      </c>
      <c r="L913" t="n">
        <v>0</v>
      </c>
      <c r="M913" t="n">
        <v>0</v>
      </c>
      <c r="N913" t="n">
        <v>0</v>
      </c>
      <c r="O913" t="n">
        <v>0</v>
      </c>
      <c r="P913" t="n">
        <v>0</v>
      </c>
      <c r="Q913" t="n">
        <v>0</v>
      </c>
      <c r="R913" s="2" t="inlineStr"/>
    </row>
    <row r="914" ht="15" customHeight="1">
      <c r="A914" t="inlineStr">
        <is>
          <t>A 40281-2021</t>
        </is>
      </c>
      <c r="B914" s="1" t="n">
        <v>44419</v>
      </c>
      <c r="C914" s="1" t="n">
        <v>45265</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40276-2021</t>
        </is>
      </c>
      <c r="B915" s="1" t="n">
        <v>44419</v>
      </c>
      <c r="C915" s="1" t="n">
        <v>45265</v>
      </c>
      <c r="D915" t="inlineStr">
        <is>
          <t>VÄRMLANDS LÄN</t>
        </is>
      </c>
      <c r="E915" t="inlineStr">
        <is>
          <t>TORSBY</t>
        </is>
      </c>
      <c r="G915" t="n">
        <v>2.2</v>
      </c>
      <c r="H915" t="n">
        <v>0</v>
      </c>
      <c r="I915" t="n">
        <v>0</v>
      </c>
      <c r="J915" t="n">
        <v>0</v>
      </c>
      <c r="K915" t="n">
        <v>0</v>
      </c>
      <c r="L915" t="n">
        <v>0</v>
      </c>
      <c r="M915" t="n">
        <v>0</v>
      </c>
      <c r="N915" t="n">
        <v>0</v>
      </c>
      <c r="O915" t="n">
        <v>0</v>
      </c>
      <c r="P915" t="n">
        <v>0</v>
      </c>
      <c r="Q915" t="n">
        <v>0</v>
      </c>
      <c r="R915" s="2" t="inlineStr"/>
    </row>
    <row r="916" ht="15" customHeight="1">
      <c r="A916" t="inlineStr">
        <is>
          <t>A 40278-2021</t>
        </is>
      </c>
      <c r="B916" s="1" t="n">
        <v>44419</v>
      </c>
      <c r="C916" s="1" t="n">
        <v>45265</v>
      </c>
      <c r="D916" t="inlineStr">
        <is>
          <t>VÄRMLANDS LÄN</t>
        </is>
      </c>
      <c r="E916" t="inlineStr">
        <is>
          <t>TORSBY</t>
        </is>
      </c>
      <c r="G916" t="n">
        <v>0.7</v>
      </c>
      <c r="H916" t="n">
        <v>0</v>
      </c>
      <c r="I916" t="n">
        <v>0</v>
      </c>
      <c r="J916" t="n">
        <v>0</v>
      </c>
      <c r="K916" t="n">
        <v>0</v>
      </c>
      <c r="L916" t="n">
        <v>0</v>
      </c>
      <c r="M916" t="n">
        <v>0</v>
      </c>
      <c r="N916" t="n">
        <v>0</v>
      </c>
      <c r="O916" t="n">
        <v>0</v>
      </c>
      <c r="P916" t="n">
        <v>0</v>
      </c>
      <c r="Q916" t="n">
        <v>0</v>
      </c>
      <c r="R916" s="2" t="inlineStr"/>
    </row>
    <row r="917" ht="15" customHeight="1">
      <c r="A917" t="inlineStr">
        <is>
          <t>A 40282-2021</t>
        </is>
      </c>
      <c r="B917" s="1" t="n">
        <v>44419</v>
      </c>
      <c r="C917" s="1" t="n">
        <v>45265</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40590-2021</t>
        </is>
      </c>
      <c r="B918" s="1" t="n">
        <v>44420</v>
      </c>
      <c r="C918" s="1" t="n">
        <v>45265</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40876-2021</t>
        </is>
      </c>
      <c r="B919" s="1" t="n">
        <v>44421</v>
      </c>
      <c r="C919" s="1" t="n">
        <v>45265</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41253-2021</t>
        </is>
      </c>
      <c r="B920" s="1" t="n">
        <v>44424</v>
      </c>
      <c r="C920" s="1" t="n">
        <v>45265</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41377-2021</t>
        </is>
      </c>
      <c r="B921" s="1" t="n">
        <v>44424</v>
      </c>
      <c r="C921" s="1" t="n">
        <v>45265</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41633-2021</t>
        </is>
      </c>
      <c r="B922" s="1" t="n">
        <v>44425</v>
      </c>
      <c r="C922" s="1" t="n">
        <v>45265</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41671-2021</t>
        </is>
      </c>
      <c r="B923" s="1" t="n">
        <v>44425</v>
      </c>
      <c r="C923" s="1" t="n">
        <v>45265</v>
      </c>
      <c r="D923" t="inlineStr">
        <is>
          <t>VÄRMLANDS LÄN</t>
        </is>
      </c>
      <c r="E923" t="inlineStr">
        <is>
          <t>TORSBY</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41678-2021</t>
        </is>
      </c>
      <c r="B924" s="1" t="n">
        <v>44425</v>
      </c>
      <c r="C924" s="1" t="n">
        <v>45265</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41808-2021</t>
        </is>
      </c>
      <c r="B925" s="1" t="n">
        <v>44425</v>
      </c>
      <c r="C925" s="1" t="n">
        <v>45265</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42347-2021</t>
        </is>
      </c>
      <c r="B926" s="1" t="n">
        <v>44427</v>
      </c>
      <c r="C926" s="1" t="n">
        <v>45265</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42615-2021</t>
        </is>
      </c>
      <c r="B927" s="1" t="n">
        <v>44428</v>
      </c>
      <c r="C927" s="1" t="n">
        <v>45265</v>
      </c>
      <c r="D927" t="inlineStr">
        <is>
          <t>VÄRMLANDS LÄN</t>
        </is>
      </c>
      <c r="E927" t="inlineStr">
        <is>
          <t>TORSBY</t>
        </is>
      </c>
      <c r="F927" t="inlineStr">
        <is>
          <t>Bergvik skog väst AB</t>
        </is>
      </c>
      <c r="G927" t="n">
        <v>37.2</v>
      </c>
      <c r="H927" t="n">
        <v>0</v>
      </c>
      <c r="I927" t="n">
        <v>0</v>
      </c>
      <c r="J927" t="n">
        <v>0</v>
      </c>
      <c r="K927" t="n">
        <v>0</v>
      </c>
      <c r="L927" t="n">
        <v>0</v>
      </c>
      <c r="M927" t="n">
        <v>0</v>
      </c>
      <c r="N927" t="n">
        <v>0</v>
      </c>
      <c r="O927" t="n">
        <v>0</v>
      </c>
      <c r="P927" t="n">
        <v>0</v>
      </c>
      <c r="Q927" t="n">
        <v>0</v>
      </c>
      <c r="R927" s="2" t="inlineStr"/>
    </row>
    <row r="928" ht="15" customHeight="1">
      <c r="A928" t="inlineStr">
        <is>
          <t>A 42646-2021</t>
        </is>
      </c>
      <c r="B928" s="1" t="n">
        <v>44428</v>
      </c>
      <c r="C928" s="1" t="n">
        <v>45265</v>
      </c>
      <c r="D928" t="inlineStr">
        <is>
          <t>VÄRMLANDS LÄN</t>
        </is>
      </c>
      <c r="E928" t="inlineStr">
        <is>
          <t>TORSBY</t>
        </is>
      </c>
      <c r="F928" t="inlineStr">
        <is>
          <t>Bergvik skog väst AB</t>
        </is>
      </c>
      <c r="G928" t="n">
        <v>21.4</v>
      </c>
      <c r="H928" t="n">
        <v>0</v>
      </c>
      <c r="I928" t="n">
        <v>0</v>
      </c>
      <c r="J928" t="n">
        <v>0</v>
      </c>
      <c r="K928" t="n">
        <v>0</v>
      </c>
      <c r="L928" t="n">
        <v>0</v>
      </c>
      <c r="M928" t="n">
        <v>0</v>
      </c>
      <c r="N928" t="n">
        <v>0</v>
      </c>
      <c r="O928" t="n">
        <v>0</v>
      </c>
      <c r="P928" t="n">
        <v>0</v>
      </c>
      <c r="Q928" t="n">
        <v>0</v>
      </c>
      <c r="R928" s="2" t="inlineStr"/>
    </row>
    <row r="929" ht="15" customHeight="1">
      <c r="A929" t="inlineStr">
        <is>
          <t>A 43052-2021</t>
        </is>
      </c>
      <c r="B929" s="1" t="n">
        <v>44431</v>
      </c>
      <c r="C929" s="1" t="n">
        <v>45265</v>
      </c>
      <c r="D929" t="inlineStr">
        <is>
          <t>VÄRMLANDS LÄN</t>
        </is>
      </c>
      <c r="E929" t="inlineStr">
        <is>
          <t>TORSBY</t>
        </is>
      </c>
      <c r="G929" t="n">
        <v>25.1</v>
      </c>
      <c r="H929" t="n">
        <v>0</v>
      </c>
      <c r="I929" t="n">
        <v>0</v>
      </c>
      <c r="J929" t="n">
        <v>0</v>
      </c>
      <c r="K929" t="n">
        <v>0</v>
      </c>
      <c r="L929" t="n">
        <v>0</v>
      </c>
      <c r="M929" t="n">
        <v>0</v>
      </c>
      <c r="N929" t="n">
        <v>0</v>
      </c>
      <c r="O929" t="n">
        <v>0</v>
      </c>
      <c r="P929" t="n">
        <v>0</v>
      </c>
      <c r="Q929" t="n">
        <v>0</v>
      </c>
      <c r="R929" s="2" t="inlineStr"/>
    </row>
    <row r="930" ht="15" customHeight="1">
      <c r="A930" t="inlineStr">
        <is>
          <t>A 43060-2021</t>
        </is>
      </c>
      <c r="B930" s="1" t="n">
        <v>44431</v>
      </c>
      <c r="C930" s="1" t="n">
        <v>45265</v>
      </c>
      <c r="D930" t="inlineStr">
        <is>
          <t>VÄRMLANDS LÄN</t>
        </is>
      </c>
      <c r="E930" t="inlineStr">
        <is>
          <t>TORSBY</t>
        </is>
      </c>
      <c r="G930" t="n">
        <v>3.2</v>
      </c>
      <c r="H930" t="n">
        <v>0</v>
      </c>
      <c r="I930" t="n">
        <v>0</v>
      </c>
      <c r="J930" t="n">
        <v>0</v>
      </c>
      <c r="K930" t="n">
        <v>0</v>
      </c>
      <c r="L930" t="n">
        <v>0</v>
      </c>
      <c r="M930" t="n">
        <v>0</v>
      </c>
      <c r="N930" t="n">
        <v>0</v>
      </c>
      <c r="O930" t="n">
        <v>0</v>
      </c>
      <c r="P930" t="n">
        <v>0</v>
      </c>
      <c r="Q930" t="n">
        <v>0</v>
      </c>
      <c r="R930" s="2" t="inlineStr"/>
    </row>
    <row r="931" ht="15" customHeight="1">
      <c r="A931" t="inlineStr">
        <is>
          <t>A 43128-2021</t>
        </is>
      </c>
      <c r="B931" s="1" t="n">
        <v>44431</v>
      </c>
      <c r="C931" s="1" t="n">
        <v>45265</v>
      </c>
      <c r="D931" t="inlineStr">
        <is>
          <t>VÄRMLANDS LÄN</t>
        </is>
      </c>
      <c r="E931" t="inlineStr">
        <is>
          <t>TORSBY</t>
        </is>
      </c>
      <c r="G931" t="n">
        <v>10.9</v>
      </c>
      <c r="H931" t="n">
        <v>0</v>
      </c>
      <c r="I931" t="n">
        <v>0</v>
      </c>
      <c r="J931" t="n">
        <v>0</v>
      </c>
      <c r="K931" t="n">
        <v>0</v>
      </c>
      <c r="L931" t="n">
        <v>0</v>
      </c>
      <c r="M931" t="n">
        <v>0</v>
      </c>
      <c r="N931" t="n">
        <v>0</v>
      </c>
      <c r="O931" t="n">
        <v>0</v>
      </c>
      <c r="P931" t="n">
        <v>0</v>
      </c>
      <c r="Q931" t="n">
        <v>0</v>
      </c>
      <c r="R931" s="2" t="inlineStr"/>
    </row>
    <row r="932" ht="15" customHeight="1">
      <c r="A932" t="inlineStr">
        <is>
          <t>A 43136-2021</t>
        </is>
      </c>
      <c r="B932" s="1" t="n">
        <v>44431</v>
      </c>
      <c r="C932" s="1" t="n">
        <v>45265</v>
      </c>
      <c r="D932" t="inlineStr">
        <is>
          <t>VÄRMLANDS LÄN</t>
        </is>
      </c>
      <c r="E932" t="inlineStr">
        <is>
          <t>TORSBY</t>
        </is>
      </c>
      <c r="G932" t="n">
        <v>14.4</v>
      </c>
      <c r="H932" t="n">
        <v>0</v>
      </c>
      <c r="I932" t="n">
        <v>0</v>
      </c>
      <c r="J932" t="n">
        <v>0</v>
      </c>
      <c r="K932" t="n">
        <v>0</v>
      </c>
      <c r="L932" t="n">
        <v>0</v>
      </c>
      <c r="M932" t="n">
        <v>0</v>
      </c>
      <c r="N932" t="n">
        <v>0</v>
      </c>
      <c r="O932" t="n">
        <v>0</v>
      </c>
      <c r="P932" t="n">
        <v>0</v>
      </c>
      <c r="Q932" t="n">
        <v>0</v>
      </c>
      <c r="R932" s="2" t="inlineStr"/>
    </row>
    <row r="933" ht="15" customHeight="1">
      <c r="A933" t="inlineStr">
        <is>
          <t>A 43169-2021</t>
        </is>
      </c>
      <c r="B933" s="1" t="n">
        <v>44431</v>
      </c>
      <c r="C933" s="1" t="n">
        <v>45265</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43095-2021</t>
        </is>
      </c>
      <c r="B934" s="1" t="n">
        <v>44431</v>
      </c>
      <c r="C934" s="1" t="n">
        <v>45265</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43157-2021</t>
        </is>
      </c>
      <c r="B935" s="1" t="n">
        <v>44431</v>
      </c>
      <c r="C935" s="1" t="n">
        <v>45265</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43127-2021</t>
        </is>
      </c>
      <c r="B936" s="1" t="n">
        <v>44431</v>
      </c>
      <c r="C936" s="1" t="n">
        <v>45265</v>
      </c>
      <c r="D936" t="inlineStr">
        <is>
          <t>VÄRMLANDS LÄN</t>
        </is>
      </c>
      <c r="E936" t="inlineStr">
        <is>
          <t>TORSBY</t>
        </is>
      </c>
      <c r="G936" t="n">
        <v>23.3</v>
      </c>
      <c r="H936" t="n">
        <v>0</v>
      </c>
      <c r="I936" t="n">
        <v>0</v>
      </c>
      <c r="J936" t="n">
        <v>0</v>
      </c>
      <c r="K936" t="n">
        <v>0</v>
      </c>
      <c r="L936" t="n">
        <v>0</v>
      </c>
      <c r="M936" t="n">
        <v>0</v>
      </c>
      <c r="N936" t="n">
        <v>0</v>
      </c>
      <c r="O936" t="n">
        <v>0</v>
      </c>
      <c r="P936" t="n">
        <v>0</v>
      </c>
      <c r="Q936" t="n">
        <v>0</v>
      </c>
      <c r="R936" s="2" t="inlineStr"/>
    </row>
    <row r="937" ht="15" customHeight="1">
      <c r="A937" t="inlineStr">
        <is>
          <t>A 43161-2021</t>
        </is>
      </c>
      <c r="B937" s="1" t="n">
        <v>44431</v>
      </c>
      <c r="C937" s="1" t="n">
        <v>45265</v>
      </c>
      <c r="D937" t="inlineStr">
        <is>
          <t>VÄRMLANDS LÄN</t>
        </is>
      </c>
      <c r="E937" t="inlineStr">
        <is>
          <t>TORSBY</t>
        </is>
      </c>
      <c r="G937" t="n">
        <v>3.7</v>
      </c>
      <c r="H937" t="n">
        <v>0</v>
      </c>
      <c r="I937" t="n">
        <v>0</v>
      </c>
      <c r="J937" t="n">
        <v>0</v>
      </c>
      <c r="K937" t="n">
        <v>0</v>
      </c>
      <c r="L937" t="n">
        <v>0</v>
      </c>
      <c r="M937" t="n">
        <v>0</v>
      </c>
      <c r="N937" t="n">
        <v>0</v>
      </c>
      <c r="O937" t="n">
        <v>0</v>
      </c>
      <c r="P937" t="n">
        <v>0</v>
      </c>
      <c r="Q937" t="n">
        <v>0</v>
      </c>
      <c r="R937" s="2" t="inlineStr"/>
    </row>
    <row r="938" ht="15" customHeight="1">
      <c r="A938" t="inlineStr">
        <is>
          <t>A 43784-2021</t>
        </is>
      </c>
      <c r="B938" s="1" t="n">
        <v>44433</v>
      </c>
      <c r="C938" s="1" t="n">
        <v>45265</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44018-2021</t>
        </is>
      </c>
      <c r="B939" s="1" t="n">
        <v>44434</v>
      </c>
      <c r="C939" s="1" t="n">
        <v>45265</v>
      </c>
      <c r="D939" t="inlineStr">
        <is>
          <t>VÄRMLANDS LÄN</t>
        </is>
      </c>
      <c r="E939" t="inlineStr">
        <is>
          <t>TORSBY</t>
        </is>
      </c>
      <c r="F939" t="inlineStr">
        <is>
          <t>Bergvik skog väst AB</t>
        </is>
      </c>
      <c r="G939" t="n">
        <v>2.7</v>
      </c>
      <c r="H939" t="n">
        <v>0</v>
      </c>
      <c r="I939" t="n">
        <v>0</v>
      </c>
      <c r="J939" t="n">
        <v>0</v>
      </c>
      <c r="K939" t="n">
        <v>0</v>
      </c>
      <c r="L939" t="n">
        <v>0</v>
      </c>
      <c r="M939" t="n">
        <v>0</v>
      </c>
      <c r="N939" t="n">
        <v>0</v>
      </c>
      <c r="O939" t="n">
        <v>0</v>
      </c>
      <c r="P939" t="n">
        <v>0</v>
      </c>
      <c r="Q939" t="n">
        <v>0</v>
      </c>
      <c r="R939" s="2" t="inlineStr"/>
    </row>
    <row r="940" ht="15" customHeight="1">
      <c r="A940" t="inlineStr">
        <is>
          <t>A 44418-2021</t>
        </is>
      </c>
      <c r="B940" s="1" t="n">
        <v>44435</v>
      </c>
      <c r="C940" s="1" t="n">
        <v>45265</v>
      </c>
      <c r="D940" t="inlineStr">
        <is>
          <t>VÄRMLANDS LÄN</t>
        </is>
      </c>
      <c r="E940" t="inlineStr">
        <is>
          <t>TORSBY</t>
        </is>
      </c>
      <c r="G940" t="n">
        <v>7.5</v>
      </c>
      <c r="H940" t="n">
        <v>0</v>
      </c>
      <c r="I940" t="n">
        <v>0</v>
      </c>
      <c r="J940" t="n">
        <v>0</v>
      </c>
      <c r="K940" t="n">
        <v>0</v>
      </c>
      <c r="L940" t="n">
        <v>0</v>
      </c>
      <c r="M940" t="n">
        <v>0</v>
      </c>
      <c r="N940" t="n">
        <v>0</v>
      </c>
      <c r="O940" t="n">
        <v>0</v>
      </c>
      <c r="P940" t="n">
        <v>0</v>
      </c>
      <c r="Q940" t="n">
        <v>0</v>
      </c>
      <c r="R940" s="2" t="inlineStr"/>
    </row>
    <row r="941" ht="15" customHeight="1">
      <c r="A941" t="inlineStr">
        <is>
          <t>A 44490-2021</t>
        </is>
      </c>
      <c r="B941" s="1" t="n">
        <v>44435</v>
      </c>
      <c r="C941" s="1" t="n">
        <v>45265</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44761-2021</t>
        </is>
      </c>
      <c r="B942" s="1" t="n">
        <v>44438</v>
      </c>
      <c r="C942" s="1" t="n">
        <v>45265</v>
      </c>
      <c r="D942" t="inlineStr">
        <is>
          <t>VÄRMLANDS LÄN</t>
        </is>
      </c>
      <c r="E942" t="inlineStr">
        <is>
          <t>TORSBY</t>
        </is>
      </c>
      <c r="G942" t="n">
        <v>6.5</v>
      </c>
      <c r="H942" t="n">
        <v>0</v>
      </c>
      <c r="I942" t="n">
        <v>0</v>
      </c>
      <c r="J942" t="n">
        <v>0</v>
      </c>
      <c r="K942" t="n">
        <v>0</v>
      </c>
      <c r="L942" t="n">
        <v>0</v>
      </c>
      <c r="M942" t="n">
        <v>0</v>
      </c>
      <c r="N942" t="n">
        <v>0</v>
      </c>
      <c r="O942" t="n">
        <v>0</v>
      </c>
      <c r="P942" t="n">
        <v>0</v>
      </c>
      <c r="Q942" t="n">
        <v>0</v>
      </c>
      <c r="R942" s="2" t="inlineStr"/>
    </row>
    <row r="943" ht="15" customHeight="1">
      <c r="A943" t="inlineStr">
        <is>
          <t>A 44979-2021</t>
        </is>
      </c>
      <c r="B943" s="1" t="n">
        <v>44438</v>
      </c>
      <c r="C943" s="1" t="n">
        <v>45265</v>
      </c>
      <c r="D943" t="inlineStr">
        <is>
          <t>VÄRMLANDS LÄN</t>
        </is>
      </c>
      <c r="E943" t="inlineStr">
        <is>
          <t>TORSBY</t>
        </is>
      </c>
      <c r="F943" t="inlineStr">
        <is>
          <t>Bergvik skog väst AB</t>
        </is>
      </c>
      <c r="G943" t="n">
        <v>22.2</v>
      </c>
      <c r="H943" t="n">
        <v>0</v>
      </c>
      <c r="I943" t="n">
        <v>0</v>
      </c>
      <c r="J943" t="n">
        <v>0</v>
      </c>
      <c r="K943" t="n">
        <v>0</v>
      </c>
      <c r="L943" t="n">
        <v>0</v>
      </c>
      <c r="M943" t="n">
        <v>0</v>
      </c>
      <c r="N943" t="n">
        <v>0</v>
      </c>
      <c r="O943" t="n">
        <v>0</v>
      </c>
      <c r="P943" t="n">
        <v>0</v>
      </c>
      <c r="Q943" t="n">
        <v>0</v>
      </c>
      <c r="R943" s="2" t="inlineStr"/>
    </row>
    <row r="944" ht="15" customHeight="1">
      <c r="A944" t="inlineStr">
        <is>
          <t>A 44923-2021</t>
        </is>
      </c>
      <c r="B944" s="1" t="n">
        <v>44438</v>
      </c>
      <c r="C944" s="1" t="n">
        <v>45265</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45445-2021</t>
        </is>
      </c>
      <c r="B945" s="1" t="n">
        <v>44440</v>
      </c>
      <c r="C945" s="1" t="n">
        <v>45265</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45447-2021</t>
        </is>
      </c>
      <c r="B946" s="1" t="n">
        <v>44440</v>
      </c>
      <c r="C946" s="1" t="n">
        <v>45265</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46302-2021</t>
        </is>
      </c>
      <c r="B947" s="1" t="n">
        <v>44442</v>
      </c>
      <c r="C947" s="1" t="n">
        <v>45265</v>
      </c>
      <c r="D947" t="inlineStr">
        <is>
          <t>VÄRMLANDS LÄN</t>
        </is>
      </c>
      <c r="E947" t="inlineStr">
        <is>
          <t>TORSBY</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46503-2021</t>
        </is>
      </c>
      <c r="B948" s="1" t="n">
        <v>44445</v>
      </c>
      <c r="C948" s="1" t="n">
        <v>45265</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46610-2021</t>
        </is>
      </c>
      <c r="B949" s="1" t="n">
        <v>44445</v>
      </c>
      <c r="C949" s="1" t="n">
        <v>45265</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46795-2021</t>
        </is>
      </c>
      <c r="B950" s="1" t="n">
        <v>44446</v>
      </c>
      <c r="C950" s="1" t="n">
        <v>45265</v>
      </c>
      <c r="D950" t="inlineStr">
        <is>
          <t>VÄRMLANDS LÄN</t>
        </is>
      </c>
      <c r="E950" t="inlineStr">
        <is>
          <t>TORSBY</t>
        </is>
      </c>
      <c r="G950" t="n">
        <v>6</v>
      </c>
      <c r="H950" t="n">
        <v>0</v>
      </c>
      <c r="I950" t="n">
        <v>0</v>
      </c>
      <c r="J950" t="n">
        <v>0</v>
      </c>
      <c r="K950" t="n">
        <v>0</v>
      </c>
      <c r="L950" t="n">
        <v>0</v>
      </c>
      <c r="M950" t="n">
        <v>0</v>
      </c>
      <c r="N950" t="n">
        <v>0</v>
      </c>
      <c r="O950" t="n">
        <v>0</v>
      </c>
      <c r="P950" t="n">
        <v>0</v>
      </c>
      <c r="Q950" t="n">
        <v>0</v>
      </c>
      <c r="R950" s="2" t="inlineStr"/>
    </row>
    <row r="951" ht="15" customHeight="1">
      <c r="A951" t="inlineStr">
        <is>
          <t>A 46934-2021</t>
        </is>
      </c>
      <c r="B951" s="1" t="n">
        <v>44446</v>
      </c>
      <c r="C951" s="1" t="n">
        <v>45265</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46880-2021</t>
        </is>
      </c>
      <c r="B952" s="1" t="n">
        <v>44446</v>
      </c>
      <c r="C952" s="1" t="n">
        <v>45265</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47083-2021</t>
        </is>
      </c>
      <c r="B953" s="1" t="n">
        <v>44446</v>
      </c>
      <c r="C953" s="1" t="n">
        <v>45265</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47098-2021</t>
        </is>
      </c>
      <c r="B954" s="1" t="n">
        <v>44446</v>
      </c>
      <c r="C954" s="1" t="n">
        <v>45265</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47271-2021</t>
        </is>
      </c>
      <c r="B955" s="1" t="n">
        <v>44447</v>
      </c>
      <c r="C955" s="1" t="n">
        <v>45265</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47299-2021</t>
        </is>
      </c>
      <c r="B956" s="1" t="n">
        <v>44447</v>
      </c>
      <c r="C956" s="1" t="n">
        <v>45265</v>
      </c>
      <c r="D956" t="inlineStr">
        <is>
          <t>VÄRMLANDS LÄN</t>
        </is>
      </c>
      <c r="E956" t="inlineStr">
        <is>
          <t>TORSBY</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47602-2021</t>
        </is>
      </c>
      <c r="B957" s="1" t="n">
        <v>44448</v>
      </c>
      <c r="C957" s="1" t="n">
        <v>45265</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48159-2021</t>
        </is>
      </c>
      <c r="B958" s="1" t="n">
        <v>44449</v>
      </c>
      <c r="C958" s="1" t="n">
        <v>45265</v>
      </c>
      <c r="D958" t="inlineStr">
        <is>
          <t>VÄRMLANDS LÄN</t>
        </is>
      </c>
      <c r="E958" t="inlineStr">
        <is>
          <t>TORSBY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48188-2021</t>
        </is>
      </c>
      <c r="B959" s="1" t="n">
        <v>44449</v>
      </c>
      <c r="C959" s="1" t="n">
        <v>45265</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48324-2021</t>
        </is>
      </c>
      <c r="B960" s="1" t="n">
        <v>44450</v>
      </c>
      <c r="C960" s="1" t="n">
        <v>45265</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48657-2021</t>
        </is>
      </c>
      <c r="B961" s="1" t="n">
        <v>44452</v>
      </c>
      <c r="C961" s="1" t="n">
        <v>45265</v>
      </c>
      <c r="D961" t="inlineStr">
        <is>
          <t>VÄRMLANDS LÄN</t>
        </is>
      </c>
      <c r="E961" t="inlineStr">
        <is>
          <t>TORSBY</t>
        </is>
      </c>
      <c r="F961" t="inlineStr">
        <is>
          <t>Bergvik skog väst AB</t>
        </is>
      </c>
      <c r="G961" t="n">
        <v>7.8</v>
      </c>
      <c r="H961" t="n">
        <v>0</v>
      </c>
      <c r="I961" t="n">
        <v>0</v>
      </c>
      <c r="J961" t="n">
        <v>0</v>
      </c>
      <c r="K961" t="n">
        <v>0</v>
      </c>
      <c r="L961" t="n">
        <v>0</v>
      </c>
      <c r="M961" t="n">
        <v>0</v>
      </c>
      <c r="N961" t="n">
        <v>0</v>
      </c>
      <c r="O961" t="n">
        <v>0</v>
      </c>
      <c r="P961" t="n">
        <v>0</v>
      </c>
      <c r="Q961" t="n">
        <v>0</v>
      </c>
      <c r="R961" s="2" t="inlineStr"/>
    </row>
    <row r="962" ht="15" customHeight="1">
      <c r="A962" t="inlineStr">
        <is>
          <t>A 48771-2021</t>
        </is>
      </c>
      <c r="B962" s="1" t="n">
        <v>44452</v>
      </c>
      <c r="C962" s="1" t="n">
        <v>45265</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49192-2021</t>
        </is>
      </c>
      <c r="B963" s="1" t="n">
        <v>44454</v>
      </c>
      <c r="C963" s="1" t="n">
        <v>45265</v>
      </c>
      <c r="D963" t="inlineStr">
        <is>
          <t>VÄRMLANDS LÄN</t>
        </is>
      </c>
      <c r="E963" t="inlineStr">
        <is>
          <t>TORSBY</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49900-2021</t>
        </is>
      </c>
      <c r="B964" s="1" t="n">
        <v>44455</v>
      </c>
      <c r="C964" s="1" t="n">
        <v>45265</v>
      </c>
      <c r="D964" t="inlineStr">
        <is>
          <t>VÄRMLANDS LÄN</t>
        </is>
      </c>
      <c r="E964" t="inlineStr">
        <is>
          <t>TORSBY</t>
        </is>
      </c>
      <c r="G964" t="n">
        <v>4.1</v>
      </c>
      <c r="H964" t="n">
        <v>0</v>
      </c>
      <c r="I964" t="n">
        <v>0</v>
      </c>
      <c r="J964" t="n">
        <v>0</v>
      </c>
      <c r="K964" t="n">
        <v>0</v>
      </c>
      <c r="L964" t="n">
        <v>0</v>
      </c>
      <c r="M964" t="n">
        <v>0</v>
      </c>
      <c r="N964" t="n">
        <v>0</v>
      </c>
      <c r="O964" t="n">
        <v>0</v>
      </c>
      <c r="P964" t="n">
        <v>0</v>
      </c>
      <c r="Q964" t="n">
        <v>0</v>
      </c>
      <c r="R964" s="2" t="inlineStr"/>
    </row>
    <row r="965" ht="15" customHeight="1">
      <c r="A965" t="inlineStr">
        <is>
          <t>A 50100-2021</t>
        </is>
      </c>
      <c r="B965" s="1" t="n">
        <v>44456</v>
      </c>
      <c r="C965" s="1" t="n">
        <v>45265</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50596-2021</t>
        </is>
      </c>
      <c r="B966" s="1" t="n">
        <v>44459</v>
      </c>
      <c r="C966" s="1" t="n">
        <v>45265</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50549-2021</t>
        </is>
      </c>
      <c r="B967" s="1" t="n">
        <v>44459</v>
      </c>
      <c r="C967" s="1" t="n">
        <v>45265</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50988-2021</t>
        </is>
      </c>
      <c r="B968" s="1" t="n">
        <v>44460</v>
      </c>
      <c r="C968" s="1" t="n">
        <v>45265</v>
      </c>
      <c r="D968" t="inlineStr">
        <is>
          <t>VÄRMLANDS LÄN</t>
        </is>
      </c>
      <c r="E968" t="inlineStr">
        <is>
          <t>TORSBY</t>
        </is>
      </c>
      <c r="G968" t="n">
        <v>14.3</v>
      </c>
      <c r="H968" t="n">
        <v>0</v>
      </c>
      <c r="I968" t="n">
        <v>0</v>
      </c>
      <c r="J968" t="n">
        <v>0</v>
      </c>
      <c r="K968" t="n">
        <v>0</v>
      </c>
      <c r="L968" t="n">
        <v>0</v>
      </c>
      <c r="M968" t="n">
        <v>0</v>
      </c>
      <c r="N968" t="n">
        <v>0</v>
      </c>
      <c r="O968" t="n">
        <v>0</v>
      </c>
      <c r="P968" t="n">
        <v>0</v>
      </c>
      <c r="Q968" t="n">
        <v>0</v>
      </c>
      <c r="R968" s="2" t="inlineStr"/>
    </row>
    <row r="969" ht="15" customHeight="1">
      <c r="A969" t="inlineStr">
        <is>
          <t>A 51505-2021</t>
        </is>
      </c>
      <c r="B969" s="1" t="n">
        <v>44460</v>
      </c>
      <c r="C969" s="1" t="n">
        <v>45265</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51494-2021</t>
        </is>
      </c>
      <c r="B970" s="1" t="n">
        <v>44460</v>
      </c>
      <c r="C970" s="1" t="n">
        <v>45265</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51510-2021</t>
        </is>
      </c>
      <c r="B971" s="1" t="n">
        <v>44460</v>
      </c>
      <c r="C971" s="1" t="n">
        <v>45265</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51099-2021</t>
        </is>
      </c>
      <c r="B972" s="1" t="n">
        <v>44461</v>
      </c>
      <c r="C972" s="1" t="n">
        <v>45265</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51247-2021</t>
        </is>
      </c>
      <c r="B973" s="1" t="n">
        <v>44461</v>
      </c>
      <c r="C973" s="1" t="n">
        <v>45265</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51372-2021</t>
        </is>
      </c>
      <c r="B974" s="1" t="n">
        <v>44461</v>
      </c>
      <c r="C974" s="1" t="n">
        <v>45265</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51819-2021</t>
        </is>
      </c>
      <c r="B975" s="1" t="n">
        <v>44462</v>
      </c>
      <c r="C975" s="1" t="n">
        <v>45265</v>
      </c>
      <c r="D975" t="inlineStr">
        <is>
          <t>VÄRMLANDS LÄN</t>
        </is>
      </c>
      <c r="E975" t="inlineStr">
        <is>
          <t>TORSBY</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51522-2021</t>
        </is>
      </c>
      <c r="B976" s="1" t="n">
        <v>44462</v>
      </c>
      <c r="C976" s="1" t="n">
        <v>45265</v>
      </c>
      <c r="D976" t="inlineStr">
        <is>
          <t>VÄRMLANDS LÄN</t>
        </is>
      </c>
      <c r="E976" t="inlineStr">
        <is>
          <t>TORSBY</t>
        </is>
      </c>
      <c r="G976" t="n">
        <v>0.3</v>
      </c>
      <c r="H976" t="n">
        <v>0</v>
      </c>
      <c r="I976" t="n">
        <v>0</v>
      </c>
      <c r="J976" t="n">
        <v>0</v>
      </c>
      <c r="K976" t="n">
        <v>0</v>
      </c>
      <c r="L976" t="n">
        <v>0</v>
      </c>
      <c r="M976" t="n">
        <v>0</v>
      </c>
      <c r="N976" t="n">
        <v>0</v>
      </c>
      <c r="O976" t="n">
        <v>0</v>
      </c>
      <c r="P976" t="n">
        <v>0</v>
      </c>
      <c r="Q976" t="n">
        <v>0</v>
      </c>
      <c r="R976" s="2" t="inlineStr"/>
    </row>
    <row r="977" ht="15" customHeight="1">
      <c r="A977" t="inlineStr">
        <is>
          <t>A 52121-2021</t>
        </is>
      </c>
      <c r="B977" s="1" t="n">
        <v>44463</v>
      </c>
      <c r="C977" s="1" t="n">
        <v>45265</v>
      </c>
      <c r="D977" t="inlineStr">
        <is>
          <t>VÄRMLANDS LÄN</t>
        </is>
      </c>
      <c r="E977" t="inlineStr">
        <is>
          <t>TORSBY</t>
        </is>
      </c>
      <c r="G977" t="n">
        <v>0</v>
      </c>
      <c r="H977" t="n">
        <v>0</v>
      </c>
      <c r="I977" t="n">
        <v>0</v>
      </c>
      <c r="J977" t="n">
        <v>0</v>
      </c>
      <c r="K977" t="n">
        <v>0</v>
      </c>
      <c r="L977" t="n">
        <v>0</v>
      </c>
      <c r="M977" t="n">
        <v>0</v>
      </c>
      <c r="N977" t="n">
        <v>0</v>
      </c>
      <c r="O977" t="n">
        <v>0</v>
      </c>
      <c r="P977" t="n">
        <v>0</v>
      </c>
      <c r="Q977" t="n">
        <v>0</v>
      </c>
      <c r="R977" s="2" t="inlineStr"/>
    </row>
    <row r="978" ht="15" customHeight="1">
      <c r="A978" t="inlineStr">
        <is>
          <t>A 52520-2021</t>
        </is>
      </c>
      <c r="B978" s="1" t="n">
        <v>44466</v>
      </c>
      <c r="C978" s="1" t="n">
        <v>45265</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52728-2021</t>
        </is>
      </c>
      <c r="B979" s="1" t="n">
        <v>44467</v>
      </c>
      <c r="C979" s="1" t="n">
        <v>45265</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52900-2021</t>
        </is>
      </c>
      <c r="B980" s="1" t="n">
        <v>44467</v>
      </c>
      <c r="C980" s="1" t="n">
        <v>45265</v>
      </c>
      <c r="D980" t="inlineStr">
        <is>
          <t>VÄRMLANDS LÄN</t>
        </is>
      </c>
      <c r="E980" t="inlineStr">
        <is>
          <t>TORSBY</t>
        </is>
      </c>
      <c r="G980" t="n">
        <v>3.8</v>
      </c>
      <c r="H980" t="n">
        <v>0</v>
      </c>
      <c r="I980" t="n">
        <v>0</v>
      </c>
      <c r="J980" t="n">
        <v>0</v>
      </c>
      <c r="K980" t="n">
        <v>0</v>
      </c>
      <c r="L980" t="n">
        <v>0</v>
      </c>
      <c r="M980" t="n">
        <v>0</v>
      </c>
      <c r="N980" t="n">
        <v>0</v>
      </c>
      <c r="O980" t="n">
        <v>0</v>
      </c>
      <c r="P980" t="n">
        <v>0</v>
      </c>
      <c r="Q980" t="n">
        <v>0</v>
      </c>
      <c r="R980" s="2" t="inlineStr"/>
    </row>
    <row r="981" ht="15" customHeight="1">
      <c r="A981" t="inlineStr">
        <is>
          <t>A 53705-2021</t>
        </is>
      </c>
      <c r="B981" s="1" t="n">
        <v>44469</v>
      </c>
      <c r="C981" s="1" t="n">
        <v>45265</v>
      </c>
      <c r="D981" t="inlineStr">
        <is>
          <t>VÄRMLANDS LÄN</t>
        </is>
      </c>
      <c r="E981" t="inlineStr">
        <is>
          <t>TORSBY</t>
        </is>
      </c>
      <c r="F981" t="inlineStr">
        <is>
          <t>Kyrkan</t>
        </is>
      </c>
      <c r="G981" t="n">
        <v>12.4</v>
      </c>
      <c r="H981" t="n">
        <v>0</v>
      </c>
      <c r="I981" t="n">
        <v>0</v>
      </c>
      <c r="J981" t="n">
        <v>0</v>
      </c>
      <c r="K981" t="n">
        <v>0</v>
      </c>
      <c r="L981" t="n">
        <v>0</v>
      </c>
      <c r="M981" t="n">
        <v>0</v>
      </c>
      <c r="N981" t="n">
        <v>0</v>
      </c>
      <c r="O981" t="n">
        <v>0</v>
      </c>
      <c r="P981" t="n">
        <v>0</v>
      </c>
      <c r="Q981" t="n">
        <v>0</v>
      </c>
      <c r="R981" s="2" t="inlineStr"/>
    </row>
    <row r="982" ht="15" customHeight="1">
      <c r="A982" t="inlineStr">
        <is>
          <t>A 54029-2021</t>
        </is>
      </c>
      <c r="B982" s="1" t="n">
        <v>44470</v>
      </c>
      <c r="C982" s="1" t="n">
        <v>45265</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54033-2021</t>
        </is>
      </c>
      <c r="B983" s="1" t="n">
        <v>44470</v>
      </c>
      <c r="C983" s="1" t="n">
        <v>45265</v>
      </c>
      <c r="D983" t="inlineStr">
        <is>
          <t>VÄRMLANDS LÄN</t>
        </is>
      </c>
      <c r="E983" t="inlineStr">
        <is>
          <t>TORSBY</t>
        </is>
      </c>
      <c r="G983" t="n">
        <v>6</v>
      </c>
      <c r="H983" t="n">
        <v>0</v>
      </c>
      <c r="I983" t="n">
        <v>0</v>
      </c>
      <c r="J983" t="n">
        <v>0</v>
      </c>
      <c r="K983" t="n">
        <v>0</v>
      </c>
      <c r="L983" t="n">
        <v>0</v>
      </c>
      <c r="M983" t="n">
        <v>0</v>
      </c>
      <c r="N983" t="n">
        <v>0</v>
      </c>
      <c r="O983" t="n">
        <v>0</v>
      </c>
      <c r="P983" t="n">
        <v>0</v>
      </c>
      <c r="Q983" t="n">
        <v>0</v>
      </c>
      <c r="R983" s="2" t="inlineStr"/>
    </row>
    <row r="984" ht="15" customHeight="1">
      <c r="A984" t="inlineStr">
        <is>
          <t>A 55794-2021</t>
        </is>
      </c>
      <c r="B984" s="1" t="n">
        <v>44476</v>
      </c>
      <c r="C984" s="1" t="n">
        <v>45265</v>
      </c>
      <c r="D984" t="inlineStr">
        <is>
          <t>VÄRMLANDS LÄN</t>
        </is>
      </c>
      <c r="E984" t="inlineStr">
        <is>
          <t>TORSBY</t>
        </is>
      </c>
      <c r="G984" t="n">
        <v>2.2</v>
      </c>
      <c r="H984" t="n">
        <v>0</v>
      </c>
      <c r="I984" t="n">
        <v>0</v>
      </c>
      <c r="J984" t="n">
        <v>0</v>
      </c>
      <c r="K984" t="n">
        <v>0</v>
      </c>
      <c r="L984" t="n">
        <v>0</v>
      </c>
      <c r="M984" t="n">
        <v>0</v>
      </c>
      <c r="N984" t="n">
        <v>0</v>
      </c>
      <c r="O984" t="n">
        <v>0</v>
      </c>
      <c r="P984" t="n">
        <v>0</v>
      </c>
      <c r="Q984" t="n">
        <v>0</v>
      </c>
      <c r="R984" s="2" t="inlineStr"/>
    </row>
    <row r="985" ht="15" customHeight="1">
      <c r="A985" t="inlineStr">
        <is>
          <t>A 55811-2021</t>
        </is>
      </c>
      <c r="B985" s="1" t="n">
        <v>44476</v>
      </c>
      <c r="C985" s="1" t="n">
        <v>45265</v>
      </c>
      <c r="D985" t="inlineStr">
        <is>
          <t>VÄRMLANDS LÄN</t>
        </is>
      </c>
      <c r="E985" t="inlineStr">
        <is>
          <t>TORSBY</t>
        </is>
      </c>
      <c r="G985" t="n">
        <v>3.7</v>
      </c>
      <c r="H985" t="n">
        <v>0</v>
      </c>
      <c r="I985" t="n">
        <v>0</v>
      </c>
      <c r="J985" t="n">
        <v>0</v>
      </c>
      <c r="K985" t="n">
        <v>0</v>
      </c>
      <c r="L985" t="n">
        <v>0</v>
      </c>
      <c r="M985" t="n">
        <v>0</v>
      </c>
      <c r="N985" t="n">
        <v>0</v>
      </c>
      <c r="O985" t="n">
        <v>0</v>
      </c>
      <c r="P985" t="n">
        <v>0</v>
      </c>
      <c r="Q985" t="n">
        <v>0</v>
      </c>
      <c r="R985" s="2" t="inlineStr"/>
    </row>
    <row r="986" ht="15" customHeight="1">
      <c r="A986" t="inlineStr">
        <is>
          <t>A 56102-2021</t>
        </is>
      </c>
      <c r="B986" s="1" t="n">
        <v>44477</v>
      </c>
      <c r="C986" s="1" t="n">
        <v>45265</v>
      </c>
      <c r="D986" t="inlineStr">
        <is>
          <t>VÄRMLANDS LÄN</t>
        </is>
      </c>
      <c r="E986" t="inlineStr">
        <is>
          <t>TORSBY</t>
        </is>
      </c>
      <c r="G986" t="n">
        <v>4.6</v>
      </c>
      <c r="H986" t="n">
        <v>0</v>
      </c>
      <c r="I986" t="n">
        <v>0</v>
      </c>
      <c r="J986" t="n">
        <v>0</v>
      </c>
      <c r="K986" t="n">
        <v>0</v>
      </c>
      <c r="L986" t="n">
        <v>0</v>
      </c>
      <c r="M986" t="n">
        <v>0</v>
      </c>
      <c r="N986" t="n">
        <v>0</v>
      </c>
      <c r="O986" t="n">
        <v>0</v>
      </c>
      <c r="P986" t="n">
        <v>0</v>
      </c>
      <c r="Q986" t="n">
        <v>0</v>
      </c>
      <c r="R986" s="2" t="inlineStr"/>
    </row>
    <row r="987" ht="15" customHeight="1">
      <c r="A987" t="inlineStr">
        <is>
          <t>A 56037-2021</t>
        </is>
      </c>
      <c r="B987" s="1" t="n">
        <v>44477</v>
      </c>
      <c r="C987" s="1" t="n">
        <v>45265</v>
      </c>
      <c r="D987" t="inlineStr">
        <is>
          <t>VÄRMLANDS LÄN</t>
        </is>
      </c>
      <c r="E987" t="inlineStr">
        <is>
          <t>TORSBY</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56062-2021</t>
        </is>
      </c>
      <c r="B988" s="1" t="n">
        <v>44477</v>
      </c>
      <c r="C988" s="1" t="n">
        <v>45265</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56981-2021</t>
        </is>
      </c>
      <c r="B989" s="1" t="n">
        <v>44482</v>
      </c>
      <c r="C989" s="1" t="n">
        <v>45265</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57287-2021</t>
        </is>
      </c>
      <c r="B990" s="1" t="n">
        <v>44482</v>
      </c>
      <c r="C990" s="1" t="n">
        <v>45265</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58062-2021</t>
        </is>
      </c>
      <c r="B991" s="1" t="n">
        <v>44487</v>
      </c>
      <c r="C991" s="1" t="n">
        <v>45265</v>
      </c>
      <c r="D991" t="inlineStr">
        <is>
          <t>VÄRMLANDS LÄN</t>
        </is>
      </c>
      <c r="E991" t="inlineStr">
        <is>
          <t>TORSBY</t>
        </is>
      </c>
      <c r="G991" t="n">
        <v>6</v>
      </c>
      <c r="H991" t="n">
        <v>0</v>
      </c>
      <c r="I991" t="n">
        <v>0</v>
      </c>
      <c r="J991" t="n">
        <v>0</v>
      </c>
      <c r="K991" t="n">
        <v>0</v>
      </c>
      <c r="L991" t="n">
        <v>0</v>
      </c>
      <c r="M991" t="n">
        <v>0</v>
      </c>
      <c r="N991" t="n">
        <v>0</v>
      </c>
      <c r="O991" t="n">
        <v>0</v>
      </c>
      <c r="P991" t="n">
        <v>0</v>
      </c>
      <c r="Q991" t="n">
        <v>0</v>
      </c>
      <c r="R991" s="2" t="inlineStr"/>
    </row>
    <row r="992" ht="15" customHeight="1">
      <c r="A992" t="inlineStr">
        <is>
          <t>A 58479-2021</t>
        </is>
      </c>
      <c r="B992" s="1" t="n">
        <v>44488</v>
      </c>
      <c r="C992" s="1" t="n">
        <v>45265</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58476-2021</t>
        </is>
      </c>
      <c r="B993" s="1" t="n">
        <v>44488</v>
      </c>
      <c r="C993" s="1" t="n">
        <v>45265</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58543-2021</t>
        </is>
      </c>
      <c r="B994" s="1" t="n">
        <v>44488</v>
      </c>
      <c r="C994" s="1" t="n">
        <v>45265</v>
      </c>
      <c r="D994" t="inlineStr">
        <is>
          <t>VÄRMLANDS LÄN</t>
        </is>
      </c>
      <c r="E994" t="inlineStr">
        <is>
          <t>TORSBY</t>
        </is>
      </c>
      <c r="F994" t="inlineStr">
        <is>
          <t>Bergvik skog väst AB</t>
        </is>
      </c>
      <c r="G994" t="n">
        <v>7.1</v>
      </c>
      <c r="H994" t="n">
        <v>0</v>
      </c>
      <c r="I994" t="n">
        <v>0</v>
      </c>
      <c r="J994" t="n">
        <v>0</v>
      </c>
      <c r="K994" t="n">
        <v>0</v>
      </c>
      <c r="L994" t="n">
        <v>0</v>
      </c>
      <c r="M994" t="n">
        <v>0</v>
      </c>
      <c r="N994" t="n">
        <v>0</v>
      </c>
      <c r="O994" t="n">
        <v>0</v>
      </c>
      <c r="P994" t="n">
        <v>0</v>
      </c>
      <c r="Q994" t="n">
        <v>0</v>
      </c>
      <c r="R994" s="2" t="inlineStr"/>
    </row>
    <row r="995" ht="15" customHeight="1">
      <c r="A995" t="inlineStr">
        <is>
          <t>A 58728-2021</t>
        </is>
      </c>
      <c r="B995" s="1" t="n">
        <v>44489</v>
      </c>
      <c r="C995" s="1" t="n">
        <v>45265</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59425-2021</t>
        </is>
      </c>
      <c r="B996" s="1" t="n">
        <v>44491</v>
      </c>
      <c r="C996" s="1" t="n">
        <v>45265</v>
      </c>
      <c r="D996" t="inlineStr">
        <is>
          <t>VÄRMLANDS LÄN</t>
        </is>
      </c>
      <c r="E996" t="inlineStr">
        <is>
          <t>TORSBY</t>
        </is>
      </c>
      <c r="F996" t="inlineStr">
        <is>
          <t>Bergvik skog väst AB</t>
        </is>
      </c>
      <c r="G996" t="n">
        <v>14.9</v>
      </c>
      <c r="H996" t="n">
        <v>0</v>
      </c>
      <c r="I996" t="n">
        <v>0</v>
      </c>
      <c r="J996" t="n">
        <v>0</v>
      </c>
      <c r="K996" t="n">
        <v>0</v>
      </c>
      <c r="L996" t="n">
        <v>0</v>
      </c>
      <c r="M996" t="n">
        <v>0</v>
      </c>
      <c r="N996" t="n">
        <v>0</v>
      </c>
      <c r="O996" t="n">
        <v>0</v>
      </c>
      <c r="P996" t="n">
        <v>0</v>
      </c>
      <c r="Q996" t="n">
        <v>0</v>
      </c>
      <c r="R996" s="2" t="inlineStr"/>
    </row>
    <row r="997" ht="15" customHeight="1">
      <c r="A997" t="inlineStr">
        <is>
          <t>A 60428-2021</t>
        </is>
      </c>
      <c r="B997" s="1" t="n">
        <v>44496</v>
      </c>
      <c r="C997" s="1" t="n">
        <v>45265</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60430-2021</t>
        </is>
      </c>
      <c r="B998" s="1" t="n">
        <v>44496</v>
      </c>
      <c r="C998" s="1" t="n">
        <v>45265</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60698-2021</t>
        </is>
      </c>
      <c r="B999" s="1" t="n">
        <v>44496</v>
      </c>
      <c r="C999" s="1" t="n">
        <v>45265</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61231-2021</t>
        </is>
      </c>
      <c r="B1000" s="1" t="n">
        <v>44496</v>
      </c>
      <c r="C1000" s="1" t="n">
        <v>45265</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61812-2021</t>
        </is>
      </c>
      <c r="B1001" s="1" t="n">
        <v>44501</v>
      </c>
      <c r="C1001" s="1" t="n">
        <v>45265</v>
      </c>
      <c r="D1001" t="inlineStr">
        <is>
          <t>VÄRMLANDS LÄN</t>
        </is>
      </c>
      <c r="E1001" t="inlineStr">
        <is>
          <t>TORSBY</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61809-2021</t>
        </is>
      </c>
      <c r="B1002" s="1" t="n">
        <v>44501</v>
      </c>
      <c r="C1002" s="1" t="n">
        <v>45265</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62045-2021</t>
        </is>
      </c>
      <c r="B1003" s="1" t="n">
        <v>44502</v>
      </c>
      <c r="C1003" s="1" t="n">
        <v>45265</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62039-2021</t>
        </is>
      </c>
      <c r="B1004" s="1" t="n">
        <v>44502</v>
      </c>
      <c r="C1004" s="1" t="n">
        <v>45265</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62576-2021</t>
        </is>
      </c>
      <c r="B1005" s="1" t="n">
        <v>44502</v>
      </c>
      <c r="C1005" s="1" t="n">
        <v>45265</v>
      </c>
      <c r="D1005" t="inlineStr">
        <is>
          <t>VÄRMLANDS LÄN</t>
        </is>
      </c>
      <c r="E1005" t="inlineStr">
        <is>
          <t>TORSBY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62845-2021</t>
        </is>
      </c>
      <c r="B1006" s="1" t="n">
        <v>44504</v>
      </c>
      <c r="C1006" s="1" t="n">
        <v>45265</v>
      </c>
      <c r="D1006" t="inlineStr">
        <is>
          <t>VÄRMLANDS LÄN</t>
        </is>
      </c>
      <c r="E1006" t="inlineStr">
        <is>
          <t>TORSBY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63251-2021</t>
        </is>
      </c>
      <c r="B1007" s="1" t="n">
        <v>44508</v>
      </c>
      <c r="C1007" s="1" t="n">
        <v>45265</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63527-2021</t>
        </is>
      </c>
      <c r="B1008" s="1" t="n">
        <v>44508</v>
      </c>
      <c r="C1008" s="1" t="n">
        <v>45265</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64780-2021</t>
        </is>
      </c>
      <c r="B1009" s="1" t="n">
        <v>44512</v>
      </c>
      <c r="C1009" s="1" t="n">
        <v>45265</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64902-2021</t>
        </is>
      </c>
      <c r="B1010" s="1" t="n">
        <v>44512</v>
      </c>
      <c r="C1010" s="1" t="n">
        <v>45265</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65182-2021</t>
        </is>
      </c>
      <c r="B1011" s="1" t="n">
        <v>44515</v>
      </c>
      <c r="C1011" s="1" t="n">
        <v>45265</v>
      </c>
      <c r="D1011" t="inlineStr">
        <is>
          <t>VÄRMLANDS LÄN</t>
        </is>
      </c>
      <c r="E1011" t="inlineStr">
        <is>
          <t>TORSBY</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65301-2021</t>
        </is>
      </c>
      <c r="B1012" s="1" t="n">
        <v>44515</v>
      </c>
      <c r="C1012" s="1" t="n">
        <v>45265</v>
      </c>
      <c r="D1012" t="inlineStr">
        <is>
          <t>VÄRMLANDS LÄN</t>
        </is>
      </c>
      <c r="E1012" t="inlineStr">
        <is>
          <t>TORSBY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65537-2021</t>
        </is>
      </c>
      <c r="B1013" s="1" t="n">
        <v>44516</v>
      </c>
      <c r="C1013" s="1" t="n">
        <v>45265</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65713-2021</t>
        </is>
      </c>
      <c r="B1014" s="1" t="n">
        <v>44516</v>
      </c>
      <c r="C1014" s="1" t="n">
        <v>45265</v>
      </c>
      <c r="D1014" t="inlineStr">
        <is>
          <t>VÄRMLANDS LÄN</t>
        </is>
      </c>
      <c r="E1014" t="inlineStr">
        <is>
          <t>TORSBY</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65705-2021</t>
        </is>
      </c>
      <c r="B1015" s="1" t="n">
        <v>44516</v>
      </c>
      <c r="C1015" s="1" t="n">
        <v>45265</v>
      </c>
      <c r="D1015" t="inlineStr">
        <is>
          <t>VÄRMLANDS LÄN</t>
        </is>
      </c>
      <c r="E1015" t="inlineStr">
        <is>
          <t>TORSBY</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65959-2021</t>
        </is>
      </c>
      <c r="B1016" s="1" t="n">
        <v>44517</v>
      </c>
      <c r="C1016" s="1" t="n">
        <v>45265</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65998-2021</t>
        </is>
      </c>
      <c r="B1017" s="1" t="n">
        <v>44517</v>
      </c>
      <c r="C1017" s="1" t="n">
        <v>45265</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66103-2021</t>
        </is>
      </c>
      <c r="B1018" s="1" t="n">
        <v>44517</v>
      </c>
      <c r="C1018" s="1" t="n">
        <v>45265</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66133-2021</t>
        </is>
      </c>
      <c r="B1019" s="1" t="n">
        <v>44517</v>
      </c>
      <c r="C1019" s="1" t="n">
        <v>45265</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66978-2021</t>
        </is>
      </c>
      <c r="B1020" s="1" t="n">
        <v>44522</v>
      </c>
      <c r="C1020" s="1" t="n">
        <v>45265</v>
      </c>
      <c r="D1020" t="inlineStr">
        <is>
          <t>VÄRMLANDS LÄN</t>
        </is>
      </c>
      <c r="E1020" t="inlineStr">
        <is>
          <t>TORSBY</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67006-2021</t>
        </is>
      </c>
      <c r="B1021" s="1" t="n">
        <v>44522</v>
      </c>
      <c r="C1021" s="1" t="n">
        <v>45265</v>
      </c>
      <c r="D1021" t="inlineStr">
        <is>
          <t>VÄRMLANDS LÄN</t>
        </is>
      </c>
      <c r="E1021" t="inlineStr">
        <is>
          <t>TORSBY</t>
        </is>
      </c>
      <c r="F1021" t="inlineStr">
        <is>
          <t>Kommuner</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67147-2021</t>
        </is>
      </c>
      <c r="B1022" s="1" t="n">
        <v>44523</v>
      </c>
      <c r="C1022" s="1" t="n">
        <v>45265</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67172-2021</t>
        </is>
      </c>
      <c r="B1023" s="1" t="n">
        <v>44523</v>
      </c>
      <c r="C1023" s="1" t="n">
        <v>45265</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67567-2021</t>
        </is>
      </c>
      <c r="B1024" s="1" t="n">
        <v>44524</v>
      </c>
      <c r="C1024" s="1" t="n">
        <v>45265</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67457-2021</t>
        </is>
      </c>
      <c r="B1025" s="1" t="n">
        <v>44524</v>
      </c>
      <c r="C1025" s="1" t="n">
        <v>45265</v>
      </c>
      <c r="D1025" t="inlineStr">
        <is>
          <t>VÄRMLANDS LÄN</t>
        </is>
      </c>
      <c r="E1025" t="inlineStr">
        <is>
          <t>TORSBY</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67933-2021</t>
        </is>
      </c>
      <c r="B1026" s="1" t="n">
        <v>44525</v>
      </c>
      <c r="C1026" s="1" t="n">
        <v>45265</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67913-2021</t>
        </is>
      </c>
      <c r="B1027" s="1" t="n">
        <v>44525</v>
      </c>
      <c r="C1027" s="1" t="n">
        <v>45265</v>
      </c>
      <c r="D1027" t="inlineStr">
        <is>
          <t>VÄRMLANDS LÄN</t>
        </is>
      </c>
      <c r="E1027" t="inlineStr">
        <is>
          <t>TORSBY</t>
        </is>
      </c>
      <c r="F1027" t="inlineStr">
        <is>
          <t>Bergvik skog väst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69279-2021</t>
        </is>
      </c>
      <c r="B1028" s="1" t="n">
        <v>44526</v>
      </c>
      <c r="C1028" s="1" t="n">
        <v>45265</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69265-2021</t>
        </is>
      </c>
      <c r="B1029" s="1" t="n">
        <v>44526</v>
      </c>
      <c r="C1029" s="1" t="n">
        <v>45265</v>
      </c>
      <c r="D1029" t="inlineStr">
        <is>
          <t>VÄRMLANDS LÄN</t>
        </is>
      </c>
      <c r="E1029" t="inlineStr">
        <is>
          <t>TORSBY</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69275-2021</t>
        </is>
      </c>
      <c r="B1030" s="1" t="n">
        <v>44526</v>
      </c>
      <c r="C1030" s="1" t="n">
        <v>45265</v>
      </c>
      <c r="D1030" t="inlineStr">
        <is>
          <t>VÄRMLANDS LÄN</t>
        </is>
      </c>
      <c r="E1030" t="inlineStr">
        <is>
          <t>TORSBY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68153-2021</t>
        </is>
      </c>
      <c r="B1031" s="1" t="n">
        <v>44526</v>
      </c>
      <c r="C1031" s="1" t="n">
        <v>45265</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69281-2021</t>
        </is>
      </c>
      <c r="B1032" s="1" t="n">
        <v>44526</v>
      </c>
      <c r="C1032" s="1" t="n">
        <v>45265</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68266-2021</t>
        </is>
      </c>
      <c r="B1033" s="1" t="n">
        <v>44526</v>
      </c>
      <c r="C1033" s="1" t="n">
        <v>45265</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68136-2021</t>
        </is>
      </c>
      <c r="B1034" s="1" t="n">
        <v>44526</v>
      </c>
      <c r="C1034" s="1" t="n">
        <v>45265</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68650-2021</t>
        </is>
      </c>
      <c r="B1035" s="1" t="n">
        <v>44529</v>
      </c>
      <c r="C1035" s="1" t="n">
        <v>45265</v>
      </c>
      <c r="D1035" t="inlineStr">
        <is>
          <t>VÄRMLANDS LÄN</t>
        </is>
      </c>
      <c r="E1035" t="inlineStr">
        <is>
          <t>TORSBY</t>
        </is>
      </c>
      <c r="F1035" t="inlineStr">
        <is>
          <t>Bergvik skog väst AB</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68850-2021</t>
        </is>
      </c>
      <c r="B1036" s="1" t="n">
        <v>44530</v>
      </c>
      <c r="C1036" s="1" t="n">
        <v>45265</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68855-2021</t>
        </is>
      </c>
      <c r="B1037" s="1" t="n">
        <v>44530</v>
      </c>
      <c r="C1037" s="1" t="n">
        <v>45265</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69026-2021</t>
        </is>
      </c>
      <c r="B1038" s="1" t="n">
        <v>44530</v>
      </c>
      <c r="C1038" s="1" t="n">
        <v>45265</v>
      </c>
      <c r="D1038" t="inlineStr">
        <is>
          <t>VÄRMLANDS LÄN</t>
        </is>
      </c>
      <c r="E1038" t="inlineStr">
        <is>
          <t>TORSBY</t>
        </is>
      </c>
      <c r="F1038" t="inlineStr">
        <is>
          <t>Bergvik skog väst AB</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69086-2021</t>
        </is>
      </c>
      <c r="B1039" s="1" t="n">
        <v>44530</v>
      </c>
      <c r="C1039" s="1" t="n">
        <v>45265</v>
      </c>
      <c r="D1039" t="inlineStr">
        <is>
          <t>VÄRMLANDS LÄN</t>
        </is>
      </c>
      <c r="E1039" t="inlineStr">
        <is>
          <t>TORSBY</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69877-2021</t>
        </is>
      </c>
      <c r="B1040" s="1" t="n">
        <v>44532</v>
      </c>
      <c r="C1040" s="1" t="n">
        <v>45265</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69878-2021</t>
        </is>
      </c>
      <c r="B1041" s="1" t="n">
        <v>44532</v>
      </c>
      <c r="C1041" s="1" t="n">
        <v>45265</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70166-2021</t>
        </is>
      </c>
      <c r="B1042" s="1" t="n">
        <v>44533</v>
      </c>
      <c r="C1042" s="1" t="n">
        <v>45265</v>
      </c>
      <c r="D1042" t="inlineStr">
        <is>
          <t>VÄRMLANDS LÄN</t>
        </is>
      </c>
      <c r="E1042" t="inlineStr">
        <is>
          <t>TORSBY</t>
        </is>
      </c>
      <c r="F1042" t="inlineStr">
        <is>
          <t>Kommuner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69974-2021</t>
        </is>
      </c>
      <c r="B1043" s="1" t="n">
        <v>44533</v>
      </c>
      <c r="C1043" s="1" t="n">
        <v>45265</v>
      </c>
      <c r="D1043" t="inlineStr">
        <is>
          <t>VÄRMLANDS LÄN</t>
        </is>
      </c>
      <c r="E1043" t="inlineStr">
        <is>
          <t>TORSBY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70241-2021</t>
        </is>
      </c>
      <c r="B1044" s="1" t="n">
        <v>44536</v>
      </c>
      <c r="C1044" s="1" t="n">
        <v>45265</v>
      </c>
      <c r="D1044" t="inlineStr">
        <is>
          <t>VÄRMLANDS LÄN</t>
        </is>
      </c>
      <c r="E1044" t="inlineStr">
        <is>
          <t>TORSBY</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70253-2021</t>
        </is>
      </c>
      <c r="B1045" s="1" t="n">
        <v>44536</v>
      </c>
      <c r="C1045" s="1" t="n">
        <v>45265</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70658-2021</t>
        </is>
      </c>
      <c r="B1046" s="1" t="n">
        <v>44537</v>
      </c>
      <c r="C1046" s="1" t="n">
        <v>45265</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70787-2021</t>
        </is>
      </c>
      <c r="B1047" s="1" t="n">
        <v>44537</v>
      </c>
      <c r="C1047" s="1" t="n">
        <v>45265</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70775-2021</t>
        </is>
      </c>
      <c r="B1048" s="1" t="n">
        <v>44537</v>
      </c>
      <c r="C1048" s="1" t="n">
        <v>45265</v>
      </c>
      <c r="D1048" t="inlineStr">
        <is>
          <t>VÄRMLANDS LÄN</t>
        </is>
      </c>
      <c r="E1048" t="inlineStr">
        <is>
          <t>TORSBY</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70785-2021</t>
        </is>
      </c>
      <c r="B1049" s="1" t="n">
        <v>44537</v>
      </c>
      <c r="C1049" s="1" t="n">
        <v>45265</v>
      </c>
      <c r="D1049" t="inlineStr">
        <is>
          <t>VÄRMLANDS LÄN</t>
        </is>
      </c>
      <c r="E1049" t="inlineStr">
        <is>
          <t>TORSBY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70978-2021</t>
        </is>
      </c>
      <c r="B1050" s="1" t="n">
        <v>44537</v>
      </c>
      <c r="C1050" s="1" t="n">
        <v>45265</v>
      </c>
      <c r="D1050" t="inlineStr">
        <is>
          <t>VÄRMLANDS LÄN</t>
        </is>
      </c>
      <c r="E1050" t="inlineStr">
        <is>
          <t>TORSBY</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70926-2021</t>
        </is>
      </c>
      <c r="B1051" s="1" t="n">
        <v>44538</v>
      </c>
      <c r="C1051" s="1" t="n">
        <v>45265</v>
      </c>
      <c r="D1051" t="inlineStr">
        <is>
          <t>VÄRMLANDS LÄN</t>
        </is>
      </c>
      <c r="E1051" t="inlineStr">
        <is>
          <t>TORSBY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70924-2021</t>
        </is>
      </c>
      <c r="B1052" s="1" t="n">
        <v>44538</v>
      </c>
      <c r="C1052" s="1" t="n">
        <v>45265</v>
      </c>
      <c r="D1052" t="inlineStr">
        <is>
          <t>VÄRMLANDS LÄN</t>
        </is>
      </c>
      <c r="E1052" t="inlineStr">
        <is>
          <t>TORSBY</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71255-2021</t>
        </is>
      </c>
      <c r="B1053" s="1" t="n">
        <v>44538</v>
      </c>
      <c r="C1053" s="1" t="n">
        <v>45265</v>
      </c>
      <c r="D1053" t="inlineStr">
        <is>
          <t>VÄRMLANDS LÄN</t>
        </is>
      </c>
      <c r="E1053" t="inlineStr">
        <is>
          <t>TORSBY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71084-2021</t>
        </is>
      </c>
      <c r="B1054" s="1" t="n">
        <v>44539</v>
      </c>
      <c r="C1054" s="1" t="n">
        <v>45265</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71469-2021</t>
        </is>
      </c>
      <c r="B1055" s="1" t="n">
        <v>44540</v>
      </c>
      <c r="C1055" s="1" t="n">
        <v>45265</v>
      </c>
      <c r="D1055" t="inlineStr">
        <is>
          <t>VÄRMLANDS LÄN</t>
        </is>
      </c>
      <c r="E1055" t="inlineStr">
        <is>
          <t>TORSBY</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71679-2021</t>
        </is>
      </c>
      <c r="B1056" s="1" t="n">
        <v>44543</v>
      </c>
      <c r="C1056" s="1" t="n">
        <v>45265</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71990-2021</t>
        </is>
      </c>
      <c r="B1057" s="1" t="n">
        <v>44544</v>
      </c>
      <c r="C1057" s="1" t="n">
        <v>45265</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72200-2021</t>
        </is>
      </c>
      <c r="B1058" s="1" t="n">
        <v>44544</v>
      </c>
      <c r="C1058" s="1" t="n">
        <v>45265</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72250-2021</t>
        </is>
      </c>
      <c r="B1059" s="1" t="n">
        <v>44544</v>
      </c>
      <c r="C1059" s="1" t="n">
        <v>45265</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73055-2021</t>
        </is>
      </c>
      <c r="B1060" s="1" t="n">
        <v>44550</v>
      </c>
      <c r="C1060" s="1" t="n">
        <v>45265</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73324-2021</t>
        </is>
      </c>
      <c r="B1061" s="1" t="n">
        <v>44550</v>
      </c>
      <c r="C1061" s="1" t="n">
        <v>45265</v>
      </c>
      <c r="D1061" t="inlineStr">
        <is>
          <t>VÄRMLANDS LÄN</t>
        </is>
      </c>
      <c r="E1061" t="inlineStr">
        <is>
          <t>TORSBY</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73165-2021</t>
        </is>
      </c>
      <c r="B1062" s="1" t="n">
        <v>44550</v>
      </c>
      <c r="C1062" s="1" t="n">
        <v>45265</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73442-2021</t>
        </is>
      </c>
      <c r="B1063" s="1" t="n">
        <v>44551</v>
      </c>
      <c r="C1063" s="1" t="n">
        <v>45265</v>
      </c>
      <c r="D1063" t="inlineStr">
        <is>
          <t>VÄRMLANDS LÄN</t>
        </is>
      </c>
      <c r="E1063" t="inlineStr">
        <is>
          <t>TORSBY</t>
        </is>
      </c>
      <c r="F1063" t="inlineStr">
        <is>
          <t>Bergvik skog väst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73553-2021</t>
        </is>
      </c>
      <c r="B1064" s="1" t="n">
        <v>44551</v>
      </c>
      <c r="C1064" s="1" t="n">
        <v>45265</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73521-2021</t>
        </is>
      </c>
      <c r="B1065" s="1" t="n">
        <v>44551</v>
      </c>
      <c r="C1065" s="1" t="n">
        <v>45265</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73882-2021</t>
        </is>
      </c>
      <c r="B1066" s="1" t="n">
        <v>44553</v>
      </c>
      <c r="C1066" s="1" t="n">
        <v>45265</v>
      </c>
      <c r="D1066" t="inlineStr">
        <is>
          <t>VÄRMLANDS LÄN</t>
        </is>
      </c>
      <c r="E1066" t="inlineStr">
        <is>
          <t>TORSBY</t>
        </is>
      </c>
      <c r="F1066" t="inlineStr">
        <is>
          <t>Kyrkan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73874-2021</t>
        </is>
      </c>
      <c r="B1067" s="1" t="n">
        <v>44553</v>
      </c>
      <c r="C1067" s="1" t="n">
        <v>45265</v>
      </c>
      <c r="D1067" t="inlineStr">
        <is>
          <t>VÄRMLANDS LÄN</t>
        </is>
      </c>
      <c r="E1067" t="inlineStr">
        <is>
          <t>TORSBY</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74012-2021</t>
        </is>
      </c>
      <c r="B1068" s="1" t="n">
        <v>44553</v>
      </c>
      <c r="C1068" s="1" t="n">
        <v>45265</v>
      </c>
      <c r="D1068" t="inlineStr">
        <is>
          <t>VÄRMLANDS LÄN</t>
        </is>
      </c>
      <c r="E1068" t="inlineStr">
        <is>
          <t>TORSBY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74079-2021</t>
        </is>
      </c>
      <c r="B1069" s="1" t="n">
        <v>44557</v>
      </c>
      <c r="C1069" s="1" t="n">
        <v>45265</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74375-2021</t>
        </is>
      </c>
      <c r="B1070" s="1" t="n">
        <v>44559</v>
      </c>
      <c r="C1070" s="1" t="n">
        <v>45265</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74374-2021</t>
        </is>
      </c>
      <c r="B1071" s="1" t="n">
        <v>44559</v>
      </c>
      <c r="C1071" s="1" t="n">
        <v>45265</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74351-2021</t>
        </is>
      </c>
      <c r="B1072" s="1" t="n">
        <v>44559</v>
      </c>
      <c r="C1072" s="1" t="n">
        <v>45265</v>
      </c>
      <c r="D1072" t="inlineStr">
        <is>
          <t>VÄRMLANDS LÄN</t>
        </is>
      </c>
      <c r="E1072" t="inlineStr">
        <is>
          <t>TORSBY</t>
        </is>
      </c>
      <c r="F1072" t="inlineStr">
        <is>
          <t>Bergvik skog väst AB</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361-2022</t>
        </is>
      </c>
      <c r="B1073" s="1" t="n">
        <v>44565</v>
      </c>
      <c r="C1073" s="1" t="n">
        <v>45265</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739-2022</t>
        </is>
      </c>
      <c r="B1074" s="1" t="n">
        <v>44568</v>
      </c>
      <c r="C1074" s="1" t="n">
        <v>45265</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997-2022</t>
        </is>
      </c>
      <c r="B1075" s="1" t="n">
        <v>44571</v>
      </c>
      <c r="C1075" s="1" t="n">
        <v>45265</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1839-2022</t>
        </is>
      </c>
      <c r="B1076" s="1" t="n">
        <v>44574</v>
      </c>
      <c r="C1076" s="1" t="n">
        <v>45265</v>
      </c>
      <c r="D1076" t="inlineStr">
        <is>
          <t>VÄRMLANDS LÄN</t>
        </is>
      </c>
      <c r="E1076" t="inlineStr">
        <is>
          <t>TORSBY</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1911-2022</t>
        </is>
      </c>
      <c r="B1077" s="1" t="n">
        <v>44575</v>
      </c>
      <c r="C1077" s="1" t="n">
        <v>45265</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2414-2022</t>
        </is>
      </c>
      <c r="B1078" s="1" t="n">
        <v>44579</v>
      </c>
      <c r="C1078" s="1" t="n">
        <v>45265</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2421-2022</t>
        </is>
      </c>
      <c r="B1079" s="1" t="n">
        <v>44579</v>
      </c>
      <c r="C1079" s="1" t="n">
        <v>45265</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2699-2022</t>
        </is>
      </c>
      <c r="B1080" s="1" t="n">
        <v>44580</v>
      </c>
      <c r="C1080" s="1" t="n">
        <v>45265</v>
      </c>
      <c r="D1080" t="inlineStr">
        <is>
          <t>VÄRMLANDS LÄN</t>
        </is>
      </c>
      <c r="E1080" t="inlineStr">
        <is>
          <t>TORSBY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3071-2022</t>
        </is>
      </c>
      <c r="B1081" s="1" t="n">
        <v>44582</v>
      </c>
      <c r="C1081" s="1" t="n">
        <v>45265</v>
      </c>
      <c r="D1081" t="inlineStr">
        <is>
          <t>VÄRMLANDS LÄN</t>
        </is>
      </c>
      <c r="E1081" t="inlineStr">
        <is>
          <t>TORSBY</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3369-2022</t>
        </is>
      </c>
      <c r="B1082" s="1" t="n">
        <v>44585</v>
      </c>
      <c r="C1082" s="1" t="n">
        <v>45265</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3385-2022</t>
        </is>
      </c>
      <c r="B1083" s="1" t="n">
        <v>44585</v>
      </c>
      <c r="C1083" s="1" t="n">
        <v>45265</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45265</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3387-2022</t>
        </is>
      </c>
      <c r="B1085" s="1" t="n">
        <v>44585</v>
      </c>
      <c r="C1085" s="1" t="n">
        <v>45265</v>
      </c>
      <c r="D1085" t="inlineStr">
        <is>
          <t>VÄRMLANDS LÄN</t>
        </is>
      </c>
      <c r="E1085" t="inlineStr">
        <is>
          <t>TORSBY</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3382-2022</t>
        </is>
      </c>
      <c r="B1086" s="1" t="n">
        <v>44585</v>
      </c>
      <c r="C1086" s="1" t="n">
        <v>45265</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3390-2022</t>
        </is>
      </c>
      <c r="B1087" s="1" t="n">
        <v>44585</v>
      </c>
      <c r="C1087" s="1" t="n">
        <v>45265</v>
      </c>
      <c r="D1087" t="inlineStr">
        <is>
          <t>VÄRMLANDS LÄN</t>
        </is>
      </c>
      <c r="E1087" t="inlineStr">
        <is>
          <t>TORSBY</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3393-2022</t>
        </is>
      </c>
      <c r="B1088" s="1" t="n">
        <v>44585</v>
      </c>
      <c r="C1088" s="1" t="n">
        <v>45265</v>
      </c>
      <c r="D1088" t="inlineStr">
        <is>
          <t>VÄRMLANDS LÄN</t>
        </is>
      </c>
      <c r="E1088" t="inlineStr">
        <is>
          <t>TORSBY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3749-2022</t>
        </is>
      </c>
      <c r="B1089" s="1" t="n">
        <v>44586</v>
      </c>
      <c r="C1089" s="1" t="n">
        <v>45265</v>
      </c>
      <c r="D1089" t="inlineStr">
        <is>
          <t>VÄRMLANDS LÄN</t>
        </is>
      </c>
      <c r="E1089" t="inlineStr">
        <is>
          <t>TORSBY</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3841-2022</t>
        </is>
      </c>
      <c r="B1090" s="1" t="n">
        <v>44587</v>
      </c>
      <c r="C1090" s="1" t="n">
        <v>45265</v>
      </c>
      <c r="D1090" t="inlineStr">
        <is>
          <t>VÄRMLANDS LÄN</t>
        </is>
      </c>
      <c r="E1090" t="inlineStr">
        <is>
          <t>TORSBY</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3887-2022</t>
        </is>
      </c>
      <c r="B1091" s="1" t="n">
        <v>44587</v>
      </c>
      <c r="C1091" s="1" t="n">
        <v>45265</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4172-2022</t>
        </is>
      </c>
      <c r="B1092" s="1" t="n">
        <v>44588</v>
      </c>
      <c r="C1092" s="1" t="n">
        <v>45265</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4557-2022</t>
        </is>
      </c>
      <c r="B1093" s="1" t="n">
        <v>44591</v>
      </c>
      <c r="C1093" s="1" t="n">
        <v>45265</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4640-2022</t>
        </is>
      </c>
      <c r="B1094" s="1" t="n">
        <v>44592</v>
      </c>
      <c r="C1094" s="1" t="n">
        <v>45265</v>
      </c>
      <c r="D1094" t="inlineStr">
        <is>
          <t>VÄRMLANDS LÄN</t>
        </is>
      </c>
      <c r="E1094" t="inlineStr">
        <is>
          <t>TORSBY</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4967-2022</t>
        </is>
      </c>
      <c r="B1095" s="1" t="n">
        <v>44593</v>
      </c>
      <c r="C1095" s="1" t="n">
        <v>45265</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4960-2022</t>
        </is>
      </c>
      <c r="B1096" s="1" t="n">
        <v>44593</v>
      </c>
      <c r="C1096" s="1" t="n">
        <v>45265</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5040-2022</t>
        </is>
      </c>
      <c r="B1097" s="1" t="n">
        <v>44593</v>
      </c>
      <c r="C1097" s="1" t="n">
        <v>45265</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5015-2022</t>
        </is>
      </c>
      <c r="B1098" s="1" t="n">
        <v>44593</v>
      </c>
      <c r="C1098" s="1" t="n">
        <v>45265</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5289-2022</t>
        </is>
      </c>
      <c r="B1099" s="1" t="n">
        <v>44594</v>
      </c>
      <c r="C1099" s="1" t="n">
        <v>45265</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6438-2022</t>
        </is>
      </c>
      <c r="B1100" s="1" t="n">
        <v>44601</v>
      </c>
      <c r="C1100" s="1" t="n">
        <v>45265</v>
      </c>
      <c r="D1100" t="inlineStr">
        <is>
          <t>VÄRMLANDS LÄN</t>
        </is>
      </c>
      <c r="E1100" t="inlineStr">
        <is>
          <t>TORSBY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7091-2022</t>
        </is>
      </c>
      <c r="B1101" s="1" t="n">
        <v>44603</v>
      </c>
      <c r="C1101" s="1" t="n">
        <v>45265</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7069-2022</t>
        </is>
      </c>
      <c r="B1102" s="1" t="n">
        <v>44603</v>
      </c>
      <c r="C1102" s="1" t="n">
        <v>45265</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7544-2022</t>
        </is>
      </c>
      <c r="B1103" s="1" t="n">
        <v>44607</v>
      </c>
      <c r="C1103" s="1" t="n">
        <v>45265</v>
      </c>
      <c r="D1103" t="inlineStr">
        <is>
          <t>VÄRMLANDS LÄN</t>
        </is>
      </c>
      <c r="E1103" t="inlineStr">
        <is>
          <t>TORSBY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7543-2022</t>
        </is>
      </c>
      <c r="B1104" s="1" t="n">
        <v>44607</v>
      </c>
      <c r="C1104" s="1" t="n">
        <v>45265</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7921-2022</t>
        </is>
      </c>
      <c r="B1105" s="1" t="n">
        <v>44608</v>
      </c>
      <c r="C1105" s="1" t="n">
        <v>45265</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8048-2022</t>
        </is>
      </c>
      <c r="B1106" s="1" t="n">
        <v>44609</v>
      </c>
      <c r="C1106" s="1" t="n">
        <v>45265</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8054-2022</t>
        </is>
      </c>
      <c r="B1107" s="1" t="n">
        <v>44609</v>
      </c>
      <c r="C1107" s="1" t="n">
        <v>45265</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8033-2022</t>
        </is>
      </c>
      <c r="B1108" s="1" t="n">
        <v>44609</v>
      </c>
      <c r="C1108" s="1" t="n">
        <v>45265</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8739-2022</t>
        </is>
      </c>
      <c r="B1109" s="1" t="n">
        <v>44615</v>
      </c>
      <c r="C1109" s="1" t="n">
        <v>45265</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9057-2022</t>
        </is>
      </c>
      <c r="B1110" s="1" t="n">
        <v>44615</v>
      </c>
      <c r="C1110" s="1" t="n">
        <v>45265</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10608-2022</t>
        </is>
      </c>
      <c r="B1111" s="1" t="n">
        <v>44624</v>
      </c>
      <c r="C1111" s="1" t="n">
        <v>45265</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11050-2022</t>
        </is>
      </c>
      <c r="B1112" s="1" t="n">
        <v>44628</v>
      </c>
      <c r="C1112" s="1" t="n">
        <v>45265</v>
      </c>
      <c r="D1112" t="inlineStr">
        <is>
          <t>VÄRMLANDS LÄN</t>
        </is>
      </c>
      <c r="E1112" t="inlineStr">
        <is>
          <t>TORSBY</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11447-2022</t>
        </is>
      </c>
      <c r="B1113" s="1" t="n">
        <v>44630</v>
      </c>
      <c r="C1113" s="1" t="n">
        <v>45265</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11665-2022</t>
        </is>
      </c>
      <c r="B1114" s="1" t="n">
        <v>44632</v>
      </c>
      <c r="C1114" s="1" t="n">
        <v>45265</v>
      </c>
      <c r="D1114" t="inlineStr">
        <is>
          <t>VÄRMLANDS LÄN</t>
        </is>
      </c>
      <c r="E1114" t="inlineStr">
        <is>
          <t>TORSBY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11667-2022</t>
        </is>
      </c>
      <c r="B1115" s="1" t="n">
        <v>44632</v>
      </c>
      <c r="C1115" s="1" t="n">
        <v>45265</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11664-2022</t>
        </is>
      </c>
      <c r="B1116" s="1" t="n">
        <v>44632</v>
      </c>
      <c r="C1116" s="1" t="n">
        <v>45265</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11666-2022</t>
        </is>
      </c>
      <c r="B1117" s="1" t="n">
        <v>44632</v>
      </c>
      <c r="C1117" s="1" t="n">
        <v>45265</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11922-2022</t>
        </is>
      </c>
      <c r="B1118" s="1" t="n">
        <v>44635</v>
      </c>
      <c r="C1118" s="1" t="n">
        <v>45265</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11918-2022</t>
        </is>
      </c>
      <c r="B1119" s="1" t="n">
        <v>44635</v>
      </c>
      <c r="C1119" s="1" t="n">
        <v>45265</v>
      </c>
      <c r="D1119" t="inlineStr">
        <is>
          <t>VÄRMLANDS LÄN</t>
        </is>
      </c>
      <c r="E1119" t="inlineStr">
        <is>
          <t>TORSBY</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12310-2022</t>
        </is>
      </c>
      <c r="B1120" s="1" t="n">
        <v>44636</v>
      </c>
      <c r="C1120" s="1" t="n">
        <v>45265</v>
      </c>
      <c r="D1120" t="inlineStr">
        <is>
          <t>VÄRMLANDS LÄN</t>
        </is>
      </c>
      <c r="E1120" t="inlineStr">
        <is>
          <t>TORSBY</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12365-2022</t>
        </is>
      </c>
      <c r="B1121" s="1" t="n">
        <v>44637</v>
      </c>
      <c r="C1121" s="1" t="n">
        <v>45265</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13207-2022</t>
        </is>
      </c>
      <c r="B1122" s="1" t="n">
        <v>44644</v>
      </c>
      <c r="C1122" s="1" t="n">
        <v>45265</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13698-2022</t>
        </is>
      </c>
      <c r="B1123" s="1" t="n">
        <v>44648</v>
      </c>
      <c r="C1123" s="1" t="n">
        <v>45265</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13896-2022</t>
        </is>
      </c>
      <c r="B1124" s="1" t="n">
        <v>44650</v>
      </c>
      <c r="C1124" s="1" t="n">
        <v>45265</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14145-2022</t>
        </is>
      </c>
      <c r="B1125" s="1" t="n">
        <v>44651</v>
      </c>
      <c r="C1125" s="1" t="n">
        <v>45265</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14168-2022</t>
        </is>
      </c>
      <c r="B1126" s="1" t="n">
        <v>44651</v>
      </c>
      <c r="C1126" s="1" t="n">
        <v>45265</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14320-2022</t>
        </is>
      </c>
      <c r="B1127" s="1" t="n">
        <v>44652</v>
      </c>
      <c r="C1127" s="1" t="n">
        <v>45265</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15461-2022</t>
        </is>
      </c>
      <c r="B1128" s="1" t="n">
        <v>44661</v>
      </c>
      <c r="C1128" s="1" t="n">
        <v>45265</v>
      </c>
      <c r="D1128" t="inlineStr">
        <is>
          <t>VÄRMLANDS LÄN</t>
        </is>
      </c>
      <c r="E1128" t="inlineStr">
        <is>
          <t>TORSBY</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15460-2022</t>
        </is>
      </c>
      <c r="B1129" s="1" t="n">
        <v>44661</v>
      </c>
      <c r="C1129" s="1" t="n">
        <v>45265</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16080-2022</t>
        </is>
      </c>
      <c r="B1130" s="1" t="n">
        <v>44665</v>
      </c>
      <c r="C1130" s="1" t="n">
        <v>45265</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16010-2022</t>
        </is>
      </c>
      <c r="B1131" s="1" t="n">
        <v>44665</v>
      </c>
      <c r="C1131" s="1" t="n">
        <v>45265</v>
      </c>
      <c r="D1131" t="inlineStr">
        <is>
          <t>VÄRMLANDS LÄN</t>
        </is>
      </c>
      <c r="E1131" t="inlineStr">
        <is>
          <t>TORSBY</t>
        </is>
      </c>
      <c r="F1131" t="inlineStr">
        <is>
          <t>Bergvik skog väst AB</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16425-2022</t>
        </is>
      </c>
      <c r="B1132" s="1" t="n">
        <v>44671</v>
      </c>
      <c r="C1132" s="1" t="n">
        <v>45265</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16498-2022</t>
        </is>
      </c>
      <c r="B1133" s="1" t="n">
        <v>44671</v>
      </c>
      <c r="C1133" s="1" t="n">
        <v>45265</v>
      </c>
      <c r="D1133" t="inlineStr">
        <is>
          <t>VÄRMLANDS LÄN</t>
        </is>
      </c>
      <c r="E1133" t="inlineStr">
        <is>
          <t>TORSBY</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16572-2022</t>
        </is>
      </c>
      <c r="B1134" s="1" t="n">
        <v>44672</v>
      </c>
      <c r="C1134" s="1" t="n">
        <v>45265</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17765-2022</t>
        </is>
      </c>
      <c r="B1135" s="1" t="n">
        <v>44681</v>
      </c>
      <c r="C1135" s="1" t="n">
        <v>45265</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18101-2022</t>
        </is>
      </c>
      <c r="B1136" s="1" t="n">
        <v>44684</v>
      </c>
      <c r="C1136" s="1" t="n">
        <v>45265</v>
      </c>
      <c r="D1136" t="inlineStr">
        <is>
          <t>VÄRMLANDS LÄN</t>
        </is>
      </c>
      <c r="E1136" t="inlineStr">
        <is>
          <t>TORSBY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18105-2022</t>
        </is>
      </c>
      <c r="B1137" s="1" t="n">
        <v>44684</v>
      </c>
      <c r="C1137" s="1" t="n">
        <v>45265</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18099-2022</t>
        </is>
      </c>
      <c r="B1138" s="1" t="n">
        <v>44684</v>
      </c>
      <c r="C1138" s="1" t="n">
        <v>45265</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18347-2022</t>
        </is>
      </c>
      <c r="B1139" s="1" t="n">
        <v>44685</v>
      </c>
      <c r="C1139" s="1" t="n">
        <v>45265</v>
      </c>
      <c r="D1139" t="inlineStr">
        <is>
          <t>VÄRMLANDS LÄN</t>
        </is>
      </c>
      <c r="E1139" t="inlineStr">
        <is>
          <t>TORSBY</t>
        </is>
      </c>
      <c r="F1139" t="inlineStr">
        <is>
          <t>Bergvik skog väst AB</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18628-2022</t>
        </is>
      </c>
      <c r="B1140" s="1" t="n">
        <v>44687</v>
      </c>
      <c r="C1140" s="1" t="n">
        <v>45265</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18779-2022</t>
        </is>
      </c>
      <c r="B1141" s="1" t="n">
        <v>44689</v>
      </c>
      <c r="C1141" s="1" t="n">
        <v>45265</v>
      </c>
      <c r="D1141" t="inlineStr">
        <is>
          <t>VÄRMLANDS LÄN</t>
        </is>
      </c>
      <c r="E1141" t="inlineStr">
        <is>
          <t>TORSBY</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18897-2022</t>
        </is>
      </c>
      <c r="B1142" s="1" t="n">
        <v>44690</v>
      </c>
      <c r="C1142" s="1" t="n">
        <v>45265</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18877-2022</t>
        </is>
      </c>
      <c r="B1143" s="1" t="n">
        <v>44690</v>
      </c>
      <c r="C1143" s="1" t="n">
        <v>45265</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18903-2022</t>
        </is>
      </c>
      <c r="B1144" s="1" t="n">
        <v>44690</v>
      </c>
      <c r="C1144" s="1" t="n">
        <v>45265</v>
      </c>
      <c r="D1144" t="inlineStr">
        <is>
          <t>VÄRMLANDS LÄN</t>
        </is>
      </c>
      <c r="E1144" t="inlineStr">
        <is>
          <t>TORSBY</t>
        </is>
      </c>
      <c r="F1144" t="inlineStr">
        <is>
          <t>Bergvik skog väst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19171-2022</t>
        </is>
      </c>
      <c r="B1145" s="1" t="n">
        <v>44691</v>
      </c>
      <c r="C1145" s="1" t="n">
        <v>45265</v>
      </c>
      <c r="D1145" t="inlineStr">
        <is>
          <t>VÄRMLANDS LÄN</t>
        </is>
      </c>
      <c r="E1145" t="inlineStr">
        <is>
          <t>TORSBY</t>
        </is>
      </c>
      <c r="F1145" t="inlineStr">
        <is>
          <t>Bergvik skog väst AB</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19307-2022</t>
        </is>
      </c>
      <c r="B1146" s="1" t="n">
        <v>44692</v>
      </c>
      <c r="C1146" s="1" t="n">
        <v>45265</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19489-2022</t>
        </is>
      </c>
      <c r="B1147" s="1" t="n">
        <v>44693</v>
      </c>
      <c r="C1147" s="1" t="n">
        <v>45265</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19632-2022</t>
        </is>
      </c>
      <c r="B1148" s="1" t="n">
        <v>44694</v>
      </c>
      <c r="C1148" s="1" t="n">
        <v>45265</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19614-2022</t>
        </is>
      </c>
      <c r="B1149" s="1" t="n">
        <v>44694</v>
      </c>
      <c r="C1149" s="1" t="n">
        <v>45265</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20045-2022</t>
        </is>
      </c>
      <c r="B1150" s="1" t="n">
        <v>44697</v>
      </c>
      <c r="C1150" s="1" t="n">
        <v>45265</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20046-2022</t>
        </is>
      </c>
      <c r="B1151" s="1" t="n">
        <v>44697</v>
      </c>
      <c r="C1151" s="1" t="n">
        <v>45265</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20009-2022</t>
        </is>
      </c>
      <c r="B1152" s="1" t="n">
        <v>44697</v>
      </c>
      <c r="C1152" s="1" t="n">
        <v>45265</v>
      </c>
      <c r="D1152" t="inlineStr">
        <is>
          <t>VÄRMLANDS LÄN</t>
        </is>
      </c>
      <c r="E1152" t="inlineStr">
        <is>
          <t>TORSBY</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20168-2022</t>
        </is>
      </c>
      <c r="B1153" s="1" t="n">
        <v>44698</v>
      </c>
      <c r="C1153" s="1" t="n">
        <v>45265</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20175-2022</t>
        </is>
      </c>
      <c r="B1154" s="1" t="n">
        <v>44698</v>
      </c>
      <c r="C1154" s="1" t="n">
        <v>45265</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20174-2022</t>
        </is>
      </c>
      <c r="B1155" s="1" t="n">
        <v>44698</v>
      </c>
      <c r="C1155" s="1" t="n">
        <v>45265</v>
      </c>
      <c r="D1155" t="inlineStr">
        <is>
          <t>VÄRMLANDS LÄN</t>
        </is>
      </c>
      <c r="E1155" t="inlineStr">
        <is>
          <t>TORSBY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20382-2022</t>
        </is>
      </c>
      <c r="B1156" s="1" t="n">
        <v>44699</v>
      </c>
      <c r="C1156" s="1" t="n">
        <v>45265</v>
      </c>
      <c r="D1156" t="inlineStr">
        <is>
          <t>VÄRMLANDS LÄN</t>
        </is>
      </c>
      <c r="E1156" t="inlineStr">
        <is>
          <t>TORSBY</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20819-2022</t>
        </is>
      </c>
      <c r="B1157" s="1" t="n">
        <v>44699</v>
      </c>
      <c r="C1157" s="1" t="n">
        <v>45265</v>
      </c>
      <c r="D1157" t="inlineStr">
        <is>
          <t>VÄRMLANDS LÄN</t>
        </is>
      </c>
      <c r="E1157" t="inlineStr">
        <is>
          <t>TORSBY</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20881-2022</t>
        </is>
      </c>
      <c r="B1158" s="1" t="n">
        <v>44701</v>
      </c>
      <c r="C1158" s="1" t="n">
        <v>45265</v>
      </c>
      <c r="D1158" t="inlineStr">
        <is>
          <t>VÄRMLANDS LÄN</t>
        </is>
      </c>
      <c r="E1158" t="inlineStr">
        <is>
          <t>TORSBY</t>
        </is>
      </c>
      <c r="F1158" t="inlineStr">
        <is>
          <t>Bergvik skog väst AB</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20907-2022</t>
        </is>
      </c>
      <c r="B1159" s="1" t="n">
        <v>44701</v>
      </c>
      <c r="C1159" s="1" t="n">
        <v>45265</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20899-2022</t>
        </is>
      </c>
      <c r="B1160" s="1" t="n">
        <v>44701</v>
      </c>
      <c r="C1160" s="1" t="n">
        <v>45265</v>
      </c>
      <c r="D1160" t="inlineStr">
        <is>
          <t>VÄRMLANDS LÄN</t>
        </is>
      </c>
      <c r="E1160" t="inlineStr">
        <is>
          <t>TORSBY</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21094-2022</t>
        </is>
      </c>
      <c r="B1161" s="1" t="n">
        <v>44704</v>
      </c>
      <c r="C1161" s="1" t="n">
        <v>45265</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21070-2022</t>
        </is>
      </c>
      <c r="B1162" s="1" t="n">
        <v>44704</v>
      </c>
      <c r="C1162" s="1" t="n">
        <v>45265</v>
      </c>
      <c r="D1162" t="inlineStr">
        <is>
          <t>VÄRMLANDS LÄN</t>
        </is>
      </c>
      <c r="E1162" t="inlineStr">
        <is>
          <t>TORSBY</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21089-2022</t>
        </is>
      </c>
      <c r="B1163" s="1" t="n">
        <v>44704</v>
      </c>
      <c r="C1163" s="1" t="n">
        <v>45265</v>
      </c>
      <c r="D1163" t="inlineStr">
        <is>
          <t>VÄRMLANDS LÄN</t>
        </is>
      </c>
      <c r="E1163" t="inlineStr">
        <is>
          <t>TORSBY</t>
        </is>
      </c>
      <c r="G1163" t="n">
        <v>13.4</v>
      </c>
      <c r="H1163" t="n">
        <v>0</v>
      </c>
      <c r="I1163" t="n">
        <v>0</v>
      </c>
      <c r="J1163" t="n">
        <v>0</v>
      </c>
      <c r="K1163" t="n">
        <v>0</v>
      </c>
      <c r="L1163" t="n">
        <v>0</v>
      </c>
      <c r="M1163" t="n">
        <v>0</v>
      </c>
      <c r="N1163" t="n">
        <v>0</v>
      </c>
      <c r="O1163" t="n">
        <v>0</v>
      </c>
      <c r="P1163" t="n">
        <v>0</v>
      </c>
      <c r="Q1163" t="n">
        <v>0</v>
      </c>
      <c r="R1163" s="2" t="inlineStr"/>
    </row>
    <row r="1164" ht="15" customHeight="1">
      <c r="A1164" t="inlineStr">
        <is>
          <t>A 21516-2022</t>
        </is>
      </c>
      <c r="B1164" s="1" t="n">
        <v>44706</v>
      </c>
      <c r="C1164" s="1" t="n">
        <v>45265</v>
      </c>
      <c r="D1164" t="inlineStr">
        <is>
          <t>VÄRMLANDS LÄN</t>
        </is>
      </c>
      <c r="E1164" t="inlineStr">
        <is>
          <t>TORSBY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21465-2022</t>
        </is>
      </c>
      <c r="B1165" s="1" t="n">
        <v>44706</v>
      </c>
      <c r="C1165" s="1" t="n">
        <v>45265</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21521-2022</t>
        </is>
      </c>
      <c r="B1166" s="1" t="n">
        <v>44706</v>
      </c>
      <c r="C1166" s="1" t="n">
        <v>45265</v>
      </c>
      <c r="D1166" t="inlineStr">
        <is>
          <t>VÄRMLANDS LÄN</t>
        </is>
      </c>
      <c r="E1166" t="inlineStr">
        <is>
          <t>TORSBY</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22158-2022</t>
        </is>
      </c>
      <c r="B1167" s="1" t="n">
        <v>44708</v>
      </c>
      <c r="C1167" s="1" t="n">
        <v>45265</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22124-2022</t>
        </is>
      </c>
      <c r="B1168" s="1" t="n">
        <v>44712</v>
      </c>
      <c r="C1168" s="1" t="n">
        <v>45265</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22635-2022</t>
        </is>
      </c>
      <c r="B1169" s="1" t="n">
        <v>44714</v>
      </c>
      <c r="C1169" s="1" t="n">
        <v>45265</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22662-2022</t>
        </is>
      </c>
      <c r="B1170" s="1" t="n">
        <v>44714</v>
      </c>
      <c r="C1170" s="1" t="n">
        <v>45265</v>
      </c>
      <c r="D1170" t="inlineStr">
        <is>
          <t>VÄRMLANDS LÄN</t>
        </is>
      </c>
      <c r="E1170" t="inlineStr">
        <is>
          <t>TORSBY</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22826-2022</t>
        </is>
      </c>
      <c r="B1171" s="1" t="n">
        <v>44714</v>
      </c>
      <c r="C1171" s="1" t="n">
        <v>45265</v>
      </c>
      <c r="D1171" t="inlineStr">
        <is>
          <t>VÄRMLANDS LÄN</t>
        </is>
      </c>
      <c r="E1171" t="inlineStr">
        <is>
          <t>TORSBY</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22823-2022</t>
        </is>
      </c>
      <c r="B1172" s="1" t="n">
        <v>44714</v>
      </c>
      <c r="C1172" s="1" t="n">
        <v>45265</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23185-2022</t>
        </is>
      </c>
      <c r="B1173" s="1" t="n">
        <v>44719</v>
      </c>
      <c r="C1173" s="1" t="n">
        <v>45265</v>
      </c>
      <c r="D1173" t="inlineStr">
        <is>
          <t>VÄRMLANDS LÄN</t>
        </is>
      </c>
      <c r="E1173" t="inlineStr">
        <is>
          <t>TORSBY</t>
        </is>
      </c>
      <c r="F1173" t="inlineStr">
        <is>
          <t>Naturvårdsverket</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23011-2022</t>
        </is>
      </c>
      <c r="B1174" s="1" t="n">
        <v>44719</v>
      </c>
      <c r="C1174" s="1" t="n">
        <v>45265</v>
      </c>
      <c r="D1174" t="inlineStr">
        <is>
          <t>VÄRMLANDS LÄN</t>
        </is>
      </c>
      <c r="E1174" t="inlineStr">
        <is>
          <t>TORSBY</t>
        </is>
      </c>
      <c r="F1174" t="inlineStr">
        <is>
          <t>Bergvik skog väst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23264-2022</t>
        </is>
      </c>
      <c r="B1175" s="1" t="n">
        <v>44720</v>
      </c>
      <c r="C1175" s="1" t="n">
        <v>45265</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23343-2022</t>
        </is>
      </c>
      <c r="B1176" s="1" t="n">
        <v>44720</v>
      </c>
      <c r="C1176" s="1" t="n">
        <v>45265</v>
      </c>
      <c r="D1176" t="inlineStr">
        <is>
          <t>VÄRMLANDS LÄN</t>
        </is>
      </c>
      <c r="E1176" t="inlineStr">
        <is>
          <t>TORSBY</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23401-2022</t>
        </is>
      </c>
      <c r="B1177" s="1" t="n">
        <v>44720</v>
      </c>
      <c r="C1177" s="1" t="n">
        <v>45265</v>
      </c>
      <c r="D1177" t="inlineStr">
        <is>
          <t>VÄRMLANDS LÄN</t>
        </is>
      </c>
      <c r="E1177" t="inlineStr">
        <is>
          <t>TORSBY</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23405-2022</t>
        </is>
      </c>
      <c r="B1178" s="1" t="n">
        <v>44720</v>
      </c>
      <c r="C1178" s="1" t="n">
        <v>45265</v>
      </c>
      <c r="D1178" t="inlineStr">
        <is>
          <t>VÄRMLANDS LÄN</t>
        </is>
      </c>
      <c r="E1178" t="inlineStr">
        <is>
          <t>TORSBY</t>
        </is>
      </c>
      <c r="F1178" t="inlineStr">
        <is>
          <t>Bergvik skog väst AB</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23803-2022</t>
        </is>
      </c>
      <c r="B1179" s="1" t="n">
        <v>44720</v>
      </c>
      <c r="C1179" s="1" t="n">
        <v>45265</v>
      </c>
      <c r="D1179" t="inlineStr">
        <is>
          <t>VÄRMLANDS LÄN</t>
        </is>
      </c>
      <c r="E1179" t="inlineStr">
        <is>
          <t>TORSBY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23486-2022</t>
        </is>
      </c>
      <c r="B1180" s="1" t="n">
        <v>44721</v>
      </c>
      <c r="C1180" s="1" t="n">
        <v>45265</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23804-2022</t>
        </is>
      </c>
      <c r="B1181" s="1" t="n">
        <v>44722</v>
      </c>
      <c r="C1181" s="1" t="n">
        <v>45265</v>
      </c>
      <c r="D1181" t="inlineStr">
        <is>
          <t>VÄRMLANDS LÄN</t>
        </is>
      </c>
      <c r="E1181" t="inlineStr">
        <is>
          <t>TORSBY</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23823-2022</t>
        </is>
      </c>
      <c r="B1182" s="1" t="n">
        <v>44722</v>
      </c>
      <c r="C1182" s="1" t="n">
        <v>45265</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23735-2022</t>
        </is>
      </c>
      <c r="B1183" s="1" t="n">
        <v>44722</v>
      </c>
      <c r="C1183" s="1" t="n">
        <v>45265</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23818-2022</t>
        </is>
      </c>
      <c r="B1184" s="1" t="n">
        <v>44722</v>
      </c>
      <c r="C1184" s="1" t="n">
        <v>45265</v>
      </c>
      <c r="D1184" t="inlineStr">
        <is>
          <t>VÄRMLANDS LÄN</t>
        </is>
      </c>
      <c r="E1184" t="inlineStr">
        <is>
          <t>TORSBY</t>
        </is>
      </c>
      <c r="G1184" t="n">
        <v>23.5</v>
      </c>
      <c r="H1184" t="n">
        <v>0</v>
      </c>
      <c r="I1184" t="n">
        <v>0</v>
      </c>
      <c r="J1184" t="n">
        <v>0</v>
      </c>
      <c r="K1184" t="n">
        <v>0</v>
      </c>
      <c r="L1184" t="n">
        <v>0</v>
      </c>
      <c r="M1184" t="n">
        <v>0</v>
      </c>
      <c r="N1184" t="n">
        <v>0</v>
      </c>
      <c r="O1184" t="n">
        <v>0</v>
      </c>
      <c r="P1184" t="n">
        <v>0</v>
      </c>
      <c r="Q1184" t="n">
        <v>0</v>
      </c>
      <c r="R1184" s="2" t="inlineStr"/>
    </row>
    <row r="1185" ht="15" customHeight="1">
      <c r="A1185" t="inlineStr">
        <is>
          <t>A 23732-2022</t>
        </is>
      </c>
      <c r="B1185" s="1" t="n">
        <v>44722</v>
      </c>
      <c r="C1185" s="1" t="n">
        <v>45265</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23746-2022</t>
        </is>
      </c>
      <c r="B1186" s="1" t="n">
        <v>44722</v>
      </c>
      <c r="C1186" s="1" t="n">
        <v>45265</v>
      </c>
      <c r="D1186" t="inlineStr">
        <is>
          <t>VÄRMLANDS LÄN</t>
        </is>
      </c>
      <c r="E1186" t="inlineStr">
        <is>
          <t>TORSBY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23851-2022</t>
        </is>
      </c>
      <c r="B1187" s="1" t="n">
        <v>44722</v>
      </c>
      <c r="C1187" s="1" t="n">
        <v>45265</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24960-2022</t>
        </is>
      </c>
      <c r="B1188" s="1" t="n">
        <v>44728</v>
      </c>
      <c r="C1188" s="1" t="n">
        <v>45265</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25537-2022</t>
        </is>
      </c>
      <c r="B1189" s="1" t="n">
        <v>44732</v>
      </c>
      <c r="C1189" s="1" t="n">
        <v>45265</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26686-2022</t>
        </is>
      </c>
      <c r="B1190" s="1" t="n">
        <v>44739</v>
      </c>
      <c r="C1190" s="1" t="n">
        <v>45265</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26842-2022</t>
        </is>
      </c>
      <c r="B1191" s="1" t="n">
        <v>44740</v>
      </c>
      <c r="C1191" s="1" t="n">
        <v>45265</v>
      </c>
      <c r="D1191" t="inlineStr">
        <is>
          <t>VÄRMLANDS LÄN</t>
        </is>
      </c>
      <c r="E1191" t="inlineStr">
        <is>
          <t>TORSBY</t>
        </is>
      </c>
      <c r="F1191" t="inlineStr">
        <is>
          <t>Bergvik skog väst AB</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26988-2022</t>
        </is>
      </c>
      <c r="B1192" s="1" t="n">
        <v>44740</v>
      </c>
      <c r="C1192" s="1" t="n">
        <v>45265</v>
      </c>
      <c r="D1192" t="inlineStr">
        <is>
          <t>VÄRMLANDS LÄN</t>
        </is>
      </c>
      <c r="E1192" t="inlineStr">
        <is>
          <t>TORSBY</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27223-2022</t>
        </is>
      </c>
      <c r="B1193" s="1" t="n">
        <v>44741</v>
      </c>
      <c r="C1193" s="1" t="n">
        <v>45265</v>
      </c>
      <c r="D1193" t="inlineStr">
        <is>
          <t>VÄRMLANDS LÄN</t>
        </is>
      </c>
      <c r="E1193" t="inlineStr">
        <is>
          <t>TORSBY</t>
        </is>
      </c>
      <c r="F1193" t="inlineStr">
        <is>
          <t>Bergvik skog väst AB</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27686-2022</t>
        </is>
      </c>
      <c r="B1194" s="1" t="n">
        <v>44743</v>
      </c>
      <c r="C1194" s="1" t="n">
        <v>45265</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28008-2022</t>
        </is>
      </c>
      <c r="B1195" s="1" t="n">
        <v>44746</v>
      </c>
      <c r="C1195" s="1" t="n">
        <v>45265</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28016-2022</t>
        </is>
      </c>
      <c r="B1196" s="1" t="n">
        <v>44746</v>
      </c>
      <c r="C1196" s="1" t="n">
        <v>45265</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28113-2022</t>
        </is>
      </c>
      <c r="B1197" s="1" t="n">
        <v>44746</v>
      </c>
      <c r="C1197" s="1" t="n">
        <v>45265</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28172-2022</t>
        </is>
      </c>
      <c r="B1198" s="1" t="n">
        <v>44746</v>
      </c>
      <c r="C1198" s="1" t="n">
        <v>45265</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28471-2022</t>
        </is>
      </c>
      <c r="B1199" s="1" t="n">
        <v>44747</v>
      </c>
      <c r="C1199" s="1" t="n">
        <v>45265</v>
      </c>
      <c r="D1199" t="inlineStr">
        <is>
          <t>VÄRMLANDS LÄN</t>
        </is>
      </c>
      <c r="E1199" t="inlineStr">
        <is>
          <t>TORSBY</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28955-2022</t>
        </is>
      </c>
      <c r="B1200" s="1" t="n">
        <v>44749</v>
      </c>
      <c r="C1200" s="1" t="n">
        <v>45265</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29142-2022</t>
        </is>
      </c>
      <c r="B1201" s="1" t="n">
        <v>44750</v>
      </c>
      <c r="C1201" s="1" t="n">
        <v>45265</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29509-2022</t>
        </is>
      </c>
      <c r="B1202" s="1" t="n">
        <v>44753</v>
      </c>
      <c r="C1202" s="1" t="n">
        <v>45265</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29596-2022</t>
        </is>
      </c>
      <c r="B1203" s="1" t="n">
        <v>44754</v>
      </c>
      <c r="C1203" s="1" t="n">
        <v>45265</v>
      </c>
      <c r="D1203" t="inlineStr">
        <is>
          <t>VÄRMLANDS LÄN</t>
        </is>
      </c>
      <c r="E1203" t="inlineStr">
        <is>
          <t>TORSBY</t>
        </is>
      </c>
      <c r="F1203" t="inlineStr">
        <is>
          <t>Bergvik skog väst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29717-2022</t>
        </is>
      </c>
      <c r="B1204" s="1" t="n">
        <v>44755</v>
      </c>
      <c r="C1204" s="1" t="n">
        <v>45265</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29720-2022</t>
        </is>
      </c>
      <c r="B1205" s="1" t="n">
        <v>44755</v>
      </c>
      <c r="C1205" s="1" t="n">
        <v>45265</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29721-2022</t>
        </is>
      </c>
      <c r="B1206" s="1" t="n">
        <v>44755</v>
      </c>
      <c r="C1206" s="1" t="n">
        <v>45265</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29901-2022</t>
        </is>
      </c>
      <c r="B1207" s="1" t="n">
        <v>44756</v>
      </c>
      <c r="C1207" s="1" t="n">
        <v>45265</v>
      </c>
      <c r="D1207" t="inlineStr">
        <is>
          <t>VÄRMLANDS LÄN</t>
        </is>
      </c>
      <c r="E1207" t="inlineStr">
        <is>
          <t>TORSBY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29908-2022</t>
        </is>
      </c>
      <c r="B1208" s="1" t="n">
        <v>44756</v>
      </c>
      <c r="C1208" s="1" t="n">
        <v>45265</v>
      </c>
      <c r="D1208" t="inlineStr">
        <is>
          <t>VÄRMLANDS LÄN</t>
        </is>
      </c>
      <c r="E1208" t="inlineStr">
        <is>
          <t>TORSBY</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29921-2022</t>
        </is>
      </c>
      <c r="B1209" s="1" t="n">
        <v>44756</v>
      </c>
      <c r="C1209" s="1" t="n">
        <v>45265</v>
      </c>
      <c r="D1209" t="inlineStr">
        <is>
          <t>VÄRMLANDS LÄN</t>
        </is>
      </c>
      <c r="E1209" t="inlineStr">
        <is>
          <t>TORSBY</t>
        </is>
      </c>
      <c r="F1209" t="inlineStr">
        <is>
          <t>Kommuner</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29990-2022</t>
        </is>
      </c>
      <c r="B1210" s="1" t="n">
        <v>44756</v>
      </c>
      <c r="C1210" s="1" t="n">
        <v>45265</v>
      </c>
      <c r="D1210" t="inlineStr">
        <is>
          <t>VÄRMLANDS LÄN</t>
        </is>
      </c>
      <c r="E1210" t="inlineStr">
        <is>
          <t>TORSBY</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30326-2022</t>
        </is>
      </c>
      <c r="B1211" s="1" t="n">
        <v>44760</v>
      </c>
      <c r="C1211" s="1" t="n">
        <v>45265</v>
      </c>
      <c r="D1211" t="inlineStr">
        <is>
          <t>VÄRMLANDS LÄN</t>
        </is>
      </c>
      <c r="E1211" t="inlineStr">
        <is>
          <t>TORSBY</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30612-2022</t>
        </is>
      </c>
      <c r="B1212" s="1" t="n">
        <v>44763</v>
      </c>
      <c r="C1212" s="1" t="n">
        <v>45265</v>
      </c>
      <c r="D1212" t="inlineStr">
        <is>
          <t>VÄRMLANDS LÄN</t>
        </is>
      </c>
      <c r="E1212" t="inlineStr">
        <is>
          <t>TORSBY</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32003-2022</t>
        </is>
      </c>
      <c r="B1213" s="1" t="n">
        <v>44778</v>
      </c>
      <c r="C1213" s="1" t="n">
        <v>45265</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32438-2022</t>
        </is>
      </c>
      <c r="B1214" s="1" t="n">
        <v>44782</v>
      </c>
      <c r="C1214" s="1" t="n">
        <v>45265</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32444-2022</t>
        </is>
      </c>
      <c r="B1215" s="1" t="n">
        <v>44782</v>
      </c>
      <c r="C1215" s="1" t="n">
        <v>45265</v>
      </c>
      <c r="D1215" t="inlineStr">
        <is>
          <t>VÄRMLANDS LÄN</t>
        </is>
      </c>
      <c r="E1215" t="inlineStr">
        <is>
          <t>TORSBY</t>
        </is>
      </c>
      <c r="F1215" t="inlineStr">
        <is>
          <t>Bergvik skog väst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32400-2022</t>
        </is>
      </c>
      <c r="B1216" s="1" t="n">
        <v>44782</v>
      </c>
      <c r="C1216" s="1" t="n">
        <v>45265</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32496-2022</t>
        </is>
      </c>
      <c r="B1217" s="1" t="n">
        <v>44782</v>
      </c>
      <c r="C1217" s="1" t="n">
        <v>45265</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33069-2022</t>
        </is>
      </c>
      <c r="B1218" s="1" t="n">
        <v>44785</v>
      </c>
      <c r="C1218" s="1" t="n">
        <v>45265</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33181-2022</t>
        </is>
      </c>
      <c r="B1219" s="1" t="n">
        <v>44785</v>
      </c>
      <c r="C1219" s="1" t="n">
        <v>45265</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33254-2022</t>
        </is>
      </c>
      <c r="B1220" s="1" t="n">
        <v>44787</v>
      </c>
      <c r="C1220" s="1" t="n">
        <v>45265</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33251-2022</t>
        </is>
      </c>
      <c r="B1221" s="1" t="n">
        <v>44787</v>
      </c>
      <c r="C1221" s="1" t="n">
        <v>45265</v>
      </c>
      <c r="D1221" t="inlineStr">
        <is>
          <t>VÄRMLANDS LÄN</t>
        </is>
      </c>
      <c r="E1221" t="inlineStr">
        <is>
          <t>TORSBY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33579-2022</t>
        </is>
      </c>
      <c r="B1222" s="1" t="n">
        <v>44789</v>
      </c>
      <c r="C1222" s="1" t="n">
        <v>45265</v>
      </c>
      <c r="D1222" t="inlineStr">
        <is>
          <t>VÄRMLANDS LÄN</t>
        </is>
      </c>
      <c r="E1222" t="inlineStr">
        <is>
          <t>TORSBY</t>
        </is>
      </c>
      <c r="F1222" t="inlineStr">
        <is>
          <t>Bergvik skog väst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33802-2022</t>
        </is>
      </c>
      <c r="B1223" s="1" t="n">
        <v>44790</v>
      </c>
      <c r="C1223" s="1" t="n">
        <v>45265</v>
      </c>
      <c r="D1223" t="inlineStr">
        <is>
          <t>VÄRMLANDS LÄN</t>
        </is>
      </c>
      <c r="E1223" t="inlineStr">
        <is>
          <t>TORSBY</t>
        </is>
      </c>
      <c r="F1223" t="inlineStr">
        <is>
          <t>Bergvik skog väst AB</t>
        </is>
      </c>
      <c r="G1223" t="n">
        <v>20.4</v>
      </c>
      <c r="H1223" t="n">
        <v>0</v>
      </c>
      <c r="I1223" t="n">
        <v>0</v>
      </c>
      <c r="J1223" t="n">
        <v>0</v>
      </c>
      <c r="K1223" t="n">
        <v>0</v>
      </c>
      <c r="L1223" t="n">
        <v>0</v>
      </c>
      <c r="M1223" t="n">
        <v>0</v>
      </c>
      <c r="N1223" t="n">
        <v>0</v>
      </c>
      <c r="O1223" t="n">
        <v>0</v>
      </c>
      <c r="P1223" t="n">
        <v>0</v>
      </c>
      <c r="Q1223" t="n">
        <v>0</v>
      </c>
      <c r="R1223" s="2" t="inlineStr"/>
    </row>
    <row r="1224" ht="15" customHeight="1">
      <c r="A1224" t="inlineStr">
        <is>
          <t>A 33960-2022</t>
        </is>
      </c>
      <c r="B1224" s="1" t="n">
        <v>44790</v>
      </c>
      <c r="C1224" s="1" t="n">
        <v>45265</v>
      </c>
      <c r="D1224" t="inlineStr">
        <is>
          <t>VÄRMLANDS LÄN</t>
        </is>
      </c>
      <c r="E1224" t="inlineStr">
        <is>
          <t>TORSBY</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33958-2022</t>
        </is>
      </c>
      <c r="B1225" s="1" t="n">
        <v>44790</v>
      </c>
      <c r="C1225" s="1" t="n">
        <v>45265</v>
      </c>
      <c r="D1225" t="inlineStr">
        <is>
          <t>VÄRMLANDS LÄN</t>
        </is>
      </c>
      <c r="E1225" t="inlineStr">
        <is>
          <t>TORSBY</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33943-2022</t>
        </is>
      </c>
      <c r="B1226" s="1" t="n">
        <v>44790</v>
      </c>
      <c r="C1226" s="1" t="n">
        <v>45265</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33959-2022</t>
        </is>
      </c>
      <c r="B1227" s="1" t="n">
        <v>44790</v>
      </c>
      <c r="C1227" s="1" t="n">
        <v>45265</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34371-2022</t>
        </is>
      </c>
      <c r="B1228" s="1" t="n">
        <v>44792</v>
      </c>
      <c r="C1228" s="1" t="n">
        <v>45265</v>
      </c>
      <c r="D1228" t="inlineStr">
        <is>
          <t>VÄRMLANDS LÄN</t>
        </is>
      </c>
      <c r="E1228" t="inlineStr">
        <is>
          <t>TORSBY</t>
        </is>
      </c>
      <c r="F1228" t="inlineStr">
        <is>
          <t>Bergvik skog väst AB</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34378-2022</t>
        </is>
      </c>
      <c r="B1229" s="1" t="n">
        <v>44792</v>
      </c>
      <c r="C1229" s="1" t="n">
        <v>45265</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34434-2022</t>
        </is>
      </c>
      <c r="B1230" s="1" t="n">
        <v>44792</v>
      </c>
      <c r="C1230" s="1" t="n">
        <v>45265</v>
      </c>
      <c r="D1230" t="inlineStr">
        <is>
          <t>VÄRMLANDS LÄN</t>
        </is>
      </c>
      <c r="E1230" t="inlineStr">
        <is>
          <t>TORSBY</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34440-2022</t>
        </is>
      </c>
      <c r="B1231" s="1" t="n">
        <v>44792</v>
      </c>
      <c r="C1231" s="1" t="n">
        <v>45265</v>
      </c>
      <c r="D1231" t="inlineStr">
        <is>
          <t>VÄRMLANDS LÄN</t>
        </is>
      </c>
      <c r="E1231" t="inlineStr">
        <is>
          <t>TORSBY</t>
        </is>
      </c>
      <c r="F1231" t="inlineStr">
        <is>
          <t>Bergvik skog väst AB</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34581-2022</t>
        </is>
      </c>
      <c r="B1232" s="1" t="n">
        <v>44792</v>
      </c>
      <c r="C1232" s="1" t="n">
        <v>45265</v>
      </c>
      <c r="D1232" t="inlineStr">
        <is>
          <t>VÄRMLANDS LÄN</t>
        </is>
      </c>
      <c r="E1232" t="inlineStr">
        <is>
          <t>TORSBY</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34568-2022</t>
        </is>
      </c>
      <c r="B1233" s="1" t="n">
        <v>44795</v>
      </c>
      <c r="C1233" s="1" t="n">
        <v>45265</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34662-2022</t>
        </is>
      </c>
      <c r="B1234" s="1" t="n">
        <v>44795</v>
      </c>
      <c r="C1234" s="1" t="n">
        <v>45265</v>
      </c>
      <c r="D1234" t="inlineStr">
        <is>
          <t>VÄRMLANDS LÄN</t>
        </is>
      </c>
      <c r="E1234" t="inlineStr">
        <is>
          <t>TORSBY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34667-2022</t>
        </is>
      </c>
      <c r="B1235" s="1" t="n">
        <v>44795</v>
      </c>
      <c r="C1235" s="1" t="n">
        <v>45265</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34655-2022</t>
        </is>
      </c>
      <c r="B1236" s="1" t="n">
        <v>44795</v>
      </c>
      <c r="C1236" s="1" t="n">
        <v>45265</v>
      </c>
      <c r="D1236" t="inlineStr">
        <is>
          <t>VÄRMLANDS LÄN</t>
        </is>
      </c>
      <c r="E1236" t="inlineStr">
        <is>
          <t>TORSBY</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34908-2022</t>
        </is>
      </c>
      <c r="B1237" s="1" t="n">
        <v>44796</v>
      </c>
      <c r="C1237" s="1" t="n">
        <v>45265</v>
      </c>
      <c r="D1237" t="inlineStr">
        <is>
          <t>VÄRMLANDS LÄN</t>
        </is>
      </c>
      <c r="E1237" t="inlineStr">
        <is>
          <t>TORSBY</t>
        </is>
      </c>
      <c r="F1237" t="inlineStr">
        <is>
          <t>Bergvik skog väst AB</t>
        </is>
      </c>
      <c r="G1237" t="n">
        <v>33.4</v>
      </c>
      <c r="H1237" t="n">
        <v>0</v>
      </c>
      <c r="I1237" t="n">
        <v>0</v>
      </c>
      <c r="J1237" t="n">
        <v>0</v>
      </c>
      <c r="K1237" t="n">
        <v>0</v>
      </c>
      <c r="L1237" t="n">
        <v>0</v>
      </c>
      <c r="M1237" t="n">
        <v>0</v>
      </c>
      <c r="N1237" t="n">
        <v>0</v>
      </c>
      <c r="O1237" t="n">
        <v>0</v>
      </c>
      <c r="P1237" t="n">
        <v>0</v>
      </c>
      <c r="Q1237" t="n">
        <v>0</v>
      </c>
      <c r="R1237" s="2" t="inlineStr"/>
    </row>
    <row r="1238" ht="15" customHeight="1">
      <c r="A1238" t="inlineStr">
        <is>
          <t>A 35134-2022</t>
        </is>
      </c>
      <c r="B1238" s="1" t="n">
        <v>44797</v>
      </c>
      <c r="C1238" s="1" t="n">
        <v>45265</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35132-2022</t>
        </is>
      </c>
      <c r="B1239" s="1" t="n">
        <v>44797</v>
      </c>
      <c r="C1239" s="1" t="n">
        <v>45265</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35606-2022</t>
        </is>
      </c>
      <c r="B1240" s="1" t="n">
        <v>44799</v>
      </c>
      <c r="C1240" s="1" t="n">
        <v>45265</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35595-2022</t>
        </is>
      </c>
      <c r="B1241" s="1" t="n">
        <v>44799</v>
      </c>
      <c r="C1241" s="1" t="n">
        <v>45265</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35724-2022</t>
        </is>
      </c>
      <c r="B1242" s="1" t="n">
        <v>44799</v>
      </c>
      <c r="C1242" s="1" t="n">
        <v>45265</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35711-2022</t>
        </is>
      </c>
      <c r="B1243" s="1" t="n">
        <v>44799</v>
      </c>
      <c r="C1243" s="1" t="n">
        <v>45265</v>
      </c>
      <c r="D1243" t="inlineStr">
        <is>
          <t>VÄRMLANDS LÄN</t>
        </is>
      </c>
      <c r="E1243" t="inlineStr">
        <is>
          <t>TORSBY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35851-2022</t>
        </is>
      </c>
      <c r="B1244" s="1" t="n">
        <v>44802</v>
      </c>
      <c r="C1244" s="1" t="n">
        <v>45265</v>
      </c>
      <c r="D1244" t="inlineStr">
        <is>
          <t>VÄRMLANDS LÄN</t>
        </is>
      </c>
      <c r="E1244" t="inlineStr">
        <is>
          <t>TORSBY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36290-2022</t>
        </is>
      </c>
      <c r="B1245" s="1" t="n">
        <v>44803</v>
      </c>
      <c r="C1245" s="1" t="n">
        <v>45265</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36318-2022</t>
        </is>
      </c>
      <c r="B1246" s="1" t="n">
        <v>44803</v>
      </c>
      <c r="C1246" s="1" t="n">
        <v>45265</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36514-2022</t>
        </is>
      </c>
      <c r="B1247" s="1" t="n">
        <v>44804</v>
      </c>
      <c r="C1247" s="1" t="n">
        <v>45265</v>
      </c>
      <c r="D1247" t="inlineStr">
        <is>
          <t>VÄRMLANDS LÄN</t>
        </is>
      </c>
      <c r="E1247" t="inlineStr">
        <is>
          <t>TORSBY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36547-2022</t>
        </is>
      </c>
      <c r="B1248" s="1" t="n">
        <v>44804</v>
      </c>
      <c r="C1248" s="1" t="n">
        <v>45265</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36545-2022</t>
        </is>
      </c>
      <c r="B1249" s="1" t="n">
        <v>44804</v>
      </c>
      <c r="C1249" s="1" t="n">
        <v>45265</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36527-2022</t>
        </is>
      </c>
      <c r="B1250" s="1" t="n">
        <v>44804</v>
      </c>
      <c r="C1250" s="1" t="n">
        <v>45265</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36537-2022</t>
        </is>
      </c>
      <c r="B1251" s="1" t="n">
        <v>44804</v>
      </c>
      <c r="C1251" s="1" t="n">
        <v>45265</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36582-2022</t>
        </is>
      </c>
      <c r="B1252" s="1" t="n">
        <v>44804</v>
      </c>
      <c r="C1252" s="1" t="n">
        <v>45265</v>
      </c>
      <c r="D1252" t="inlineStr">
        <is>
          <t>VÄRMLANDS LÄN</t>
        </is>
      </c>
      <c r="E1252" t="inlineStr">
        <is>
          <t>TORSBY</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36562-2022</t>
        </is>
      </c>
      <c r="B1253" s="1" t="n">
        <v>44804</v>
      </c>
      <c r="C1253" s="1" t="n">
        <v>45265</v>
      </c>
      <c r="D1253" t="inlineStr">
        <is>
          <t>VÄRMLANDS LÄN</t>
        </is>
      </c>
      <c r="E1253" t="inlineStr">
        <is>
          <t>TORSBY</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36572-2022</t>
        </is>
      </c>
      <c r="B1254" s="1" t="n">
        <v>44804</v>
      </c>
      <c r="C1254" s="1" t="n">
        <v>45265</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36587-2022</t>
        </is>
      </c>
      <c r="B1255" s="1" t="n">
        <v>44804</v>
      </c>
      <c r="C1255" s="1" t="n">
        <v>45265</v>
      </c>
      <c r="D1255" t="inlineStr">
        <is>
          <t>VÄRMLANDS LÄN</t>
        </is>
      </c>
      <c r="E1255" t="inlineStr">
        <is>
          <t>TORSBY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37148-2022</t>
        </is>
      </c>
      <c r="B1256" s="1" t="n">
        <v>44806</v>
      </c>
      <c r="C1256" s="1" t="n">
        <v>45265</v>
      </c>
      <c r="D1256" t="inlineStr">
        <is>
          <t>VÄRMLANDS LÄN</t>
        </is>
      </c>
      <c r="E1256" t="inlineStr">
        <is>
          <t>TORSBY</t>
        </is>
      </c>
      <c r="F1256" t="inlineStr">
        <is>
          <t>Kommuner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37279-2022</t>
        </is>
      </c>
      <c r="B1257" s="1" t="n">
        <v>44807</v>
      </c>
      <c r="C1257" s="1" t="n">
        <v>45265</v>
      </c>
      <c r="D1257" t="inlineStr">
        <is>
          <t>VÄRMLANDS LÄN</t>
        </is>
      </c>
      <c r="E1257" t="inlineStr">
        <is>
          <t>TORSBY</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37401-2022</t>
        </is>
      </c>
      <c r="B1258" s="1" t="n">
        <v>44809</v>
      </c>
      <c r="C1258" s="1" t="n">
        <v>45265</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37449-2022</t>
        </is>
      </c>
      <c r="B1259" s="1" t="n">
        <v>44809</v>
      </c>
      <c r="C1259" s="1" t="n">
        <v>45265</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37340-2022</t>
        </is>
      </c>
      <c r="B1260" s="1" t="n">
        <v>44809</v>
      </c>
      <c r="C1260" s="1" t="n">
        <v>45265</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37752-2022</t>
        </is>
      </c>
      <c r="B1261" s="1" t="n">
        <v>44810</v>
      </c>
      <c r="C1261" s="1" t="n">
        <v>45265</v>
      </c>
      <c r="D1261" t="inlineStr">
        <is>
          <t>VÄRMLANDS LÄN</t>
        </is>
      </c>
      <c r="E1261" t="inlineStr">
        <is>
          <t>TORSBY</t>
        </is>
      </c>
      <c r="F1261" t="inlineStr">
        <is>
          <t>Kyrkan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37814-2022</t>
        </is>
      </c>
      <c r="B1262" s="1" t="n">
        <v>44810</v>
      </c>
      <c r="C1262" s="1" t="n">
        <v>45265</v>
      </c>
      <c r="D1262" t="inlineStr">
        <is>
          <t>VÄRMLANDS LÄN</t>
        </is>
      </c>
      <c r="E1262" t="inlineStr">
        <is>
          <t>TORSBY</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37754-2022</t>
        </is>
      </c>
      <c r="B1263" s="1" t="n">
        <v>44810</v>
      </c>
      <c r="C1263" s="1" t="n">
        <v>45265</v>
      </c>
      <c r="D1263" t="inlineStr">
        <is>
          <t>VÄRMLANDS LÄN</t>
        </is>
      </c>
      <c r="E1263" t="inlineStr">
        <is>
          <t>TORSBY</t>
        </is>
      </c>
      <c r="F1263" t="inlineStr">
        <is>
          <t>Kyrkan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37913-2022</t>
        </is>
      </c>
      <c r="B1264" s="1" t="n">
        <v>44811</v>
      </c>
      <c r="C1264" s="1" t="n">
        <v>45265</v>
      </c>
      <c r="D1264" t="inlineStr">
        <is>
          <t>VÄRMLANDS LÄN</t>
        </is>
      </c>
      <c r="E1264" t="inlineStr">
        <is>
          <t>TORSBY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37929-2022</t>
        </is>
      </c>
      <c r="B1265" s="1" t="n">
        <v>44811</v>
      </c>
      <c r="C1265" s="1" t="n">
        <v>45265</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37917-2022</t>
        </is>
      </c>
      <c r="B1266" s="1" t="n">
        <v>44811</v>
      </c>
      <c r="C1266" s="1" t="n">
        <v>45265</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37937-2022</t>
        </is>
      </c>
      <c r="B1267" s="1" t="n">
        <v>44811</v>
      </c>
      <c r="C1267" s="1" t="n">
        <v>45265</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37985-2022</t>
        </is>
      </c>
      <c r="B1268" s="1" t="n">
        <v>44811</v>
      </c>
      <c r="C1268" s="1" t="n">
        <v>45265</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38033-2022</t>
        </is>
      </c>
      <c r="B1269" s="1" t="n">
        <v>44811</v>
      </c>
      <c r="C1269" s="1" t="n">
        <v>45265</v>
      </c>
      <c r="D1269" t="inlineStr">
        <is>
          <t>VÄRMLANDS LÄN</t>
        </is>
      </c>
      <c r="E1269" t="inlineStr">
        <is>
          <t>TORSBY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38200-2022</t>
        </is>
      </c>
      <c r="B1270" s="1" t="n">
        <v>44812</v>
      </c>
      <c r="C1270" s="1" t="n">
        <v>45265</v>
      </c>
      <c r="D1270" t="inlineStr">
        <is>
          <t>VÄRMLANDS LÄN</t>
        </is>
      </c>
      <c r="E1270" t="inlineStr">
        <is>
          <t>TORSBY</t>
        </is>
      </c>
      <c r="F1270" t="inlineStr">
        <is>
          <t>Bergvik skog väst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38179-2022</t>
        </is>
      </c>
      <c r="B1271" s="1" t="n">
        <v>44812</v>
      </c>
      <c r="C1271" s="1" t="n">
        <v>45265</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38378-2022</t>
        </is>
      </c>
      <c r="B1272" s="1" t="n">
        <v>44812</v>
      </c>
      <c r="C1272" s="1" t="n">
        <v>45265</v>
      </c>
      <c r="D1272" t="inlineStr">
        <is>
          <t>VÄRMLANDS LÄN</t>
        </is>
      </c>
      <c r="E1272" t="inlineStr">
        <is>
          <t>TORSBY</t>
        </is>
      </c>
      <c r="F1272" t="inlineStr">
        <is>
          <t>Bergvik skog väst AB</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38486-2022</t>
        </is>
      </c>
      <c r="B1273" s="1" t="n">
        <v>44813</v>
      </c>
      <c r="C1273" s="1" t="n">
        <v>45265</v>
      </c>
      <c r="D1273" t="inlineStr">
        <is>
          <t>VÄRMLANDS LÄN</t>
        </is>
      </c>
      <c r="E1273" t="inlineStr">
        <is>
          <t>TORSBY</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38699-2022</t>
        </is>
      </c>
      <c r="B1274" s="1" t="n">
        <v>44814</v>
      </c>
      <c r="C1274" s="1" t="n">
        <v>45265</v>
      </c>
      <c r="D1274" t="inlineStr">
        <is>
          <t>VÄRMLANDS LÄN</t>
        </is>
      </c>
      <c r="E1274" t="inlineStr">
        <is>
          <t>TORSBY</t>
        </is>
      </c>
      <c r="F1274" t="inlineStr">
        <is>
          <t>Bergvik skog väst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v>
      </c>
      <c r="C1275" s="1" t="n">
        <v>45265</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38914-2022</t>
        </is>
      </c>
      <c r="B1276" s="1" t="n">
        <v>44816</v>
      </c>
      <c r="C1276" s="1" t="n">
        <v>45265</v>
      </c>
      <c r="D1276" t="inlineStr">
        <is>
          <t>VÄRMLANDS LÄN</t>
        </is>
      </c>
      <c r="E1276" t="inlineStr">
        <is>
          <t>TORSBY</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39069-2022</t>
        </is>
      </c>
      <c r="B1277" s="1" t="n">
        <v>44816</v>
      </c>
      <c r="C1277" s="1" t="n">
        <v>45265</v>
      </c>
      <c r="D1277" t="inlineStr">
        <is>
          <t>VÄRMLANDS LÄN</t>
        </is>
      </c>
      <c r="E1277" t="inlineStr">
        <is>
          <t>TORSBY</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39186-2022</t>
        </is>
      </c>
      <c r="B1278" s="1" t="n">
        <v>44817</v>
      </c>
      <c r="C1278" s="1" t="n">
        <v>45265</v>
      </c>
      <c r="D1278" t="inlineStr">
        <is>
          <t>VÄRMLANDS LÄN</t>
        </is>
      </c>
      <c r="E1278" t="inlineStr">
        <is>
          <t>TORSBY</t>
        </is>
      </c>
      <c r="F1278" t="inlineStr">
        <is>
          <t>Bergvik skog väst AB</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39216-2022</t>
        </is>
      </c>
      <c r="B1279" s="1" t="n">
        <v>44817</v>
      </c>
      <c r="C1279" s="1" t="n">
        <v>45265</v>
      </c>
      <c r="D1279" t="inlineStr">
        <is>
          <t>VÄRMLANDS LÄN</t>
        </is>
      </c>
      <c r="E1279" t="inlineStr">
        <is>
          <t>TORSBY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39215-2022</t>
        </is>
      </c>
      <c r="B1280" s="1" t="n">
        <v>44817</v>
      </c>
      <c r="C1280" s="1" t="n">
        <v>45265</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39221-2022</t>
        </is>
      </c>
      <c r="B1281" s="1" t="n">
        <v>44817</v>
      </c>
      <c r="C1281" s="1" t="n">
        <v>45265</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39217-2022</t>
        </is>
      </c>
      <c r="B1282" s="1" t="n">
        <v>44817</v>
      </c>
      <c r="C1282" s="1" t="n">
        <v>45265</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39781-2022</t>
        </is>
      </c>
      <c r="B1283" s="1" t="n">
        <v>44819</v>
      </c>
      <c r="C1283" s="1" t="n">
        <v>45265</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39780-2022</t>
        </is>
      </c>
      <c r="B1284" s="1" t="n">
        <v>44819</v>
      </c>
      <c r="C1284" s="1" t="n">
        <v>45265</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40009-2022</t>
        </is>
      </c>
      <c r="B1285" s="1" t="n">
        <v>44820</v>
      </c>
      <c r="C1285" s="1" t="n">
        <v>45265</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40036-2022</t>
        </is>
      </c>
      <c r="B1286" s="1" t="n">
        <v>44820</v>
      </c>
      <c r="C1286" s="1" t="n">
        <v>45265</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40221-2022</t>
        </is>
      </c>
      <c r="B1287" s="1" t="n">
        <v>44820</v>
      </c>
      <c r="C1287" s="1" t="n">
        <v>45265</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40353-2022</t>
        </is>
      </c>
      <c r="B1288" s="1" t="n">
        <v>44823</v>
      </c>
      <c r="C1288" s="1" t="n">
        <v>45265</v>
      </c>
      <c r="D1288" t="inlineStr">
        <is>
          <t>VÄRMLANDS LÄN</t>
        </is>
      </c>
      <c r="E1288" t="inlineStr">
        <is>
          <t>TORSBY</t>
        </is>
      </c>
      <c r="F1288" t="inlineStr">
        <is>
          <t>Bergvik skog väst AB</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41264-2022</t>
        </is>
      </c>
      <c r="B1289" s="1" t="n">
        <v>44823</v>
      </c>
      <c r="C1289" s="1" t="n">
        <v>45265</v>
      </c>
      <c r="D1289" t="inlineStr">
        <is>
          <t>VÄRMLANDS LÄN</t>
        </is>
      </c>
      <c r="E1289" t="inlineStr">
        <is>
          <t>TORSBY</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41295-2022</t>
        </is>
      </c>
      <c r="B1290" s="1" t="n">
        <v>44823</v>
      </c>
      <c r="C1290" s="1" t="n">
        <v>45265</v>
      </c>
      <c r="D1290" t="inlineStr">
        <is>
          <t>VÄRMLANDS LÄN</t>
        </is>
      </c>
      <c r="E1290" t="inlineStr">
        <is>
          <t>TORSBY</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40718-2022</t>
        </is>
      </c>
      <c r="B1291" s="1" t="n">
        <v>44824</v>
      </c>
      <c r="C1291" s="1" t="n">
        <v>45265</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40788-2022</t>
        </is>
      </c>
      <c r="B1292" s="1" t="n">
        <v>44824</v>
      </c>
      <c r="C1292" s="1" t="n">
        <v>45265</v>
      </c>
      <c r="D1292" t="inlineStr">
        <is>
          <t>VÄRMLANDS LÄN</t>
        </is>
      </c>
      <c r="E1292" t="inlineStr">
        <is>
          <t>TORSBY</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40997-2022</t>
        </is>
      </c>
      <c r="B1293" s="1" t="n">
        <v>44825</v>
      </c>
      <c r="C1293" s="1" t="n">
        <v>45265</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41065-2022</t>
        </is>
      </c>
      <c r="B1294" s="1" t="n">
        <v>44825</v>
      </c>
      <c r="C1294" s="1" t="n">
        <v>45265</v>
      </c>
      <c r="D1294" t="inlineStr">
        <is>
          <t>VÄRMLANDS LÄN</t>
        </is>
      </c>
      <c r="E1294" t="inlineStr">
        <is>
          <t>TORSBY</t>
        </is>
      </c>
      <c r="F1294" t="inlineStr">
        <is>
          <t>Kommuner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41130-2022</t>
        </is>
      </c>
      <c r="B1295" s="1" t="n">
        <v>44825</v>
      </c>
      <c r="C1295" s="1" t="n">
        <v>45265</v>
      </c>
      <c r="D1295" t="inlineStr">
        <is>
          <t>VÄRMLANDS LÄN</t>
        </is>
      </c>
      <c r="E1295" t="inlineStr">
        <is>
          <t>TORSBY</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41315-2022</t>
        </is>
      </c>
      <c r="B1296" s="1" t="n">
        <v>44826</v>
      </c>
      <c r="C1296" s="1" t="n">
        <v>45265</v>
      </c>
      <c r="D1296" t="inlineStr">
        <is>
          <t>VÄRMLANDS LÄN</t>
        </is>
      </c>
      <c r="E1296" t="inlineStr">
        <is>
          <t>TORSBY</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41322-2022</t>
        </is>
      </c>
      <c r="B1297" s="1" t="n">
        <v>44826</v>
      </c>
      <c r="C1297" s="1" t="n">
        <v>45265</v>
      </c>
      <c r="D1297" t="inlineStr">
        <is>
          <t>VÄRMLANDS LÄN</t>
        </is>
      </c>
      <c r="E1297" t="inlineStr">
        <is>
          <t>TORSBY</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41781-2022</t>
        </is>
      </c>
      <c r="B1298" s="1" t="n">
        <v>44827</v>
      </c>
      <c r="C1298" s="1" t="n">
        <v>45265</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41675-2022</t>
        </is>
      </c>
      <c r="B1299" s="1" t="n">
        <v>44827</v>
      </c>
      <c r="C1299" s="1" t="n">
        <v>45265</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41590-2022</t>
        </is>
      </c>
      <c r="B1300" s="1" t="n">
        <v>44827</v>
      </c>
      <c r="C1300" s="1" t="n">
        <v>45265</v>
      </c>
      <c r="D1300" t="inlineStr">
        <is>
          <t>VÄRMLANDS LÄN</t>
        </is>
      </c>
      <c r="E1300" t="inlineStr">
        <is>
          <t>TORSBY</t>
        </is>
      </c>
      <c r="F1300" t="inlineStr">
        <is>
          <t>Bergvik skog väst AB</t>
        </is>
      </c>
      <c r="G1300" t="n">
        <v>42.5</v>
      </c>
      <c r="H1300" t="n">
        <v>0</v>
      </c>
      <c r="I1300" t="n">
        <v>0</v>
      </c>
      <c r="J1300" t="n">
        <v>0</v>
      </c>
      <c r="K1300" t="n">
        <v>0</v>
      </c>
      <c r="L1300" t="n">
        <v>0</v>
      </c>
      <c r="M1300" t="n">
        <v>0</v>
      </c>
      <c r="N1300" t="n">
        <v>0</v>
      </c>
      <c r="O1300" t="n">
        <v>0</v>
      </c>
      <c r="P1300" t="n">
        <v>0</v>
      </c>
      <c r="Q1300" t="n">
        <v>0</v>
      </c>
      <c r="R1300" s="2" t="inlineStr"/>
    </row>
    <row r="1301" ht="15" customHeight="1">
      <c r="A1301" t="inlineStr">
        <is>
          <t>A 41995-2022</t>
        </is>
      </c>
      <c r="B1301" s="1" t="n">
        <v>44830</v>
      </c>
      <c r="C1301" s="1" t="n">
        <v>45265</v>
      </c>
      <c r="D1301" t="inlineStr">
        <is>
          <t>VÄRMLANDS LÄN</t>
        </is>
      </c>
      <c r="E1301" t="inlineStr">
        <is>
          <t>TORSBY</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42588-2022</t>
        </is>
      </c>
      <c r="B1302" s="1" t="n">
        <v>44831</v>
      </c>
      <c r="C1302" s="1" t="n">
        <v>45265</v>
      </c>
      <c r="D1302" t="inlineStr">
        <is>
          <t>VÄRMLANDS LÄN</t>
        </is>
      </c>
      <c r="E1302" t="inlineStr">
        <is>
          <t>TORSBY</t>
        </is>
      </c>
      <c r="F1302" t="inlineStr">
        <is>
          <t>Bergvik skog väst AB</t>
        </is>
      </c>
      <c r="G1302" t="n">
        <v>41.4</v>
      </c>
      <c r="H1302" t="n">
        <v>0</v>
      </c>
      <c r="I1302" t="n">
        <v>0</v>
      </c>
      <c r="J1302" t="n">
        <v>0</v>
      </c>
      <c r="K1302" t="n">
        <v>0</v>
      </c>
      <c r="L1302" t="n">
        <v>0</v>
      </c>
      <c r="M1302" t="n">
        <v>0</v>
      </c>
      <c r="N1302" t="n">
        <v>0</v>
      </c>
      <c r="O1302" t="n">
        <v>0</v>
      </c>
      <c r="P1302" t="n">
        <v>0</v>
      </c>
      <c r="Q1302" t="n">
        <v>0</v>
      </c>
      <c r="R1302" s="2" t="inlineStr"/>
    </row>
    <row r="1303" ht="15" customHeight="1">
      <c r="A1303" t="inlineStr">
        <is>
          <t>A 42784-2022</t>
        </is>
      </c>
      <c r="B1303" s="1" t="n">
        <v>44832</v>
      </c>
      <c r="C1303" s="1" t="n">
        <v>45265</v>
      </c>
      <c r="D1303" t="inlineStr">
        <is>
          <t>VÄRMLANDS LÄN</t>
        </is>
      </c>
      <c r="E1303" t="inlineStr">
        <is>
          <t>TORSBY</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42701-2022</t>
        </is>
      </c>
      <c r="B1304" s="1" t="n">
        <v>44832</v>
      </c>
      <c r="C1304" s="1" t="n">
        <v>45265</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43022-2022</t>
        </is>
      </c>
      <c r="B1305" s="1" t="n">
        <v>44833</v>
      </c>
      <c r="C1305" s="1" t="n">
        <v>45265</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43111-2022</t>
        </is>
      </c>
      <c r="B1306" s="1" t="n">
        <v>44833</v>
      </c>
      <c r="C1306" s="1" t="n">
        <v>45265</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43248-2022</t>
        </is>
      </c>
      <c r="B1307" s="1" t="n">
        <v>44834</v>
      </c>
      <c r="C1307" s="1" t="n">
        <v>45265</v>
      </c>
      <c r="D1307" t="inlineStr">
        <is>
          <t>VÄRMLANDS LÄN</t>
        </is>
      </c>
      <c r="E1307" t="inlineStr">
        <is>
          <t>TORSBY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43289-2022</t>
        </is>
      </c>
      <c r="B1308" s="1" t="n">
        <v>44834</v>
      </c>
      <c r="C1308" s="1" t="n">
        <v>45265</v>
      </c>
      <c r="D1308" t="inlineStr">
        <is>
          <t>VÄRMLANDS LÄN</t>
        </is>
      </c>
      <c r="E1308" t="inlineStr">
        <is>
          <t>TORSBY</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43465-2022</t>
        </is>
      </c>
      <c r="B1309" s="1" t="n">
        <v>44836</v>
      </c>
      <c r="C1309" s="1" t="n">
        <v>45265</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43943-2022</t>
        </is>
      </c>
      <c r="B1310" s="1" t="n">
        <v>44838</v>
      </c>
      <c r="C1310" s="1" t="n">
        <v>45265</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43989-2022</t>
        </is>
      </c>
      <c r="B1311" s="1" t="n">
        <v>44838</v>
      </c>
      <c r="C1311" s="1" t="n">
        <v>45265</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44214-2022</t>
        </is>
      </c>
      <c r="B1312" s="1" t="n">
        <v>44838</v>
      </c>
      <c r="C1312" s="1" t="n">
        <v>45265</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44340-2022</t>
        </is>
      </c>
      <c r="B1313" s="1" t="n">
        <v>44838</v>
      </c>
      <c r="C1313" s="1" t="n">
        <v>45265</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44170-2022</t>
        </is>
      </c>
      <c r="B1314" s="1" t="n">
        <v>44838</v>
      </c>
      <c r="C1314" s="1" t="n">
        <v>45265</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44149-2022</t>
        </is>
      </c>
      <c r="B1315" s="1" t="n">
        <v>44839</v>
      </c>
      <c r="C1315" s="1" t="n">
        <v>45265</v>
      </c>
      <c r="D1315" t="inlineStr">
        <is>
          <t>VÄRMLANDS LÄN</t>
        </is>
      </c>
      <c r="E1315" t="inlineStr">
        <is>
          <t>TORSBY</t>
        </is>
      </c>
      <c r="F1315" t="inlineStr">
        <is>
          <t>Bergvik skog väst AB</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44196-2022</t>
        </is>
      </c>
      <c r="B1316" s="1" t="n">
        <v>44839</v>
      </c>
      <c r="C1316" s="1" t="n">
        <v>45265</v>
      </c>
      <c r="D1316" t="inlineStr">
        <is>
          <t>VÄRMLANDS LÄN</t>
        </is>
      </c>
      <c r="E1316" t="inlineStr">
        <is>
          <t>TORSBY</t>
        </is>
      </c>
      <c r="F1316" t="inlineStr">
        <is>
          <t>Bergvik skog väst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44327-2022</t>
        </is>
      </c>
      <c r="B1317" s="1" t="n">
        <v>44839</v>
      </c>
      <c r="C1317" s="1" t="n">
        <v>45265</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44841-2022</t>
        </is>
      </c>
      <c r="B1318" s="1" t="n">
        <v>44839</v>
      </c>
      <c r="C1318" s="1" t="n">
        <v>45265</v>
      </c>
      <c r="D1318" t="inlineStr">
        <is>
          <t>VÄRMLANDS LÄN</t>
        </is>
      </c>
      <c r="E1318" t="inlineStr">
        <is>
          <t>TORSBY</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44879-2022</t>
        </is>
      </c>
      <c r="B1319" s="1" t="n">
        <v>44839</v>
      </c>
      <c r="C1319" s="1" t="n">
        <v>45265</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44498-2022</t>
        </is>
      </c>
      <c r="B1320" s="1" t="n">
        <v>44840</v>
      </c>
      <c r="C1320" s="1" t="n">
        <v>45265</v>
      </c>
      <c r="D1320" t="inlineStr">
        <is>
          <t>VÄRMLANDS LÄN</t>
        </is>
      </c>
      <c r="E1320" t="inlineStr">
        <is>
          <t>TORSBY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44516-2022</t>
        </is>
      </c>
      <c r="B1321" s="1" t="n">
        <v>44840</v>
      </c>
      <c r="C1321" s="1" t="n">
        <v>45265</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44517-2022</t>
        </is>
      </c>
      <c r="B1322" s="1" t="n">
        <v>44840</v>
      </c>
      <c r="C1322" s="1" t="n">
        <v>45265</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44532-2022</t>
        </is>
      </c>
      <c r="B1323" s="1" t="n">
        <v>44840</v>
      </c>
      <c r="C1323" s="1" t="n">
        <v>45265</v>
      </c>
      <c r="D1323" t="inlineStr">
        <is>
          <t>VÄRMLANDS LÄN</t>
        </is>
      </c>
      <c r="E1323" t="inlineStr">
        <is>
          <t>TORSBY</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44708-2022</t>
        </is>
      </c>
      <c r="B1324" s="1" t="n">
        <v>44840</v>
      </c>
      <c r="C1324" s="1" t="n">
        <v>45265</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45056-2022</t>
        </is>
      </c>
      <c r="B1325" s="1" t="n">
        <v>44841</v>
      </c>
      <c r="C1325" s="1" t="n">
        <v>45265</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45303-2022</t>
        </is>
      </c>
      <c r="B1326" s="1" t="n">
        <v>44844</v>
      </c>
      <c r="C1326" s="1" t="n">
        <v>45265</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45368-2022</t>
        </is>
      </c>
      <c r="B1327" s="1" t="n">
        <v>44844</v>
      </c>
      <c r="C1327" s="1" t="n">
        <v>45265</v>
      </c>
      <c r="D1327" t="inlineStr">
        <is>
          <t>VÄRMLANDS LÄN</t>
        </is>
      </c>
      <c r="E1327" t="inlineStr">
        <is>
          <t>TORSBY</t>
        </is>
      </c>
      <c r="F1327" t="inlineStr">
        <is>
          <t>Bergvik skog väst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45328-2022</t>
        </is>
      </c>
      <c r="B1328" s="1" t="n">
        <v>44844</v>
      </c>
      <c r="C1328" s="1" t="n">
        <v>45265</v>
      </c>
      <c r="D1328" t="inlineStr">
        <is>
          <t>VÄRMLANDS LÄN</t>
        </is>
      </c>
      <c r="E1328" t="inlineStr">
        <is>
          <t>TORSBY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45325-2022</t>
        </is>
      </c>
      <c r="B1329" s="1" t="n">
        <v>44844</v>
      </c>
      <c r="C1329" s="1" t="n">
        <v>45265</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45369-2022</t>
        </is>
      </c>
      <c r="B1330" s="1" t="n">
        <v>44844</v>
      </c>
      <c r="C1330" s="1" t="n">
        <v>45265</v>
      </c>
      <c r="D1330" t="inlineStr">
        <is>
          <t>VÄRMLANDS LÄN</t>
        </is>
      </c>
      <c r="E1330" t="inlineStr">
        <is>
          <t>TORSBY</t>
        </is>
      </c>
      <c r="F1330" t="inlineStr">
        <is>
          <t>Bergvik skog väst AB</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45809-2022</t>
        </is>
      </c>
      <c r="B1331" s="1" t="n">
        <v>44844</v>
      </c>
      <c r="C1331" s="1" t="n">
        <v>45265</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45666-2022</t>
        </is>
      </c>
      <c r="B1332" s="1" t="n">
        <v>44845</v>
      </c>
      <c r="C1332" s="1" t="n">
        <v>45265</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46551-2022</t>
        </is>
      </c>
      <c r="B1333" s="1" t="n">
        <v>44848</v>
      </c>
      <c r="C1333" s="1" t="n">
        <v>45265</v>
      </c>
      <c r="D1333" t="inlineStr">
        <is>
          <t>VÄRMLANDS LÄN</t>
        </is>
      </c>
      <c r="E1333" t="inlineStr">
        <is>
          <t>TORSBY</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47167-2022</t>
        </is>
      </c>
      <c r="B1334" s="1" t="n">
        <v>44852</v>
      </c>
      <c r="C1334" s="1" t="n">
        <v>45265</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v>
      </c>
      <c r="C1335" s="1" t="n">
        <v>45265</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47206-2022</t>
        </is>
      </c>
      <c r="B1336" s="1" t="n">
        <v>44852</v>
      </c>
      <c r="C1336" s="1" t="n">
        <v>45265</v>
      </c>
      <c r="D1336" t="inlineStr">
        <is>
          <t>VÄRMLANDS LÄN</t>
        </is>
      </c>
      <c r="E1336" t="inlineStr">
        <is>
          <t>TORSBY</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47466-2022</t>
        </is>
      </c>
      <c r="B1337" s="1" t="n">
        <v>44852</v>
      </c>
      <c r="C1337" s="1" t="n">
        <v>45265</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48328-2022</t>
        </is>
      </c>
      <c r="B1338" s="1" t="n">
        <v>44853</v>
      </c>
      <c r="C1338" s="1" t="n">
        <v>45265</v>
      </c>
      <c r="D1338" t="inlineStr">
        <is>
          <t>VÄRMLANDS LÄN</t>
        </is>
      </c>
      <c r="E1338" t="inlineStr">
        <is>
          <t>TORSBY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48356-2022</t>
        </is>
      </c>
      <c r="B1339" s="1" t="n">
        <v>44853</v>
      </c>
      <c r="C1339" s="1" t="n">
        <v>45265</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48320-2022</t>
        </is>
      </c>
      <c r="B1340" s="1" t="n">
        <v>44853</v>
      </c>
      <c r="C1340" s="1" t="n">
        <v>45265</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47694-2022</t>
        </is>
      </c>
      <c r="B1341" s="1" t="n">
        <v>44854</v>
      </c>
      <c r="C1341" s="1" t="n">
        <v>45265</v>
      </c>
      <c r="D1341" t="inlineStr">
        <is>
          <t>VÄRMLANDS LÄN</t>
        </is>
      </c>
      <c r="E1341" t="inlineStr">
        <is>
          <t>TORSBY</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48239-2022</t>
        </is>
      </c>
      <c r="B1342" s="1" t="n">
        <v>44858</v>
      </c>
      <c r="C1342" s="1" t="n">
        <v>45265</v>
      </c>
      <c r="D1342" t="inlineStr">
        <is>
          <t>VÄRMLANDS LÄN</t>
        </is>
      </c>
      <c r="E1342" t="inlineStr">
        <is>
          <t>TORSBY</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48712-2022</t>
        </is>
      </c>
      <c r="B1343" s="1" t="n">
        <v>44859</v>
      </c>
      <c r="C1343" s="1" t="n">
        <v>45265</v>
      </c>
      <c r="D1343" t="inlineStr">
        <is>
          <t>VÄRMLANDS LÄN</t>
        </is>
      </c>
      <c r="E1343" t="inlineStr">
        <is>
          <t>TORSBY</t>
        </is>
      </c>
      <c r="F1343" t="inlineStr">
        <is>
          <t>Bergvik skog väst AB</t>
        </is>
      </c>
      <c r="G1343" t="n">
        <v>22.7</v>
      </c>
      <c r="H1343" t="n">
        <v>0</v>
      </c>
      <c r="I1343" t="n">
        <v>0</v>
      </c>
      <c r="J1343" t="n">
        <v>0</v>
      </c>
      <c r="K1343" t="n">
        <v>0</v>
      </c>
      <c r="L1343" t="n">
        <v>0</v>
      </c>
      <c r="M1343" t="n">
        <v>0</v>
      </c>
      <c r="N1343" t="n">
        <v>0</v>
      </c>
      <c r="O1343" t="n">
        <v>0</v>
      </c>
      <c r="P1343" t="n">
        <v>0</v>
      </c>
      <c r="Q1343" t="n">
        <v>0</v>
      </c>
      <c r="R1343" s="2" t="inlineStr"/>
    </row>
    <row r="1344" ht="15" customHeight="1">
      <c r="A1344" t="inlineStr">
        <is>
          <t>A 49699-2022</t>
        </is>
      </c>
      <c r="B1344" s="1" t="n">
        <v>44859</v>
      </c>
      <c r="C1344" s="1" t="n">
        <v>45265</v>
      </c>
      <c r="D1344" t="inlineStr">
        <is>
          <t>VÄRMLANDS LÄN</t>
        </is>
      </c>
      <c r="E1344" t="inlineStr">
        <is>
          <t>TORSBY</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49814-2022</t>
        </is>
      </c>
      <c r="B1345" s="1" t="n">
        <v>44859</v>
      </c>
      <c r="C1345" s="1" t="n">
        <v>45265</v>
      </c>
      <c r="D1345" t="inlineStr">
        <is>
          <t>VÄRMLANDS LÄN</t>
        </is>
      </c>
      <c r="E1345" t="inlineStr">
        <is>
          <t>TORSBY</t>
        </is>
      </c>
      <c r="F1345" t="inlineStr">
        <is>
          <t>Kyrkan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49608-2022</t>
        </is>
      </c>
      <c r="B1346" s="1" t="n">
        <v>44859</v>
      </c>
      <c r="C1346" s="1" t="n">
        <v>45265</v>
      </c>
      <c r="D1346" t="inlineStr">
        <is>
          <t>VÄRMLANDS LÄN</t>
        </is>
      </c>
      <c r="E1346" t="inlineStr">
        <is>
          <t>TORSBY</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49073-2022</t>
        </is>
      </c>
      <c r="B1347" s="1" t="n">
        <v>44860</v>
      </c>
      <c r="C1347" s="1" t="n">
        <v>45265</v>
      </c>
      <c r="D1347" t="inlineStr">
        <is>
          <t>VÄRMLANDS LÄN</t>
        </is>
      </c>
      <c r="E1347" t="inlineStr">
        <is>
          <t>TORSBY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49206-2022</t>
        </is>
      </c>
      <c r="B1348" s="1" t="n">
        <v>44861</v>
      </c>
      <c r="C1348" s="1" t="n">
        <v>45265</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49346-2022</t>
        </is>
      </c>
      <c r="B1349" s="1" t="n">
        <v>44861</v>
      </c>
      <c r="C1349" s="1" t="n">
        <v>45265</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50390-2022</t>
        </is>
      </c>
      <c r="B1350" s="1" t="n">
        <v>44861</v>
      </c>
      <c r="C1350" s="1" t="n">
        <v>45265</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49795-2022</t>
        </is>
      </c>
      <c r="B1351" s="1" t="n">
        <v>44862</v>
      </c>
      <c r="C1351" s="1" t="n">
        <v>45265</v>
      </c>
      <c r="D1351" t="inlineStr">
        <is>
          <t>VÄRMLANDS LÄN</t>
        </is>
      </c>
      <c r="E1351" t="inlineStr">
        <is>
          <t>TORSBY</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49810-2022</t>
        </is>
      </c>
      <c r="B1352" s="1" t="n">
        <v>44862</v>
      </c>
      <c r="C1352" s="1" t="n">
        <v>45265</v>
      </c>
      <c r="D1352" t="inlineStr">
        <is>
          <t>VÄRMLANDS LÄN</t>
        </is>
      </c>
      <c r="E1352" t="inlineStr">
        <is>
          <t>TORSBY</t>
        </is>
      </c>
      <c r="F1352" t="inlineStr">
        <is>
          <t>Bergvik skog väst AB</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49957-2022</t>
        </is>
      </c>
      <c r="B1353" s="1" t="n">
        <v>44865</v>
      </c>
      <c r="C1353" s="1" t="n">
        <v>45265</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49983-2022</t>
        </is>
      </c>
      <c r="B1354" s="1" t="n">
        <v>44865</v>
      </c>
      <c r="C1354" s="1" t="n">
        <v>45265</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49970-2022</t>
        </is>
      </c>
      <c r="B1355" s="1" t="n">
        <v>44865</v>
      </c>
      <c r="C1355" s="1" t="n">
        <v>45265</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49959-2022</t>
        </is>
      </c>
      <c r="B1356" s="1" t="n">
        <v>44865</v>
      </c>
      <c r="C1356" s="1" t="n">
        <v>45265</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50280-2022</t>
        </is>
      </c>
      <c r="B1357" s="1" t="n">
        <v>44865</v>
      </c>
      <c r="C1357" s="1" t="n">
        <v>45265</v>
      </c>
      <c r="D1357" t="inlineStr">
        <is>
          <t>VÄRMLANDS LÄN</t>
        </is>
      </c>
      <c r="E1357" t="inlineStr">
        <is>
          <t>TORSBY</t>
        </is>
      </c>
      <c r="F1357" t="inlineStr">
        <is>
          <t>Bergvik skog väst AB</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50417-2022</t>
        </is>
      </c>
      <c r="B1358" s="1" t="n">
        <v>44866</v>
      </c>
      <c r="C1358" s="1" t="n">
        <v>45265</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50436-2022</t>
        </is>
      </c>
      <c r="B1359" s="1" t="n">
        <v>44866</v>
      </c>
      <c r="C1359" s="1" t="n">
        <v>45265</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50434-2022</t>
        </is>
      </c>
      <c r="B1360" s="1" t="n">
        <v>44866</v>
      </c>
      <c r="C1360" s="1" t="n">
        <v>45265</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50953-2022</t>
        </is>
      </c>
      <c r="B1361" s="1" t="n">
        <v>44866</v>
      </c>
      <c r="C1361" s="1" t="n">
        <v>45265</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50789-2022</t>
        </is>
      </c>
      <c r="B1362" s="1" t="n">
        <v>44867</v>
      </c>
      <c r="C1362" s="1" t="n">
        <v>45265</v>
      </c>
      <c r="D1362" t="inlineStr">
        <is>
          <t>VÄRMLANDS LÄN</t>
        </is>
      </c>
      <c r="E1362" t="inlineStr">
        <is>
          <t>TORSBY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51124-2022</t>
        </is>
      </c>
      <c r="B1363" s="1" t="n">
        <v>44868</v>
      </c>
      <c r="C1363" s="1" t="n">
        <v>45265</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51439-2022</t>
        </is>
      </c>
      <c r="B1364" s="1" t="n">
        <v>44869</v>
      </c>
      <c r="C1364" s="1" t="n">
        <v>45265</v>
      </c>
      <c r="D1364" t="inlineStr">
        <is>
          <t>VÄRMLANDS LÄN</t>
        </is>
      </c>
      <c r="E1364" t="inlineStr">
        <is>
          <t>TORSBY</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51490-2022</t>
        </is>
      </c>
      <c r="B1365" s="1" t="n">
        <v>44869</v>
      </c>
      <c r="C1365" s="1" t="n">
        <v>45265</v>
      </c>
      <c r="D1365" t="inlineStr">
        <is>
          <t>VÄRMLANDS LÄN</t>
        </is>
      </c>
      <c r="E1365" t="inlineStr">
        <is>
          <t>TORSBY</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51489-2022</t>
        </is>
      </c>
      <c r="B1366" s="1" t="n">
        <v>44869</v>
      </c>
      <c r="C1366" s="1" t="n">
        <v>45265</v>
      </c>
      <c r="D1366" t="inlineStr">
        <is>
          <t>VÄRMLANDS LÄN</t>
        </is>
      </c>
      <c r="E1366" t="inlineStr">
        <is>
          <t>TORSBY</t>
        </is>
      </c>
      <c r="F1366" t="inlineStr">
        <is>
          <t>Bergvik skog väst AB</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51847-2022</t>
        </is>
      </c>
      <c r="B1367" s="1" t="n">
        <v>44872</v>
      </c>
      <c r="C1367" s="1" t="n">
        <v>45265</v>
      </c>
      <c r="D1367" t="inlineStr">
        <is>
          <t>VÄRMLANDS LÄN</t>
        </is>
      </c>
      <c r="E1367" t="inlineStr">
        <is>
          <t>TORSBY</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51843-2022</t>
        </is>
      </c>
      <c r="B1368" s="1" t="n">
        <v>44872</v>
      </c>
      <c r="C1368" s="1" t="n">
        <v>45265</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51911-2022</t>
        </is>
      </c>
      <c r="B1369" s="1" t="n">
        <v>44872</v>
      </c>
      <c r="C1369" s="1" t="n">
        <v>45265</v>
      </c>
      <c r="D1369" t="inlineStr">
        <is>
          <t>VÄRMLANDS LÄN</t>
        </is>
      </c>
      <c r="E1369" t="inlineStr">
        <is>
          <t>TORSBY</t>
        </is>
      </c>
      <c r="F1369" t="inlineStr">
        <is>
          <t>Bergvik skog väst AB</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52921-2022</t>
        </is>
      </c>
      <c r="B1370" s="1" t="n">
        <v>44872</v>
      </c>
      <c r="C1370" s="1" t="n">
        <v>45265</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52901-2022</t>
        </is>
      </c>
      <c r="B1371" s="1" t="n">
        <v>44872</v>
      </c>
      <c r="C1371" s="1" t="n">
        <v>45265</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52286-2022</t>
        </is>
      </c>
      <c r="B1372" s="1" t="n">
        <v>44873</v>
      </c>
      <c r="C1372" s="1" t="n">
        <v>45265</v>
      </c>
      <c r="D1372" t="inlineStr">
        <is>
          <t>VÄRMLANDS LÄN</t>
        </is>
      </c>
      <c r="E1372" t="inlineStr">
        <is>
          <t>TORSBY</t>
        </is>
      </c>
      <c r="F1372" t="inlineStr">
        <is>
          <t>Bergvik skog väst AB</t>
        </is>
      </c>
      <c r="G1372" t="n">
        <v>51.4</v>
      </c>
      <c r="H1372" t="n">
        <v>0</v>
      </c>
      <c r="I1372" t="n">
        <v>0</v>
      </c>
      <c r="J1372" t="n">
        <v>0</v>
      </c>
      <c r="K1372" t="n">
        <v>0</v>
      </c>
      <c r="L1372" t="n">
        <v>0</v>
      </c>
      <c r="M1372" t="n">
        <v>0</v>
      </c>
      <c r="N1372" t="n">
        <v>0</v>
      </c>
      <c r="O1372" t="n">
        <v>0</v>
      </c>
      <c r="P1372" t="n">
        <v>0</v>
      </c>
      <c r="Q1372" t="n">
        <v>0</v>
      </c>
      <c r="R1372" s="2" t="inlineStr"/>
    </row>
    <row r="1373" ht="15" customHeight="1">
      <c r="A1373" t="inlineStr">
        <is>
          <t>A 52393-2022</t>
        </is>
      </c>
      <c r="B1373" s="1" t="n">
        <v>44874</v>
      </c>
      <c r="C1373" s="1" t="n">
        <v>45265</v>
      </c>
      <c r="D1373" t="inlineStr">
        <is>
          <t>VÄRMLANDS LÄN</t>
        </is>
      </c>
      <c r="E1373" t="inlineStr">
        <is>
          <t>TORSBY</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52546-2022</t>
        </is>
      </c>
      <c r="B1374" s="1" t="n">
        <v>44874</v>
      </c>
      <c r="C1374" s="1" t="n">
        <v>45265</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52386-2022</t>
        </is>
      </c>
      <c r="B1375" s="1" t="n">
        <v>44874</v>
      </c>
      <c r="C1375" s="1" t="n">
        <v>45265</v>
      </c>
      <c r="D1375" t="inlineStr">
        <is>
          <t>VÄRMLANDS LÄN</t>
        </is>
      </c>
      <c r="E1375" t="inlineStr">
        <is>
          <t>TORSBY</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52543-2022</t>
        </is>
      </c>
      <c r="B1376" s="1" t="n">
        <v>44874</v>
      </c>
      <c r="C1376" s="1" t="n">
        <v>45265</v>
      </c>
      <c r="D1376" t="inlineStr">
        <is>
          <t>VÄRMLANDS LÄN</t>
        </is>
      </c>
      <c r="E1376" t="inlineStr">
        <is>
          <t>TORSBY</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52447-2022</t>
        </is>
      </c>
      <c r="B1377" s="1" t="n">
        <v>44874</v>
      </c>
      <c r="C1377" s="1" t="n">
        <v>45265</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52483-2022</t>
        </is>
      </c>
      <c r="B1378" s="1" t="n">
        <v>44874</v>
      </c>
      <c r="C1378" s="1" t="n">
        <v>45265</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52913-2022</t>
        </is>
      </c>
      <c r="B1379" s="1" t="n">
        <v>44875</v>
      </c>
      <c r="C1379" s="1" t="n">
        <v>45265</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52919-2022</t>
        </is>
      </c>
      <c r="B1380" s="1" t="n">
        <v>44875</v>
      </c>
      <c r="C1380" s="1" t="n">
        <v>45265</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53044-2022</t>
        </is>
      </c>
      <c r="B1381" s="1" t="n">
        <v>44876</v>
      </c>
      <c r="C1381" s="1" t="n">
        <v>45265</v>
      </c>
      <c r="D1381" t="inlineStr">
        <is>
          <t>VÄRMLANDS LÄN</t>
        </is>
      </c>
      <c r="E1381" t="inlineStr">
        <is>
          <t>TORSBY</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53076-2022</t>
        </is>
      </c>
      <c r="B1382" s="1" t="n">
        <v>44876</v>
      </c>
      <c r="C1382" s="1" t="n">
        <v>45265</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53988-2022</t>
        </is>
      </c>
      <c r="B1383" s="1" t="n">
        <v>44876</v>
      </c>
      <c r="C1383" s="1" t="n">
        <v>45265</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53381-2022</t>
        </is>
      </c>
      <c r="B1384" s="1" t="n">
        <v>44879</v>
      </c>
      <c r="C1384" s="1" t="n">
        <v>45265</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53492-2022</t>
        </is>
      </c>
      <c r="B1385" s="1" t="n">
        <v>44879</v>
      </c>
      <c r="C1385" s="1" t="n">
        <v>45265</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53781-2022</t>
        </is>
      </c>
      <c r="B1386" s="1" t="n">
        <v>44880</v>
      </c>
      <c r="C1386" s="1" t="n">
        <v>45265</v>
      </c>
      <c r="D1386" t="inlineStr">
        <is>
          <t>VÄRMLANDS LÄN</t>
        </is>
      </c>
      <c r="E1386" t="inlineStr">
        <is>
          <t>TORSBY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53906-2022</t>
        </is>
      </c>
      <c r="B1387" s="1" t="n">
        <v>44880</v>
      </c>
      <c r="C1387" s="1" t="n">
        <v>45265</v>
      </c>
      <c r="D1387" t="inlineStr">
        <is>
          <t>VÄRMLANDS LÄN</t>
        </is>
      </c>
      <c r="E1387" t="inlineStr">
        <is>
          <t>TORSBY</t>
        </is>
      </c>
      <c r="F1387" t="inlineStr">
        <is>
          <t>Bergvik skog väst AB</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54452-2022</t>
        </is>
      </c>
      <c r="B1388" s="1" t="n">
        <v>44880</v>
      </c>
      <c r="C1388" s="1" t="n">
        <v>45265</v>
      </c>
      <c r="D1388" t="inlineStr">
        <is>
          <t>VÄRMLANDS LÄN</t>
        </is>
      </c>
      <c r="E1388" t="inlineStr">
        <is>
          <t>TORSBY</t>
        </is>
      </c>
      <c r="F1388" t="inlineStr">
        <is>
          <t>Kyrkan</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54028-2022</t>
        </is>
      </c>
      <c r="B1389" s="1" t="n">
        <v>44881</v>
      </c>
      <c r="C1389" s="1" t="n">
        <v>45265</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54143-2022</t>
        </is>
      </c>
      <c r="B1390" s="1" t="n">
        <v>44881</v>
      </c>
      <c r="C1390" s="1" t="n">
        <v>45265</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54160-2022</t>
        </is>
      </c>
      <c r="B1391" s="1" t="n">
        <v>44881</v>
      </c>
      <c r="C1391" s="1" t="n">
        <v>45265</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54811-2022</t>
        </is>
      </c>
      <c r="B1392" s="1" t="n">
        <v>44883</v>
      </c>
      <c r="C1392" s="1" t="n">
        <v>45265</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54865-2022</t>
        </is>
      </c>
      <c r="B1393" s="1" t="n">
        <v>44884</v>
      </c>
      <c r="C1393" s="1" t="n">
        <v>45265</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54885-2022</t>
        </is>
      </c>
      <c r="B1394" s="1" t="n">
        <v>44886</v>
      </c>
      <c r="C1394" s="1" t="n">
        <v>45265</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55068-2022</t>
        </is>
      </c>
      <c r="B1395" s="1" t="n">
        <v>44886</v>
      </c>
      <c r="C1395" s="1" t="n">
        <v>45265</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55092-2022</t>
        </is>
      </c>
      <c r="B1396" s="1" t="n">
        <v>44886</v>
      </c>
      <c r="C1396" s="1" t="n">
        <v>45265</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55104-2022</t>
        </is>
      </c>
      <c r="B1397" s="1" t="n">
        <v>44886</v>
      </c>
      <c r="C1397" s="1" t="n">
        <v>45265</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55428-2022</t>
        </is>
      </c>
      <c r="B1398" s="1" t="n">
        <v>44887</v>
      </c>
      <c r="C1398" s="1" t="n">
        <v>45265</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55475-2022</t>
        </is>
      </c>
      <c r="B1399" s="1" t="n">
        <v>44887</v>
      </c>
      <c r="C1399" s="1" t="n">
        <v>45265</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55436-2022</t>
        </is>
      </c>
      <c r="B1400" s="1" t="n">
        <v>44887</v>
      </c>
      <c r="C1400" s="1" t="n">
        <v>45265</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55575-2022</t>
        </is>
      </c>
      <c r="B1401" s="1" t="n">
        <v>44888</v>
      </c>
      <c r="C1401" s="1" t="n">
        <v>45265</v>
      </c>
      <c r="D1401" t="inlineStr">
        <is>
          <t>VÄRMLANDS LÄN</t>
        </is>
      </c>
      <c r="E1401" t="inlineStr">
        <is>
          <t>TORSBY</t>
        </is>
      </c>
      <c r="F1401" t="inlineStr">
        <is>
          <t>Bergvik skog väst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55981-2022</t>
        </is>
      </c>
      <c r="B1402" s="1" t="n">
        <v>44889</v>
      </c>
      <c r="C1402" s="1" t="n">
        <v>45265</v>
      </c>
      <c r="D1402" t="inlineStr">
        <is>
          <t>VÄRMLANDS LÄN</t>
        </is>
      </c>
      <c r="E1402" t="inlineStr">
        <is>
          <t>TORSBY</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55939-2022</t>
        </is>
      </c>
      <c r="B1403" s="1" t="n">
        <v>44889</v>
      </c>
      <c r="C1403" s="1" t="n">
        <v>45265</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55947-2022</t>
        </is>
      </c>
      <c r="B1404" s="1" t="n">
        <v>44889</v>
      </c>
      <c r="C1404" s="1" t="n">
        <v>45265</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56281-2022</t>
        </is>
      </c>
      <c r="B1405" s="1" t="n">
        <v>44890</v>
      </c>
      <c r="C1405" s="1" t="n">
        <v>45265</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56361-2022</t>
        </is>
      </c>
      <c r="B1406" s="1" t="n">
        <v>44890</v>
      </c>
      <c r="C1406" s="1" t="n">
        <v>45265</v>
      </c>
      <c r="D1406" t="inlineStr">
        <is>
          <t>VÄRMLANDS LÄN</t>
        </is>
      </c>
      <c r="E1406" t="inlineStr">
        <is>
          <t>TORSBY</t>
        </is>
      </c>
      <c r="F1406" t="inlineStr">
        <is>
          <t>Bergvik skog väst AB</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56432-2022</t>
        </is>
      </c>
      <c r="B1407" s="1" t="n">
        <v>44891</v>
      </c>
      <c r="C1407" s="1" t="n">
        <v>45265</v>
      </c>
      <c r="D1407" t="inlineStr">
        <is>
          <t>VÄRMLANDS LÄN</t>
        </is>
      </c>
      <c r="E1407" t="inlineStr">
        <is>
          <t>TORSBY</t>
        </is>
      </c>
      <c r="F1407" t="inlineStr">
        <is>
          <t>Bergvik skog väst AB</t>
        </is>
      </c>
      <c r="G1407" t="n">
        <v>37.4</v>
      </c>
      <c r="H1407" t="n">
        <v>0</v>
      </c>
      <c r="I1407" t="n">
        <v>0</v>
      </c>
      <c r="J1407" t="n">
        <v>0</v>
      </c>
      <c r="K1407" t="n">
        <v>0</v>
      </c>
      <c r="L1407" t="n">
        <v>0</v>
      </c>
      <c r="M1407" t="n">
        <v>0</v>
      </c>
      <c r="N1407" t="n">
        <v>0</v>
      </c>
      <c r="O1407" t="n">
        <v>0</v>
      </c>
      <c r="P1407" t="n">
        <v>0</v>
      </c>
      <c r="Q1407" t="n">
        <v>0</v>
      </c>
      <c r="R1407" s="2" t="inlineStr"/>
    </row>
    <row r="1408" ht="15" customHeight="1">
      <c r="A1408" t="inlineStr">
        <is>
          <t>A 56434-2022</t>
        </is>
      </c>
      <c r="B1408" s="1" t="n">
        <v>44891</v>
      </c>
      <c r="C1408" s="1" t="n">
        <v>45265</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56473-2022</t>
        </is>
      </c>
      <c r="B1409" s="1" t="n">
        <v>44893</v>
      </c>
      <c r="C1409" s="1" t="n">
        <v>45265</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57072-2022</t>
        </is>
      </c>
      <c r="B1410" s="1" t="n">
        <v>44895</v>
      </c>
      <c r="C1410" s="1" t="n">
        <v>45265</v>
      </c>
      <c r="D1410" t="inlineStr">
        <is>
          <t>VÄRMLANDS LÄN</t>
        </is>
      </c>
      <c r="E1410" t="inlineStr">
        <is>
          <t>TORSBY</t>
        </is>
      </c>
      <c r="F1410" t="inlineStr">
        <is>
          <t>Övriga statliga verk och myndigheter</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57176-2022</t>
        </is>
      </c>
      <c r="B1411" s="1" t="n">
        <v>44895</v>
      </c>
      <c r="C1411" s="1" t="n">
        <v>45265</v>
      </c>
      <c r="D1411" t="inlineStr">
        <is>
          <t>VÄRMLANDS LÄN</t>
        </is>
      </c>
      <c r="E1411" t="inlineStr">
        <is>
          <t>TORSBY</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57071-2022</t>
        </is>
      </c>
      <c r="B1412" s="1" t="n">
        <v>44895</v>
      </c>
      <c r="C1412" s="1" t="n">
        <v>45265</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57172-2022</t>
        </is>
      </c>
      <c r="B1413" s="1" t="n">
        <v>44895</v>
      </c>
      <c r="C1413" s="1" t="n">
        <v>45265</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57408-2022</t>
        </is>
      </c>
      <c r="B1414" s="1" t="n">
        <v>44896</v>
      </c>
      <c r="C1414" s="1" t="n">
        <v>45265</v>
      </c>
      <c r="D1414" t="inlineStr">
        <is>
          <t>VÄRMLANDS LÄN</t>
        </is>
      </c>
      <c r="E1414" t="inlineStr">
        <is>
          <t>TORSBY</t>
        </is>
      </c>
      <c r="F1414" t="inlineStr">
        <is>
          <t>Bergvik skog väst AB</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57418-2022</t>
        </is>
      </c>
      <c r="B1415" s="1" t="n">
        <v>44896</v>
      </c>
      <c r="C1415" s="1" t="n">
        <v>45265</v>
      </c>
      <c r="D1415" t="inlineStr">
        <is>
          <t>VÄRMLANDS LÄN</t>
        </is>
      </c>
      <c r="E1415" t="inlineStr">
        <is>
          <t>TORSBY</t>
        </is>
      </c>
      <c r="F1415" t="inlineStr">
        <is>
          <t>Bergvik skog väst AB</t>
        </is>
      </c>
      <c r="G1415" t="n">
        <v>21.8</v>
      </c>
      <c r="H1415" t="n">
        <v>0</v>
      </c>
      <c r="I1415" t="n">
        <v>0</v>
      </c>
      <c r="J1415" t="n">
        <v>0</v>
      </c>
      <c r="K1415" t="n">
        <v>0</v>
      </c>
      <c r="L1415" t="n">
        <v>0</v>
      </c>
      <c r="M1415" t="n">
        <v>0</v>
      </c>
      <c r="N1415" t="n">
        <v>0</v>
      </c>
      <c r="O1415" t="n">
        <v>0</v>
      </c>
      <c r="P1415" t="n">
        <v>0</v>
      </c>
      <c r="Q1415" t="n">
        <v>0</v>
      </c>
      <c r="R1415" s="2" t="inlineStr"/>
    </row>
    <row r="1416" ht="15" customHeight="1">
      <c r="A1416" t="inlineStr">
        <is>
          <t>A 57393-2022</t>
        </is>
      </c>
      <c r="B1416" s="1" t="n">
        <v>44896</v>
      </c>
      <c r="C1416" s="1" t="n">
        <v>45265</v>
      </c>
      <c r="D1416" t="inlineStr">
        <is>
          <t>VÄRMLANDS LÄN</t>
        </is>
      </c>
      <c r="E1416" t="inlineStr">
        <is>
          <t>TORSBY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57452-2022</t>
        </is>
      </c>
      <c r="B1417" s="1" t="n">
        <v>44896</v>
      </c>
      <c r="C1417" s="1" t="n">
        <v>45265</v>
      </c>
      <c r="D1417" t="inlineStr">
        <is>
          <t>VÄRMLANDS LÄN</t>
        </is>
      </c>
      <c r="E1417" t="inlineStr">
        <is>
          <t>TORSBY</t>
        </is>
      </c>
      <c r="F1417" t="inlineStr">
        <is>
          <t>Bergvik skog väst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57708-2022</t>
        </is>
      </c>
      <c r="B1418" s="1" t="n">
        <v>44897</v>
      </c>
      <c r="C1418" s="1" t="n">
        <v>45265</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57726-2022</t>
        </is>
      </c>
      <c r="B1419" s="1" t="n">
        <v>44897</v>
      </c>
      <c r="C1419" s="1" t="n">
        <v>45265</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57721-2022</t>
        </is>
      </c>
      <c r="B1420" s="1" t="n">
        <v>44897</v>
      </c>
      <c r="C1420" s="1" t="n">
        <v>45265</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57867-2022</t>
        </is>
      </c>
      <c r="B1421" s="1" t="n">
        <v>44899</v>
      </c>
      <c r="C1421" s="1" t="n">
        <v>45265</v>
      </c>
      <c r="D1421" t="inlineStr">
        <is>
          <t>VÄRMLANDS LÄN</t>
        </is>
      </c>
      <c r="E1421" t="inlineStr">
        <is>
          <t>TORSBY</t>
        </is>
      </c>
      <c r="F1421" t="inlineStr">
        <is>
          <t>Bergvik skog väst AB</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57937-2022</t>
        </is>
      </c>
      <c r="B1422" s="1" t="n">
        <v>44900</v>
      </c>
      <c r="C1422" s="1" t="n">
        <v>45265</v>
      </c>
      <c r="D1422" t="inlineStr">
        <is>
          <t>VÄRMLANDS LÄN</t>
        </is>
      </c>
      <c r="E1422" t="inlineStr">
        <is>
          <t>TORSBY</t>
        </is>
      </c>
      <c r="F1422" t="inlineStr">
        <is>
          <t>Bergvik skog väst AB</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58225-2022</t>
        </is>
      </c>
      <c r="B1423" s="1" t="n">
        <v>44901</v>
      </c>
      <c r="C1423" s="1" t="n">
        <v>45265</v>
      </c>
      <c r="D1423" t="inlineStr">
        <is>
          <t>VÄRMLANDS LÄN</t>
        </is>
      </c>
      <c r="E1423" t="inlineStr">
        <is>
          <t>TORSBY</t>
        </is>
      </c>
      <c r="G1423" t="n">
        <v>11.7</v>
      </c>
      <c r="H1423" t="n">
        <v>0</v>
      </c>
      <c r="I1423" t="n">
        <v>0</v>
      </c>
      <c r="J1423" t="n">
        <v>0</v>
      </c>
      <c r="K1423" t="n">
        <v>0</v>
      </c>
      <c r="L1423" t="n">
        <v>0</v>
      </c>
      <c r="M1423" t="n">
        <v>0</v>
      </c>
      <c r="N1423" t="n">
        <v>0</v>
      </c>
      <c r="O1423" t="n">
        <v>0</v>
      </c>
      <c r="P1423" t="n">
        <v>0</v>
      </c>
      <c r="Q1423" t="n">
        <v>0</v>
      </c>
      <c r="R1423" s="2" t="inlineStr"/>
    </row>
    <row r="1424" ht="15" customHeight="1">
      <c r="A1424" t="inlineStr">
        <is>
          <t>A 58276-2022</t>
        </is>
      </c>
      <c r="B1424" s="1" t="n">
        <v>44901</v>
      </c>
      <c r="C1424" s="1" t="n">
        <v>45265</v>
      </c>
      <c r="D1424" t="inlineStr">
        <is>
          <t>VÄRMLANDS LÄN</t>
        </is>
      </c>
      <c r="E1424" t="inlineStr">
        <is>
          <t>TORSBY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58956-2022</t>
        </is>
      </c>
      <c r="B1425" s="1" t="n">
        <v>44903</v>
      </c>
      <c r="C1425" s="1" t="n">
        <v>45265</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58869-2022</t>
        </is>
      </c>
      <c r="B1426" s="1" t="n">
        <v>44903</v>
      </c>
      <c r="C1426" s="1" t="n">
        <v>45265</v>
      </c>
      <c r="D1426" t="inlineStr">
        <is>
          <t>VÄRMLANDS LÄN</t>
        </is>
      </c>
      <c r="E1426" t="inlineStr">
        <is>
          <t>TORSBY</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58951-2022</t>
        </is>
      </c>
      <c r="B1427" s="1" t="n">
        <v>44903</v>
      </c>
      <c r="C1427" s="1" t="n">
        <v>45265</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59097-2022</t>
        </is>
      </c>
      <c r="B1428" s="1" t="n">
        <v>44904</v>
      </c>
      <c r="C1428" s="1" t="n">
        <v>45265</v>
      </c>
      <c r="D1428" t="inlineStr">
        <is>
          <t>VÄRMLANDS LÄN</t>
        </is>
      </c>
      <c r="E1428" t="inlineStr">
        <is>
          <t>TORSBY</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59096-2022</t>
        </is>
      </c>
      <c r="B1429" s="1" t="n">
        <v>44904</v>
      </c>
      <c r="C1429" s="1" t="n">
        <v>45265</v>
      </c>
      <c r="D1429" t="inlineStr">
        <is>
          <t>VÄRMLANDS LÄN</t>
        </is>
      </c>
      <c r="E1429" t="inlineStr">
        <is>
          <t>TORSBY</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59778-2022</t>
        </is>
      </c>
      <c r="B1430" s="1" t="n">
        <v>44908</v>
      </c>
      <c r="C1430" s="1" t="n">
        <v>45265</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60240-2022</t>
        </is>
      </c>
      <c r="B1431" s="1" t="n">
        <v>44910</v>
      </c>
      <c r="C1431" s="1" t="n">
        <v>45265</v>
      </c>
      <c r="D1431" t="inlineStr">
        <is>
          <t>VÄRMLANDS LÄN</t>
        </is>
      </c>
      <c r="E1431" t="inlineStr">
        <is>
          <t>TORSBY</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61432-2022</t>
        </is>
      </c>
      <c r="B1432" s="1" t="n">
        <v>44910</v>
      </c>
      <c r="C1432" s="1" t="n">
        <v>45265</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61428-2022</t>
        </is>
      </c>
      <c r="B1433" s="1" t="n">
        <v>44910</v>
      </c>
      <c r="C1433" s="1" t="n">
        <v>45265</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60737-2022</t>
        </is>
      </c>
      <c r="B1434" s="1" t="n">
        <v>44913</v>
      </c>
      <c r="C1434" s="1" t="n">
        <v>45265</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60823-2022</t>
        </is>
      </c>
      <c r="B1435" s="1" t="n">
        <v>44914</v>
      </c>
      <c r="C1435" s="1" t="n">
        <v>45265</v>
      </c>
      <c r="D1435" t="inlineStr">
        <is>
          <t>VÄRMLANDS LÄN</t>
        </is>
      </c>
      <c r="E1435" t="inlineStr">
        <is>
          <t>TORSBY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61128-2022</t>
        </is>
      </c>
      <c r="B1436" s="1" t="n">
        <v>44915</v>
      </c>
      <c r="C1436" s="1" t="n">
        <v>45265</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61151-2022</t>
        </is>
      </c>
      <c r="B1437" s="1" t="n">
        <v>44915</v>
      </c>
      <c r="C1437" s="1" t="n">
        <v>45265</v>
      </c>
      <c r="D1437" t="inlineStr">
        <is>
          <t>VÄRMLANDS LÄN</t>
        </is>
      </c>
      <c r="E1437" t="inlineStr">
        <is>
          <t>TORSBY</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61286-2022</t>
        </is>
      </c>
      <c r="B1438" s="1" t="n">
        <v>44915</v>
      </c>
      <c r="C1438" s="1" t="n">
        <v>45265</v>
      </c>
      <c r="D1438" t="inlineStr">
        <is>
          <t>VÄRMLANDS LÄN</t>
        </is>
      </c>
      <c r="E1438" t="inlineStr">
        <is>
          <t>TORSBY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61321-2022</t>
        </is>
      </c>
      <c r="B1439" s="1" t="n">
        <v>44915</v>
      </c>
      <c r="C1439" s="1" t="n">
        <v>45265</v>
      </c>
      <c r="D1439" t="inlineStr">
        <is>
          <t>VÄRMLANDS LÄN</t>
        </is>
      </c>
      <c r="E1439" t="inlineStr">
        <is>
          <t>TORSBY</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61138-2022</t>
        </is>
      </c>
      <c r="B1440" s="1" t="n">
        <v>44915</v>
      </c>
      <c r="C1440" s="1" t="n">
        <v>45265</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61143-2022</t>
        </is>
      </c>
      <c r="B1441" s="1" t="n">
        <v>44915</v>
      </c>
      <c r="C1441" s="1" t="n">
        <v>45265</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61290-2022</t>
        </is>
      </c>
      <c r="B1442" s="1" t="n">
        <v>44915</v>
      </c>
      <c r="C1442" s="1" t="n">
        <v>45265</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61367-2022</t>
        </is>
      </c>
      <c r="B1443" s="1" t="n">
        <v>44915</v>
      </c>
      <c r="C1443" s="1" t="n">
        <v>45265</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61135-2022</t>
        </is>
      </c>
      <c r="B1444" s="1" t="n">
        <v>44915</v>
      </c>
      <c r="C1444" s="1" t="n">
        <v>45265</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61510-2022</t>
        </is>
      </c>
      <c r="B1445" s="1" t="n">
        <v>44916</v>
      </c>
      <c r="C1445" s="1" t="n">
        <v>45265</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62006-2022</t>
        </is>
      </c>
      <c r="B1446" s="1" t="n">
        <v>44918</v>
      </c>
      <c r="C1446" s="1" t="n">
        <v>45265</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80-2023</t>
        </is>
      </c>
      <c r="B1447" s="1" t="n">
        <v>44918</v>
      </c>
      <c r="C1447" s="1" t="n">
        <v>45265</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345-2023</t>
        </is>
      </c>
      <c r="B1448" s="1" t="n">
        <v>44923</v>
      </c>
      <c r="C1448" s="1" t="n">
        <v>45265</v>
      </c>
      <c r="D1448" t="inlineStr">
        <is>
          <t>VÄRMLANDS LÄN</t>
        </is>
      </c>
      <c r="E1448" t="inlineStr">
        <is>
          <t>TORSBY</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363-2023</t>
        </is>
      </c>
      <c r="B1449" s="1" t="n">
        <v>44923</v>
      </c>
      <c r="C1449" s="1" t="n">
        <v>45265</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62574-2022</t>
        </is>
      </c>
      <c r="B1450" s="1" t="n">
        <v>44924</v>
      </c>
      <c r="C1450" s="1" t="n">
        <v>45265</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522-2023</t>
        </is>
      </c>
      <c r="B1451" s="1" t="n">
        <v>44930</v>
      </c>
      <c r="C1451" s="1" t="n">
        <v>45265</v>
      </c>
      <c r="D1451" t="inlineStr">
        <is>
          <t>VÄRMLANDS LÄN</t>
        </is>
      </c>
      <c r="E1451" t="inlineStr">
        <is>
          <t>TORSBY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1003-2023</t>
        </is>
      </c>
      <c r="B1452" s="1" t="n">
        <v>44935</v>
      </c>
      <c r="C1452" s="1" t="n">
        <v>45265</v>
      </c>
      <c r="D1452" t="inlineStr">
        <is>
          <t>VÄRMLANDS LÄN</t>
        </is>
      </c>
      <c r="E1452" t="inlineStr">
        <is>
          <t>TORSBY</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1120-2023</t>
        </is>
      </c>
      <c r="B1453" s="1" t="n">
        <v>44935</v>
      </c>
      <c r="C1453" s="1" t="n">
        <v>45265</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1166-2023</t>
        </is>
      </c>
      <c r="B1454" s="1" t="n">
        <v>44935</v>
      </c>
      <c r="C1454" s="1" t="n">
        <v>45265</v>
      </c>
      <c r="D1454" t="inlineStr">
        <is>
          <t>VÄRMLANDS LÄN</t>
        </is>
      </c>
      <c r="E1454" t="inlineStr">
        <is>
          <t>TORSBY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1123-2023</t>
        </is>
      </c>
      <c r="B1455" s="1" t="n">
        <v>44935</v>
      </c>
      <c r="C1455" s="1" t="n">
        <v>45265</v>
      </c>
      <c r="D1455" t="inlineStr">
        <is>
          <t>VÄRMLANDS LÄN</t>
        </is>
      </c>
      <c r="E1455" t="inlineStr">
        <is>
          <t>TORSBY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1386-2023</t>
        </is>
      </c>
      <c r="B1456" s="1" t="n">
        <v>44936</v>
      </c>
      <c r="C1456" s="1" t="n">
        <v>45265</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1947-2023</t>
        </is>
      </c>
      <c r="B1457" s="1" t="n">
        <v>44939</v>
      </c>
      <c r="C1457" s="1" t="n">
        <v>45265</v>
      </c>
      <c r="D1457" t="inlineStr">
        <is>
          <t>VÄRMLANDS LÄN</t>
        </is>
      </c>
      <c r="E1457" t="inlineStr">
        <is>
          <t>TORSBY</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1979-2023</t>
        </is>
      </c>
      <c r="B1458" s="1" t="n">
        <v>44939</v>
      </c>
      <c r="C1458" s="1" t="n">
        <v>45265</v>
      </c>
      <c r="D1458" t="inlineStr">
        <is>
          <t>VÄRMLANDS LÄN</t>
        </is>
      </c>
      <c r="E1458" t="inlineStr">
        <is>
          <t>TORSBY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2471-2023</t>
        </is>
      </c>
      <c r="B1459" s="1" t="n">
        <v>44943</v>
      </c>
      <c r="C1459" s="1" t="n">
        <v>45265</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2512-2023</t>
        </is>
      </c>
      <c r="B1460" s="1" t="n">
        <v>44943</v>
      </c>
      <c r="C1460" s="1" t="n">
        <v>45265</v>
      </c>
      <c r="D1460" t="inlineStr">
        <is>
          <t>VÄRMLANDS LÄN</t>
        </is>
      </c>
      <c r="E1460" t="inlineStr">
        <is>
          <t>TORSBY</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3098-2023</t>
        </is>
      </c>
      <c r="B1461" s="1" t="n">
        <v>44946</v>
      </c>
      <c r="C1461" s="1" t="n">
        <v>45265</v>
      </c>
      <c r="D1461" t="inlineStr">
        <is>
          <t>VÄRMLANDS LÄN</t>
        </is>
      </c>
      <c r="E1461" t="inlineStr">
        <is>
          <t>TORSBY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3103-2023</t>
        </is>
      </c>
      <c r="B1462" s="1" t="n">
        <v>44946</v>
      </c>
      <c r="C1462" s="1" t="n">
        <v>45265</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3256-2023</t>
        </is>
      </c>
      <c r="B1463" s="1" t="n">
        <v>44948</v>
      </c>
      <c r="C1463" s="1" t="n">
        <v>45265</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3421-2023</t>
        </is>
      </c>
      <c r="B1464" s="1" t="n">
        <v>44949</v>
      </c>
      <c r="C1464" s="1" t="n">
        <v>45265</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3489-2023</t>
        </is>
      </c>
      <c r="B1465" s="1" t="n">
        <v>44949</v>
      </c>
      <c r="C1465" s="1" t="n">
        <v>45265</v>
      </c>
      <c r="D1465" t="inlineStr">
        <is>
          <t>VÄRMLANDS LÄN</t>
        </is>
      </c>
      <c r="E1465" t="inlineStr">
        <is>
          <t>TORSBY</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3491-2023</t>
        </is>
      </c>
      <c r="B1466" s="1" t="n">
        <v>44949</v>
      </c>
      <c r="C1466" s="1" t="n">
        <v>45265</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3542-2023</t>
        </is>
      </c>
      <c r="B1467" s="1" t="n">
        <v>44950</v>
      </c>
      <c r="C1467" s="1" t="n">
        <v>45265</v>
      </c>
      <c r="D1467" t="inlineStr">
        <is>
          <t>VÄRMLANDS LÄN</t>
        </is>
      </c>
      <c r="E1467" t="inlineStr">
        <is>
          <t>TORSBY</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3666-2023</t>
        </is>
      </c>
      <c r="B1468" s="1" t="n">
        <v>44950</v>
      </c>
      <c r="C1468" s="1" t="n">
        <v>45265</v>
      </c>
      <c r="D1468" t="inlineStr">
        <is>
          <t>VÄRMLANDS LÄN</t>
        </is>
      </c>
      <c r="E1468" t="inlineStr">
        <is>
          <t>TORSBY</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3670-2023</t>
        </is>
      </c>
      <c r="B1469" s="1" t="n">
        <v>44950</v>
      </c>
      <c r="C1469" s="1" t="n">
        <v>45265</v>
      </c>
      <c r="D1469" t="inlineStr">
        <is>
          <t>VÄRMLANDS LÄN</t>
        </is>
      </c>
      <c r="E1469" t="inlineStr">
        <is>
          <t>TORSBY</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3667-2023</t>
        </is>
      </c>
      <c r="B1470" s="1" t="n">
        <v>44950</v>
      </c>
      <c r="C1470" s="1" t="n">
        <v>45265</v>
      </c>
      <c r="D1470" t="inlineStr">
        <is>
          <t>VÄRMLANDS LÄN</t>
        </is>
      </c>
      <c r="E1470" t="inlineStr">
        <is>
          <t>TORSBY</t>
        </is>
      </c>
      <c r="G1470" t="n">
        <v>21.2</v>
      </c>
      <c r="H1470" t="n">
        <v>0</v>
      </c>
      <c r="I1470" t="n">
        <v>0</v>
      </c>
      <c r="J1470" t="n">
        <v>0</v>
      </c>
      <c r="K1470" t="n">
        <v>0</v>
      </c>
      <c r="L1470" t="n">
        <v>0</v>
      </c>
      <c r="M1470" t="n">
        <v>0</v>
      </c>
      <c r="N1470" t="n">
        <v>0</v>
      </c>
      <c r="O1470" t="n">
        <v>0</v>
      </c>
      <c r="P1470" t="n">
        <v>0</v>
      </c>
      <c r="Q1470" t="n">
        <v>0</v>
      </c>
      <c r="R1470" s="2" t="inlineStr"/>
    </row>
    <row r="1471" ht="15" customHeight="1">
      <c r="A1471" t="inlineStr">
        <is>
          <t>A 3672-2023</t>
        </is>
      </c>
      <c r="B1471" s="1" t="n">
        <v>44950</v>
      </c>
      <c r="C1471" s="1" t="n">
        <v>45265</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3881-2023</t>
        </is>
      </c>
      <c r="B1472" s="1" t="n">
        <v>44951</v>
      </c>
      <c r="C1472" s="1" t="n">
        <v>45265</v>
      </c>
      <c r="D1472" t="inlineStr">
        <is>
          <t>VÄRMLANDS LÄN</t>
        </is>
      </c>
      <c r="E1472" t="inlineStr">
        <is>
          <t>TORSBY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4250-2023</t>
        </is>
      </c>
      <c r="B1473" s="1" t="n">
        <v>44953</v>
      </c>
      <c r="C1473" s="1" t="n">
        <v>45265</v>
      </c>
      <c r="D1473" t="inlineStr">
        <is>
          <t>VÄRMLANDS LÄN</t>
        </is>
      </c>
      <c r="E1473" t="inlineStr">
        <is>
          <t>TORSBY</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4236-2023</t>
        </is>
      </c>
      <c r="B1474" s="1" t="n">
        <v>44953</v>
      </c>
      <c r="C1474" s="1" t="n">
        <v>45265</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4433-2023</t>
        </is>
      </c>
      <c r="B1475" s="1" t="n">
        <v>44956</v>
      </c>
      <c r="C1475" s="1" t="n">
        <v>45265</v>
      </c>
      <c r="D1475" t="inlineStr">
        <is>
          <t>VÄRMLANDS LÄN</t>
        </is>
      </c>
      <c r="E1475" t="inlineStr">
        <is>
          <t>TORSBY</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4510-2023</t>
        </is>
      </c>
      <c r="B1476" s="1" t="n">
        <v>44956</v>
      </c>
      <c r="C1476" s="1" t="n">
        <v>45265</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4568-2023</t>
        </is>
      </c>
      <c r="B1477" s="1" t="n">
        <v>44956</v>
      </c>
      <c r="C1477" s="1" t="n">
        <v>45265</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4585-2023</t>
        </is>
      </c>
      <c r="B1478" s="1" t="n">
        <v>44956</v>
      </c>
      <c r="C1478" s="1" t="n">
        <v>45265</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4707-2023</t>
        </is>
      </c>
      <c r="B1479" s="1" t="n">
        <v>44957</v>
      </c>
      <c r="C1479" s="1" t="n">
        <v>45265</v>
      </c>
      <c r="D1479" t="inlineStr">
        <is>
          <t>VÄRMLANDS LÄN</t>
        </is>
      </c>
      <c r="E1479" t="inlineStr">
        <is>
          <t>TORSBY</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5216-2023</t>
        </is>
      </c>
      <c r="B1480" s="1" t="n">
        <v>44959</v>
      </c>
      <c r="C1480" s="1" t="n">
        <v>45265</v>
      </c>
      <c r="D1480" t="inlineStr">
        <is>
          <t>VÄRMLANDS LÄN</t>
        </is>
      </c>
      <c r="E1480" t="inlineStr">
        <is>
          <t>TORSBY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5492-2023</t>
        </is>
      </c>
      <c r="B1481" s="1" t="n">
        <v>44959</v>
      </c>
      <c r="C1481" s="1" t="n">
        <v>45265</v>
      </c>
      <c r="D1481" t="inlineStr">
        <is>
          <t>VÄRMLANDS LÄN</t>
        </is>
      </c>
      <c r="E1481" t="inlineStr">
        <is>
          <t>TORSBY</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6708-2023</t>
        </is>
      </c>
      <c r="B1482" s="1" t="n">
        <v>44960</v>
      </c>
      <c r="C1482" s="1" t="n">
        <v>45265</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6702-2023</t>
        </is>
      </c>
      <c r="B1483" s="1" t="n">
        <v>44960</v>
      </c>
      <c r="C1483" s="1" t="n">
        <v>45265</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6715-2023</t>
        </is>
      </c>
      <c r="B1484" s="1" t="n">
        <v>44960</v>
      </c>
      <c r="C1484" s="1" t="n">
        <v>45265</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6711-2023</t>
        </is>
      </c>
      <c r="B1485" s="1" t="n">
        <v>44960</v>
      </c>
      <c r="C1485" s="1" t="n">
        <v>45265</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6713-2023</t>
        </is>
      </c>
      <c r="B1486" s="1" t="n">
        <v>44960</v>
      </c>
      <c r="C1486" s="1" t="n">
        <v>45265</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5830-2023</t>
        </is>
      </c>
      <c r="B1487" s="1" t="n">
        <v>44963</v>
      </c>
      <c r="C1487" s="1" t="n">
        <v>45265</v>
      </c>
      <c r="D1487" t="inlineStr">
        <is>
          <t>VÄRMLANDS LÄN</t>
        </is>
      </c>
      <c r="E1487" t="inlineStr">
        <is>
          <t>TORSBY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5763-2023</t>
        </is>
      </c>
      <c r="B1488" s="1" t="n">
        <v>44963</v>
      </c>
      <c r="C1488" s="1" t="n">
        <v>45265</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6863-2023</t>
        </is>
      </c>
      <c r="B1489" s="1" t="n">
        <v>44964</v>
      </c>
      <c r="C1489" s="1" t="n">
        <v>45265</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7283-2023</t>
        </is>
      </c>
      <c r="B1490" s="1" t="n">
        <v>44970</v>
      </c>
      <c r="C1490" s="1" t="n">
        <v>45265</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7127-2023</t>
        </is>
      </c>
      <c r="B1491" s="1" t="n">
        <v>44970</v>
      </c>
      <c r="C1491" s="1" t="n">
        <v>45265</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7133-2023</t>
        </is>
      </c>
      <c r="B1492" s="1" t="n">
        <v>44970</v>
      </c>
      <c r="C1492" s="1" t="n">
        <v>45265</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7405-2023</t>
        </is>
      </c>
      <c r="B1493" s="1" t="n">
        <v>44971</v>
      </c>
      <c r="C1493" s="1" t="n">
        <v>45265</v>
      </c>
      <c r="D1493" t="inlineStr">
        <is>
          <t>VÄRMLANDS LÄN</t>
        </is>
      </c>
      <c r="E1493" t="inlineStr">
        <is>
          <t>TORSBY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8194-2023</t>
        </is>
      </c>
      <c r="B1494" s="1" t="n">
        <v>44971</v>
      </c>
      <c r="C1494" s="1" t="n">
        <v>45265</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8192-2023</t>
        </is>
      </c>
      <c r="B1495" s="1" t="n">
        <v>44971</v>
      </c>
      <c r="C1495" s="1" t="n">
        <v>45265</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7745-2023</t>
        </is>
      </c>
      <c r="B1496" s="1" t="n">
        <v>44973</v>
      </c>
      <c r="C1496" s="1" t="n">
        <v>45265</v>
      </c>
      <c r="D1496" t="inlineStr">
        <is>
          <t>VÄRMLANDS LÄN</t>
        </is>
      </c>
      <c r="E1496" t="inlineStr">
        <is>
          <t>TORSBY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7753-2023</t>
        </is>
      </c>
      <c r="B1497" s="1" t="n">
        <v>44973</v>
      </c>
      <c r="C1497" s="1" t="n">
        <v>45265</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8016-2023</t>
        </is>
      </c>
      <c r="B1498" s="1" t="n">
        <v>44973</v>
      </c>
      <c r="C1498" s="1" t="n">
        <v>45265</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8910-2023</t>
        </is>
      </c>
      <c r="B1499" s="1" t="n">
        <v>44973</v>
      </c>
      <c r="C1499" s="1" t="n">
        <v>45265</v>
      </c>
      <c r="D1499" t="inlineStr">
        <is>
          <t>VÄRMLANDS LÄN</t>
        </is>
      </c>
      <c r="E1499" t="inlineStr">
        <is>
          <t>TORSBY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8012-2023</t>
        </is>
      </c>
      <c r="B1500" s="1" t="n">
        <v>44973</v>
      </c>
      <c r="C1500" s="1" t="n">
        <v>45265</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8284-2023</t>
        </is>
      </c>
      <c r="B1501" s="1" t="n">
        <v>44974</v>
      </c>
      <c r="C1501" s="1" t="n">
        <v>45265</v>
      </c>
      <c r="D1501" t="inlineStr">
        <is>
          <t>VÄRMLANDS LÄN</t>
        </is>
      </c>
      <c r="E1501" t="inlineStr">
        <is>
          <t>TORSBY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8281-2023</t>
        </is>
      </c>
      <c r="B1502" s="1" t="n">
        <v>44974</v>
      </c>
      <c r="C1502" s="1" t="n">
        <v>45265</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8287-2023</t>
        </is>
      </c>
      <c r="B1503" s="1" t="n">
        <v>44974</v>
      </c>
      <c r="C1503" s="1" t="n">
        <v>45265</v>
      </c>
      <c r="D1503" t="inlineStr">
        <is>
          <t>VÄRMLANDS LÄN</t>
        </is>
      </c>
      <c r="E1503" t="inlineStr">
        <is>
          <t>TORSBY</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8931-2023</t>
        </is>
      </c>
      <c r="B1504" s="1" t="n">
        <v>44974</v>
      </c>
      <c r="C1504" s="1" t="n">
        <v>45265</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8928-2023</t>
        </is>
      </c>
      <c r="B1505" s="1" t="n">
        <v>44974</v>
      </c>
      <c r="C1505" s="1" t="n">
        <v>45265</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8447-2023</t>
        </is>
      </c>
      <c r="B1506" s="1" t="n">
        <v>44977</v>
      </c>
      <c r="C1506" s="1" t="n">
        <v>45265</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9453-2023</t>
        </is>
      </c>
      <c r="B1507" s="1" t="n">
        <v>44977</v>
      </c>
      <c r="C1507" s="1" t="n">
        <v>45265</v>
      </c>
      <c r="D1507" t="inlineStr">
        <is>
          <t>VÄRMLANDS LÄN</t>
        </is>
      </c>
      <c r="E1507" t="inlineStr">
        <is>
          <t>TORSBY</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8819-2023</t>
        </is>
      </c>
      <c r="B1508" s="1" t="n">
        <v>44978</v>
      </c>
      <c r="C1508" s="1" t="n">
        <v>45265</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9067-2023</t>
        </is>
      </c>
      <c r="B1509" s="1" t="n">
        <v>44979</v>
      </c>
      <c r="C1509" s="1" t="n">
        <v>45265</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9056-2023</t>
        </is>
      </c>
      <c r="B1510" s="1" t="n">
        <v>44979</v>
      </c>
      <c r="C1510" s="1" t="n">
        <v>45265</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10027-2023</t>
        </is>
      </c>
      <c r="B1511" s="1" t="n">
        <v>44979</v>
      </c>
      <c r="C1511" s="1" t="n">
        <v>45265</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10033-2023</t>
        </is>
      </c>
      <c r="B1512" s="1" t="n">
        <v>44979</v>
      </c>
      <c r="C1512" s="1" t="n">
        <v>45265</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10024-2023</t>
        </is>
      </c>
      <c r="B1513" s="1" t="n">
        <v>44979</v>
      </c>
      <c r="C1513" s="1" t="n">
        <v>45265</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9327-2023</t>
        </is>
      </c>
      <c r="B1514" s="1" t="n">
        <v>44980</v>
      </c>
      <c r="C1514" s="1" t="n">
        <v>45265</v>
      </c>
      <c r="D1514" t="inlineStr">
        <is>
          <t>VÄRMLANDS LÄN</t>
        </is>
      </c>
      <c r="E1514" t="inlineStr">
        <is>
          <t>TORSBY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10479-2023</t>
        </is>
      </c>
      <c r="B1515" s="1" t="n">
        <v>44981</v>
      </c>
      <c r="C1515" s="1" t="n">
        <v>45265</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10473-2023</t>
        </is>
      </c>
      <c r="B1516" s="1" t="n">
        <v>44981</v>
      </c>
      <c r="C1516" s="1" t="n">
        <v>45265</v>
      </c>
      <c r="D1516" t="inlineStr">
        <is>
          <t>VÄRMLANDS LÄN</t>
        </is>
      </c>
      <c r="E1516" t="inlineStr">
        <is>
          <t>TORSBY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10471-2023</t>
        </is>
      </c>
      <c r="B1517" s="1" t="n">
        <v>44981</v>
      </c>
      <c r="C1517" s="1" t="n">
        <v>45265</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9575-2023</t>
        </is>
      </c>
      <c r="B1518" s="1" t="n">
        <v>44982</v>
      </c>
      <c r="C1518" s="1" t="n">
        <v>45265</v>
      </c>
      <c r="D1518" t="inlineStr">
        <is>
          <t>VÄRMLANDS LÄN</t>
        </is>
      </c>
      <c r="E1518" t="inlineStr">
        <is>
          <t>TORSBY</t>
        </is>
      </c>
      <c r="F1518" t="inlineStr">
        <is>
          <t>Övriga statliga verk och myndigheter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9574-2023</t>
        </is>
      </c>
      <c r="B1519" s="1" t="n">
        <v>44982</v>
      </c>
      <c r="C1519" s="1" t="n">
        <v>45265</v>
      </c>
      <c r="D1519" t="inlineStr">
        <is>
          <t>VÄRMLANDS LÄN</t>
        </is>
      </c>
      <c r="E1519" t="inlineStr">
        <is>
          <t>TORSBY</t>
        </is>
      </c>
      <c r="F1519" t="inlineStr">
        <is>
          <t>Övriga statliga verk och myndigheter</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9578-2023</t>
        </is>
      </c>
      <c r="B1520" s="1" t="n">
        <v>44982</v>
      </c>
      <c r="C1520" s="1" t="n">
        <v>45265</v>
      </c>
      <c r="D1520" t="inlineStr">
        <is>
          <t>VÄRMLANDS LÄN</t>
        </is>
      </c>
      <c r="E1520" t="inlineStr">
        <is>
          <t>TORSBY</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10888-2023</t>
        </is>
      </c>
      <c r="B1521" s="1" t="n">
        <v>44985</v>
      </c>
      <c r="C1521" s="1" t="n">
        <v>45265</v>
      </c>
      <c r="D1521" t="inlineStr">
        <is>
          <t>VÄRMLANDS LÄN</t>
        </is>
      </c>
      <c r="E1521" t="inlineStr">
        <is>
          <t>TORSBY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10155-2023</t>
        </is>
      </c>
      <c r="B1522" s="1" t="n">
        <v>44986</v>
      </c>
      <c r="C1522" s="1" t="n">
        <v>45265</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10218-2023</t>
        </is>
      </c>
      <c r="B1523" s="1" t="n">
        <v>44986</v>
      </c>
      <c r="C1523" s="1" t="n">
        <v>45265</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10228-2023</t>
        </is>
      </c>
      <c r="B1524" s="1" t="n">
        <v>44986</v>
      </c>
      <c r="C1524" s="1" t="n">
        <v>45265</v>
      </c>
      <c r="D1524" t="inlineStr">
        <is>
          <t>VÄRMLANDS LÄN</t>
        </is>
      </c>
      <c r="E1524" t="inlineStr">
        <is>
          <t>TORSBY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10662-2023</t>
        </is>
      </c>
      <c r="B1525" s="1" t="n">
        <v>44988</v>
      </c>
      <c r="C1525" s="1" t="n">
        <v>45265</v>
      </c>
      <c r="D1525" t="inlineStr">
        <is>
          <t>VÄRMLANDS LÄN</t>
        </is>
      </c>
      <c r="E1525" t="inlineStr">
        <is>
          <t>TORSBY</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10583-2023</t>
        </is>
      </c>
      <c r="B1526" s="1" t="n">
        <v>44988</v>
      </c>
      <c r="C1526" s="1" t="n">
        <v>45265</v>
      </c>
      <c r="D1526" t="inlineStr">
        <is>
          <t>VÄRMLANDS LÄN</t>
        </is>
      </c>
      <c r="E1526" t="inlineStr">
        <is>
          <t>TORSBY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10666-2023</t>
        </is>
      </c>
      <c r="B1527" s="1" t="n">
        <v>44988</v>
      </c>
      <c r="C1527" s="1" t="n">
        <v>45265</v>
      </c>
      <c r="D1527" t="inlineStr">
        <is>
          <t>VÄRMLANDS LÄN</t>
        </is>
      </c>
      <c r="E1527" t="inlineStr">
        <is>
          <t>TORSBY</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10698-2023</t>
        </is>
      </c>
      <c r="B1528" s="1" t="n">
        <v>44988</v>
      </c>
      <c r="C1528" s="1" t="n">
        <v>45265</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v>
      </c>
      <c r="C1529" s="1" t="n">
        <v>45265</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11366-2023</t>
        </is>
      </c>
      <c r="B1530" s="1" t="n">
        <v>44993</v>
      </c>
      <c r="C1530" s="1" t="n">
        <v>45265</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12441-2023</t>
        </is>
      </c>
      <c r="B1531" s="1" t="n">
        <v>44999</v>
      </c>
      <c r="C1531" s="1" t="n">
        <v>45265</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12453-2023</t>
        </is>
      </c>
      <c r="B1532" s="1" t="n">
        <v>44999</v>
      </c>
      <c r="C1532" s="1" t="n">
        <v>45265</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12458-2023</t>
        </is>
      </c>
      <c r="B1533" s="1" t="n">
        <v>44999</v>
      </c>
      <c r="C1533" s="1" t="n">
        <v>45265</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12467-2023</t>
        </is>
      </c>
      <c r="B1534" s="1" t="n">
        <v>44999</v>
      </c>
      <c r="C1534" s="1" t="n">
        <v>45265</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12689-2023</t>
        </is>
      </c>
      <c r="B1535" s="1" t="n">
        <v>45000</v>
      </c>
      <c r="C1535" s="1" t="n">
        <v>45265</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12637-2023</t>
        </is>
      </c>
      <c r="B1536" s="1" t="n">
        <v>45000</v>
      </c>
      <c r="C1536" s="1" t="n">
        <v>45265</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12670-2023</t>
        </is>
      </c>
      <c r="B1537" s="1" t="n">
        <v>45000</v>
      </c>
      <c r="C1537" s="1" t="n">
        <v>45265</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12933-2023</t>
        </is>
      </c>
      <c r="B1538" s="1" t="n">
        <v>45001</v>
      </c>
      <c r="C1538" s="1" t="n">
        <v>45265</v>
      </c>
      <c r="D1538" t="inlineStr">
        <is>
          <t>VÄRMLANDS LÄN</t>
        </is>
      </c>
      <c r="E1538" t="inlineStr">
        <is>
          <t>TORSBY</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13054-2023</t>
        </is>
      </c>
      <c r="B1539" s="1" t="n">
        <v>45001</v>
      </c>
      <c r="C1539" s="1" t="n">
        <v>45265</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13048-2023</t>
        </is>
      </c>
      <c r="B1540" s="1" t="n">
        <v>45001</v>
      </c>
      <c r="C1540" s="1" t="n">
        <v>45265</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12968-2023</t>
        </is>
      </c>
      <c r="B1541" s="1" t="n">
        <v>45001</v>
      </c>
      <c r="C1541" s="1" t="n">
        <v>45265</v>
      </c>
      <c r="D1541" t="inlineStr">
        <is>
          <t>VÄRMLANDS LÄN</t>
        </is>
      </c>
      <c r="E1541" t="inlineStr">
        <is>
          <t>TORSBY</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13791-2023</t>
        </is>
      </c>
      <c r="B1542" s="1" t="n">
        <v>45005</v>
      </c>
      <c r="C1542" s="1" t="n">
        <v>45265</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13561-2023</t>
        </is>
      </c>
      <c r="B1543" s="1" t="n">
        <v>45006</v>
      </c>
      <c r="C1543" s="1" t="n">
        <v>45265</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13586-2023</t>
        </is>
      </c>
      <c r="B1544" s="1" t="n">
        <v>45006</v>
      </c>
      <c r="C1544" s="1" t="n">
        <v>45265</v>
      </c>
      <c r="D1544" t="inlineStr">
        <is>
          <t>VÄRMLANDS LÄN</t>
        </is>
      </c>
      <c r="E1544" t="inlineStr">
        <is>
          <t>TORSBY</t>
        </is>
      </c>
      <c r="F1544" t="inlineStr">
        <is>
          <t>Kommuner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13785-2023</t>
        </is>
      </c>
      <c r="B1545" s="1" t="n">
        <v>45007</v>
      </c>
      <c r="C1545" s="1" t="n">
        <v>45265</v>
      </c>
      <c r="D1545" t="inlineStr">
        <is>
          <t>VÄRMLANDS LÄN</t>
        </is>
      </c>
      <c r="E1545" t="inlineStr">
        <is>
          <t>TORSBY</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13723-2023</t>
        </is>
      </c>
      <c r="B1546" s="1" t="n">
        <v>45007</v>
      </c>
      <c r="C1546" s="1" t="n">
        <v>45265</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14293-2023</t>
        </is>
      </c>
      <c r="B1547" s="1" t="n">
        <v>45011</v>
      </c>
      <c r="C1547" s="1" t="n">
        <v>45265</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14304-2023</t>
        </is>
      </c>
      <c r="B1548" s="1" t="n">
        <v>45011</v>
      </c>
      <c r="C1548" s="1" t="n">
        <v>45265</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14303-2023</t>
        </is>
      </c>
      <c r="B1549" s="1" t="n">
        <v>45011</v>
      </c>
      <c r="C1549" s="1" t="n">
        <v>45265</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14292-2023</t>
        </is>
      </c>
      <c r="B1550" s="1" t="n">
        <v>45011</v>
      </c>
      <c r="C1550" s="1" t="n">
        <v>45265</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14592-2023</t>
        </is>
      </c>
      <c r="B1551" s="1" t="n">
        <v>45013</v>
      </c>
      <c r="C1551" s="1" t="n">
        <v>45265</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14581-2023</t>
        </is>
      </c>
      <c r="B1552" s="1" t="n">
        <v>45013</v>
      </c>
      <c r="C1552" s="1" t="n">
        <v>45265</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14624-2023</t>
        </is>
      </c>
      <c r="B1553" s="1" t="n">
        <v>45013</v>
      </c>
      <c r="C1553" s="1" t="n">
        <v>45265</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14709-2023</t>
        </is>
      </c>
      <c r="B1554" s="1" t="n">
        <v>45014</v>
      </c>
      <c r="C1554" s="1" t="n">
        <v>45265</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14945-2023</t>
        </is>
      </c>
      <c r="B1555" s="1" t="n">
        <v>45014</v>
      </c>
      <c r="C1555" s="1" t="n">
        <v>45265</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14917-2023</t>
        </is>
      </c>
      <c r="B1556" s="1" t="n">
        <v>45015</v>
      </c>
      <c r="C1556" s="1" t="n">
        <v>45265</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15085-2023</t>
        </is>
      </c>
      <c r="B1557" s="1" t="n">
        <v>45016</v>
      </c>
      <c r="C1557" s="1" t="n">
        <v>45265</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15087-2023</t>
        </is>
      </c>
      <c r="B1558" s="1" t="n">
        <v>45016</v>
      </c>
      <c r="C1558" s="1" t="n">
        <v>45265</v>
      </c>
      <c r="D1558" t="inlineStr">
        <is>
          <t>VÄRMLANDS LÄN</t>
        </is>
      </c>
      <c r="E1558" t="inlineStr">
        <is>
          <t>TORSBY</t>
        </is>
      </c>
      <c r="F1558" t="inlineStr">
        <is>
          <t>Bergvik skog väst AB</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15413-2023</t>
        </is>
      </c>
      <c r="B1559" s="1" t="n">
        <v>45019</v>
      </c>
      <c r="C1559" s="1" t="n">
        <v>45265</v>
      </c>
      <c r="D1559" t="inlineStr">
        <is>
          <t>VÄRMLANDS LÄN</t>
        </is>
      </c>
      <c r="E1559" t="inlineStr">
        <is>
          <t>TORSBY</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15450-2023</t>
        </is>
      </c>
      <c r="B1560" s="1" t="n">
        <v>45020</v>
      </c>
      <c r="C1560" s="1" t="n">
        <v>45265</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15488-2023</t>
        </is>
      </c>
      <c r="B1561" s="1" t="n">
        <v>45020</v>
      </c>
      <c r="C1561" s="1" t="n">
        <v>45265</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15773-2023</t>
        </is>
      </c>
      <c r="B1562" s="1" t="n">
        <v>45021</v>
      </c>
      <c r="C1562" s="1" t="n">
        <v>45265</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16093-2023</t>
        </is>
      </c>
      <c r="B1563" s="1" t="n">
        <v>45021</v>
      </c>
      <c r="C1563" s="1" t="n">
        <v>45265</v>
      </c>
      <c r="D1563" t="inlineStr">
        <is>
          <t>VÄRMLANDS LÄN</t>
        </is>
      </c>
      <c r="E1563" t="inlineStr">
        <is>
          <t>TORSBY</t>
        </is>
      </c>
      <c r="F1563" t="inlineStr">
        <is>
          <t>Övriga statliga verk och myndigheter</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16121-2023</t>
        </is>
      </c>
      <c r="B1564" s="1" t="n">
        <v>45022</v>
      </c>
      <c r="C1564" s="1" t="n">
        <v>45265</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16416-2023</t>
        </is>
      </c>
      <c r="B1565" s="1" t="n">
        <v>45022</v>
      </c>
      <c r="C1565" s="1" t="n">
        <v>45265</v>
      </c>
      <c r="D1565" t="inlineStr">
        <is>
          <t>VÄRMLANDS LÄN</t>
        </is>
      </c>
      <c r="E1565" t="inlineStr">
        <is>
          <t>TORSBY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16433-2023</t>
        </is>
      </c>
      <c r="B1566" s="1" t="n">
        <v>45022</v>
      </c>
      <c r="C1566" s="1" t="n">
        <v>45265</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16427-2023</t>
        </is>
      </c>
      <c r="B1567" s="1" t="n">
        <v>45022</v>
      </c>
      <c r="C1567" s="1" t="n">
        <v>45265</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15992-2023</t>
        </is>
      </c>
      <c r="B1568" s="1" t="n">
        <v>45023</v>
      </c>
      <c r="C1568" s="1" t="n">
        <v>45265</v>
      </c>
      <c r="D1568" t="inlineStr">
        <is>
          <t>VÄRMLANDS LÄN</t>
        </is>
      </c>
      <c r="E1568" t="inlineStr">
        <is>
          <t>TORSBY</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16044-2023</t>
        </is>
      </c>
      <c r="B1569" s="1" t="n">
        <v>45027</v>
      </c>
      <c r="C1569" s="1" t="n">
        <v>45265</v>
      </c>
      <c r="D1569" t="inlineStr">
        <is>
          <t>VÄRMLANDS LÄN</t>
        </is>
      </c>
      <c r="E1569" t="inlineStr">
        <is>
          <t>TORSBY</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16309-2023</t>
        </is>
      </c>
      <c r="B1570" s="1" t="n">
        <v>45028</v>
      </c>
      <c r="C1570" s="1" t="n">
        <v>45265</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16313-2023</t>
        </is>
      </c>
      <c r="B1571" s="1" t="n">
        <v>45028</v>
      </c>
      <c r="C1571" s="1" t="n">
        <v>45265</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16317-2023</t>
        </is>
      </c>
      <c r="B1572" s="1" t="n">
        <v>45028</v>
      </c>
      <c r="C1572" s="1" t="n">
        <v>45265</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16919-2023</t>
        </is>
      </c>
      <c r="B1573" s="1" t="n">
        <v>45033</v>
      </c>
      <c r="C1573" s="1" t="n">
        <v>45265</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16945-2023</t>
        </is>
      </c>
      <c r="B1574" s="1" t="n">
        <v>45033</v>
      </c>
      <c r="C1574" s="1" t="n">
        <v>45265</v>
      </c>
      <c r="D1574" t="inlineStr">
        <is>
          <t>VÄRMLANDS LÄN</t>
        </is>
      </c>
      <c r="E1574" t="inlineStr">
        <is>
          <t>TORSBY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16943-2023</t>
        </is>
      </c>
      <c r="B1575" s="1" t="n">
        <v>45033</v>
      </c>
      <c r="C1575" s="1" t="n">
        <v>45265</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17184-2023</t>
        </is>
      </c>
      <c r="B1576" s="1" t="n">
        <v>45034</v>
      </c>
      <c r="C1576" s="1" t="n">
        <v>45265</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17188-2023</t>
        </is>
      </c>
      <c r="B1577" s="1" t="n">
        <v>45034</v>
      </c>
      <c r="C1577" s="1" t="n">
        <v>45265</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17554-2023</t>
        </is>
      </c>
      <c r="B1578" s="1" t="n">
        <v>45034</v>
      </c>
      <c r="C1578" s="1" t="n">
        <v>45265</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17300-2023</t>
        </is>
      </c>
      <c r="B1579" s="1" t="n">
        <v>45035</v>
      </c>
      <c r="C1579" s="1" t="n">
        <v>45265</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17322-2023</t>
        </is>
      </c>
      <c r="B1580" s="1" t="n">
        <v>45035</v>
      </c>
      <c r="C1580" s="1" t="n">
        <v>45265</v>
      </c>
      <c r="D1580" t="inlineStr">
        <is>
          <t>VÄRMLANDS LÄN</t>
        </is>
      </c>
      <c r="E1580" t="inlineStr">
        <is>
          <t>TORSBY</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17328-2023</t>
        </is>
      </c>
      <c r="B1581" s="1" t="n">
        <v>45035</v>
      </c>
      <c r="C1581" s="1" t="n">
        <v>45265</v>
      </c>
      <c r="D1581" t="inlineStr">
        <is>
          <t>VÄRMLANDS LÄN</t>
        </is>
      </c>
      <c r="E1581" t="inlineStr">
        <is>
          <t>TORSBY</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17548-2023</t>
        </is>
      </c>
      <c r="B1582" s="1" t="n">
        <v>45036</v>
      </c>
      <c r="C1582" s="1" t="n">
        <v>45265</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17488-2023</t>
        </is>
      </c>
      <c r="B1583" s="1" t="n">
        <v>45036</v>
      </c>
      <c r="C1583" s="1" t="n">
        <v>45265</v>
      </c>
      <c r="D1583" t="inlineStr">
        <is>
          <t>VÄRMLANDS LÄN</t>
        </is>
      </c>
      <c r="E1583" t="inlineStr">
        <is>
          <t>TORSBY</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17546-2023</t>
        </is>
      </c>
      <c r="B1584" s="1" t="n">
        <v>45036</v>
      </c>
      <c r="C1584" s="1" t="n">
        <v>45265</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17898-2023</t>
        </is>
      </c>
      <c r="B1585" s="1" t="n">
        <v>45039</v>
      </c>
      <c r="C1585" s="1" t="n">
        <v>45265</v>
      </c>
      <c r="D1585" t="inlineStr">
        <is>
          <t>VÄRMLANDS LÄN</t>
        </is>
      </c>
      <c r="E1585" t="inlineStr">
        <is>
          <t>TORSBY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17897-2023</t>
        </is>
      </c>
      <c r="B1586" s="1" t="n">
        <v>45039</v>
      </c>
      <c r="C1586" s="1" t="n">
        <v>45265</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18244-2023</t>
        </is>
      </c>
      <c r="B1587" s="1" t="n">
        <v>45041</v>
      </c>
      <c r="C1587" s="1" t="n">
        <v>45265</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18338-2023</t>
        </is>
      </c>
      <c r="B1588" s="1" t="n">
        <v>45041</v>
      </c>
      <c r="C1588" s="1" t="n">
        <v>45265</v>
      </c>
      <c r="D1588" t="inlineStr">
        <is>
          <t>VÄRMLANDS LÄN</t>
        </is>
      </c>
      <c r="E1588" t="inlineStr">
        <is>
          <t>TORSBY</t>
        </is>
      </c>
      <c r="F1588" t="inlineStr">
        <is>
          <t>Bergvik skog väst AB</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18544-2023</t>
        </is>
      </c>
      <c r="B1589" s="1" t="n">
        <v>45041</v>
      </c>
      <c r="C1589" s="1" t="n">
        <v>45265</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18411-2023</t>
        </is>
      </c>
      <c r="B1590" s="1" t="n">
        <v>45042</v>
      </c>
      <c r="C1590" s="1" t="n">
        <v>45265</v>
      </c>
      <c r="D1590" t="inlineStr">
        <is>
          <t>VÄRMLANDS LÄN</t>
        </is>
      </c>
      <c r="E1590" t="inlineStr">
        <is>
          <t>TORSBY</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18621-2023</t>
        </is>
      </c>
      <c r="B1591" s="1" t="n">
        <v>45043</v>
      </c>
      <c r="C1591" s="1" t="n">
        <v>45265</v>
      </c>
      <c r="D1591" t="inlineStr">
        <is>
          <t>VÄRMLANDS LÄN</t>
        </is>
      </c>
      <c r="E1591" t="inlineStr">
        <is>
          <t>TORSBY</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18675-2023</t>
        </is>
      </c>
      <c r="B1592" s="1" t="n">
        <v>45043</v>
      </c>
      <c r="C1592" s="1" t="n">
        <v>45265</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18876-2023</t>
        </is>
      </c>
      <c r="B1593" s="1" t="n">
        <v>45044</v>
      </c>
      <c r="C1593" s="1" t="n">
        <v>45265</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19042-2023</t>
        </is>
      </c>
      <c r="B1594" s="1" t="n">
        <v>45047</v>
      </c>
      <c r="C1594" s="1" t="n">
        <v>45265</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19527-2023</t>
        </is>
      </c>
      <c r="B1595" s="1" t="n">
        <v>45050</v>
      </c>
      <c r="C1595" s="1" t="n">
        <v>45265</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19675-2023</t>
        </is>
      </c>
      <c r="B1596" s="1" t="n">
        <v>45051</v>
      </c>
      <c r="C1596" s="1" t="n">
        <v>45265</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19714-2023</t>
        </is>
      </c>
      <c r="B1597" s="1" t="n">
        <v>45051</v>
      </c>
      <c r="C1597" s="1" t="n">
        <v>45265</v>
      </c>
      <c r="D1597" t="inlineStr">
        <is>
          <t>VÄRMLANDS LÄN</t>
        </is>
      </c>
      <c r="E1597" t="inlineStr">
        <is>
          <t>TORSBY</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19998-2023</t>
        </is>
      </c>
      <c r="B1598" s="1" t="n">
        <v>45054</v>
      </c>
      <c r="C1598" s="1" t="n">
        <v>45265</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20130-2023</t>
        </is>
      </c>
      <c r="B1599" s="1" t="n">
        <v>45055</v>
      </c>
      <c r="C1599" s="1" t="n">
        <v>45265</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20107-2023</t>
        </is>
      </c>
      <c r="B1600" s="1" t="n">
        <v>45055</v>
      </c>
      <c r="C1600" s="1" t="n">
        <v>45265</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20120-2023</t>
        </is>
      </c>
      <c r="B1601" s="1" t="n">
        <v>45055</v>
      </c>
      <c r="C1601" s="1" t="n">
        <v>45265</v>
      </c>
      <c r="D1601" t="inlineStr">
        <is>
          <t>VÄRMLANDS LÄN</t>
        </is>
      </c>
      <c r="E1601" t="inlineStr">
        <is>
          <t>TORSBY</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20127-2023</t>
        </is>
      </c>
      <c r="B1602" s="1" t="n">
        <v>45055</v>
      </c>
      <c r="C1602" s="1" t="n">
        <v>45265</v>
      </c>
      <c r="D1602" t="inlineStr">
        <is>
          <t>VÄRMLANDS LÄN</t>
        </is>
      </c>
      <c r="E1602" t="inlineStr">
        <is>
          <t>TORSBY</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20805-2023</t>
        </is>
      </c>
      <c r="B1603" s="1" t="n">
        <v>45055</v>
      </c>
      <c r="C1603" s="1" t="n">
        <v>45265</v>
      </c>
      <c r="D1603" t="inlineStr">
        <is>
          <t>VÄRMLANDS LÄN</t>
        </is>
      </c>
      <c r="E1603" t="inlineStr">
        <is>
          <t>TORSBY</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20293-2023</t>
        </is>
      </c>
      <c r="B1604" s="1" t="n">
        <v>45056</v>
      </c>
      <c r="C1604" s="1" t="n">
        <v>45265</v>
      </c>
      <c r="D1604" t="inlineStr">
        <is>
          <t>VÄRMLANDS LÄN</t>
        </is>
      </c>
      <c r="E1604" t="inlineStr">
        <is>
          <t>TORSBY</t>
        </is>
      </c>
      <c r="F1604" t="inlineStr">
        <is>
          <t>Kyrkan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20321-2023</t>
        </is>
      </c>
      <c r="B1605" s="1" t="n">
        <v>45056</v>
      </c>
      <c r="C1605" s="1" t="n">
        <v>45265</v>
      </c>
      <c r="D1605" t="inlineStr">
        <is>
          <t>VÄRMLANDS LÄN</t>
        </is>
      </c>
      <c r="E1605" t="inlineStr">
        <is>
          <t>TORSBY</t>
        </is>
      </c>
      <c r="F1605" t="inlineStr">
        <is>
          <t>Kyrkan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20393-2023</t>
        </is>
      </c>
      <c r="B1606" s="1" t="n">
        <v>45056</v>
      </c>
      <c r="C1606" s="1" t="n">
        <v>45265</v>
      </c>
      <c r="D1606" t="inlineStr">
        <is>
          <t>VÄRMLANDS LÄN</t>
        </is>
      </c>
      <c r="E1606" t="inlineStr">
        <is>
          <t>TORSBY</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20298-2023</t>
        </is>
      </c>
      <c r="B1607" s="1" t="n">
        <v>45056</v>
      </c>
      <c r="C1607" s="1" t="n">
        <v>45265</v>
      </c>
      <c r="D1607" t="inlineStr">
        <is>
          <t>VÄRMLANDS LÄN</t>
        </is>
      </c>
      <c r="E1607" t="inlineStr">
        <is>
          <t>TORSBY</t>
        </is>
      </c>
      <c r="F1607" t="inlineStr">
        <is>
          <t>Kyrkan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20847-2023</t>
        </is>
      </c>
      <c r="B1608" s="1" t="n">
        <v>45056</v>
      </c>
      <c r="C1608" s="1" t="n">
        <v>45265</v>
      </c>
      <c r="D1608" t="inlineStr">
        <is>
          <t>VÄRMLANDS LÄN</t>
        </is>
      </c>
      <c r="E1608" t="inlineStr">
        <is>
          <t>TORSBY</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20528-2023</t>
        </is>
      </c>
      <c r="B1609" s="1" t="n">
        <v>45057</v>
      </c>
      <c r="C1609" s="1" t="n">
        <v>45265</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20757-2023</t>
        </is>
      </c>
      <c r="B1610" s="1" t="n">
        <v>45058</v>
      </c>
      <c r="C1610" s="1" t="n">
        <v>45265</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20831-2023</t>
        </is>
      </c>
      <c r="B1611" s="1" t="n">
        <v>45058</v>
      </c>
      <c r="C1611" s="1" t="n">
        <v>45265</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20648-2023</t>
        </is>
      </c>
      <c r="B1612" s="1" t="n">
        <v>45058</v>
      </c>
      <c r="C1612" s="1" t="n">
        <v>45265</v>
      </c>
      <c r="D1612" t="inlineStr">
        <is>
          <t>VÄRMLANDS LÄN</t>
        </is>
      </c>
      <c r="E1612" t="inlineStr">
        <is>
          <t>TORSBY</t>
        </is>
      </c>
      <c r="F1612" t="inlineStr">
        <is>
          <t>Kyrkan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20740-2023</t>
        </is>
      </c>
      <c r="B1613" s="1" t="n">
        <v>45058</v>
      </c>
      <c r="C1613" s="1" t="n">
        <v>45265</v>
      </c>
      <c r="D1613" t="inlineStr">
        <is>
          <t>VÄRMLANDS LÄN</t>
        </is>
      </c>
      <c r="E1613" t="inlineStr">
        <is>
          <t>TORSBY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20737-2023</t>
        </is>
      </c>
      <c r="B1614" s="1" t="n">
        <v>45058</v>
      </c>
      <c r="C1614" s="1" t="n">
        <v>45265</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20829-2023</t>
        </is>
      </c>
      <c r="B1615" s="1" t="n">
        <v>45058</v>
      </c>
      <c r="C1615" s="1" t="n">
        <v>45265</v>
      </c>
      <c r="D1615" t="inlineStr">
        <is>
          <t>VÄRMLANDS LÄN</t>
        </is>
      </c>
      <c r="E1615" t="inlineStr">
        <is>
          <t>TORSBY</t>
        </is>
      </c>
      <c r="F1615" t="inlineStr">
        <is>
          <t>Bergvik skog väst AB</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20830-2023</t>
        </is>
      </c>
      <c r="B1616" s="1" t="n">
        <v>45058</v>
      </c>
      <c r="C1616" s="1" t="n">
        <v>45265</v>
      </c>
      <c r="D1616" t="inlineStr">
        <is>
          <t>VÄRMLANDS LÄN</t>
        </is>
      </c>
      <c r="E1616" t="inlineStr">
        <is>
          <t>TORSBY</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20679-2023</t>
        </is>
      </c>
      <c r="B1617" s="1" t="n">
        <v>45058</v>
      </c>
      <c r="C1617" s="1" t="n">
        <v>45265</v>
      </c>
      <c r="D1617" t="inlineStr">
        <is>
          <t>VÄRMLANDS LÄN</t>
        </is>
      </c>
      <c r="E1617" t="inlineStr">
        <is>
          <t>TORSBY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20721-2023</t>
        </is>
      </c>
      <c r="B1618" s="1" t="n">
        <v>45058</v>
      </c>
      <c r="C1618" s="1" t="n">
        <v>45265</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20733-2023</t>
        </is>
      </c>
      <c r="B1619" s="1" t="n">
        <v>45058</v>
      </c>
      <c r="C1619" s="1" t="n">
        <v>45265</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20745-2023</t>
        </is>
      </c>
      <c r="B1620" s="1" t="n">
        <v>45058</v>
      </c>
      <c r="C1620" s="1" t="n">
        <v>45265</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21258-2023</t>
        </is>
      </c>
      <c r="B1621" s="1" t="n">
        <v>45058</v>
      </c>
      <c r="C1621" s="1" t="n">
        <v>45265</v>
      </c>
      <c r="D1621" t="inlineStr">
        <is>
          <t>VÄRMLANDS LÄN</t>
        </is>
      </c>
      <c r="E1621" t="inlineStr">
        <is>
          <t>TORSBY</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21255-2023</t>
        </is>
      </c>
      <c r="B1622" s="1" t="n">
        <v>45058</v>
      </c>
      <c r="C1622" s="1" t="n">
        <v>45265</v>
      </c>
      <c r="D1622" t="inlineStr">
        <is>
          <t>VÄRMLANDS LÄN</t>
        </is>
      </c>
      <c r="E1622" t="inlineStr">
        <is>
          <t>TORSBY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20898-2023</t>
        </is>
      </c>
      <c r="B1623" s="1" t="n">
        <v>45059</v>
      </c>
      <c r="C1623" s="1" t="n">
        <v>45265</v>
      </c>
      <c r="D1623" t="inlineStr">
        <is>
          <t>VÄRMLANDS LÄN</t>
        </is>
      </c>
      <c r="E1623" t="inlineStr">
        <is>
          <t>TORSBY</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21076-2023</t>
        </is>
      </c>
      <c r="B1624" s="1" t="n">
        <v>45061</v>
      </c>
      <c r="C1624" s="1" t="n">
        <v>45265</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21033-2023</t>
        </is>
      </c>
      <c r="B1625" s="1" t="n">
        <v>45061</v>
      </c>
      <c r="C1625" s="1" t="n">
        <v>45265</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21078-2023</t>
        </is>
      </c>
      <c r="B1626" s="1" t="n">
        <v>45061</v>
      </c>
      <c r="C1626" s="1" t="n">
        <v>45265</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21158-2023</t>
        </is>
      </c>
      <c r="B1627" s="1" t="n">
        <v>45062</v>
      </c>
      <c r="C1627" s="1" t="n">
        <v>45265</v>
      </c>
      <c r="D1627" t="inlineStr">
        <is>
          <t>VÄRMLANDS LÄN</t>
        </is>
      </c>
      <c r="E1627" t="inlineStr">
        <is>
          <t>TORSBY</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21189-2023</t>
        </is>
      </c>
      <c r="B1628" s="1" t="n">
        <v>45062</v>
      </c>
      <c r="C1628" s="1" t="n">
        <v>45265</v>
      </c>
      <c r="D1628" t="inlineStr">
        <is>
          <t>VÄRMLANDS LÄN</t>
        </is>
      </c>
      <c r="E1628" t="inlineStr">
        <is>
          <t>TORSBY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21154-2023</t>
        </is>
      </c>
      <c r="B1629" s="1" t="n">
        <v>45062</v>
      </c>
      <c r="C1629" s="1" t="n">
        <v>45265</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21409-2023</t>
        </is>
      </c>
      <c r="B1630" s="1" t="n">
        <v>45063</v>
      </c>
      <c r="C1630" s="1" t="n">
        <v>45265</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21365-2023</t>
        </is>
      </c>
      <c r="B1631" s="1" t="n">
        <v>45063</v>
      </c>
      <c r="C1631" s="1" t="n">
        <v>45265</v>
      </c>
      <c r="D1631" t="inlineStr">
        <is>
          <t>VÄRMLANDS LÄN</t>
        </is>
      </c>
      <c r="E1631" t="inlineStr">
        <is>
          <t>TORSBY</t>
        </is>
      </c>
      <c r="F1631" t="inlineStr">
        <is>
          <t>Kyrkan</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21390-2023</t>
        </is>
      </c>
      <c r="B1632" s="1" t="n">
        <v>45063</v>
      </c>
      <c r="C1632" s="1" t="n">
        <v>45265</v>
      </c>
      <c r="D1632" t="inlineStr">
        <is>
          <t>VÄRMLANDS LÄN</t>
        </is>
      </c>
      <c r="E1632" t="inlineStr">
        <is>
          <t>TORSBY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21411-2023</t>
        </is>
      </c>
      <c r="B1633" s="1" t="n">
        <v>45063</v>
      </c>
      <c r="C1633" s="1" t="n">
        <v>45265</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21786-2023</t>
        </is>
      </c>
      <c r="B1634" s="1" t="n">
        <v>45066</v>
      </c>
      <c r="C1634" s="1" t="n">
        <v>45265</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21790-2023</t>
        </is>
      </c>
      <c r="B1635" s="1" t="n">
        <v>45067</v>
      </c>
      <c r="C1635" s="1" t="n">
        <v>45265</v>
      </c>
      <c r="D1635" t="inlineStr">
        <is>
          <t>VÄRMLANDS LÄN</t>
        </is>
      </c>
      <c r="E1635" t="inlineStr">
        <is>
          <t>TORSBY</t>
        </is>
      </c>
      <c r="F1635" t="inlineStr">
        <is>
          <t>Övriga statliga verk och myndigheter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21839-2023</t>
        </is>
      </c>
      <c r="B1636" s="1" t="n">
        <v>45068</v>
      </c>
      <c r="C1636" s="1" t="n">
        <v>45265</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21847-2023</t>
        </is>
      </c>
      <c r="B1637" s="1" t="n">
        <v>45068</v>
      </c>
      <c r="C1637" s="1" t="n">
        <v>45265</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21988-2023</t>
        </is>
      </c>
      <c r="B1638" s="1" t="n">
        <v>45068</v>
      </c>
      <c r="C1638" s="1" t="n">
        <v>45265</v>
      </c>
      <c r="D1638" t="inlineStr">
        <is>
          <t>VÄRMLANDS LÄN</t>
        </is>
      </c>
      <c r="E1638" t="inlineStr">
        <is>
          <t>TORSBY</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21912-2023</t>
        </is>
      </c>
      <c r="B1639" s="1" t="n">
        <v>45068</v>
      </c>
      <c r="C1639" s="1" t="n">
        <v>45265</v>
      </c>
      <c r="D1639" t="inlineStr">
        <is>
          <t>VÄRMLANDS LÄN</t>
        </is>
      </c>
      <c r="E1639" t="inlineStr">
        <is>
          <t>TORSBY</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22089-2023</t>
        </is>
      </c>
      <c r="B1640" s="1" t="n">
        <v>45069</v>
      </c>
      <c r="C1640" s="1" t="n">
        <v>45265</v>
      </c>
      <c r="D1640" t="inlineStr">
        <is>
          <t>VÄRMLANDS LÄN</t>
        </is>
      </c>
      <c r="E1640" t="inlineStr">
        <is>
          <t>TORSBY</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22030-2023</t>
        </is>
      </c>
      <c r="B1641" s="1" t="n">
        <v>45069</v>
      </c>
      <c r="C1641" s="1" t="n">
        <v>45265</v>
      </c>
      <c r="D1641" t="inlineStr">
        <is>
          <t>VÄRMLANDS LÄN</t>
        </is>
      </c>
      <c r="E1641" t="inlineStr">
        <is>
          <t>TORSBY</t>
        </is>
      </c>
      <c r="F1641" t="inlineStr">
        <is>
          <t>Bergvik skog väst AB</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22038-2023</t>
        </is>
      </c>
      <c r="B1642" s="1" t="n">
        <v>45069</v>
      </c>
      <c r="C1642" s="1" t="n">
        <v>45265</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22033-2023</t>
        </is>
      </c>
      <c r="B1643" s="1" t="n">
        <v>45069</v>
      </c>
      <c r="C1643" s="1" t="n">
        <v>45265</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22386-2023</t>
        </is>
      </c>
      <c r="B1644" s="1" t="n">
        <v>45070</v>
      </c>
      <c r="C1644" s="1" t="n">
        <v>45265</v>
      </c>
      <c r="D1644" t="inlineStr">
        <is>
          <t>VÄRMLANDS LÄN</t>
        </is>
      </c>
      <c r="E1644" t="inlineStr">
        <is>
          <t>TORSBY</t>
        </is>
      </c>
      <c r="F1644" t="inlineStr">
        <is>
          <t>Bergvik skog väst AB</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22301-2023</t>
        </is>
      </c>
      <c r="B1645" s="1" t="n">
        <v>45070</v>
      </c>
      <c r="C1645" s="1" t="n">
        <v>45265</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23073-2023</t>
        </is>
      </c>
      <c r="B1646" s="1" t="n">
        <v>45070</v>
      </c>
      <c r="C1646" s="1" t="n">
        <v>45265</v>
      </c>
      <c r="D1646" t="inlineStr">
        <is>
          <t>VÄRMLANDS LÄN</t>
        </is>
      </c>
      <c r="E1646" t="inlineStr">
        <is>
          <t>TORSBY</t>
        </is>
      </c>
      <c r="G1646" t="n">
        <v>15.1</v>
      </c>
      <c r="H1646" t="n">
        <v>0</v>
      </c>
      <c r="I1646" t="n">
        <v>0</v>
      </c>
      <c r="J1646" t="n">
        <v>0</v>
      </c>
      <c r="K1646" t="n">
        <v>0</v>
      </c>
      <c r="L1646" t="n">
        <v>0</v>
      </c>
      <c r="M1646" t="n">
        <v>0</v>
      </c>
      <c r="N1646" t="n">
        <v>0</v>
      </c>
      <c r="O1646" t="n">
        <v>0</v>
      </c>
      <c r="P1646" t="n">
        <v>0</v>
      </c>
      <c r="Q1646" t="n">
        <v>0</v>
      </c>
      <c r="R1646" s="2" t="inlineStr"/>
    </row>
    <row r="1647" ht="15" customHeight="1">
      <c r="A1647" t="inlineStr">
        <is>
          <t>A 22920-2023</t>
        </is>
      </c>
      <c r="B1647" s="1" t="n">
        <v>45070</v>
      </c>
      <c r="C1647" s="1" t="n">
        <v>45265</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22494-2023</t>
        </is>
      </c>
      <c r="B1648" s="1" t="n">
        <v>45071</v>
      </c>
      <c r="C1648" s="1" t="n">
        <v>45265</v>
      </c>
      <c r="D1648" t="inlineStr">
        <is>
          <t>VÄRMLANDS LÄN</t>
        </is>
      </c>
      <c r="E1648" t="inlineStr">
        <is>
          <t>TORSBY</t>
        </is>
      </c>
      <c r="F1648" t="inlineStr">
        <is>
          <t>Bergvik skog väst AB</t>
        </is>
      </c>
      <c r="G1648" t="n">
        <v>25.7</v>
      </c>
      <c r="H1648" t="n">
        <v>0</v>
      </c>
      <c r="I1648" t="n">
        <v>0</v>
      </c>
      <c r="J1648" t="n">
        <v>0</v>
      </c>
      <c r="K1648" t="n">
        <v>0</v>
      </c>
      <c r="L1648" t="n">
        <v>0</v>
      </c>
      <c r="M1648" t="n">
        <v>0</v>
      </c>
      <c r="N1648" t="n">
        <v>0</v>
      </c>
      <c r="O1648" t="n">
        <v>0</v>
      </c>
      <c r="P1648" t="n">
        <v>0</v>
      </c>
      <c r="Q1648" t="n">
        <v>0</v>
      </c>
      <c r="R1648" s="2" t="inlineStr"/>
    </row>
    <row r="1649" ht="15" customHeight="1">
      <c r="A1649" t="inlineStr">
        <is>
          <t>A 22524-2023</t>
        </is>
      </c>
      <c r="B1649" s="1" t="n">
        <v>45071</v>
      </c>
      <c r="C1649" s="1" t="n">
        <v>45265</v>
      </c>
      <c r="D1649" t="inlineStr">
        <is>
          <t>VÄRMLANDS LÄN</t>
        </is>
      </c>
      <c r="E1649" t="inlineStr">
        <is>
          <t>TORSBY</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22587-2023</t>
        </is>
      </c>
      <c r="B1650" s="1" t="n">
        <v>45071</v>
      </c>
      <c r="C1650" s="1" t="n">
        <v>45265</v>
      </c>
      <c r="D1650" t="inlineStr">
        <is>
          <t>VÄRMLANDS LÄN</t>
        </is>
      </c>
      <c r="E1650" t="inlineStr">
        <is>
          <t>TORSBY</t>
        </is>
      </c>
      <c r="F1650" t="inlineStr">
        <is>
          <t>Bergvik skog väst AB</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22618-2023</t>
        </is>
      </c>
      <c r="B1651" s="1" t="n">
        <v>45071</v>
      </c>
      <c r="C1651" s="1" t="n">
        <v>45265</v>
      </c>
      <c r="D1651" t="inlineStr">
        <is>
          <t>VÄRMLANDS LÄN</t>
        </is>
      </c>
      <c r="E1651" t="inlineStr">
        <is>
          <t>TORSBY</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22655-2023</t>
        </is>
      </c>
      <c r="B1652" s="1" t="n">
        <v>45071</v>
      </c>
      <c r="C1652" s="1" t="n">
        <v>45265</v>
      </c>
      <c r="D1652" t="inlineStr">
        <is>
          <t>VÄRMLANDS LÄN</t>
        </is>
      </c>
      <c r="E1652" t="inlineStr">
        <is>
          <t>TORSBY</t>
        </is>
      </c>
      <c r="F1652" t="inlineStr">
        <is>
          <t>Bergvik skog väst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22705-2023</t>
        </is>
      </c>
      <c r="B1653" s="1" t="n">
        <v>45071</v>
      </c>
      <c r="C1653" s="1" t="n">
        <v>45265</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22687-2023</t>
        </is>
      </c>
      <c r="B1654" s="1" t="n">
        <v>45071</v>
      </c>
      <c r="C1654" s="1" t="n">
        <v>45265</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22634-2023</t>
        </is>
      </c>
      <c r="B1655" s="1" t="n">
        <v>45071</v>
      </c>
      <c r="C1655" s="1" t="n">
        <v>45265</v>
      </c>
      <c r="D1655" t="inlineStr">
        <is>
          <t>VÄRMLANDS LÄN</t>
        </is>
      </c>
      <c r="E1655" t="inlineStr">
        <is>
          <t>TORSBY</t>
        </is>
      </c>
      <c r="F1655" t="inlineStr">
        <is>
          <t>Bergvik skog väst AB</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22675-2023</t>
        </is>
      </c>
      <c r="B1656" s="1" t="n">
        <v>45071</v>
      </c>
      <c r="C1656" s="1" t="n">
        <v>45265</v>
      </c>
      <c r="D1656" t="inlineStr">
        <is>
          <t>VÄRMLANDS LÄN</t>
        </is>
      </c>
      <c r="E1656" t="inlineStr">
        <is>
          <t>TORSBY</t>
        </is>
      </c>
      <c r="F1656" t="inlineStr">
        <is>
          <t>Bergvik skog väst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22702-2023</t>
        </is>
      </c>
      <c r="B1657" s="1" t="n">
        <v>45071</v>
      </c>
      <c r="C1657" s="1" t="n">
        <v>45265</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22939-2023</t>
        </is>
      </c>
      <c r="B1658" s="1" t="n">
        <v>45072</v>
      </c>
      <c r="C1658" s="1" t="n">
        <v>45265</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22943-2023</t>
        </is>
      </c>
      <c r="B1659" s="1" t="n">
        <v>45072</v>
      </c>
      <c r="C1659" s="1" t="n">
        <v>45265</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23572-2023</t>
        </is>
      </c>
      <c r="B1660" s="1" t="n">
        <v>45077</v>
      </c>
      <c r="C1660" s="1" t="n">
        <v>45265</v>
      </c>
      <c r="D1660" t="inlineStr">
        <is>
          <t>VÄRMLANDS LÄN</t>
        </is>
      </c>
      <c r="E1660" t="inlineStr">
        <is>
          <t>TORSBY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23624-2023</t>
        </is>
      </c>
      <c r="B1661" s="1" t="n">
        <v>45077</v>
      </c>
      <c r="C1661" s="1" t="n">
        <v>45265</v>
      </c>
      <c r="D1661" t="inlineStr">
        <is>
          <t>VÄRMLANDS LÄN</t>
        </is>
      </c>
      <c r="E1661" t="inlineStr">
        <is>
          <t>TORSBY</t>
        </is>
      </c>
      <c r="F1661" t="inlineStr">
        <is>
          <t>Bergvik skog väst AB</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23894-2023</t>
        </is>
      </c>
      <c r="B1662" s="1" t="n">
        <v>45078</v>
      </c>
      <c r="C1662" s="1" t="n">
        <v>45265</v>
      </c>
      <c r="D1662" t="inlineStr">
        <is>
          <t>VÄRMLANDS LÄN</t>
        </is>
      </c>
      <c r="E1662" t="inlineStr">
        <is>
          <t>TORSBY</t>
        </is>
      </c>
      <c r="F1662" t="inlineStr">
        <is>
          <t>Bergvik skog väst AB</t>
        </is>
      </c>
      <c r="G1662" t="n">
        <v>14.9</v>
      </c>
      <c r="H1662" t="n">
        <v>0</v>
      </c>
      <c r="I1662" t="n">
        <v>0</v>
      </c>
      <c r="J1662" t="n">
        <v>0</v>
      </c>
      <c r="K1662" t="n">
        <v>0</v>
      </c>
      <c r="L1662" t="n">
        <v>0</v>
      </c>
      <c r="M1662" t="n">
        <v>0</v>
      </c>
      <c r="N1662" t="n">
        <v>0</v>
      </c>
      <c r="O1662" t="n">
        <v>0</v>
      </c>
      <c r="P1662" t="n">
        <v>0</v>
      </c>
      <c r="Q1662" t="n">
        <v>0</v>
      </c>
      <c r="R1662" s="2" t="inlineStr"/>
    </row>
    <row r="1663" ht="15" customHeight="1">
      <c r="A1663" t="inlineStr">
        <is>
          <t>A 23912-2023</t>
        </is>
      </c>
      <c r="B1663" s="1" t="n">
        <v>45078</v>
      </c>
      <c r="C1663" s="1" t="n">
        <v>45265</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24244-2023</t>
        </is>
      </c>
      <c r="B1664" s="1" t="n">
        <v>45079</v>
      </c>
      <c r="C1664" s="1" t="n">
        <v>45265</v>
      </c>
      <c r="D1664" t="inlineStr">
        <is>
          <t>VÄRMLANDS LÄN</t>
        </is>
      </c>
      <c r="E1664" t="inlineStr">
        <is>
          <t>TORSBY</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24170-2023</t>
        </is>
      </c>
      <c r="B1665" s="1" t="n">
        <v>45079</v>
      </c>
      <c r="C1665" s="1" t="n">
        <v>45265</v>
      </c>
      <c r="D1665" t="inlineStr">
        <is>
          <t>VÄRMLANDS LÄN</t>
        </is>
      </c>
      <c r="E1665" t="inlineStr">
        <is>
          <t>TORSBY</t>
        </is>
      </c>
      <c r="F1665" t="inlineStr">
        <is>
          <t>Bergvik skog väst AB</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24101-2023</t>
        </is>
      </c>
      <c r="B1666" s="1" t="n">
        <v>45079</v>
      </c>
      <c r="C1666" s="1" t="n">
        <v>45265</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24196-2023</t>
        </is>
      </c>
      <c r="B1667" s="1" t="n">
        <v>45079</v>
      </c>
      <c r="C1667" s="1" t="n">
        <v>45265</v>
      </c>
      <c r="D1667" t="inlineStr">
        <is>
          <t>VÄRMLANDS LÄN</t>
        </is>
      </c>
      <c r="E1667" t="inlineStr">
        <is>
          <t>TORSBY</t>
        </is>
      </c>
      <c r="F1667" t="inlineStr">
        <is>
          <t>Bergvik skog väst AB</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24518-2023</t>
        </is>
      </c>
      <c r="B1668" s="1" t="n">
        <v>45082</v>
      </c>
      <c r="C1668" s="1" t="n">
        <v>45265</v>
      </c>
      <c r="D1668" t="inlineStr">
        <is>
          <t>VÄRMLANDS LÄN</t>
        </is>
      </c>
      <c r="E1668" t="inlineStr">
        <is>
          <t>TORSBY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24696-2023</t>
        </is>
      </c>
      <c r="B1669" s="1" t="n">
        <v>45084</v>
      </c>
      <c r="C1669" s="1" t="n">
        <v>45265</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24639-2023</t>
        </is>
      </c>
      <c r="B1670" s="1" t="n">
        <v>45084</v>
      </c>
      <c r="C1670" s="1" t="n">
        <v>45265</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24643-2023</t>
        </is>
      </c>
      <c r="B1671" s="1" t="n">
        <v>45084</v>
      </c>
      <c r="C1671" s="1" t="n">
        <v>45265</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24703-2023</t>
        </is>
      </c>
      <c r="B1672" s="1" t="n">
        <v>45084</v>
      </c>
      <c r="C1672" s="1" t="n">
        <v>45265</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24849-2023</t>
        </is>
      </c>
      <c r="B1673" s="1" t="n">
        <v>45085</v>
      </c>
      <c r="C1673" s="1" t="n">
        <v>45265</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24896-2023</t>
        </is>
      </c>
      <c r="B1674" s="1" t="n">
        <v>45085</v>
      </c>
      <c r="C1674" s="1" t="n">
        <v>45265</v>
      </c>
      <c r="D1674" t="inlineStr">
        <is>
          <t>VÄRMLANDS LÄN</t>
        </is>
      </c>
      <c r="E1674" t="inlineStr">
        <is>
          <t>TORSBY</t>
        </is>
      </c>
      <c r="F1674" t="inlineStr">
        <is>
          <t>Bergvik skog väst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24876-2023</t>
        </is>
      </c>
      <c r="B1675" s="1" t="n">
        <v>45085</v>
      </c>
      <c r="C1675" s="1" t="n">
        <v>45265</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24909-2023</t>
        </is>
      </c>
      <c r="B1676" s="1" t="n">
        <v>45085</v>
      </c>
      <c r="C1676" s="1" t="n">
        <v>45265</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24897-2023</t>
        </is>
      </c>
      <c r="B1677" s="1" t="n">
        <v>45085</v>
      </c>
      <c r="C1677" s="1" t="n">
        <v>45265</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24847-2023</t>
        </is>
      </c>
      <c r="B1678" s="1" t="n">
        <v>45085</v>
      </c>
      <c r="C1678" s="1" t="n">
        <v>45265</v>
      </c>
      <c r="D1678" t="inlineStr">
        <is>
          <t>VÄRMLANDS LÄN</t>
        </is>
      </c>
      <c r="E1678" t="inlineStr">
        <is>
          <t>TORSBY</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24965-2023</t>
        </is>
      </c>
      <c r="B1679" s="1" t="n">
        <v>45085</v>
      </c>
      <c r="C1679" s="1" t="n">
        <v>45265</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24969-2023</t>
        </is>
      </c>
      <c r="B1680" s="1" t="n">
        <v>45085</v>
      </c>
      <c r="C1680" s="1" t="n">
        <v>45265</v>
      </c>
      <c r="D1680" t="inlineStr">
        <is>
          <t>VÄRMLANDS LÄN</t>
        </is>
      </c>
      <c r="E1680" t="inlineStr">
        <is>
          <t>TORSBY</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25001-2023</t>
        </is>
      </c>
      <c r="B1681" s="1" t="n">
        <v>45085</v>
      </c>
      <c r="C1681" s="1" t="n">
        <v>45265</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25068-2023</t>
        </is>
      </c>
      <c r="B1682" s="1" t="n">
        <v>45085</v>
      </c>
      <c r="C1682" s="1" t="n">
        <v>45265</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25163-2023</t>
        </is>
      </c>
      <c r="B1683" s="1" t="n">
        <v>45086</v>
      </c>
      <c r="C1683" s="1" t="n">
        <v>45265</v>
      </c>
      <c r="D1683" t="inlineStr">
        <is>
          <t>VÄRMLANDS LÄN</t>
        </is>
      </c>
      <c r="E1683" t="inlineStr">
        <is>
          <t>TORSBY</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25088-2023</t>
        </is>
      </c>
      <c r="B1684" s="1" t="n">
        <v>45086</v>
      </c>
      <c r="C1684" s="1" t="n">
        <v>45265</v>
      </c>
      <c r="D1684" t="inlineStr">
        <is>
          <t>VÄRMLANDS LÄN</t>
        </is>
      </c>
      <c r="E1684" t="inlineStr">
        <is>
          <t>TORSBY</t>
        </is>
      </c>
      <c r="F1684" t="inlineStr">
        <is>
          <t>Bergvik skog väst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25090-2023</t>
        </is>
      </c>
      <c r="B1685" s="1" t="n">
        <v>45086</v>
      </c>
      <c r="C1685" s="1" t="n">
        <v>45265</v>
      </c>
      <c r="D1685" t="inlineStr">
        <is>
          <t>VÄRMLANDS LÄN</t>
        </is>
      </c>
      <c r="E1685" t="inlineStr">
        <is>
          <t>TORSBY</t>
        </is>
      </c>
      <c r="F1685" t="inlineStr">
        <is>
          <t>Bergvik skog väst AB</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25261-2023</t>
        </is>
      </c>
      <c r="B1686" s="1" t="n">
        <v>45086</v>
      </c>
      <c r="C1686" s="1" t="n">
        <v>45265</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25344-2023</t>
        </is>
      </c>
      <c r="B1687" s="1" t="n">
        <v>45087</v>
      </c>
      <c r="C1687" s="1" t="n">
        <v>45265</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25579-2023</t>
        </is>
      </c>
      <c r="B1688" s="1" t="n">
        <v>45089</v>
      </c>
      <c r="C1688" s="1" t="n">
        <v>45265</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26466-2023</t>
        </is>
      </c>
      <c r="B1689" s="1" t="n">
        <v>45089</v>
      </c>
      <c r="C1689" s="1" t="n">
        <v>45265</v>
      </c>
      <c r="D1689" t="inlineStr">
        <is>
          <t>VÄRMLANDS LÄN</t>
        </is>
      </c>
      <c r="E1689" t="inlineStr">
        <is>
          <t>TORSBY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26340-2023</t>
        </is>
      </c>
      <c r="B1690" s="1" t="n">
        <v>45091</v>
      </c>
      <c r="C1690" s="1" t="n">
        <v>45265</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26343-2023</t>
        </is>
      </c>
      <c r="B1691" s="1" t="n">
        <v>45091</v>
      </c>
      <c r="C1691" s="1" t="n">
        <v>45265</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26327-2023</t>
        </is>
      </c>
      <c r="B1692" s="1" t="n">
        <v>45091</v>
      </c>
      <c r="C1692" s="1" t="n">
        <v>45265</v>
      </c>
      <c r="D1692" t="inlineStr">
        <is>
          <t>VÄRMLANDS LÄN</t>
        </is>
      </c>
      <c r="E1692" t="inlineStr">
        <is>
          <t>TORSBY</t>
        </is>
      </c>
      <c r="F1692" t="inlineStr">
        <is>
          <t>Bergvik skog väst AB</t>
        </is>
      </c>
      <c r="G1692" t="n">
        <v>33.4</v>
      </c>
      <c r="H1692" t="n">
        <v>0</v>
      </c>
      <c r="I1692" t="n">
        <v>0</v>
      </c>
      <c r="J1692" t="n">
        <v>0</v>
      </c>
      <c r="K1692" t="n">
        <v>0</v>
      </c>
      <c r="L1692" t="n">
        <v>0</v>
      </c>
      <c r="M1692" t="n">
        <v>0</v>
      </c>
      <c r="N1692" t="n">
        <v>0</v>
      </c>
      <c r="O1692" t="n">
        <v>0</v>
      </c>
      <c r="P1692" t="n">
        <v>0</v>
      </c>
      <c r="Q1692" t="n">
        <v>0</v>
      </c>
      <c r="R1692" s="2" t="inlineStr"/>
    </row>
    <row r="1693" ht="15" customHeight="1">
      <c r="A1693" t="inlineStr">
        <is>
          <t>A 26080-2023</t>
        </is>
      </c>
      <c r="B1693" s="1" t="n">
        <v>45091</v>
      </c>
      <c r="C1693" s="1" t="n">
        <v>45265</v>
      </c>
      <c r="D1693" t="inlineStr">
        <is>
          <t>VÄRMLANDS LÄN</t>
        </is>
      </c>
      <c r="E1693" t="inlineStr">
        <is>
          <t>TORSBY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26092-2023</t>
        </is>
      </c>
      <c r="B1694" s="1" t="n">
        <v>45091</v>
      </c>
      <c r="C1694" s="1" t="n">
        <v>45265</v>
      </c>
      <c r="D1694" t="inlineStr">
        <is>
          <t>VÄRMLANDS LÄN</t>
        </is>
      </c>
      <c r="E1694" t="inlineStr">
        <is>
          <t>TORSBY</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26979-2023</t>
        </is>
      </c>
      <c r="B1695" s="1" t="n">
        <v>45091</v>
      </c>
      <c r="C1695" s="1" t="n">
        <v>45265</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26376-2023</t>
        </is>
      </c>
      <c r="B1696" s="1" t="n">
        <v>45092</v>
      </c>
      <c r="C1696" s="1" t="n">
        <v>45265</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26616-2023</t>
        </is>
      </c>
      <c r="B1697" s="1" t="n">
        <v>45092</v>
      </c>
      <c r="C1697" s="1" t="n">
        <v>45265</v>
      </c>
      <c r="D1697" t="inlineStr">
        <is>
          <t>VÄRMLANDS LÄN</t>
        </is>
      </c>
      <c r="E1697" t="inlineStr">
        <is>
          <t>TORSBY</t>
        </is>
      </c>
      <c r="F1697" t="inlineStr">
        <is>
          <t>Bergvik skog väst AB</t>
        </is>
      </c>
      <c r="G1697" t="n">
        <v>30.3</v>
      </c>
      <c r="H1697" t="n">
        <v>0</v>
      </c>
      <c r="I1697" t="n">
        <v>0</v>
      </c>
      <c r="J1697" t="n">
        <v>0</v>
      </c>
      <c r="K1697" t="n">
        <v>0</v>
      </c>
      <c r="L1697" t="n">
        <v>0</v>
      </c>
      <c r="M1697" t="n">
        <v>0</v>
      </c>
      <c r="N1697" t="n">
        <v>0</v>
      </c>
      <c r="O1697" t="n">
        <v>0</v>
      </c>
      <c r="P1697" t="n">
        <v>0</v>
      </c>
      <c r="Q1697" t="n">
        <v>0</v>
      </c>
      <c r="R1697" s="2" t="inlineStr"/>
    </row>
    <row r="1698" ht="15" customHeight="1">
      <c r="A1698" t="inlineStr">
        <is>
          <t>A 26814-2023</t>
        </is>
      </c>
      <c r="B1698" s="1" t="n">
        <v>45093</v>
      </c>
      <c r="C1698" s="1" t="n">
        <v>45265</v>
      </c>
      <c r="D1698" t="inlineStr">
        <is>
          <t>VÄRMLANDS LÄN</t>
        </is>
      </c>
      <c r="E1698" t="inlineStr">
        <is>
          <t>TORSBY</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26753-2023</t>
        </is>
      </c>
      <c r="B1699" s="1" t="n">
        <v>45093</v>
      </c>
      <c r="C1699" s="1" t="n">
        <v>45265</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26855-2023</t>
        </is>
      </c>
      <c r="B1700" s="1" t="n">
        <v>45093</v>
      </c>
      <c r="C1700" s="1" t="n">
        <v>45265</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27195-2023</t>
        </is>
      </c>
      <c r="B1701" s="1" t="n">
        <v>45096</v>
      </c>
      <c r="C1701" s="1" t="n">
        <v>45265</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27332-2023</t>
        </is>
      </c>
      <c r="B1702" s="1" t="n">
        <v>45096</v>
      </c>
      <c r="C1702" s="1" t="n">
        <v>45265</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27472-2023</t>
        </is>
      </c>
      <c r="B1703" s="1" t="n">
        <v>45097</v>
      </c>
      <c r="C1703" s="1" t="n">
        <v>45265</v>
      </c>
      <c r="D1703" t="inlineStr">
        <is>
          <t>VÄRMLANDS LÄN</t>
        </is>
      </c>
      <c r="E1703" t="inlineStr">
        <is>
          <t>TORSBY</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27594-2023</t>
        </is>
      </c>
      <c r="B1704" s="1" t="n">
        <v>45097</v>
      </c>
      <c r="C1704" s="1" t="n">
        <v>45265</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27458-2023</t>
        </is>
      </c>
      <c r="B1705" s="1" t="n">
        <v>45097</v>
      </c>
      <c r="C1705" s="1" t="n">
        <v>45265</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27787-2023</t>
        </is>
      </c>
      <c r="B1706" s="1" t="n">
        <v>45098</v>
      </c>
      <c r="C1706" s="1" t="n">
        <v>45265</v>
      </c>
      <c r="D1706" t="inlineStr">
        <is>
          <t>VÄRMLANDS LÄN</t>
        </is>
      </c>
      <c r="E1706" t="inlineStr">
        <is>
          <t>TORSBY</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27837-2023</t>
        </is>
      </c>
      <c r="B1707" s="1" t="n">
        <v>45098</v>
      </c>
      <c r="C1707" s="1" t="n">
        <v>45265</v>
      </c>
      <c r="D1707" t="inlineStr">
        <is>
          <t>VÄRMLANDS LÄN</t>
        </is>
      </c>
      <c r="E1707" t="inlineStr">
        <is>
          <t>TORSBY</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27851-2023</t>
        </is>
      </c>
      <c r="B1708" s="1" t="n">
        <v>45098</v>
      </c>
      <c r="C1708" s="1" t="n">
        <v>45265</v>
      </c>
      <c r="D1708" t="inlineStr">
        <is>
          <t>VÄRMLANDS LÄN</t>
        </is>
      </c>
      <c r="E1708" t="inlineStr">
        <is>
          <t>TORSBY</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27920-2023</t>
        </is>
      </c>
      <c r="B1709" s="1" t="n">
        <v>45098</v>
      </c>
      <c r="C1709" s="1" t="n">
        <v>45265</v>
      </c>
      <c r="D1709" t="inlineStr">
        <is>
          <t>VÄRMLANDS LÄN</t>
        </is>
      </c>
      <c r="E1709" t="inlineStr">
        <is>
          <t>TORSBY</t>
        </is>
      </c>
      <c r="F1709" t="inlineStr">
        <is>
          <t>Kyrkan</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28045-2023</t>
        </is>
      </c>
      <c r="B1710" s="1" t="n">
        <v>45099</v>
      </c>
      <c r="C1710" s="1" t="n">
        <v>45265</v>
      </c>
      <c r="D1710" t="inlineStr">
        <is>
          <t>VÄRMLANDS LÄN</t>
        </is>
      </c>
      <c r="E1710" t="inlineStr">
        <is>
          <t>TORSBY</t>
        </is>
      </c>
      <c r="F1710" t="inlineStr">
        <is>
          <t>Bergvik skog väst AB</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28074-2023</t>
        </is>
      </c>
      <c r="B1711" s="1" t="n">
        <v>45099</v>
      </c>
      <c r="C1711" s="1" t="n">
        <v>45265</v>
      </c>
      <c r="D1711" t="inlineStr">
        <is>
          <t>VÄRMLANDS LÄN</t>
        </is>
      </c>
      <c r="E1711" t="inlineStr">
        <is>
          <t>TORSBY</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28092-2023</t>
        </is>
      </c>
      <c r="B1712" s="1" t="n">
        <v>45099</v>
      </c>
      <c r="C1712" s="1" t="n">
        <v>45265</v>
      </c>
      <c r="D1712" t="inlineStr">
        <is>
          <t>VÄRMLANDS LÄN</t>
        </is>
      </c>
      <c r="E1712" t="inlineStr">
        <is>
          <t>TORSBY</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28251-2023</t>
        </is>
      </c>
      <c r="B1713" s="1" t="n">
        <v>45099</v>
      </c>
      <c r="C1713" s="1" t="n">
        <v>45265</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30142-2023</t>
        </is>
      </c>
      <c r="B1714" s="1" t="n">
        <v>45099</v>
      </c>
      <c r="C1714" s="1" t="n">
        <v>45265</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30148-2023</t>
        </is>
      </c>
      <c r="B1715" s="1" t="n">
        <v>45099</v>
      </c>
      <c r="C1715" s="1" t="n">
        <v>45265</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30151-2023</t>
        </is>
      </c>
      <c r="B1716" s="1" t="n">
        <v>45099</v>
      </c>
      <c r="C1716" s="1" t="n">
        <v>45265</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28598-2023</t>
        </is>
      </c>
      <c r="B1717" s="1" t="n">
        <v>45103</v>
      </c>
      <c r="C1717" s="1" t="n">
        <v>45265</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28652-2023</t>
        </is>
      </c>
      <c r="B1718" s="1" t="n">
        <v>45103</v>
      </c>
      <c r="C1718" s="1" t="n">
        <v>45265</v>
      </c>
      <c r="D1718" t="inlineStr">
        <is>
          <t>VÄRMLANDS LÄN</t>
        </is>
      </c>
      <c r="E1718" t="inlineStr">
        <is>
          <t>TORSBY</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28818-2023</t>
        </is>
      </c>
      <c r="B1719" s="1" t="n">
        <v>45104</v>
      </c>
      <c r="C1719" s="1" t="n">
        <v>45265</v>
      </c>
      <c r="D1719" t="inlineStr">
        <is>
          <t>VÄRMLANDS LÄN</t>
        </is>
      </c>
      <c r="E1719" t="inlineStr">
        <is>
          <t>TORSBY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28869-2023</t>
        </is>
      </c>
      <c r="B1720" s="1" t="n">
        <v>45104</v>
      </c>
      <c r="C1720" s="1" t="n">
        <v>45265</v>
      </c>
      <c r="D1720" t="inlineStr">
        <is>
          <t>VÄRMLANDS LÄN</t>
        </is>
      </c>
      <c r="E1720" t="inlineStr">
        <is>
          <t>TORSBY</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28948-2023</t>
        </is>
      </c>
      <c r="B1721" s="1" t="n">
        <v>45104</v>
      </c>
      <c r="C1721" s="1" t="n">
        <v>45265</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28814-2023</t>
        </is>
      </c>
      <c r="B1722" s="1" t="n">
        <v>45104</v>
      </c>
      <c r="C1722" s="1" t="n">
        <v>45265</v>
      </c>
      <c r="D1722" t="inlineStr">
        <is>
          <t>VÄRMLANDS LÄN</t>
        </is>
      </c>
      <c r="E1722" t="inlineStr">
        <is>
          <t>TORSBY</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29043-2023</t>
        </is>
      </c>
      <c r="B1723" s="1" t="n">
        <v>45104</v>
      </c>
      <c r="C1723" s="1" t="n">
        <v>45265</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29042-2023</t>
        </is>
      </c>
      <c r="B1724" s="1" t="n">
        <v>45104</v>
      </c>
      <c r="C1724" s="1" t="n">
        <v>45265</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29137-2023</t>
        </is>
      </c>
      <c r="B1725" s="1" t="n">
        <v>45105</v>
      </c>
      <c r="C1725" s="1" t="n">
        <v>45265</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29256-2023</t>
        </is>
      </c>
      <c r="B1726" s="1" t="n">
        <v>45105</v>
      </c>
      <c r="C1726" s="1" t="n">
        <v>45265</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29506-2023</t>
        </is>
      </c>
      <c r="B1727" s="1" t="n">
        <v>45106</v>
      </c>
      <c r="C1727" s="1" t="n">
        <v>45265</v>
      </c>
      <c r="D1727" t="inlineStr">
        <is>
          <t>VÄRMLANDS LÄN</t>
        </is>
      </c>
      <c r="E1727" t="inlineStr">
        <is>
          <t>TORSBY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29581-2023</t>
        </is>
      </c>
      <c r="B1728" s="1" t="n">
        <v>45106</v>
      </c>
      <c r="C1728" s="1" t="n">
        <v>45265</v>
      </c>
      <c r="D1728" t="inlineStr">
        <is>
          <t>VÄRMLANDS LÄN</t>
        </is>
      </c>
      <c r="E1728" t="inlineStr">
        <is>
          <t>TORSBY</t>
        </is>
      </c>
      <c r="F1728" t="inlineStr">
        <is>
          <t>Bergvik skog väst AB</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29594-2023</t>
        </is>
      </c>
      <c r="B1729" s="1" t="n">
        <v>45107</v>
      </c>
      <c r="C1729" s="1" t="n">
        <v>45265</v>
      </c>
      <c r="D1729" t="inlineStr">
        <is>
          <t>VÄRMLANDS LÄN</t>
        </is>
      </c>
      <c r="E1729" t="inlineStr">
        <is>
          <t>TORSBY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29545-2023</t>
        </is>
      </c>
      <c r="B1730" s="1" t="n">
        <v>45106</v>
      </c>
      <c r="C1730" s="1" t="n">
        <v>45265</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31858-2023</t>
        </is>
      </c>
      <c r="B1731" s="1" t="n">
        <v>45106</v>
      </c>
      <c r="C1731" s="1" t="n">
        <v>45265</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29792-2023</t>
        </is>
      </c>
      <c r="B1732" s="1" t="n">
        <v>45107</v>
      </c>
      <c r="C1732" s="1" t="n">
        <v>45265</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29796-2023</t>
        </is>
      </c>
      <c r="B1733" s="1" t="n">
        <v>45107</v>
      </c>
      <c r="C1733" s="1" t="n">
        <v>45265</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29795-2023</t>
        </is>
      </c>
      <c r="B1734" s="1" t="n">
        <v>45107</v>
      </c>
      <c r="C1734" s="1" t="n">
        <v>45265</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31936-2023</t>
        </is>
      </c>
      <c r="B1735" s="1" t="n">
        <v>45107</v>
      </c>
      <c r="C1735" s="1" t="n">
        <v>45265</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30208-2023</t>
        </is>
      </c>
      <c r="B1736" s="1" t="n">
        <v>45110</v>
      </c>
      <c r="C1736" s="1" t="n">
        <v>45265</v>
      </c>
      <c r="D1736" t="inlineStr">
        <is>
          <t>VÄRMLANDS LÄN</t>
        </is>
      </c>
      <c r="E1736" t="inlineStr">
        <is>
          <t>TORSBY</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30213-2023</t>
        </is>
      </c>
      <c r="B1737" s="1" t="n">
        <v>45110</v>
      </c>
      <c r="C1737" s="1" t="n">
        <v>45265</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30267-2023</t>
        </is>
      </c>
      <c r="B1738" s="1" t="n">
        <v>45110</v>
      </c>
      <c r="C1738" s="1" t="n">
        <v>45265</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30104-2023</t>
        </is>
      </c>
      <c r="B1739" s="1" t="n">
        <v>45110</v>
      </c>
      <c r="C1739" s="1" t="n">
        <v>45265</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32332-2023</t>
        </is>
      </c>
      <c r="B1740" s="1" t="n">
        <v>45110</v>
      </c>
      <c r="C1740" s="1" t="n">
        <v>45265</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30160-2023</t>
        </is>
      </c>
      <c r="B1741" s="1" t="n">
        <v>45110</v>
      </c>
      <c r="C1741" s="1" t="n">
        <v>45265</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30269-2023</t>
        </is>
      </c>
      <c r="B1742" s="1" t="n">
        <v>45110</v>
      </c>
      <c r="C1742" s="1" t="n">
        <v>45265</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30110-2023</t>
        </is>
      </c>
      <c r="B1743" s="1" t="n">
        <v>45110</v>
      </c>
      <c r="C1743" s="1" t="n">
        <v>45265</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30530-2023</t>
        </is>
      </c>
      <c r="B1744" s="1" t="n">
        <v>45111</v>
      </c>
      <c r="C1744" s="1" t="n">
        <v>45265</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30455-2023</t>
        </is>
      </c>
      <c r="B1745" s="1" t="n">
        <v>45111</v>
      </c>
      <c r="C1745" s="1" t="n">
        <v>45265</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30370-2023</t>
        </is>
      </c>
      <c r="B1746" s="1" t="n">
        <v>45111</v>
      </c>
      <c r="C1746" s="1" t="n">
        <v>45265</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30531-2023</t>
        </is>
      </c>
      <c r="B1747" s="1" t="n">
        <v>45111</v>
      </c>
      <c r="C1747" s="1" t="n">
        <v>45265</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30344-2023</t>
        </is>
      </c>
      <c r="B1748" s="1" t="n">
        <v>45111</v>
      </c>
      <c r="C1748" s="1" t="n">
        <v>45265</v>
      </c>
      <c r="D1748" t="inlineStr">
        <is>
          <t>VÄRMLANDS LÄN</t>
        </is>
      </c>
      <c r="E1748" t="inlineStr">
        <is>
          <t>TORSBY</t>
        </is>
      </c>
      <c r="F1748" t="inlineStr">
        <is>
          <t>Bergvik skog väst AB</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30670-2023</t>
        </is>
      </c>
      <c r="B1749" s="1" t="n">
        <v>45112</v>
      </c>
      <c r="C1749" s="1" t="n">
        <v>45265</v>
      </c>
      <c r="D1749" t="inlineStr">
        <is>
          <t>VÄRMLANDS LÄN</t>
        </is>
      </c>
      <c r="E1749" t="inlineStr">
        <is>
          <t>TORSBY</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30624-2023</t>
        </is>
      </c>
      <c r="B1750" s="1" t="n">
        <v>45112</v>
      </c>
      <c r="C1750" s="1" t="n">
        <v>45265</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30741-2023</t>
        </is>
      </c>
      <c r="B1751" s="1" t="n">
        <v>45112</v>
      </c>
      <c r="C1751" s="1" t="n">
        <v>45265</v>
      </c>
      <c r="D1751" t="inlineStr">
        <is>
          <t>VÄRMLANDS LÄN</t>
        </is>
      </c>
      <c r="E1751" t="inlineStr">
        <is>
          <t>TORSBY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31052-2023</t>
        </is>
      </c>
      <c r="B1752" s="1" t="n">
        <v>45113</v>
      </c>
      <c r="C1752" s="1" t="n">
        <v>45265</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31112-2023</t>
        </is>
      </c>
      <c r="B1753" s="1" t="n">
        <v>45113</v>
      </c>
      <c r="C1753" s="1" t="n">
        <v>45265</v>
      </c>
      <c r="D1753" t="inlineStr">
        <is>
          <t>VÄRMLANDS LÄN</t>
        </is>
      </c>
      <c r="E1753" t="inlineStr">
        <is>
          <t>TORSBY</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31465-2023</t>
        </is>
      </c>
      <c r="B1754" s="1" t="n">
        <v>45114</v>
      </c>
      <c r="C1754" s="1" t="n">
        <v>45265</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31547-2023</t>
        </is>
      </c>
      <c r="B1755" s="1" t="n">
        <v>45117</v>
      </c>
      <c r="C1755" s="1" t="n">
        <v>45265</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31548-2023</t>
        </is>
      </c>
      <c r="B1756" s="1" t="n">
        <v>45117</v>
      </c>
      <c r="C1756" s="1" t="n">
        <v>45265</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33741-2023</t>
        </is>
      </c>
      <c r="B1757" s="1" t="n">
        <v>45119</v>
      </c>
      <c r="C1757" s="1" t="n">
        <v>45265</v>
      </c>
      <c r="D1757" t="inlineStr">
        <is>
          <t>VÄRMLANDS LÄN</t>
        </is>
      </c>
      <c r="E1757" t="inlineStr">
        <is>
          <t>TORSBY</t>
        </is>
      </c>
      <c r="F1757" t="inlineStr">
        <is>
          <t>Övriga Aktiebolag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33738-2023</t>
        </is>
      </c>
      <c r="B1758" s="1" t="n">
        <v>45119</v>
      </c>
      <c r="C1758" s="1" t="n">
        <v>45265</v>
      </c>
      <c r="D1758" t="inlineStr">
        <is>
          <t>VÄRMLANDS LÄN</t>
        </is>
      </c>
      <c r="E1758" t="inlineStr">
        <is>
          <t>TORSBY</t>
        </is>
      </c>
      <c r="F1758" t="inlineStr">
        <is>
          <t>Övriga Aktiebolag</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33740-2023</t>
        </is>
      </c>
      <c r="B1759" s="1" t="n">
        <v>45119</v>
      </c>
      <c r="C1759" s="1" t="n">
        <v>45265</v>
      </c>
      <c r="D1759" t="inlineStr">
        <is>
          <t>VÄRMLANDS LÄN</t>
        </is>
      </c>
      <c r="E1759" t="inlineStr">
        <is>
          <t>TORSBY</t>
        </is>
      </c>
      <c r="F1759" t="inlineStr">
        <is>
          <t>Övriga Aktiebolag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33782-2023</t>
        </is>
      </c>
      <c r="B1760" s="1" t="n">
        <v>45120</v>
      </c>
      <c r="C1760" s="1" t="n">
        <v>45265</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32576-2023</t>
        </is>
      </c>
      <c r="B1761" s="1" t="n">
        <v>45121</v>
      </c>
      <c r="C1761" s="1" t="n">
        <v>45265</v>
      </c>
      <c r="D1761" t="inlineStr">
        <is>
          <t>VÄRMLANDS LÄN</t>
        </is>
      </c>
      <c r="E1761" t="inlineStr">
        <is>
          <t>TORSBY</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32584-2023</t>
        </is>
      </c>
      <c r="B1762" s="1" t="n">
        <v>45121</v>
      </c>
      <c r="C1762" s="1" t="n">
        <v>45265</v>
      </c>
      <c r="D1762" t="inlineStr">
        <is>
          <t>VÄRMLANDS LÄN</t>
        </is>
      </c>
      <c r="E1762" t="inlineStr">
        <is>
          <t>TORSBY</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32805-2023</t>
        </is>
      </c>
      <c r="B1763" s="1" t="n">
        <v>45124</v>
      </c>
      <c r="C1763" s="1" t="n">
        <v>45265</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32819-2023</t>
        </is>
      </c>
      <c r="B1764" s="1" t="n">
        <v>45124</v>
      </c>
      <c r="C1764" s="1" t="n">
        <v>45265</v>
      </c>
      <c r="D1764" t="inlineStr">
        <is>
          <t>VÄRMLANDS LÄN</t>
        </is>
      </c>
      <c r="E1764" t="inlineStr">
        <is>
          <t>TORSBY</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32787-2023</t>
        </is>
      </c>
      <c r="B1765" s="1" t="n">
        <v>45124</v>
      </c>
      <c r="C1765" s="1" t="n">
        <v>45265</v>
      </c>
      <c r="D1765" t="inlineStr">
        <is>
          <t>VÄRMLANDS LÄN</t>
        </is>
      </c>
      <c r="E1765" t="inlineStr">
        <is>
          <t>TORSBY</t>
        </is>
      </c>
      <c r="F1765" t="inlineStr">
        <is>
          <t>Bergvik skog väst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32815-2023</t>
        </is>
      </c>
      <c r="B1766" s="1" t="n">
        <v>45124</v>
      </c>
      <c r="C1766" s="1" t="n">
        <v>45265</v>
      </c>
      <c r="D1766" t="inlineStr">
        <is>
          <t>VÄRMLANDS LÄN</t>
        </is>
      </c>
      <c r="E1766" t="inlineStr">
        <is>
          <t>TORSBY</t>
        </is>
      </c>
      <c r="F1766" t="inlineStr">
        <is>
          <t>Bergvik skog väst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33758-2023</t>
        </is>
      </c>
      <c r="B1767" s="1" t="n">
        <v>45125</v>
      </c>
      <c r="C1767" s="1" t="n">
        <v>45265</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33072-2023</t>
        </is>
      </c>
      <c r="B1768" s="1" t="n">
        <v>45126</v>
      </c>
      <c r="C1768" s="1" t="n">
        <v>45265</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34097-2023</t>
        </is>
      </c>
      <c r="B1769" s="1" t="n">
        <v>45126</v>
      </c>
      <c r="C1769" s="1" t="n">
        <v>45265</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34104-2023</t>
        </is>
      </c>
      <c r="B1770" s="1" t="n">
        <v>45126</v>
      </c>
      <c r="C1770" s="1" t="n">
        <v>45265</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34105-2023</t>
        </is>
      </c>
      <c r="B1771" s="1" t="n">
        <v>45126</v>
      </c>
      <c r="C1771" s="1" t="n">
        <v>45265</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33263-2023</t>
        </is>
      </c>
      <c r="B1772" s="1" t="n">
        <v>45127</v>
      </c>
      <c r="C1772" s="1" t="n">
        <v>45265</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33249-2023</t>
        </is>
      </c>
      <c r="B1773" s="1" t="n">
        <v>45127</v>
      </c>
      <c r="C1773" s="1" t="n">
        <v>45265</v>
      </c>
      <c r="D1773" t="inlineStr">
        <is>
          <t>VÄRMLANDS LÄN</t>
        </is>
      </c>
      <c r="E1773" t="inlineStr">
        <is>
          <t>TORSBY</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33253-2023</t>
        </is>
      </c>
      <c r="B1774" s="1" t="n">
        <v>45127</v>
      </c>
      <c r="C1774" s="1" t="n">
        <v>45265</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33264-2023</t>
        </is>
      </c>
      <c r="B1775" s="1" t="n">
        <v>45127</v>
      </c>
      <c r="C1775" s="1" t="n">
        <v>45265</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33268-2023</t>
        </is>
      </c>
      <c r="B1776" s="1" t="n">
        <v>45127</v>
      </c>
      <c r="C1776" s="1" t="n">
        <v>45265</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33574-2023</t>
        </is>
      </c>
      <c r="B1777" s="1" t="n">
        <v>45131</v>
      </c>
      <c r="C1777" s="1" t="n">
        <v>45265</v>
      </c>
      <c r="D1777" t="inlineStr">
        <is>
          <t>VÄRMLANDS LÄN</t>
        </is>
      </c>
      <c r="E1777" t="inlineStr">
        <is>
          <t>TORSBY</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33645-2023</t>
        </is>
      </c>
      <c r="B1778" s="1" t="n">
        <v>45132</v>
      </c>
      <c r="C1778" s="1" t="n">
        <v>45265</v>
      </c>
      <c r="D1778" t="inlineStr">
        <is>
          <t>VÄRMLANDS LÄN</t>
        </is>
      </c>
      <c r="E1778" t="inlineStr">
        <is>
          <t>TORSBY</t>
        </is>
      </c>
      <c r="F1778" t="inlineStr">
        <is>
          <t>Bergvik skog väst AB</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33656-2023</t>
        </is>
      </c>
      <c r="B1779" s="1" t="n">
        <v>45132</v>
      </c>
      <c r="C1779" s="1" t="n">
        <v>45265</v>
      </c>
      <c r="D1779" t="inlineStr">
        <is>
          <t>VÄRMLANDS LÄN</t>
        </is>
      </c>
      <c r="E1779" t="inlineStr">
        <is>
          <t>TORSBY</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33813-2023</t>
        </is>
      </c>
      <c r="B1780" s="1" t="n">
        <v>45133</v>
      </c>
      <c r="C1780" s="1" t="n">
        <v>45265</v>
      </c>
      <c r="D1780" t="inlineStr">
        <is>
          <t>VÄRMLANDS LÄN</t>
        </is>
      </c>
      <c r="E1780" t="inlineStr">
        <is>
          <t>TORSBY</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33835-2023</t>
        </is>
      </c>
      <c r="B1781" s="1" t="n">
        <v>45133</v>
      </c>
      <c r="C1781" s="1" t="n">
        <v>45265</v>
      </c>
      <c r="D1781" t="inlineStr">
        <is>
          <t>VÄRMLANDS LÄN</t>
        </is>
      </c>
      <c r="E1781" t="inlineStr">
        <is>
          <t>TORSBY</t>
        </is>
      </c>
      <c r="F1781" t="inlineStr">
        <is>
          <t>Bergvik skog väst AB</t>
        </is>
      </c>
      <c r="G1781" t="n">
        <v>17.3</v>
      </c>
      <c r="H1781" t="n">
        <v>0</v>
      </c>
      <c r="I1781" t="n">
        <v>0</v>
      </c>
      <c r="J1781" t="n">
        <v>0</v>
      </c>
      <c r="K1781" t="n">
        <v>0</v>
      </c>
      <c r="L1781" t="n">
        <v>0</v>
      </c>
      <c r="M1781" t="n">
        <v>0</v>
      </c>
      <c r="N1781" t="n">
        <v>0</v>
      </c>
      <c r="O1781" t="n">
        <v>0</v>
      </c>
      <c r="P1781" t="n">
        <v>0</v>
      </c>
      <c r="Q1781" t="n">
        <v>0</v>
      </c>
      <c r="R1781" s="2" t="inlineStr"/>
    </row>
    <row r="1782" ht="15" customHeight="1">
      <c r="A1782" t="inlineStr">
        <is>
          <t>A 33839-2023</t>
        </is>
      </c>
      <c r="B1782" s="1" t="n">
        <v>45133</v>
      </c>
      <c r="C1782" s="1" t="n">
        <v>45265</v>
      </c>
      <c r="D1782" t="inlineStr">
        <is>
          <t>VÄRMLANDS LÄN</t>
        </is>
      </c>
      <c r="E1782" t="inlineStr">
        <is>
          <t>TORSBY</t>
        </is>
      </c>
      <c r="F1782" t="inlineStr">
        <is>
          <t>Bergvik skog väst AB</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33848-2023</t>
        </is>
      </c>
      <c r="B1783" s="1" t="n">
        <v>45133</v>
      </c>
      <c r="C1783" s="1" t="n">
        <v>45265</v>
      </c>
      <c r="D1783" t="inlineStr">
        <is>
          <t>VÄRMLANDS LÄN</t>
        </is>
      </c>
      <c r="E1783" t="inlineStr">
        <is>
          <t>TORSBY</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34405-2023</t>
        </is>
      </c>
      <c r="B1784" s="1" t="n">
        <v>45139</v>
      </c>
      <c r="C1784" s="1" t="n">
        <v>45265</v>
      </c>
      <c r="D1784" t="inlineStr">
        <is>
          <t>VÄRMLANDS LÄN</t>
        </is>
      </c>
      <c r="E1784" t="inlineStr">
        <is>
          <t>TORSBY</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34427-2023</t>
        </is>
      </c>
      <c r="B1785" s="1" t="n">
        <v>45139</v>
      </c>
      <c r="C1785" s="1" t="n">
        <v>45265</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34469-2023</t>
        </is>
      </c>
      <c r="B1786" s="1" t="n">
        <v>45139</v>
      </c>
      <c r="C1786" s="1" t="n">
        <v>45265</v>
      </c>
      <c r="D1786" t="inlineStr">
        <is>
          <t>VÄRMLANDS LÄN</t>
        </is>
      </c>
      <c r="E1786" t="inlineStr">
        <is>
          <t>TORSBY</t>
        </is>
      </c>
      <c r="F1786" t="inlineStr">
        <is>
          <t>Bergvik skog väst AB</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34430-2023</t>
        </is>
      </c>
      <c r="B1787" s="1" t="n">
        <v>45139</v>
      </c>
      <c r="C1787" s="1" t="n">
        <v>45265</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34658-2023</t>
        </is>
      </c>
      <c r="B1788" s="1" t="n">
        <v>45140</v>
      </c>
      <c r="C1788" s="1" t="n">
        <v>45265</v>
      </c>
      <c r="D1788" t="inlineStr">
        <is>
          <t>VÄRMLANDS LÄN</t>
        </is>
      </c>
      <c r="E1788" t="inlineStr">
        <is>
          <t>TORSBY</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34955-2023</t>
        </is>
      </c>
      <c r="B1789" s="1" t="n">
        <v>45142</v>
      </c>
      <c r="C1789" s="1" t="n">
        <v>45265</v>
      </c>
      <c r="D1789" t="inlineStr">
        <is>
          <t>VÄRMLANDS LÄN</t>
        </is>
      </c>
      <c r="E1789" t="inlineStr">
        <is>
          <t>TORSBY</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35055-2023</t>
        </is>
      </c>
      <c r="B1790" s="1" t="n">
        <v>45145</v>
      </c>
      <c r="C1790" s="1" t="n">
        <v>45265</v>
      </c>
      <c r="D1790" t="inlineStr">
        <is>
          <t>VÄRMLANDS LÄN</t>
        </is>
      </c>
      <c r="E1790" t="inlineStr">
        <is>
          <t>TORSBY</t>
        </is>
      </c>
      <c r="F1790" t="inlineStr">
        <is>
          <t>Bergvik skog väst AB</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35057-2023</t>
        </is>
      </c>
      <c r="B1791" s="1" t="n">
        <v>45145</v>
      </c>
      <c r="C1791" s="1" t="n">
        <v>45265</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35186-2023</t>
        </is>
      </c>
      <c r="B1792" s="1" t="n">
        <v>45145</v>
      </c>
      <c r="C1792" s="1" t="n">
        <v>45265</v>
      </c>
      <c r="D1792" t="inlineStr">
        <is>
          <t>VÄRMLANDS LÄN</t>
        </is>
      </c>
      <c r="E1792" t="inlineStr">
        <is>
          <t>TORSBY</t>
        </is>
      </c>
      <c r="F1792" t="inlineStr">
        <is>
          <t>Bergvik skog väst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35115-2023</t>
        </is>
      </c>
      <c r="B1793" s="1" t="n">
        <v>45145</v>
      </c>
      <c r="C1793" s="1" t="n">
        <v>45265</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35120-2023</t>
        </is>
      </c>
      <c r="B1794" s="1" t="n">
        <v>45145</v>
      </c>
      <c r="C1794" s="1" t="n">
        <v>45265</v>
      </c>
      <c r="D1794" t="inlineStr">
        <is>
          <t>VÄRMLANDS LÄN</t>
        </is>
      </c>
      <c r="E1794" t="inlineStr">
        <is>
          <t>TORSBY</t>
        </is>
      </c>
      <c r="G1794" t="n">
        <v>16.9</v>
      </c>
      <c r="H1794" t="n">
        <v>0</v>
      </c>
      <c r="I1794" t="n">
        <v>0</v>
      </c>
      <c r="J1794" t="n">
        <v>0</v>
      </c>
      <c r="K1794" t="n">
        <v>0</v>
      </c>
      <c r="L1794" t="n">
        <v>0</v>
      </c>
      <c r="M1794" t="n">
        <v>0</v>
      </c>
      <c r="N1794" t="n">
        <v>0</v>
      </c>
      <c r="O1794" t="n">
        <v>0</v>
      </c>
      <c r="P1794" t="n">
        <v>0</v>
      </c>
      <c r="Q1794" t="n">
        <v>0</v>
      </c>
      <c r="R1794" s="2" t="inlineStr"/>
    </row>
    <row r="1795" ht="15" customHeight="1">
      <c r="A1795" t="inlineStr">
        <is>
          <t>A 35415-2023</t>
        </is>
      </c>
      <c r="B1795" s="1" t="n">
        <v>45146</v>
      </c>
      <c r="C1795" s="1" t="n">
        <v>45265</v>
      </c>
      <c r="D1795" t="inlineStr">
        <is>
          <t>VÄRMLANDS LÄN</t>
        </is>
      </c>
      <c r="E1795" t="inlineStr">
        <is>
          <t>TORSBY</t>
        </is>
      </c>
      <c r="F1795" t="inlineStr">
        <is>
          <t>Bergvik skog väst AB</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35629-2023</t>
        </is>
      </c>
      <c r="B1796" s="1" t="n">
        <v>45147</v>
      </c>
      <c r="C1796" s="1" t="n">
        <v>45265</v>
      </c>
      <c r="D1796" t="inlineStr">
        <is>
          <t>VÄRMLANDS LÄN</t>
        </is>
      </c>
      <c r="E1796" t="inlineStr">
        <is>
          <t>TORSBY</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35674-2023</t>
        </is>
      </c>
      <c r="B1797" s="1" t="n">
        <v>45147</v>
      </c>
      <c r="C1797" s="1" t="n">
        <v>45265</v>
      </c>
      <c r="D1797" t="inlineStr">
        <is>
          <t>VÄRMLANDS LÄN</t>
        </is>
      </c>
      <c r="E1797" t="inlineStr">
        <is>
          <t>TORSBY</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35553-2023</t>
        </is>
      </c>
      <c r="B1798" s="1" t="n">
        <v>45147</v>
      </c>
      <c r="C1798" s="1" t="n">
        <v>45265</v>
      </c>
      <c r="D1798" t="inlineStr">
        <is>
          <t>VÄRMLANDS LÄN</t>
        </is>
      </c>
      <c r="E1798" t="inlineStr">
        <is>
          <t>TORSBY</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35934-2023</t>
        </is>
      </c>
      <c r="B1799" s="1" t="n">
        <v>45148</v>
      </c>
      <c r="C1799" s="1" t="n">
        <v>45265</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35938-2023</t>
        </is>
      </c>
      <c r="B1800" s="1" t="n">
        <v>45148</v>
      </c>
      <c r="C1800" s="1" t="n">
        <v>45265</v>
      </c>
      <c r="D1800" t="inlineStr">
        <is>
          <t>VÄRMLANDS LÄN</t>
        </is>
      </c>
      <c r="E1800" t="inlineStr">
        <is>
          <t>TORSBY</t>
        </is>
      </c>
      <c r="F1800" t="inlineStr">
        <is>
          <t>Bergvik skog väst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36043-2023</t>
        </is>
      </c>
      <c r="B1801" s="1" t="n">
        <v>45148</v>
      </c>
      <c r="C1801" s="1" t="n">
        <v>45265</v>
      </c>
      <c r="D1801" t="inlineStr">
        <is>
          <t>VÄRMLANDS LÄN</t>
        </is>
      </c>
      <c r="E1801" t="inlineStr">
        <is>
          <t>TORSBY</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36050-2023</t>
        </is>
      </c>
      <c r="B1802" s="1" t="n">
        <v>45149</v>
      </c>
      <c r="C1802" s="1" t="n">
        <v>45265</v>
      </c>
      <c r="D1802" t="inlineStr">
        <is>
          <t>VÄRMLANDS LÄN</t>
        </is>
      </c>
      <c r="E1802" t="inlineStr">
        <is>
          <t>TORSBY</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36062-2023</t>
        </is>
      </c>
      <c r="B1803" s="1" t="n">
        <v>45149</v>
      </c>
      <c r="C1803" s="1" t="n">
        <v>45265</v>
      </c>
      <c r="D1803" t="inlineStr">
        <is>
          <t>VÄRMLANDS LÄN</t>
        </is>
      </c>
      <c r="E1803" t="inlineStr">
        <is>
          <t>TORSBY</t>
        </is>
      </c>
      <c r="F1803" t="inlineStr">
        <is>
          <t>Bergvik skog väst AB</t>
        </is>
      </c>
      <c r="G1803" t="n">
        <v>21.3</v>
      </c>
      <c r="H1803" t="n">
        <v>0</v>
      </c>
      <c r="I1803" t="n">
        <v>0</v>
      </c>
      <c r="J1803" t="n">
        <v>0</v>
      </c>
      <c r="K1803" t="n">
        <v>0</v>
      </c>
      <c r="L1803" t="n">
        <v>0</v>
      </c>
      <c r="M1803" t="n">
        <v>0</v>
      </c>
      <c r="N1803" t="n">
        <v>0</v>
      </c>
      <c r="O1803" t="n">
        <v>0</v>
      </c>
      <c r="P1803" t="n">
        <v>0</v>
      </c>
      <c r="Q1803" t="n">
        <v>0</v>
      </c>
      <c r="R1803" s="2" t="inlineStr"/>
    </row>
    <row r="1804" ht="15" customHeight="1">
      <c r="A1804" t="inlineStr">
        <is>
          <t>A 36239-2023</t>
        </is>
      </c>
      <c r="B1804" s="1" t="n">
        <v>45150</v>
      </c>
      <c r="C1804" s="1" t="n">
        <v>45265</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36462-2023</t>
        </is>
      </c>
      <c r="B1805" s="1" t="n">
        <v>45152</v>
      </c>
      <c r="C1805" s="1" t="n">
        <v>45265</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36582-2023</t>
        </is>
      </c>
      <c r="B1806" s="1" t="n">
        <v>45153</v>
      </c>
      <c r="C1806" s="1" t="n">
        <v>45265</v>
      </c>
      <c r="D1806" t="inlineStr">
        <is>
          <t>VÄRMLANDS LÄN</t>
        </is>
      </c>
      <c r="E1806" t="inlineStr">
        <is>
          <t>TORSBY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36598-2023</t>
        </is>
      </c>
      <c r="B1807" s="1" t="n">
        <v>45153</v>
      </c>
      <c r="C1807" s="1" t="n">
        <v>45265</v>
      </c>
      <c r="D1807" t="inlineStr">
        <is>
          <t>VÄRMLANDS LÄN</t>
        </is>
      </c>
      <c r="E1807" t="inlineStr">
        <is>
          <t>TORSBY</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36552-2023</t>
        </is>
      </c>
      <c r="B1808" s="1" t="n">
        <v>45153</v>
      </c>
      <c r="C1808" s="1" t="n">
        <v>45265</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36674-2023</t>
        </is>
      </c>
      <c r="B1809" s="1" t="n">
        <v>45153</v>
      </c>
      <c r="C1809" s="1" t="n">
        <v>45265</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36736-2023</t>
        </is>
      </c>
      <c r="B1810" s="1" t="n">
        <v>45153</v>
      </c>
      <c r="C1810" s="1" t="n">
        <v>45265</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36729-2023</t>
        </is>
      </c>
      <c r="B1811" s="1" t="n">
        <v>45153</v>
      </c>
      <c r="C1811" s="1" t="n">
        <v>45265</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36827-2023</t>
        </is>
      </c>
      <c r="B1812" s="1" t="n">
        <v>45154</v>
      </c>
      <c r="C1812" s="1" t="n">
        <v>45265</v>
      </c>
      <c r="D1812" t="inlineStr">
        <is>
          <t>VÄRMLANDS LÄN</t>
        </is>
      </c>
      <c r="E1812" t="inlineStr">
        <is>
          <t>TORSBY</t>
        </is>
      </c>
      <c r="F1812" t="inlineStr">
        <is>
          <t>Bergvik skog väst AB</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36897-2023</t>
        </is>
      </c>
      <c r="B1813" s="1" t="n">
        <v>45154</v>
      </c>
      <c r="C1813" s="1" t="n">
        <v>45265</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36947-2023</t>
        </is>
      </c>
      <c r="B1814" s="1" t="n">
        <v>45154</v>
      </c>
      <c r="C1814" s="1" t="n">
        <v>45265</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37081-2023</t>
        </is>
      </c>
      <c r="B1815" s="1" t="n">
        <v>45155</v>
      </c>
      <c r="C1815" s="1" t="n">
        <v>45265</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37188-2023</t>
        </is>
      </c>
      <c r="B1816" s="1" t="n">
        <v>45155</v>
      </c>
      <c r="C1816" s="1" t="n">
        <v>45265</v>
      </c>
      <c r="D1816" t="inlineStr">
        <is>
          <t>VÄRMLANDS LÄN</t>
        </is>
      </c>
      <c r="E1816" t="inlineStr">
        <is>
          <t>TORSBY</t>
        </is>
      </c>
      <c r="F1816" t="inlineStr">
        <is>
          <t>Bergvik skog väst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37346-2023</t>
        </is>
      </c>
      <c r="B1817" s="1" t="n">
        <v>45156</v>
      </c>
      <c r="C1817" s="1" t="n">
        <v>45265</v>
      </c>
      <c r="D1817" t="inlineStr">
        <is>
          <t>VÄRMLANDS LÄN</t>
        </is>
      </c>
      <c r="E1817" t="inlineStr">
        <is>
          <t>TORSBY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37357-2023</t>
        </is>
      </c>
      <c r="B1818" s="1" t="n">
        <v>45156</v>
      </c>
      <c r="C1818" s="1" t="n">
        <v>45265</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37305-2023</t>
        </is>
      </c>
      <c r="B1819" s="1" t="n">
        <v>45156</v>
      </c>
      <c r="C1819" s="1" t="n">
        <v>45265</v>
      </c>
      <c r="D1819" t="inlineStr">
        <is>
          <t>VÄRMLANDS LÄN</t>
        </is>
      </c>
      <c r="E1819" t="inlineStr">
        <is>
          <t>TORSBY</t>
        </is>
      </c>
      <c r="F1819" t="inlineStr">
        <is>
          <t>Bergvik skog väst AB</t>
        </is>
      </c>
      <c r="G1819" t="n">
        <v>28.8</v>
      </c>
      <c r="H1819" t="n">
        <v>0</v>
      </c>
      <c r="I1819" t="n">
        <v>0</v>
      </c>
      <c r="J1819" t="n">
        <v>0</v>
      </c>
      <c r="K1819" t="n">
        <v>0</v>
      </c>
      <c r="L1819" t="n">
        <v>0</v>
      </c>
      <c r="M1819" t="n">
        <v>0</v>
      </c>
      <c r="N1819" t="n">
        <v>0</v>
      </c>
      <c r="O1819" t="n">
        <v>0</v>
      </c>
      <c r="P1819" t="n">
        <v>0</v>
      </c>
      <c r="Q1819" t="n">
        <v>0</v>
      </c>
      <c r="R1819" s="2" t="inlineStr"/>
    </row>
    <row r="1820" ht="15" customHeight="1">
      <c r="A1820" t="inlineStr">
        <is>
          <t>A 37314-2023</t>
        </is>
      </c>
      <c r="B1820" s="1" t="n">
        <v>45156</v>
      </c>
      <c r="C1820" s="1" t="n">
        <v>45265</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37359-2023</t>
        </is>
      </c>
      <c r="B1821" s="1" t="n">
        <v>45156</v>
      </c>
      <c r="C1821" s="1" t="n">
        <v>45265</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37705-2023</t>
        </is>
      </c>
      <c r="B1822" s="1" t="n">
        <v>45159</v>
      </c>
      <c r="C1822" s="1" t="n">
        <v>45265</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37604-2023</t>
        </is>
      </c>
      <c r="B1823" s="1" t="n">
        <v>45159</v>
      </c>
      <c r="C1823" s="1" t="n">
        <v>45265</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37623-2023</t>
        </is>
      </c>
      <c r="B1824" s="1" t="n">
        <v>45159</v>
      </c>
      <c r="C1824" s="1" t="n">
        <v>45265</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37822-2023</t>
        </is>
      </c>
      <c r="B1825" s="1" t="n">
        <v>45160</v>
      </c>
      <c r="C1825" s="1" t="n">
        <v>45265</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38085-2023</t>
        </is>
      </c>
      <c r="B1826" s="1" t="n">
        <v>45160</v>
      </c>
      <c r="C1826" s="1" t="n">
        <v>45265</v>
      </c>
      <c r="D1826" t="inlineStr">
        <is>
          <t>VÄRMLANDS LÄN</t>
        </is>
      </c>
      <c r="E1826" t="inlineStr">
        <is>
          <t>TORSBY</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37936-2023</t>
        </is>
      </c>
      <c r="B1827" s="1" t="n">
        <v>45160</v>
      </c>
      <c r="C1827" s="1" t="n">
        <v>45265</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38084-2023</t>
        </is>
      </c>
      <c r="B1828" s="1" t="n">
        <v>45160</v>
      </c>
      <c r="C1828" s="1" t="n">
        <v>45265</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38044-2023</t>
        </is>
      </c>
      <c r="B1829" s="1" t="n">
        <v>45160</v>
      </c>
      <c r="C1829" s="1" t="n">
        <v>45265</v>
      </c>
      <c r="D1829" t="inlineStr">
        <is>
          <t>VÄRMLANDS LÄN</t>
        </is>
      </c>
      <c r="E1829" t="inlineStr">
        <is>
          <t>TORSBY</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38086-2023</t>
        </is>
      </c>
      <c r="B1830" s="1" t="n">
        <v>45160</v>
      </c>
      <c r="C1830" s="1" t="n">
        <v>45265</v>
      </c>
      <c r="D1830" t="inlineStr">
        <is>
          <t>VÄRMLANDS LÄN</t>
        </is>
      </c>
      <c r="E1830" t="inlineStr">
        <is>
          <t>TORSBY</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38252-2023</t>
        </is>
      </c>
      <c r="B1831" s="1" t="n">
        <v>45161</v>
      </c>
      <c r="C1831" s="1" t="n">
        <v>45265</v>
      </c>
      <c r="D1831" t="inlineStr">
        <is>
          <t>VÄRMLANDS LÄN</t>
        </is>
      </c>
      <c r="E1831" t="inlineStr">
        <is>
          <t>TORSBY</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38232-2023</t>
        </is>
      </c>
      <c r="B1832" s="1" t="n">
        <v>45161</v>
      </c>
      <c r="C1832" s="1" t="n">
        <v>45265</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38257-2023</t>
        </is>
      </c>
      <c r="B1833" s="1" t="n">
        <v>45161</v>
      </c>
      <c r="C1833" s="1" t="n">
        <v>45265</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38263-2023</t>
        </is>
      </c>
      <c r="B1834" s="1" t="n">
        <v>45161</v>
      </c>
      <c r="C1834" s="1" t="n">
        <v>45265</v>
      </c>
      <c r="D1834" t="inlineStr">
        <is>
          <t>VÄRMLANDS LÄN</t>
        </is>
      </c>
      <c r="E1834" t="inlineStr">
        <is>
          <t>TORSBY</t>
        </is>
      </c>
      <c r="F1834" t="inlineStr">
        <is>
          <t>Kyrkan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38286-2023</t>
        </is>
      </c>
      <c r="B1835" s="1" t="n">
        <v>45161</v>
      </c>
      <c r="C1835" s="1" t="n">
        <v>45265</v>
      </c>
      <c r="D1835" t="inlineStr">
        <is>
          <t>VÄRMLANDS LÄN</t>
        </is>
      </c>
      <c r="E1835" t="inlineStr">
        <is>
          <t>TORSBY</t>
        </is>
      </c>
      <c r="F1835" t="inlineStr">
        <is>
          <t>Kyrkan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38541-2023</t>
        </is>
      </c>
      <c r="B1836" s="1" t="n">
        <v>45162</v>
      </c>
      <c r="C1836" s="1" t="n">
        <v>45265</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38641-2023</t>
        </is>
      </c>
      <c r="B1837" s="1" t="n">
        <v>45162</v>
      </c>
      <c r="C1837" s="1" t="n">
        <v>45265</v>
      </c>
      <c r="D1837" t="inlineStr">
        <is>
          <t>VÄRMLANDS LÄN</t>
        </is>
      </c>
      <c r="E1837" t="inlineStr">
        <is>
          <t>TORSBY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38637-2023</t>
        </is>
      </c>
      <c r="B1838" s="1" t="n">
        <v>45162</v>
      </c>
      <c r="C1838" s="1" t="n">
        <v>45265</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38668-2023</t>
        </is>
      </c>
      <c r="B1839" s="1" t="n">
        <v>45162</v>
      </c>
      <c r="C1839" s="1" t="n">
        <v>45265</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39408-2023</t>
        </is>
      </c>
      <c r="B1840" s="1" t="n">
        <v>45163</v>
      </c>
      <c r="C1840" s="1" t="n">
        <v>45265</v>
      </c>
      <c r="D1840" t="inlineStr">
        <is>
          <t>VÄRMLANDS LÄN</t>
        </is>
      </c>
      <c r="E1840" t="inlineStr">
        <is>
          <t>TORSBY</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38991-2023</t>
        </is>
      </c>
      <c r="B1841" s="1" t="n">
        <v>45163</v>
      </c>
      <c r="C1841" s="1" t="n">
        <v>45265</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38722-2023</t>
        </is>
      </c>
      <c r="B1842" s="1" t="n">
        <v>45163</v>
      </c>
      <c r="C1842" s="1" t="n">
        <v>45265</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38979-2023</t>
        </is>
      </c>
      <c r="B1843" s="1" t="n">
        <v>45163</v>
      </c>
      <c r="C1843" s="1" t="n">
        <v>45265</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39131-2023</t>
        </is>
      </c>
      <c r="B1844" s="1" t="n">
        <v>45165</v>
      </c>
      <c r="C1844" s="1" t="n">
        <v>45265</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39134-2023</t>
        </is>
      </c>
      <c r="B1845" s="1" t="n">
        <v>45165</v>
      </c>
      <c r="C1845" s="1" t="n">
        <v>45265</v>
      </c>
      <c r="D1845" t="inlineStr">
        <is>
          <t>VÄRMLANDS LÄN</t>
        </is>
      </c>
      <c r="E1845" t="inlineStr">
        <is>
          <t>TORSBY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39390-2023</t>
        </is>
      </c>
      <c r="B1846" s="1" t="n">
        <v>45166</v>
      </c>
      <c r="C1846" s="1" t="n">
        <v>45265</v>
      </c>
      <c r="D1846" t="inlineStr">
        <is>
          <t>VÄRMLANDS LÄN</t>
        </is>
      </c>
      <c r="E1846" t="inlineStr">
        <is>
          <t>TORSBY</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39339-2023</t>
        </is>
      </c>
      <c r="B1847" s="1" t="n">
        <v>45166</v>
      </c>
      <c r="C1847" s="1" t="n">
        <v>45265</v>
      </c>
      <c r="D1847" t="inlineStr">
        <is>
          <t>VÄRMLANDS LÄN</t>
        </is>
      </c>
      <c r="E1847" t="inlineStr">
        <is>
          <t>TORSBY</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39374-2023</t>
        </is>
      </c>
      <c r="B1848" s="1" t="n">
        <v>45166</v>
      </c>
      <c r="C1848" s="1" t="n">
        <v>45265</v>
      </c>
      <c r="D1848" t="inlineStr">
        <is>
          <t>VÄRMLANDS LÄN</t>
        </is>
      </c>
      <c r="E1848" t="inlineStr">
        <is>
          <t>TORSBY</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39677-2023</t>
        </is>
      </c>
      <c r="B1849" s="1" t="n">
        <v>45166</v>
      </c>
      <c r="C1849" s="1" t="n">
        <v>45265</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39648-2023</t>
        </is>
      </c>
      <c r="B1850" s="1" t="n">
        <v>45167</v>
      </c>
      <c r="C1850" s="1" t="n">
        <v>45265</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39732-2023</t>
        </is>
      </c>
      <c r="B1851" s="1" t="n">
        <v>45167</v>
      </c>
      <c r="C1851" s="1" t="n">
        <v>45265</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39681-2023</t>
        </is>
      </c>
      <c r="B1852" s="1" t="n">
        <v>45167</v>
      </c>
      <c r="C1852" s="1" t="n">
        <v>45265</v>
      </c>
      <c r="D1852" t="inlineStr">
        <is>
          <t>VÄRMLANDS LÄN</t>
        </is>
      </c>
      <c r="E1852" t="inlineStr">
        <is>
          <t>TORSBY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39921-2023</t>
        </is>
      </c>
      <c r="B1853" s="1" t="n">
        <v>45168</v>
      </c>
      <c r="C1853" s="1" t="n">
        <v>45265</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39910-2023</t>
        </is>
      </c>
      <c r="B1854" s="1" t="n">
        <v>45168</v>
      </c>
      <c r="C1854" s="1" t="n">
        <v>45265</v>
      </c>
      <c r="D1854" t="inlineStr">
        <is>
          <t>VÄRMLANDS LÄN</t>
        </is>
      </c>
      <c r="E1854" t="inlineStr">
        <is>
          <t>TORSBY</t>
        </is>
      </c>
      <c r="F1854" t="inlineStr">
        <is>
          <t>Kyrkan</t>
        </is>
      </c>
      <c r="G1854" t="n">
        <v>11.6</v>
      </c>
      <c r="H1854" t="n">
        <v>0</v>
      </c>
      <c r="I1854" t="n">
        <v>0</v>
      </c>
      <c r="J1854" t="n">
        <v>0</v>
      </c>
      <c r="K1854" t="n">
        <v>0</v>
      </c>
      <c r="L1854" t="n">
        <v>0</v>
      </c>
      <c r="M1854" t="n">
        <v>0</v>
      </c>
      <c r="N1854" t="n">
        <v>0</v>
      </c>
      <c r="O1854" t="n">
        <v>0</v>
      </c>
      <c r="P1854" t="n">
        <v>0</v>
      </c>
      <c r="Q1854" t="n">
        <v>0</v>
      </c>
      <c r="R1854" s="2" t="inlineStr"/>
    </row>
    <row r="1855" ht="15" customHeight="1">
      <c r="A1855" t="inlineStr">
        <is>
          <t>A 40007-2023</t>
        </is>
      </c>
      <c r="B1855" s="1" t="n">
        <v>45168</v>
      </c>
      <c r="C1855" s="1" t="n">
        <v>45265</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39969-2023</t>
        </is>
      </c>
      <c r="B1856" s="1" t="n">
        <v>45168</v>
      </c>
      <c r="C1856" s="1" t="n">
        <v>45265</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40207-2023</t>
        </is>
      </c>
      <c r="B1857" s="1" t="n">
        <v>45169</v>
      </c>
      <c r="C1857" s="1" t="n">
        <v>45265</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40228-2023</t>
        </is>
      </c>
      <c r="B1858" s="1" t="n">
        <v>45169</v>
      </c>
      <c r="C1858" s="1" t="n">
        <v>45265</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40222-2023</t>
        </is>
      </c>
      <c r="B1859" s="1" t="n">
        <v>45169</v>
      </c>
      <c r="C1859" s="1" t="n">
        <v>45265</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40468-2023</t>
        </is>
      </c>
      <c r="B1860" s="1" t="n">
        <v>45170</v>
      </c>
      <c r="C1860" s="1" t="n">
        <v>45265</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40512-2023</t>
        </is>
      </c>
      <c r="B1861" s="1" t="n">
        <v>45170</v>
      </c>
      <c r="C1861" s="1" t="n">
        <v>45265</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40470-2023</t>
        </is>
      </c>
      <c r="B1862" s="1" t="n">
        <v>45170</v>
      </c>
      <c r="C1862" s="1" t="n">
        <v>45265</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40538-2023</t>
        </is>
      </c>
      <c r="B1863" s="1" t="n">
        <v>45170</v>
      </c>
      <c r="C1863" s="1" t="n">
        <v>45265</v>
      </c>
      <c r="D1863" t="inlineStr">
        <is>
          <t>VÄRMLANDS LÄN</t>
        </is>
      </c>
      <c r="E1863" t="inlineStr">
        <is>
          <t>TORSBY</t>
        </is>
      </c>
      <c r="F1863" t="inlineStr">
        <is>
          <t>Bergvik skog väst AB</t>
        </is>
      </c>
      <c r="G1863" t="n">
        <v>31.4</v>
      </c>
      <c r="H1863" t="n">
        <v>0</v>
      </c>
      <c r="I1863" t="n">
        <v>0</v>
      </c>
      <c r="J1863" t="n">
        <v>0</v>
      </c>
      <c r="K1863" t="n">
        <v>0</v>
      </c>
      <c r="L1863" t="n">
        <v>0</v>
      </c>
      <c r="M1863" t="n">
        <v>0</v>
      </c>
      <c r="N1863" t="n">
        <v>0</v>
      </c>
      <c r="O1863" t="n">
        <v>0</v>
      </c>
      <c r="P1863" t="n">
        <v>0</v>
      </c>
      <c r="Q1863" t="n">
        <v>0</v>
      </c>
      <c r="R1863" s="2" t="inlineStr"/>
    </row>
    <row r="1864" ht="15" customHeight="1">
      <c r="A1864" t="inlineStr">
        <is>
          <t>A 41469-2023</t>
        </is>
      </c>
      <c r="B1864" s="1" t="n">
        <v>45170</v>
      </c>
      <c r="C1864" s="1" t="n">
        <v>45265</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40858-2023</t>
        </is>
      </c>
      <c r="B1865" s="1" t="n">
        <v>45173</v>
      </c>
      <c r="C1865" s="1" t="n">
        <v>45265</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40971-2023</t>
        </is>
      </c>
      <c r="B1866" s="1" t="n">
        <v>45173</v>
      </c>
      <c r="C1866" s="1" t="n">
        <v>45265</v>
      </c>
      <c r="D1866" t="inlineStr">
        <is>
          <t>VÄRMLANDS LÄN</t>
        </is>
      </c>
      <c r="E1866" t="inlineStr">
        <is>
          <t>TORSBY</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41096-2023</t>
        </is>
      </c>
      <c r="B1867" s="1" t="n">
        <v>45173</v>
      </c>
      <c r="C1867" s="1" t="n">
        <v>45265</v>
      </c>
      <c r="D1867" t="inlineStr">
        <is>
          <t>VÄRMLANDS LÄN</t>
        </is>
      </c>
      <c r="E1867" t="inlineStr">
        <is>
          <t>TORSBY</t>
        </is>
      </c>
      <c r="F1867" t="inlineStr">
        <is>
          <t>Bergvik skog väst AB</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41056-2023</t>
        </is>
      </c>
      <c r="B1868" s="1" t="n">
        <v>45173</v>
      </c>
      <c r="C1868" s="1" t="n">
        <v>45265</v>
      </c>
      <c r="D1868" t="inlineStr">
        <is>
          <t>VÄRMLANDS LÄN</t>
        </is>
      </c>
      <c r="E1868" t="inlineStr">
        <is>
          <t>TORSBY</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41022-2023</t>
        </is>
      </c>
      <c r="B1869" s="1" t="n">
        <v>45173</v>
      </c>
      <c r="C1869" s="1" t="n">
        <v>45265</v>
      </c>
      <c r="D1869" t="inlineStr">
        <is>
          <t>VÄRMLANDS LÄN</t>
        </is>
      </c>
      <c r="E1869" t="inlineStr">
        <is>
          <t>TORSBY</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41050-2023</t>
        </is>
      </c>
      <c r="B1870" s="1" t="n">
        <v>45173</v>
      </c>
      <c r="C1870" s="1" t="n">
        <v>45265</v>
      </c>
      <c r="D1870" t="inlineStr">
        <is>
          <t>VÄRMLANDS LÄN</t>
        </is>
      </c>
      <c r="E1870" t="inlineStr">
        <is>
          <t>TORSBY</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41059-2023</t>
        </is>
      </c>
      <c r="B1871" s="1" t="n">
        <v>45173</v>
      </c>
      <c r="C1871" s="1" t="n">
        <v>45265</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41156-2023</t>
        </is>
      </c>
      <c r="B1872" s="1" t="n">
        <v>45174</v>
      </c>
      <c r="C1872" s="1" t="n">
        <v>45265</v>
      </c>
      <c r="D1872" t="inlineStr">
        <is>
          <t>VÄRMLANDS LÄN</t>
        </is>
      </c>
      <c r="E1872" t="inlineStr">
        <is>
          <t>TORSBY</t>
        </is>
      </c>
      <c r="F1872" t="inlineStr">
        <is>
          <t>Kyrkan</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41160-2023</t>
        </is>
      </c>
      <c r="B1873" s="1" t="n">
        <v>45174</v>
      </c>
      <c r="C1873" s="1" t="n">
        <v>45265</v>
      </c>
      <c r="D1873" t="inlineStr">
        <is>
          <t>VÄRMLANDS LÄN</t>
        </is>
      </c>
      <c r="E1873" t="inlineStr">
        <is>
          <t>TORSBY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41246-2023</t>
        </is>
      </c>
      <c r="B1874" s="1" t="n">
        <v>45174</v>
      </c>
      <c r="C1874" s="1" t="n">
        <v>45265</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41270-2023</t>
        </is>
      </c>
      <c r="B1875" s="1" t="n">
        <v>45174</v>
      </c>
      <c r="C1875" s="1" t="n">
        <v>45265</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42069-2023</t>
        </is>
      </c>
      <c r="B1876" s="1" t="n">
        <v>45174</v>
      </c>
      <c r="C1876" s="1" t="n">
        <v>45265</v>
      </c>
      <c r="D1876" t="inlineStr">
        <is>
          <t>VÄRMLANDS LÄN</t>
        </is>
      </c>
      <c r="E1876" t="inlineStr">
        <is>
          <t>TORSBY</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42060-2023</t>
        </is>
      </c>
      <c r="B1877" s="1" t="n">
        <v>45174</v>
      </c>
      <c r="C1877" s="1" t="n">
        <v>45265</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41488-2023</t>
        </is>
      </c>
      <c r="B1878" s="1" t="n">
        <v>45175</v>
      </c>
      <c r="C1878" s="1" t="n">
        <v>45265</v>
      </c>
      <c r="D1878" t="inlineStr">
        <is>
          <t>VÄRMLANDS LÄN</t>
        </is>
      </c>
      <c r="E1878" t="inlineStr">
        <is>
          <t>TORSBY</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41438-2023</t>
        </is>
      </c>
      <c r="B1879" s="1" t="n">
        <v>45175</v>
      </c>
      <c r="C1879" s="1" t="n">
        <v>45265</v>
      </c>
      <c r="D1879" t="inlineStr">
        <is>
          <t>VÄRMLANDS LÄN</t>
        </is>
      </c>
      <c r="E1879" t="inlineStr">
        <is>
          <t>TORSBY</t>
        </is>
      </c>
      <c r="F1879" t="inlineStr">
        <is>
          <t>Kyrkan</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41431-2023</t>
        </is>
      </c>
      <c r="B1880" s="1" t="n">
        <v>45175</v>
      </c>
      <c r="C1880" s="1" t="n">
        <v>45265</v>
      </c>
      <c r="D1880" t="inlineStr">
        <is>
          <t>VÄRMLANDS LÄN</t>
        </is>
      </c>
      <c r="E1880" t="inlineStr">
        <is>
          <t>TORSBY</t>
        </is>
      </c>
      <c r="F1880" t="inlineStr">
        <is>
          <t>Bergvik skog väst AB</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41867-2023</t>
        </is>
      </c>
      <c r="B1881" s="1" t="n">
        <v>45176</v>
      </c>
      <c r="C1881" s="1" t="n">
        <v>45265</v>
      </c>
      <c r="D1881" t="inlineStr">
        <is>
          <t>VÄRMLANDS LÄN</t>
        </is>
      </c>
      <c r="E1881" t="inlineStr">
        <is>
          <t>TORSBY</t>
        </is>
      </c>
      <c r="F1881" t="inlineStr">
        <is>
          <t>Bergvik skog väst AB</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41833-2023</t>
        </is>
      </c>
      <c r="B1882" s="1" t="n">
        <v>45176</v>
      </c>
      <c r="C1882" s="1" t="n">
        <v>45265</v>
      </c>
      <c r="D1882" t="inlineStr">
        <is>
          <t>VÄRMLANDS LÄN</t>
        </is>
      </c>
      <c r="E1882" t="inlineStr">
        <is>
          <t>TORSBY</t>
        </is>
      </c>
      <c r="F1882" t="inlineStr">
        <is>
          <t>Bergvik skog väst AB</t>
        </is>
      </c>
      <c r="G1882" t="n">
        <v>21.7</v>
      </c>
      <c r="H1882" t="n">
        <v>0</v>
      </c>
      <c r="I1882" t="n">
        <v>0</v>
      </c>
      <c r="J1882" t="n">
        <v>0</v>
      </c>
      <c r="K1882" t="n">
        <v>0</v>
      </c>
      <c r="L1882" t="n">
        <v>0</v>
      </c>
      <c r="M1882" t="n">
        <v>0</v>
      </c>
      <c r="N1882" t="n">
        <v>0</v>
      </c>
      <c r="O1882" t="n">
        <v>0</v>
      </c>
      <c r="P1882" t="n">
        <v>0</v>
      </c>
      <c r="Q1882" t="n">
        <v>0</v>
      </c>
      <c r="R1882" s="2" t="inlineStr"/>
    </row>
    <row r="1883" ht="15" customHeight="1">
      <c r="A1883" t="inlineStr">
        <is>
          <t>A 41841-2023</t>
        </is>
      </c>
      <c r="B1883" s="1" t="n">
        <v>45176</v>
      </c>
      <c r="C1883" s="1" t="n">
        <v>45265</v>
      </c>
      <c r="D1883" t="inlineStr">
        <is>
          <t>VÄRMLANDS LÄN</t>
        </is>
      </c>
      <c r="E1883" t="inlineStr">
        <is>
          <t>TORSBY</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41885-2023</t>
        </is>
      </c>
      <c r="B1884" s="1" t="n">
        <v>45176</v>
      </c>
      <c r="C1884" s="1" t="n">
        <v>45265</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41843-2023</t>
        </is>
      </c>
      <c r="B1885" s="1" t="n">
        <v>45176</v>
      </c>
      <c r="C1885" s="1" t="n">
        <v>45265</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41868-2023</t>
        </is>
      </c>
      <c r="B1886" s="1" t="n">
        <v>45176</v>
      </c>
      <c r="C1886" s="1" t="n">
        <v>45265</v>
      </c>
      <c r="D1886" t="inlineStr">
        <is>
          <t>VÄRMLANDS LÄN</t>
        </is>
      </c>
      <c r="E1886" t="inlineStr">
        <is>
          <t>TORSBY</t>
        </is>
      </c>
      <c r="F1886" t="inlineStr">
        <is>
          <t>Bergvik skog väst AB</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42062-2023</t>
        </is>
      </c>
      <c r="B1887" s="1" t="n">
        <v>45177</v>
      </c>
      <c r="C1887" s="1" t="n">
        <v>45265</v>
      </c>
      <c r="D1887" t="inlineStr">
        <is>
          <t>VÄRMLANDS LÄN</t>
        </is>
      </c>
      <c r="E1887" t="inlineStr">
        <is>
          <t>TORSBY</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42245-2023</t>
        </is>
      </c>
      <c r="B1888" s="1" t="n">
        <v>45180</v>
      </c>
      <c r="C1888" s="1" t="n">
        <v>45265</v>
      </c>
      <c r="D1888" t="inlineStr">
        <is>
          <t>VÄRMLANDS LÄN</t>
        </is>
      </c>
      <c r="E1888" t="inlineStr">
        <is>
          <t>TORSBY</t>
        </is>
      </c>
      <c r="F1888" t="inlineStr">
        <is>
          <t>Bergvik skog väst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42473-2023</t>
        </is>
      </c>
      <c r="B1889" s="1" t="n">
        <v>45180</v>
      </c>
      <c r="C1889" s="1" t="n">
        <v>45265</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42403-2023</t>
        </is>
      </c>
      <c r="B1890" s="1" t="n">
        <v>45180</v>
      </c>
      <c r="C1890" s="1" t="n">
        <v>45265</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42420-2023</t>
        </is>
      </c>
      <c r="B1891" s="1" t="n">
        <v>45180</v>
      </c>
      <c r="C1891" s="1" t="n">
        <v>45265</v>
      </c>
      <c r="D1891" t="inlineStr">
        <is>
          <t>VÄRMLANDS LÄN</t>
        </is>
      </c>
      <c r="E1891" t="inlineStr">
        <is>
          <t>TORSBY</t>
        </is>
      </c>
      <c r="F1891" t="inlineStr">
        <is>
          <t>Bergvik skog väst AB</t>
        </is>
      </c>
      <c r="G1891" t="n">
        <v>19.9</v>
      </c>
      <c r="H1891" t="n">
        <v>0</v>
      </c>
      <c r="I1891" t="n">
        <v>0</v>
      </c>
      <c r="J1891" t="n">
        <v>0</v>
      </c>
      <c r="K1891" t="n">
        <v>0</v>
      </c>
      <c r="L1891" t="n">
        <v>0</v>
      </c>
      <c r="M1891" t="n">
        <v>0</v>
      </c>
      <c r="N1891" t="n">
        <v>0</v>
      </c>
      <c r="O1891" t="n">
        <v>0</v>
      </c>
      <c r="P1891" t="n">
        <v>0</v>
      </c>
      <c r="Q1891" t="n">
        <v>0</v>
      </c>
      <c r="R1891" s="2" t="inlineStr"/>
    </row>
    <row r="1892" ht="15" customHeight="1">
      <c r="A1892" t="inlineStr">
        <is>
          <t>A 43532-2023</t>
        </is>
      </c>
      <c r="B1892" s="1" t="n">
        <v>45181</v>
      </c>
      <c r="C1892" s="1" t="n">
        <v>45265</v>
      </c>
      <c r="D1892" t="inlineStr">
        <is>
          <t>VÄRMLANDS LÄN</t>
        </is>
      </c>
      <c r="E1892" t="inlineStr">
        <is>
          <t>TORSBY</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43529-2023</t>
        </is>
      </c>
      <c r="B1893" s="1" t="n">
        <v>45181</v>
      </c>
      <c r="C1893" s="1" t="n">
        <v>45265</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43527-2023</t>
        </is>
      </c>
      <c r="B1894" s="1" t="n">
        <v>45181</v>
      </c>
      <c r="C1894" s="1" t="n">
        <v>45265</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43536-2023</t>
        </is>
      </c>
      <c r="B1895" s="1" t="n">
        <v>45181</v>
      </c>
      <c r="C1895" s="1" t="n">
        <v>45265</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43528-2023</t>
        </is>
      </c>
      <c r="B1896" s="1" t="n">
        <v>45181</v>
      </c>
      <c r="C1896" s="1" t="n">
        <v>45265</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42645-2023</t>
        </is>
      </c>
      <c r="B1897" s="1" t="n">
        <v>45181</v>
      </c>
      <c r="C1897" s="1" t="n">
        <v>45265</v>
      </c>
      <c r="D1897" t="inlineStr">
        <is>
          <t>VÄRMLANDS LÄN</t>
        </is>
      </c>
      <c r="E1897" t="inlineStr">
        <is>
          <t>TORSBY</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42652-2023</t>
        </is>
      </c>
      <c r="B1898" s="1" t="n">
        <v>45181</v>
      </c>
      <c r="C1898" s="1" t="n">
        <v>45265</v>
      </c>
      <c r="D1898" t="inlineStr">
        <is>
          <t>VÄRMLANDS LÄN</t>
        </is>
      </c>
      <c r="E1898" t="inlineStr">
        <is>
          <t>TORSBY</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42656-2023</t>
        </is>
      </c>
      <c r="B1899" s="1" t="n">
        <v>45181</v>
      </c>
      <c r="C1899" s="1" t="n">
        <v>45265</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42581-2023</t>
        </is>
      </c>
      <c r="B1900" s="1" t="n">
        <v>45181</v>
      </c>
      <c r="C1900" s="1" t="n">
        <v>45265</v>
      </c>
      <c r="D1900" t="inlineStr">
        <is>
          <t>VÄRMLANDS LÄN</t>
        </is>
      </c>
      <c r="E1900" t="inlineStr">
        <is>
          <t>TORSBY</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42613-2023</t>
        </is>
      </c>
      <c r="B1901" s="1" t="n">
        <v>45181</v>
      </c>
      <c r="C1901" s="1" t="n">
        <v>45265</v>
      </c>
      <c r="D1901" t="inlineStr">
        <is>
          <t>VÄRMLANDS LÄN</t>
        </is>
      </c>
      <c r="E1901" t="inlineStr">
        <is>
          <t>TORSBY</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42635-2023</t>
        </is>
      </c>
      <c r="B1902" s="1" t="n">
        <v>45181</v>
      </c>
      <c r="C1902" s="1" t="n">
        <v>45265</v>
      </c>
      <c r="D1902" t="inlineStr">
        <is>
          <t>VÄRMLANDS LÄN</t>
        </is>
      </c>
      <c r="E1902" t="inlineStr">
        <is>
          <t>TORSBY</t>
        </is>
      </c>
      <c r="G1902" t="n">
        <v>16.1</v>
      </c>
      <c r="H1902" t="n">
        <v>0</v>
      </c>
      <c r="I1902" t="n">
        <v>0</v>
      </c>
      <c r="J1902" t="n">
        <v>0</v>
      </c>
      <c r="K1902" t="n">
        <v>0</v>
      </c>
      <c r="L1902" t="n">
        <v>0</v>
      </c>
      <c r="M1902" t="n">
        <v>0</v>
      </c>
      <c r="N1902" t="n">
        <v>0</v>
      </c>
      <c r="O1902" t="n">
        <v>0</v>
      </c>
      <c r="P1902" t="n">
        <v>0</v>
      </c>
      <c r="Q1902" t="n">
        <v>0</v>
      </c>
      <c r="R1902" s="2" t="inlineStr"/>
    </row>
    <row r="1903" ht="15" customHeight="1">
      <c r="A1903" t="inlineStr">
        <is>
          <t>A 42658-2023</t>
        </is>
      </c>
      <c r="B1903" s="1" t="n">
        <v>45181</v>
      </c>
      <c r="C1903" s="1" t="n">
        <v>45265</v>
      </c>
      <c r="D1903" t="inlineStr">
        <is>
          <t>VÄRMLANDS LÄN</t>
        </is>
      </c>
      <c r="E1903" t="inlineStr">
        <is>
          <t>TORSBY</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42710-2023</t>
        </is>
      </c>
      <c r="B1904" s="1" t="n">
        <v>45181</v>
      </c>
      <c r="C1904" s="1" t="n">
        <v>45265</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42632-2023</t>
        </is>
      </c>
      <c r="B1905" s="1" t="n">
        <v>45181</v>
      </c>
      <c r="C1905" s="1" t="n">
        <v>45265</v>
      </c>
      <c r="D1905" t="inlineStr">
        <is>
          <t>VÄRMLANDS LÄN</t>
        </is>
      </c>
      <c r="E1905" t="inlineStr">
        <is>
          <t>TORSBY</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42944-2023</t>
        </is>
      </c>
      <c r="B1906" s="1" t="n">
        <v>45182</v>
      </c>
      <c r="C1906" s="1" t="n">
        <v>45265</v>
      </c>
      <c r="D1906" t="inlineStr">
        <is>
          <t>VÄRMLANDS LÄN</t>
        </is>
      </c>
      <c r="E1906" t="inlineStr">
        <is>
          <t>TORSBY</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43084-2023</t>
        </is>
      </c>
      <c r="B1907" s="1" t="n">
        <v>45182</v>
      </c>
      <c r="C1907" s="1" t="n">
        <v>45265</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44083-2023</t>
        </is>
      </c>
      <c r="B1908" s="1" t="n">
        <v>45182</v>
      </c>
      <c r="C1908" s="1" t="n">
        <v>45265</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44094-2023</t>
        </is>
      </c>
      <c r="B1909" s="1" t="n">
        <v>45182</v>
      </c>
      <c r="C1909" s="1" t="n">
        <v>45265</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43179-2023</t>
        </is>
      </c>
      <c r="B1910" s="1" t="n">
        <v>45183</v>
      </c>
      <c r="C1910" s="1" t="n">
        <v>45265</v>
      </c>
      <c r="D1910" t="inlineStr">
        <is>
          <t>VÄRMLANDS LÄN</t>
        </is>
      </c>
      <c r="E1910" t="inlineStr">
        <is>
          <t>TORSBY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43361-2023</t>
        </is>
      </c>
      <c r="B1911" s="1" t="n">
        <v>45183</v>
      </c>
      <c r="C1911" s="1" t="n">
        <v>45265</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43540-2023</t>
        </is>
      </c>
      <c r="B1912" s="1" t="n">
        <v>45184</v>
      </c>
      <c r="C1912" s="1" t="n">
        <v>45265</v>
      </c>
      <c r="D1912" t="inlineStr">
        <is>
          <t>VÄRMLANDS LÄN</t>
        </is>
      </c>
      <c r="E1912" t="inlineStr">
        <is>
          <t>TORSBY</t>
        </is>
      </c>
      <c r="F1912" t="inlineStr">
        <is>
          <t>Bergvik skog väst AB</t>
        </is>
      </c>
      <c r="G1912" t="n">
        <v>11.3</v>
      </c>
      <c r="H1912" t="n">
        <v>0</v>
      </c>
      <c r="I1912" t="n">
        <v>0</v>
      </c>
      <c r="J1912" t="n">
        <v>0</v>
      </c>
      <c r="K1912" t="n">
        <v>0</v>
      </c>
      <c r="L1912" t="n">
        <v>0</v>
      </c>
      <c r="M1912" t="n">
        <v>0</v>
      </c>
      <c r="N1912" t="n">
        <v>0</v>
      </c>
      <c r="O1912" t="n">
        <v>0</v>
      </c>
      <c r="P1912" t="n">
        <v>0</v>
      </c>
      <c r="Q1912" t="n">
        <v>0</v>
      </c>
      <c r="R1912" s="2" t="inlineStr"/>
    </row>
    <row r="1913" ht="15" customHeight="1">
      <c r="A1913" t="inlineStr">
        <is>
          <t>A 43562-2023</t>
        </is>
      </c>
      <c r="B1913" s="1" t="n">
        <v>45184</v>
      </c>
      <c r="C1913" s="1" t="n">
        <v>45265</v>
      </c>
      <c r="D1913" t="inlineStr">
        <is>
          <t>VÄRMLANDS LÄN</t>
        </is>
      </c>
      <c r="E1913" t="inlineStr">
        <is>
          <t>TORSBY</t>
        </is>
      </c>
      <c r="F1913" t="inlineStr">
        <is>
          <t>Kommuner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43599-2023</t>
        </is>
      </c>
      <c r="B1914" s="1" t="n">
        <v>45184</v>
      </c>
      <c r="C1914" s="1" t="n">
        <v>45265</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43663-2023</t>
        </is>
      </c>
      <c r="B1915" s="1" t="n">
        <v>45187</v>
      </c>
      <c r="C1915" s="1" t="n">
        <v>45265</v>
      </c>
      <c r="D1915" t="inlineStr">
        <is>
          <t>VÄRMLANDS LÄN</t>
        </is>
      </c>
      <c r="E1915" t="inlineStr">
        <is>
          <t>TORSBY</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43670-2023</t>
        </is>
      </c>
      <c r="B1916" s="1" t="n">
        <v>45187</v>
      </c>
      <c r="C1916" s="1" t="n">
        <v>45265</v>
      </c>
      <c r="D1916" t="inlineStr">
        <is>
          <t>VÄRMLANDS LÄN</t>
        </is>
      </c>
      <c r="E1916" t="inlineStr">
        <is>
          <t>TORSBY</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44047-2023</t>
        </is>
      </c>
      <c r="B1917" s="1" t="n">
        <v>45188</v>
      </c>
      <c r="C1917" s="1" t="n">
        <v>45265</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44150-2023</t>
        </is>
      </c>
      <c r="B1918" s="1" t="n">
        <v>45188</v>
      </c>
      <c r="C1918" s="1" t="n">
        <v>45265</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44044-2023</t>
        </is>
      </c>
      <c r="B1919" s="1" t="n">
        <v>45188</v>
      </c>
      <c r="C1919" s="1" t="n">
        <v>45265</v>
      </c>
      <c r="D1919" t="inlineStr">
        <is>
          <t>VÄRMLANDS LÄN</t>
        </is>
      </c>
      <c r="E1919" t="inlineStr">
        <is>
          <t>TORSBY</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44127-2023</t>
        </is>
      </c>
      <c r="B1920" s="1" t="n">
        <v>45188</v>
      </c>
      <c r="C1920" s="1" t="n">
        <v>45265</v>
      </c>
      <c r="D1920" t="inlineStr">
        <is>
          <t>VÄRMLANDS LÄN</t>
        </is>
      </c>
      <c r="E1920" t="inlineStr">
        <is>
          <t>TORSBY</t>
        </is>
      </c>
      <c r="F1920" t="inlineStr">
        <is>
          <t>Bergvik skog väst AB</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44262-2023</t>
        </is>
      </c>
      <c r="B1921" s="1" t="n">
        <v>45188</v>
      </c>
      <c r="C1921" s="1" t="n">
        <v>45265</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44113-2023</t>
        </is>
      </c>
      <c r="B1922" s="1" t="n">
        <v>45188</v>
      </c>
      <c r="C1922" s="1" t="n">
        <v>45265</v>
      </c>
      <c r="D1922" t="inlineStr">
        <is>
          <t>VÄRMLANDS LÄN</t>
        </is>
      </c>
      <c r="E1922" t="inlineStr">
        <is>
          <t>TORSBY</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44424-2023</t>
        </is>
      </c>
      <c r="B1923" s="1" t="n">
        <v>45189</v>
      </c>
      <c r="C1923" s="1" t="n">
        <v>45265</v>
      </c>
      <c r="D1923" t="inlineStr">
        <is>
          <t>VÄRMLANDS LÄN</t>
        </is>
      </c>
      <c r="E1923" t="inlineStr">
        <is>
          <t>TORSBY</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44497-2023</t>
        </is>
      </c>
      <c r="B1924" s="1" t="n">
        <v>45189</v>
      </c>
      <c r="C1924" s="1" t="n">
        <v>45265</v>
      </c>
      <c r="D1924" t="inlineStr">
        <is>
          <t>VÄRMLANDS LÄN</t>
        </is>
      </c>
      <c r="E1924" t="inlineStr">
        <is>
          <t>TORSBY</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44562-2023</t>
        </is>
      </c>
      <c r="B1925" s="1" t="n">
        <v>45189</v>
      </c>
      <c r="C1925" s="1" t="n">
        <v>45265</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44641-2023</t>
        </is>
      </c>
      <c r="B1926" s="1" t="n">
        <v>45189</v>
      </c>
      <c r="C1926" s="1" t="n">
        <v>45265</v>
      </c>
      <c r="D1926" t="inlineStr">
        <is>
          <t>VÄRMLANDS LÄN</t>
        </is>
      </c>
      <c r="E1926" t="inlineStr">
        <is>
          <t>TORSBY</t>
        </is>
      </c>
      <c r="F1926" t="inlineStr">
        <is>
          <t>Bergvik skog väst AB</t>
        </is>
      </c>
      <c r="G1926" t="n">
        <v>20.3</v>
      </c>
      <c r="H1926" t="n">
        <v>0</v>
      </c>
      <c r="I1926" t="n">
        <v>0</v>
      </c>
      <c r="J1926" t="n">
        <v>0</v>
      </c>
      <c r="K1926" t="n">
        <v>0</v>
      </c>
      <c r="L1926" t="n">
        <v>0</v>
      </c>
      <c r="M1926" t="n">
        <v>0</v>
      </c>
      <c r="N1926" t="n">
        <v>0</v>
      </c>
      <c r="O1926" t="n">
        <v>0</v>
      </c>
      <c r="P1926" t="n">
        <v>0</v>
      </c>
      <c r="Q1926" t="n">
        <v>0</v>
      </c>
      <c r="R1926" s="2" t="inlineStr"/>
    </row>
    <row r="1927" ht="15" customHeight="1">
      <c r="A1927" t="inlineStr">
        <is>
          <t>A 44645-2023</t>
        </is>
      </c>
      <c r="B1927" s="1" t="n">
        <v>45189</v>
      </c>
      <c r="C1927" s="1" t="n">
        <v>45265</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44670-2023</t>
        </is>
      </c>
      <c r="B1928" s="1" t="n">
        <v>45189</v>
      </c>
      <c r="C1928" s="1" t="n">
        <v>45265</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44710-2023</t>
        </is>
      </c>
      <c r="B1929" s="1" t="n">
        <v>45190</v>
      </c>
      <c r="C1929" s="1" t="n">
        <v>45265</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44730-2023</t>
        </is>
      </c>
      <c r="B1930" s="1" t="n">
        <v>45190</v>
      </c>
      <c r="C1930" s="1" t="n">
        <v>45265</v>
      </c>
      <c r="D1930" t="inlineStr">
        <is>
          <t>VÄRMLANDS LÄN</t>
        </is>
      </c>
      <c r="E1930" t="inlineStr">
        <is>
          <t>TORSBY</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45224-2023</t>
        </is>
      </c>
      <c r="B1931" s="1" t="n">
        <v>45191</v>
      </c>
      <c r="C1931" s="1" t="n">
        <v>45265</v>
      </c>
      <c r="D1931" t="inlineStr">
        <is>
          <t>VÄRMLANDS LÄN</t>
        </is>
      </c>
      <c r="E1931" t="inlineStr">
        <is>
          <t>TORSBY</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45041-2023</t>
        </is>
      </c>
      <c r="B1932" s="1" t="n">
        <v>45191</v>
      </c>
      <c r="C1932" s="1" t="n">
        <v>45265</v>
      </c>
      <c r="D1932" t="inlineStr">
        <is>
          <t>VÄRMLANDS LÄN</t>
        </is>
      </c>
      <c r="E1932" t="inlineStr">
        <is>
          <t>TORSBY</t>
        </is>
      </c>
      <c r="F1932" t="inlineStr">
        <is>
          <t>Kyrkan</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45152-2023</t>
        </is>
      </c>
      <c r="B1933" s="1" t="n">
        <v>45191</v>
      </c>
      <c r="C1933" s="1" t="n">
        <v>45265</v>
      </c>
      <c r="D1933" t="inlineStr">
        <is>
          <t>VÄRMLANDS LÄN</t>
        </is>
      </c>
      <c r="E1933" t="inlineStr">
        <is>
          <t>TORSBY</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45169-2023</t>
        </is>
      </c>
      <c r="B1934" s="1" t="n">
        <v>45191</v>
      </c>
      <c r="C1934" s="1" t="n">
        <v>45265</v>
      </c>
      <c r="D1934" t="inlineStr">
        <is>
          <t>VÄRMLANDS LÄN</t>
        </is>
      </c>
      <c r="E1934" t="inlineStr">
        <is>
          <t>TORSBY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45231-2023</t>
        </is>
      </c>
      <c r="B1935" s="1" t="n">
        <v>45191</v>
      </c>
      <c r="C1935" s="1" t="n">
        <v>45265</v>
      </c>
      <c r="D1935" t="inlineStr">
        <is>
          <t>VÄRMLANDS LÄN</t>
        </is>
      </c>
      <c r="E1935" t="inlineStr">
        <is>
          <t>TORSBY</t>
        </is>
      </c>
      <c r="F1935" t="inlineStr">
        <is>
          <t>Bergvik skog väst AB</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45228-2023</t>
        </is>
      </c>
      <c r="B1936" s="1" t="n">
        <v>45191</v>
      </c>
      <c r="C1936" s="1" t="n">
        <v>45265</v>
      </c>
      <c r="D1936" t="inlineStr">
        <is>
          <t>VÄRMLANDS LÄN</t>
        </is>
      </c>
      <c r="E1936" t="inlineStr">
        <is>
          <t>TORSBY</t>
        </is>
      </c>
      <c r="F1936" t="inlineStr">
        <is>
          <t>Bergvik skog väst AB</t>
        </is>
      </c>
      <c r="G1936" t="n">
        <v>26.8</v>
      </c>
      <c r="H1936" t="n">
        <v>0</v>
      </c>
      <c r="I1936" t="n">
        <v>0</v>
      </c>
      <c r="J1936" t="n">
        <v>0</v>
      </c>
      <c r="K1936" t="n">
        <v>0</v>
      </c>
      <c r="L1936" t="n">
        <v>0</v>
      </c>
      <c r="M1936" t="n">
        <v>0</v>
      </c>
      <c r="N1936" t="n">
        <v>0</v>
      </c>
      <c r="O1936" t="n">
        <v>0</v>
      </c>
      <c r="P1936" t="n">
        <v>0</v>
      </c>
      <c r="Q1936" t="n">
        <v>0</v>
      </c>
      <c r="R1936" s="2" t="inlineStr"/>
    </row>
    <row r="1937" ht="15" customHeight="1">
      <c r="A1937" t="inlineStr">
        <is>
          <t>A 45587-2023</t>
        </is>
      </c>
      <c r="B1937" s="1" t="n">
        <v>45194</v>
      </c>
      <c r="C1937" s="1" t="n">
        <v>45265</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45399-2023</t>
        </is>
      </c>
      <c r="B1938" s="1" t="n">
        <v>45194</v>
      </c>
      <c r="C1938" s="1" t="n">
        <v>45265</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45563-2023</t>
        </is>
      </c>
      <c r="B1939" s="1" t="n">
        <v>45194</v>
      </c>
      <c r="C1939" s="1" t="n">
        <v>45265</v>
      </c>
      <c r="D1939" t="inlineStr">
        <is>
          <t>VÄRMLANDS LÄN</t>
        </is>
      </c>
      <c r="E1939" t="inlineStr">
        <is>
          <t>TORSBY</t>
        </is>
      </c>
      <c r="F1939" t="inlineStr">
        <is>
          <t>Bergvik skog väst AB</t>
        </is>
      </c>
      <c r="G1939" t="n">
        <v>22.6</v>
      </c>
      <c r="H1939" t="n">
        <v>0</v>
      </c>
      <c r="I1939" t="n">
        <v>0</v>
      </c>
      <c r="J1939" t="n">
        <v>0</v>
      </c>
      <c r="K1939" t="n">
        <v>0</v>
      </c>
      <c r="L1939" t="n">
        <v>0</v>
      </c>
      <c r="M1939" t="n">
        <v>0</v>
      </c>
      <c r="N1939" t="n">
        <v>0</v>
      </c>
      <c r="O1939" t="n">
        <v>0</v>
      </c>
      <c r="P1939" t="n">
        <v>0</v>
      </c>
      <c r="Q1939" t="n">
        <v>0</v>
      </c>
      <c r="R1939" s="2" t="inlineStr"/>
    </row>
    <row r="1940" ht="15" customHeight="1">
      <c r="A1940" t="inlineStr">
        <is>
          <t>A 45765-2023</t>
        </is>
      </c>
      <c r="B1940" s="1" t="n">
        <v>45195</v>
      </c>
      <c r="C1940" s="1" t="n">
        <v>45265</v>
      </c>
      <c r="D1940" t="inlineStr">
        <is>
          <t>VÄRMLANDS LÄN</t>
        </is>
      </c>
      <c r="E1940" t="inlineStr">
        <is>
          <t>TORSBY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45872-2023</t>
        </is>
      </c>
      <c r="B1941" s="1" t="n">
        <v>45195</v>
      </c>
      <c r="C1941" s="1" t="n">
        <v>45265</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45775-2023</t>
        </is>
      </c>
      <c r="B1942" s="1" t="n">
        <v>45195</v>
      </c>
      <c r="C1942" s="1" t="n">
        <v>45265</v>
      </c>
      <c r="D1942" t="inlineStr">
        <is>
          <t>VÄRMLANDS LÄN</t>
        </is>
      </c>
      <c r="E1942" t="inlineStr">
        <is>
          <t>TORSBY</t>
        </is>
      </c>
      <c r="F1942" t="inlineStr">
        <is>
          <t>Bergvik skog väst AB</t>
        </is>
      </c>
      <c r="G1942" t="n">
        <v>34.2</v>
      </c>
      <c r="H1942" t="n">
        <v>0</v>
      </c>
      <c r="I1942" t="n">
        <v>0</v>
      </c>
      <c r="J1942" t="n">
        <v>0</v>
      </c>
      <c r="K1942" t="n">
        <v>0</v>
      </c>
      <c r="L1942" t="n">
        <v>0</v>
      </c>
      <c r="M1942" t="n">
        <v>0</v>
      </c>
      <c r="N1942" t="n">
        <v>0</v>
      </c>
      <c r="O1942" t="n">
        <v>0</v>
      </c>
      <c r="P1942" t="n">
        <v>0</v>
      </c>
      <c r="Q1942" t="n">
        <v>0</v>
      </c>
      <c r="R1942" s="2" t="inlineStr"/>
    </row>
    <row r="1943" ht="15" customHeight="1">
      <c r="A1943" t="inlineStr">
        <is>
          <t>A 46003-2023</t>
        </is>
      </c>
      <c r="B1943" s="1" t="n">
        <v>45196</v>
      </c>
      <c r="C1943" s="1" t="n">
        <v>45265</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46048-2023</t>
        </is>
      </c>
      <c r="B1944" s="1" t="n">
        <v>45196</v>
      </c>
      <c r="C1944" s="1" t="n">
        <v>45265</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46001-2023</t>
        </is>
      </c>
      <c r="B1945" s="1" t="n">
        <v>45196</v>
      </c>
      <c r="C1945" s="1" t="n">
        <v>45265</v>
      </c>
      <c r="D1945" t="inlineStr">
        <is>
          <t>VÄRMLANDS LÄN</t>
        </is>
      </c>
      <c r="E1945" t="inlineStr">
        <is>
          <t>TORSBY</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46202-2023</t>
        </is>
      </c>
      <c r="B1946" s="1" t="n">
        <v>45196</v>
      </c>
      <c r="C1946" s="1" t="n">
        <v>45265</v>
      </c>
      <c r="D1946" t="inlineStr">
        <is>
          <t>VÄRMLANDS LÄN</t>
        </is>
      </c>
      <c r="E1946" t="inlineStr">
        <is>
          <t>TORSBY</t>
        </is>
      </c>
      <c r="F1946" t="inlineStr">
        <is>
          <t>Bergvik skog väst AB</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46233-2023</t>
        </is>
      </c>
      <c r="B1947" s="1" t="n">
        <v>45196</v>
      </c>
      <c r="C1947" s="1" t="n">
        <v>45265</v>
      </c>
      <c r="D1947" t="inlineStr">
        <is>
          <t>VÄRMLANDS LÄN</t>
        </is>
      </c>
      <c r="E1947" t="inlineStr">
        <is>
          <t>TORSBY</t>
        </is>
      </c>
      <c r="F1947" t="inlineStr">
        <is>
          <t>Kyrkan</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46127-2023</t>
        </is>
      </c>
      <c r="B1948" s="1" t="n">
        <v>45196</v>
      </c>
      <c r="C1948" s="1" t="n">
        <v>45265</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46199-2023</t>
        </is>
      </c>
      <c r="B1949" s="1" t="n">
        <v>45196</v>
      </c>
      <c r="C1949" s="1" t="n">
        <v>45265</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46220-2023</t>
        </is>
      </c>
      <c r="B1950" s="1" t="n">
        <v>45196</v>
      </c>
      <c r="C1950" s="1" t="n">
        <v>45265</v>
      </c>
      <c r="D1950" t="inlineStr">
        <is>
          <t>VÄRMLANDS LÄN</t>
        </is>
      </c>
      <c r="E1950" t="inlineStr">
        <is>
          <t>TORSBY</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46156-2023</t>
        </is>
      </c>
      <c r="B1951" s="1" t="n">
        <v>45196</v>
      </c>
      <c r="C1951" s="1" t="n">
        <v>45265</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46180-2023</t>
        </is>
      </c>
      <c r="B1952" s="1" t="n">
        <v>45196</v>
      </c>
      <c r="C1952" s="1" t="n">
        <v>45265</v>
      </c>
      <c r="D1952" t="inlineStr">
        <is>
          <t>VÄRMLANDS LÄN</t>
        </is>
      </c>
      <c r="E1952" t="inlineStr">
        <is>
          <t>TORSBY</t>
        </is>
      </c>
      <c r="F1952" t="inlineStr">
        <is>
          <t>Bergvik skog väst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46195-2023</t>
        </is>
      </c>
      <c r="B1953" s="1" t="n">
        <v>45196</v>
      </c>
      <c r="C1953" s="1" t="n">
        <v>45265</v>
      </c>
      <c r="D1953" t="inlineStr">
        <is>
          <t>VÄRMLANDS LÄN</t>
        </is>
      </c>
      <c r="E1953" t="inlineStr">
        <is>
          <t>TORSBY</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46221-2023</t>
        </is>
      </c>
      <c r="B1954" s="1" t="n">
        <v>45196</v>
      </c>
      <c r="C1954" s="1" t="n">
        <v>45265</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47227-2023</t>
        </is>
      </c>
      <c r="B1955" s="1" t="n">
        <v>45196</v>
      </c>
      <c r="C1955" s="1" t="n">
        <v>45265</v>
      </c>
      <c r="D1955" t="inlineStr">
        <is>
          <t>VÄRMLANDS LÄN</t>
        </is>
      </c>
      <c r="E1955" t="inlineStr">
        <is>
          <t>TORSBY</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46424-2023</t>
        </is>
      </c>
      <c r="B1956" s="1" t="n">
        <v>45197</v>
      </c>
      <c r="C1956" s="1" t="n">
        <v>45265</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46449-2023</t>
        </is>
      </c>
      <c r="B1957" s="1" t="n">
        <v>45197</v>
      </c>
      <c r="C1957" s="1" t="n">
        <v>45265</v>
      </c>
      <c r="D1957" t="inlineStr">
        <is>
          <t>VÄRMLANDS LÄN</t>
        </is>
      </c>
      <c r="E1957" t="inlineStr">
        <is>
          <t>TORSBY</t>
        </is>
      </c>
      <c r="F1957" t="inlineStr">
        <is>
          <t>Bergvik skog väst AB</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46509-2023</t>
        </is>
      </c>
      <c r="B1958" s="1" t="n">
        <v>45197</v>
      </c>
      <c r="C1958" s="1" t="n">
        <v>45265</v>
      </c>
      <c r="D1958" t="inlineStr">
        <is>
          <t>VÄRMLANDS LÄN</t>
        </is>
      </c>
      <c r="E1958" t="inlineStr">
        <is>
          <t>TORSBY</t>
        </is>
      </c>
      <c r="F1958" t="inlineStr">
        <is>
          <t>Bergvik skog väst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46489-2023</t>
        </is>
      </c>
      <c r="B1959" s="1" t="n">
        <v>45197</v>
      </c>
      <c r="C1959" s="1" t="n">
        <v>45265</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47119-2023</t>
        </is>
      </c>
      <c r="B1960" s="1" t="n">
        <v>45201</v>
      </c>
      <c r="C1960" s="1" t="n">
        <v>45265</v>
      </c>
      <c r="D1960" t="inlineStr">
        <is>
          <t>VÄRMLANDS LÄN</t>
        </is>
      </c>
      <c r="E1960" t="inlineStr">
        <is>
          <t>TORSBY</t>
        </is>
      </c>
      <c r="F1960" t="inlineStr">
        <is>
          <t>Bergvik skog väst AB</t>
        </is>
      </c>
      <c r="G1960" t="n">
        <v>18.7</v>
      </c>
      <c r="H1960" t="n">
        <v>0</v>
      </c>
      <c r="I1960" t="n">
        <v>0</v>
      </c>
      <c r="J1960" t="n">
        <v>0</v>
      </c>
      <c r="K1960" t="n">
        <v>0</v>
      </c>
      <c r="L1960" t="n">
        <v>0</v>
      </c>
      <c r="M1960" t="n">
        <v>0</v>
      </c>
      <c r="N1960" t="n">
        <v>0</v>
      </c>
      <c r="O1960" t="n">
        <v>0</v>
      </c>
      <c r="P1960" t="n">
        <v>0</v>
      </c>
      <c r="Q1960" t="n">
        <v>0</v>
      </c>
      <c r="R1960" s="2" t="inlineStr"/>
    </row>
    <row r="1961" ht="15" customHeight="1">
      <c r="A1961" t="inlineStr">
        <is>
          <t>A 46880-2023</t>
        </is>
      </c>
      <c r="B1961" s="1" t="n">
        <v>45201</v>
      </c>
      <c r="C1961" s="1" t="n">
        <v>45265</v>
      </c>
      <c r="D1961" t="inlineStr">
        <is>
          <t>VÄRMLANDS LÄN</t>
        </is>
      </c>
      <c r="E1961" t="inlineStr">
        <is>
          <t>TORSBY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46938-2023</t>
        </is>
      </c>
      <c r="B1962" s="1" t="n">
        <v>45201</v>
      </c>
      <c r="C1962" s="1" t="n">
        <v>45265</v>
      </c>
      <c r="D1962" t="inlineStr">
        <is>
          <t>VÄRMLANDS LÄN</t>
        </is>
      </c>
      <c r="E1962" t="inlineStr">
        <is>
          <t>TORSBY</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47077-2023</t>
        </is>
      </c>
      <c r="B1963" s="1" t="n">
        <v>45201</v>
      </c>
      <c r="C1963" s="1" t="n">
        <v>45265</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47275-2023</t>
        </is>
      </c>
      <c r="B1964" s="1" t="n">
        <v>45202</v>
      </c>
      <c r="C1964" s="1" t="n">
        <v>45265</v>
      </c>
      <c r="D1964" t="inlineStr">
        <is>
          <t>VÄRMLANDS LÄN</t>
        </is>
      </c>
      <c r="E1964" t="inlineStr">
        <is>
          <t>TORSBY</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47241-2023</t>
        </is>
      </c>
      <c r="B1965" s="1" t="n">
        <v>45202</v>
      </c>
      <c r="C1965" s="1" t="n">
        <v>45265</v>
      </c>
      <c r="D1965" t="inlineStr">
        <is>
          <t>VÄRMLANDS LÄN</t>
        </is>
      </c>
      <c r="E1965" t="inlineStr">
        <is>
          <t>TORSBY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47355-2023</t>
        </is>
      </c>
      <c r="B1966" s="1" t="n">
        <v>45202</v>
      </c>
      <c r="C1966" s="1" t="n">
        <v>45265</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47401-2023</t>
        </is>
      </c>
      <c r="B1967" s="1" t="n">
        <v>45202</v>
      </c>
      <c r="C1967" s="1" t="n">
        <v>45265</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47737-2023</t>
        </is>
      </c>
      <c r="B1968" s="1" t="n">
        <v>45203</v>
      </c>
      <c r="C1968" s="1" t="n">
        <v>45265</v>
      </c>
      <c r="D1968" t="inlineStr">
        <is>
          <t>VÄRMLANDS LÄN</t>
        </is>
      </c>
      <c r="E1968" t="inlineStr">
        <is>
          <t>TORSBY</t>
        </is>
      </c>
      <c r="F1968" t="inlineStr">
        <is>
          <t>Bergvik skog väst AB</t>
        </is>
      </c>
      <c r="G1968" t="n">
        <v>24.4</v>
      </c>
      <c r="H1968" t="n">
        <v>0</v>
      </c>
      <c r="I1968" t="n">
        <v>0</v>
      </c>
      <c r="J1968" t="n">
        <v>0</v>
      </c>
      <c r="K1968" t="n">
        <v>0</v>
      </c>
      <c r="L1968" t="n">
        <v>0</v>
      </c>
      <c r="M1968" t="n">
        <v>0</v>
      </c>
      <c r="N1968" t="n">
        <v>0</v>
      </c>
      <c r="O1968" t="n">
        <v>0</v>
      </c>
      <c r="P1968" t="n">
        <v>0</v>
      </c>
      <c r="Q1968" t="n">
        <v>0</v>
      </c>
      <c r="R1968" s="2" t="inlineStr"/>
    </row>
    <row r="1969" ht="15" customHeight="1">
      <c r="A1969" t="inlineStr">
        <is>
          <t>A 47615-2023</t>
        </is>
      </c>
      <c r="B1969" s="1" t="n">
        <v>45203</v>
      </c>
      <c r="C1969" s="1" t="n">
        <v>45265</v>
      </c>
      <c r="D1969" t="inlineStr">
        <is>
          <t>VÄRMLANDS LÄN</t>
        </is>
      </c>
      <c r="E1969" t="inlineStr">
        <is>
          <t>TORSBY</t>
        </is>
      </c>
      <c r="F1969" t="inlineStr">
        <is>
          <t>Bergvik skog väst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47730-2023</t>
        </is>
      </c>
      <c r="B1970" s="1" t="n">
        <v>45203</v>
      </c>
      <c r="C1970" s="1" t="n">
        <v>45265</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47734-2023</t>
        </is>
      </c>
      <c r="B1971" s="1" t="n">
        <v>45203</v>
      </c>
      <c r="C1971" s="1" t="n">
        <v>45265</v>
      </c>
      <c r="D1971" t="inlineStr">
        <is>
          <t>VÄRMLANDS LÄN</t>
        </is>
      </c>
      <c r="E1971" t="inlineStr">
        <is>
          <t>TORSBY</t>
        </is>
      </c>
      <c r="F1971" t="inlineStr">
        <is>
          <t>Bergvik skog väst AB</t>
        </is>
      </c>
      <c r="G1971" t="n">
        <v>23.3</v>
      </c>
      <c r="H1971" t="n">
        <v>0</v>
      </c>
      <c r="I1971" t="n">
        <v>0</v>
      </c>
      <c r="J1971" t="n">
        <v>0</v>
      </c>
      <c r="K1971" t="n">
        <v>0</v>
      </c>
      <c r="L1971" t="n">
        <v>0</v>
      </c>
      <c r="M1971" t="n">
        <v>0</v>
      </c>
      <c r="N1971" t="n">
        <v>0</v>
      </c>
      <c r="O1971" t="n">
        <v>0</v>
      </c>
      <c r="P1971" t="n">
        <v>0</v>
      </c>
      <c r="Q1971" t="n">
        <v>0</v>
      </c>
      <c r="R1971" s="2" t="inlineStr"/>
    </row>
    <row r="1972" ht="15" customHeight="1">
      <c r="A1972" t="inlineStr">
        <is>
          <t>A 48724-2023</t>
        </is>
      </c>
      <c r="B1972" s="1" t="n">
        <v>45203</v>
      </c>
      <c r="C1972" s="1" t="n">
        <v>45265</v>
      </c>
      <c r="D1972" t="inlineStr">
        <is>
          <t>VÄRMLANDS LÄN</t>
        </is>
      </c>
      <c r="E1972" t="inlineStr">
        <is>
          <t>TORSBY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47842-2023</t>
        </is>
      </c>
      <c r="B1973" s="1" t="n">
        <v>45204</v>
      </c>
      <c r="C1973" s="1" t="n">
        <v>45265</v>
      </c>
      <c r="D1973" t="inlineStr">
        <is>
          <t>VÄRMLANDS LÄN</t>
        </is>
      </c>
      <c r="E1973" t="inlineStr">
        <is>
          <t>TORSBY</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48106-2023</t>
        </is>
      </c>
      <c r="B1974" s="1" t="n">
        <v>45205</v>
      </c>
      <c r="C1974" s="1" t="n">
        <v>45265</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48145-2023</t>
        </is>
      </c>
      <c r="B1975" s="1" t="n">
        <v>45205</v>
      </c>
      <c r="C1975" s="1" t="n">
        <v>45265</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48236-2023</t>
        </is>
      </c>
      <c r="B1976" s="1" t="n">
        <v>45205</v>
      </c>
      <c r="C1976" s="1" t="n">
        <v>45265</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48155-2023</t>
        </is>
      </c>
      <c r="B1977" s="1" t="n">
        <v>45205</v>
      </c>
      <c r="C1977" s="1" t="n">
        <v>45265</v>
      </c>
      <c r="D1977" t="inlineStr">
        <is>
          <t>VÄRMLANDS LÄN</t>
        </is>
      </c>
      <c r="E1977" t="inlineStr">
        <is>
          <t>TORSBY</t>
        </is>
      </c>
      <c r="F1977" t="inlineStr">
        <is>
          <t>Kyrkan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48170-2023</t>
        </is>
      </c>
      <c r="B1978" s="1" t="n">
        <v>45205</v>
      </c>
      <c r="C1978" s="1" t="n">
        <v>45265</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48324-2023</t>
        </is>
      </c>
      <c r="B1979" s="1" t="n">
        <v>45205</v>
      </c>
      <c r="C1979" s="1" t="n">
        <v>45265</v>
      </c>
      <c r="D1979" t="inlineStr">
        <is>
          <t>VÄRMLANDS LÄN</t>
        </is>
      </c>
      <c r="E1979" t="inlineStr">
        <is>
          <t>TORSBY</t>
        </is>
      </c>
      <c r="F1979" t="inlineStr">
        <is>
          <t>Bergvik skog väst AB</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48381-2023</t>
        </is>
      </c>
      <c r="B1980" s="1" t="n">
        <v>45205</v>
      </c>
      <c r="C1980" s="1" t="n">
        <v>45265</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48384-2023</t>
        </is>
      </c>
      <c r="B1981" s="1" t="n">
        <v>45205</v>
      </c>
      <c r="C1981" s="1" t="n">
        <v>45265</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48383-2023</t>
        </is>
      </c>
      <c r="B1982" s="1" t="n">
        <v>45205</v>
      </c>
      <c r="C1982" s="1" t="n">
        <v>45265</v>
      </c>
      <c r="D1982" t="inlineStr">
        <is>
          <t>VÄRMLANDS LÄN</t>
        </is>
      </c>
      <c r="E1982" t="inlineStr">
        <is>
          <t>TORSBY</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48456-2023</t>
        </is>
      </c>
      <c r="B1983" s="1" t="n">
        <v>45206</v>
      </c>
      <c r="C1983" s="1" t="n">
        <v>45265</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48625-2023</t>
        </is>
      </c>
      <c r="B1984" s="1" t="n">
        <v>45208</v>
      </c>
      <c r="C1984" s="1" t="n">
        <v>45265</v>
      </c>
      <c r="D1984" t="inlineStr">
        <is>
          <t>VÄRMLANDS LÄN</t>
        </is>
      </c>
      <c r="E1984" t="inlineStr">
        <is>
          <t>TORSBY</t>
        </is>
      </c>
      <c r="F1984" t="inlineStr">
        <is>
          <t>Bergvik skog väst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48727-2023</t>
        </is>
      </c>
      <c r="B1985" s="1" t="n">
        <v>45208</v>
      </c>
      <c r="C1985" s="1" t="n">
        <v>45265</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48753-2023</t>
        </is>
      </c>
      <c r="B1986" s="1" t="n">
        <v>45208</v>
      </c>
      <c r="C1986" s="1" t="n">
        <v>45265</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48762-2023</t>
        </is>
      </c>
      <c r="B1987" s="1" t="n">
        <v>45208</v>
      </c>
      <c r="C1987" s="1" t="n">
        <v>45265</v>
      </c>
      <c r="D1987" t="inlineStr">
        <is>
          <t>VÄRMLANDS LÄN</t>
        </is>
      </c>
      <c r="E1987" t="inlineStr">
        <is>
          <t>TORSBY</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49717-2023</t>
        </is>
      </c>
      <c r="B1988" s="1" t="n">
        <v>45208</v>
      </c>
      <c r="C1988" s="1" t="n">
        <v>45265</v>
      </c>
      <c r="D1988" t="inlineStr">
        <is>
          <t>VÄRMLANDS LÄN</t>
        </is>
      </c>
      <c r="E1988" t="inlineStr">
        <is>
          <t>TORSBY</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50166-2023</t>
        </is>
      </c>
      <c r="B1989" s="1" t="n">
        <v>45208</v>
      </c>
      <c r="C1989" s="1" t="n">
        <v>45265</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50149-2023</t>
        </is>
      </c>
      <c r="B1990" s="1" t="n">
        <v>45208</v>
      </c>
      <c r="C1990" s="1" t="n">
        <v>45265</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48805-2023</t>
        </is>
      </c>
      <c r="B1991" s="1" t="n">
        <v>45209</v>
      </c>
      <c r="C1991" s="1" t="n">
        <v>45265</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48842-2023</t>
        </is>
      </c>
      <c r="B1992" s="1" t="n">
        <v>45209</v>
      </c>
      <c r="C1992" s="1" t="n">
        <v>45265</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49170-2023</t>
        </is>
      </c>
      <c r="B1993" s="1" t="n">
        <v>45210</v>
      </c>
      <c r="C1993" s="1" t="n">
        <v>45265</v>
      </c>
      <c r="D1993" t="inlineStr">
        <is>
          <t>VÄRMLANDS LÄN</t>
        </is>
      </c>
      <c r="E1993" t="inlineStr">
        <is>
          <t>TORSBY</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49179-2023</t>
        </is>
      </c>
      <c r="B1994" s="1" t="n">
        <v>45210</v>
      </c>
      <c r="C1994" s="1" t="n">
        <v>45265</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49296-2023</t>
        </is>
      </c>
      <c r="B1995" s="1" t="n">
        <v>45210</v>
      </c>
      <c r="C1995" s="1" t="n">
        <v>45265</v>
      </c>
      <c r="D1995" t="inlineStr">
        <is>
          <t>VÄRMLANDS LÄN</t>
        </is>
      </c>
      <c r="E1995" t="inlineStr">
        <is>
          <t>TORSBY</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51079-2023</t>
        </is>
      </c>
      <c r="B1996" s="1" t="n">
        <v>45211</v>
      </c>
      <c r="C1996" s="1" t="n">
        <v>45265</v>
      </c>
      <c r="D1996" t="inlineStr">
        <is>
          <t>VÄRMLANDS LÄN</t>
        </is>
      </c>
      <c r="E1996" t="inlineStr">
        <is>
          <t>TORSBY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49755-2023</t>
        </is>
      </c>
      <c r="B1997" s="1" t="n">
        <v>45212</v>
      </c>
      <c r="C1997" s="1" t="n">
        <v>45265</v>
      </c>
      <c r="D1997" t="inlineStr">
        <is>
          <t>VÄRMLANDS LÄN</t>
        </is>
      </c>
      <c r="E1997" t="inlineStr">
        <is>
          <t>TORSBY</t>
        </is>
      </c>
      <c r="F1997" t="inlineStr">
        <is>
          <t>Bergvik skog väst AB</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49777-2023</t>
        </is>
      </c>
      <c r="B1998" s="1" t="n">
        <v>45212</v>
      </c>
      <c r="C1998" s="1" t="n">
        <v>45265</v>
      </c>
      <c r="D1998" t="inlineStr">
        <is>
          <t>VÄRMLANDS LÄN</t>
        </is>
      </c>
      <c r="E1998" t="inlineStr">
        <is>
          <t>TORSBY</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49815-2023</t>
        </is>
      </c>
      <c r="B1999" s="1" t="n">
        <v>45212</v>
      </c>
      <c r="C1999" s="1" t="n">
        <v>45265</v>
      </c>
      <c r="D1999" t="inlineStr">
        <is>
          <t>VÄRMLANDS LÄN</t>
        </is>
      </c>
      <c r="E1999" t="inlineStr">
        <is>
          <t>TORSBY</t>
        </is>
      </c>
      <c r="F1999" t="inlineStr">
        <is>
          <t>Bergvik skog väst AB</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49745-2023</t>
        </is>
      </c>
      <c r="B2000" s="1" t="n">
        <v>45212</v>
      </c>
      <c r="C2000" s="1" t="n">
        <v>45265</v>
      </c>
      <c r="D2000" t="inlineStr">
        <is>
          <t>VÄRMLANDS LÄN</t>
        </is>
      </c>
      <c r="E2000" t="inlineStr">
        <is>
          <t>TORSBY</t>
        </is>
      </c>
      <c r="F2000" t="inlineStr">
        <is>
          <t>Bergvik skog väst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51144-2023</t>
        </is>
      </c>
      <c r="B2001" s="1" t="n">
        <v>45212</v>
      </c>
      <c r="C2001" s="1" t="n">
        <v>45265</v>
      </c>
      <c r="D2001" t="inlineStr">
        <is>
          <t>VÄRMLANDS LÄN</t>
        </is>
      </c>
      <c r="E2001" t="inlineStr">
        <is>
          <t>TORSBY</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49982-2023</t>
        </is>
      </c>
      <c r="B2002" s="1" t="n">
        <v>45215</v>
      </c>
      <c r="C2002" s="1" t="n">
        <v>45265</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50147-2023</t>
        </is>
      </c>
      <c r="B2003" s="1" t="n">
        <v>45215</v>
      </c>
      <c r="C2003" s="1" t="n">
        <v>45265</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50138-2023</t>
        </is>
      </c>
      <c r="B2004" s="1" t="n">
        <v>45215</v>
      </c>
      <c r="C2004" s="1" t="n">
        <v>45265</v>
      </c>
      <c r="D2004" t="inlineStr">
        <is>
          <t>VÄRMLANDS LÄN</t>
        </is>
      </c>
      <c r="E2004" t="inlineStr">
        <is>
          <t>TORSBY</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50144-2023</t>
        </is>
      </c>
      <c r="B2005" s="1" t="n">
        <v>45215</v>
      </c>
      <c r="C2005" s="1" t="n">
        <v>45265</v>
      </c>
      <c r="D2005" t="inlineStr">
        <is>
          <t>VÄRMLANDS LÄN</t>
        </is>
      </c>
      <c r="E2005" t="inlineStr">
        <is>
          <t>TORSBY</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50171-2023</t>
        </is>
      </c>
      <c r="B2006" s="1" t="n">
        <v>45215</v>
      </c>
      <c r="C2006" s="1" t="n">
        <v>45265</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50445-2023</t>
        </is>
      </c>
      <c r="B2007" s="1" t="n">
        <v>45216</v>
      </c>
      <c r="C2007" s="1" t="n">
        <v>45265</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50429-2023</t>
        </is>
      </c>
      <c r="B2008" s="1" t="n">
        <v>45216</v>
      </c>
      <c r="C2008" s="1" t="n">
        <v>45265</v>
      </c>
      <c r="D2008" t="inlineStr">
        <is>
          <t>VÄRMLANDS LÄN</t>
        </is>
      </c>
      <c r="E2008" t="inlineStr">
        <is>
          <t>TORSBY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50439-2023</t>
        </is>
      </c>
      <c r="B2009" s="1" t="n">
        <v>45216</v>
      </c>
      <c r="C2009" s="1" t="n">
        <v>45265</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50660-2023</t>
        </is>
      </c>
      <c r="B2010" s="1" t="n">
        <v>45217</v>
      </c>
      <c r="C2010" s="1" t="n">
        <v>45265</v>
      </c>
      <c r="D2010" t="inlineStr">
        <is>
          <t>VÄRMLANDS LÄN</t>
        </is>
      </c>
      <c r="E2010" t="inlineStr">
        <is>
          <t>TORSBY</t>
        </is>
      </c>
      <c r="F2010" t="inlineStr">
        <is>
          <t>Bergvik skog väst AB</t>
        </is>
      </c>
      <c r="G2010" t="n">
        <v>26.5</v>
      </c>
      <c r="H2010" t="n">
        <v>0</v>
      </c>
      <c r="I2010" t="n">
        <v>0</v>
      </c>
      <c r="J2010" t="n">
        <v>0</v>
      </c>
      <c r="K2010" t="n">
        <v>0</v>
      </c>
      <c r="L2010" t="n">
        <v>0</v>
      </c>
      <c r="M2010" t="n">
        <v>0</v>
      </c>
      <c r="N2010" t="n">
        <v>0</v>
      </c>
      <c r="O2010" t="n">
        <v>0</v>
      </c>
      <c r="P2010" t="n">
        <v>0</v>
      </c>
      <c r="Q2010" t="n">
        <v>0</v>
      </c>
      <c r="R2010" s="2" t="inlineStr"/>
    </row>
    <row r="2011" ht="15" customHeight="1">
      <c r="A2011" t="inlineStr">
        <is>
          <t>A 50523-2023</t>
        </is>
      </c>
      <c r="B2011" s="1" t="n">
        <v>45217</v>
      </c>
      <c r="C2011" s="1" t="n">
        <v>45265</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50608-2023</t>
        </is>
      </c>
      <c r="B2012" s="1" t="n">
        <v>45217</v>
      </c>
      <c r="C2012" s="1" t="n">
        <v>45265</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50680-2023</t>
        </is>
      </c>
      <c r="B2013" s="1" t="n">
        <v>45217</v>
      </c>
      <c r="C2013" s="1" t="n">
        <v>45265</v>
      </c>
      <c r="D2013" t="inlineStr">
        <is>
          <t>VÄRMLANDS LÄN</t>
        </is>
      </c>
      <c r="E2013" t="inlineStr">
        <is>
          <t>TORSBY</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50852-2023</t>
        </is>
      </c>
      <c r="B2014" s="1" t="n">
        <v>45218</v>
      </c>
      <c r="C2014" s="1" t="n">
        <v>45265</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50973-2023</t>
        </is>
      </c>
      <c r="B2015" s="1" t="n">
        <v>45218</v>
      </c>
      <c r="C2015" s="1" t="n">
        <v>45265</v>
      </c>
      <c r="D2015" t="inlineStr">
        <is>
          <t>VÄRMLANDS LÄN</t>
        </is>
      </c>
      <c r="E2015" t="inlineStr">
        <is>
          <t>TORSBY</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51199-2023</t>
        </is>
      </c>
      <c r="B2016" s="1" t="n">
        <v>45219</v>
      </c>
      <c r="C2016" s="1" t="n">
        <v>45265</v>
      </c>
      <c r="D2016" t="inlineStr">
        <is>
          <t>VÄRMLANDS LÄN</t>
        </is>
      </c>
      <c r="E2016" t="inlineStr">
        <is>
          <t>TORSBY</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51215-2023</t>
        </is>
      </c>
      <c r="B2017" s="1" t="n">
        <v>45219</v>
      </c>
      <c r="C2017" s="1" t="n">
        <v>45265</v>
      </c>
      <c r="D2017" t="inlineStr">
        <is>
          <t>VÄRMLANDS LÄN</t>
        </is>
      </c>
      <c r="E2017" t="inlineStr">
        <is>
          <t>TORSBY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51343-2023</t>
        </is>
      </c>
      <c r="B2018" s="1" t="n">
        <v>45219</v>
      </c>
      <c r="C2018" s="1" t="n">
        <v>45265</v>
      </c>
      <c r="D2018" t="inlineStr">
        <is>
          <t>VÄRMLANDS LÄN</t>
        </is>
      </c>
      <c r="E2018" t="inlineStr">
        <is>
          <t>TORSBY</t>
        </is>
      </c>
      <c r="F2018" t="inlineStr">
        <is>
          <t>Bergvik skog väst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51386-2023</t>
        </is>
      </c>
      <c r="B2019" s="1" t="n">
        <v>45219</v>
      </c>
      <c r="C2019" s="1" t="n">
        <v>45265</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51309-2023</t>
        </is>
      </c>
      <c r="B2020" s="1" t="n">
        <v>45219</v>
      </c>
      <c r="C2020" s="1" t="n">
        <v>45265</v>
      </c>
      <c r="D2020" t="inlineStr">
        <is>
          <t>VÄRMLANDS LÄN</t>
        </is>
      </c>
      <c r="E2020" t="inlineStr">
        <is>
          <t>TORSBY</t>
        </is>
      </c>
      <c r="F2020" t="inlineStr">
        <is>
          <t>Bergvik skog väst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51751-2023</t>
        </is>
      </c>
      <c r="B2021" s="1" t="n">
        <v>45222</v>
      </c>
      <c r="C2021" s="1" t="n">
        <v>45265</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51788-2023</t>
        </is>
      </c>
      <c r="B2022" s="1" t="n">
        <v>45222</v>
      </c>
      <c r="C2022" s="1" t="n">
        <v>45265</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51753-2023</t>
        </is>
      </c>
      <c r="B2023" s="1" t="n">
        <v>45222</v>
      </c>
      <c r="C2023" s="1" t="n">
        <v>45265</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52078-2023</t>
        </is>
      </c>
      <c r="B2024" s="1" t="n">
        <v>45223</v>
      </c>
      <c r="C2024" s="1" t="n">
        <v>45265</v>
      </c>
      <c r="D2024" t="inlineStr">
        <is>
          <t>VÄRMLANDS LÄN</t>
        </is>
      </c>
      <c r="E2024" t="inlineStr">
        <is>
          <t>TORSBY</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52050-2023</t>
        </is>
      </c>
      <c r="B2025" s="1" t="n">
        <v>45223</v>
      </c>
      <c r="C2025" s="1" t="n">
        <v>45265</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52067-2023</t>
        </is>
      </c>
      <c r="B2026" s="1" t="n">
        <v>45223</v>
      </c>
      <c r="C2026" s="1" t="n">
        <v>45265</v>
      </c>
      <c r="D2026" t="inlineStr">
        <is>
          <t>VÄRMLANDS LÄN</t>
        </is>
      </c>
      <c r="E2026" t="inlineStr">
        <is>
          <t>TORSBY</t>
        </is>
      </c>
      <c r="F2026" t="inlineStr">
        <is>
          <t>Bergvik skog väst AB</t>
        </is>
      </c>
      <c r="G2026" t="n">
        <v>40.4</v>
      </c>
      <c r="H2026" t="n">
        <v>0</v>
      </c>
      <c r="I2026" t="n">
        <v>0</v>
      </c>
      <c r="J2026" t="n">
        <v>0</v>
      </c>
      <c r="K2026" t="n">
        <v>0</v>
      </c>
      <c r="L2026" t="n">
        <v>0</v>
      </c>
      <c r="M2026" t="n">
        <v>0</v>
      </c>
      <c r="N2026" t="n">
        <v>0</v>
      </c>
      <c r="O2026" t="n">
        <v>0</v>
      </c>
      <c r="P2026" t="n">
        <v>0</v>
      </c>
      <c r="Q2026" t="n">
        <v>0</v>
      </c>
      <c r="R2026" s="2" t="inlineStr"/>
    </row>
    <row r="2027" ht="15" customHeight="1">
      <c r="A2027" t="inlineStr">
        <is>
          <t>A 53499-2023</t>
        </is>
      </c>
      <c r="B2027" s="1" t="n">
        <v>45223</v>
      </c>
      <c r="C2027" s="1" t="n">
        <v>45265</v>
      </c>
      <c r="D2027" t="inlineStr">
        <is>
          <t>VÄRMLANDS LÄN</t>
        </is>
      </c>
      <c r="E2027" t="inlineStr">
        <is>
          <t>TORSBY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52275-2023</t>
        </is>
      </c>
      <c r="B2028" s="1" t="n">
        <v>45224</v>
      </c>
      <c r="C2028" s="1" t="n">
        <v>45265</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52385-2023</t>
        </is>
      </c>
      <c r="B2029" s="1" t="n">
        <v>45224</v>
      </c>
      <c r="C2029" s="1" t="n">
        <v>45265</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53652-2023</t>
        </is>
      </c>
      <c r="B2030" s="1" t="n">
        <v>45224</v>
      </c>
      <c r="C2030" s="1" t="n">
        <v>45265</v>
      </c>
      <c r="D2030" t="inlineStr">
        <is>
          <t>VÄRMLANDS LÄN</t>
        </is>
      </c>
      <c r="E2030" t="inlineStr">
        <is>
          <t>TORSBY</t>
        </is>
      </c>
      <c r="F2030" t="inlineStr">
        <is>
          <t>Övriga statliga verk och myndigheter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52541-2023</t>
        </is>
      </c>
      <c r="B2031" s="1" t="n">
        <v>45225</v>
      </c>
      <c r="C2031" s="1" t="n">
        <v>45265</v>
      </c>
      <c r="D2031" t="inlineStr">
        <is>
          <t>VÄRMLANDS LÄN</t>
        </is>
      </c>
      <c r="E2031" t="inlineStr">
        <is>
          <t>TORSBY</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52580-2023</t>
        </is>
      </c>
      <c r="B2032" s="1" t="n">
        <v>45225</v>
      </c>
      <c r="C2032" s="1" t="n">
        <v>45265</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52555-2023</t>
        </is>
      </c>
      <c r="B2033" s="1" t="n">
        <v>45225</v>
      </c>
      <c r="C2033" s="1" t="n">
        <v>45265</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52532-2023</t>
        </is>
      </c>
      <c r="B2034" s="1" t="n">
        <v>45225</v>
      </c>
      <c r="C2034" s="1" t="n">
        <v>45265</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52591-2023</t>
        </is>
      </c>
      <c r="B2035" s="1" t="n">
        <v>45225</v>
      </c>
      <c r="C2035" s="1" t="n">
        <v>45265</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52984-2023</t>
        </is>
      </c>
      <c r="B2036" s="1" t="n">
        <v>45226</v>
      </c>
      <c r="C2036" s="1" t="n">
        <v>45265</v>
      </c>
      <c r="D2036" t="inlineStr">
        <is>
          <t>VÄRMLANDS LÄN</t>
        </is>
      </c>
      <c r="E2036" t="inlineStr">
        <is>
          <t>TORSBY</t>
        </is>
      </c>
      <c r="F2036" t="inlineStr">
        <is>
          <t>Bergvik skog väst AB</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52982-2023</t>
        </is>
      </c>
      <c r="B2037" s="1" t="n">
        <v>45226</v>
      </c>
      <c r="C2037" s="1" t="n">
        <v>45265</v>
      </c>
      <c r="D2037" t="inlineStr">
        <is>
          <t>VÄRMLANDS LÄN</t>
        </is>
      </c>
      <c r="E2037" t="inlineStr">
        <is>
          <t>TORSBY</t>
        </is>
      </c>
      <c r="G2037" t="n">
        <v>35.5</v>
      </c>
      <c r="H2037" t="n">
        <v>0</v>
      </c>
      <c r="I2037" t="n">
        <v>0</v>
      </c>
      <c r="J2037" t="n">
        <v>0</v>
      </c>
      <c r="K2037" t="n">
        <v>0</v>
      </c>
      <c r="L2037" t="n">
        <v>0</v>
      </c>
      <c r="M2037" t="n">
        <v>0</v>
      </c>
      <c r="N2037" t="n">
        <v>0</v>
      </c>
      <c r="O2037" t="n">
        <v>0</v>
      </c>
      <c r="P2037" t="n">
        <v>0</v>
      </c>
      <c r="Q2037" t="n">
        <v>0</v>
      </c>
      <c r="R2037" s="2" t="inlineStr"/>
    </row>
    <row r="2038" ht="15" customHeight="1">
      <c r="A2038" t="inlineStr">
        <is>
          <t>A 52810-2023</t>
        </is>
      </c>
      <c r="B2038" s="1" t="n">
        <v>45226</v>
      </c>
      <c r="C2038" s="1" t="n">
        <v>45265</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53103-2023</t>
        </is>
      </c>
      <c r="B2039" s="1" t="n">
        <v>45228</v>
      </c>
      <c r="C2039" s="1" t="n">
        <v>45265</v>
      </c>
      <c r="D2039" t="inlineStr">
        <is>
          <t>VÄRMLANDS LÄN</t>
        </is>
      </c>
      <c r="E2039" t="inlineStr">
        <is>
          <t>TORSBY</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53116-2023</t>
        </is>
      </c>
      <c r="B2040" s="1" t="n">
        <v>45228</v>
      </c>
      <c r="C2040" s="1" t="n">
        <v>45265</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53346-2023</t>
        </is>
      </c>
      <c r="B2041" s="1" t="n">
        <v>45229</v>
      </c>
      <c r="C2041" s="1" t="n">
        <v>45265</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54879-2023</t>
        </is>
      </c>
      <c r="B2042" s="1" t="n">
        <v>45229</v>
      </c>
      <c r="C2042" s="1" t="n">
        <v>45265</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54822-2023</t>
        </is>
      </c>
      <c r="B2043" s="1" t="n">
        <v>45229</v>
      </c>
      <c r="C2043" s="1" t="n">
        <v>45265</v>
      </c>
      <c r="D2043" t="inlineStr">
        <is>
          <t>VÄRMLANDS LÄN</t>
        </is>
      </c>
      <c r="E2043" t="inlineStr">
        <is>
          <t>TORSBY</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53557-2023</t>
        </is>
      </c>
      <c r="B2044" s="1" t="n">
        <v>45230</v>
      </c>
      <c r="C2044" s="1" t="n">
        <v>45265</v>
      </c>
      <c r="D2044" t="inlineStr">
        <is>
          <t>VÄRMLANDS LÄN</t>
        </is>
      </c>
      <c r="E2044" t="inlineStr">
        <is>
          <t>TORSBY</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53495-2023</t>
        </is>
      </c>
      <c r="B2045" s="1" t="n">
        <v>45230</v>
      </c>
      <c r="C2045" s="1" t="n">
        <v>45265</v>
      </c>
      <c r="D2045" t="inlineStr">
        <is>
          <t>VÄRMLANDS LÄN</t>
        </is>
      </c>
      <c r="E2045" t="inlineStr">
        <is>
          <t>TORSBY</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53794-2023</t>
        </is>
      </c>
      <c r="B2046" s="1" t="n">
        <v>45231</v>
      </c>
      <c r="C2046" s="1" t="n">
        <v>45265</v>
      </c>
      <c r="D2046" t="inlineStr">
        <is>
          <t>VÄRMLANDS LÄN</t>
        </is>
      </c>
      <c r="E2046" t="inlineStr">
        <is>
          <t>TORSBY</t>
        </is>
      </c>
      <c r="G2046" t="n">
        <v>17.3</v>
      </c>
      <c r="H2046" t="n">
        <v>0</v>
      </c>
      <c r="I2046" t="n">
        <v>0</v>
      </c>
      <c r="J2046" t="n">
        <v>0</v>
      </c>
      <c r="K2046" t="n">
        <v>0</v>
      </c>
      <c r="L2046" t="n">
        <v>0</v>
      </c>
      <c r="M2046" t="n">
        <v>0</v>
      </c>
      <c r="N2046" t="n">
        <v>0</v>
      </c>
      <c r="O2046" t="n">
        <v>0</v>
      </c>
      <c r="P2046" t="n">
        <v>0</v>
      </c>
      <c r="Q2046" t="n">
        <v>0</v>
      </c>
      <c r="R2046" s="2" t="inlineStr"/>
    </row>
    <row r="2047" ht="15" customHeight="1">
      <c r="A2047" t="inlineStr">
        <is>
          <t>A 53921-2023</t>
        </is>
      </c>
      <c r="B2047" s="1" t="n">
        <v>45231</v>
      </c>
      <c r="C2047" s="1" t="n">
        <v>45265</v>
      </c>
      <c r="D2047" t="inlineStr">
        <is>
          <t>VÄRMLANDS LÄN</t>
        </is>
      </c>
      <c r="E2047" t="inlineStr">
        <is>
          <t>TORSBY</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53945-2023</t>
        </is>
      </c>
      <c r="B2048" s="1" t="n">
        <v>45231</v>
      </c>
      <c r="C2048" s="1" t="n">
        <v>45265</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53922-2023</t>
        </is>
      </c>
      <c r="B2049" s="1" t="n">
        <v>45231</v>
      </c>
      <c r="C2049" s="1" t="n">
        <v>45265</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54162-2023</t>
        </is>
      </c>
      <c r="B2050" s="1" t="n">
        <v>45232</v>
      </c>
      <c r="C2050" s="1" t="n">
        <v>45265</v>
      </c>
      <c r="D2050" t="inlineStr">
        <is>
          <t>VÄRMLANDS LÄN</t>
        </is>
      </c>
      <c r="E2050" t="inlineStr">
        <is>
          <t>TORSBY</t>
        </is>
      </c>
      <c r="F2050" t="inlineStr">
        <is>
          <t>Bergvik skog väst AB</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54262-2023</t>
        </is>
      </c>
      <c r="B2051" s="1" t="n">
        <v>45232</v>
      </c>
      <c r="C2051" s="1" t="n">
        <v>45265</v>
      </c>
      <c r="D2051" t="inlineStr">
        <is>
          <t>VÄRMLANDS LÄN</t>
        </is>
      </c>
      <c r="E2051" t="inlineStr">
        <is>
          <t>TORSBY</t>
        </is>
      </c>
      <c r="F2051" t="inlineStr">
        <is>
          <t>Bergvik skog väst AB</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54223-2023</t>
        </is>
      </c>
      <c r="B2052" s="1" t="n">
        <v>45232</v>
      </c>
      <c r="C2052" s="1" t="n">
        <v>45265</v>
      </c>
      <c r="D2052" t="inlineStr">
        <is>
          <t>VÄRMLANDS LÄN</t>
        </is>
      </c>
      <c r="E2052" t="inlineStr">
        <is>
          <t>TORSBY</t>
        </is>
      </c>
      <c r="F2052" t="inlineStr">
        <is>
          <t>Bergvik skog väst AB</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54191-2023</t>
        </is>
      </c>
      <c r="B2053" s="1" t="n">
        <v>45232</v>
      </c>
      <c r="C2053" s="1" t="n">
        <v>45265</v>
      </c>
      <c r="D2053" t="inlineStr">
        <is>
          <t>VÄRMLANDS LÄN</t>
        </is>
      </c>
      <c r="E2053" t="inlineStr">
        <is>
          <t>TORSBY</t>
        </is>
      </c>
      <c r="F2053" t="inlineStr">
        <is>
          <t>Bergvik skog väst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54204-2023</t>
        </is>
      </c>
      <c r="B2054" s="1" t="n">
        <v>45232</v>
      </c>
      <c r="C2054" s="1" t="n">
        <v>45265</v>
      </c>
      <c r="D2054" t="inlineStr">
        <is>
          <t>VÄRMLANDS LÄN</t>
        </is>
      </c>
      <c r="E2054" t="inlineStr">
        <is>
          <t>TORSBY</t>
        </is>
      </c>
      <c r="F2054" t="inlineStr">
        <is>
          <t>Bergvik skog väst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54556-2023</t>
        </is>
      </c>
      <c r="B2055" s="1" t="n">
        <v>45233</v>
      </c>
      <c r="C2055" s="1" t="n">
        <v>45265</v>
      </c>
      <c r="D2055" t="inlineStr">
        <is>
          <t>VÄRMLANDS LÄN</t>
        </is>
      </c>
      <c r="E2055" t="inlineStr">
        <is>
          <t>TORSBY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54551-2023</t>
        </is>
      </c>
      <c r="B2056" s="1" t="n">
        <v>45233</v>
      </c>
      <c r="C2056" s="1" t="n">
        <v>45265</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54442-2023</t>
        </is>
      </c>
      <c r="B2057" s="1" t="n">
        <v>45233</v>
      </c>
      <c r="C2057" s="1" t="n">
        <v>45265</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54386-2023</t>
        </is>
      </c>
      <c r="B2058" s="1" t="n">
        <v>45233</v>
      </c>
      <c r="C2058" s="1" t="n">
        <v>45265</v>
      </c>
      <c r="D2058" t="inlineStr">
        <is>
          <t>VÄRMLANDS LÄN</t>
        </is>
      </c>
      <c r="E2058" t="inlineStr">
        <is>
          <t>TORSBY</t>
        </is>
      </c>
      <c r="F2058" t="inlineStr">
        <is>
          <t>Bergvik skog väst AB</t>
        </is>
      </c>
      <c r="G2058" t="n">
        <v>12.6</v>
      </c>
      <c r="H2058" t="n">
        <v>0</v>
      </c>
      <c r="I2058" t="n">
        <v>0</v>
      </c>
      <c r="J2058" t="n">
        <v>0</v>
      </c>
      <c r="K2058" t="n">
        <v>0</v>
      </c>
      <c r="L2058" t="n">
        <v>0</v>
      </c>
      <c r="M2058" t="n">
        <v>0</v>
      </c>
      <c r="N2058" t="n">
        <v>0</v>
      </c>
      <c r="O2058" t="n">
        <v>0</v>
      </c>
      <c r="P2058" t="n">
        <v>0</v>
      </c>
      <c r="Q2058" t="n">
        <v>0</v>
      </c>
      <c r="R2058" s="2" t="inlineStr"/>
    </row>
    <row r="2059" ht="15" customHeight="1">
      <c r="A2059" t="inlineStr">
        <is>
          <t>A 54528-2023</t>
        </is>
      </c>
      <c r="B2059" s="1" t="n">
        <v>45233</v>
      </c>
      <c r="C2059" s="1" t="n">
        <v>45265</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54562-2023</t>
        </is>
      </c>
      <c r="B2060" s="1" t="n">
        <v>45233</v>
      </c>
      <c r="C2060" s="1" t="n">
        <v>45265</v>
      </c>
      <c r="D2060" t="inlineStr">
        <is>
          <t>VÄRMLANDS LÄN</t>
        </is>
      </c>
      <c r="E2060" t="inlineStr">
        <is>
          <t>TORSBY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54532-2023</t>
        </is>
      </c>
      <c r="B2061" s="1" t="n">
        <v>45233</v>
      </c>
      <c r="C2061" s="1" t="n">
        <v>45265</v>
      </c>
      <c r="D2061" t="inlineStr">
        <is>
          <t>VÄRMLANDS LÄN</t>
        </is>
      </c>
      <c r="E2061" t="inlineStr">
        <is>
          <t>TORSBY</t>
        </is>
      </c>
      <c r="F2061" t="inlineStr">
        <is>
          <t>Bergvik skog väst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54525-2023</t>
        </is>
      </c>
      <c r="B2062" s="1" t="n">
        <v>45233</v>
      </c>
      <c r="C2062" s="1" t="n">
        <v>45265</v>
      </c>
      <c r="D2062" t="inlineStr">
        <is>
          <t>VÄRMLANDS LÄN</t>
        </is>
      </c>
      <c r="E2062" t="inlineStr">
        <is>
          <t>TORSBY</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54487-2023</t>
        </is>
      </c>
      <c r="B2063" s="1" t="n">
        <v>45233</v>
      </c>
      <c r="C2063" s="1" t="n">
        <v>45265</v>
      </c>
      <c r="D2063" t="inlineStr">
        <is>
          <t>VÄRMLANDS LÄN</t>
        </is>
      </c>
      <c r="E2063" t="inlineStr">
        <is>
          <t>TORSBY</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54409-2023</t>
        </is>
      </c>
      <c r="B2064" s="1" t="n">
        <v>45233</v>
      </c>
      <c r="C2064" s="1" t="n">
        <v>45265</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54876-2023</t>
        </is>
      </c>
      <c r="B2065" s="1" t="n">
        <v>45236</v>
      </c>
      <c r="C2065" s="1" t="n">
        <v>45265</v>
      </c>
      <c r="D2065" t="inlineStr">
        <is>
          <t>VÄRMLANDS LÄN</t>
        </is>
      </c>
      <c r="E2065" t="inlineStr">
        <is>
          <t>TORSBY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54708-2023</t>
        </is>
      </c>
      <c r="B2066" s="1" t="n">
        <v>45236</v>
      </c>
      <c r="C2066" s="1" t="n">
        <v>45265</v>
      </c>
      <c r="D2066" t="inlineStr">
        <is>
          <t>VÄRMLANDS LÄN</t>
        </is>
      </c>
      <c r="E2066" t="inlineStr">
        <is>
          <t>TORSBY</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54714-2023</t>
        </is>
      </c>
      <c r="B2067" s="1" t="n">
        <v>45236</v>
      </c>
      <c r="C2067" s="1" t="n">
        <v>45265</v>
      </c>
      <c r="D2067" t="inlineStr">
        <is>
          <t>VÄRMLANDS LÄN</t>
        </is>
      </c>
      <c r="E2067" t="inlineStr">
        <is>
          <t>TORSBY</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54766-2023</t>
        </is>
      </c>
      <c r="B2068" s="1" t="n">
        <v>45236</v>
      </c>
      <c r="C2068" s="1" t="n">
        <v>45265</v>
      </c>
      <c r="D2068" t="inlineStr">
        <is>
          <t>VÄRMLANDS LÄN</t>
        </is>
      </c>
      <c r="E2068" t="inlineStr">
        <is>
          <t>TORSBY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54777-2023</t>
        </is>
      </c>
      <c r="B2069" s="1" t="n">
        <v>45236</v>
      </c>
      <c r="C2069" s="1" t="n">
        <v>45265</v>
      </c>
      <c r="D2069" t="inlineStr">
        <is>
          <t>VÄRMLANDS LÄN</t>
        </is>
      </c>
      <c r="E2069" t="inlineStr">
        <is>
          <t>TORSBY</t>
        </is>
      </c>
      <c r="F2069" t="inlineStr">
        <is>
          <t>Bergvik skog väst AB</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55031-2023</t>
        </is>
      </c>
      <c r="B2070" s="1" t="n">
        <v>45237</v>
      </c>
      <c r="C2070" s="1" t="n">
        <v>45265</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55100-2023</t>
        </is>
      </c>
      <c r="B2071" s="1" t="n">
        <v>45237</v>
      </c>
      <c r="C2071" s="1" t="n">
        <v>45265</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55401-2023</t>
        </is>
      </c>
      <c r="B2072" s="1" t="n">
        <v>45238</v>
      </c>
      <c r="C2072" s="1" t="n">
        <v>45265</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55461-2023</t>
        </is>
      </c>
      <c r="B2073" s="1" t="n">
        <v>45238</v>
      </c>
      <c r="C2073" s="1" t="n">
        <v>45265</v>
      </c>
      <c r="D2073" t="inlineStr">
        <is>
          <t>VÄRMLANDS LÄN</t>
        </is>
      </c>
      <c r="E2073" t="inlineStr">
        <is>
          <t>TORSBY</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55480-2023</t>
        </is>
      </c>
      <c r="B2074" s="1" t="n">
        <v>45238</v>
      </c>
      <c r="C2074" s="1" t="n">
        <v>45265</v>
      </c>
      <c r="D2074" t="inlineStr">
        <is>
          <t>VÄRMLANDS LÄN</t>
        </is>
      </c>
      <c r="E2074" t="inlineStr">
        <is>
          <t>TORSBY</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55485-2023</t>
        </is>
      </c>
      <c r="B2075" s="1" t="n">
        <v>45238</v>
      </c>
      <c r="C2075" s="1" t="n">
        <v>45265</v>
      </c>
      <c r="D2075" t="inlineStr">
        <is>
          <t>VÄRMLANDS LÄN</t>
        </is>
      </c>
      <c r="E2075" t="inlineStr">
        <is>
          <t>TORSBY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55522-2023</t>
        </is>
      </c>
      <c r="B2076" s="1" t="n">
        <v>45238</v>
      </c>
      <c r="C2076" s="1" t="n">
        <v>45265</v>
      </c>
      <c r="D2076" t="inlineStr">
        <is>
          <t>VÄRMLANDS LÄN</t>
        </is>
      </c>
      <c r="E2076" t="inlineStr">
        <is>
          <t>TORSBY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55527-2023</t>
        </is>
      </c>
      <c r="B2077" s="1" t="n">
        <v>45238</v>
      </c>
      <c r="C2077" s="1" t="n">
        <v>45265</v>
      </c>
      <c r="D2077" t="inlineStr">
        <is>
          <t>VÄRMLANDS LÄN</t>
        </is>
      </c>
      <c r="E2077" t="inlineStr">
        <is>
          <t>TORSBY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56712-2023</t>
        </is>
      </c>
      <c r="B2078" s="1" t="n">
        <v>45238</v>
      </c>
      <c r="C2078" s="1" t="n">
        <v>45265</v>
      </c>
      <c r="D2078" t="inlineStr">
        <is>
          <t>VÄRMLANDS LÄN</t>
        </is>
      </c>
      <c r="E2078" t="inlineStr">
        <is>
          <t>TORSBY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45265</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55447-2023</t>
        </is>
      </c>
      <c r="B2080" s="1" t="n">
        <v>45238</v>
      </c>
      <c r="C2080" s="1" t="n">
        <v>45265</v>
      </c>
      <c r="D2080" t="inlineStr">
        <is>
          <t>VÄRMLANDS LÄN</t>
        </is>
      </c>
      <c r="E2080" t="inlineStr">
        <is>
          <t>TORSBY</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56714-2023</t>
        </is>
      </c>
      <c r="B2081" s="1" t="n">
        <v>45238</v>
      </c>
      <c r="C2081" s="1" t="n">
        <v>45265</v>
      </c>
      <c r="D2081" t="inlineStr">
        <is>
          <t>VÄRMLANDS LÄN</t>
        </is>
      </c>
      <c r="E2081" t="inlineStr">
        <is>
          <t>TORSBY</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45265</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55727-2023</t>
        </is>
      </c>
      <c r="B2083" s="1" t="n">
        <v>45239</v>
      </c>
      <c r="C2083" s="1" t="n">
        <v>45265</v>
      </c>
      <c r="D2083" t="inlineStr">
        <is>
          <t>VÄRMLANDS LÄN</t>
        </is>
      </c>
      <c r="E2083" t="inlineStr">
        <is>
          <t>TORSBY</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55759-2023</t>
        </is>
      </c>
      <c r="B2084" s="1" t="n">
        <v>45239</v>
      </c>
      <c r="C2084" s="1" t="n">
        <v>45265</v>
      </c>
      <c r="D2084" t="inlineStr">
        <is>
          <t>VÄRMLANDS LÄN</t>
        </is>
      </c>
      <c r="E2084" t="inlineStr">
        <is>
          <t>TORSBY</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57091-2023</t>
        </is>
      </c>
      <c r="B2085" s="1" t="n">
        <v>45239</v>
      </c>
      <c r="C2085" s="1" t="n">
        <v>45265</v>
      </c>
      <c r="D2085" t="inlineStr">
        <is>
          <t>VÄRMLANDS LÄN</t>
        </is>
      </c>
      <c r="E2085" t="inlineStr">
        <is>
          <t>TORSBY</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56889-2023</t>
        </is>
      </c>
      <c r="B2086" s="1" t="n">
        <v>45239</v>
      </c>
      <c r="C2086" s="1" t="n">
        <v>45265</v>
      </c>
      <c r="D2086" t="inlineStr">
        <is>
          <t>VÄRMLANDS LÄN</t>
        </is>
      </c>
      <c r="E2086" t="inlineStr">
        <is>
          <t>TORSBY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45265</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56021-2023</t>
        </is>
      </c>
      <c r="B2088" s="1" t="n">
        <v>45240</v>
      </c>
      <c r="C2088" s="1" t="n">
        <v>45265</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56164-2023</t>
        </is>
      </c>
      <c r="B2089" s="1" t="n">
        <v>45240</v>
      </c>
      <c r="C2089" s="1" t="n">
        <v>45265</v>
      </c>
      <c r="D2089" t="inlineStr">
        <is>
          <t>VÄRMLANDS LÄN</t>
        </is>
      </c>
      <c r="E2089" t="inlineStr">
        <is>
          <t>TORSBY</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56170-2023</t>
        </is>
      </c>
      <c r="B2090" s="1" t="n">
        <v>45240</v>
      </c>
      <c r="C2090" s="1" t="n">
        <v>45265</v>
      </c>
      <c r="D2090" t="inlineStr">
        <is>
          <t>VÄRMLANDS LÄN</t>
        </is>
      </c>
      <c r="E2090" t="inlineStr">
        <is>
          <t>TORSBY</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56116-2023</t>
        </is>
      </c>
      <c r="B2091" s="1" t="n">
        <v>45240</v>
      </c>
      <c r="C2091" s="1" t="n">
        <v>45265</v>
      </c>
      <c r="D2091" t="inlineStr">
        <is>
          <t>VÄRMLANDS LÄN</t>
        </is>
      </c>
      <c r="E2091" t="inlineStr">
        <is>
          <t>TORSBY</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56426-2023</t>
        </is>
      </c>
      <c r="B2092" s="1" t="n">
        <v>45243</v>
      </c>
      <c r="C2092" s="1" t="n">
        <v>45265</v>
      </c>
      <c r="D2092" t="inlineStr">
        <is>
          <t>VÄRMLANDS LÄN</t>
        </is>
      </c>
      <c r="E2092" t="inlineStr">
        <is>
          <t>TORSBY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56724-2023</t>
        </is>
      </c>
      <c r="B2093" s="1" t="n">
        <v>45244</v>
      </c>
      <c r="C2093" s="1" t="n">
        <v>45265</v>
      </c>
      <c r="D2093" t="inlineStr">
        <is>
          <t>VÄRMLANDS LÄN</t>
        </is>
      </c>
      <c r="E2093" t="inlineStr">
        <is>
          <t>TORSBY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56881-2023</t>
        </is>
      </c>
      <c r="B2094" s="1" t="n">
        <v>45244</v>
      </c>
      <c r="C2094" s="1" t="n">
        <v>45265</v>
      </c>
      <c r="D2094" t="inlineStr">
        <is>
          <t>VÄRMLANDS LÄN</t>
        </is>
      </c>
      <c r="E2094" t="inlineStr">
        <is>
          <t>TORSBY</t>
        </is>
      </c>
      <c r="F2094" t="inlineStr">
        <is>
          <t>Övriga Aktiebolag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56902-2023</t>
        </is>
      </c>
      <c r="B2095" s="1" t="n">
        <v>45244</v>
      </c>
      <c r="C2095" s="1" t="n">
        <v>45265</v>
      </c>
      <c r="D2095" t="inlineStr">
        <is>
          <t>VÄRMLANDS LÄN</t>
        </is>
      </c>
      <c r="E2095" t="inlineStr">
        <is>
          <t>TORSBY</t>
        </is>
      </c>
      <c r="G2095" t="n">
        <v>17.4</v>
      </c>
      <c r="H2095" t="n">
        <v>0</v>
      </c>
      <c r="I2095" t="n">
        <v>0</v>
      </c>
      <c r="J2095" t="n">
        <v>0</v>
      </c>
      <c r="K2095" t="n">
        <v>0</v>
      </c>
      <c r="L2095" t="n">
        <v>0</v>
      </c>
      <c r="M2095" t="n">
        <v>0</v>
      </c>
      <c r="N2095" t="n">
        <v>0</v>
      </c>
      <c r="O2095" t="n">
        <v>0</v>
      </c>
      <c r="P2095" t="n">
        <v>0</v>
      </c>
      <c r="Q2095" t="n">
        <v>0</v>
      </c>
      <c r="R2095" s="2" t="inlineStr"/>
    </row>
    <row r="2096" ht="15" customHeight="1">
      <c r="A2096" t="inlineStr">
        <is>
          <t>A 56970-2023</t>
        </is>
      </c>
      <c r="B2096" s="1" t="n">
        <v>45244</v>
      </c>
      <c r="C2096" s="1" t="n">
        <v>45265</v>
      </c>
      <c r="D2096" t="inlineStr">
        <is>
          <t>VÄRMLANDS LÄN</t>
        </is>
      </c>
      <c r="E2096" t="inlineStr">
        <is>
          <t>TORSBY</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56811-2023</t>
        </is>
      </c>
      <c r="B2097" s="1" t="n">
        <v>45244</v>
      </c>
      <c r="C2097" s="1" t="n">
        <v>45265</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56815-2023</t>
        </is>
      </c>
      <c r="B2098" s="1" t="n">
        <v>45244</v>
      </c>
      <c r="C2098" s="1" t="n">
        <v>45265</v>
      </c>
      <c r="D2098" t="inlineStr">
        <is>
          <t>VÄRMLANDS LÄN</t>
        </is>
      </c>
      <c r="E2098" t="inlineStr">
        <is>
          <t>TORSBY</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57017-2023</t>
        </is>
      </c>
      <c r="B2099" s="1" t="n">
        <v>45244</v>
      </c>
      <c r="C2099" s="1" t="n">
        <v>45265</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56875-2023</t>
        </is>
      </c>
      <c r="B2100" s="1" t="n">
        <v>45244</v>
      </c>
      <c r="C2100" s="1" t="n">
        <v>45265</v>
      </c>
      <c r="D2100" t="inlineStr">
        <is>
          <t>VÄRMLANDS LÄN</t>
        </is>
      </c>
      <c r="E2100" t="inlineStr">
        <is>
          <t>TORSBY</t>
        </is>
      </c>
      <c r="F2100" t="inlineStr">
        <is>
          <t>Övriga Aktiebolag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56880-2023</t>
        </is>
      </c>
      <c r="B2101" s="1" t="n">
        <v>45244</v>
      </c>
      <c r="C2101" s="1" t="n">
        <v>45265</v>
      </c>
      <c r="D2101" t="inlineStr">
        <is>
          <t>VÄRMLANDS LÄN</t>
        </is>
      </c>
      <c r="E2101" t="inlineStr">
        <is>
          <t>TORSBY</t>
        </is>
      </c>
      <c r="F2101" t="inlineStr">
        <is>
          <t>Övriga Aktiebolag</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57135-2023</t>
        </is>
      </c>
      <c r="B2102" s="1" t="n">
        <v>45245</v>
      </c>
      <c r="C2102" s="1" t="n">
        <v>45265</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57216-2023</t>
        </is>
      </c>
      <c r="B2103" s="1" t="n">
        <v>45245</v>
      </c>
      <c r="C2103" s="1" t="n">
        <v>45265</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57117-2023</t>
        </is>
      </c>
      <c r="B2104" s="1" t="n">
        <v>45245</v>
      </c>
      <c r="C2104" s="1" t="n">
        <v>45265</v>
      </c>
      <c r="D2104" t="inlineStr">
        <is>
          <t>VÄRMLANDS LÄN</t>
        </is>
      </c>
      <c r="E2104" t="inlineStr">
        <is>
          <t>TORSBY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57143-2023</t>
        </is>
      </c>
      <c r="B2105" s="1" t="n">
        <v>45245</v>
      </c>
      <c r="C2105" s="1" t="n">
        <v>45265</v>
      </c>
      <c r="D2105" t="inlineStr">
        <is>
          <t>VÄRMLANDS LÄN</t>
        </is>
      </c>
      <c r="E2105" t="inlineStr">
        <is>
          <t>TORSBY</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57345-2023</t>
        </is>
      </c>
      <c r="B2106" s="1" t="n">
        <v>45245</v>
      </c>
      <c r="C2106" s="1" t="n">
        <v>45265</v>
      </c>
      <c r="D2106" t="inlineStr">
        <is>
          <t>VÄRMLANDS LÄN</t>
        </is>
      </c>
      <c r="E2106" t="inlineStr">
        <is>
          <t>TORSBY</t>
        </is>
      </c>
      <c r="F2106" t="inlineStr">
        <is>
          <t>Bergvik skog väst AB</t>
        </is>
      </c>
      <c r="G2106" t="n">
        <v>14.6</v>
      </c>
      <c r="H2106" t="n">
        <v>0</v>
      </c>
      <c r="I2106" t="n">
        <v>0</v>
      </c>
      <c r="J2106" t="n">
        <v>0</v>
      </c>
      <c r="K2106" t="n">
        <v>0</v>
      </c>
      <c r="L2106" t="n">
        <v>0</v>
      </c>
      <c r="M2106" t="n">
        <v>0</v>
      </c>
      <c r="N2106" t="n">
        <v>0</v>
      </c>
      <c r="O2106" t="n">
        <v>0</v>
      </c>
      <c r="P2106" t="n">
        <v>0</v>
      </c>
      <c r="Q2106" t="n">
        <v>0</v>
      </c>
      <c r="R2106" s="2" t="inlineStr"/>
    </row>
    <row r="2107" ht="15" customHeight="1">
      <c r="A2107" t="inlineStr">
        <is>
          <t>A 57538-2023</t>
        </is>
      </c>
      <c r="B2107" s="1" t="n">
        <v>45246</v>
      </c>
      <c r="C2107" s="1" t="n">
        <v>45265</v>
      </c>
      <c r="D2107" t="inlineStr">
        <is>
          <t>VÄRMLANDS LÄN</t>
        </is>
      </c>
      <c r="E2107" t="inlineStr">
        <is>
          <t>TORSBY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57547-2023</t>
        </is>
      </c>
      <c r="B2108" s="1" t="n">
        <v>45246</v>
      </c>
      <c r="C2108" s="1" t="n">
        <v>45265</v>
      </c>
      <c r="D2108" t="inlineStr">
        <is>
          <t>VÄRMLANDS LÄN</t>
        </is>
      </c>
      <c r="E2108" t="inlineStr">
        <is>
          <t>TORSBY</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57569-2023</t>
        </is>
      </c>
      <c r="B2109" s="1" t="n">
        <v>45246</v>
      </c>
      <c r="C2109" s="1" t="n">
        <v>45265</v>
      </c>
      <c r="D2109" t="inlineStr">
        <is>
          <t>VÄRMLANDS LÄN</t>
        </is>
      </c>
      <c r="E2109" t="inlineStr">
        <is>
          <t>TORSBY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57647-2023</t>
        </is>
      </c>
      <c r="B2110" s="1" t="n">
        <v>45246</v>
      </c>
      <c r="C2110" s="1" t="n">
        <v>45265</v>
      </c>
      <c r="D2110" t="inlineStr">
        <is>
          <t>VÄRMLANDS LÄN</t>
        </is>
      </c>
      <c r="E2110" t="inlineStr">
        <is>
          <t>TORSBY</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57642-2023</t>
        </is>
      </c>
      <c r="B2111" s="1" t="n">
        <v>45246</v>
      </c>
      <c r="C2111" s="1" t="n">
        <v>45265</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57921-2023</t>
        </is>
      </c>
      <c r="B2112" s="1" t="n">
        <v>45247</v>
      </c>
      <c r="C2112" s="1" t="n">
        <v>45265</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58013-2023</t>
        </is>
      </c>
      <c r="B2113" s="1" t="n">
        <v>45247</v>
      </c>
      <c r="C2113" s="1" t="n">
        <v>45265</v>
      </c>
      <c r="D2113" t="inlineStr">
        <is>
          <t>VÄRMLANDS LÄN</t>
        </is>
      </c>
      <c r="E2113" t="inlineStr">
        <is>
          <t>TORSBY</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58600-2023</t>
        </is>
      </c>
      <c r="B2114" s="1" t="n">
        <v>45247</v>
      </c>
      <c r="C2114" s="1" t="n">
        <v>45265</v>
      </c>
      <c r="D2114" t="inlineStr">
        <is>
          <t>VÄRMLANDS LÄN</t>
        </is>
      </c>
      <c r="E2114" t="inlineStr">
        <is>
          <t>TORSBY</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57980-2023</t>
        </is>
      </c>
      <c r="B2115" s="1" t="n">
        <v>45247</v>
      </c>
      <c r="C2115" s="1" t="n">
        <v>45265</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57990-2023</t>
        </is>
      </c>
      <c r="B2116" s="1" t="n">
        <v>45247</v>
      </c>
      <c r="C2116" s="1" t="n">
        <v>45265</v>
      </c>
      <c r="D2116" t="inlineStr">
        <is>
          <t>VÄRMLANDS LÄN</t>
        </is>
      </c>
      <c r="E2116" t="inlineStr">
        <is>
          <t>TORSBY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58037-2023</t>
        </is>
      </c>
      <c r="B2117" s="1" t="n">
        <v>45247</v>
      </c>
      <c r="C2117" s="1" t="n">
        <v>45265</v>
      </c>
      <c r="D2117" t="inlineStr">
        <is>
          <t>VÄRMLANDS LÄN</t>
        </is>
      </c>
      <c r="E2117" t="inlineStr">
        <is>
          <t>TORSBY</t>
        </is>
      </c>
      <c r="F2117" t="inlineStr">
        <is>
          <t>Bergvik skog väst AB</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58185-2023</t>
        </is>
      </c>
      <c r="B2118" s="1" t="n">
        <v>45250</v>
      </c>
      <c r="C2118" s="1" t="n">
        <v>45265</v>
      </c>
      <c r="D2118" t="inlineStr">
        <is>
          <t>VÄRMLANDS LÄN</t>
        </is>
      </c>
      <c r="E2118" t="inlineStr">
        <is>
          <t>TORSBY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58235-2023</t>
        </is>
      </c>
      <c r="B2119" s="1" t="n">
        <v>45250</v>
      </c>
      <c r="C2119" s="1" t="n">
        <v>45265</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58386-2023</t>
        </is>
      </c>
      <c r="B2120" s="1" t="n">
        <v>45250</v>
      </c>
      <c r="C2120" s="1" t="n">
        <v>45265</v>
      </c>
      <c r="D2120" t="inlineStr">
        <is>
          <t>VÄRMLANDS LÄN</t>
        </is>
      </c>
      <c r="E2120" t="inlineStr">
        <is>
          <t>TORSBY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58378-2023</t>
        </is>
      </c>
      <c r="B2121" s="1" t="n">
        <v>45250</v>
      </c>
      <c r="C2121" s="1" t="n">
        <v>45265</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58383-2023</t>
        </is>
      </c>
      <c r="B2122" s="1" t="n">
        <v>45250</v>
      </c>
      <c r="C2122" s="1" t="n">
        <v>45265</v>
      </c>
      <c r="D2122" t="inlineStr">
        <is>
          <t>VÄRMLANDS LÄN</t>
        </is>
      </c>
      <c r="E2122" t="inlineStr">
        <is>
          <t>TORSBY</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58394-2023</t>
        </is>
      </c>
      <c r="B2123" s="1" t="n">
        <v>45250</v>
      </c>
      <c r="C2123" s="1" t="n">
        <v>45265</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58429-2023</t>
        </is>
      </c>
      <c r="B2124" s="1" t="n">
        <v>45250</v>
      </c>
      <c r="C2124" s="1" t="n">
        <v>45265</v>
      </c>
      <c r="D2124" t="inlineStr">
        <is>
          <t>VÄRMLANDS LÄN</t>
        </is>
      </c>
      <c r="E2124" t="inlineStr">
        <is>
          <t>TORSBY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58430-2023</t>
        </is>
      </c>
      <c r="B2125" s="1" t="n">
        <v>45250</v>
      </c>
      <c r="C2125" s="1" t="n">
        <v>45265</v>
      </c>
      <c r="D2125" t="inlineStr">
        <is>
          <t>VÄRMLANDS LÄN</t>
        </is>
      </c>
      <c r="E2125" t="inlineStr">
        <is>
          <t>TORSBY</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58438-2023</t>
        </is>
      </c>
      <c r="B2126" s="1" t="n">
        <v>45250</v>
      </c>
      <c r="C2126" s="1" t="n">
        <v>45265</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59256-2023</t>
        </is>
      </c>
      <c r="B2127" s="1" t="n">
        <v>45251</v>
      </c>
      <c r="C2127" s="1" t="n">
        <v>45265</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59236-2023</t>
        </is>
      </c>
      <c r="B2128" s="1" t="n">
        <v>45253</v>
      </c>
      <c r="C2128" s="1" t="n">
        <v>45265</v>
      </c>
      <c r="D2128" t="inlineStr">
        <is>
          <t>VÄRMLANDS LÄN</t>
        </is>
      </c>
      <c r="E2128" t="inlineStr">
        <is>
          <t>TORSBY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59239-2023</t>
        </is>
      </c>
      <c r="B2129" s="1" t="n">
        <v>45253</v>
      </c>
      <c r="C2129" s="1" t="n">
        <v>45265</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59488-2023</t>
        </is>
      </c>
      <c r="B2130" s="1" t="n">
        <v>45254</v>
      </c>
      <c r="C2130" s="1" t="n">
        <v>45265</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59941-2023</t>
        </is>
      </c>
      <c r="B2131" s="1" t="n">
        <v>45257</v>
      </c>
      <c r="C2131" s="1" t="n">
        <v>45265</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59872-2023</t>
        </is>
      </c>
      <c r="B2132" s="1" t="n">
        <v>45257</v>
      </c>
      <c r="C2132" s="1" t="n">
        <v>45265</v>
      </c>
      <c r="D2132" t="inlineStr">
        <is>
          <t>VÄRMLANDS LÄN</t>
        </is>
      </c>
      <c r="E2132" t="inlineStr">
        <is>
          <t>TORSBY</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59781-2023</t>
        </is>
      </c>
      <c r="B2133" s="1" t="n">
        <v>45257</v>
      </c>
      <c r="C2133" s="1" t="n">
        <v>45265</v>
      </c>
      <c r="D2133" t="inlineStr">
        <is>
          <t>VÄRMLANDS LÄN</t>
        </is>
      </c>
      <c r="E2133" t="inlineStr">
        <is>
          <t>TORSBY</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60046-2023</t>
        </is>
      </c>
      <c r="B2134" s="1" t="n">
        <v>45258</v>
      </c>
      <c r="C2134" s="1" t="n">
        <v>45265</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60058-2023</t>
        </is>
      </c>
      <c r="B2135" s="1" t="n">
        <v>45258</v>
      </c>
      <c r="C2135" s="1" t="n">
        <v>45265</v>
      </c>
      <c r="D2135" t="inlineStr">
        <is>
          <t>VÄRMLANDS LÄN</t>
        </is>
      </c>
      <c r="E2135" t="inlineStr">
        <is>
          <t>TORSBY</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60088-2023</t>
        </is>
      </c>
      <c r="B2136" s="1" t="n">
        <v>45258</v>
      </c>
      <c r="C2136" s="1" t="n">
        <v>45265</v>
      </c>
      <c r="D2136" t="inlineStr">
        <is>
          <t>VÄRMLANDS LÄN</t>
        </is>
      </c>
      <c r="E2136" t="inlineStr">
        <is>
          <t>TORSBY</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60133-2023</t>
        </is>
      </c>
      <c r="B2137" s="1" t="n">
        <v>45258</v>
      </c>
      <c r="C2137" s="1" t="n">
        <v>45265</v>
      </c>
      <c r="D2137" t="inlineStr">
        <is>
          <t>VÄRMLANDS LÄN</t>
        </is>
      </c>
      <c r="E2137" t="inlineStr">
        <is>
          <t>TORSBY</t>
        </is>
      </c>
      <c r="F2137" t="inlineStr">
        <is>
          <t>Bergvik skog väst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60100-2023</t>
        </is>
      </c>
      <c r="B2138" s="1" t="n">
        <v>45258</v>
      </c>
      <c r="C2138" s="1" t="n">
        <v>45265</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60314-2023</t>
        </is>
      </c>
      <c r="B2139" s="1" t="n">
        <v>45258</v>
      </c>
      <c r="C2139" s="1" t="n">
        <v>45265</v>
      </c>
      <c r="D2139" t="inlineStr">
        <is>
          <t>VÄRMLANDS LÄN</t>
        </is>
      </c>
      <c r="E2139" t="inlineStr">
        <is>
          <t>TORSBY</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60525-2023</t>
        </is>
      </c>
      <c r="B2140" s="1" t="n">
        <v>45259</v>
      </c>
      <c r="C2140" s="1" t="n">
        <v>45265</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60486-2023</t>
        </is>
      </c>
      <c r="B2141" s="1" t="n">
        <v>45259</v>
      </c>
      <c r="C2141" s="1" t="n">
        <v>45265</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60523-2023</t>
        </is>
      </c>
      <c r="B2142" s="1" t="n">
        <v>45259</v>
      </c>
      <c r="C2142" s="1" t="n">
        <v>45265</v>
      </c>
      <c r="D2142" t="inlineStr">
        <is>
          <t>VÄRMLANDS LÄN</t>
        </is>
      </c>
      <c r="E2142" t="inlineStr">
        <is>
          <t>TORSBY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61157-2023</t>
        </is>
      </c>
      <c r="B2143" s="1" t="n">
        <v>45262</v>
      </c>
      <c r="C2143" s="1" t="n">
        <v>45265</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61164-2023</t>
        </is>
      </c>
      <c r="B2144" s="1" t="n">
        <v>45262</v>
      </c>
      <c r="C2144" s="1" t="n">
        <v>45265</v>
      </c>
      <c r="D2144" t="inlineStr">
        <is>
          <t>VÄRMLANDS LÄN</t>
        </is>
      </c>
      <c r="E2144" t="inlineStr">
        <is>
          <t>TORSBY</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61229-2023</t>
        </is>
      </c>
      <c r="B2145" s="1" t="n">
        <v>45264</v>
      </c>
      <c r="C2145" s="1" t="n">
        <v>45265</v>
      </c>
      <c r="D2145" t="inlineStr">
        <is>
          <t>VÄRMLANDS LÄN</t>
        </is>
      </c>
      <c r="E2145" t="inlineStr">
        <is>
          <t>TORSBY</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61256-2023</t>
        </is>
      </c>
      <c r="B2146" s="1" t="n">
        <v>45264</v>
      </c>
      <c r="C2146" s="1" t="n">
        <v>45265</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c r="A2147" t="inlineStr">
        <is>
          <t>A 61370-2023</t>
        </is>
      </c>
      <c r="B2147" s="1" t="n">
        <v>45264</v>
      </c>
      <c r="C2147" s="1" t="n">
        <v>45265</v>
      </c>
      <c r="D2147" t="inlineStr">
        <is>
          <t>VÄRMLANDS LÄN</t>
        </is>
      </c>
      <c r="E2147" t="inlineStr">
        <is>
          <t>TORSBY</t>
        </is>
      </c>
      <c r="G2147" t="n">
        <v>2.3</v>
      </c>
      <c r="H2147" t="n">
        <v>0</v>
      </c>
      <c r="I2147" t="n">
        <v>0</v>
      </c>
      <c r="J2147" t="n">
        <v>0</v>
      </c>
      <c r="K2147" t="n">
        <v>0</v>
      </c>
      <c r="L2147" t="n">
        <v>0</v>
      </c>
      <c r="M2147" t="n">
        <v>0</v>
      </c>
      <c r="N2147" t="n">
        <v>0</v>
      </c>
      <c r="O2147" t="n">
        <v>0</v>
      </c>
      <c r="P2147" t="n">
        <v>0</v>
      </c>
      <c r="Q2147" t="n">
        <v>0</v>
      </c>
      <c r="R21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2023-12-05T09:21:14Z</dcterms:created>
  <dcterms:modified xmlns:dcterms="http://purl.org/dc/terms/" xmlns:xsi="http://www.w3.org/2001/XMLSchema-instance" xsi:type="dcterms:W3CDTF">2023-12-05T09:21:15Z</dcterms:modified>
</cp:coreProperties>
</file>