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45989</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45989</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45989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45989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45989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45989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45989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45989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45989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45989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45989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45989</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45989</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45989</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45989</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45989</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45989</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45989</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45989</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45989</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45989</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45987.41462962963</v>
      </c>
      <c r="C29" s="1" t="n">
        <v>45989</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45989</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26488-2025</t>
        </is>
      </c>
      <c r="B31" s="1" t="n">
        <v>45807.47668981482</v>
      </c>
      <c r="C31" s="1" t="n">
        <v>45989</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45989</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7650-2021</t>
        </is>
      </c>
      <c r="B33" s="1" t="n">
        <v>44242</v>
      </c>
      <c r="C33" s="1" t="n">
        <v>45989</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44477-2024</t>
        </is>
      </c>
      <c r="B34" s="1" t="n">
        <v>45574</v>
      </c>
      <c r="C34" s="1" t="n">
        <v>45989</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22604-2025</t>
        </is>
      </c>
      <c r="B35" s="1" t="n">
        <v>45789.41592592592</v>
      </c>
      <c r="C35" s="1" t="n">
        <v>45989</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45989</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8514-2022</t>
        </is>
      </c>
      <c r="B37" s="1" t="n">
        <v>44613.43620370371</v>
      </c>
      <c r="C37" s="1" t="n">
        <v>45989</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45989</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45989</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45989</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9573-2023</t>
        </is>
      </c>
      <c r="B41" s="1" t="n">
        <v>44982</v>
      </c>
      <c r="C41" s="1" t="n">
        <v>45989</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32986-2025</t>
        </is>
      </c>
      <c r="B42" s="1" t="n">
        <v>45839.96859953704</v>
      </c>
      <c r="C42" s="1" t="n">
        <v>45989</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45989</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62275-2023</t>
        </is>
      </c>
      <c r="B44" s="1" t="n">
        <v>45267</v>
      </c>
      <c r="C44" s="1" t="n">
        <v>45989</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45989</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4555-2021</t>
        </is>
      </c>
      <c r="B46" s="1" t="n">
        <v>44224</v>
      </c>
      <c r="C46" s="1" t="n">
        <v>45989</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173-2021</t>
        </is>
      </c>
      <c r="B47" s="1" t="n">
        <v>44200</v>
      </c>
      <c r="C47" s="1" t="n">
        <v>45989</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45989</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2938-2025</t>
        </is>
      </c>
      <c r="B49" s="1" t="n">
        <v>45678</v>
      </c>
      <c r="C49" s="1" t="n">
        <v>45989</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37948-2024</t>
        </is>
      </c>
      <c r="B50" s="1" t="n">
        <v>45544</v>
      </c>
      <c r="C50" s="1" t="n">
        <v>45989</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43385-2024</t>
        </is>
      </c>
      <c r="B51" s="1" t="n">
        <v>45568</v>
      </c>
      <c r="C51" s="1" t="n">
        <v>45989</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45989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45989</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45989</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20763-2025</t>
        </is>
      </c>
      <c r="B55" s="1" t="n">
        <v>45776.57929398148</v>
      </c>
      <c r="C55" s="1" t="n">
        <v>45989</v>
      </c>
      <c r="D55" t="inlineStr">
        <is>
          <t>VÄRMLANDS LÄN</t>
        </is>
      </c>
      <c r="E55" t="inlineStr">
        <is>
          <t>TORSBY</t>
        </is>
      </c>
      <c r="G55" t="n">
        <v>4.9</v>
      </c>
      <c r="H55" t="n">
        <v>0</v>
      </c>
      <c r="I55" t="n">
        <v>0</v>
      </c>
      <c r="J55" t="n">
        <v>4</v>
      </c>
      <c r="K55" t="n">
        <v>0</v>
      </c>
      <c r="L55" t="n">
        <v>0</v>
      </c>
      <c r="M55" t="n">
        <v>0</v>
      </c>
      <c r="N55" t="n">
        <v>0</v>
      </c>
      <c r="O55" t="n">
        <v>4</v>
      </c>
      <c r="P55" t="n">
        <v>0</v>
      </c>
      <c r="Q55" t="n">
        <v>4</v>
      </c>
      <c r="R55" s="2" t="inlineStr">
        <is>
          <t>Garnlav
Kolflarnlav
Mörk kolflarnlav
Vedskivlav</t>
        </is>
      </c>
      <c r="S55">
        <f>HYPERLINK("https://klasma.github.io/Logging_1737/artfynd/A 20763-2025 artfynd.xlsx", "A 20763-2025")</f>
        <v/>
      </c>
      <c r="T55">
        <f>HYPERLINK("https://klasma.github.io/Logging_1737/kartor/A 20763-2025 karta.png", "A 20763-2025")</f>
        <v/>
      </c>
      <c r="V55">
        <f>HYPERLINK("https://klasma.github.io/Logging_1737/klagomål/A 20763-2025 FSC-klagomål.docx", "A 20763-2025")</f>
        <v/>
      </c>
      <c r="W55">
        <f>HYPERLINK("https://klasma.github.io/Logging_1737/klagomålsmail/A 20763-2025 FSC-klagomål mail.docx", "A 20763-2025")</f>
        <v/>
      </c>
      <c r="X55">
        <f>HYPERLINK("https://klasma.github.io/Logging_1737/tillsyn/A 20763-2025 tillsynsbegäran.docx", "A 20763-2025")</f>
        <v/>
      </c>
      <c r="Y55">
        <f>HYPERLINK("https://klasma.github.io/Logging_1737/tillsynsmail/A 20763-2025 tillsynsbegäran mail.docx", "A 20763-2025")</f>
        <v/>
      </c>
    </row>
    <row r="56" ht="15" customHeight="1">
      <c r="A56" t="inlineStr">
        <is>
          <t>A 70301-2021</t>
        </is>
      </c>
      <c r="B56" s="1" t="n">
        <v>44536</v>
      </c>
      <c r="C56" s="1" t="n">
        <v>45989</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45989</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42595-2025</t>
        </is>
      </c>
      <c r="B58" s="1" t="n">
        <v>45905</v>
      </c>
      <c r="C58" s="1" t="n">
        <v>45989</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23576-2022</t>
        </is>
      </c>
      <c r="B59" s="1" t="n">
        <v>44721</v>
      </c>
      <c r="C59" s="1" t="n">
        <v>45989</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17740-2025</t>
        </is>
      </c>
      <c r="B60" s="1" t="n">
        <v>45758</v>
      </c>
      <c r="C60" s="1" t="n">
        <v>45989</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45468-2025</t>
        </is>
      </c>
      <c r="B61" s="1" t="n">
        <v>45922</v>
      </c>
      <c r="C61" s="1" t="n">
        <v>45989</v>
      </c>
      <c r="D61" t="inlineStr">
        <is>
          <t>VÄRMLANDS LÄN</t>
        </is>
      </c>
      <c r="E61" t="inlineStr">
        <is>
          <t>TORSBY</t>
        </is>
      </c>
      <c r="G61" t="n">
        <v>5.6</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45468-2025 artfynd.xlsx", "A 45468-2025")</f>
        <v/>
      </c>
      <c r="T61">
        <f>HYPERLINK("https://klasma.github.io/Logging_1737/kartor/A 45468-2025 karta.png", "A 45468-2025")</f>
        <v/>
      </c>
      <c r="V61">
        <f>HYPERLINK("https://klasma.github.io/Logging_1737/klagomål/A 45468-2025 FSC-klagomål.docx", "A 45468-2025")</f>
        <v/>
      </c>
      <c r="W61">
        <f>HYPERLINK("https://klasma.github.io/Logging_1737/klagomålsmail/A 45468-2025 FSC-klagomål mail.docx", "A 45468-2025")</f>
        <v/>
      </c>
      <c r="X61">
        <f>HYPERLINK("https://klasma.github.io/Logging_1737/tillsyn/A 45468-2025 tillsynsbegäran.docx", "A 45468-2025")</f>
        <v/>
      </c>
      <c r="Y61">
        <f>HYPERLINK("https://klasma.github.io/Logging_1737/tillsynsmail/A 45468-2025 tillsynsbegäran mail.docx", "A 45468-2025")</f>
        <v/>
      </c>
    </row>
    <row r="62" ht="15" customHeight="1">
      <c r="A62" t="inlineStr">
        <is>
          <t>A 67528-2021</t>
        </is>
      </c>
      <c r="B62" s="1" t="n">
        <v>44524</v>
      </c>
      <c r="C62" s="1" t="n">
        <v>45989</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45989</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31835-2024</t>
        </is>
      </c>
      <c r="B64" s="1" t="n">
        <v>45509</v>
      </c>
      <c r="C64" s="1" t="n">
        <v>45989</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45989</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45989</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45989</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45989</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59789-2024</t>
        </is>
      </c>
      <c r="B69" s="1" t="n">
        <v>45639</v>
      </c>
      <c r="C69" s="1" t="n">
        <v>45989</v>
      </c>
      <c r="D69" t="inlineStr">
        <is>
          <t>VÄRMLANDS LÄN</t>
        </is>
      </c>
      <c r="E69" t="inlineStr">
        <is>
          <t>TORSBY</t>
        </is>
      </c>
      <c r="G69" t="n">
        <v>4.8</v>
      </c>
      <c r="H69" t="n">
        <v>0</v>
      </c>
      <c r="I69" t="n">
        <v>0</v>
      </c>
      <c r="J69" t="n">
        <v>3</v>
      </c>
      <c r="K69" t="n">
        <v>0</v>
      </c>
      <c r="L69" t="n">
        <v>0</v>
      </c>
      <c r="M69" t="n">
        <v>0</v>
      </c>
      <c r="N69" t="n">
        <v>0</v>
      </c>
      <c r="O69" t="n">
        <v>3</v>
      </c>
      <c r="P69" t="n">
        <v>0</v>
      </c>
      <c r="Q69" t="n">
        <v>3</v>
      </c>
      <c r="R69" s="2" t="inlineStr">
        <is>
          <t>Garnlav
Vedskivlav
Violettgrå tagellav</t>
        </is>
      </c>
      <c r="S69">
        <f>HYPERLINK("https://klasma.github.io/Logging_1737/artfynd/A 59789-2024 artfynd.xlsx", "A 59789-2024")</f>
        <v/>
      </c>
      <c r="T69">
        <f>HYPERLINK("https://klasma.github.io/Logging_1737/kartor/A 59789-2024 karta.png", "A 59789-2024")</f>
        <v/>
      </c>
      <c r="V69">
        <f>HYPERLINK("https://klasma.github.io/Logging_1737/klagomål/A 59789-2024 FSC-klagomål.docx", "A 59789-2024")</f>
        <v/>
      </c>
      <c r="W69">
        <f>HYPERLINK("https://klasma.github.io/Logging_1737/klagomålsmail/A 59789-2024 FSC-klagomål mail.docx", "A 59789-2024")</f>
        <v/>
      </c>
      <c r="X69">
        <f>HYPERLINK("https://klasma.github.io/Logging_1737/tillsyn/A 59789-2024 tillsynsbegäran.docx", "A 59789-2024")</f>
        <v/>
      </c>
      <c r="Y69">
        <f>HYPERLINK("https://klasma.github.io/Logging_1737/tillsynsmail/A 59789-2024 tillsynsbegäran mail.docx", "A 59789-2024")</f>
        <v/>
      </c>
    </row>
    <row r="70" ht="15" customHeight="1">
      <c r="A70" t="inlineStr">
        <is>
          <t>A 46016-2023</t>
        </is>
      </c>
      <c r="B70" s="1" t="n">
        <v>45196</v>
      </c>
      <c r="C70" s="1" t="n">
        <v>45989</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45989</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57190-2024</t>
        </is>
      </c>
      <c r="B72" s="1" t="n">
        <v>45629</v>
      </c>
      <c r="C72" s="1" t="n">
        <v>45989</v>
      </c>
      <c r="D72" t="inlineStr">
        <is>
          <t>VÄRMLANDS LÄN</t>
        </is>
      </c>
      <c r="E72" t="inlineStr">
        <is>
          <t>TORSBY</t>
        </is>
      </c>
      <c r="G72" t="n">
        <v>0.8</v>
      </c>
      <c r="H72" t="n">
        <v>0</v>
      </c>
      <c r="I72" t="n">
        <v>0</v>
      </c>
      <c r="J72" t="n">
        <v>3</v>
      </c>
      <c r="K72" t="n">
        <v>0</v>
      </c>
      <c r="L72" t="n">
        <v>0</v>
      </c>
      <c r="M72" t="n">
        <v>0</v>
      </c>
      <c r="N72" t="n">
        <v>0</v>
      </c>
      <c r="O72" t="n">
        <v>3</v>
      </c>
      <c r="P72" t="n">
        <v>0</v>
      </c>
      <c r="Q72" t="n">
        <v>3</v>
      </c>
      <c r="R72" s="2" t="inlineStr">
        <is>
          <t>Garnlav
Skogstrappmossa
Violettgrå tagellav</t>
        </is>
      </c>
      <c r="S72">
        <f>HYPERLINK("https://klasma.github.io/Logging_1737/artfynd/A 57190-2024 artfynd.xlsx", "A 57190-2024")</f>
        <v/>
      </c>
      <c r="T72">
        <f>HYPERLINK("https://klasma.github.io/Logging_1737/kartor/A 57190-2024 karta.png", "A 57190-2024")</f>
        <v/>
      </c>
      <c r="V72">
        <f>HYPERLINK("https://klasma.github.io/Logging_1737/klagomål/A 57190-2024 FSC-klagomål.docx", "A 57190-2024")</f>
        <v/>
      </c>
      <c r="W72">
        <f>HYPERLINK("https://klasma.github.io/Logging_1737/klagomålsmail/A 57190-2024 FSC-klagomål mail.docx", "A 57190-2024")</f>
        <v/>
      </c>
      <c r="X72">
        <f>HYPERLINK("https://klasma.github.io/Logging_1737/tillsyn/A 57190-2024 tillsynsbegäran.docx", "A 57190-2024")</f>
        <v/>
      </c>
      <c r="Y72">
        <f>HYPERLINK("https://klasma.github.io/Logging_1737/tillsynsmail/A 57190-2024 tillsynsbegäran mail.docx", "A 57190-2024")</f>
        <v/>
      </c>
    </row>
    <row r="73" ht="15" customHeight="1">
      <c r="A73" t="inlineStr">
        <is>
          <t>A 1524-2021</t>
        </is>
      </c>
      <c r="B73" s="1" t="n">
        <v>44209</v>
      </c>
      <c r="C73" s="1" t="n">
        <v>45989</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45989</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45989</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2000-2023</t>
        </is>
      </c>
      <c r="B76" s="1" t="n">
        <v>44939</v>
      </c>
      <c r="C76" s="1" t="n">
        <v>45989</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4718-2023</t>
        </is>
      </c>
      <c r="B77" s="1" t="n">
        <v>44957</v>
      </c>
      <c r="C77" s="1" t="n">
        <v>45989</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16414-2023</t>
        </is>
      </c>
      <c r="B78" s="1" t="n">
        <v>45022</v>
      </c>
      <c r="C78" s="1" t="n">
        <v>45989</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42488-2025</t>
        </is>
      </c>
      <c r="B79" s="1" t="n">
        <v>45905</v>
      </c>
      <c r="C79" s="1" t="n">
        <v>45989</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25212-2025</t>
        </is>
      </c>
      <c r="B80" s="1" t="n">
        <v>45800</v>
      </c>
      <c r="C80" s="1" t="n">
        <v>45989</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48292-2023</t>
        </is>
      </c>
      <c r="B81" s="1" t="n">
        <v>45205</v>
      </c>
      <c r="C81" s="1" t="n">
        <v>45989</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34930-2022</t>
        </is>
      </c>
      <c r="B82" s="1" t="n">
        <v>44796</v>
      </c>
      <c r="C82" s="1" t="n">
        <v>45989</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17747-2025</t>
        </is>
      </c>
      <c r="B83" s="1" t="n">
        <v>45758</v>
      </c>
      <c r="C83" s="1" t="n">
        <v>45989</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46580-2025</t>
        </is>
      </c>
      <c r="B84" s="1" t="n">
        <v>45926</v>
      </c>
      <c r="C84" s="1" t="n">
        <v>45989</v>
      </c>
      <c r="D84" t="inlineStr">
        <is>
          <t>VÄRMLANDS LÄN</t>
        </is>
      </c>
      <c r="E84" t="inlineStr">
        <is>
          <t>TORSBY</t>
        </is>
      </c>
      <c r="G84" t="n">
        <v>1.4</v>
      </c>
      <c r="H84" t="n">
        <v>0</v>
      </c>
      <c r="I84" t="n">
        <v>0</v>
      </c>
      <c r="J84" t="n">
        <v>2</v>
      </c>
      <c r="K84" t="n">
        <v>0</v>
      </c>
      <c r="L84" t="n">
        <v>0</v>
      </c>
      <c r="M84" t="n">
        <v>0</v>
      </c>
      <c r="N84" t="n">
        <v>0</v>
      </c>
      <c r="O84" t="n">
        <v>2</v>
      </c>
      <c r="P84" t="n">
        <v>0</v>
      </c>
      <c r="Q84" t="n">
        <v>2</v>
      </c>
      <c r="R84" s="2" t="inlineStr">
        <is>
          <t>Garnlav
Vedskivlav</t>
        </is>
      </c>
      <c r="S84">
        <f>HYPERLINK("https://klasma.github.io/Logging_1737/artfynd/A 46580-2025 artfynd.xlsx", "A 46580-2025")</f>
        <v/>
      </c>
      <c r="T84">
        <f>HYPERLINK("https://klasma.github.io/Logging_1737/kartor/A 46580-2025 karta.png", "A 46580-2025")</f>
        <v/>
      </c>
      <c r="V84">
        <f>HYPERLINK("https://klasma.github.io/Logging_1737/klagomål/A 46580-2025 FSC-klagomål.docx", "A 46580-2025")</f>
        <v/>
      </c>
      <c r="W84">
        <f>HYPERLINK("https://klasma.github.io/Logging_1737/klagomålsmail/A 46580-2025 FSC-klagomål mail.docx", "A 46580-2025")</f>
        <v/>
      </c>
      <c r="X84">
        <f>HYPERLINK("https://klasma.github.io/Logging_1737/tillsyn/A 46580-2025 tillsynsbegäran.docx", "A 46580-2025")</f>
        <v/>
      </c>
      <c r="Y84">
        <f>HYPERLINK("https://klasma.github.io/Logging_1737/tillsynsmail/A 46580-2025 tillsynsbegäran mail.docx", "A 46580-2025")</f>
        <v/>
      </c>
    </row>
    <row r="85" ht="15" customHeight="1">
      <c r="A85" t="inlineStr">
        <is>
          <t>A 37388-2025</t>
        </is>
      </c>
      <c r="B85" s="1" t="n">
        <v>45877</v>
      </c>
      <c r="C85" s="1" t="n">
        <v>45989</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33906-2025</t>
        </is>
      </c>
      <c r="B86" s="1" t="n">
        <v>45842.59878472222</v>
      </c>
      <c r="C86" s="1" t="n">
        <v>45989</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16011-2025</t>
        </is>
      </c>
      <c r="B87" s="1" t="n">
        <v>45749</v>
      </c>
      <c r="C87" s="1" t="n">
        <v>45989</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48970-2025</t>
        </is>
      </c>
      <c r="B88" s="1" t="n">
        <v>45937.56392361111</v>
      </c>
      <c r="C88" s="1" t="n">
        <v>45989</v>
      </c>
      <c r="D88" t="inlineStr">
        <is>
          <t>VÄRMLANDS LÄN</t>
        </is>
      </c>
      <c r="E88" t="inlineStr">
        <is>
          <t>TORSBY</t>
        </is>
      </c>
      <c r="G88" t="n">
        <v>6.4</v>
      </c>
      <c r="H88" t="n">
        <v>0</v>
      </c>
      <c r="I88" t="n">
        <v>0</v>
      </c>
      <c r="J88" t="n">
        <v>2</v>
      </c>
      <c r="K88" t="n">
        <v>0</v>
      </c>
      <c r="L88" t="n">
        <v>0</v>
      </c>
      <c r="M88" t="n">
        <v>0</v>
      </c>
      <c r="N88" t="n">
        <v>0</v>
      </c>
      <c r="O88" t="n">
        <v>2</v>
      </c>
      <c r="P88" t="n">
        <v>0</v>
      </c>
      <c r="Q88" t="n">
        <v>2</v>
      </c>
      <c r="R88" s="2" t="inlineStr">
        <is>
          <t>Garnlav
Lunglav</t>
        </is>
      </c>
      <c r="S88">
        <f>HYPERLINK("https://klasma.github.io/Logging_1737/artfynd/A 48970-2025 artfynd.xlsx", "A 48970-2025")</f>
        <v/>
      </c>
      <c r="T88">
        <f>HYPERLINK("https://klasma.github.io/Logging_1737/kartor/A 48970-2025 karta.png", "A 48970-2025")</f>
        <v/>
      </c>
      <c r="V88">
        <f>HYPERLINK("https://klasma.github.io/Logging_1737/klagomål/A 48970-2025 FSC-klagomål.docx", "A 48970-2025")</f>
        <v/>
      </c>
      <c r="W88">
        <f>HYPERLINK("https://klasma.github.io/Logging_1737/klagomålsmail/A 48970-2025 FSC-klagomål mail.docx", "A 48970-2025")</f>
        <v/>
      </c>
      <c r="X88">
        <f>HYPERLINK("https://klasma.github.io/Logging_1737/tillsyn/A 48970-2025 tillsynsbegäran.docx", "A 48970-2025")</f>
        <v/>
      </c>
      <c r="Y88">
        <f>HYPERLINK("https://klasma.github.io/Logging_1737/tillsynsmail/A 48970-2025 tillsynsbegäran mail.docx", "A 48970-2025")</f>
        <v/>
      </c>
    </row>
    <row r="89" ht="15" customHeight="1">
      <c r="A89" t="inlineStr">
        <is>
          <t>A 42610-2023</t>
        </is>
      </c>
      <c r="B89" s="1" t="n">
        <v>45181</v>
      </c>
      <c r="C89" s="1" t="n">
        <v>45989</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45989</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45989</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45989</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45989</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45989</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45989</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45989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45989</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34876-2021</t>
        </is>
      </c>
      <c r="B98" s="1" t="n">
        <v>44383</v>
      </c>
      <c r="C98" s="1" t="n">
        <v>45989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71594-2021</t>
        </is>
      </c>
      <c r="B99" s="1" t="n">
        <v>44541</v>
      </c>
      <c r="C99" s="1" t="n">
        <v>45989</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40033-2024</t>
        </is>
      </c>
      <c r="B100" s="1" t="n">
        <v>45553</v>
      </c>
      <c r="C100" s="1" t="n">
        <v>45989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45989</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51288-2022</t>
        </is>
      </c>
      <c r="B102" s="1" t="n">
        <v>44868</v>
      </c>
      <c r="C102" s="1" t="n">
        <v>45989</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25217-2025</t>
        </is>
      </c>
      <c r="B103" s="1" t="n">
        <v>45800.4756712963</v>
      </c>
      <c r="C103" s="1" t="n">
        <v>45989</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25802-2025</t>
        </is>
      </c>
      <c r="B104" s="1" t="n">
        <v>45804.40766203704</v>
      </c>
      <c r="C104" s="1" t="n">
        <v>45989</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Tallticka</t>
        </is>
      </c>
      <c r="S104">
        <f>HYPERLINK("https://klasma.github.io/Logging_1737/artfynd/A 25802-2025 artfynd.xlsx", "A 25802-2025")</f>
        <v/>
      </c>
      <c r="T104">
        <f>HYPERLINK("https://klasma.github.io/Logging_1737/kartor/A 25802-2025 karta.png", "A 25802-2025")</f>
        <v/>
      </c>
      <c r="V104">
        <f>HYPERLINK("https://klasma.github.io/Logging_1737/klagomål/A 25802-2025 FSC-klagomål.docx", "A 25802-2025")</f>
        <v/>
      </c>
      <c r="W104">
        <f>HYPERLINK("https://klasma.github.io/Logging_1737/klagomålsmail/A 25802-2025 FSC-klagomål mail.docx", "A 25802-2025")</f>
        <v/>
      </c>
      <c r="X104">
        <f>HYPERLINK("https://klasma.github.io/Logging_1737/tillsyn/A 25802-2025 tillsynsbegäran.docx", "A 25802-2025")</f>
        <v/>
      </c>
      <c r="Y104">
        <f>HYPERLINK("https://klasma.github.io/Logging_1737/tillsynsmail/A 25802-2025 tillsynsbegäran mail.docx", "A 25802-2025")</f>
        <v/>
      </c>
    </row>
    <row r="105" ht="15" customHeight="1">
      <c r="A105" t="inlineStr">
        <is>
          <t>A 27301-2025</t>
        </is>
      </c>
      <c r="B105" s="1" t="n">
        <v>45812.57186342592</v>
      </c>
      <c r="C105" s="1" t="n">
        <v>45989</v>
      </c>
      <c r="D105" t="inlineStr">
        <is>
          <t>VÄRMLANDS LÄN</t>
        </is>
      </c>
      <c r="E105" t="inlineStr">
        <is>
          <t>TORSBY</t>
        </is>
      </c>
      <c r="G105" t="n">
        <v>2.7</v>
      </c>
      <c r="H105" t="n">
        <v>1</v>
      </c>
      <c r="I105" t="n">
        <v>0</v>
      </c>
      <c r="J105" t="n">
        <v>1</v>
      </c>
      <c r="K105" t="n">
        <v>0</v>
      </c>
      <c r="L105" t="n">
        <v>0</v>
      </c>
      <c r="M105" t="n">
        <v>0</v>
      </c>
      <c r="N105" t="n">
        <v>0</v>
      </c>
      <c r="O105" t="n">
        <v>1</v>
      </c>
      <c r="P105" t="n">
        <v>0</v>
      </c>
      <c r="Q105" t="n">
        <v>1</v>
      </c>
      <c r="R105" s="2" t="inlineStr">
        <is>
          <t>Nordfladdermus</t>
        </is>
      </c>
      <c r="S105">
        <f>HYPERLINK("https://klasma.github.io/Logging_1737/artfynd/A 27301-2025 artfynd.xlsx", "A 27301-2025")</f>
        <v/>
      </c>
      <c r="T105">
        <f>HYPERLINK("https://klasma.github.io/Logging_1737/kartor/A 27301-2025 karta.png", "A 27301-2025")</f>
        <v/>
      </c>
      <c r="V105">
        <f>HYPERLINK("https://klasma.github.io/Logging_1737/klagomål/A 27301-2025 FSC-klagomål.docx", "A 27301-2025")</f>
        <v/>
      </c>
      <c r="W105">
        <f>HYPERLINK("https://klasma.github.io/Logging_1737/klagomålsmail/A 27301-2025 FSC-klagomål mail.docx", "A 27301-2025")</f>
        <v/>
      </c>
      <c r="X105">
        <f>HYPERLINK("https://klasma.github.io/Logging_1737/tillsyn/A 27301-2025 tillsynsbegäran.docx", "A 27301-2025")</f>
        <v/>
      </c>
      <c r="Y105">
        <f>HYPERLINK("https://klasma.github.io/Logging_1737/tillsynsmail/A 27301-2025 tillsynsbegäran mail.docx", "A 27301-2025")</f>
        <v/>
      </c>
    </row>
    <row r="106" ht="15" customHeight="1">
      <c r="A106" t="inlineStr">
        <is>
          <t>A 27108-2025</t>
        </is>
      </c>
      <c r="B106" s="1" t="n">
        <v>45811.72777777778</v>
      </c>
      <c r="C106" s="1" t="n">
        <v>45989</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49724-2023</t>
        </is>
      </c>
      <c r="B107" s="1" t="n">
        <v>45208</v>
      </c>
      <c r="C107" s="1" t="n">
        <v>45989</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Garnlav</t>
        </is>
      </c>
      <c r="S107">
        <f>HYPERLINK("https://klasma.github.io/Logging_1737/artfynd/A 49724-2023 artfynd.xlsx", "A 49724-2023")</f>
        <v/>
      </c>
      <c r="T107">
        <f>HYPERLINK("https://klasma.github.io/Logging_1737/kartor/A 49724-2023 karta.png", "A 49724-2023")</f>
        <v/>
      </c>
      <c r="V107">
        <f>HYPERLINK("https://klasma.github.io/Logging_1737/klagomål/A 49724-2023 FSC-klagomål.docx", "A 49724-2023")</f>
        <v/>
      </c>
      <c r="W107">
        <f>HYPERLINK("https://klasma.github.io/Logging_1737/klagomålsmail/A 49724-2023 FSC-klagomål mail.docx", "A 49724-2023")</f>
        <v/>
      </c>
      <c r="X107">
        <f>HYPERLINK("https://klasma.github.io/Logging_1737/tillsyn/A 49724-2023 tillsynsbegäran.docx", "A 49724-2023")</f>
        <v/>
      </c>
      <c r="Y107">
        <f>HYPERLINK("https://klasma.github.io/Logging_1737/tillsynsmail/A 49724-2023 tillsynsbegäran mail.docx", "A 49724-2023")</f>
        <v/>
      </c>
    </row>
    <row r="108" ht="15" customHeight="1">
      <c r="A108" t="inlineStr">
        <is>
          <t>A 29756-2025</t>
        </is>
      </c>
      <c r="B108" s="1" t="n">
        <v>45825.61525462963</v>
      </c>
      <c r="C108" s="1" t="n">
        <v>45989</v>
      </c>
      <c r="D108" t="inlineStr">
        <is>
          <t>VÄRMLANDS LÄN</t>
        </is>
      </c>
      <c r="E108" t="inlineStr">
        <is>
          <t>TORSBY</t>
        </is>
      </c>
      <c r="G108" t="n">
        <v>6.9</v>
      </c>
      <c r="H108" t="n">
        <v>0</v>
      </c>
      <c r="I108" t="n">
        <v>0</v>
      </c>
      <c r="J108" t="n">
        <v>1</v>
      </c>
      <c r="K108" t="n">
        <v>0</v>
      </c>
      <c r="L108" t="n">
        <v>0</v>
      </c>
      <c r="M108" t="n">
        <v>0</v>
      </c>
      <c r="N108" t="n">
        <v>0</v>
      </c>
      <c r="O108" t="n">
        <v>1</v>
      </c>
      <c r="P108" t="n">
        <v>0</v>
      </c>
      <c r="Q108" t="n">
        <v>1</v>
      </c>
      <c r="R108" s="2" t="inlineStr">
        <is>
          <t>Garnlav</t>
        </is>
      </c>
      <c r="S108">
        <f>HYPERLINK("https://klasma.github.io/Logging_1737/artfynd/A 29756-2025 artfynd.xlsx", "A 29756-2025")</f>
        <v/>
      </c>
      <c r="T108">
        <f>HYPERLINK("https://klasma.github.io/Logging_1737/kartor/A 29756-2025 karta.png", "A 29756-2025")</f>
        <v/>
      </c>
      <c r="V108">
        <f>HYPERLINK("https://klasma.github.io/Logging_1737/klagomål/A 29756-2025 FSC-klagomål.docx", "A 29756-2025")</f>
        <v/>
      </c>
      <c r="W108">
        <f>HYPERLINK("https://klasma.github.io/Logging_1737/klagomålsmail/A 29756-2025 FSC-klagomål mail.docx", "A 29756-2025")</f>
        <v/>
      </c>
      <c r="X108">
        <f>HYPERLINK("https://klasma.github.io/Logging_1737/tillsyn/A 29756-2025 tillsynsbegäran.docx", "A 29756-2025")</f>
        <v/>
      </c>
      <c r="Y108">
        <f>HYPERLINK("https://klasma.github.io/Logging_1737/tillsynsmail/A 29756-2025 tillsynsbegäran mail.docx", "A 29756-2025")</f>
        <v/>
      </c>
    </row>
    <row r="109" ht="15" customHeight="1">
      <c r="A109" t="inlineStr">
        <is>
          <t>A 32328-2025</t>
        </is>
      </c>
      <c r="B109" s="1" t="n">
        <v>45836.46289351852</v>
      </c>
      <c r="C109" s="1" t="n">
        <v>45989</v>
      </c>
      <c r="D109" t="inlineStr">
        <is>
          <t>VÄRMLANDS LÄN</t>
        </is>
      </c>
      <c r="E109" t="inlineStr">
        <is>
          <t>TORSBY</t>
        </is>
      </c>
      <c r="G109" t="n">
        <v>1.1</v>
      </c>
      <c r="H109" t="n">
        <v>0</v>
      </c>
      <c r="I109" t="n">
        <v>0</v>
      </c>
      <c r="J109" t="n">
        <v>1</v>
      </c>
      <c r="K109" t="n">
        <v>0</v>
      </c>
      <c r="L109" t="n">
        <v>0</v>
      </c>
      <c r="M109" t="n">
        <v>0</v>
      </c>
      <c r="N109" t="n">
        <v>0</v>
      </c>
      <c r="O109" t="n">
        <v>1</v>
      </c>
      <c r="P109" t="n">
        <v>0</v>
      </c>
      <c r="Q109" t="n">
        <v>1</v>
      </c>
      <c r="R109" s="2" t="inlineStr">
        <is>
          <t>Ullticka</t>
        </is>
      </c>
      <c r="S109">
        <f>HYPERLINK("https://klasma.github.io/Logging_1737/artfynd/A 32328-2025 artfynd.xlsx", "A 32328-2025")</f>
        <v/>
      </c>
      <c r="T109">
        <f>HYPERLINK("https://klasma.github.io/Logging_1737/kartor/A 32328-2025 karta.png", "A 32328-2025")</f>
        <v/>
      </c>
      <c r="V109">
        <f>HYPERLINK("https://klasma.github.io/Logging_1737/klagomål/A 32328-2025 FSC-klagomål.docx", "A 32328-2025")</f>
        <v/>
      </c>
      <c r="W109">
        <f>HYPERLINK("https://klasma.github.io/Logging_1737/klagomålsmail/A 32328-2025 FSC-klagomål mail.docx", "A 32328-2025")</f>
        <v/>
      </c>
      <c r="X109">
        <f>HYPERLINK("https://klasma.github.io/Logging_1737/tillsyn/A 32328-2025 tillsynsbegäran.docx", "A 32328-2025")</f>
        <v/>
      </c>
      <c r="Y109">
        <f>HYPERLINK("https://klasma.github.io/Logging_1737/tillsynsmail/A 32328-2025 tillsynsbegäran mail.docx", "A 32328-2025")</f>
        <v/>
      </c>
    </row>
    <row r="110" ht="15" customHeight="1">
      <c r="A110" t="inlineStr">
        <is>
          <t>A 8747-2021</t>
        </is>
      </c>
      <c r="B110" s="1" t="n">
        <v>44246</v>
      </c>
      <c r="C110" s="1" t="n">
        <v>45989</v>
      </c>
      <c r="D110" t="inlineStr">
        <is>
          <t>VÄRMLANDS LÄN</t>
        </is>
      </c>
      <c r="E110" t="inlineStr">
        <is>
          <t>TORSBY</t>
        </is>
      </c>
      <c r="G110" t="n">
        <v>8.5</v>
      </c>
      <c r="H110" t="n">
        <v>0</v>
      </c>
      <c r="I110" t="n">
        <v>0</v>
      </c>
      <c r="J110" t="n">
        <v>1</v>
      </c>
      <c r="K110" t="n">
        <v>0</v>
      </c>
      <c r="L110" t="n">
        <v>0</v>
      </c>
      <c r="M110" t="n">
        <v>0</v>
      </c>
      <c r="N110" t="n">
        <v>0</v>
      </c>
      <c r="O110" t="n">
        <v>1</v>
      </c>
      <c r="P110" t="n">
        <v>0</v>
      </c>
      <c r="Q110" t="n">
        <v>1</v>
      </c>
      <c r="R110" s="2" t="inlineStr">
        <is>
          <t>Garnlav</t>
        </is>
      </c>
      <c r="S110">
        <f>HYPERLINK("https://klasma.github.io/Logging_1737/artfynd/A 8747-2021 artfynd.xlsx", "A 8747-2021")</f>
        <v/>
      </c>
      <c r="T110">
        <f>HYPERLINK("https://klasma.github.io/Logging_1737/kartor/A 8747-2021 karta.png", "A 8747-2021")</f>
        <v/>
      </c>
      <c r="V110">
        <f>HYPERLINK("https://klasma.github.io/Logging_1737/klagomål/A 8747-2021 FSC-klagomål.docx", "A 8747-2021")</f>
        <v/>
      </c>
      <c r="W110">
        <f>HYPERLINK("https://klasma.github.io/Logging_1737/klagomålsmail/A 8747-2021 FSC-klagomål mail.docx", "A 8747-2021")</f>
        <v/>
      </c>
      <c r="X110">
        <f>HYPERLINK("https://klasma.github.io/Logging_1737/tillsyn/A 8747-2021 tillsynsbegäran.docx", "A 8747-2021")</f>
        <v/>
      </c>
      <c r="Y110">
        <f>HYPERLINK("https://klasma.github.io/Logging_1737/tillsynsmail/A 8747-2021 tillsynsbegäran mail.docx", "A 8747-2021")</f>
        <v/>
      </c>
    </row>
    <row r="111" ht="15" customHeight="1">
      <c r="A111" t="inlineStr">
        <is>
          <t>A 52418-2025</t>
        </is>
      </c>
      <c r="B111" s="1" t="n">
        <v>45954.36844907407</v>
      </c>
      <c r="C111" s="1" t="n">
        <v>45989</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Mindre hackspett</t>
        </is>
      </c>
      <c r="S111">
        <f>HYPERLINK("https://klasma.github.io/Logging_1737/artfynd/A 52418-2025 artfynd.xlsx", "A 52418-2025")</f>
        <v/>
      </c>
      <c r="T111">
        <f>HYPERLINK("https://klasma.github.io/Logging_1737/kartor/A 52418-2025 karta.png", "A 52418-2025")</f>
        <v/>
      </c>
      <c r="V111">
        <f>HYPERLINK("https://klasma.github.io/Logging_1737/klagomål/A 52418-2025 FSC-klagomål.docx", "A 52418-2025")</f>
        <v/>
      </c>
      <c r="W111">
        <f>HYPERLINK("https://klasma.github.io/Logging_1737/klagomålsmail/A 52418-2025 FSC-klagomål mail.docx", "A 52418-2025")</f>
        <v/>
      </c>
      <c r="X111">
        <f>HYPERLINK("https://klasma.github.io/Logging_1737/tillsyn/A 52418-2025 tillsynsbegäran.docx", "A 52418-2025")</f>
        <v/>
      </c>
      <c r="Y111">
        <f>HYPERLINK("https://klasma.github.io/Logging_1737/tillsynsmail/A 52418-2025 tillsynsbegäran mail.docx", "A 52418-2025")</f>
        <v/>
      </c>
      <c r="Z111">
        <f>HYPERLINK("https://klasma.github.io/Logging_1737/fåglar/A 52418-2025 prioriterade fågelarter.docx", "A 52418-2025")</f>
        <v/>
      </c>
    </row>
    <row r="112" ht="15" customHeight="1">
      <c r="A112" t="inlineStr">
        <is>
          <t>A 13359-2023</t>
        </is>
      </c>
      <c r="B112" s="1" t="n">
        <v>45005.46405092593</v>
      </c>
      <c r="C112" s="1" t="n">
        <v>45989</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13361-2023</t>
        </is>
      </c>
      <c r="B113" s="1" t="n">
        <v>45005</v>
      </c>
      <c r="C113" s="1" t="n">
        <v>45989</v>
      </c>
      <c r="D113" t="inlineStr">
        <is>
          <t>VÄRMLANDS LÄN</t>
        </is>
      </c>
      <c r="E113" t="inlineStr">
        <is>
          <t>TORSBY</t>
        </is>
      </c>
      <c r="G113" t="n">
        <v>8.5</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13361-2023 artfynd.xlsx", "A 13361-2023")</f>
        <v/>
      </c>
      <c r="T113">
        <f>HYPERLINK("https://klasma.github.io/Logging_1737/kartor/A 13361-2023 karta.png", "A 13361-2023")</f>
        <v/>
      </c>
      <c r="V113">
        <f>HYPERLINK("https://klasma.github.io/Logging_1737/klagomål/A 13361-2023 FSC-klagomål.docx", "A 13361-2023")</f>
        <v/>
      </c>
      <c r="W113">
        <f>HYPERLINK("https://klasma.github.io/Logging_1737/klagomålsmail/A 13361-2023 FSC-klagomål mail.docx", "A 13361-2023")</f>
        <v/>
      </c>
      <c r="X113">
        <f>HYPERLINK("https://klasma.github.io/Logging_1737/tillsyn/A 13361-2023 tillsynsbegäran.docx", "A 13361-2023")</f>
        <v/>
      </c>
      <c r="Y113">
        <f>HYPERLINK("https://klasma.github.io/Logging_1737/tillsynsmail/A 13361-2023 tillsynsbegäran mail.docx", "A 13361-2023")</f>
        <v/>
      </c>
    </row>
    <row r="114" ht="15" customHeight="1">
      <c r="A114" t="inlineStr">
        <is>
          <t>A 56133-2024</t>
        </is>
      </c>
      <c r="B114" s="1" t="n">
        <v>45624</v>
      </c>
      <c r="C114" s="1" t="n">
        <v>45989</v>
      </c>
      <c r="D114" t="inlineStr">
        <is>
          <t>VÄRMLANDS LÄN</t>
        </is>
      </c>
      <c r="E114" t="inlineStr">
        <is>
          <t>TORSBY</t>
        </is>
      </c>
      <c r="G114" t="n">
        <v>2.4</v>
      </c>
      <c r="H114" t="n">
        <v>0</v>
      </c>
      <c r="I114" t="n">
        <v>1</v>
      </c>
      <c r="J114" t="n">
        <v>0</v>
      </c>
      <c r="K114" t="n">
        <v>0</v>
      </c>
      <c r="L114" t="n">
        <v>0</v>
      </c>
      <c r="M114" t="n">
        <v>0</v>
      </c>
      <c r="N114" t="n">
        <v>0</v>
      </c>
      <c r="O114" t="n">
        <v>0</v>
      </c>
      <c r="P114" t="n">
        <v>0</v>
      </c>
      <c r="Q114" t="n">
        <v>1</v>
      </c>
      <c r="R114" s="2" t="inlineStr">
        <is>
          <t>Vedticka</t>
        </is>
      </c>
      <c r="S114">
        <f>HYPERLINK("https://klasma.github.io/Logging_1737/artfynd/A 56133-2024 artfynd.xlsx", "A 56133-2024")</f>
        <v/>
      </c>
      <c r="T114">
        <f>HYPERLINK("https://klasma.github.io/Logging_1737/kartor/A 56133-2024 karta.png", "A 56133-2024")</f>
        <v/>
      </c>
      <c r="V114">
        <f>HYPERLINK("https://klasma.github.io/Logging_1737/klagomål/A 56133-2024 FSC-klagomål.docx", "A 56133-2024")</f>
        <v/>
      </c>
      <c r="W114">
        <f>HYPERLINK("https://klasma.github.io/Logging_1737/klagomålsmail/A 56133-2024 FSC-klagomål mail.docx", "A 56133-2024")</f>
        <v/>
      </c>
      <c r="X114">
        <f>HYPERLINK("https://klasma.github.io/Logging_1737/tillsyn/A 56133-2024 tillsynsbegäran.docx", "A 56133-2024")</f>
        <v/>
      </c>
      <c r="Y114">
        <f>HYPERLINK("https://klasma.github.io/Logging_1737/tillsynsmail/A 56133-2024 tillsynsbegäran mail.docx", "A 56133-2024")</f>
        <v/>
      </c>
    </row>
    <row r="115" ht="15" customHeight="1">
      <c r="A115" t="inlineStr">
        <is>
          <t>A 53388-2025</t>
        </is>
      </c>
      <c r="B115" s="1" t="n">
        <v>45959.54763888889</v>
      </c>
      <c r="C115" s="1" t="n">
        <v>45989</v>
      </c>
      <c r="D115" t="inlineStr">
        <is>
          <t>VÄRMLANDS LÄN</t>
        </is>
      </c>
      <c r="E115" t="inlineStr">
        <is>
          <t>TORSBY</t>
        </is>
      </c>
      <c r="G115" t="n">
        <v>2.2</v>
      </c>
      <c r="H115" t="n">
        <v>0</v>
      </c>
      <c r="I115" t="n">
        <v>0</v>
      </c>
      <c r="J115" t="n">
        <v>0</v>
      </c>
      <c r="K115" t="n">
        <v>0</v>
      </c>
      <c r="L115" t="n">
        <v>1</v>
      </c>
      <c r="M115" t="n">
        <v>0</v>
      </c>
      <c r="N115" t="n">
        <v>0</v>
      </c>
      <c r="O115" t="n">
        <v>1</v>
      </c>
      <c r="P115" t="n">
        <v>1</v>
      </c>
      <c r="Q115" t="n">
        <v>1</v>
      </c>
      <c r="R115" s="2" t="inlineStr">
        <is>
          <t>Fältgentiana</t>
        </is>
      </c>
      <c r="S115">
        <f>HYPERLINK("https://klasma.github.io/Logging_1737/artfynd/A 53388-2025 artfynd.xlsx", "A 53388-2025")</f>
        <v/>
      </c>
      <c r="T115">
        <f>HYPERLINK("https://klasma.github.io/Logging_1737/kartor/A 53388-2025 karta.png", "A 53388-2025")</f>
        <v/>
      </c>
      <c r="V115">
        <f>HYPERLINK("https://klasma.github.io/Logging_1737/klagomål/A 53388-2025 FSC-klagomål.docx", "A 53388-2025")</f>
        <v/>
      </c>
      <c r="W115">
        <f>HYPERLINK("https://klasma.github.io/Logging_1737/klagomålsmail/A 53388-2025 FSC-klagomål mail.docx", "A 53388-2025")</f>
        <v/>
      </c>
      <c r="X115">
        <f>HYPERLINK("https://klasma.github.io/Logging_1737/tillsyn/A 53388-2025 tillsynsbegäran.docx", "A 53388-2025")</f>
        <v/>
      </c>
      <c r="Y115">
        <f>HYPERLINK("https://klasma.github.io/Logging_1737/tillsynsmail/A 53388-2025 tillsynsbegäran mail.docx", "A 53388-2025")</f>
        <v/>
      </c>
    </row>
    <row r="116" ht="15" customHeight="1">
      <c r="A116" t="inlineStr">
        <is>
          <t>A 25276-2025</t>
        </is>
      </c>
      <c r="B116" s="1" t="n">
        <v>45800</v>
      </c>
      <c r="C116" s="1" t="n">
        <v>45989</v>
      </c>
      <c r="D116" t="inlineStr">
        <is>
          <t>VÄRMLANDS LÄN</t>
        </is>
      </c>
      <c r="E116" t="inlineStr">
        <is>
          <t>TORSBY</t>
        </is>
      </c>
      <c r="G116" t="n">
        <v>27.6</v>
      </c>
      <c r="H116" t="n">
        <v>0</v>
      </c>
      <c r="I116" t="n">
        <v>0</v>
      </c>
      <c r="J116" t="n">
        <v>1</v>
      </c>
      <c r="K116" t="n">
        <v>0</v>
      </c>
      <c r="L116" t="n">
        <v>0</v>
      </c>
      <c r="M116" t="n">
        <v>0</v>
      </c>
      <c r="N116" t="n">
        <v>0</v>
      </c>
      <c r="O116" t="n">
        <v>1</v>
      </c>
      <c r="P116" t="n">
        <v>0</v>
      </c>
      <c r="Q116" t="n">
        <v>1</v>
      </c>
      <c r="R116" s="2" t="inlineStr">
        <is>
          <t>Lunglav</t>
        </is>
      </c>
      <c r="S116">
        <f>HYPERLINK("https://klasma.github.io/Logging_1737/artfynd/A 25276-2025 artfynd.xlsx", "A 25276-2025")</f>
        <v/>
      </c>
      <c r="T116">
        <f>HYPERLINK("https://klasma.github.io/Logging_1737/kartor/A 25276-2025 karta.png", "A 25276-2025")</f>
        <v/>
      </c>
      <c r="V116">
        <f>HYPERLINK("https://klasma.github.io/Logging_1737/klagomål/A 25276-2025 FSC-klagomål.docx", "A 25276-2025")</f>
        <v/>
      </c>
      <c r="W116">
        <f>HYPERLINK("https://klasma.github.io/Logging_1737/klagomålsmail/A 25276-2025 FSC-klagomål mail.docx", "A 25276-2025")</f>
        <v/>
      </c>
      <c r="X116">
        <f>HYPERLINK("https://klasma.github.io/Logging_1737/tillsyn/A 25276-2025 tillsynsbegäran.docx", "A 25276-2025")</f>
        <v/>
      </c>
      <c r="Y116">
        <f>HYPERLINK("https://klasma.github.io/Logging_1737/tillsynsmail/A 25276-2025 tillsynsbegäran mail.docx", "A 25276-2025")</f>
        <v/>
      </c>
    </row>
    <row r="117" ht="15" customHeight="1">
      <c r="A117" t="inlineStr">
        <is>
          <t>A 5726-2025</t>
        </is>
      </c>
      <c r="B117" s="1" t="n">
        <v>45694</v>
      </c>
      <c r="C117" s="1" t="n">
        <v>45989</v>
      </c>
      <c r="D117" t="inlineStr">
        <is>
          <t>VÄRMLANDS LÄN</t>
        </is>
      </c>
      <c r="E117" t="inlineStr">
        <is>
          <t>TORSBY</t>
        </is>
      </c>
      <c r="G117" t="n">
        <v>3.5</v>
      </c>
      <c r="H117" t="n">
        <v>0</v>
      </c>
      <c r="I117" t="n">
        <v>1</v>
      </c>
      <c r="J117" t="n">
        <v>0</v>
      </c>
      <c r="K117" t="n">
        <v>0</v>
      </c>
      <c r="L117" t="n">
        <v>0</v>
      </c>
      <c r="M117" t="n">
        <v>0</v>
      </c>
      <c r="N117" t="n">
        <v>0</v>
      </c>
      <c r="O117" t="n">
        <v>0</v>
      </c>
      <c r="P117" t="n">
        <v>0</v>
      </c>
      <c r="Q117" t="n">
        <v>1</v>
      </c>
      <c r="R117" s="2" t="inlineStr">
        <is>
          <t>Vedticka</t>
        </is>
      </c>
      <c r="S117">
        <f>HYPERLINK("https://klasma.github.io/Logging_1737/artfynd/A 5726-2025 artfynd.xlsx", "A 5726-2025")</f>
        <v/>
      </c>
      <c r="T117">
        <f>HYPERLINK("https://klasma.github.io/Logging_1737/kartor/A 5726-2025 karta.png", "A 5726-2025")</f>
        <v/>
      </c>
      <c r="V117">
        <f>HYPERLINK("https://klasma.github.io/Logging_1737/klagomål/A 5726-2025 FSC-klagomål.docx", "A 5726-2025")</f>
        <v/>
      </c>
      <c r="W117">
        <f>HYPERLINK("https://klasma.github.io/Logging_1737/klagomålsmail/A 5726-2025 FSC-klagomål mail.docx", "A 5726-2025")</f>
        <v/>
      </c>
      <c r="X117">
        <f>HYPERLINK("https://klasma.github.io/Logging_1737/tillsyn/A 5726-2025 tillsynsbegäran.docx", "A 5726-2025")</f>
        <v/>
      </c>
      <c r="Y117">
        <f>HYPERLINK("https://klasma.github.io/Logging_1737/tillsynsmail/A 5726-2025 tillsynsbegäran mail.docx", "A 5726-2025")</f>
        <v/>
      </c>
    </row>
    <row r="118" ht="15" customHeight="1">
      <c r="A118" t="inlineStr">
        <is>
          <t>A 47689-2024</t>
        </is>
      </c>
      <c r="B118" s="1" t="n">
        <v>45588</v>
      </c>
      <c r="C118" s="1" t="n">
        <v>45989</v>
      </c>
      <c r="D118" t="inlineStr">
        <is>
          <t>VÄRMLANDS LÄN</t>
        </is>
      </c>
      <c r="E118" t="inlineStr">
        <is>
          <t>TORSBY</t>
        </is>
      </c>
      <c r="G118" t="n">
        <v>3.1</v>
      </c>
      <c r="H118" t="n">
        <v>0</v>
      </c>
      <c r="I118" t="n">
        <v>0</v>
      </c>
      <c r="J118" t="n">
        <v>1</v>
      </c>
      <c r="K118" t="n">
        <v>0</v>
      </c>
      <c r="L118" t="n">
        <v>0</v>
      </c>
      <c r="M118" t="n">
        <v>0</v>
      </c>
      <c r="N118" t="n">
        <v>0</v>
      </c>
      <c r="O118" t="n">
        <v>1</v>
      </c>
      <c r="P118" t="n">
        <v>0</v>
      </c>
      <c r="Q118" t="n">
        <v>1</v>
      </c>
      <c r="R118" s="2" t="inlineStr">
        <is>
          <t>Garnlav</t>
        </is>
      </c>
      <c r="S118">
        <f>HYPERLINK("https://klasma.github.io/Logging_1737/artfynd/A 47689-2024 artfynd.xlsx", "A 47689-2024")</f>
        <v/>
      </c>
      <c r="T118">
        <f>HYPERLINK("https://klasma.github.io/Logging_1737/kartor/A 47689-2024 karta.png", "A 47689-2024")</f>
        <v/>
      </c>
      <c r="V118">
        <f>HYPERLINK("https://klasma.github.io/Logging_1737/klagomål/A 47689-2024 FSC-klagomål.docx", "A 47689-2024")</f>
        <v/>
      </c>
      <c r="W118">
        <f>HYPERLINK("https://klasma.github.io/Logging_1737/klagomålsmail/A 47689-2024 FSC-klagomål mail.docx", "A 47689-2024")</f>
        <v/>
      </c>
      <c r="X118">
        <f>HYPERLINK("https://klasma.github.io/Logging_1737/tillsyn/A 47689-2024 tillsynsbegäran.docx", "A 47689-2024")</f>
        <v/>
      </c>
      <c r="Y118">
        <f>HYPERLINK("https://klasma.github.io/Logging_1737/tillsynsmail/A 47689-2024 tillsynsbegäran mail.docx", "A 47689-2024")</f>
        <v/>
      </c>
    </row>
    <row r="119" ht="15" customHeight="1">
      <c r="A119" t="inlineStr">
        <is>
          <t>A 15548-2023</t>
        </is>
      </c>
      <c r="B119" s="1" t="n">
        <v>45020</v>
      </c>
      <c r="C119" s="1" t="n">
        <v>45989</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37327-2025</t>
        </is>
      </c>
      <c r="B120" s="1" t="n">
        <v>45876.64902777778</v>
      </c>
      <c r="C120" s="1" t="n">
        <v>45989</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37548-2025</t>
        </is>
      </c>
      <c r="B121" s="1" t="n">
        <v>45879</v>
      </c>
      <c r="C121" s="1" t="n">
        <v>45989</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37699-2025</t>
        </is>
      </c>
      <c r="B122" s="1" t="n">
        <v>45880</v>
      </c>
      <c r="C122" s="1" t="n">
        <v>45989</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38015-2025</t>
        </is>
      </c>
      <c r="B123" s="1" t="n">
        <v>45882</v>
      </c>
      <c r="C123" s="1" t="n">
        <v>45989</v>
      </c>
      <c r="D123" t="inlineStr">
        <is>
          <t>VÄRMLANDS LÄN</t>
        </is>
      </c>
      <c r="E123" t="inlineStr">
        <is>
          <t>TORSBY</t>
        </is>
      </c>
      <c r="F123" t="inlineStr">
        <is>
          <t>Bergvik skog väst AB</t>
        </is>
      </c>
      <c r="G123" t="n">
        <v>5</v>
      </c>
      <c r="H123" t="n">
        <v>0</v>
      </c>
      <c r="I123" t="n">
        <v>0</v>
      </c>
      <c r="J123" t="n">
        <v>1</v>
      </c>
      <c r="K123" t="n">
        <v>0</v>
      </c>
      <c r="L123" t="n">
        <v>0</v>
      </c>
      <c r="M123" t="n">
        <v>0</v>
      </c>
      <c r="N123" t="n">
        <v>0</v>
      </c>
      <c r="O123" t="n">
        <v>1</v>
      </c>
      <c r="P123" t="n">
        <v>0</v>
      </c>
      <c r="Q123" t="n">
        <v>1</v>
      </c>
      <c r="R123" s="2" t="inlineStr">
        <is>
          <t>Mörk kolflarnlav</t>
        </is>
      </c>
      <c r="S123">
        <f>HYPERLINK("https://klasma.github.io/Logging_1737/artfynd/A 38015-2025 artfynd.xlsx", "A 38015-2025")</f>
        <v/>
      </c>
      <c r="T123">
        <f>HYPERLINK("https://klasma.github.io/Logging_1737/kartor/A 38015-2025 karta.png", "A 38015-2025")</f>
        <v/>
      </c>
      <c r="V123">
        <f>HYPERLINK("https://klasma.github.io/Logging_1737/klagomål/A 38015-2025 FSC-klagomål.docx", "A 38015-2025")</f>
        <v/>
      </c>
      <c r="W123">
        <f>HYPERLINK("https://klasma.github.io/Logging_1737/klagomålsmail/A 38015-2025 FSC-klagomål mail.docx", "A 38015-2025")</f>
        <v/>
      </c>
      <c r="X123">
        <f>HYPERLINK("https://klasma.github.io/Logging_1737/tillsyn/A 38015-2025 tillsynsbegäran.docx", "A 38015-2025")</f>
        <v/>
      </c>
      <c r="Y123">
        <f>HYPERLINK("https://klasma.github.io/Logging_1737/tillsynsmail/A 38015-2025 tillsynsbegäran mail.docx", "A 38015-2025")</f>
        <v/>
      </c>
    </row>
    <row r="124" ht="15" customHeight="1">
      <c r="A124" t="inlineStr">
        <is>
          <t>A 44018-2025</t>
        </is>
      </c>
      <c r="B124" s="1" t="n">
        <v>45915</v>
      </c>
      <c r="C124" s="1" t="n">
        <v>45989</v>
      </c>
      <c r="D124" t="inlineStr">
        <is>
          <t>VÄRMLANDS LÄN</t>
        </is>
      </c>
      <c r="E124" t="inlineStr">
        <is>
          <t>TORSBY</t>
        </is>
      </c>
      <c r="G124" t="n">
        <v>8.1</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44018-2025 artfynd.xlsx", "A 44018-2025")</f>
        <v/>
      </c>
      <c r="T124">
        <f>HYPERLINK("https://klasma.github.io/Logging_1737/kartor/A 44018-2025 karta.png", "A 44018-2025")</f>
        <v/>
      </c>
      <c r="V124">
        <f>HYPERLINK("https://klasma.github.io/Logging_1737/klagomål/A 44018-2025 FSC-klagomål.docx", "A 44018-2025")</f>
        <v/>
      </c>
      <c r="W124">
        <f>HYPERLINK("https://klasma.github.io/Logging_1737/klagomålsmail/A 44018-2025 FSC-klagomål mail.docx", "A 44018-2025")</f>
        <v/>
      </c>
      <c r="X124">
        <f>HYPERLINK("https://klasma.github.io/Logging_1737/tillsyn/A 44018-2025 tillsynsbegäran.docx", "A 44018-2025")</f>
        <v/>
      </c>
      <c r="Y124">
        <f>HYPERLINK("https://klasma.github.io/Logging_1737/tillsynsmail/A 44018-2025 tillsynsbegäran mail.docx", "A 44018-2025")</f>
        <v/>
      </c>
    </row>
    <row r="125" ht="15" customHeight="1">
      <c r="A125" t="inlineStr">
        <is>
          <t>A 56186-2025</t>
        </is>
      </c>
      <c r="B125" s="1" t="n">
        <v>45974</v>
      </c>
      <c r="C125" s="1" t="n">
        <v>45989</v>
      </c>
      <c r="D125" t="inlineStr">
        <is>
          <t>VÄRMLANDS LÄN</t>
        </is>
      </c>
      <c r="E125" t="inlineStr">
        <is>
          <t>TORSBY</t>
        </is>
      </c>
      <c r="G125" t="n">
        <v>4.3</v>
      </c>
      <c r="H125" t="n">
        <v>0</v>
      </c>
      <c r="I125" t="n">
        <v>0</v>
      </c>
      <c r="J125" t="n">
        <v>0</v>
      </c>
      <c r="K125" t="n">
        <v>1</v>
      </c>
      <c r="L125" t="n">
        <v>0</v>
      </c>
      <c r="M125" t="n">
        <v>0</v>
      </c>
      <c r="N125" t="n">
        <v>0</v>
      </c>
      <c r="O125" t="n">
        <v>1</v>
      </c>
      <c r="P125" t="n">
        <v>1</v>
      </c>
      <c r="Q125" t="n">
        <v>1</v>
      </c>
      <c r="R125" s="2" t="inlineStr">
        <is>
          <t>Raggbock</t>
        </is>
      </c>
      <c r="S125">
        <f>HYPERLINK("https://klasma.github.io/Logging_1737/artfynd/A 56186-2025 artfynd.xlsx", "A 56186-2025")</f>
        <v/>
      </c>
      <c r="T125">
        <f>HYPERLINK("https://klasma.github.io/Logging_1737/kartor/A 56186-2025 karta.png", "A 56186-2025")</f>
        <v/>
      </c>
      <c r="V125">
        <f>HYPERLINK("https://klasma.github.io/Logging_1737/klagomål/A 56186-2025 FSC-klagomål.docx", "A 56186-2025")</f>
        <v/>
      </c>
      <c r="W125">
        <f>HYPERLINK("https://klasma.github.io/Logging_1737/klagomålsmail/A 56186-2025 FSC-klagomål mail.docx", "A 56186-2025")</f>
        <v/>
      </c>
      <c r="X125">
        <f>HYPERLINK("https://klasma.github.io/Logging_1737/tillsyn/A 56186-2025 tillsynsbegäran.docx", "A 56186-2025")</f>
        <v/>
      </c>
      <c r="Y125">
        <f>HYPERLINK("https://klasma.github.io/Logging_1737/tillsynsmail/A 56186-2025 tillsynsbegäran mail.docx", "A 56186-2025")</f>
        <v/>
      </c>
    </row>
    <row r="126" ht="15" customHeight="1">
      <c r="A126" t="inlineStr">
        <is>
          <t>A 14212-2025</t>
        </is>
      </c>
      <c r="B126" s="1" t="n">
        <v>45740</v>
      </c>
      <c r="C126" s="1" t="n">
        <v>45989</v>
      </c>
      <c r="D126" t="inlineStr">
        <is>
          <t>VÄRMLANDS LÄN</t>
        </is>
      </c>
      <c r="E126" t="inlineStr">
        <is>
          <t>TORSBY</t>
        </is>
      </c>
      <c r="F126" t="inlineStr">
        <is>
          <t>Övriga statliga verk och myndigheter</t>
        </is>
      </c>
      <c r="G126" t="n">
        <v>2</v>
      </c>
      <c r="H126" t="n">
        <v>0</v>
      </c>
      <c r="I126" t="n">
        <v>0</v>
      </c>
      <c r="J126" t="n">
        <v>0</v>
      </c>
      <c r="K126" t="n">
        <v>1</v>
      </c>
      <c r="L126" t="n">
        <v>0</v>
      </c>
      <c r="M126" t="n">
        <v>0</v>
      </c>
      <c r="N126" t="n">
        <v>0</v>
      </c>
      <c r="O126" t="n">
        <v>1</v>
      </c>
      <c r="P126" t="n">
        <v>1</v>
      </c>
      <c r="Q126" t="n">
        <v>1</v>
      </c>
      <c r="R126" s="2" t="inlineStr">
        <is>
          <t>Raggbock</t>
        </is>
      </c>
      <c r="S126">
        <f>HYPERLINK("https://klasma.github.io/Logging_1737/artfynd/A 14212-2025 artfynd.xlsx", "A 14212-2025")</f>
        <v/>
      </c>
      <c r="T126">
        <f>HYPERLINK("https://klasma.github.io/Logging_1737/kartor/A 14212-2025 karta.png", "A 14212-2025")</f>
        <v/>
      </c>
      <c r="V126">
        <f>HYPERLINK("https://klasma.github.io/Logging_1737/klagomål/A 14212-2025 FSC-klagomål.docx", "A 14212-2025")</f>
        <v/>
      </c>
      <c r="W126">
        <f>HYPERLINK("https://klasma.github.io/Logging_1737/klagomålsmail/A 14212-2025 FSC-klagomål mail.docx", "A 14212-2025")</f>
        <v/>
      </c>
      <c r="X126">
        <f>HYPERLINK("https://klasma.github.io/Logging_1737/tillsyn/A 14212-2025 tillsynsbegäran.docx", "A 14212-2025")</f>
        <v/>
      </c>
      <c r="Y126">
        <f>HYPERLINK("https://klasma.github.io/Logging_1737/tillsynsmail/A 14212-2025 tillsynsbegäran mail.docx", "A 14212-2025")</f>
        <v/>
      </c>
    </row>
    <row r="127" ht="15" customHeight="1">
      <c r="A127" t="inlineStr">
        <is>
          <t>A 16164-2025</t>
        </is>
      </c>
      <c r="B127" s="1" t="n">
        <v>45750</v>
      </c>
      <c r="C127" s="1" t="n">
        <v>45989</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Tallriska</t>
        </is>
      </c>
      <c r="S127">
        <f>HYPERLINK("https://klasma.github.io/Logging_1737/artfynd/A 16164-2025 artfynd.xlsx", "A 16164-2025")</f>
        <v/>
      </c>
      <c r="T127">
        <f>HYPERLINK("https://klasma.github.io/Logging_1737/kartor/A 16164-2025 karta.png", "A 16164-2025")</f>
        <v/>
      </c>
      <c r="V127">
        <f>HYPERLINK("https://klasma.github.io/Logging_1737/klagomål/A 16164-2025 FSC-klagomål.docx", "A 16164-2025")</f>
        <v/>
      </c>
      <c r="W127">
        <f>HYPERLINK("https://klasma.github.io/Logging_1737/klagomålsmail/A 16164-2025 FSC-klagomål mail.docx", "A 16164-2025")</f>
        <v/>
      </c>
      <c r="X127">
        <f>HYPERLINK("https://klasma.github.io/Logging_1737/tillsyn/A 16164-2025 tillsynsbegäran.docx", "A 16164-2025")</f>
        <v/>
      </c>
      <c r="Y127">
        <f>HYPERLINK("https://klasma.github.io/Logging_1737/tillsynsmail/A 16164-2025 tillsynsbegäran mail.docx", "A 16164-2025")</f>
        <v/>
      </c>
    </row>
    <row r="128" ht="15" customHeight="1">
      <c r="A128" t="inlineStr">
        <is>
          <t>A 42500-2022</t>
        </is>
      </c>
      <c r="B128" s="1" t="n">
        <v>44831</v>
      </c>
      <c r="C128" s="1" t="n">
        <v>45989</v>
      </c>
      <c r="D128" t="inlineStr">
        <is>
          <t>VÄRMLANDS LÄN</t>
        </is>
      </c>
      <c r="E128" t="inlineStr">
        <is>
          <t>TORSBY</t>
        </is>
      </c>
      <c r="F128" t="inlineStr">
        <is>
          <t>Kommuner</t>
        </is>
      </c>
      <c r="G128" t="n">
        <v>2.3</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42500-2022 artfynd.xlsx", "A 42500-2022")</f>
        <v/>
      </c>
      <c r="T128">
        <f>HYPERLINK("https://klasma.github.io/Logging_1737/kartor/A 42500-2022 karta.png", "A 42500-2022")</f>
        <v/>
      </c>
      <c r="U128">
        <f>HYPERLINK("https://klasma.github.io/Logging_1737/knärot/A 42500-2022 karta knärot.png", "A 42500-2022")</f>
        <v/>
      </c>
      <c r="V128">
        <f>HYPERLINK("https://klasma.github.io/Logging_1737/klagomål/A 42500-2022 FSC-klagomål.docx", "A 42500-2022")</f>
        <v/>
      </c>
      <c r="W128">
        <f>HYPERLINK("https://klasma.github.io/Logging_1737/klagomålsmail/A 42500-2022 FSC-klagomål mail.docx", "A 42500-2022")</f>
        <v/>
      </c>
      <c r="X128">
        <f>HYPERLINK("https://klasma.github.io/Logging_1737/tillsyn/A 42500-2022 tillsynsbegäran.docx", "A 42500-2022")</f>
        <v/>
      </c>
      <c r="Y128">
        <f>HYPERLINK("https://klasma.github.io/Logging_1737/tillsynsmail/A 42500-2022 tillsynsbegäran mail.docx", "A 42500-2022")</f>
        <v/>
      </c>
    </row>
    <row r="129" ht="15" customHeight="1">
      <c r="A129" t="inlineStr">
        <is>
          <t>A 50236-2022</t>
        </is>
      </c>
      <c r="B129" s="1" t="n">
        <v>44865</v>
      </c>
      <c r="C129" s="1" t="n">
        <v>45989</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39681-2023</t>
        </is>
      </c>
      <c r="B130" s="1" t="n">
        <v>45167</v>
      </c>
      <c r="C130" s="1" t="n">
        <v>45989</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49110-2021</t>
        </is>
      </c>
      <c r="B131" s="1" t="n">
        <v>44453</v>
      </c>
      <c r="C131" s="1" t="n">
        <v>45989</v>
      </c>
      <c r="D131" t="inlineStr">
        <is>
          <t>VÄRMLANDS LÄN</t>
        </is>
      </c>
      <c r="E131" t="inlineStr">
        <is>
          <t>TORSBY</t>
        </is>
      </c>
      <c r="G131" t="n">
        <v>33.8</v>
      </c>
      <c r="H131" t="n">
        <v>0</v>
      </c>
      <c r="I131" t="n">
        <v>1</v>
      </c>
      <c r="J131" t="n">
        <v>0</v>
      </c>
      <c r="K131" t="n">
        <v>0</v>
      </c>
      <c r="L131" t="n">
        <v>0</v>
      </c>
      <c r="M131" t="n">
        <v>0</v>
      </c>
      <c r="N131" t="n">
        <v>0</v>
      </c>
      <c r="O131" t="n">
        <v>0</v>
      </c>
      <c r="P131" t="n">
        <v>0</v>
      </c>
      <c r="Q131" t="n">
        <v>1</v>
      </c>
      <c r="R131" s="2" t="inlineStr">
        <is>
          <t>Vedticka</t>
        </is>
      </c>
      <c r="S131">
        <f>HYPERLINK("https://klasma.github.io/Logging_1737/artfynd/A 49110-2021 artfynd.xlsx", "A 49110-2021")</f>
        <v/>
      </c>
      <c r="T131">
        <f>HYPERLINK("https://klasma.github.io/Logging_1737/kartor/A 49110-2021 karta.png", "A 49110-2021")</f>
        <v/>
      </c>
      <c r="V131">
        <f>HYPERLINK("https://klasma.github.io/Logging_1737/klagomål/A 49110-2021 FSC-klagomål.docx", "A 49110-2021")</f>
        <v/>
      </c>
      <c r="W131">
        <f>HYPERLINK("https://klasma.github.io/Logging_1737/klagomålsmail/A 49110-2021 FSC-klagomål mail.docx", "A 49110-2021")</f>
        <v/>
      </c>
      <c r="X131">
        <f>HYPERLINK("https://klasma.github.io/Logging_1737/tillsyn/A 49110-2021 tillsynsbegäran.docx", "A 49110-2021")</f>
        <v/>
      </c>
      <c r="Y131">
        <f>HYPERLINK("https://klasma.github.io/Logging_1737/tillsynsmail/A 49110-2021 tillsynsbegäran mail.docx", "A 49110-2021")</f>
        <v/>
      </c>
    </row>
    <row r="132" ht="15" customHeight="1">
      <c r="A132" t="inlineStr">
        <is>
          <t>A 58014-2024</t>
        </is>
      </c>
      <c r="B132" s="1" t="n">
        <v>45631</v>
      </c>
      <c r="C132" s="1" t="n">
        <v>45989</v>
      </c>
      <c r="D132" t="inlineStr">
        <is>
          <t>VÄRMLANDS LÄN</t>
        </is>
      </c>
      <c r="E132" t="inlineStr">
        <is>
          <t>TORSBY</t>
        </is>
      </c>
      <c r="G132" t="n">
        <v>2.2</v>
      </c>
      <c r="H132" t="n">
        <v>0</v>
      </c>
      <c r="I132" t="n">
        <v>1</v>
      </c>
      <c r="J132" t="n">
        <v>0</v>
      </c>
      <c r="K132" t="n">
        <v>0</v>
      </c>
      <c r="L132" t="n">
        <v>0</v>
      </c>
      <c r="M132" t="n">
        <v>0</v>
      </c>
      <c r="N132" t="n">
        <v>0</v>
      </c>
      <c r="O132" t="n">
        <v>0</v>
      </c>
      <c r="P132" t="n">
        <v>0</v>
      </c>
      <c r="Q132" t="n">
        <v>1</v>
      </c>
      <c r="R132" s="2" t="inlineStr">
        <is>
          <t>Kattfotslav</t>
        </is>
      </c>
      <c r="S132">
        <f>HYPERLINK("https://klasma.github.io/Logging_1737/artfynd/A 58014-2024 artfynd.xlsx", "A 58014-2024")</f>
        <v/>
      </c>
      <c r="T132">
        <f>HYPERLINK("https://klasma.github.io/Logging_1737/kartor/A 58014-2024 karta.png", "A 58014-2024")</f>
        <v/>
      </c>
      <c r="V132">
        <f>HYPERLINK("https://klasma.github.io/Logging_1737/klagomål/A 58014-2024 FSC-klagomål.docx", "A 58014-2024")</f>
        <v/>
      </c>
      <c r="W132">
        <f>HYPERLINK("https://klasma.github.io/Logging_1737/klagomålsmail/A 58014-2024 FSC-klagomål mail.docx", "A 58014-2024")</f>
        <v/>
      </c>
      <c r="X132">
        <f>HYPERLINK("https://klasma.github.io/Logging_1737/tillsyn/A 58014-2024 tillsynsbegäran.docx", "A 58014-2024")</f>
        <v/>
      </c>
      <c r="Y132">
        <f>HYPERLINK("https://klasma.github.io/Logging_1737/tillsynsmail/A 58014-2024 tillsynsbegäran mail.docx", "A 58014-2024")</f>
        <v/>
      </c>
    </row>
    <row r="133" ht="15" customHeight="1">
      <c r="A133" t="inlineStr">
        <is>
          <t>A 26747-2023</t>
        </is>
      </c>
      <c r="B133" s="1" t="n">
        <v>45090</v>
      </c>
      <c r="C133" s="1" t="n">
        <v>45989</v>
      </c>
      <c r="D133" t="inlineStr">
        <is>
          <t>VÄRMLANDS LÄN</t>
        </is>
      </c>
      <c r="E133" t="inlineStr">
        <is>
          <t>TORSBY</t>
        </is>
      </c>
      <c r="F133" t="inlineStr">
        <is>
          <t>Övriga statliga verk och myndigheter</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HYPERLINK("https://klasma.github.io/Logging_1737/artfynd/A 26747-2023 artfynd.xlsx", "A 26747-2023")</f>
        <v/>
      </c>
      <c r="T133">
        <f>HYPERLINK("https://klasma.github.io/Logging_1737/kartor/A 26747-2023 karta.png", "A 26747-2023")</f>
        <v/>
      </c>
      <c r="V133">
        <f>HYPERLINK("https://klasma.github.io/Logging_1737/klagomål/A 26747-2023 FSC-klagomål.docx", "A 26747-2023")</f>
        <v/>
      </c>
      <c r="W133">
        <f>HYPERLINK("https://klasma.github.io/Logging_1737/klagomålsmail/A 26747-2023 FSC-klagomål mail.docx", "A 26747-2023")</f>
        <v/>
      </c>
      <c r="X133">
        <f>HYPERLINK("https://klasma.github.io/Logging_1737/tillsyn/A 26747-2023 tillsynsbegäran.docx", "A 26747-2023")</f>
        <v/>
      </c>
      <c r="Y133">
        <f>HYPERLINK("https://klasma.github.io/Logging_1737/tillsynsmail/A 26747-2023 tillsynsbegäran mail.docx", "A 26747-2023")</f>
        <v/>
      </c>
    </row>
    <row r="134" ht="15" customHeight="1">
      <c r="A134" t="inlineStr">
        <is>
          <t>A 50712-2025</t>
        </is>
      </c>
      <c r="B134" s="1" t="n">
        <v>45946.34440972222</v>
      </c>
      <c r="C134" s="1" t="n">
        <v>45989</v>
      </c>
      <c r="D134" t="inlineStr">
        <is>
          <t>VÄRMLANDS LÄN</t>
        </is>
      </c>
      <c r="E134" t="inlineStr">
        <is>
          <t>TORSBY</t>
        </is>
      </c>
      <c r="F134" t="inlineStr">
        <is>
          <t>Bergvik skog väst AB</t>
        </is>
      </c>
      <c r="G134" t="n">
        <v>7.6</v>
      </c>
      <c r="H134" t="n">
        <v>0</v>
      </c>
      <c r="I134" t="n">
        <v>0</v>
      </c>
      <c r="J134" t="n">
        <v>1</v>
      </c>
      <c r="K134" t="n">
        <v>0</v>
      </c>
      <c r="L134" t="n">
        <v>0</v>
      </c>
      <c r="M134" t="n">
        <v>0</v>
      </c>
      <c r="N134" t="n">
        <v>0</v>
      </c>
      <c r="O134" t="n">
        <v>1</v>
      </c>
      <c r="P134" t="n">
        <v>0</v>
      </c>
      <c r="Q134" t="n">
        <v>1</v>
      </c>
      <c r="R134" s="2" t="inlineStr">
        <is>
          <t>Vedskivlav</t>
        </is>
      </c>
      <c r="S134">
        <f>HYPERLINK("https://klasma.github.io/Logging_1737/artfynd/A 50712-2025 artfynd.xlsx", "A 50712-2025")</f>
        <v/>
      </c>
      <c r="T134">
        <f>HYPERLINK("https://klasma.github.io/Logging_1737/kartor/A 50712-2025 karta.png", "A 50712-2025")</f>
        <v/>
      </c>
      <c r="V134">
        <f>HYPERLINK("https://klasma.github.io/Logging_1737/klagomål/A 50712-2025 FSC-klagomål.docx", "A 50712-2025")</f>
        <v/>
      </c>
      <c r="W134">
        <f>HYPERLINK("https://klasma.github.io/Logging_1737/klagomålsmail/A 50712-2025 FSC-klagomål mail.docx", "A 50712-2025")</f>
        <v/>
      </c>
      <c r="X134">
        <f>HYPERLINK("https://klasma.github.io/Logging_1737/tillsyn/A 50712-2025 tillsynsbegäran.docx", "A 50712-2025")</f>
        <v/>
      </c>
      <c r="Y134">
        <f>HYPERLINK("https://klasma.github.io/Logging_1737/tillsynsmail/A 50712-2025 tillsynsbegäran mail.docx", "A 50712-2025")</f>
        <v/>
      </c>
    </row>
    <row r="135" ht="15" customHeight="1">
      <c r="A135" t="inlineStr">
        <is>
          <t>A 58470-2021</t>
        </is>
      </c>
      <c r="B135" s="1" t="n">
        <v>44488</v>
      </c>
      <c r="C135" s="1" t="n">
        <v>45989</v>
      </c>
      <c r="D135" t="inlineStr">
        <is>
          <t>VÄRMLANDS LÄN</t>
        </is>
      </c>
      <c r="E135" t="inlineStr">
        <is>
          <t>TORSBY</t>
        </is>
      </c>
      <c r="G135" t="n">
        <v>8.699999999999999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58470-2021 artfynd.xlsx", "A 58470-2021")</f>
        <v/>
      </c>
      <c r="T135">
        <f>HYPERLINK("https://klasma.github.io/Logging_1737/kartor/A 58470-2021 karta.png", "A 58470-2021")</f>
        <v/>
      </c>
      <c r="V135">
        <f>HYPERLINK("https://klasma.github.io/Logging_1737/klagomål/A 58470-2021 FSC-klagomål.docx", "A 58470-2021")</f>
        <v/>
      </c>
      <c r="W135">
        <f>HYPERLINK("https://klasma.github.io/Logging_1737/klagomålsmail/A 58470-2021 FSC-klagomål mail.docx", "A 58470-2021")</f>
        <v/>
      </c>
      <c r="X135">
        <f>HYPERLINK("https://klasma.github.io/Logging_1737/tillsyn/A 58470-2021 tillsynsbegäran.docx", "A 58470-2021")</f>
        <v/>
      </c>
      <c r="Y135">
        <f>HYPERLINK("https://klasma.github.io/Logging_1737/tillsynsmail/A 58470-2021 tillsynsbegäran mail.docx", "A 58470-2021")</f>
        <v/>
      </c>
    </row>
    <row r="136" ht="15" customHeight="1">
      <c r="A136" t="inlineStr">
        <is>
          <t>A 40934-2024</t>
        </is>
      </c>
      <c r="B136" s="1" t="n">
        <v>45558</v>
      </c>
      <c r="C136" s="1" t="n">
        <v>45989</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24042-2021</t>
        </is>
      </c>
      <c r="B137" s="1" t="n">
        <v>44336</v>
      </c>
      <c r="C137" s="1" t="n">
        <v>45989</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41477-2024</t>
        </is>
      </c>
      <c r="B138" s="1" t="n">
        <v>45560</v>
      </c>
      <c r="C138" s="1" t="n">
        <v>45989</v>
      </c>
      <c r="D138" t="inlineStr">
        <is>
          <t>VÄRMLANDS LÄN</t>
        </is>
      </c>
      <c r="E138" t="inlineStr">
        <is>
          <t>TORSBY</t>
        </is>
      </c>
      <c r="G138" t="n">
        <v>6.7</v>
      </c>
      <c r="H138" t="n">
        <v>0</v>
      </c>
      <c r="I138" t="n">
        <v>0</v>
      </c>
      <c r="J138" t="n">
        <v>1</v>
      </c>
      <c r="K138" t="n">
        <v>0</v>
      </c>
      <c r="L138" t="n">
        <v>0</v>
      </c>
      <c r="M138" t="n">
        <v>0</v>
      </c>
      <c r="N138" t="n">
        <v>0</v>
      </c>
      <c r="O138" t="n">
        <v>1</v>
      </c>
      <c r="P138" t="n">
        <v>0</v>
      </c>
      <c r="Q138" t="n">
        <v>1</v>
      </c>
      <c r="R138" s="2" t="inlineStr">
        <is>
          <t>Garnlav</t>
        </is>
      </c>
      <c r="S138">
        <f>HYPERLINK("https://klasma.github.io/Logging_1737/artfynd/A 41477-2024 artfynd.xlsx", "A 41477-2024")</f>
        <v/>
      </c>
      <c r="T138">
        <f>HYPERLINK("https://klasma.github.io/Logging_1737/kartor/A 41477-2024 karta.png", "A 41477-2024")</f>
        <v/>
      </c>
      <c r="V138">
        <f>HYPERLINK("https://klasma.github.io/Logging_1737/klagomål/A 41477-2024 FSC-klagomål.docx", "A 41477-2024")</f>
        <v/>
      </c>
      <c r="W138">
        <f>HYPERLINK("https://klasma.github.io/Logging_1737/klagomålsmail/A 41477-2024 FSC-klagomål mail.docx", "A 41477-2024")</f>
        <v/>
      </c>
      <c r="X138">
        <f>HYPERLINK("https://klasma.github.io/Logging_1737/tillsyn/A 41477-2024 tillsynsbegäran.docx", "A 41477-2024")</f>
        <v/>
      </c>
      <c r="Y138">
        <f>HYPERLINK("https://klasma.github.io/Logging_1737/tillsynsmail/A 41477-2024 tillsynsbegäran mail.docx", "A 41477-2024")</f>
        <v/>
      </c>
    </row>
    <row r="139" ht="15" customHeight="1">
      <c r="A139" t="inlineStr">
        <is>
          <t>A 15872-2025</t>
        </is>
      </c>
      <c r="B139" s="1" t="n">
        <v>45749</v>
      </c>
      <c r="C139" s="1" t="n">
        <v>45989</v>
      </c>
      <c r="D139" t="inlineStr">
        <is>
          <t>VÄRMLANDS LÄN</t>
        </is>
      </c>
      <c r="E139" t="inlineStr">
        <is>
          <t>TORSBY</t>
        </is>
      </c>
      <c r="F139" t="inlineStr">
        <is>
          <t>Bergvik skog väst AB</t>
        </is>
      </c>
      <c r="G139" t="n">
        <v>10.8</v>
      </c>
      <c r="H139" t="n">
        <v>1</v>
      </c>
      <c r="I139" t="n">
        <v>1</v>
      </c>
      <c r="J139" t="n">
        <v>0</v>
      </c>
      <c r="K139" t="n">
        <v>0</v>
      </c>
      <c r="L139" t="n">
        <v>0</v>
      </c>
      <c r="M139" t="n">
        <v>0</v>
      </c>
      <c r="N139" t="n">
        <v>0</v>
      </c>
      <c r="O139" t="n">
        <v>0</v>
      </c>
      <c r="P139" t="n">
        <v>0</v>
      </c>
      <c r="Q139" t="n">
        <v>1</v>
      </c>
      <c r="R139" s="2" t="inlineStr">
        <is>
          <t>Korallrot</t>
        </is>
      </c>
      <c r="S139">
        <f>HYPERLINK("https://klasma.github.io/Logging_1737/artfynd/A 15872-2025 artfynd.xlsx", "A 15872-2025")</f>
        <v/>
      </c>
      <c r="T139">
        <f>HYPERLINK("https://klasma.github.io/Logging_1737/kartor/A 15872-2025 karta.png", "A 15872-2025")</f>
        <v/>
      </c>
      <c r="V139">
        <f>HYPERLINK("https://klasma.github.io/Logging_1737/klagomål/A 15872-2025 FSC-klagomål.docx", "A 15872-2025")</f>
        <v/>
      </c>
      <c r="W139">
        <f>HYPERLINK("https://klasma.github.io/Logging_1737/klagomålsmail/A 15872-2025 FSC-klagomål mail.docx", "A 15872-2025")</f>
        <v/>
      </c>
      <c r="X139">
        <f>HYPERLINK("https://klasma.github.io/Logging_1737/tillsyn/A 15872-2025 tillsynsbegäran.docx", "A 15872-2025")</f>
        <v/>
      </c>
      <c r="Y139">
        <f>HYPERLINK("https://klasma.github.io/Logging_1737/tillsynsmail/A 15872-2025 tillsynsbegäran mail.docx", "A 15872-2025")</f>
        <v/>
      </c>
    </row>
    <row r="140" ht="15" customHeight="1">
      <c r="A140" t="inlineStr">
        <is>
          <t>A 37292-2024</t>
        </is>
      </c>
      <c r="B140" s="1" t="n">
        <v>45540</v>
      </c>
      <c r="C140" s="1" t="n">
        <v>45989</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16572-2022</t>
        </is>
      </c>
      <c r="B141" s="1" t="n">
        <v>44672</v>
      </c>
      <c r="C141" s="1" t="n">
        <v>45989</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45989</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54029-2024</t>
        </is>
      </c>
      <c r="B143" s="1" t="n">
        <v>45616</v>
      </c>
      <c r="C143" s="1" t="n">
        <v>45989</v>
      </c>
      <c r="D143" t="inlineStr">
        <is>
          <t>VÄRMLANDS LÄN</t>
        </is>
      </c>
      <c r="E143" t="inlineStr">
        <is>
          <t>TORSBY</t>
        </is>
      </c>
      <c r="G143" t="n">
        <v>10.2</v>
      </c>
      <c r="H143" t="n">
        <v>0</v>
      </c>
      <c r="I143" t="n">
        <v>1</v>
      </c>
      <c r="J143" t="n">
        <v>0</v>
      </c>
      <c r="K143" t="n">
        <v>0</v>
      </c>
      <c r="L143" t="n">
        <v>0</v>
      </c>
      <c r="M143" t="n">
        <v>0</v>
      </c>
      <c r="N143" t="n">
        <v>0</v>
      </c>
      <c r="O143" t="n">
        <v>0</v>
      </c>
      <c r="P143" t="n">
        <v>0</v>
      </c>
      <c r="Q143" t="n">
        <v>1</v>
      </c>
      <c r="R143" s="2" t="inlineStr">
        <is>
          <t>Vedticka</t>
        </is>
      </c>
      <c r="S143">
        <f>HYPERLINK("https://klasma.github.io/Logging_1737/artfynd/A 54029-2024 artfynd.xlsx", "A 54029-2024")</f>
        <v/>
      </c>
      <c r="T143">
        <f>HYPERLINK("https://klasma.github.io/Logging_1737/kartor/A 54029-2024 karta.png", "A 54029-2024")</f>
        <v/>
      </c>
      <c r="V143">
        <f>HYPERLINK("https://klasma.github.io/Logging_1737/klagomål/A 54029-2024 FSC-klagomål.docx", "A 54029-2024")</f>
        <v/>
      </c>
      <c r="W143">
        <f>HYPERLINK("https://klasma.github.io/Logging_1737/klagomålsmail/A 54029-2024 FSC-klagomål mail.docx", "A 54029-2024")</f>
        <v/>
      </c>
      <c r="X143">
        <f>HYPERLINK("https://klasma.github.io/Logging_1737/tillsyn/A 54029-2024 tillsynsbegäran.docx", "A 54029-2024")</f>
        <v/>
      </c>
      <c r="Y143">
        <f>HYPERLINK("https://klasma.github.io/Logging_1737/tillsynsmail/A 54029-2024 tillsynsbegäran mail.docx", "A 54029-2024")</f>
        <v/>
      </c>
    </row>
    <row r="144" ht="15" customHeight="1">
      <c r="A144" t="inlineStr">
        <is>
          <t>A 46099-2023</t>
        </is>
      </c>
      <c r="B144" s="1" t="n">
        <v>45196</v>
      </c>
      <c r="C144" s="1" t="n">
        <v>45989</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1811-2024</t>
        </is>
      </c>
      <c r="B145" s="1" t="n">
        <v>45307</v>
      </c>
      <c r="C145" s="1" t="n">
        <v>45989</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50318-2024</t>
        </is>
      </c>
      <c r="B146" s="1" t="n">
        <v>45600</v>
      </c>
      <c r="C146" s="1" t="n">
        <v>45989</v>
      </c>
      <c r="D146" t="inlineStr">
        <is>
          <t>VÄRMLANDS LÄN</t>
        </is>
      </c>
      <c r="E146" t="inlineStr">
        <is>
          <t>TORSBY</t>
        </is>
      </c>
      <c r="F146" t="inlineStr">
        <is>
          <t>Bergvik skog väst AB</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50318-2024 artfynd.xlsx", "A 50318-2024")</f>
        <v/>
      </c>
      <c r="T146">
        <f>HYPERLINK("https://klasma.github.io/Logging_1737/kartor/A 50318-2024 karta.png", "A 50318-2024")</f>
        <v/>
      </c>
      <c r="V146">
        <f>HYPERLINK("https://klasma.github.io/Logging_1737/klagomål/A 50318-2024 FSC-klagomål.docx", "A 50318-2024")</f>
        <v/>
      </c>
      <c r="W146">
        <f>HYPERLINK("https://klasma.github.io/Logging_1737/klagomålsmail/A 50318-2024 FSC-klagomål mail.docx", "A 50318-2024")</f>
        <v/>
      </c>
      <c r="X146">
        <f>HYPERLINK("https://klasma.github.io/Logging_1737/tillsyn/A 50318-2024 tillsynsbegäran.docx", "A 50318-2024")</f>
        <v/>
      </c>
      <c r="Y146">
        <f>HYPERLINK("https://klasma.github.io/Logging_1737/tillsynsmail/A 50318-2024 tillsynsbegäran mail.docx", "A 50318-2024")</f>
        <v/>
      </c>
    </row>
    <row r="147" ht="15" customHeight="1">
      <c r="A147" t="inlineStr">
        <is>
          <t>A 1526-2021</t>
        </is>
      </c>
      <c r="B147" s="1" t="n">
        <v>44209</v>
      </c>
      <c r="C147" s="1" t="n">
        <v>45989</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45989</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45989</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45989</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45989</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45989</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45989</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45989</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45989</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45989</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45989</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45989</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45989</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45989</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45989</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45989</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31894-2021</t>
        </is>
      </c>
      <c r="B163" s="1" t="n">
        <v>44370.45907407408</v>
      </c>
      <c r="C163" s="1" t="n">
        <v>45989</v>
      </c>
      <c r="D163" t="inlineStr">
        <is>
          <t>VÄRMLANDS LÄN</t>
        </is>
      </c>
      <c r="E163" t="inlineStr">
        <is>
          <t>TORSBY</t>
        </is>
      </c>
      <c r="G163" t="n">
        <v>1.7</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45989</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45989</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45989</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69974-2021</t>
        </is>
      </c>
      <c r="B167" s="1" t="n">
        <v>44533</v>
      </c>
      <c r="C167" s="1" t="n">
        <v>45989</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20382-2022</t>
        </is>
      </c>
      <c r="B168" s="1" t="n">
        <v>44699</v>
      </c>
      <c r="C168" s="1" t="n">
        <v>45989</v>
      </c>
      <c r="D168" t="inlineStr">
        <is>
          <t>VÄRMLANDS LÄN</t>
        </is>
      </c>
      <c r="E168" t="inlineStr">
        <is>
          <t>TORSBY</t>
        </is>
      </c>
      <c r="G168" t="n">
        <v>14.3</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45989</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45989</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45989</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45989</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15853-2021</t>
        </is>
      </c>
      <c r="B173" s="1" t="n">
        <v>44286</v>
      </c>
      <c r="C173" s="1" t="n">
        <v>45989</v>
      </c>
      <c r="D173" t="inlineStr">
        <is>
          <t>VÄRMLANDS LÄN</t>
        </is>
      </c>
      <c r="E173" t="inlineStr">
        <is>
          <t>TORSBY</t>
        </is>
      </c>
      <c r="G173" t="n">
        <v>0.6</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45989</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45989</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45989</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45989</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45989</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45989</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45989</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45989</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45989</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45989</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45989</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45989</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45989</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45989</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45989</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45989</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45989</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45989</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23435-2021</t>
        </is>
      </c>
      <c r="B192" s="1" t="n">
        <v>44333.78368055556</v>
      </c>
      <c r="C192" s="1" t="n">
        <v>45989</v>
      </c>
      <c r="D192" t="inlineStr">
        <is>
          <t>VÄRMLANDS LÄN</t>
        </is>
      </c>
      <c r="E192" t="inlineStr">
        <is>
          <t>TORSBY</t>
        </is>
      </c>
      <c r="G192" t="n">
        <v>4.9</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45989</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16299-2021</t>
        </is>
      </c>
      <c r="B194" s="1" t="n">
        <v>44292</v>
      </c>
      <c r="C194" s="1" t="n">
        <v>45989</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45989</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45989</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49795-2022</t>
        </is>
      </c>
      <c r="B197" s="1" t="n">
        <v>44862</v>
      </c>
      <c r="C197" s="1" t="n">
        <v>45989</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45989</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45989</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45989</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45989</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45989</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11947-2021</t>
        </is>
      </c>
      <c r="B203" s="1" t="n">
        <v>44265</v>
      </c>
      <c r="C203" s="1" t="n">
        <v>45989</v>
      </c>
      <c r="D203" t="inlineStr">
        <is>
          <t>VÄRMLANDS LÄN</t>
        </is>
      </c>
      <c r="E203" t="inlineStr">
        <is>
          <t>TORSBY</t>
        </is>
      </c>
      <c r="G203" t="n">
        <v>2.1</v>
      </c>
      <c r="H203" t="n">
        <v>0</v>
      </c>
      <c r="I203" t="n">
        <v>0</v>
      </c>
      <c r="J203" t="n">
        <v>0</v>
      </c>
      <c r="K203" t="n">
        <v>0</v>
      </c>
      <c r="L203" t="n">
        <v>0</v>
      </c>
      <c r="M203" t="n">
        <v>0</v>
      </c>
      <c r="N203" t="n">
        <v>0</v>
      </c>
      <c r="O203" t="n">
        <v>0</v>
      </c>
      <c r="P203" t="n">
        <v>0</v>
      </c>
      <c r="Q203" t="n">
        <v>0</v>
      </c>
      <c r="R203" s="2" t="inlineStr"/>
    </row>
    <row r="204" ht="15" customHeight="1">
      <c r="A204" t="inlineStr">
        <is>
          <t>A 20009-2022</t>
        </is>
      </c>
      <c r="B204" s="1" t="n">
        <v>44697</v>
      </c>
      <c r="C204" s="1" t="n">
        <v>45989</v>
      </c>
      <c r="D204" t="inlineStr">
        <is>
          <t>VÄRMLANDS LÄN</t>
        </is>
      </c>
      <c r="E204" t="inlineStr">
        <is>
          <t>TORSBY</t>
        </is>
      </c>
      <c r="G204" t="n">
        <v>14.4</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45989</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51489-2022</t>
        </is>
      </c>
      <c r="B206" s="1" t="n">
        <v>44869</v>
      </c>
      <c r="C206" s="1" t="n">
        <v>45989</v>
      </c>
      <c r="D206" t="inlineStr">
        <is>
          <t>VÄRMLANDS LÄN</t>
        </is>
      </c>
      <c r="E206" t="inlineStr">
        <is>
          <t>TORSBY</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6102-2021</t>
        </is>
      </c>
      <c r="B207" s="1" t="n">
        <v>44232.49354166666</v>
      </c>
      <c r="C207" s="1" t="n">
        <v>45989</v>
      </c>
      <c r="D207" t="inlineStr">
        <is>
          <t>VÄRMLANDS LÄN</t>
        </is>
      </c>
      <c r="E207" t="inlineStr">
        <is>
          <t>TORSBY</t>
        </is>
      </c>
      <c r="G207" t="n">
        <v>1.5</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45989</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45989</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45989</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45989</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45989</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45989</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45989</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45989</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69245-2020</t>
        </is>
      </c>
      <c r="B216" s="1" t="n">
        <v>44192</v>
      </c>
      <c r="C216" s="1" t="n">
        <v>45989</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50596-2021</t>
        </is>
      </c>
      <c r="B217" s="1" t="n">
        <v>44459</v>
      </c>
      <c r="C217" s="1" t="n">
        <v>45989</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45989</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45989</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45989</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3369-2022</t>
        </is>
      </c>
      <c r="B221" s="1" t="n">
        <v>44585</v>
      </c>
      <c r="C221" s="1" t="n">
        <v>45989</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2421-2022</t>
        </is>
      </c>
      <c r="B222" s="1" t="n">
        <v>44579.50670138889</v>
      </c>
      <c r="C222" s="1" t="n">
        <v>45989</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45989</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45989</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45989</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69275-2021</t>
        </is>
      </c>
      <c r="B226" s="1" t="n">
        <v>44526</v>
      </c>
      <c r="C226" s="1" t="n">
        <v>45989</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27932-2021</t>
        </is>
      </c>
      <c r="B227" s="1" t="n">
        <v>44354</v>
      </c>
      <c r="C227" s="1" t="n">
        <v>45989</v>
      </c>
      <c r="D227" t="inlineStr">
        <is>
          <t>VÄRMLANDS LÄN</t>
        </is>
      </c>
      <c r="E227" t="inlineStr">
        <is>
          <t>TORSBY</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4711-2021</t>
        </is>
      </c>
      <c r="B228" s="1" t="n">
        <v>44225</v>
      </c>
      <c r="C228" s="1" t="n">
        <v>45989</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68220-2020</t>
        </is>
      </c>
      <c r="B229" s="1" t="n">
        <v>44183</v>
      </c>
      <c r="C229" s="1" t="n">
        <v>45989</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65678-2020</t>
        </is>
      </c>
      <c r="B230" s="1" t="n">
        <v>44172</v>
      </c>
      <c r="C230" s="1" t="n">
        <v>45989</v>
      </c>
      <c r="D230" t="inlineStr">
        <is>
          <t>VÄRMLANDS LÄN</t>
        </is>
      </c>
      <c r="E230" t="inlineStr">
        <is>
          <t>TORSBY</t>
        </is>
      </c>
      <c r="G230" t="n">
        <v>3.5</v>
      </c>
      <c r="H230" t="n">
        <v>0</v>
      </c>
      <c r="I230" t="n">
        <v>0</v>
      </c>
      <c r="J230" t="n">
        <v>0</v>
      </c>
      <c r="K230" t="n">
        <v>0</v>
      </c>
      <c r="L230" t="n">
        <v>0</v>
      </c>
      <c r="M230" t="n">
        <v>0</v>
      </c>
      <c r="N230" t="n">
        <v>0</v>
      </c>
      <c r="O230" t="n">
        <v>0</v>
      </c>
      <c r="P230" t="n">
        <v>0</v>
      </c>
      <c r="Q230" t="n">
        <v>0</v>
      </c>
      <c r="R230" s="2" t="inlineStr"/>
    </row>
    <row r="231" ht="15" customHeight="1">
      <c r="A231" t="inlineStr">
        <is>
          <t>A 63565-2020</t>
        </is>
      </c>
      <c r="B231" s="1" t="n">
        <v>44165</v>
      </c>
      <c r="C231" s="1" t="n">
        <v>45989</v>
      </c>
      <c r="D231" t="inlineStr">
        <is>
          <t>VÄRMLANDS LÄN</t>
        </is>
      </c>
      <c r="E231" t="inlineStr">
        <is>
          <t>TORSBY</t>
        </is>
      </c>
      <c r="G231" t="n">
        <v>10.3</v>
      </c>
      <c r="H231" t="n">
        <v>0</v>
      </c>
      <c r="I231" t="n">
        <v>0</v>
      </c>
      <c r="J231" t="n">
        <v>0</v>
      </c>
      <c r="K231" t="n">
        <v>0</v>
      </c>
      <c r="L231" t="n">
        <v>0</v>
      </c>
      <c r="M231" t="n">
        <v>0</v>
      </c>
      <c r="N231" t="n">
        <v>0</v>
      </c>
      <c r="O231" t="n">
        <v>0</v>
      </c>
      <c r="P231" t="n">
        <v>0</v>
      </c>
      <c r="Q231" t="n">
        <v>0</v>
      </c>
      <c r="R231" s="2" t="inlineStr"/>
    </row>
    <row r="232" ht="15" customHeight="1">
      <c r="A232" t="inlineStr">
        <is>
          <t>A 8034-2021</t>
        </is>
      </c>
      <c r="B232" s="1" t="n">
        <v>44243</v>
      </c>
      <c r="C232" s="1" t="n">
        <v>45989</v>
      </c>
      <c r="D232" t="inlineStr">
        <is>
          <t>VÄRMLANDS LÄN</t>
        </is>
      </c>
      <c r="E232" t="inlineStr">
        <is>
          <t>TORSBY</t>
        </is>
      </c>
      <c r="G232" t="n">
        <v>15.4</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45989</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28940-2021</t>
        </is>
      </c>
      <c r="B234" s="1" t="n">
        <v>44358</v>
      </c>
      <c r="C234" s="1" t="n">
        <v>45989</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13857-2021</t>
        </is>
      </c>
      <c r="B235" s="1" t="n">
        <v>44277</v>
      </c>
      <c r="C235" s="1" t="n">
        <v>45989</v>
      </c>
      <c r="D235" t="inlineStr">
        <is>
          <t>VÄRMLANDS LÄN</t>
        </is>
      </c>
      <c r="E235" t="inlineStr">
        <is>
          <t>TORSBY</t>
        </is>
      </c>
      <c r="G235" t="n">
        <v>0.7</v>
      </c>
      <c r="H235" t="n">
        <v>0</v>
      </c>
      <c r="I235" t="n">
        <v>0</v>
      </c>
      <c r="J235" t="n">
        <v>0</v>
      </c>
      <c r="K235" t="n">
        <v>0</v>
      </c>
      <c r="L235" t="n">
        <v>0</v>
      </c>
      <c r="M235" t="n">
        <v>0</v>
      </c>
      <c r="N235" t="n">
        <v>0</v>
      </c>
      <c r="O235" t="n">
        <v>0</v>
      </c>
      <c r="P235" t="n">
        <v>0</v>
      </c>
      <c r="Q235" t="n">
        <v>0</v>
      </c>
      <c r="R235" s="2" t="inlineStr"/>
    </row>
    <row r="236" ht="15" customHeight="1">
      <c r="A236" t="inlineStr">
        <is>
          <t>A 41678-2021</t>
        </is>
      </c>
      <c r="B236" s="1" t="n">
        <v>44425</v>
      </c>
      <c r="C236" s="1" t="n">
        <v>45989</v>
      </c>
      <c r="D236" t="inlineStr">
        <is>
          <t>VÄRMLANDS LÄN</t>
        </is>
      </c>
      <c r="E236" t="inlineStr">
        <is>
          <t>TORSBY</t>
        </is>
      </c>
      <c r="G236" t="n">
        <v>4.3</v>
      </c>
      <c r="H236" t="n">
        <v>0</v>
      </c>
      <c r="I236" t="n">
        <v>0</v>
      </c>
      <c r="J236" t="n">
        <v>0</v>
      </c>
      <c r="K236" t="n">
        <v>0</v>
      </c>
      <c r="L236" t="n">
        <v>0</v>
      </c>
      <c r="M236" t="n">
        <v>0</v>
      </c>
      <c r="N236" t="n">
        <v>0</v>
      </c>
      <c r="O236" t="n">
        <v>0</v>
      </c>
      <c r="P236" t="n">
        <v>0</v>
      </c>
      <c r="Q236" t="n">
        <v>0</v>
      </c>
      <c r="R236" s="2" t="inlineStr"/>
    </row>
    <row r="237" ht="15" customHeight="1">
      <c r="A237" t="inlineStr">
        <is>
          <t>A 10118-2021</t>
        </is>
      </c>
      <c r="B237" s="1" t="n">
        <v>44256</v>
      </c>
      <c r="C237" s="1" t="n">
        <v>45989</v>
      </c>
      <c r="D237" t="inlineStr">
        <is>
          <t>VÄRMLANDS LÄN</t>
        </is>
      </c>
      <c r="E237" t="inlineStr">
        <is>
          <t>TORSBY</t>
        </is>
      </c>
      <c r="G237" t="n">
        <v>12.5</v>
      </c>
      <c r="H237" t="n">
        <v>0</v>
      </c>
      <c r="I237" t="n">
        <v>0</v>
      </c>
      <c r="J237" t="n">
        <v>0</v>
      </c>
      <c r="K237" t="n">
        <v>0</v>
      </c>
      <c r="L237" t="n">
        <v>0</v>
      </c>
      <c r="M237" t="n">
        <v>0</v>
      </c>
      <c r="N237" t="n">
        <v>0</v>
      </c>
      <c r="O237" t="n">
        <v>0</v>
      </c>
      <c r="P237" t="n">
        <v>0</v>
      </c>
      <c r="Q237" t="n">
        <v>0</v>
      </c>
      <c r="R237" s="2" t="inlineStr"/>
    </row>
    <row r="238" ht="15" customHeight="1">
      <c r="A238" t="inlineStr">
        <is>
          <t>A 54811-2022</t>
        </is>
      </c>
      <c r="B238" s="1" t="n">
        <v>44883.7496875</v>
      </c>
      <c r="C238" s="1" t="n">
        <v>45989</v>
      </c>
      <c r="D238" t="inlineStr">
        <is>
          <t>VÄRMLANDS LÄN</t>
        </is>
      </c>
      <c r="E238" t="inlineStr">
        <is>
          <t>TORSBY</t>
        </is>
      </c>
      <c r="G238" t="n">
        <v>2.5</v>
      </c>
      <c r="H238" t="n">
        <v>0</v>
      </c>
      <c r="I238" t="n">
        <v>0</v>
      </c>
      <c r="J238" t="n">
        <v>0</v>
      </c>
      <c r="K238" t="n">
        <v>0</v>
      </c>
      <c r="L238" t="n">
        <v>0</v>
      </c>
      <c r="M238" t="n">
        <v>0</v>
      </c>
      <c r="N238" t="n">
        <v>0</v>
      </c>
      <c r="O238" t="n">
        <v>0</v>
      </c>
      <c r="P238" t="n">
        <v>0</v>
      </c>
      <c r="Q238" t="n">
        <v>0</v>
      </c>
      <c r="R238" s="2" t="inlineStr"/>
    </row>
    <row r="239" ht="15" customHeight="1">
      <c r="A239" t="inlineStr">
        <is>
          <t>A 18174-2021</t>
        </is>
      </c>
      <c r="B239" s="1" t="n">
        <v>44302.63314814815</v>
      </c>
      <c r="C239" s="1" t="n">
        <v>45989</v>
      </c>
      <c r="D239" t="inlineStr">
        <is>
          <t>VÄRMLANDS LÄN</t>
        </is>
      </c>
      <c r="E239" t="inlineStr">
        <is>
          <t>TORSBY</t>
        </is>
      </c>
      <c r="G239" t="n">
        <v>4.5</v>
      </c>
      <c r="H239" t="n">
        <v>0</v>
      </c>
      <c r="I239" t="n">
        <v>0</v>
      </c>
      <c r="J239" t="n">
        <v>0</v>
      </c>
      <c r="K239" t="n">
        <v>0</v>
      </c>
      <c r="L239" t="n">
        <v>0</v>
      </c>
      <c r="M239" t="n">
        <v>0</v>
      </c>
      <c r="N239" t="n">
        <v>0</v>
      </c>
      <c r="O239" t="n">
        <v>0</v>
      </c>
      <c r="P239" t="n">
        <v>0</v>
      </c>
      <c r="Q239" t="n">
        <v>0</v>
      </c>
      <c r="R239" s="2" t="inlineStr"/>
    </row>
    <row r="240" ht="15" customHeight="1">
      <c r="A240" t="inlineStr">
        <is>
          <t>A 44923-2021</t>
        </is>
      </c>
      <c r="B240" s="1" t="n">
        <v>44438.6662037037</v>
      </c>
      <c r="C240" s="1" t="n">
        <v>45989</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10778-2021</t>
        </is>
      </c>
      <c r="B241" s="1" t="n">
        <v>44259</v>
      </c>
      <c r="C241" s="1" t="n">
        <v>45989</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68238-2020</t>
        </is>
      </c>
      <c r="B242" s="1" t="n">
        <v>44183</v>
      </c>
      <c r="C242" s="1" t="n">
        <v>45989</v>
      </c>
      <c r="D242" t="inlineStr">
        <is>
          <t>VÄRMLANDS LÄN</t>
        </is>
      </c>
      <c r="E242" t="inlineStr">
        <is>
          <t>TORSBY</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5105-2021</t>
        </is>
      </c>
      <c r="B243" s="1" t="n">
        <v>44228</v>
      </c>
      <c r="C243" s="1" t="n">
        <v>45989</v>
      </c>
      <c r="D243" t="inlineStr">
        <is>
          <t>VÄRMLANDS LÄN</t>
        </is>
      </c>
      <c r="E243" t="inlineStr">
        <is>
          <t>TORSBY</t>
        </is>
      </c>
      <c r="G243" t="n">
        <v>5.6</v>
      </c>
      <c r="H243" t="n">
        <v>0</v>
      </c>
      <c r="I243" t="n">
        <v>0</v>
      </c>
      <c r="J243" t="n">
        <v>0</v>
      </c>
      <c r="K243" t="n">
        <v>0</v>
      </c>
      <c r="L243" t="n">
        <v>0</v>
      </c>
      <c r="M243" t="n">
        <v>0</v>
      </c>
      <c r="N243" t="n">
        <v>0</v>
      </c>
      <c r="O243" t="n">
        <v>0</v>
      </c>
      <c r="P243" t="n">
        <v>0</v>
      </c>
      <c r="Q243" t="n">
        <v>0</v>
      </c>
      <c r="R243" s="2" t="inlineStr"/>
    </row>
    <row r="244" ht="15" customHeight="1">
      <c r="A244" t="inlineStr">
        <is>
          <t>A 33145-2021</t>
        </is>
      </c>
      <c r="B244" s="1" t="n">
        <v>44376.67375</v>
      </c>
      <c r="C244" s="1" t="n">
        <v>45989</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30802-2021</t>
        </is>
      </c>
      <c r="B245" s="1" t="n">
        <v>44365.52390046296</v>
      </c>
      <c r="C245" s="1" t="n">
        <v>45989</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23803-2022</t>
        </is>
      </c>
      <c r="B246" s="1" t="n">
        <v>44720</v>
      </c>
      <c r="C246" s="1" t="n">
        <v>45989</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33959-2022</t>
        </is>
      </c>
      <c r="B247" s="1" t="n">
        <v>44790.6815625</v>
      </c>
      <c r="C247" s="1" t="n">
        <v>45989</v>
      </c>
      <c r="D247" t="inlineStr">
        <is>
          <t>VÄRMLANDS LÄN</t>
        </is>
      </c>
      <c r="E247" t="inlineStr">
        <is>
          <t>TORSBY</t>
        </is>
      </c>
      <c r="G247" t="n">
        <v>0.6</v>
      </c>
      <c r="H247" t="n">
        <v>0</v>
      </c>
      <c r="I247" t="n">
        <v>0</v>
      </c>
      <c r="J247" t="n">
        <v>0</v>
      </c>
      <c r="K247" t="n">
        <v>0</v>
      </c>
      <c r="L247" t="n">
        <v>0</v>
      </c>
      <c r="M247" t="n">
        <v>0</v>
      </c>
      <c r="N247" t="n">
        <v>0</v>
      </c>
      <c r="O247" t="n">
        <v>0</v>
      </c>
      <c r="P247" t="n">
        <v>0</v>
      </c>
      <c r="Q247" t="n">
        <v>0</v>
      </c>
      <c r="R247" s="2" t="inlineStr"/>
    </row>
    <row r="248" ht="15" customHeight="1">
      <c r="A248" t="inlineStr">
        <is>
          <t>A 11922-2022</t>
        </is>
      </c>
      <c r="B248" s="1" t="n">
        <v>44635</v>
      </c>
      <c r="C248" s="1" t="n">
        <v>45989</v>
      </c>
      <c r="D248" t="inlineStr">
        <is>
          <t>VÄRMLANDS LÄN</t>
        </is>
      </c>
      <c r="E248" t="inlineStr">
        <is>
          <t>TORSBY</t>
        </is>
      </c>
      <c r="G248" t="n">
        <v>2.6</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45989</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51510-2021</t>
        </is>
      </c>
      <c r="B250" s="1" t="n">
        <v>44460</v>
      </c>
      <c r="C250" s="1" t="n">
        <v>45989</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17249-2021</t>
        </is>
      </c>
      <c r="B251" s="1" t="n">
        <v>44298</v>
      </c>
      <c r="C251" s="1" t="n">
        <v>45989</v>
      </c>
      <c r="D251" t="inlineStr">
        <is>
          <t>VÄRMLANDS LÄN</t>
        </is>
      </c>
      <c r="E251" t="inlineStr">
        <is>
          <t>TORSBY</t>
        </is>
      </c>
      <c r="G251" t="n">
        <v>2.7</v>
      </c>
      <c r="H251" t="n">
        <v>0</v>
      </c>
      <c r="I251" t="n">
        <v>0</v>
      </c>
      <c r="J251" t="n">
        <v>0</v>
      </c>
      <c r="K251" t="n">
        <v>0</v>
      </c>
      <c r="L251" t="n">
        <v>0</v>
      </c>
      <c r="M251" t="n">
        <v>0</v>
      </c>
      <c r="N251" t="n">
        <v>0</v>
      </c>
      <c r="O251" t="n">
        <v>0</v>
      </c>
      <c r="P251" t="n">
        <v>0</v>
      </c>
      <c r="Q251" t="n">
        <v>0</v>
      </c>
      <c r="R251" s="2" t="inlineStr"/>
    </row>
    <row r="252" ht="15" customHeight="1">
      <c r="A252" t="inlineStr">
        <is>
          <t>A 65827-2020</t>
        </is>
      </c>
      <c r="B252" s="1" t="n">
        <v>44173</v>
      </c>
      <c r="C252" s="1" t="n">
        <v>45989</v>
      </c>
      <c r="D252" t="inlineStr">
        <is>
          <t>VÄRMLANDS LÄN</t>
        </is>
      </c>
      <c r="E252" t="inlineStr">
        <is>
          <t>TORSBY</t>
        </is>
      </c>
      <c r="G252" t="n">
        <v>6.7</v>
      </c>
      <c r="H252" t="n">
        <v>0</v>
      </c>
      <c r="I252" t="n">
        <v>0</v>
      </c>
      <c r="J252" t="n">
        <v>0</v>
      </c>
      <c r="K252" t="n">
        <v>0</v>
      </c>
      <c r="L252" t="n">
        <v>0</v>
      </c>
      <c r="M252" t="n">
        <v>0</v>
      </c>
      <c r="N252" t="n">
        <v>0</v>
      </c>
      <c r="O252" t="n">
        <v>0</v>
      </c>
      <c r="P252" t="n">
        <v>0</v>
      </c>
      <c r="Q252" t="n">
        <v>0</v>
      </c>
      <c r="R252" s="2" t="inlineStr"/>
    </row>
    <row r="253" ht="15" customHeight="1">
      <c r="A253" t="inlineStr">
        <is>
          <t>A 27362-2021</t>
        </is>
      </c>
      <c r="B253" s="1" t="n">
        <v>44351</v>
      </c>
      <c r="C253" s="1" t="n">
        <v>45989</v>
      </c>
      <c r="D253" t="inlineStr">
        <is>
          <t>VÄRMLANDS LÄN</t>
        </is>
      </c>
      <c r="E253" t="inlineStr">
        <is>
          <t>TORSBY</t>
        </is>
      </c>
      <c r="G253" t="n">
        <v>2.9</v>
      </c>
      <c r="H253" t="n">
        <v>0</v>
      </c>
      <c r="I253" t="n">
        <v>0</v>
      </c>
      <c r="J253" t="n">
        <v>0</v>
      </c>
      <c r="K253" t="n">
        <v>0</v>
      </c>
      <c r="L253" t="n">
        <v>0</v>
      </c>
      <c r="M253" t="n">
        <v>0</v>
      </c>
      <c r="N253" t="n">
        <v>0</v>
      </c>
      <c r="O253" t="n">
        <v>0</v>
      </c>
      <c r="P253" t="n">
        <v>0</v>
      </c>
      <c r="Q253" t="n">
        <v>0</v>
      </c>
      <c r="R253" s="2" t="inlineStr"/>
    </row>
    <row r="254" ht="15" customHeight="1">
      <c r="A254" t="inlineStr">
        <is>
          <t>A 31494-2021</t>
        </is>
      </c>
      <c r="B254" s="1" t="n">
        <v>44369</v>
      </c>
      <c r="C254" s="1" t="n">
        <v>45989</v>
      </c>
      <c r="D254" t="inlineStr">
        <is>
          <t>VÄRMLANDS LÄN</t>
        </is>
      </c>
      <c r="E254" t="inlineStr">
        <is>
          <t>TORSBY</t>
        </is>
      </c>
      <c r="G254" t="n">
        <v>3.5</v>
      </c>
      <c r="H254" t="n">
        <v>0</v>
      </c>
      <c r="I254" t="n">
        <v>0</v>
      </c>
      <c r="J254" t="n">
        <v>0</v>
      </c>
      <c r="K254" t="n">
        <v>0</v>
      </c>
      <c r="L254" t="n">
        <v>0</v>
      </c>
      <c r="M254" t="n">
        <v>0</v>
      </c>
      <c r="N254" t="n">
        <v>0</v>
      </c>
      <c r="O254" t="n">
        <v>0</v>
      </c>
      <c r="P254" t="n">
        <v>0</v>
      </c>
      <c r="Q254" t="n">
        <v>0</v>
      </c>
      <c r="R254" s="2" t="inlineStr"/>
    </row>
    <row r="255" ht="15" customHeight="1">
      <c r="A255" t="inlineStr">
        <is>
          <t>A 28172-2022</t>
        </is>
      </c>
      <c r="B255" s="1" t="n">
        <v>44746</v>
      </c>
      <c r="C255" s="1" t="n">
        <v>45989</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45989</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37225-2021</t>
        </is>
      </c>
      <c r="B257" s="1" t="n">
        <v>44396</v>
      </c>
      <c r="C257" s="1" t="n">
        <v>45989</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34626-2021</t>
        </is>
      </c>
      <c r="B258" s="1" t="n">
        <v>44382</v>
      </c>
      <c r="C258" s="1" t="n">
        <v>45989</v>
      </c>
      <c r="D258" t="inlineStr">
        <is>
          <t>VÄRMLANDS LÄN</t>
        </is>
      </c>
      <c r="E258" t="inlineStr">
        <is>
          <t>TORSBY</t>
        </is>
      </c>
      <c r="G258" t="n">
        <v>2.1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45989</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65959-2021</t>
        </is>
      </c>
      <c r="B260" s="1" t="n">
        <v>44517</v>
      </c>
      <c r="C260" s="1" t="n">
        <v>45989</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69265-2021</t>
        </is>
      </c>
      <c r="B261" s="1" t="n">
        <v>44526</v>
      </c>
      <c r="C261" s="1" t="n">
        <v>45989</v>
      </c>
      <c r="D261" t="inlineStr">
        <is>
          <t>VÄRMLANDS LÄN</t>
        </is>
      </c>
      <c r="E261" t="inlineStr">
        <is>
          <t>TORSBY</t>
        </is>
      </c>
      <c r="G261" t="n">
        <v>11.1</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45989</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45989</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62576-2021</t>
        </is>
      </c>
      <c r="B264" s="1" t="n">
        <v>44502</v>
      </c>
      <c r="C264" s="1" t="n">
        <v>45989</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50549-2021</t>
        </is>
      </c>
      <c r="B265" s="1" t="n">
        <v>44459</v>
      </c>
      <c r="C265" s="1" t="n">
        <v>45989</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45989</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20199-2021</t>
        </is>
      </c>
      <c r="B267" s="1" t="n">
        <v>44312</v>
      </c>
      <c r="C267" s="1" t="n">
        <v>45989</v>
      </c>
      <c r="D267" t="inlineStr">
        <is>
          <t>VÄRMLANDS LÄN</t>
        </is>
      </c>
      <c r="E267" t="inlineStr">
        <is>
          <t>TORSBY</t>
        </is>
      </c>
      <c r="G267" t="n">
        <v>11.4</v>
      </c>
      <c r="H267" t="n">
        <v>0</v>
      </c>
      <c r="I267" t="n">
        <v>0</v>
      </c>
      <c r="J267" t="n">
        <v>0</v>
      </c>
      <c r="K267" t="n">
        <v>0</v>
      </c>
      <c r="L267" t="n">
        <v>0</v>
      </c>
      <c r="M267" t="n">
        <v>0</v>
      </c>
      <c r="N267" t="n">
        <v>0</v>
      </c>
      <c r="O267" t="n">
        <v>0</v>
      </c>
      <c r="P267" t="n">
        <v>0</v>
      </c>
      <c r="Q267" t="n">
        <v>0</v>
      </c>
      <c r="R267" s="2" t="inlineStr"/>
    </row>
    <row r="268" ht="15" customHeight="1">
      <c r="A268" t="inlineStr">
        <is>
          <t>A 14942-2021</t>
        </is>
      </c>
      <c r="B268" s="1" t="n">
        <v>44281</v>
      </c>
      <c r="C268" s="1" t="n">
        <v>45989</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46551-2022</t>
        </is>
      </c>
      <c r="B269" s="1" t="n">
        <v>44848</v>
      </c>
      <c r="C269" s="1" t="n">
        <v>45989</v>
      </c>
      <c r="D269" t="inlineStr">
        <is>
          <t>VÄRMLANDS LÄN</t>
        </is>
      </c>
      <c r="E269" t="inlineStr">
        <is>
          <t>TORSBY</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35545-2021</t>
        </is>
      </c>
      <c r="B270" s="1" t="n">
        <v>44385</v>
      </c>
      <c r="C270" s="1" t="n">
        <v>45989</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25247-2021</t>
        </is>
      </c>
      <c r="B271" s="1" t="n">
        <v>44342</v>
      </c>
      <c r="C271" s="1" t="n">
        <v>45989</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23524-2021</t>
        </is>
      </c>
      <c r="B272" s="1" t="n">
        <v>44301</v>
      </c>
      <c r="C272" s="1" t="n">
        <v>45989</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52543-2022</t>
        </is>
      </c>
      <c r="B273" s="1" t="n">
        <v>44874</v>
      </c>
      <c r="C273" s="1" t="n">
        <v>45989</v>
      </c>
      <c r="D273" t="inlineStr">
        <is>
          <t>VÄRMLANDS LÄN</t>
        </is>
      </c>
      <c r="E273" t="inlineStr">
        <is>
          <t>TORSBY</t>
        </is>
      </c>
      <c r="G273" t="n">
        <v>10.1</v>
      </c>
      <c r="H273" t="n">
        <v>0</v>
      </c>
      <c r="I273" t="n">
        <v>0</v>
      </c>
      <c r="J273" t="n">
        <v>0</v>
      </c>
      <c r="K273" t="n">
        <v>0</v>
      </c>
      <c r="L273" t="n">
        <v>0</v>
      </c>
      <c r="M273" t="n">
        <v>0</v>
      </c>
      <c r="N273" t="n">
        <v>0</v>
      </c>
      <c r="O273" t="n">
        <v>0</v>
      </c>
      <c r="P273" t="n">
        <v>0</v>
      </c>
      <c r="Q273" t="n">
        <v>0</v>
      </c>
      <c r="R273" s="2" t="inlineStr"/>
    </row>
    <row r="274" ht="15" customHeight="1">
      <c r="A274" t="inlineStr">
        <is>
          <t>A 43095-2021</t>
        </is>
      </c>
      <c r="B274" s="1" t="n">
        <v>44431</v>
      </c>
      <c r="C274" s="1" t="n">
        <v>45989</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65998-2021</t>
        </is>
      </c>
      <c r="B275" s="1" t="n">
        <v>44517</v>
      </c>
      <c r="C275" s="1" t="n">
        <v>45989</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20819-2022</t>
        </is>
      </c>
      <c r="B276" s="1" t="n">
        <v>44699</v>
      </c>
      <c r="C276" s="1" t="n">
        <v>45989</v>
      </c>
      <c r="D276" t="inlineStr">
        <is>
          <t>VÄRMLANDS LÄN</t>
        </is>
      </c>
      <c r="E276" t="inlineStr">
        <is>
          <t>TORSBY</t>
        </is>
      </c>
      <c r="G276" t="n">
        <v>3.1</v>
      </c>
      <c r="H276" t="n">
        <v>0</v>
      </c>
      <c r="I276" t="n">
        <v>0</v>
      </c>
      <c r="J276" t="n">
        <v>0</v>
      </c>
      <c r="K276" t="n">
        <v>0</v>
      </c>
      <c r="L276" t="n">
        <v>0</v>
      </c>
      <c r="M276" t="n">
        <v>0</v>
      </c>
      <c r="N276" t="n">
        <v>0</v>
      </c>
      <c r="O276" t="n">
        <v>0</v>
      </c>
      <c r="P276" t="n">
        <v>0</v>
      </c>
      <c r="Q276" t="n">
        <v>0</v>
      </c>
      <c r="R276" s="2" t="inlineStr"/>
    </row>
    <row r="277" ht="15" customHeight="1">
      <c r="A277" t="inlineStr">
        <is>
          <t>A 17765-2022</t>
        </is>
      </c>
      <c r="B277" s="1" t="n">
        <v>44681.41195601852</v>
      </c>
      <c r="C277" s="1" t="n">
        <v>45989</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65398-2020</t>
        </is>
      </c>
      <c r="B278" s="1" t="n">
        <v>44169</v>
      </c>
      <c r="C278" s="1" t="n">
        <v>45989</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49192-2021</t>
        </is>
      </c>
      <c r="B279" s="1" t="n">
        <v>44454.33175925926</v>
      </c>
      <c r="C279" s="1" t="n">
        <v>45989</v>
      </c>
      <c r="D279" t="inlineStr">
        <is>
          <t>VÄRMLANDS LÄN</t>
        </is>
      </c>
      <c r="E279" t="inlineStr">
        <is>
          <t>TORSBY</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28562-2021</t>
        </is>
      </c>
      <c r="B280" s="1" t="n">
        <v>44356.69538194445</v>
      </c>
      <c r="C280" s="1" t="n">
        <v>45989</v>
      </c>
      <c r="D280" t="inlineStr">
        <is>
          <t>VÄRMLANDS LÄN</t>
        </is>
      </c>
      <c r="E280" t="inlineStr">
        <is>
          <t>TORSBY</t>
        </is>
      </c>
      <c r="G280" t="n">
        <v>4.4</v>
      </c>
      <c r="H280" t="n">
        <v>0</v>
      </c>
      <c r="I280" t="n">
        <v>0</v>
      </c>
      <c r="J280" t="n">
        <v>0</v>
      </c>
      <c r="K280" t="n">
        <v>0</v>
      </c>
      <c r="L280" t="n">
        <v>0</v>
      </c>
      <c r="M280" t="n">
        <v>0</v>
      </c>
      <c r="N280" t="n">
        <v>0</v>
      </c>
      <c r="O280" t="n">
        <v>0</v>
      </c>
      <c r="P280" t="n">
        <v>0</v>
      </c>
      <c r="Q280" t="n">
        <v>0</v>
      </c>
      <c r="R280" s="2" t="inlineStr"/>
    </row>
    <row r="281" ht="15" customHeight="1">
      <c r="A281" t="inlineStr">
        <is>
          <t>A 33149-2021</t>
        </is>
      </c>
      <c r="B281" s="1" t="n">
        <v>44376.67658564815</v>
      </c>
      <c r="C281" s="1" t="n">
        <v>45989</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56062-2021</t>
        </is>
      </c>
      <c r="B282" s="1" t="n">
        <v>44477.51216435185</v>
      </c>
      <c r="C282" s="1" t="n">
        <v>45989</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33515-2021</t>
        </is>
      </c>
      <c r="B283" s="1" t="n">
        <v>44377</v>
      </c>
      <c r="C283" s="1" t="n">
        <v>45989</v>
      </c>
      <c r="D283" t="inlineStr">
        <is>
          <t>VÄRMLANDS LÄN</t>
        </is>
      </c>
      <c r="E283" t="inlineStr">
        <is>
          <t>TORSBY</t>
        </is>
      </c>
      <c r="G283" t="n">
        <v>3.5</v>
      </c>
      <c r="H283" t="n">
        <v>0</v>
      </c>
      <c r="I283" t="n">
        <v>0</v>
      </c>
      <c r="J283" t="n">
        <v>0</v>
      </c>
      <c r="K283" t="n">
        <v>0</v>
      </c>
      <c r="L283" t="n">
        <v>0</v>
      </c>
      <c r="M283" t="n">
        <v>0</v>
      </c>
      <c r="N283" t="n">
        <v>0</v>
      </c>
      <c r="O283" t="n">
        <v>0</v>
      </c>
      <c r="P283" t="n">
        <v>0</v>
      </c>
      <c r="Q283" t="n">
        <v>0</v>
      </c>
      <c r="R283" s="2" t="inlineStr"/>
    </row>
    <row r="284" ht="15" customHeight="1">
      <c r="A284" t="inlineStr">
        <is>
          <t>A 33517-2021</t>
        </is>
      </c>
      <c r="B284" s="1" t="n">
        <v>44377</v>
      </c>
      <c r="C284" s="1" t="n">
        <v>45989</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20045-2022</t>
        </is>
      </c>
      <c r="B285" s="1" t="n">
        <v>44697</v>
      </c>
      <c r="C285" s="1" t="n">
        <v>45989</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21031-2021</t>
        </is>
      </c>
      <c r="B286" s="1" t="n">
        <v>44319</v>
      </c>
      <c r="C286" s="1" t="n">
        <v>45989</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43136-2021</t>
        </is>
      </c>
      <c r="B287" s="1" t="n">
        <v>44431.6690625</v>
      </c>
      <c r="C287" s="1" t="n">
        <v>45989</v>
      </c>
      <c r="D287" t="inlineStr">
        <is>
          <t>VÄRMLANDS LÄN</t>
        </is>
      </c>
      <c r="E287" t="inlineStr">
        <is>
          <t>TORSBY</t>
        </is>
      </c>
      <c r="G287" t="n">
        <v>14.4</v>
      </c>
      <c r="H287" t="n">
        <v>0</v>
      </c>
      <c r="I287" t="n">
        <v>0</v>
      </c>
      <c r="J287" t="n">
        <v>0</v>
      </c>
      <c r="K287" t="n">
        <v>0</v>
      </c>
      <c r="L287" t="n">
        <v>0</v>
      </c>
      <c r="M287" t="n">
        <v>0</v>
      </c>
      <c r="N287" t="n">
        <v>0</v>
      </c>
      <c r="O287" t="n">
        <v>0</v>
      </c>
      <c r="P287" t="n">
        <v>0</v>
      </c>
      <c r="Q287" t="n">
        <v>0</v>
      </c>
      <c r="R287" s="2" t="inlineStr"/>
    </row>
    <row r="288" ht="15" customHeight="1">
      <c r="A288" t="inlineStr">
        <is>
          <t>A 14320-2022</t>
        </is>
      </c>
      <c r="B288" s="1" t="n">
        <v>44652</v>
      </c>
      <c r="C288" s="1" t="n">
        <v>45989</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46934-2021</t>
        </is>
      </c>
      <c r="B289" s="1" t="n">
        <v>44446.49893518518</v>
      </c>
      <c r="C289" s="1" t="n">
        <v>45989</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45989</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45989</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8739-2022</t>
        </is>
      </c>
      <c r="B292" s="1" t="n">
        <v>44615</v>
      </c>
      <c r="C292" s="1" t="n">
        <v>45989</v>
      </c>
      <c r="D292" t="inlineStr">
        <is>
          <t>VÄRMLANDS LÄN</t>
        </is>
      </c>
      <c r="E292" t="inlineStr">
        <is>
          <t>TORSBY</t>
        </is>
      </c>
      <c r="G292" t="n">
        <v>1.8</v>
      </c>
      <c r="H292" t="n">
        <v>0</v>
      </c>
      <c r="I292" t="n">
        <v>0</v>
      </c>
      <c r="J292" t="n">
        <v>0</v>
      </c>
      <c r="K292" t="n">
        <v>0</v>
      </c>
      <c r="L292" t="n">
        <v>0</v>
      </c>
      <c r="M292" t="n">
        <v>0</v>
      </c>
      <c r="N292" t="n">
        <v>0</v>
      </c>
      <c r="O292" t="n">
        <v>0</v>
      </c>
      <c r="P292" t="n">
        <v>0</v>
      </c>
      <c r="Q292" t="n">
        <v>0</v>
      </c>
      <c r="R292" s="2" t="inlineStr"/>
    </row>
    <row r="293" ht="15" customHeight="1">
      <c r="A293" t="inlineStr">
        <is>
          <t>A 18628-2022</t>
        </is>
      </c>
      <c r="B293" s="1" t="n">
        <v>44687</v>
      </c>
      <c r="C293" s="1" t="n">
        <v>45989</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44811.44335648148</v>
      </c>
      <c r="C294" s="1" t="n">
        <v>45989</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52386-2022</t>
        </is>
      </c>
      <c r="B295" s="1" t="n">
        <v>44874.3750462963</v>
      </c>
      <c r="C295" s="1" t="n">
        <v>45989</v>
      </c>
      <c r="D295" t="inlineStr">
        <is>
          <t>VÄRMLANDS LÄN</t>
        </is>
      </c>
      <c r="E295" t="inlineStr">
        <is>
          <t>TORSBY</t>
        </is>
      </c>
      <c r="G295" t="n">
        <v>6.7</v>
      </c>
      <c r="H295" t="n">
        <v>0</v>
      </c>
      <c r="I295" t="n">
        <v>0</v>
      </c>
      <c r="J295" t="n">
        <v>0</v>
      </c>
      <c r="K295" t="n">
        <v>0</v>
      </c>
      <c r="L295" t="n">
        <v>0</v>
      </c>
      <c r="M295" t="n">
        <v>0</v>
      </c>
      <c r="N295" t="n">
        <v>0</v>
      </c>
      <c r="O295" t="n">
        <v>0</v>
      </c>
      <c r="P295" t="n">
        <v>0</v>
      </c>
      <c r="Q295" t="n">
        <v>0</v>
      </c>
      <c r="R295" s="2" t="inlineStr"/>
    </row>
    <row r="296" ht="15" customHeight="1">
      <c r="A296" t="inlineStr">
        <is>
          <t>A 30162-2021</t>
        </is>
      </c>
      <c r="B296" s="1" t="n">
        <v>44363</v>
      </c>
      <c r="C296" s="1" t="n">
        <v>45989</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38179-2022</t>
        </is>
      </c>
      <c r="B297" s="1" t="n">
        <v>44812</v>
      </c>
      <c r="C297" s="1" t="n">
        <v>45989</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47466-2022</t>
        </is>
      </c>
      <c r="B298" s="1" t="n">
        <v>44852</v>
      </c>
      <c r="C298" s="1" t="n">
        <v>45989</v>
      </c>
      <c r="D298" t="inlineStr">
        <is>
          <t>VÄRMLANDS LÄN</t>
        </is>
      </c>
      <c r="E298" t="inlineStr">
        <is>
          <t>TORSBY</t>
        </is>
      </c>
      <c r="G298" t="n">
        <v>3</v>
      </c>
      <c r="H298" t="n">
        <v>0</v>
      </c>
      <c r="I298" t="n">
        <v>0</v>
      </c>
      <c r="J298" t="n">
        <v>0</v>
      </c>
      <c r="K298" t="n">
        <v>0</v>
      </c>
      <c r="L298" t="n">
        <v>0</v>
      </c>
      <c r="M298" t="n">
        <v>0</v>
      </c>
      <c r="N298" t="n">
        <v>0</v>
      </c>
      <c r="O298" t="n">
        <v>0</v>
      </c>
      <c r="P298" t="n">
        <v>0</v>
      </c>
      <c r="Q298" t="n">
        <v>0</v>
      </c>
      <c r="R298" s="2" t="inlineStr"/>
    </row>
    <row r="299" ht="15" customHeight="1">
      <c r="A299" t="inlineStr">
        <is>
          <t>A 16375-2021</t>
        </is>
      </c>
      <c r="B299" s="1" t="n">
        <v>44292</v>
      </c>
      <c r="C299" s="1" t="n">
        <v>45989</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22113-2021</t>
        </is>
      </c>
      <c r="B300" s="1" t="n">
        <v>44323</v>
      </c>
      <c r="C300" s="1" t="n">
        <v>45989</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1516-2021</t>
        </is>
      </c>
      <c r="B301" s="1" t="n">
        <v>44209</v>
      </c>
      <c r="C301" s="1" t="n">
        <v>45989</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32003-2022</t>
        </is>
      </c>
      <c r="B302" s="1" t="n">
        <v>44778</v>
      </c>
      <c r="C302" s="1" t="n">
        <v>45989</v>
      </c>
      <c r="D302" t="inlineStr">
        <is>
          <t>VÄRMLANDS LÄN</t>
        </is>
      </c>
      <c r="E302" t="inlineStr">
        <is>
          <t>TORSBY</t>
        </is>
      </c>
      <c r="G302" t="n">
        <v>1.4</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45989</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23194-2021</t>
        </is>
      </c>
      <c r="B304" s="1" t="n">
        <v>44328</v>
      </c>
      <c r="C304" s="1" t="n">
        <v>45989</v>
      </c>
      <c r="D304" t="inlineStr">
        <is>
          <t>VÄRMLANDS LÄN</t>
        </is>
      </c>
      <c r="E304" t="inlineStr">
        <is>
          <t>TORSBY</t>
        </is>
      </c>
      <c r="G304" t="n">
        <v>4.3</v>
      </c>
      <c r="H304" t="n">
        <v>0</v>
      </c>
      <c r="I304" t="n">
        <v>0</v>
      </c>
      <c r="J304" t="n">
        <v>0</v>
      </c>
      <c r="K304" t="n">
        <v>0</v>
      </c>
      <c r="L304" t="n">
        <v>0</v>
      </c>
      <c r="M304" t="n">
        <v>0</v>
      </c>
      <c r="N304" t="n">
        <v>0</v>
      </c>
      <c r="O304" t="n">
        <v>0</v>
      </c>
      <c r="P304" t="n">
        <v>0</v>
      </c>
      <c r="Q304" t="n">
        <v>0</v>
      </c>
      <c r="R304" s="2" t="inlineStr"/>
    </row>
    <row r="305" ht="15" customHeight="1">
      <c r="A305" t="inlineStr">
        <is>
          <t>A 33181-2022</t>
        </is>
      </c>
      <c r="B305" s="1" t="n">
        <v>44785</v>
      </c>
      <c r="C305" s="1" t="n">
        <v>45989</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45989</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35851-2022</t>
        </is>
      </c>
      <c r="B307" s="1" t="n">
        <v>44802</v>
      </c>
      <c r="C307" s="1" t="n">
        <v>45989</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11664-2022</t>
        </is>
      </c>
      <c r="B308" s="1" t="n">
        <v>44632.86525462963</v>
      </c>
      <c r="C308" s="1" t="n">
        <v>45989</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45989</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53044-2022</t>
        </is>
      </c>
      <c r="B310" s="1" t="n">
        <v>44876</v>
      </c>
      <c r="C310" s="1" t="n">
        <v>45989</v>
      </c>
      <c r="D310" t="inlineStr">
        <is>
          <t>VÄRMLANDS LÄN</t>
        </is>
      </c>
      <c r="E310" t="inlineStr">
        <is>
          <t>TORSBY</t>
        </is>
      </c>
      <c r="G310" t="n">
        <v>0.2</v>
      </c>
      <c r="H310" t="n">
        <v>0</v>
      </c>
      <c r="I310" t="n">
        <v>0</v>
      </c>
      <c r="J310" t="n">
        <v>0</v>
      </c>
      <c r="K310" t="n">
        <v>0</v>
      </c>
      <c r="L310" t="n">
        <v>0</v>
      </c>
      <c r="M310" t="n">
        <v>0</v>
      </c>
      <c r="N310" t="n">
        <v>0</v>
      </c>
      <c r="O310" t="n">
        <v>0</v>
      </c>
      <c r="P310" t="n">
        <v>0</v>
      </c>
      <c r="Q310" t="n">
        <v>0</v>
      </c>
      <c r="R310" s="2" t="inlineStr"/>
    </row>
    <row r="311" ht="15" customHeight="1">
      <c r="A311" t="inlineStr">
        <is>
          <t>A 53076-2022</t>
        </is>
      </c>
      <c r="B311" s="1" t="n">
        <v>44876.38284722222</v>
      </c>
      <c r="C311" s="1" t="n">
        <v>45989</v>
      </c>
      <c r="D311" t="inlineStr">
        <is>
          <t>VÄRMLANDS LÄN</t>
        </is>
      </c>
      <c r="E311" t="inlineStr">
        <is>
          <t>TORSBY</t>
        </is>
      </c>
      <c r="G311" t="n">
        <v>0.4</v>
      </c>
      <c r="H311" t="n">
        <v>0</v>
      </c>
      <c r="I311" t="n">
        <v>0</v>
      </c>
      <c r="J311" t="n">
        <v>0</v>
      </c>
      <c r="K311" t="n">
        <v>0</v>
      </c>
      <c r="L311" t="n">
        <v>0</v>
      </c>
      <c r="M311" t="n">
        <v>0</v>
      </c>
      <c r="N311" t="n">
        <v>0</v>
      </c>
      <c r="O311" t="n">
        <v>0</v>
      </c>
      <c r="P311" t="n">
        <v>0</v>
      </c>
      <c r="Q311" t="n">
        <v>0</v>
      </c>
      <c r="R311" s="2" t="inlineStr"/>
    </row>
    <row r="312" ht="15" customHeight="1">
      <c r="A312" t="inlineStr">
        <is>
          <t>A 48159-2021</t>
        </is>
      </c>
      <c r="B312" s="1" t="n">
        <v>44449.51302083334</v>
      </c>
      <c r="C312" s="1" t="n">
        <v>45989</v>
      </c>
      <c r="D312" t="inlineStr">
        <is>
          <t>VÄRMLANDS LÄN</t>
        </is>
      </c>
      <c r="E312" t="inlineStr">
        <is>
          <t>TORSBY</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45989</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57287-2021</t>
        </is>
      </c>
      <c r="B314" s="1" t="n">
        <v>44482</v>
      </c>
      <c r="C314" s="1" t="n">
        <v>45989</v>
      </c>
      <c r="D314" t="inlineStr">
        <is>
          <t>VÄRMLANDS LÄN</t>
        </is>
      </c>
      <c r="E314" t="inlineStr">
        <is>
          <t>TORSBY</t>
        </is>
      </c>
      <c r="G314" t="n">
        <v>2.7</v>
      </c>
      <c r="H314" t="n">
        <v>0</v>
      </c>
      <c r="I314" t="n">
        <v>0</v>
      </c>
      <c r="J314" t="n">
        <v>0</v>
      </c>
      <c r="K314" t="n">
        <v>0</v>
      </c>
      <c r="L314" t="n">
        <v>0</v>
      </c>
      <c r="M314" t="n">
        <v>0</v>
      </c>
      <c r="N314" t="n">
        <v>0</v>
      </c>
      <c r="O314" t="n">
        <v>0</v>
      </c>
      <c r="P314" t="n">
        <v>0</v>
      </c>
      <c r="Q314" t="n">
        <v>0</v>
      </c>
      <c r="R314" s="2" t="inlineStr"/>
    </row>
    <row r="315" ht="15" customHeight="1">
      <c r="A315" t="inlineStr">
        <is>
          <t>A 65369-2020</t>
        </is>
      </c>
      <c r="B315" s="1" t="n">
        <v>44169</v>
      </c>
      <c r="C315" s="1" t="n">
        <v>45989</v>
      </c>
      <c r="D315" t="inlineStr">
        <is>
          <t>VÄRMLANDS LÄN</t>
        </is>
      </c>
      <c r="E315" t="inlineStr">
        <is>
          <t>TORSBY</t>
        </is>
      </c>
      <c r="G315" t="n">
        <v>32.5</v>
      </c>
      <c r="H315" t="n">
        <v>0</v>
      </c>
      <c r="I315" t="n">
        <v>0</v>
      </c>
      <c r="J315" t="n">
        <v>0</v>
      </c>
      <c r="K315" t="n">
        <v>0</v>
      </c>
      <c r="L315" t="n">
        <v>0</v>
      </c>
      <c r="M315" t="n">
        <v>0</v>
      </c>
      <c r="N315" t="n">
        <v>0</v>
      </c>
      <c r="O315" t="n">
        <v>0</v>
      </c>
      <c r="P315" t="n">
        <v>0</v>
      </c>
      <c r="Q315" t="n">
        <v>0</v>
      </c>
      <c r="R315" s="2" t="inlineStr"/>
    </row>
    <row r="316" ht="15" customHeight="1">
      <c r="A316" t="inlineStr">
        <is>
          <t>A 52900-2021</t>
        </is>
      </c>
      <c r="B316" s="1" t="n">
        <v>44467</v>
      </c>
      <c r="C316" s="1" t="n">
        <v>45989</v>
      </c>
      <c r="D316" t="inlineStr">
        <is>
          <t>VÄRMLANDS LÄN</t>
        </is>
      </c>
      <c r="E316" t="inlineStr">
        <is>
          <t>TORSBY</t>
        </is>
      </c>
      <c r="G316" t="n">
        <v>3.8</v>
      </c>
      <c r="H316" t="n">
        <v>0</v>
      </c>
      <c r="I316" t="n">
        <v>0</v>
      </c>
      <c r="J316" t="n">
        <v>0</v>
      </c>
      <c r="K316" t="n">
        <v>0</v>
      </c>
      <c r="L316" t="n">
        <v>0</v>
      </c>
      <c r="M316" t="n">
        <v>0</v>
      </c>
      <c r="N316" t="n">
        <v>0</v>
      </c>
      <c r="O316" t="n">
        <v>0</v>
      </c>
      <c r="P316" t="n">
        <v>0</v>
      </c>
      <c r="Q316" t="n">
        <v>0</v>
      </c>
      <c r="R316" s="2" t="inlineStr"/>
    </row>
    <row r="317" ht="15" customHeight="1">
      <c r="A317" t="inlineStr">
        <is>
          <t>A 29509-2022</t>
        </is>
      </c>
      <c r="B317" s="1" t="n">
        <v>44753</v>
      </c>
      <c r="C317" s="1" t="n">
        <v>45989</v>
      </c>
      <c r="D317" t="inlineStr">
        <is>
          <t>VÄRMLANDS LÄN</t>
        </is>
      </c>
      <c r="E317" t="inlineStr">
        <is>
          <t>TORSBY</t>
        </is>
      </c>
      <c r="G317" t="n">
        <v>2.5</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45989</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5050-2021</t>
        </is>
      </c>
      <c r="B319" s="1" t="n">
        <v>44228.5018287037</v>
      </c>
      <c r="C319" s="1" t="n">
        <v>45989</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64434-2020</t>
        </is>
      </c>
      <c r="B320" s="1" t="n">
        <v>44168</v>
      </c>
      <c r="C320" s="1" t="n">
        <v>45989</v>
      </c>
      <c r="D320" t="inlineStr">
        <is>
          <t>VÄRMLANDS LÄN</t>
        </is>
      </c>
      <c r="E320" t="inlineStr">
        <is>
          <t>TORSBY</t>
        </is>
      </c>
      <c r="G320" t="n">
        <v>7.7</v>
      </c>
      <c r="H320" t="n">
        <v>0</v>
      </c>
      <c r="I320" t="n">
        <v>0</v>
      </c>
      <c r="J320" t="n">
        <v>0</v>
      </c>
      <c r="K320" t="n">
        <v>0</v>
      </c>
      <c r="L320" t="n">
        <v>0</v>
      </c>
      <c r="M320" t="n">
        <v>0</v>
      </c>
      <c r="N320" t="n">
        <v>0</v>
      </c>
      <c r="O320" t="n">
        <v>0</v>
      </c>
      <c r="P320" t="n">
        <v>0</v>
      </c>
      <c r="Q320" t="n">
        <v>0</v>
      </c>
      <c r="R320" s="2" t="inlineStr"/>
    </row>
    <row r="321" ht="15" customHeight="1">
      <c r="A321" t="inlineStr">
        <is>
          <t>A 49983-2022</t>
        </is>
      </c>
      <c r="B321" s="1" t="n">
        <v>44865</v>
      </c>
      <c r="C321" s="1" t="n">
        <v>45989</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45989</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29720-2022</t>
        </is>
      </c>
      <c r="B323" s="1" t="n">
        <v>44755</v>
      </c>
      <c r="C323" s="1" t="n">
        <v>45989</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48712-2022</t>
        </is>
      </c>
      <c r="B324" s="1" t="n">
        <v>44859.49574074074</v>
      </c>
      <c r="C324" s="1" t="n">
        <v>45989</v>
      </c>
      <c r="D324" t="inlineStr">
        <is>
          <t>VÄRMLANDS LÄN</t>
        </is>
      </c>
      <c r="E324" t="inlineStr">
        <is>
          <t>TORSBY</t>
        </is>
      </c>
      <c r="F324" t="inlineStr">
        <is>
          <t>Bergvik skog väst AB</t>
        </is>
      </c>
      <c r="G324" t="n">
        <v>22.7</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45989</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35606-2022</t>
        </is>
      </c>
      <c r="B326" s="1" t="n">
        <v>44799</v>
      </c>
      <c r="C326" s="1" t="n">
        <v>45989</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45989</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45989</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45989</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33182-2021</t>
        </is>
      </c>
      <c r="B330" s="1" t="n">
        <v>44376</v>
      </c>
      <c r="C330" s="1" t="n">
        <v>45989</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29495-2021</t>
        </is>
      </c>
      <c r="B331" s="1" t="n">
        <v>44361</v>
      </c>
      <c r="C331" s="1" t="n">
        <v>45989</v>
      </c>
      <c r="D331" t="inlineStr">
        <is>
          <t>VÄRMLANDS LÄN</t>
        </is>
      </c>
      <c r="E331" t="inlineStr">
        <is>
          <t>TORSBY</t>
        </is>
      </c>
      <c r="F331" t="inlineStr">
        <is>
          <t>Övriga Aktiebolag</t>
        </is>
      </c>
      <c r="G331" t="n">
        <v>38.2</v>
      </c>
      <c r="H331" t="n">
        <v>0</v>
      </c>
      <c r="I331" t="n">
        <v>0</v>
      </c>
      <c r="J331" t="n">
        <v>0</v>
      </c>
      <c r="K331" t="n">
        <v>0</v>
      </c>
      <c r="L331" t="n">
        <v>0</v>
      </c>
      <c r="M331" t="n">
        <v>0</v>
      </c>
      <c r="N331" t="n">
        <v>0</v>
      </c>
      <c r="O331" t="n">
        <v>0</v>
      </c>
      <c r="P331" t="n">
        <v>0</v>
      </c>
      <c r="Q331" t="n">
        <v>0</v>
      </c>
      <c r="R331" s="2" t="inlineStr"/>
    </row>
    <row r="332" ht="15" customHeight="1">
      <c r="A332" t="inlineStr">
        <is>
          <t>A 43169-2021</t>
        </is>
      </c>
      <c r="B332" s="1" t="n">
        <v>44431</v>
      </c>
      <c r="C332" s="1" t="n">
        <v>45989</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29142-2022</t>
        </is>
      </c>
      <c r="B333" s="1" t="n">
        <v>44750</v>
      </c>
      <c r="C333" s="1" t="n">
        <v>45989</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44496.42145833333</v>
      </c>
      <c r="C334" s="1" t="n">
        <v>45989</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73442-2021</t>
        </is>
      </c>
      <c r="B335" s="1" t="n">
        <v>44551.55063657407</v>
      </c>
      <c r="C335" s="1" t="n">
        <v>45989</v>
      </c>
      <c r="D335" t="inlineStr">
        <is>
          <t>VÄRMLANDS LÄN</t>
        </is>
      </c>
      <c r="E335" t="inlineStr">
        <is>
          <t>TORSBY</t>
        </is>
      </c>
      <c r="F335" t="inlineStr">
        <is>
          <t>Bergvik skog väst AB</t>
        </is>
      </c>
      <c r="G335" t="n">
        <v>4.1</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45989</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23823-2022</t>
        </is>
      </c>
      <c r="B337" s="1" t="n">
        <v>44722</v>
      </c>
      <c r="C337" s="1" t="n">
        <v>45989</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36527-2022</t>
        </is>
      </c>
      <c r="B338" s="1" t="n">
        <v>44804</v>
      </c>
      <c r="C338" s="1" t="n">
        <v>45989</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45989</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40278-2021</t>
        </is>
      </c>
      <c r="B340" s="1" t="n">
        <v>44419</v>
      </c>
      <c r="C340" s="1" t="n">
        <v>45989</v>
      </c>
      <c r="D340" t="inlineStr">
        <is>
          <t>VÄRMLANDS LÄN</t>
        </is>
      </c>
      <c r="E340" t="inlineStr">
        <is>
          <t>TORSBY</t>
        </is>
      </c>
      <c r="G340" t="n">
        <v>0.7</v>
      </c>
      <c r="H340" t="n">
        <v>0</v>
      </c>
      <c r="I340" t="n">
        <v>0</v>
      </c>
      <c r="J340" t="n">
        <v>0</v>
      </c>
      <c r="K340" t="n">
        <v>0</v>
      </c>
      <c r="L340" t="n">
        <v>0</v>
      </c>
      <c r="M340" t="n">
        <v>0</v>
      </c>
      <c r="N340" t="n">
        <v>0</v>
      </c>
      <c r="O340" t="n">
        <v>0</v>
      </c>
      <c r="P340" t="n">
        <v>0</v>
      </c>
      <c r="Q340" t="n">
        <v>0</v>
      </c>
      <c r="R340" s="2" t="inlineStr"/>
    </row>
    <row r="341" ht="15" customHeight="1">
      <c r="A341" t="inlineStr">
        <is>
          <t>A 33937-2021</t>
        </is>
      </c>
      <c r="B341" s="1" t="n">
        <v>44378.79297453703</v>
      </c>
      <c r="C341" s="1" t="n">
        <v>45989</v>
      </c>
      <c r="D341" t="inlineStr">
        <is>
          <t>VÄRMLANDS LÄN</t>
        </is>
      </c>
      <c r="E341" t="inlineStr">
        <is>
          <t>TORSBY</t>
        </is>
      </c>
      <c r="G341" t="n">
        <v>3.1</v>
      </c>
      <c r="H341" t="n">
        <v>0</v>
      </c>
      <c r="I341" t="n">
        <v>0</v>
      </c>
      <c r="J341" t="n">
        <v>0</v>
      </c>
      <c r="K341" t="n">
        <v>0</v>
      </c>
      <c r="L341" t="n">
        <v>0</v>
      </c>
      <c r="M341" t="n">
        <v>0</v>
      </c>
      <c r="N341" t="n">
        <v>0</v>
      </c>
      <c r="O341" t="n">
        <v>0</v>
      </c>
      <c r="P341" t="n">
        <v>0</v>
      </c>
      <c r="Q341" t="n">
        <v>0</v>
      </c>
      <c r="R341" s="2" t="inlineStr"/>
    </row>
    <row r="342" ht="15" customHeight="1">
      <c r="A342" t="inlineStr">
        <is>
          <t>A 36587-2022</t>
        </is>
      </c>
      <c r="B342" s="1" t="n">
        <v>44804.62511574074</v>
      </c>
      <c r="C342" s="1" t="n">
        <v>45989</v>
      </c>
      <c r="D342" t="inlineStr">
        <is>
          <t>VÄRMLANDS LÄN</t>
        </is>
      </c>
      <c r="E342" t="inlineStr">
        <is>
          <t>TORSBY</t>
        </is>
      </c>
      <c r="G342" t="n">
        <v>4.4</v>
      </c>
      <c r="H342" t="n">
        <v>0</v>
      </c>
      <c r="I342" t="n">
        <v>0</v>
      </c>
      <c r="J342" t="n">
        <v>0</v>
      </c>
      <c r="K342" t="n">
        <v>0</v>
      </c>
      <c r="L342" t="n">
        <v>0</v>
      </c>
      <c r="M342" t="n">
        <v>0</v>
      </c>
      <c r="N342" t="n">
        <v>0</v>
      </c>
      <c r="O342" t="n">
        <v>0</v>
      </c>
      <c r="P342" t="n">
        <v>0</v>
      </c>
      <c r="Q342" t="n">
        <v>0</v>
      </c>
      <c r="R342" s="2" t="inlineStr"/>
    </row>
    <row r="343" ht="15" customHeight="1">
      <c r="A343" t="inlineStr">
        <is>
          <t>A 33958-2022</t>
        </is>
      </c>
      <c r="B343" s="1" t="n">
        <v>44790.67916666667</v>
      </c>
      <c r="C343" s="1" t="n">
        <v>45989</v>
      </c>
      <c r="D343" t="inlineStr">
        <is>
          <t>VÄRMLANDS LÄN</t>
        </is>
      </c>
      <c r="E343" t="inlineStr">
        <is>
          <t>TORSBY</t>
        </is>
      </c>
      <c r="G343" t="n">
        <v>13.2</v>
      </c>
      <c r="H343" t="n">
        <v>0</v>
      </c>
      <c r="I343" t="n">
        <v>0</v>
      </c>
      <c r="J343" t="n">
        <v>0</v>
      </c>
      <c r="K343" t="n">
        <v>0</v>
      </c>
      <c r="L343" t="n">
        <v>0</v>
      </c>
      <c r="M343" t="n">
        <v>0</v>
      </c>
      <c r="N343" t="n">
        <v>0</v>
      </c>
      <c r="O343" t="n">
        <v>0</v>
      </c>
      <c r="P343" t="n">
        <v>0</v>
      </c>
      <c r="Q343" t="n">
        <v>0</v>
      </c>
      <c r="R343" s="2" t="inlineStr"/>
    </row>
    <row r="344" ht="15" customHeight="1">
      <c r="A344" t="inlineStr">
        <is>
          <t>A 66103-2021</t>
        </is>
      </c>
      <c r="B344" s="1" t="n">
        <v>44517</v>
      </c>
      <c r="C344" s="1" t="n">
        <v>45989</v>
      </c>
      <c r="D344" t="inlineStr">
        <is>
          <t>VÄRMLANDS LÄN</t>
        </is>
      </c>
      <c r="E344" t="inlineStr">
        <is>
          <t>TORSBY</t>
        </is>
      </c>
      <c r="G344" t="n">
        <v>1.6</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45989</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8910-2021</t>
        </is>
      </c>
      <c r="B346" s="1" t="n">
        <v>44246</v>
      </c>
      <c r="C346" s="1" t="n">
        <v>45989</v>
      </c>
      <c r="D346" t="inlineStr">
        <is>
          <t>VÄRMLANDS LÄN</t>
        </is>
      </c>
      <c r="E346" t="inlineStr">
        <is>
          <t>TORSBY</t>
        </is>
      </c>
      <c r="G346" t="n">
        <v>3.7</v>
      </c>
      <c r="H346" t="n">
        <v>0</v>
      </c>
      <c r="I346" t="n">
        <v>0</v>
      </c>
      <c r="J346" t="n">
        <v>0</v>
      </c>
      <c r="K346" t="n">
        <v>0</v>
      </c>
      <c r="L346" t="n">
        <v>0</v>
      </c>
      <c r="M346" t="n">
        <v>0</v>
      </c>
      <c r="N346" t="n">
        <v>0</v>
      </c>
      <c r="O346" t="n">
        <v>0</v>
      </c>
      <c r="P346" t="n">
        <v>0</v>
      </c>
      <c r="Q346" t="n">
        <v>0</v>
      </c>
      <c r="R346" s="2" t="inlineStr"/>
    </row>
    <row r="347" ht="15" customHeight="1">
      <c r="A347" t="inlineStr">
        <is>
          <t>A 30384-2021</t>
        </is>
      </c>
      <c r="B347" s="1" t="n">
        <v>44364.4903587963</v>
      </c>
      <c r="C347" s="1" t="n">
        <v>45989</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19375-2021</t>
        </is>
      </c>
      <c r="B348" s="1" t="n">
        <v>44309.6765625</v>
      </c>
      <c r="C348" s="1" t="n">
        <v>45989</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45989</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32438-2022</t>
        </is>
      </c>
      <c r="B350" s="1" t="n">
        <v>44782</v>
      </c>
      <c r="C350" s="1" t="n">
        <v>45989</v>
      </c>
      <c r="D350" t="inlineStr">
        <is>
          <t>VÄRMLANDS LÄN</t>
        </is>
      </c>
      <c r="E350" t="inlineStr">
        <is>
          <t>TORSBY</t>
        </is>
      </c>
      <c r="G350" t="n">
        <v>1.5</v>
      </c>
      <c r="H350" t="n">
        <v>0</v>
      </c>
      <c r="I350" t="n">
        <v>0</v>
      </c>
      <c r="J350" t="n">
        <v>0</v>
      </c>
      <c r="K350" t="n">
        <v>0</v>
      </c>
      <c r="L350" t="n">
        <v>0</v>
      </c>
      <c r="M350" t="n">
        <v>0</v>
      </c>
      <c r="N350" t="n">
        <v>0</v>
      </c>
      <c r="O350" t="n">
        <v>0</v>
      </c>
      <c r="P350" t="n">
        <v>0</v>
      </c>
      <c r="Q350" t="n">
        <v>0</v>
      </c>
      <c r="R350" s="2" t="inlineStr"/>
    </row>
    <row r="351" ht="15" customHeight="1">
      <c r="A351" t="inlineStr">
        <is>
          <t>A 69281-2021</t>
        </is>
      </c>
      <c r="B351" s="1" t="n">
        <v>44526</v>
      </c>
      <c r="C351" s="1" t="n">
        <v>45989</v>
      </c>
      <c r="D351" t="inlineStr">
        <is>
          <t>VÄRMLANDS LÄN</t>
        </is>
      </c>
      <c r="E351" t="inlineStr">
        <is>
          <t>TORSBY</t>
        </is>
      </c>
      <c r="G351" t="n">
        <v>7.5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45989</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45989</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45989</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35221-2021</t>
        </is>
      </c>
      <c r="B355" s="1" t="n">
        <v>44384</v>
      </c>
      <c r="C355" s="1" t="n">
        <v>45989</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45989</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45989</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45989</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45989</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45989</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45989</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45989</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7543-2022</t>
        </is>
      </c>
      <c r="B363" s="1" t="n">
        <v>44607</v>
      </c>
      <c r="C363" s="1" t="n">
        <v>45989</v>
      </c>
      <c r="D363" t="inlineStr">
        <is>
          <t>VÄRMLANDS LÄN</t>
        </is>
      </c>
      <c r="E363" t="inlineStr">
        <is>
          <t>TORSBY</t>
        </is>
      </c>
      <c r="G363" t="n">
        <v>0.5</v>
      </c>
      <c r="H363" t="n">
        <v>0</v>
      </c>
      <c r="I363" t="n">
        <v>0</v>
      </c>
      <c r="J363" t="n">
        <v>0</v>
      </c>
      <c r="K363" t="n">
        <v>0</v>
      </c>
      <c r="L363" t="n">
        <v>0</v>
      </c>
      <c r="M363" t="n">
        <v>0</v>
      </c>
      <c r="N363" t="n">
        <v>0</v>
      </c>
      <c r="O363" t="n">
        <v>0</v>
      </c>
      <c r="P363" t="n">
        <v>0</v>
      </c>
      <c r="Q363" t="n">
        <v>0</v>
      </c>
      <c r="R363" s="2" t="inlineStr"/>
    </row>
    <row r="364" ht="15" customHeight="1">
      <c r="A364" t="inlineStr">
        <is>
          <t>A 67147-2021</t>
        </is>
      </c>
      <c r="B364" s="1" t="n">
        <v>44523</v>
      </c>
      <c r="C364" s="1" t="n">
        <v>45989</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13698-2022</t>
        </is>
      </c>
      <c r="B365" s="1" t="n">
        <v>44648</v>
      </c>
      <c r="C365" s="1" t="n">
        <v>45989</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45989</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71084-2021</t>
        </is>
      </c>
      <c r="B367" s="1" t="n">
        <v>44538.96543981481</v>
      </c>
      <c r="C367" s="1" t="n">
        <v>45989</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14145-2022</t>
        </is>
      </c>
      <c r="B368" s="1" t="n">
        <v>44651</v>
      </c>
      <c r="C368" s="1" t="n">
        <v>45989</v>
      </c>
      <c r="D368" t="inlineStr">
        <is>
          <t>VÄRMLANDS LÄN</t>
        </is>
      </c>
      <c r="E368" t="inlineStr">
        <is>
          <t>TORSBY</t>
        </is>
      </c>
      <c r="G368" t="n">
        <v>2</v>
      </c>
      <c r="H368" t="n">
        <v>0</v>
      </c>
      <c r="I368" t="n">
        <v>0</v>
      </c>
      <c r="J368" t="n">
        <v>0</v>
      </c>
      <c r="K368" t="n">
        <v>0</v>
      </c>
      <c r="L368" t="n">
        <v>0</v>
      </c>
      <c r="M368" t="n">
        <v>0</v>
      </c>
      <c r="N368" t="n">
        <v>0</v>
      </c>
      <c r="O368" t="n">
        <v>0</v>
      </c>
      <c r="P368" t="n">
        <v>0</v>
      </c>
      <c r="Q368" t="n">
        <v>0</v>
      </c>
      <c r="R368" s="2" t="inlineStr"/>
    </row>
    <row r="369" ht="15" customHeight="1">
      <c r="A369" t="inlineStr">
        <is>
          <t>A 47206-2022</t>
        </is>
      </c>
      <c r="B369" s="1" t="n">
        <v>44852.67550925926</v>
      </c>
      <c r="C369" s="1" t="n">
        <v>45989</v>
      </c>
      <c r="D369" t="inlineStr">
        <is>
          <t>VÄRMLANDS LÄN</t>
        </is>
      </c>
      <c r="E369" t="inlineStr">
        <is>
          <t>TORSBY</t>
        </is>
      </c>
      <c r="G369" t="n">
        <v>8.5</v>
      </c>
      <c r="H369" t="n">
        <v>0</v>
      </c>
      <c r="I369" t="n">
        <v>0</v>
      </c>
      <c r="J369" t="n">
        <v>0</v>
      </c>
      <c r="K369" t="n">
        <v>0</v>
      </c>
      <c r="L369" t="n">
        <v>0</v>
      </c>
      <c r="M369" t="n">
        <v>0</v>
      </c>
      <c r="N369" t="n">
        <v>0</v>
      </c>
      <c r="O369" t="n">
        <v>0</v>
      </c>
      <c r="P369" t="n">
        <v>0</v>
      </c>
      <c r="Q369" t="n">
        <v>0</v>
      </c>
      <c r="R369" s="2" t="inlineStr"/>
    </row>
    <row r="370" ht="15" customHeight="1">
      <c r="A370" t="inlineStr">
        <is>
          <t>A 4960-2022</t>
        </is>
      </c>
      <c r="B370" s="1" t="n">
        <v>44593</v>
      </c>
      <c r="C370" s="1" t="n">
        <v>45989</v>
      </c>
      <c r="D370" t="inlineStr">
        <is>
          <t>VÄRMLANDS LÄN</t>
        </is>
      </c>
      <c r="E370" t="inlineStr">
        <is>
          <t>TORSBY</t>
        </is>
      </c>
      <c r="G370" t="n">
        <v>4.8</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45989</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45989</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45989</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45989</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34581-2022</t>
        </is>
      </c>
      <c r="B375" s="1" t="n">
        <v>44792</v>
      </c>
      <c r="C375" s="1" t="n">
        <v>45989</v>
      </c>
      <c r="D375" t="inlineStr">
        <is>
          <t>VÄRMLANDS LÄN</t>
        </is>
      </c>
      <c r="E375" t="inlineStr">
        <is>
          <t>TORSBY</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46795-2021</t>
        </is>
      </c>
      <c r="B376" s="1" t="n">
        <v>44446</v>
      </c>
      <c r="C376" s="1" t="n">
        <v>45989</v>
      </c>
      <c r="D376" t="inlineStr">
        <is>
          <t>VÄRMLANDS LÄN</t>
        </is>
      </c>
      <c r="E376" t="inlineStr">
        <is>
          <t>TORSBY</t>
        </is>
      </c>
      <c r="G376" t="n">
        <v>6</v>
      </c>
      <c r="H376" t="n">
        <v>0</v>
      </c>
      <c r="I376" t="n">
        <v>0</v>
      </c>
      <c r="J376" t="n">
        <v>0</v>
      </c>
      <c r="K376" t="n">
        <v>0</v>
      </c>
      <c r="L376" t="n">
        <v>0</v>
      </c>
      <c r="M376" t="n">
        <v>0</v>
      </c>
      <c r="N376" t="n">
        <v>0</v>
      </c>
      <c r="O376" t="n">
        <v>0</v>
      </c>
      <c r="P376" t="n">
        <v>0</v>
      </c>
      <c r="Q376" t="n">
        <v>0</v>
      </c>
      <c r="R376" s="2" t="inlineStr"/>
    </row>
    <row r="377" ht="15" customHeight="1">
      <c r="A377" t="inlineStr">
        <is>
          <t>A 23735-2022</t>
        </is>
      </c>
      <c r="B377" s="1" t="n">
        <v>44722.35103009259</v>
      </c>
      <c r="C377" s="1" t="n">
        <v>45989</v>
      </c>
      <c r="D377" t="inlineStr">
        <is>
          <t>VÄRMLANDS LÄN</t>
        </is>
      </c>
      <c r="E377" t="inlineStr">
        <is>
          <t>TORSBY</t>
        </is>
      </c>
      <c r="G377" t="n">
        <v>1.9</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45989</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29457-2021</t>
        </is>
      </c>
      <c r="B379" s="1" t="n">
        <v>44361</v>
      </c>
      <c r="C379" s="1" t="n">
        <v>45989</v>
      </c>
      <c r="D379" t="inlineStr">
        <is>
          <t>VÄRMLANDS LÄN</t>
        </is>
      </c>
      <c r="E379" t="inlineStr">
        <is>
          <t>TORSBY</t>
        </is>
      </c>
      <c r="G379" t="n">
        <v>7.6</v>
      </c>
      <c r="H379" t="n">
        <v>0</v>
      </c>
      <c r="I379" t="n">
        <v>0</v>
      </c>
      <c r="J379" t="n">
        <v>0</v>
      </c>
      <c r="K379" t="n">
        <v>0</v>
      </c>
      <c r="L379" t="n">
        <v>0</v>
      </c>
      <c r="M379" t="n">
        <v>0</v>
      </c>
      <c r="N379" t="n">
        <v>0</v>
      </c>
      <c r="O379" t="n">
        <v>0</v>
      </c>
      <c r="P379" t="n">
        <v>0</v>
      </c>
      <c r="Q379" t="n">
        <v>0</v>
      </c>
      <c r="R379" s="2" t="inlineStr"/>
    </row>
    <row r="380" ht="15" customHeight="1">
      <c r="A380" t="inlineStr">
        <is>
          <t>A 9775-2021</t>
        </is>
      </c>
      <c r="B380" s="1" t="n">
        <v>44252</v>
      </c>
      <c r="C380" s="1" t="n">
        <v>45989</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41808-2021</t>
        </is>
      </c>
      <c r="B381" s="1" t="n">
        <v>44425</v>
      </c>
      <c r="C381" s="1" t="n">
        <v>45989</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36589-2021</t>
        </is>
      </c>
      <c r="B382" s="1" t="n">
        <v>44391</v>
      </c>
      <c r="C382" s="1" t="n">
        <v>45989</v>
      </c>
      <c r="D382" t="inlineStr">
        <is>
          <t>VÄRMLANDS LÄN</t>
        </is>
      </c>
      <c r="E382" t="inlineStr">
        <is>
          <t>TORSBY</t>
        </is>
      </c>
      <c r="G382" t="n">
        <v>3.9</v>
      </c>
      <c r="H382" t="n">
        <v>0</v>
      </c>
      <c r="I382" t="n">
        <v>0</v>
      </c>
      <c r="J382" t="n">
        <v>0</v>
      </c>
      <c r="K382" t="n">
        <v>0</v>
      </c>
      <c r="L382" t="n">
        <v>0</v>
      </c>
      <c r="M382" t="n">
        <v>0</v>
      </c>
      <c r="N382" t="n">
        <v>0</v>
      </c>
      <c r="O382" t="n">
        <v>0</v>
      </c>
      <c r="P382" t="n">
        <v>0</v>
      </c>
      <c r="Q382" t="n">
        <v>0</v>
      </c>
      <c r="R382" s="2" t="inlineStr"/>
    </row>
    <row r="383" ht="15" customHeight="1">
      <c r="A383" t="inlineStr">
        <is>
          <t>A 67913-2021</t>
        </is>
      </c>
      <c r="B383" s="1" t="n">
        <v>44525.60017361111</v>
      </c>
      <c r="C383" s="1" t="n">
        <v>45989</v>
      </c>
      <c r="D383" t="inlineStr">
        <is>
          <t>VÄRMLANDS LÄN</t>
        </is>
      </c>
      <c r="E383" t="inlineStr">
        <is>
          <t>TORSBY</t>
        </is>
      </c>
      <c r="F383" t="inlineStr">
        <is>
          <t>Bergvik skog väst AB</t>
        </is>
      </c>
      <c r="G383" t="n">
        <v>8</v>
      </c>
      <c r="H383" t="n">
        <v>0</v>
      </c>
      <c r="I383" t="n">
        <v>0</v>
      </c>
      <c r="J383" t="n">
        <v>0</v>
      </c>
      <c r="K383" t="n">
        <v>0</v>
      </c>
      <c r="L383" t="n">
        <v>0</v>
      </c>
      <c r="M383" t="n">
        <v>0</v>
      </c>
      <c r="N383" t="n">
        <v>0</v>
      </c>
      <c r="O383" t="n">
        <v>0</v>
      </c>
      <c r="P383" t="n">
        <v>0</v>
      </c>
      <c r="Q383" t="n">
        <v>0</v>
      </c>
      <c r="R383" s="2" t="inlineStr"/>
    </row>
    <row r="384" ht="15" customHeight="1">
      <c r="A384" t="inlineStr">
        <is>
          <t>A 39217-2022</t>
        </is>
      </c>
      <c r="B384" s="1" t="n">
        <v>44817.57174768519</v>
      </c>
      <c r="C384" s="1" t="n">
        <v>45989</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39221-2022</t>
        </is>
      </c>
      <c r="B385" s="1" t="n">
        <v>44817.57484953704</v>
      </c>
      <c r="C385" s="1" t="n">
        <v>45989</v>
      </c>
      <c r="D385" t="inlineStr">
        <is>
          <t>VÄRMLANDS LÄN</t>
        </is>
      </c>
      <c r="E385" t="inlineStr">
        <is>
          <t>TORSBY</t>
        </is>
      </c>
      <c r="G385" t="n">
        <v>1.6</v>
      </c>
      <c r="H385" t="n">
        <v>0</v>
      </c>
      <c r="I385" t="n">
        <v>0</v>
      </c>
      <c r="J385" t="n">
        <v>0</v>
      </c>
      <c r="K385" t="n">
        <v>0</v>
      </c>
      <c r="L385" t="n">
        <v>0</v>
      </c>
      <c r="M385" t="n">
        <v>0</v>
      </c>
      <c r="N385" t="n">
        <v>0</v>
      </c>
      <c r="O385" t="n">
        <v>0</v>
      </c>
      <c r="P385" t="n">
        <v>0</v>
      </c>
      <c r="Q385" t="n">
        <v>0</v>
      </c>
      <c r="R385" s="2" t="inlineStr"/>
    </row>
    <row r="386" ht="15" customHeight="1">
      <c r="A386" t="inlineStr">
        <is>
          <t>A 63251-2021</t>
        </is>
      </c>
      <c r="B386" s="1" t="n">
        <v>44508.37935185185</v>
      </c>
      <c r="C386" s="1" t="n">
        <v>45989</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45989</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45989</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39781-2022</t>
        </is>
      </c>
      <c r="B389" s="1" t="n">
        <v>44819</v>
      </c>
      <c r="C389" s="1" t="n">
        <v>45989</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9942-2025</t>
        </is>
      </c>
      <c r="B390" s="1" t="n">
        <v>45719</v>
      </c>
      <c r="C390" s="1" t="n">
        <v>45989</v>
      </c>
      <c r="D390" t="inlineStr">
        <is>
          <t>VÄRMLANDS LÄN</t>
        </is>
      </c>
      <c r="E390" t="inlineStr">
        <is>
          <t>TORSBY</t>
        </is>
      </c>
      <c r="G390" t="n">
        <v>2.6</v>
      </c>
      <c r="H390" t="n">
        <v>0</v>
      </c>
      <c r="I390" t="n">
        <v>0</v>
      </c>
      <c r="J390" t="n">
        <v>0</v>
      </c>
      <c r="K390" t="n">
        <v>0</v>
      </c>
      <c r="L390" t="n">
        <v>0</v>
      </c>
      <c r="M390" t="n">
        <v>0</v>
      </c>
      <c r="N390" t="n">
        <v>0</v>
      </c>
      <c r="O390" t="n">
        <v>0</v>
      </c>
      <c r="P390" t="n">
        <v>0</v>
      </c>
      <c r="Q390" t="n">
        <v>0</v>
      </c>
      <c r="R390" s="2" t="inlineStr"/>
    </row>
    <row r="391" ht="15" customHeight="1">
      <c r="A391" t="inlineStr">
        <is>
          <t>A 34434-2022</t>
        </is>
      </c>
      <c r="B391" s="1" t="n">
        <v>44792</v>
      </c>
      <c r="C391" s="1" t="n">
        <v>45989</v>
      </c>
      <c r="D391" t="inlineStr">
        <is>
          <t>VÄRMLANDS LÄN</t>
        </is>
      </c>
      <c r="E391" t="inlineStr">
        <is>
          <t>TORSBY</t>
        </is>
      </c>
      <c r="G391" t="n">
        <v>4.6</v>
      </c>
      <c r="H391" t="n">
        <v>0</v>
      </c>
      <c r="I391" t="n">
        <v>0</v>
      </c>
      <c r="J391" t="n">
        <v>0</v>
      </c>
      <c r="K391" t="n">
        <v>0</v>
      </c>
      <c r="L391" t="n">
        <v>0</v>
      </c>
      <c r="M391" t="n">
        <v>0</v>
      </c>
      <c r="N391" t="n">
        <v>0</v>
      </c>
      <c r="O391" t="n">
        <v>0</v>
      </c>
      <c r="P391" t="n">
        <v>0</v>
      </c>
      <c r="Q391" t="n">
        <v>0</v>
      </c>
      <c r="R391" s="2" t="inlineStr"/>
    </row>
    <row r="392" ht="15" customHeight="1">
      <c r="A392" t="inlineStr">
        <is>
          <t>A 11143-2024</t>
        </is>
      </c>
      <c r="B392" s="1" t="n">
        <v>45371</v>
      </c>
      <c r="C392" s="1" t="n">
        <v>45989</v>
      </c>
      <c r="D392" t="inlineStr">
        <is>
          <t>VÄRMLANDS LÄN</t>
        </is>
      </c>
      <c r="E392" t="inlineStr">
        <is>
          <t>TORSBY</t>
        </is>
      </c>
      <c r="G392" t="n">
        <v>2</v>
      </c>
      <c r="H392" t="n">
        <v>0</v>
      </c>
      <c r="I392" t="n">
        <v>0</v>
      </c>
      <c r="J392" t="n">
        <v>0</v>
      </c>
      <c r="K392" t="n">
        <v>0</v>
      </c>
      <c r="L392" t="n">
        <v>0</v>
      </c>
      <c r="M392" t="n">
        <v>0</v>
      </c>
      <c r="N392" t="n">
        <v>0</v>
      </c>
      <c r="O392" t="n">
        <v>0</v>
      </c>
      <c r="P392" t="n">
        <v>0</v>
      </c>
      <c r="Q392" t="n">
        <v>0</v>
      </c>
      <c r="R392" s="2" t="inlineStr"/>
    </row>
    <row r="393" ht="15" customHeight="1">
      <c r="A393" t="inlineStr">
        <is>
          <t>A 8428-2025</t>
        </is>
      </c>
      <c r="B393" s="1" t="n">
        <v>45709.41995370371</v>
      </c>
      <c r="C393" s="1" t="n">
        <v>45989</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43536-2023</t>
        </is>
      </c>
      <c r="B394" s="1" t="n">
        <v>45181</v>
      </c>
      <c r="C394" s="1" t="n">
        <v>45989</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41065-2022</t>
        </is>
      </c>
      <c r="B395" s="1" t="n">
        <v>44825.59258101852</v>
      </c>
      <c r="C395" s="1" t="n">
        <v>45989</v>
      </c>
      <c r="D395" t="inlineStr">
        <is>
          <t>VÄRMLANDS LÄN</t>
        </is>
      </c>
      <c r="E395" t="inlineStr">
        <is>
          <t>TORSBY</t>
        </is>
      </c>
      <c r="F395" t="inlineStr">
        <is>
          <t>Kommuner</t>
        </is>
      </c>
      <c r="G395" t="n">
        <v>1.8</v>
      </c>
      <c r="H395" t="n">
        <v>0</v>
      </c>
      <c r="I395" t="n">
        <v>0</v>
      </c>
      <c r="J395" t="n">
        <v>0</v>
      </c>
      <c r="K395" t="n">
        <v>0</v>
      </c>
      <c r="L395" t="n">
        <v>0</v>
      </c>
      <c r="M395" t="n">
        <v>0</v>
      </c>
      <c r="N395" t="n">
        <v>0</v>
      </c>
      <c r="O395" t="n">
        <v>0</v>
      </c>
      <c r="P395" t="n">
        <v>0</v>
      </c>
      <c r="Q395" t="n">
        <v>0</v>
      </c>
      <c r="R395" s="2" t="inlineStr"/>
    </row>
    <row r="396" ht="15" customHeight="1">
      <c r="A396" t="inlineStr">
        <is>
          <t>A 63158-2023</t>
        </is>
      </c>
      <c r="B396" s="1" t="n">
        <v>45273.51715277778</v>
      </c>
      <c r="C396" s="1" t="n">
        <v>45989</v>
      </c>
      <c r="D396" t="inlineStr">
        <is>
          <t>VÄRMLANDS LÄN</t>
        </is>
      </c>
      <c r="E396" t="inlineStr">
        <is>
          <t>TORSBY</t>
        </is>
      </c>
      <c r="G396" t="n">
        <v>0.9</v>
      </c>
      <c r="H396" t="n">
        <v>0</v>
      </c>
      <c r="I396" t="n">
        <v>0</v>
      </c>
      <c r="J396" t="n">
        <v>0</v>
      </c>
      <c r="K396" t="n">
        <v>0</v>
      </c>
      <c r="L396" t="n">
        <v>0</v>
      </c>
      <c r="M396" t="n">
        <v>0</v>
      </c>
      <c r="N396" t="n">
        <v>0</v>
      </c>
      <c r="O396" t="n">
        <v>0</v>
      </c>
      <c r="P396" t="n">
        <v>0</v>
      </c>
      <c r="Q396" t="n">
        <v>0</v>
      </c>
      <c r="R396" s="2" t="inlineStr"/>
    </row>
    <row r="397" ht="15" customHeight="1">
      <c r="A397" t="inlineStr">
        <is>
          <t>A 62507-2023</t>
        </is>
      </c>
      <c r="B397" s="1" t="n">
        <v>45267</v>
      </c>
      <c r="C397" s="1" t="n">
        <v>45989</v>
      </c>
      <c r="D397" t="inlineStr">
        <is>
          <t>VÄRMLANDS LÄN</t>
        </is>
      </c>
      <c r="E397" t="inlineStr">
        <is>
          <t>TORSBY</t>
        </is>
      </c>
      <c r="G397" t="n">
        <v>3.3</v>
      </c>
      <c r="H397" t="n">
        <v>0</v>
      </c>
      <c r="I397" t="n">
        <v>0</v>
      </c>
      <c r="J397" t="n">
        <v>0</v>
      </c>
      <c r="K397" t="n">
        <v>0</v>
      </c>
      <c r="L397" t="n">
        <v>0</v>
      </c>
      <c r="M397" t="n">
        <v>0</v>
      </c>
      <c r="N397" t="n">
        <v>0</v>
      </c>
      <c r="O397" t="n">
        <v>0</v>
      </c>
      <c r="P397" t="n">
        <v>0</v>
      </c>
      <c r="Q397" t="n">
        <v>0</v>
      </c>
      <c r="R397" s="2" t="inlineStr"/>
    </row>
    <row r="398" ht="15" customHeight="1">
      <c r="A398" t="inlineStr">
        <is>
          <t>A 54204-2023</t>
        </is>
      </c>
      <c r="B398" s="1" t="n">
        <v>45232.56141203704</v>
      </c>
      <c r="C398" s="1" t="n">
        <v>45989</v>
      </c>
      <c r="D398" t="inlineStr">
        <is>
          <t>VÄRMLANDS LÄN</t>
        </is>
      </c>
      <c r="E398" t="inlineStr">
        <is>
          <t>TORSBY</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25579-2023</t>
        </is>
      </c>
      <c r="B399" s="1" t="n">
        <v>45089.62266203704</v>
      </c>
      <c r="C399" s="1" t="n">
        <v>45989</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39770-2024</t>
        </is>
      </c>
      <c r="B400" s="1" t="n">
        <v>45552</v>
      </c>
      <c r="C400" s="1" t="n">
        <v>45989</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62250-2023</t>
        </is>
      </c>
      <c r="B401" s="1" t="n">
        <v>45266</v>
      </c>
      <c r="C401" s="1" t="n">
        <v>45989</v>
      </c>
      <c r="D401" t="inlineStr">
        <is>
          <t>VÄRMLANDS LÄN</t>
        </is>
      </c>
      <c r="E401" t="inlineStr">
        <is>
          <t>TORSBY</t>
        </is>
      </c>
      <c r="G401" t="n">
        <v>4.7</v>
      </c>
      <c r="H401" t="n">
        <v>0</v>
      </c>
      <c r="I401" t="n">
        <v>0</v>
      </c>
      <c r="J401" t="n">
        <v>0</v>
      </c>
      <c r="K401" t="n">
        <v>0</v>
      </c>
      <c r="L401" t="n">
        <v>0</v>
      </c>
      <c r="M401" t="n">
        <v>0</v>
      </c>
      <c r="N401" t="n">
        <v>0</v>
      </c>
      <c r="O401" t="n">
        <v>0</v>
      </c>
      <c r="P401" t="n">
        <v>0</v>
      </c>
      <c r="Q401" t="n">
        <v>0</v>
      </c>
      <c r="R401" s="2" t="inlineStr"/>
    </row>
    <row r="402" ht="15" customHeight="1">
      <c r="A402" t="inlineStr">
        <is>
          <t>A 20298-2023</t>
        </is>
      </c>
      <c r="B402" s="1" t="n">
        <v>45056</v>
      </c>
      <c r="C402" s="1" t="n">
        <v>45989</v>
      </c>
      <c r="D402" t="inlineStr">
        <is>
          <t>VÄRMLANDS LÄN</t>
        </is>
      </c>
      <c r="E402" t="inlineStr">
        <is>
          <t>TORSBY</t>
        </is>
      </c>
      <c r="F402" t="inlineStr">
        <is>
          <t>Kyrkan</t>
        </is>
      </c>
      <c r="G402" t="n">
        <v>2</v>
      </c>
      <c r="H402" t="n">
        <v>0</v>
      </c>
      <c r="I402" t="n">
        <v>0</v>
      </c>
      <c r="J402" t="n">
        <v>0</v>
      </c>
      <c r="K402" t="n">
        <v>0</v>
      </c>
      <c r="L402" t="n">
        <v>0</v>
      </c>
      <c r="M402" t="n">
        <v>0</v>
      </c>
      <c r="N402" t="n">
        <v>0</v>
      </c>
      <c r="O402" t="n">
        <v>0</v>
      </c>
      <c r="P402" t="n">
        <v>0</v>
      </c>
      <c r="Q402" t="n">
        <v>0</v>
      </c>
      <c r="R402" s="2" t="inlineStr"/>
    </row>
    <row r="403" ht="15" customHeight="1">
      <c r="A403" t="inlineStr">
        <is>
          <t>A 32340-2024</t>
        </is>
      </c>
      <c r="B403" s="1" t="n">
        <v>45512.50826388889</v>
      </c>
      <c r="C403" s="1" t="n">
        <v>45989</v>
      </c>
      <c r="D403" t="inlineStr">
        <is>
          <t>VÄRMLANDS LÄN</t>
        </is>
      </c>
      <c r="E403" t="inlineStr">
        <is>
          <t>TORSBY</t>
        </is>
      </c>
      <c r="G403" t="n">
        <v>9.9</v>
      </c>
      <c r="H403" t="n">
        <v>0</v>
      </c>
      <c r="I403" t="n">
        <v>0</v>
      </c>
      <c r="J403" t="n">
        <v>0</v>
      </c>
      <c r="K403" t="n">
        <v>0</v>
      </c>
      <c r="L403" t="n">
        <v>0</v>
      </c>
      <c r="M403" t="n">
        <v>0</v>
      </c>
      <c r="N403" t="n">
        <v>0</v>
      </c>
      <c r="O403" t="n">
        <v>0</v>
      </c>
      <c r="P403" t="n">
        <v>0</v>
      </c>
      <c r="Q403" t="n">
        <v>0</v>
      </c>
      <c r="R403" s="2" t="inlineStr"/>
    </row>
    <row r="404" ht="15" customHeight="1">
      <c r="A404" t="inlineStr">
        <is>
          <t>A 27292-2024</t>
        </is>
      </c>
      <c r="B404" s="1" t="n">
        <v>45471.93378472222</v>
      </c>
      <c r="C404" s="1" t="n">
        <v>45989</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46195-2023</t>
        </is>
      </c>
      <c r="B405" s="1" t="n">
        <v>45196</v>
      </c>
      <c r="C405" s="1" t="n">
        <v>45989</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48106-2023</t>
        </is>
      </c>
      <c r="B406" s="1" t="n">
        <v>45205.3434837963</v>
      </c>
      <c r="C406" s="1" t="n">
        <v>45989</v>
      </c>
      <c r="D406" t="inlineStr">
        <is>
          <t>VÄRMLANDS LÄN</t>
        </is>
      </c>
      <c r="E406" t="inlineStr">
        <is>
          <t>TORSBY</t>
        </is>
      </c>
      <c r="G406" t="n">
        <v>3.9</v>
      </c>
      <c r="H406" t="n">
        <v>0</v>
      </c>
      <c r="I406" t="n">
        <v>0</v>
      </c>
      <c r="J406" t="n">
        <v>0</v>
      </c>
      <c r="K406" t="n">
        <v>0</v>
      </c>
      <c r="L406" t="n">
        <v>0</v>
      </c>
      <c r="M406" t="n">
        <v>0</v>
      </c>
      <c r="N406" t="n">
        <v>0</v>
      </c>
      <c r="O406" t="n">
        <v>0</v>
      </c>
      <c r="P406" t="n">
        <v>0</v>
      </c>
      <c r="Q406" t="n">
        <v>0</v>
      </c>
      <c r="R406" s="2" t="inlineStr"/>
    </row>
    <row r="407" ht="15" customHeight="1">
      <c r="A407" t="inlineStr">
        <is>
          <t>A 54162-2023</t>
        </is>
      </c>
      <c r="B407" s="1" t="n">
        <v>45232.47539351852</v>
      </c>
      <c r="C407" s="1" t="n">
        <v>45989</v>
      </c>
      <c r="D407" t="inlineStr">
        <is>
          <t>VÄRMLANDS LÄN</t>
        </is>
      </c>
      <c r="E407" t="inlineStr">
        <is>
          <t>TORSBY</t>
        </is>
      </c>
      <c r="F407" t="inlineStr">
        <is>
          <t>Bergvik skog väst AB</t>
        </is>
      </c>
      <c r="G407" t="n">
        <v>8.4</v>
      </c>
      <c r="H407" t="n">
        <v>0</v>
      </c>
      <c r="I407" t="n">
        <v>0</v>
      </c>
      <c r="J407" t="n">
        <v>0</v>
      </c>
      <c r="K407" t="n">
        <v>0</v>
      </c>
      <c r="L407" t="n">
        <v>0</v>
      </c>
      <c r="M407" t="n">
        <v>0</v>
      </c>
      <c r="N407" t="n">
        <v>0</v>
      </c>
      <c r="O407" t="n">
        <v>0</v>
      </c>
      <c r="P407" t="n">
        <v>0</v>
      </c>
      <c r="Q407" t="n">
        <v>0</v>
      </c>
      <c r="R407" s="2" t="inlineStr"/>
    </row>
    <row r="408" ht="15" customHeight="1">
      <c r="A408" t="inlineStr">
        <is>
          <t>A 22030-2023</t>
        </is>
      </c>
      <c r="B408" s="1" t="n">
        <v>45069</v>
      </c>
      <c r="C408" s="1" t="n">
        <v>45989</v>
      </c>
      <c r="D408" t="inlineStr">
        <is>
          <t>VÄRMLANDS LÄN</t>
        </is>
      </c>
      <c r="E408" t="inlineStr">
        <is>
          <t>TORSBY</t>
        </is>
      </c>
      <c r="F408" t="inlineStr">
        <is>
          <t>Bergvik skog väst AB</t>
        </is>
      </c>
      <c r="G408" t="n">
        <v>3.5</v>
      </c>
      <c r="H408" t="n">
        <v>0</v>
      </c>
      <c r="I408" t="n">
        <v>0</v>
      </c>
      <c r="J408" t="n">
        <v>0</v>
      </c>
      <c r="K408" t="n">
        <v>0</v>
      </c>
      <c r="L408" t="n">
        <v>0</v>
      </c>
      <c r="M408" t="n">
        <v>0</v>
      </c>
      <c r="N408" t="n">
        <v>0</v>
      </c>
      <c r="O408" t="n">
        <v>0</v>
      </c>
      <c r="P408" t="n">
        <v>0</v>
      </c>
      <c r="Q408" t="n">
        <v>0</v>
      </c>
      <c r="R408" s="2" t="inlineStr"/>
    </row>
    <row r="409" ht="15" customHeight="1">
      <c r="A409" t="inlineStr">
        <is>
          <t>A 54191-2023</t>
        </is>
      </c>
      <c r="B409" s="1" t="n">
        <v>45232</v>
      </c>
      <c r="C409" s="1" t="n">
        <v>45989</v>
      </c>
      <c r="D409" t="inlineStr">
        <is>
          <t>VÄRMLANDS LÄN</t>
        </is>
      </c>
      <c r="E409" t="inlineStr">
        <is>
          <t>TORSBY</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16789-2024</t>
        </is>
      </c>
      <c r="B410" s="1" t="n">
        <v>45411</v>
      </c>
      <c r="C410" s="1" t="n">
        <v>45989</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37929-2022</t>
        </is>
      </c>
      <c r="B411" s="1" t="n">
        <v>44811.45628472222</v>
      </c>
      <c r="C411" s="1" t="n">
        <v>45989</v>
      </c>
      <c r="D411" t="inlineStr">
        <is>
          <t>VÄRMLANDS LÄN</t>
        </is>
      </c>
      <c r="E411" t="inlineStr">
        <is>
          <t>TORSBY</t>
        </is>
      </c>
      <c r="G411" t="n">
        <v>2.6</v>
      </c>
      <c r="H411" t="n">
        <v>0</v>
      </c>
      <c r="I411" t="n">
        <v>0</v>
      </c>
      <c r="J411" t="n">
        <v>0</v>
      </c>
      <c r="K411" t="n">
        <v>0</v>
      </c>
      <c r="L411" t="n">
        <v>0</v>
      </c>
      <c r="M411" t="n">
        <v>0</v>
      </c>
      <c r="N411" t="n">
        <v>0</v>
      </c>
      <c r="O411" t="n">
        <v>0</v>
      </c>
      <c r="P411" t="n">
        <v>0</v>
      </c>
      <c r="Q411" t="n">
        <v>0</v>
      </c>
      <c r="R411" s="2" t="inlineStr"/>
    </row>
    <row r="412" ht="15" customHeight="1">
      <c r="A412" t="inlineStr">
        <is>
          <t>A 11187-2024</t>
        </is>
      </c>
      <c r="B412" s="1" t="n">
        <v>45371</v>
      </c>
      <c r="C412" s="1" t="n">
        <v>45989</v>
      </c>
      <c r="D412" t="inlineStr">
        <is>
          <t>VÄRMLANDS LÄN</t>
        </is>
      </c>
      <c r="E412" t="inlineStr">
        <is>
          <t>TORSBY</t>
        </is>
      </c>
      <c r="G412" t="n">
        <v>8</v>
      </c>
      <c r="H412" t="n">
        <v>0</v>
      </c>
      <c r="I412" t="n">
        <v>0</v>
      </c>
      <c r="J412" t="n">
        <v>0</v>
      </c>
      <c r="K412" t="n">
        <v>0</v>
      </c>
      <c r="L412" t="n">
        <v>0</v>
      </c>
      <c r="M412" t="n">
        <v>0</v>
      </c>
      <c r="N412" t="n">
        <v>0</v>
      </c>
      <c r="O412" t="n">
        <v>0</v>
      </c>
      <c r="P412" t="n">
        <v>0</v>
      </c>
      <c r="Q412" t="n">
        <v>0</v>
      </c>
      <c r="R412" s="2" t="inlineStr"/>
    </row>
    <row r="413" ht="15" customHeight="1">
      <c r="A413" t="inlineStr">
        <is>
          <t>A 49814-2022</t>
        </is>
      </c>
      <c r="B413" s="1" t="n">
        <v>44859</v>
      </c>
      <c r="C413" s="1" t="n">
        <v>45989</v>
      </c>
      <c r="D413" t="inlineStr">
        <is>
          <t>VÄRMLANDS LÄN</t>
        </is>
      </c>
      <c r="E413" t="inlineStr">
        <is>
          <t>TORSBY</t>
        </is>
      </c>
      <c r="F413" t="inlineStr">
        <is>
          <t>Kyrkan</t>
        </is>
      </c>
      <c r="G413" t="n">
        <v>2.4</v>
      </c>
      <c r="H413" t="n">
        <v>0</v>
      </c>
      <c r="I413" t="n">
        <v>0</v>
      </c>
      <c r="J413" t="n">
        <v>0</v>
      </c>
      <c r="K413" t="n">
        <v>0</v>
      </c>
      <c r="L413" t="n">
        <v>0</v>
      </c>
      <c r="M413" t="n">
        <v>0</v>
      </c>
      <c r="N413" t="n">
        <v>0</v>
      </c>
      <c r="O413" t="n">
        <v>0</v>
      </c>
      <c r="P413" t="n">
        <v>0</v>
      </c>
      <c r="Q413" t="n">
        <v>0</v>
      </c>
      <c r="R413" s="2" t="inlineStr"/>
    </row>
    <row r="414" ht="15" customHeight="1">
      <c r="A414" t="inlineStr">
        <is>
          <t>A 18339-2024</t>
        </is>
      </c>
      <c r="B414" s="1" t="n">
        <v>45422.58119212963</v>
      </c>
      <c r="C414" s="1" t="n">
        <v>45989</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27446-2021</t>
        </is>
      </c>
      <c r="B415" s="1" t="n">
        <v>44351</v>
      </c>
      <c r="C415" s="1" t="n">
        <v>45989</v>
      </c>
      <c r="D415" t="inlineStr">
        <is>
          <t>VÄRMLANDS LÄN</t>
        </is>
      </c>
      <c r="E415" t="inlineStr">
        <is>
          <t>TORSBY</t>
        </is>
      </c>
      <c r="G415" t="n">
        <v>7.6</v>
      </c>
      <c r="H415" t="n">
        <v>0</v>
      </c>
      <c r="I415" t="n">
        <v>0</v>
      </c>
      <c r="J415" t="n">
        <v>0</v>
      </c>
      <c r="K415" t="n">
        <v>0</v>
      </c>
      <c r="L415" t="n">
        <v>0</v>
      </c>
      <c r="M415" t="n">
        <v>0</v>
      </c>
      <c r="N415" t="n">
        <v>0</v>
      </c>
      <c r="O415" t="n">
        <v>0</v>
      </c>
      <c r="P415" t="n">
        <v>0</v>
      </c>
      <c r="Q415" t="n">
        <v>0</v>
      </c>
      <c r="R415" s="2" t="inlineStr"/>
    </row>
    <row r="416" ht="15" customHeight="1">
      <c r="A416" t="inlineStr">
        <is>
          <t>A 7214-2025</t>
        </is>
      </c>
      <c r="B416" s="1" t="n">
        <v>45702</v>
      </c>
      <c r="C416" s="1" t="n">
        <v>45989</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53492-2022</t>
        </is>
      </c>
      <c r="B417" s="1" t="n">
        <v>44879.56734953704</v>
      </c>
      <c r="C417" s="1" t="n">
        <v>45989</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9902-2024</t>
        </is>
      </c>
      <c r="B418" s="1" t="n">
        <v>45363</v>
      </c>
      <c r="C418" s="1" t="n">
        <v>45989</v>
      </c>
      <c r="D418" t="inlineStr">
        <is>
          <t>VÄRMLANDS LÄN</t>
        </is>
      </c>
      <c r="E418" t="inlineStr">
        <is>
          <t>TORSBY</t>
        </is>
      </c>
      <c r="G418" t="n">
        <v>4.4</v>
      </c>
      <c r="H418" t="n">
        <v>0</v>
      </c>
      <c r="I418" t="n">
        <v>0</v>
      </c>
      <c r="J418" t="n">
        <v>0</v>
      </c>
      <c r="K418" t="n">
        <v>0</v>
      </c>
      <c r="L418" t="n">
        <v>0</v>
      </c>
      <c r="M418" t="n">
        <v>0</v>
      </c>
      <c r="N418" t="n">
        <v>0</v>
      </c>
      <c r="O418" t="n">
        <v>0</v>
      </c>
      <c r="P418" t="n">
        <v>0</v>
      </c>
      <c r="Q418" t="n">
        <v>0</v>
      </c>
      <c r="R418" s="2" t="inlineStr"/>
    </row>
    <row r="419" ht="15" customHeight="1">
      <c r="A419" t="inlineStr">
        <is>
          <t>A 11695-2021</t>
        </is>
      </c>
      <c r="B419" s="1" t="n">
        <v>44264.87736111111</v>
      </c>
      <c r="C419" s="1" t="n">
        <v>45989</v>
      </c>
      <c r="D419" t="inlineStr">
        <is>
          <t>VÄRMLANDS LÄN</t>
        </is>
      </c>
      <c r="E419" t="inlineStr">
        <is>
          <t>TORSBY</t>
        </is>
      </c>
      <c r="G419" t="n">
        <v>3</v>
      </c>
      <c r="H419" t="n">
        <v>0</v>
      </c>
      <c r="I419" t="n">
        <v>0</v>
      </c>
      <c r="J419" t="n">
        <v>0</v>
      </c>
      <c r="K419" t="n">
        <v>0</v>
      </c>
      <c r="L419" t="n">
        <v>0</v>
      </c>
      <c r="M419" t="n">
        <v>0</v>
      </c>
      <c r="N419" t="n">
        <v>0</v>
      </c>
      <c r="O419" t="n">
        <v>0</v>
      </c>
      <c r="P419" t="n">
        <v>0</v>
      </c>
      <c r="Q419" t="n">
        <v>0</v>
      </c>
      <c r="R419" s="2" t="inlineStr"/>
    </row>
    <row r="420" ht="15" customHeight="1">
      <c r="A420" t="inlineStr">
        <is>
          <t>A 17931-2024</t>
        </is>
      </c>
      <c r="B420" s="1" t="n">
        <v>45419</v>
      </c>
      <c r="C420" s="1" t="n">
        <v>45989</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15101-2024</t>
        </is>
      </c>
      <c r="B421" s="1" t="n">
        <v>45399.66148148148</v>
      </c>
      <c r="C421" s="1" t="n">
        <v>45989</v>
      </c>
      <c r="D421" t="inlineStr">
        <is>
          <t>VÄRMLANDS LÄN</t>
        </is>
      </c>
      <c r="E421" t="inlineStr">
        <is>
          <t>TORSBY</t>
        </is>
      </c>
      <c r="G421" t="n">
        <v>1.9</v>
      </c>
      <c r="H421" t="n">
        <v>0</v>
      </c>
      <c r="I421" t="n">
        <v>0</v>
      </c>
      <c r="J421" t="n">
        <v>0</v>
      </c>
      <c r="K421" t="n">
        <v>0</v>
      </c>
      <c r="L421" t="n">
        <v>0</v>
      </c>
      <c r="M421" t="n">
        <v>0</v>
      </c>
      <c r="N421" t="n">
        <v>0</v>
      </c>
      <c r="O421" t="n">
        <v>0</v>
      </c>
      <c r="P421" t="n">
        <v>0</v>
      </c>
      <c r="Q421" t="n">
        <v>0</v>
      </c>
      <c r="R421" s="2" t="inlineStr"/>
    </row>
    <row r="422" ht="15" customHeight="1">
      <c r="A422" t="inlineStr">
        <is>
          <t>A 16192-2025</t>
        </is>
      </c>
      <c r="B422" s="1" t="n">
        <v>45750.59760416667</v>
      </c>
      <c r="C422" s="1" t="n">
        <v>45989</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18330-2024</t>
        </is>
      </c>
      <c r="B423" s="1" t="n">
        <v>45422</v>
      </c>
      <c r="C423" s="1" t="n">
        <v>45989</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38497-2024</t>
        </is>
      </c>
      <c r="B424" s="1" t="n">
        <v>45546.51869212963</v>
      </c>
      <c r="C424" s="1" t="n">
        <v>45989</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24170-2023</t>
        </is>
      </c>
      <c r="B425" s="1" t="n">
        <v>45079</v>
      </c>
      <c r="C425" s="1" t="n">
        <v>45989</v>
      </c>
      <c r="D425" t="inlineStr">
        <is>
          <t>VÄRMLANDS LÄN</t>
        </is>
      </c>
      <c r="E425" t="inlineStr">
        <is>
          <t>TORSBY</t>
        </is>
      </c>
      <c r="F425" t="inlineStr">
        <is>
          <t>Bergvik skog väst AB</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7221-2024</t>
        </is>
      </c>
      <c r="B426" s="1" t="n">
        <v>45344.63927083334</v>
      </c>
      <c r="C426" s="1" t="n">
        <v>45989</v>
      </c>
      <c r="D426" t="inlineStr">
        <is>
          <t>VÄRMLANDS LÄN</t>
        </is>
      </c>
      <c r="E426" t="inlineStr">
        <is>
          <t>TORSBY</t>
        </is>
      </c>
      <c r="G426" t="n">
        <v>8.1</v>
      </c>
      <c r="H426" t="n">
        <v>0</v>
      </c>
      <c r="I426" t="n">
        <v>0</v>
      </c>
      <c r="J426" t="n">
        <v>0</v>
      </c>
      <c r="K426" t="n">
        <v>0</v>
      </c>
      <c r="L426" t="n">
        <v>0</v>
      </c>
      <c r="M426" t="n">
        <v>0</v>
      </c>
      <c r="N426" t="n">
        <v>0</v>
      </c>
      <c r="O426" t="n">
        <v>0</v>
      </c>
      <c r="P426" t="n">
        <v>0</v>
      </c>
      <c r="Q426" t="n">
        <v>0</v>
      </c>
      <c r="R426" s="2" t="inlineStr"/>
    </row>
    <row r="427" ht="15" customHeight="1">
      <c r="A427" t="inlineStr">
        <is>
          <t>A 51505-2021</t>
        </is>
      </c>
      <c r="B427" s="1" t="n">
        <v>44460</v>
      </c>
      <c r="C427" s="1" t="n">
        <v>45989</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50608-2023</t>
        </is>
      </c>
      <c r="B428" s="1" t="n">
        <v>45217</v>
      </c>
      <c r="C428" s="1" t="n">
        <v>45989</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12701-2024</t>
        </is>
      </c>
      <c r="B429" s="1" t="n">
        <v>45384</v>
      </c>
      <c r="C429" s="1" t="n">
        <v>45989</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27458-2023</t>
        </is>
      </c>
      <c r="B430" s="1" t="n">
        <v>45097</v>
      </c>
      <c r="C430" s="1" t="n">
        <v>45989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56902-2023</t>
        </is>
      </c>
      <c r="B431" s="1" t="n">
        <v>45244</v>
      </c>
      <c r="C431" s="1" t="n">
        <v>45989</v>
      </c>
      <c r="D431" t="inlineStr">
        <is>
          <t>VÄRMLANDS LÄN</t>
        </is>
      </c>
      <c r="E431" t="inlineStr">
        <is>
          <t>TORSBY</t>
        </is>
      </c>
      <c r="G431" t="n">
        <v>17.4</v>
      </c>
      <c r="H431" t="n">
        <v>0</v>
      </c>
      <c r="I431" t="n">
        <v>0</v>
      </c>
      <c r="J431" t="n">
        <v>0</v>
      </c>
      <c r="K431" t="n">
        <v>0</v>
      </c>
      <c r="L431" t="n">
        <v>0</v>
      </c>
      <c r="M431" t="n">
        <v>0</v>
      </c>
      <c r="N431" t="n">
        <v>0</v>
      </c>
      <c r="O431" t="n">
        <v>0</v>
      </c>
      <c r="P431" t="n">
        <v>0</v>
      </c>
      <c r="Q431" t="n">
        <v>0</v>
      </c>
      <c r="R431" s="2" t="inlineStr"/>
    </row>
    <row r="432" ht="15" customHeight="1">
      <c r="A432" t="inlineStr">
        <is>
          <t>A 26223-2021</t>
        </is>
      </c>
      <c r="B432" s="1" t="n">
        <v>44347</v>
      </c>
      <c r="C432" s="1" t="n">
        <v>45989</v>
      </c>
      <c r="D432" t="inlineStr">
        <is>
          <t>VÄRMLANDS LÄN</t>
        </is>
      </c>
      <c r="E432" t="inlineStr">
        <is>
          <t>TORSBY</t>
        </is>
      </c>
      <c r="G432" t="n">
        <v>1.4</v>
      </c>
      <c r="H432" t="n">
        <v>0</v>
      </c>
      <c r="I432" t="n">
        <v>0</v>
      </c>
      <c r="J432" t="n">
        <v>0</v>
      </c>
      <c r="K432" t="n">
        <v>0</v>
      </c>
      <c r="L432" t="n">
        <v>0</v>
      </c>
      <c r="M432" t="n">
        <v>0</v>
      </c>
      <c r="N432" t="n">
        <v>0</v>
      </c>
      <c r="O432" t="n">
        <v>0</v>
      </c>
      <c r="P432" t="n">
        <v>0</v>
      </c>
      <c r="Q432" t="n">
        <v>0</v>
      </c>
      <c r="R432" s="2" t="inlineStr"/>
    </row>
    <row r="433" ht="15" customHeight="1">
      <c r="A433" t="inlineStr">
        <is>
          <t>A 16003-2025</t>
        </is>
      </c>
      <c r="B433" s="1" t="n">
        <v>45749</v>
      </c>
      <c r="C433" s="1" t="n">
        <v>45989</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29042-2023</t>
        </is>
      </c>
      <c r="B434" s="1" t="n">
        <v>45104</v>
      </c>
      <c r="C434" s="1" t="n">
        <v>45989</v>
      </c>
      <c r="D434" t="inlineStr">
        <is>
          <t>VÄRMLANDS LÄN</t>
        </is>
      </c>
      <c r="E434" t="inlineStr">
        <is>
          <t>TORSBY</t>
        </is>
      </c>
      <c r="G434" t="n">
        <v>2.8</v>
      </c>
      <c r="H434" t="n">
        <v>0</v>
      </c>
      <c r="I434" t="n">
        <v>0</v>
      </c>
      <c r="J434" t="n">
        <v>0</v>
      </c>
      <c r="K434" t="n">
        <v>0</v>
      </c>
      <c r="L434" t="n">
        <v>0</v>
      </c>
      <c r="M434" t="n">
        <v>0</v>
      </c>
      <c r="N434" t="n">
        <v>0</v>
      </c>
      <c r="O434" t="n">
        <v>0</v>
      </c>
      <c r="P434" t="n">
        <v>0</v>
      </c>
      <c r="Q434" t="n">
        <v>0</v>
      </c>
      <c r="R434" s="2" t="inlineStr"/>
    </row>
    <row r="435" ht="15" customHeight="1">
      <c r="A435" t="inlineStr">
        <is>
          <t>A 27363-2024</t>
        </is>
      </c>
      <c r="B435" s="1" t="n">
        <v>45473</v>
      </c>
      <c r="C435" s="1" t="n">
        <v>45989</v>
      </c>
      <c r="D435" t="inlineStr">
        <is>
          <t>VÄRMLANDS LÄN</t>
        </is>
      </c>
      <c r="E435" t="inlineStr">
        <is>
          <t>TORSBY</t>
        </is>
      </c>
      <c r="G435" t="n">
        <v>2.9</v>
      </c>
      <c r="H435" t="n">
        <v>0</v>
      </c>
      <c r="I435" t="n">
        <v>0</v>
      </c>
      <c r="J435" t="n">
        <v>0</v>
      </c>
      <c r="K435" t="n">
        <v>0</v>
      </c>
      <c r="L435" t="n">
        <v>0</v>
      </c>
      <c r="M435" t="n">
        <v>0</v>
      </c>
      <c r="N435" t="n">
        <v>0</v>
      </c>
      <c r="O435" t="n">
        <v>0</v>
      </c>
      <c r="P435" t="n">
        <v>0</v>
      </c>
      <c r="Q435" t="n">
        <v>0</v>
      </c>
      <c r="R435" s="2" t="inlineStr"/>
    </row>
    <row r="436" ht="15" customHeight="1">
      <c r="A436" t="inlineStr">
        <is>
          <t>A 37752-2022</t>
        </is>
      </c>
      <c r="B436" s="1" t="n">
        <v>44810</v>
      </c>
      <c r="C436" s="1" t="n">
        <v>45989</v>
      </c>
      <c r="D436" t="inlineStr">
        <is>
          <t>VÄRMLANDS LÄN</t>
        </is>
      </c>
      <c r="E436" t="inlineStr">
        <is>
          <t>TORSBY</t>
        </is>
      </c>
      <c r="F436" t="inlineStr">
        <is>
          <t>Kyrkan</t>
        </is>
      </c>
      <c r="G436" t="n">
        <v>4.5</v>
      </c>
      <c r="H436" t="n">
        <v>0</v>
      </c>
      <c r="I436" t="n">
        <v>0</v>
      </c>
      <c r="J436" t="n">
        <v>0</v>
      </c>
      <c r="K436" t="n">
        <v>0</v>
      </c>
      <c r="L436" t="n">
        <v>0</v>
      </c>
      <c r="M436" t="n">
        <v>0</v>
      </c>
      <c r="N436" t="n">
        <v>0</v>
      </c>
      <c r="O436" t="n">
        <v>0</v>
      </c>
      <c r="P436" t="n">
        <v>0</v>
      </c>
      <c r="Q436" t="n">
        <v>0</v>
      </c>
      <c r="R436" s="2" t="inlineStr"/>
    </row>
    <row r="437" ht="15" customHeight="1">
      <c r="A437" t="inlineStr">
        <is>
          <t>A 57071-2022</t>
        </is>
      </c>
      <c r="B437" s="1" t="n">
        <v>44895.42334490741</v>
      </c>
      <c r="C437" s="1" t="n">
        <v>45989</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39260-2021</t>
        </is>
      </c>
      <c r="B438" s="1" t="n">
        <v>44413</v>
      </c>
      <c r="C438" s="1" t="n">
        <v>45989</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3269-2025</t>
        </is>
      </c>
      <c r="B439" s="1" t="n">
        <v>45679.58148148148</v>
      </c>
      <c r="C439" s="1" t="n">
        <v>45989</v>
      </c>
      <c r="D439" t="inlineStr">
        <is>
          <t>VÄRMLANDS LÄN</t>
        </is>
      </c>
      <c r="E439" t="inlineStr">
        <is>
          <t>TORSBY</t>
        </is>
      </c>
      <c r="G439" t="n">
        <v>6.9</v>
      </c>
      <c r="H439" t="n">
        <v>0</v>
      </c>
      <c r="I439" t="n">
        <v>0</v>
      </c>
      <c r="J439" t="n">
        <v>0</v>
      </c>
      <c r="K439" t="n">
        <v>0</v>
      </c>
      <c r="L439" t="n">
        <v>0</v>
      </c>
      <c r="M439" t="n">
        <v>0</v>
      </c>
      <c r="N439" t="n">
        <v>0</v>
      </c>
      <c r="O439" t="n">
        <v>0</v>
      </c>
      <c r="P439" t="n">
        <v>0</v>
      </c>
      <c r="Q439" t="n">
        <v>0</v>
      </c>
      <c r="R439" s="2" t="inlineStr"/>
    </row>
    <row r="440" ht="15" customHeight="1">
      <c r="A440" t="inlineStr">
        <is>
          <t>A 44710-2023</t>
        </is>
      </c>
      <c r="B440" s="1" t="n">
        <v>45190</v>
      </c>
      <c r="C440" s="1" t="n">
        <v>45989</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44879-2022</t>
        </is>
      </c>
      <c r="B441" s="1" t="n">
        <v>44839</v>
      </c>
      <c r="C441" s="1" t="n">
        <v>45989</v>
      </c>
      <c r="D441" t="inlineStr">
        <is>
          <t>VÄRMLANDS LÄN</t>
        </is>
      </c>
      <c r="E441" t="inlineStr">
        <is>
          <t>TORSBY</t>
        </is>
      </c>
      <c r="G441" t="n">
        <v>3.5</v>
      </c>
      <c r="H441" t="n">
        <v>0</v>
      </c>
      <c r="I441" t="n">
        <v>0</v>
      </c>
      <c r="J441" t="n">
        <v>0</v>
      </c>
      <c r="K441" t="n">
        <v>0</v>
      </c>
      <c r="L441" t="n">
        <v>0</v>
      </c>
      <c r="M441" t="n">
        <v>0</v>
      </c>
      <c r="N441" t="n">
        <v>0</v>
      </c>
      <c r="O441" t="n">
        <v>0</v>
      </c>
      <c r="P441" t="n">
        <v>0</v>
      </c>
      <c r="Q441" t="n">
        <v>0</v>
      </c>
      <c r="R441" s="2" t="inlineStr"/>
    </row>
    <row r="442" ht="15" customHeight="1">
      <c r="A442" t="inlineStr">
        <is>
          <t>A 59256-2023</t>
        </is>
      </c>
      <c r="B442" s="1" t="n">
        <v>45251</v>
      </c>
      <c r="C442" s="1" t="n">
        <v>45989</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39003-2021</t>
        </is>
      </c>
      <c r="B443" s="1" t="n">
        <v>44412</v>
      </c>
      <c r="C443" s="1" t="n">
        <v>45989</v>
      </c>
      <c r="D443" t="inlineStr">
        <is>
          <t>VÄRMLANDS LÄN</t>
        </is>
      </c>
      <c r="E443" t="inlineStr">
        <is>
          <t>TORSBY</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22565-2024</t>
        </is>
      </c>
      <c r="B444" s="1" t="n">
        <v>45447</v>
      </c>
      <c r="C444" s="1" t="n">
        <v>45989</v>
      </c>
      <c r="D444" t="inlineStr">
        <is>
          <t>VÄRMLANDS LÄN</t>
        </is>
      </c>
      <c r="E444" t="inlineStr">
        <is>
          <t>TORSBY</t>
        </is>
      </c>
      <c r="G444" t="n">
        <v>3</v>
      </c>
      <c r="H444" t="n">
        <v>0</v>
      </c>
      <c r="I444" t="n">
        <v>0</v>
      </c>
      <c r="J444" t="n">
        <v>0</v>
      </c>
      <c r="K444" t="n">
        <v>0</v>
      </c>
      <c r="L444" t="n">
        <v>0</v>
      </c>
      <c r="M444" t="n">
        <v>0</v>
      </c>
      <c r="N444" t="n">
        <v>0</v>
      </c>
      <c r="O444" t="n">
        <v>0</v>
      </c>
      <c r="P444" t="n">
        <v>0</v>
      </c>
      <c r="Q444" t="n">
        <v>0</v>
      </c>
      <c r="R444" s="2" t="inlineStr"/>
    </row>
    <row r="445" ht="15" customHeight="1">
      <c r="A445" t="inlineStr">
        <is>
          <t>A 36184-2024</t>
        </is>
      </c>
      <c r="B445" s="1" t="n">
        <v>45534.4178125</v>
      </c>
      <c r="C445" s="1" t="n">
        <v>45989</v>
      </c>
      <c r="D445" t="inlineStr">
        <is>
          <t>VÄRMLANDS LÄN</t>
        </is>
      </c>
      <c r="E445" t="inlineStr">
        <is>
          <t>TORSBY</t>
        </is>
      </c>
      <c r="G445" t="n">
        <v>2.2</v>
      </c>
      <c r="H445" t="n">
        <v>0</v>
      </c>
      <c r="I445" t="n">
        <v>0</v>
      </c>
      <c r="J445" t="n">
        <v>0</v>
      </c>
      <c r="K445" t="n">
        <v>0</v>
      </c>
      <c r="L445" t="n">
        <v>0</v>
      </c>
      <c r="M445" t="n">
        <v>0</v>
      </c>
      <c r="N445" t="n">
        <v>0</v>
      </c>
      <c r="O445" t="n">
        <v>0</v>
      </c>
      <c r="P445" t="n">
        <v>0</v>
      </c>
      <c r="Q445" t="n">
        <v>0</v>
      </c>
      <c r="R445" s="2" t="inlineStr"/>
    </row>
    <row r="446" ht="15" customHeight="1">
      <c r="A446" t="inlineStr">
        <is>
          <t>A 15175-2024</t>
        </is>
      </c>
      <c r="B446" s="1" t="n">
        <v>45400</v>
      </c>
      <c r="C446" s="1" t="n">
        <v>45989</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21308-2024</t>
        </is>
      </c>
      <c r="B447" s="1" t="n">
        <v>45440</v>
      </c>
      <c r="C447" s="1" t="n">
        <v>45989</v>
      </c>
      <c r="D447" t="inlineStr">
        <is>
          <t>VÄRMLANDS LÄN</t>
        </is>
      </c>
      <c r="E447" t="inlineStr">
        <is>
          <t>TORSBY</t>
        </is>
      </c>
      <c r="G447" t="n">
        <v>18.9</v>
      </c>
      <c r="H447" t="n">
        <v>0</v>
      </c>
      <c r="I447" t="n">
        <v>0</v>
      </c>
      <c r="J447" t="n">
        <v>0</v>
      </c>
      <c r="K447" t="n">
        <v>0</v>
      </c>
      <c r="L447" t="n">
        <v>0</v>
      </c>
      <c r="M447" t="n">
        <v>0</v>
      </c>
      <c r="N447" t="n">
        <v>0</v>
      </c>
      <c r="O447" t="n">
        <v>0</v>
      </c>
      <c r="P447" t="n">
        <v>0</v>
      </c>
      <c r="Q447" t="n">
        <v>0</v>
      </c>
      <c r="R447" s="2" t="inlineStr"/>
    </row>
    <row r="448" ht="15" customHeight="1">
      <c r="A448" t="inlineStr">
        <is>
          <t>A 44532-2022</t>
        </is>
      </c>
      <c r="B448" s="1" t="n">
        <v>44840</v>
      </c>
      <c r="C448" s="1" t="n">
        <v>45989</v>
      </c>
      <c r="D448" t="inlineStr">
        <is>
          <t>VÄRMLANDS LÄN</t>
        </is>
      </c>
      <c r="E448" t="inlineStr">
        <is>
          <t>TORSBY</t>
        </is>
      </c>
      <c r="G448" t="n">
        <v>12.3</v>
      </c>
      <c r="H448" t="n">
        <v>0</v>
      </c>
      <c r="I448" t="n">
        <v>0</v>
      </c>
      <c r="J448" t="n">
        <v>0</v>
      </c>
      <c r="K448" t="n">
        <v>0</v>
      </c>
      <c r="L448" t="n">
        <v>0</v>
      </c>
      <c r="M448" t="n">
        <v>0</v>
      </c>
      <c r="N448" t="n">
        <v>0</v>
      </c>
      <c r="O448" t="n">
        <v>0</v>
      </c>
      <c r="P448" t="n">
        <v>0</v>
      </c>
      <c r="Q448" t="n">
        <v>0</v>
      </c>
      <c r="R448" s="2" t="inlineStr"/>
    </row>
    <row r="449" ht="15" customHeight="1">
      <c r="A449" t="inlineStr">
        <is>
          <t>A 53921-2023</t>
        </is>
      </c>
      <c r="B449" s="1" t="n">
        <v>45231</v>
      </c>
      <c r="C449" s="1" t="n">
        <v>45989</v>
      </c>
      <c r="D449" t="inlineStr">
        <is>
          <t>VÄRMLANDS LÄN</t>
        </is>
      </c>
      <c r="E449" t="inlineStr">
        <is>
          <t>TORSBY</t>
        </is>
      </c>
      <c r="G449" t="n">
        <v>4.8</v>
      </c>
      <c r="H449" t="n">
        <v>0</v>
      </c>
      <c r="I449" t="n">
        <v>0</v>
      </c>
      <c r="J449" t="n">
        <v>0</v>
      </c>
      <c r="K449" t="n">
        <v>0</v>
      </c>
      <c r="L449" t="n">
        <v>0</v>
      </c>
      <c r="M449" t="n">
        <v>0</v>
      </c>
      <c r="N449" t="n">
        <v>0</v>
      </c>
      <c r="O449" t="n">
        <v>0</v>
      </c>
      <c r="P449" t="n">
        <v>0</v>
      </c>
      <c r="Q449" t="n">
        <v>0</v>
      </c>
      <c r="R449" s="2" t="inlineStr"/>
    </row>
    <row r="450" ht="15" customHeight="1">
      <c r="A450" t="inlineStr">
        <is>
          <t>A 25163-2023</t>
        </is>
      </c>
      <c r="B450" s="1" t="n">
        <v>45086</v>
      </c>
      <c r="C450" s="1" t="n">
        <v>45989</v>
      </c>
      <c r="D450" t="inlineStr">
        <is>
          <t>VÄRMLANDS LÄN</t>
        </is>
      </c>
      <c r="E450" t="inlineStr">
        <is>
          <t>TORSBY</t>
        </is>
      </c>
      <c r="G450" t="n">
        <v>5.2</v>
      </c>
      <c r="H450" t="n">
        <v>0</v>
      </c>
      <c r="I450" t="n">
        <v>0</v>
      </c>
      <c r="J450" t="n">
        <v>0</v>
      </c>
      <c r="K450" t="n">
        <v>0</v>
      </c>
      <c r="L450" t="n">
        <v>0</v>
      </c>
      <c r="M450" t="n">
        <v>0</v>
      </c>
      <c r="N450" t="n">
        <v>0</v>
      </c>
      <c r="O450" t="n">
        <v>0</v>
      </c>
      <c r="P450" t="n">
        <v>0</v>
      </c>
      <c r="Q450" t="n">
        <v>0</v>
      </c>
      <c r="R450" s="2" t="inlineStr"/>
    </row>
    <row r="451" ht="15" customHeight="1">
      <c r="A451" t="inlineStr">
        <is>
          <t>A 41264-2022</t>
        </is>
      </c>
      <c r="B451" s="1" t="n">
        <v>44823</v>
      </c>
      <c r="C451" s="1" t="n">
        <v>45989</v>
      </c>
      <c r="D451" t="inlineStr">
        <is>
          <t>VÄRMLANDS LÄN</t>
        </is>
      </c>
      <c r="E451" t="inlineStr">
        <is>
          <t>TORSBY</t>
        </is>
      </c>
      <c r="G451" t="n">
        <v>6.5</v>
      </c>
      <c r="H451" t="n">
        <v>0</v>
      </c>
      <c r="I451" t="n">
        <v>0</v>
      </c>
      <c r="J451" t="n">
        <v>0</v>
      </c>
      <c r="K451" t="n">
        <v>0</v>
      </c>
      <c r="L451" t="n">
        <v>0</v>
      </c>
      <c r="M451" t="n">
        <v>0</v>
      </c>
      <c r="N451" t="n">
        <v>0</v>
      </c>
      <c r="O451" t="n">
        <v>0</v>
      </c>
      <c r="P451" t="n">
        <v>0</v>
      </c>
      <c r="Q451" t="n">
        <v>0</v>
      </c>
      <c r="R451" s="2" t="inlineStr"/>
    </row>
    <row r="452" ht="15" customHeight="1">
      <c r="A452" t="inlineStr">
        <is>
          <t>A 2155-2024</t>
        </is>
      </c>
      <c r="B452" s="1" t="n">
        <v>45309</v>
      </c>
      <c r="C452" s="1" t="n">
        <v>45989</v>
      </c>
      <c r="D452" t="inlineStr">
        <is>
          <t>VÄRMLANDS LÄN</t>
        </is>
      </c>
      <c r="E452" t="inlineStr">
        <is>
          <t>TORSBY</t>
        </is>
      </c>
      <c r="G452" t="n">
        <v>2.8</v>
      </c>
      <c r="H452" t="n">
        <v>0</v>
      </c>
      <c r="I452" t="n">
        <v>0</v>
      </c>
      <c r="J452" t="n">
        <v>0</v>
      </c>
      <c r="K452" t="n">
        <v>0</v>
      </c>
      <c r="L452" t="n">
        <v>0</v>
      </c>
      <c r="M452" t="n">
        <v>0</v>
      </c>
      <c r="N452" t="n">
        <v>0</v>
      </c>
      <c r="O452" t="n">
        <v>0</v>
      </c>
      <c r="P452" t="n">
        <v>0</v>
      </c>
      <c r="Q452" t="n">
        <v>0</v>
      </c>
      <c r="R452" s="2" t="inlineStr"/>
    </row>
    <row r="453" ht="15" customHeight="1">
      <c r="A453" t="inlineStr">
        <is>
          <t>A 40590-2021</t>
        </is>
      </c>
      <c r="B453" s="1" t="n">
        <v>44420</v>
      </c>
      <c r="C453" s="1" t="n">
        <v>45989</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24717-2024</t>
        </is>
      </c>
      <c r="B454" s="1" t="n">
        <v>45460</v>
      </c>
      <c r="C454" s="1" t="n">
        <v>45989</v>
      </c>
      <c r="D454" t="inlineStr">
        <is>
          <t>VÄRMLANDS LÄN</t>
        </is>
      </c>
      <c r="E454" t="inlineStr">
        <is>
          <t>TORSBY</t>
        </is>
      </c>
      <c r="F454" t="inlineStr">
        <is>
          <t>Övriga statliga verk och myndigheter</t>
        </is>
      </c>
      <c r="G454" t="n">
        <v>2.1</v>
      </c>
      <c r="H454" t="n">
        <v>0</v>
      </c>
      <c r="I454" t="n">
        <v>0</v>
      </c>
      <c r="J454" t="n">
        <v>0</v>
      </c>
      <c r="K454" t="n">
        <v>0</v>
      </c>
      <c r="L454" t="n">
        <v>0</v>
      </c>
      <c r="M454" t="n">
        <v>0</v>
      </c>
      <c r="N454" t="n">
        <v>0</v>
      </c>
      <c r="O454" t="n">
        <v>0</v>
      </c>
      <c r="P454" t="n">
        <v>0</v>
      </c>
      <c r="Q454" t="n">
        <v>0</v>
      </c>
      <c r="R454" s="2" t="inlineStr"/>
    </row>
    <row r="455" ht="15" customHeight="1">
      <c r="A455" t="inlineStr">
        <is>
          <t>A 59097-2022</t>
        </is>
      </c>
      <c r="B455" s="1" t="n">
        <v>44904</v>
      </c>
      <c r="C455" s="1" t="n">
        <v>45989</v>
      </c>
      <c r="D455" t="inlineStr">
        <is>
          <t>VÄRMLANDS LÄN</t>
        </is>
      </c>
      <c r="E455" t="inlineStr">
        <is>
          <t>TORSBY</t>
        </is>
      </c>
      <c r="G455" t="n">
        <v>6.6</v>
      </c>
      <c r="H455" t="n">
        <v>0</v>
      </c>
      <c r="I455" t="n">
        <v>0</v>
      </c>
      <c r="J455" t="n">
        <v>0</v>
      </c>
      <c r="K455" t="n">
        <v>0</v>
      </c>
      <c r="L455" t="n">
        <v>0</v>
      </c>
      <c r="M455" t="n">
        <v>0</v>
      </c>
      <c r="N455" t="n">
        <v>0</v>
      </c>
      <c r="O455" t="n">
        <v>0</v>
      </c>
      <c r="P455" t="n">
        <v>0</v>
      </c>
      <c r="Q455" t="n">
        <v>0</v>
      </c>
      <c r="R455" s="2" t="inlineStr"/>
    </row>
    <row r="456" ht="15" customHeight="1">
      <c r="A456" t="inlineStr">
        <is>
          <t>A 9381-2024</t>
        </is>
      </c>
      <c r="B456" s="1" t="n">
        <v>45359</v>
      </c>
      <c r="C456" s="1" t="n">
        <v>45989</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9904-2024</t>
        </is>
      </c>
      <c r="B457" s="1" t="n">
        <v>45363</v>
      </c>
      <c r="C457" s="1" t="n">
        <v>45989</v>
      </c>
      <c r="D457" t="inlineStr">
        <is>
          <t>VÄRMLANDS LÄN</t>
        </is>
      </c>
      <c r="E457" t="inlineStr">
        <is>
          <t>TORSBY</t>
        </is>
      </c>
      <c r="G457" t="n">
        <v>3.2</v>
      </c>
      <c r="H457" t="n">
        <v>0</v>
      </c>
      <c r="I457" t="n">
        <v>0</v>
      </c>
      <c r="J457" t="n">
        <v>0</v>
      </c>
      <c r="K457" t="n">
        <v>0</v>
      </c>
      <c r="L457" t="n">
        <v>0</v>
      </c>
      <c r="M457" t="n">
        <v>0</v>
      </c>
      <c r="N457" t="n">
        <v>0</v>
      </c>
      <c r="O457" t="n">
        <v>0</v>
      </c>
      <c r="P457" t="n">
        <v>0</v>
      </c>
      <c r="Q457" t="n">
        <v>0</v>
      </c>
      <c r="R457" s="2" t="inlineStr"/>
    </row>
    <row r="458" ht="15" customHeight="1">
      <c r="A458" t="inlineStr">
        <is>
          <t>A 14730-2024</t>
        </is>
      </c>
      <c r="B458" s="1" t="n">
        <v>45397.58518518518</v>
      </c>
      <c r="C458" s="1" t="n">
        <v>45989</v>
      </c>
      <c r="D458" t="inlineStr">
        <is>
          <t>VÄRMLANDS LÄN</t>
        </is>
      </c>
      <c r="E458" t="inlineStr">
        <is>
          <t>TORSBY</t>
        </is>
      </c>
      <c r="G458" t="n">
        <v>1.4</v>
      </c>
      <c r="H458" t="n">
        <v>0</v>
      </c>
      <c r="I458" t="n">
        <v>0</v>
      </c>
      <c r="J458" t="n">
        <v>0</v>
      </c>
      <c r="K458" t="n">
        <v>0</v>
      </c>
      <c r="L458" t="n">
        <v>0</v>
      </c>
      <c r="M458" t="n">
        <v>0</v>
      </c>
      <c r="N458" t="n">
        <v>0</v>
      </c>
      <c r="O458" t="n">
        <v>0</v>
      </c>
      <c r="P458" t="n">
        <v>0</v>
      </c>
      <c r="Q458" t="n">
        <v>0</v>
      </c>
      <c r="R458" s="2" t="inlineStr"/>
    </row>
    <row r="459" ht="15" customHeight="1">
      <c r="A459" t="inlineStr">
        <is>
          <t>A 44325-2024</t>
        </is>
      </c>
      <c r="B459" s="1" t="n">
        <v>45573</v>
      </c>
      <c r="C459" s="1" t="n">
        <v>45989</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33268-2023</t>
        </is>
      </c>
      <c r="B460" s="1" t="n">
        <v>45127.58094907407</v>
      </c>
      <c r="C460" s="1" t="n">
        <v>45989</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32988-2024</t>
        </is>
      </c>
      <c r="B461" s="1" t="n">
        <v>45517.46616898148</v>
      </c>
      <c r="C461" s="1" t="n">
        <v>45989</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25932-2024</t>
        </is>
      </c>
      <c r="B462" s="1" t="n">
        <v>45467.62097222222</v>
      </c>
      <c r="C462" s="1" t="n">
        <v>45989</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1123-2023</t>
        </is>
      </c>
      <c r="B463" s="1" t="n">
        <v>44935</v>
      </c>
      <c r="C463" s="1" t="n">
        <v>45989</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36700-2021</t>
        </is>
      </c>
      <c r="B464" s="1" t="n">
        <v>44392</v>
      </c>
      <c r="C464" s="1" t="n">
        <v>45989</v>
      </c>
      <c r="D464" t="inlineStr">
        <is>
          <t>VÄRMLANDS LÄN</t>
        </is>
      </c>
      <c r="E464" t="inlineStr">
        <is>
          <t>TORSBY</t>
        </is>
      </c>
      <c r="F464" t="inlineStr">
        <is>
          <t>Bergvik skog väst AB</t>
        </is>
      </c>
      <c r="G464" t="n">
        <v>9.9</v>
      </c>
      <c r="H464" t="n">
        <v>0</v>
      </c>
      <c r="I464" t="n">
        <v>0</v>
      </c>
      <c r="J464" t="n">
        <v>0</v>
      </c>
      <c r="K464" t="n">
        <v>0</v>
      </c>
      <c r="L464" t="n">
        <v>0</v>
      </c>
      <c r="M464" t="n">
        <v>0</v>
      </c>
      <c r="N464" t="n">
        <v>0</v>
      </c>
      <c r="O464" t="n">
        <v>0</v>
      </c>
      <c r="P464" t="n">
        <v>0</v>
      </c>
      <c r="Q464" t="n">
        <v>0</v>
      </c>
      <c r="R464" s="2" t="inlineStr"/>
    </row>
    <row r="465" ht="15" customHeight="1">
      <c r="A465" t="inlineStr">
        <is>
          <t>A 43248-2022</t>
        </is>
      </c>
      <c r="B465" s="1" t="n">
        <v>44834</v>
      </c>
      <c r="C465" s="1" t="n">
        <v>45989</v>
      </c>
      <c r="D465" t="inlineStr">
        <is>
          <t>VÄRMLANDS LÄN</t>
        </is>
      </c>
      <c r="E465" t="inlineStr">
        <is>
          <t>TORSBY</t>
        </is>
      </c>
      <c r="G465" t="n">
        <v>2.9</v>
      </c>
      <c r="H465" t="n">
        <v>0</v>
      </c>
      <c r="I465" t="n">
        <v>0</v>
      </c>
      <c r="J465" t="n">
        <v>0</v>
      </c>
      <c r="K465" t="n">
        <v>0</v>
      </c>
      <c r="L465" t="n">
        <v>0</v>
      </c>
      <c r="M465" t="n">
        <v>0</v>
      </c>
      <c r="N465" t="n">
        <v>0</v>
      </c>
      <c r="O465" t="n">
        <v>0</v>
      </c>
      <c r="P465" t="n">
        <v>0</v>
      </c>
      <c r="Q465" t="n">
        <v>0</v>
      </c>
      <c r="R465" s="2" t="inlineStr"/>
    </row>
    <row r="466" ht="15" customHeight="1">
      <c r="A466" t="inlineStr">
        <is>
          <t>A 43289-2022</t>
        </is>
      </c>
      <c r="B466" s="1" t="n">
        <v>44834.51623842592</v>
      </c>
      <c r="C466" s="1" t="n">
        <v>45989</v>
      </c>
      <c r="D466" t="inlineStr">
        <is>
          <t>VÄRMLANDS LÄN</t>
        </is>
      </c>
      <c r="E466" t="inlineStr">
        <is>
          <t>TORSBY</t>
        </is>
      </c>
      <c r="G466" t="n">
        <v>11.2</v>
      </c>
      <c r="H466" t="n">
        <v>0</v>
      </c>
      <c r="I466" t="n">
        <v>0</v>
      </c>
      <c r="J466" t="n">
        <v>0</v>
      </c>
      <c r="K466" t="n">
        <v>0</v>
      </c>
      <c r="L466" t="n">
        <v>0</v>
      </c>
      <c r="M466" t="n">
        <v>0</v>
      </c>
      <c r="N466" t="n">
        <v>0</v>
      </c>
      <c r="O466" t="n">
        <v>0</v>
      </c>
      <c r="P466" t="n">
        <v>0</v>
      </c>
      <c r="Q466" t="n">
        <v>0</v>
      </c>
      <c r="R466" s="2" t="inlineStr"/>
    </row>
    <row r="467" ht="15" customHeight="1">
      <c r="A467" t="inlineStr">
        <is>
          <t>A 26086-2024</t>
        </is>
      </c>
      <c r="B467" s="1" t="n">
        <v>45468</v>
      </c>
      <c r="C467" s="1" t="n">
        <v>45989</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39780-2022</t>
        </is>
      </c>
      <c r="B468" s="1" t="n">
        <v>44819.46672453704</v>
      </c>
      <c r="C468" s="1" t="n">
        <v>45989</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24261-2024</t>
        </is>
      </c>
      <c r="B469" s="1" t="n">
        <v>45457</v>
      </c>
      <c r="C469" s="1" t="n">
        <v>45989</v>
      </c>
      <c r="D469" t="inlineStr">
        <is>
          <t>VÄRMLANDS LÄN</t>
        </is>
      </c>
      <c r="E469" t="inlineStr">
        <is>
          <t>TORSBY</t>
        </is>
      </c>
      <c r="G469" t="n">
        <v>3.5</v>
      </c>
      <c r="H469" t="n">
        <v>0</v>
      </c>
      <c r="I469" t="n">
        <v>0</v>
      </c>
      <c r="J469" t="n">
        <v>0</v>
      </c>
      <c r="K469" t="n">
        <v>0</v>
      </c>
      <c r="L469" t="n">
        <v>0</v>
      </c>
      <c r="M469" t="n">
        <v>0</v>
      </c>
      <c r="N469" t="n">
        <v>0</v>
      </c>
      <c r="O469" t="n">
        <v>0</v>
      </c>
      <c r="P469" t="n">
        <v>0</v>
      </c>
      <c r="Q469" t="n">
        <v>0</v>
      </c>
      <c r="R469" s="2" t="inlineStr"/>
    </row>
    <row r="470" ht="15" customHeight="1">
      <c r="A470" t="inlineStr">
        <is>
          <t>A 60058-2023</t>
        </is>
      </c>
      <c r="B470" s="1" t="n">
        <v>45258.37978009259</v>
      </c>
      <c r="C470" s="1" t="n">
        <v>45989</v>
      </c>
      <c r="D470" t="inlineStr">
        <is>
          <t>VÄRMLANDS LÄN</t>
        </is>
      </c>
      <c r="E470" t="inlineStr">
        <is>
          <t>TORSBY</t>
        </is>
      </c>
      <c r="G470" t="n">
        <v>5</v>
      </c>
      <c r="H470" t="n">
        <v>0</v>
      </c>
      <c r="I470" t="n">
        <v>0</v>
      </c>
      <c r="J470" t="n">
        <v>0</v>
      </c>
      <c r="K470" t="n">
        <v>0</v>
      </c>
      <c r="L470" t="n">
        <v>0</v>
      </c>
      <c r="M470" t="n">
        <v>0</v>
      </c>
      <c r="N470" t="n">
        <v>0</v>
      </c>
      <c r="O470" t="n">
        <v>0</v>
      </c>
      <c r="P470" t="n">
        <v>0</v>
      </c>
      <c r="Q470" t="n">
        <v>0</v>
      </c>
      <c r="R470" s="2" t="inlineStr"/>
    </row>
    <row r="471" ht="15" customHeight="1">
      <c r="A471" t="inlineStr">
        <is>
          <t>A 54528-2023</t>
        </is>
      </c>
      <c r="B471" s="1" t="n">
        <v>45233.59122685185</v>
      </c>
      <c r="C471" s="1" t="n">
        <v>45989</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55092-2022</t>
        </is>
      </c>
      <c r="B472" s="1" t="n">
        <v>44886.61493055556</v>
      </c>
      <c r="C472" s="1" t="n">
        <v>45989</v>
      </c>
      <c r="D472" t="inlineStr">
        <is>
          <t>VÄRMLANDS LÄN</t>
        </is>
      </c>
      <c r="E472" t="inlineStr">
        <is>
          <t>TORSBY</t>
        </is>
      </c>
      <c r="G472" t="n">
        <v>2</v>
      </c>
      <c r="H472" t="n">
        <v>0</v>
      </c>
      <c r="I472" t="n">
        <v>0</v>
      </c>
      <c r="J472" t="n">
        <v>0</v>
      </c>
      <c r="K472" t="n">
        <v>0</v>
      </c>
      <c r="L472" t="n">
        <v>0</v>
      </c>
      <c r="M472" t="n">
        <v>0</v>
      </c>
      <c r="N472" t="n">
        <v>0</v>
      </c>
      <c r="O472" t="n">
        <v>0</v>
      </c>
      <c r="P472" t="n">
        <v>0</v>
      </c>
      <c r="Q472" t="n">
        <v>0</v>
      </c>
      <c r="R472" s="2" t="inlineStr"/>
    </row>
    <row r="473" ht="15" customHeight="1">
      <c r="A473" t="inlineStr">
        <is>
          <t>A 25629-2024</t>
        </is>
      </c>
      <c r="B473" s="1" t="n">
        <v>45463</v>
      </c>
      <c r="C473" s="1" t="n">
        <v>45989</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2308-2024</t>
        </is>
      </c>
      <c r="B474" s="1" t="n">
        <v>45310</v>
      </c>
      <c r="C474" s="1" t="n">
        <v>45989</v>
      </c>
      <c r="D474" t="inlineStr">
        <is>
          <t>VÄRMLANDS LÄN</t>
        </is>
      </c>
      <c r="E474" t="inlineStr">
        <is>
          <t>TORSBY</t>
        </is>
      </c>
      <c r="G474" t="n">
        <v>2.4</v>
      </c>
      <c r="H474" t="n">
        <v>0</v>
      </c>
      <c r="I474" t="n">
        <v>0</v>
      </c>
      <c r="J474" t="n">
        <v>0</v>
      </c>
      <c r="K474" t="n">
        <v>0</v>
      </c>
      <c r="L474" t="n">
        <v>0</v>
      </c>
      <c r="M474" t="n">
        <v>0</v>
      </c>
      <c r="N474" t="n">
        <v>0</v>
      </c>
      <c r="O474" t="n">
        <v>0</v>
      </c>
      <c r="P474" t="n">
        <v>0</v>
      </c>
      <c r="Q474" t="n">
        <v>0</v>
      </c>
      <c r="R474" s="2" t="inlineStr"/>
    </row>
    <row r="475" ht="15" customHeight="1">
      <c r="A475" t="inlineStr">
        <is>
          <t>A 3071-2022</t>
        </is>
      </c>
      <c r="B475" s="1" t="n">
        <v>44582.42109953704</v>
      </c>
      <c r="C475" s="1" t="n">
        <v>45989</v>
      </c>
      <c r="D475" t="inlineStr">
        <is>
          <t>VÄRMLANDS LÄN</t>
        </is>
      </c>
      <c r="E475" t="inlineStr">
        <is>
          <t>TORSBY</t>
        </is>
      </c>
      <c r="G475" t="n">
        <v>7.9</v>
      </c>
      <c r="H475" t="n">
        <v>0</v>
      </c>
      <c r="I475" t="n">
        <v>0</v>
      </c>
      <c r="J475" t="n">
        <v>0</v>
      </c>
      <c r="K475" t="n">
        <v>0</v>
      </c>
      <c r="L475" t="n">
        <v>0</v>
      </c>
      <c r="M475" t="n">
        <v>0</v>
      </c>
      <c r="N475" t="n">
        <v>0</v>
      </c>
      <c r="O475" t="n">
        <v>0</v>
      </c>
      <c r="P475" t="n">
        <v>0</v>
      </c>
      <c r="Q475" t="n">
        <v>0</v>
      </c>
      <c r="R475" s="2" t="inlineStr"/>
    </row>
    <row r="476" ht="15" customHeight="1">
      <c r="A476" t="inlineStr">
        <is>
          <t>A 48320-2022</t>
        </is>
      </c>
      <c r="B476" s="1" t="n">
        <v>44853</v>
      </c>
      <c r="C476" s="1" t="n">
        <v>45989</v>
      </c>
      <c r="D476" t="inlineStr">
        <is>
          <t>VÄRMLANDS LÄN</t>
        </is>
      </c>
      <c r="E476" t="inlineStr">
        <is>
          <t>TORSBY</t>
        </is>
      </c>
      <c r="G476" t="n">
        <v>0.4</v>
      </c>
      <c r="H476" t="n">
        <v>0</v>
      </c>
      <c r="I476" t="n">
        <v>0</v>
      </c>
      <c r="J476" t="n">
        <v>0</v>
      </c>
      <c r="K476" t="n">
        <v>0</v>
      </c>
      <c r="L476" t="n">
        <v>0</v>
      </c>
      <c r="M476" t="n">
        <v>0</v>
      </c>
      <c r="N476" t="n">
        <v>0</v>
      </c>
      <c r="O476" t="n">
        <v>0</v>
      </c>
      <c r="P476" t="n">
        <v>0</v>
      </c>
      <c r="Q476" t="n">
        <v>0</v>
      </c>
      <c r="R476" s="2" t="inlineStr"/>
    </row>
    <row r="477" ht="15" customHeight="1">
      <c r="A477" t="inlineStr">
        <is>
          <t>A 55794-2021</t>
        </is>
      </c>
      <c r="B477" s="1" t="n">
        <v>44476</v>
      </c>
      <c r="C477" s="1" t="n">
        <v>45989</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17488-2023</t>
        </is>
      </c>
      <c r="B478" s="1" t="n">
        <v>45036</v>
      </c>
      <c r="C478" s="1" t="n">
        <v>45989</v>
      </c>
      <c r="D478" t="inlineStr">
        <is>
          <t>VÄRMLANDS LÄN</t>
        </is>
      </c>
      <c r="E478" t="inlineStr">
        <is>
          <t>TORSBY</t>
        </is>
      </c>
      <c r="G478" t="n">
        <v>15.6</v>
      </c>
      <c r="H478" t="n">
        <v>0</v>
      </c>
      <c r="I478" t="n">
        <v>0</v>
      </c>
      <c r="J478" t="n">
        <v>0</v>
      </c>
      <c r="K478" t="n">
        <v>0</v>
      </c>
      <c r="L478" t="n">
        <v>0</v>
      </c>
      <c r="M478" t="n">
        <v>0</v>
      </c>
      <c r="N478" t="n">
        <v>0</v>
      </c>
      <c r="O478" t="n">
        <v>0</v>
      </c>
      <c r="P478" t="n">
        <v>0</v>
      </c>
      <c r="Q478" t="n">
        <v>0</v>
      </c>
      <c r="R478" s="2" t="inlineStr"/>
    </row>
    <row r="479" ht="15" customHeight="1">
      <c r="A479" t="inlineStr">
        <is>
          <t>A 3666-2023</t>
        </is>
      </c>
      <c r="B479" s="1" t="n">
        <v>44950</v>
      </c>
      <c r="C479" s="1" t="n">
        <v>45989</v>
      </c>
      <c r="D479" t="inlineStr">
        <is>
          <t>VÄRMLANDS LÄN</t>
        </is>
      </c>
      <c r="E479" t="inlineStr">
        <is>
          <t>TORSBY</t>
        </is>
      </c>
      <c r="G479" t="n">
        <v>6.8</v>
      </c>
      <c r="H479" t="n">
        <v>0</v>
      </c>
      <c r="I479" t="n">
        <v>0</v>
      </c>
      <c r="J479" t="n">
        <v>0</v>
      </c>
      <c r="K479" t="n">
        <v>0</v>
      </c>
      <c r="L479" t="n">
        <v>0</v>
      </c>
      <c r="M479" t="n">
        <v>0</v>
      </c>
      <c r="N479" t="n">
        <v>0</v>
      </c>
      <c r="O479" t="n">
        <v>0</v>
      </c>
      <c r="P479" t="n">
        <v>0</v>
      </c>
      <c r="Q479" t="n">
        <v>0</v>
      </c>
      <c r="R479" s="2" t="inlineStr"/>
    </row>
    <row r="480" ht="15" customHeight="1">
      <c r="A480" t="inlineStr">
        <is>
          <t>A 3670-2023</t>
        </is>
      </c>
      <c r="B480" s="1" t="n">
        <v>44950</v>
      </c>
      <c r="C480" s="1" t="n">
        <v>45989</v>
      </c>
      <c r="D480" t="inlineStr">
        <is>
          <t>VÄRMLANDS LÄN</t>
        </is>
      </c>
      <c r="E480" t="inlineStr">
        <is>
          <t>TORSBY</t>
        </is>
      </c>
      <c r="G480" t="n">
        <v>15.4</v>
      </c>
      <c r="H480" t="n">
        <v>0</v>
      </c>
      <c r="I480" t="n">
        <v>0</v>
      </c>
      <c r="J480" t="n">
        <v>0</v>
      </c>
      <c r="K480" t="n">
        <v>0</v>
      </c>
      <c r="L480" t="n">
        <v>0</v>
      </c>
      <c r="M480" t="n">
        <v>0</v>
      </c>
      <c r="N480" t="n">
        <v>0</v>
      </c>
      <c r="O480" t="n">
        <v>0</v>
      </c>
      <c r="P480" t="n">
        <v>0</v>
      </c>
      <c r="Q480" t="n">
        <v>0</v>
      </c>
      <c r="R480" s="2" t="inlineStr"/>
    </row>
    <row r="481" ht="15" customHeight="1">
      <c r="A481" t="inlineStr">
        <is>
          <t>A 35553-2023</t>
        </is>
      </c>
      <c r="B481" s="1" t="n">
        <v>45147</v>
      </c>
      <c r="C481" s="1" t="n">
        <v>45989</v>
      </c>
      <c r="D481" t="inlineStr">
        <is>
          <t>VÄRMLANDS LÄN</t>
        </is>
      </c>
      <c r="E481" t="inlineStr">
        <is>
          <t>TORSBY</t>
        </is>
      </c>
      <c r="G481" t="n">
        <v>6.2</v>
      </c>
      <c r="H481" t="n">
        <v>0</v>
      </c>
      <c r="I481" t="n">
        <v>0</v>
      </c>
      <c r="J481" t="n">
        <v>0</v>
      </c>
      <c r="K481" t="n">
        <v>0</v>
      </c>
      <c r="L481" t="n">
        <v>0</v>
      </c>
      <c r="M481" t="n">
        <v>0</v>
      </c>
      <c r="N481" t="n">
        <v>0</v>
      </c>
      <c r="O481" t="n">
        <v>0</v>
      </c>
      <c r="P481" t="n">
        <v>0</v>
      </c>
      <c r="Q481" t="n">
        <v>0</v>
      </c>
      <c r="R481" s="2" t="inlineStr"/>
    </row>
    <row r="482" ht="15" customHeight="1">
      <c r="A482" t="inlineStr">
        <is>
          <t>A 20647-2024</t>
        </is>
      </c>
      <c r="B482" s="1" t="n">
        <v>45436</v>
      </c>
      <c r="C482" s="1" t="n">
        <v>45989</v>
      </c>
      <c r="D482" t="inlineStr">
        <is>
          <t>VÄRMLANDS LÄN</t>
        </is>
      </c>
      <c r="E482" t="inlineStr">
        <is>
          <t>TORSBY</t>
        </is>
      </c>
      <c r="G482" t="n">
        <v>1.3</v>
      </c>
      <c r="H482" t="n">
        <v>0</v>
      </c>
      <c r="I482" t="n">
        <v>0</v>
      </c>
      <c r="J482" t="n">
        <v>0</v>
      </c>
      <c r="K482" t="n">
        <v>0</v>
      </c>
      <c r="L482" t="n">
        <v>0</v>
      </c>
      <c r="M482" t="n">
        <v>0</v>
      </c>
      <c r="N482" t="n">
        <v>0</v>
      </c>
      <c r="O482" t="n">
        <v>0</v>
      </c>
      <c r="P482" t="n">
        <v>0</v>
      </c>
      <c r="Q482" t="n">
        <v>0</v>
      </c>
      <c r="R482" s="2" t="inlineStr"/>
    </row>
    <row r="483" ht="15" customHeight="1">
      <c r="A483" t="inlineStr">
        <is>
          <t>A 58185-2023</t>
        </is>
      </c>
      <c r="B483" s="1" t="n">
        <v>45250.41873842593</v>
      </c>
      <c r="C483" s="1" t="n">
        <v>45989</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50380-2024</t>
        </is>
      </c>
      <c r="B484" s="1" t="n">
        <v>45601.30582175926</v>
      </c>
      <c r="C484" s="1" t="n">
        <v>45989</v>
      </c>
      <c r="D484" t="inlineStr">
        <is>
          <t>VÄRMLANDS LÄN</t>
        </is>
      </c>
      <c r="E484" t="inlineStr">
        <is>
          <t>TORSBY</t>
        </is>
      </c>
      <c r="F484" t="inlineStr">
        <is>
          <t>Bergvik skog väst AB</t>
        </is>
      </c>
      <c r="G484" t="n">
        <v>7.9</v>
      </c>
      <c r="H484" t="n">
        <v>0</v>
      </c>
      <c r="I484" t="n">
        <v>0</v>
      </c>
      <c r="J484" t="n">
        <v>0</v>
      </c>
      <c r="K484" t="n">
        <v>0</v>
      </c>
      <c r="L484" t="n">
        <v>0</v>
      </c>
      <c r="M484" t="n">
        <v>0</v>
      </c>
      <c r="N484" t="n">
        <v>0</v>
      </c>
      <c r="O484" t="n">
        <v>0</v>
      </c>
      <c r="P484" t="n">
        <v>0</v>
      </c>
      <c r="Q484" t="n">
        <v>0</v>
      </c>
      <c r="R484" s="2" t="inlineStr"/>
    </row>
    <row r="485" ht="15" customHeight="1">
      <c r="A485" t="inlineStr">
        <is>
          <t>A 39642-2021</t>
        </is>
      </c>
      <c r="B485" s="1" t="n">
        <v>44417</v>
      </c>
      <c r="C485" s="1" t="n">
        <v>45989</v>
      </c>
      <c r="D485" t="inlineStr">
        <is>
          <t>VÄRMLANDS LÄN</t>
        </is>
      </c>
      <c r="E485" t="inlineStr">
        <is>
          <t>TORSBY</t>
        </is>
      </c>
      <c r="G485" t="n">
        <v>0.7</v>
      </c>
      <c r="H485" t="n">
        <v>0</v>
      </c>
      <c r="I485" t="n">
        <v>0</v>
      </c>
      <c r="J485" t="n">
        <v>0</v>
      </c>
      <c r="K485" t="n">
        <v>0</v>
      </c>
      <c r="L485" t="n">
        <v>0</v>
      </c>
      <c r="M485" t="n">
        <v>0</v>
      </c>
      <c r="N485" t="n">
        <v>0</v>
      </c>
      <c r="O485" t="n">
        <v>0</v>
      </c>
      <c r="P485" t="n">
        <v>0</v>
      </c>
      <c r="Q485" t="n">
        <v>0</v>
      </c>
      <c r="R485" s="2" t="inlineStr"/>
    </row>
    <row r="486" ht="15" customHeight="1">
      <c r="A486" t="inlineStr">
        <is>
          <t>A 3590-2024</t>
        </is>
      </c>
      <c r="B486" s="1" t="n">
        <v>45320</v>
      </c>
      <c r="C486" s="1" t="n">
        <v>45989</v>
      </c>
      <c r="D486" t="inlineStr">
        <is>
          <t>VÄRMLANDS LÄN</t>
        </is>
      </c>
      <c r="E486" t="inlineStr">
        <is>
          <t>TORSBY</t>
        </is>
      </c>
      <c r="G486" t="n">
        <v>3.5</v>
      </c>
      <c r="H486" t="n">
        <v>0</v>
      </c>
      <c r="I486" t="n">
        <v>0</v>
      </c>
      <c r="J486" t="n">
        <v>0</v>
      </c>
      <c r="K486" t="n">
        <v>0</v>
      </c>
      <c r="L486" t="n">
        <v>0</v>
      </c>
      <c r="M486" t="n">
        <v>0</v>
      </c>
      <c r="N486" t="n">
        <v>0</v>
      </c>
      <c r="O486" t="n">
        <v>0</v>
      </c>
      <c r="P486" t="n">
        <v>0</v>
      </c>
      <c r="Q486" t="n">
        <v>0</v>
      </c>
      <c r="R486" s="2" t="inlineStr"/>
    </row>
    <row r="487" ht="15" customHeight="1">
      <c r="A487" t="inlineStr">
        <is>
          <t>A 37818-2025</t>
        </is>
      </c>
      <c r="B487" s="1" t="n">
        <v>45881</v>
      </c>
      <c r="C487" s="1" t="n">
        <v>45989</v>
      </c>
      <c r="D487" t="inlineStr">
        <is>
          <t>VÄRMLANDS LÄN</t>
        </is>
      </c>
      <c r="E487" t="inlineStr">
        <is>
          <t>TORSBY</t>
        </is>
      </c>
      <c r="G487" t="n">
        <v>1.6</v>
      </c>
      <c r="H487" t="n">
        <v>0</v>
      </c>
      <c r="I487" t="n">
        <v>0</v>
      </c>
      <c r="J487" t="n">
        <v>0</v>
      </c>
      <c r="K487" t="n">
        <v>0</v>
      </c>
      <c r="L487" t="n">
        <v>0</v>
      </c>
      <c r="M487" t="n">
        <v>0</v>
      </c>
      <c r="N487" t="n">
        <v>0</v>
      </c>
      <c r="O487" t="n">
        <v>0</v>
      </c>
      <c r="P487" t="n">
        <v>0</v>
      </c>
      <c r="Q487" t="n">
        <v>0</v>
      </c>
      <c r="R487" s="2" t="inlineStr"/>
    </row>
    <row r="488" ht="15" customHeight="1">
      <c r="A488" t="inlineStr">
        <is>
          <t>A 57072-2022</t>
        </is>
      </c>
      <c r="B488" s="1" t="n">
        <v>44895.4252662037</v>
      </c>
      <c r="C488" s="1" t="n">
        <v>45989</v>
      </c>
      <c r="D488" t="inlineStr">
        <is>
          <t>VÄRMLANDS LÄN</t>
        </is>
      </c>
      <c r="E488" t="inlineStr">
        <is>
          <t>TORSBY</t>
        </is>
      </c>
      <c r="F488" t="inlineStr">
        <is>
          <t>Övriga statliga verk och myndigheter</t>
        </is>
      </c>
      <c r="G488" t="n">
        <v>7.8</v>
      </c>
      <c r="H488" t="n">
        <v>0</v>
      </c>
      <c r="I488" t="n">
        <v>0</v>
      </c>
      <c r="J488" t="n">
        <v>0</v>
      </c>
      <c r="K488" t="n">
        <v>0</v>
      </c>
      <c r="L488" t="n">
        <v>0</v>
      </c>
      <c r="M488" t="n">
        <v>0</v>
      </c>
      <c r="N488" t="n">
        <v>0</v>
      </c>
      <c r="O488" t="n">
        <v>0</v>
      </c>
      <c r="P488" t="n">
        <v>0</v>
      </c>
      <c r="Q488" t="n">
        <v>0</v>
      </c>
      <c r="R488" s="2" t="inlineStr"/>
    </row>
    <row r="489" ht="15" customHeight="1">
      <c r="A489" t="inlineStr">
        <is>
          <t>A 24411-2025</t>
        </is>
      </c>
      <c r="B489" s="1" t="n">
        <v>45797</v>
      </c>
      <c r="C489" s="1" t="n">
        <v>45989</v>
      </c>
      <c r="D489" t="inlineStr">
        <is>
          <t>VÄRMLANDS LÄN</t>
        </is>
      </c>
      <c r="E489" t="inlineStr">
        <is>
          <t>TORSBY</t>
        </is>
      </c>
      <c r="F489" t="inlineStr">
        <is>
          <t>Övriga statliga verk och myndigheter</t>
        </is>
      </c>
      <c r="G489" t="n">
        <v>3.2</v>
      </c>
      <c r="H489" t="n">
        <v>0</v>
      </c>
      <c r="I489" t="n">
        <v>0</v>
      </c>
      <c r="J489" t="n">
        <v>0</v>
      </c>
      <c r="K489" t="n">
        <v>0</v>
      </c>
      <c r="L489" t="n">
        <v>0</v>
      </c>
      <c r="M489" t="n">
        <v>0</v>
      </c>
      <c r="N489" t="n">
        <v>0</v>
      </c>
      <c r="O489" t="n">
        <v>0</v>
      </c>
      <c r="P489" t="n">
        <v>0</v>
      </c>
      <c r="Q489" t="n">
        <v>0</v>
      </c>
      <c r="R489" s="2" t="inlineStr"/>
    </row>
    <row r="490" ht="15" customHeight="1">
      <c r="A490" t="inlineStr">
        <is>
          <t>A 35107-2024</t>
        </is>
      </c>
      <c r="B490" s="1" t="n">
        <v>45529.5588425926</v>
      </c>
      <c r="C490" s="1" t="n">
        <v>45989</v>
      </c>
      <c r="D490" t="inlineStr">
        <is>
          <t>VÄRMLANDS LÄN</t>
        </is>
      </c>
      <c r="E490" t="inlineStr">
        <is>
          <t>TORSBY</t>
        </is>
      </c>
      <c r="G490" t="n">
        <v>5.1</v>
      </c>
      <c r="H490" t="n">
        <v>0</v>
      </c>
      <c r="I490" t="n">
        <v>0</v>
      </c>
      <c r="J490" t="n">
        <v>0</v>
      </c>
      <c r="K490" t="n">
        <v>0</v>
      </c>
      <c r="L490" t="n">
        <v>0</v>
      </c>
      <c r="M490" t="n">
        <v>0</v>
      </c>
      <c r="N490" t="n">
        <v>0</v>
      </c>
      <c r="O490" t="n">
        <v>0</v>
      </c>
      <c r="P490" t="n">
        <v>0</v>
      </c>
      <c r="Q490" t="n">
        <v>0</v>
      </c>
      <c r="R490" s="2" t="inlineStr"/>
    </row>
    <row r="491" ht="15" customHeight="1">
      <c r="A491" t="inlineStr">
        <is>
          <t>A 24528-2025</t>
        </is>
      </c>
      <c r="B491" s="1" t="n">
        <v>45798.42680555556</v>
      </c>
      <c r="C491" s="1" t="n">
        <v>45989</v>
      </c>
      <c r="D491" t="inlineStr">
        <is>
          <t>VÄRMLANDS LÄN</t>
        </is>
      </c>
      <c r="E491" t="inlineStr">
        <is>
          <t>TORSBY</t>
        </is>
      </c>
      <c r="G491" t="n">
        <v>5.8</v>
      </c>
      <c r="H491" t="n">
        <v>0</v>
      </c>
      <c r="I491" t="n">
        <v>0</v>
      </c>
      <c r="J491" t="n">
        <v>0</v>
      </c>
      <c r="K491" t="n">
        <v>0</v>
      </c>
      <c r="L491" t="n">
        <v>0</v>
      </c>
      <c r="M491" t="n">
        <v>0</v>
      </c>
      <c r="N491" t="n">
        <v>0</v>
      </c>
      <c r="O491" t="n">
        <v>0</v>
      </c>
      <c r="P491" t="n">
        <v>0</v>
      </c>
      <c r="Q491" t="n">
        <v>0</v>
      </c>
      <c r="R491" s="2" t="inlineStr"/>
    </row>
    <row r="492" ht="15" customHeight="1">
      <c r="A492" t="inlineStr">
        <is>
          <t>A 24318-2025</t>
        </is>
      </c>
      <c r="B492" s="1" t="n">
        <v>45797.54879629629</v>
      </c>
      <c r="C492" s="1" t="n">
        <v>45989</v>
      </c>
      <c r="D492" t="inlineStr">
        <is>
          <t>VÄRMLANDS LÄN</t>
        </is>
      </c>
      <c r="E492" t="inlineStr">
        <is>
          <t>TORSBY</t>
        </is>
      </c>
      <c r="G492" t="n">
        <v>2.1</v>
      </c>
      <c r="H492" t="n">
        <v>0</v>
      </c>
      <c r="I492" t="n">
        <v>0</v>
      </c>
      <c r="J492" t="n">
        <v>0</v>
      </c>
      <c r="K492" t="n">
        <v>0</v>
      </c>
      <c r="L492" t="n">
        <v>0</v>
      </c>
      <c r="M492" t="n">
        <v>0</v>
      </c>
      <c r="N492" t="n">
        <v>0</v>
      </c>
      <c r="O492" t="n">
        <v>0</v>
      </c>
      <c r="P492" t="n">
        <v>0</v>
      </c>
      <c r="Q492" t="n">
        <v>0</v>
      </c>
      <c r="R492" s="2" t="inlineStr"/>
    </row>
    <row r="493" ht="15" customHeight="1">
      <c r="A493" t="inlineStr">
        <is>
          <t>A 24251-2025</t>
        </is>
      </c>
      <c r="B493" s="1" t="n">
        <v>45797</v>
      </c>
      <c r="C493" s="1" t="n">
        <v>45989</v>
      </c>
      <c r="D493" t="inlineStr">
        <is>
          <t>VÄRMLANDS LÄN</t>
        </is>
      </c>
      <c r="E493" t="inlineStr">
        <is>
          <t>TORSBY</t>
        </is>
      </c>
      <c r="G493" t="n">
        <v>5.1</v>
      </c>
      <c r="H493" t="n">
        <v>0</v>
      </c>
      <c r="I493" t="n">
        <v>0</v>
      </c>
      <c r="J493" t="n">
        <v>0</v>
      </c>
      <c r="K493" t="n">
        <v>0</v>
      </c>
      <c r="L493" t="n">
        <v>0</v>
      </c>
      <c r="M493" t="n">
        <v>0</v>
      </c>
      <c r="N493" t="n">
        <v>0</v>
      </c>
      <c r="O493" t="n">
        <v>0</v>
      </c>
      <c r="P493" t="n">
        <v>0</v>
      </c>
      <c r="Q493" t="n">
        <v>0</v>
      </c>
      <c r="R493" s="2" t="inlineStr"/>
    </row>
    <row r="494" ht="15" customHeight="1">
      <c r="A494" t="inlineStr">
        <is>
          <t>A 22421-2024</t>
        </is>
      </c>
      <c r="B494" s="1" t="n">
        <v>45446.70890046296</v>
      </c>
      <c r="C494" s="1" t="n">
        <v>45989</v>
      </c>
      <c r="D494" t="inlineStr">
        <is>
          <t>VÄRMLANDS LÄN</t>
        </is>
      </c>
      <c r="E494" t="inlineStr">
        <is>
          <t>TORSBY</t>
        </is>
      </c>
      <c r="G494" t="n">
        <v>8.9</v>
      </c>
      <c r="H494" t="n">
        <v>0</v>
      </c>
      <c r="I494" t="n">
        <v>0</v>
      </c>
      <c r="J494" t="n">
        <v>0</v>
      </c>
      <c r="K494" t="n">
        <v>0</v>
      </c>
      <c r="L494" t="n">
        <v>0</v>
      </c>
      <c r="M494" t="n">
        <v>0</v>
      </c>
      <c r="N494" t="n">
        <v>0</v>
      </c>
      <c r="O494" t="n">
        <v>0</v>
      </c>
      <c r="P494" t="n">
        <v>0</v>
      </c>
      <c r="Q494" t="n">
        <v>0</v>
      </c>
      <c r="R494" s="2" t="inlineStr"/>
    </row>
    <row r="495" ht="15" customHeight="1">
      <c r="A495" t="inlineStr">
        <is>
          <t>A 24597-2025</t>
        </is>
      </c>
      <c r="B495" s="1" t="n">
        <v>45798</v>
      </c>
      <c r="C495" s="1" t="n">
        <v>45989</v>
      </c>
      <c r="D495" t="inlineStr">
        <is>
          <t>VÄRMLANDS LÄN</t>
        </is>
      </c>
      <c r="E495" t="inlineStr">
        <is>
          <t>TORSBY</t>
        </is>
      </c>
      <c r="F495" t="inlineStr">
        <is>
          <t>Övriga statliga verk och myndigheter</t>
        </is>
      </c>
      <c r="G495" t="n">
        <v>4</v>
      </c>
      <c r="H495" t="n">
        <v>0</v>
      </c>
      <c r="I495" t="n">
        <v>0</v>
      </c>
      <c r="J495" t="n">
        <v>0</v>
      </c>
      <c r="K495" t="n">
        <v>0</v>
      </c>
      <c r="L495" t="n">
        <v>0</v>
      </c>
      <c r="M495" t="n">
        <v>0</v>
      </c>
      <c r="N495" t="n">
        <v>0</v>
      </c>
      <c r="O495" t="n">
        <v>0</v>
      </c>
      <c r="P495" t="n">
        <v>0</v>
      </c>
      <c r="Q495" t="n">
        <v>0</v>
      </c>
      <c r="R495" s="2" t="inlineStr"/>
    </row>
    <row r="496" ht="15" customHeight="1">
      <c r="A496" t="inlineStr">
        <is>
          <t>A 24599-2025</t>
        </is>
      </c>
      <c r="B496" s="1" t="n">
        <v>45798.56230324074</v>
      </c>
      <c r="C496" s="1" t="n">
        <v>45989</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24204-2025</t>
        </is>
      </c>
      <c r="B497" s="1" t="n">
        <v>45797.31824074074</v>
      </c>
      <c r="C497" s="1" t="n">
        <v>45989</v>
      </c>
      <c r="D497" t="inlineStr">
        <is>
          <t>VÄRMLANDS LÄN</t>
        </is>
      </c>
      <c r="E497" t="inlineStr">
        <is>
          <t>TORSBY</t>
        </is>
      </c>
      <c r="F497" t="inlineStr">
        <is>
          <t>Bergvik skog väst AB</t>
        </is>
      </c>
      <c r="G497" t="n">
        <v>5.8</v>
      </c>
      <c r="H497" t="n">
        <v>0</v>
      </c>
      <c r="I497" t="n">
        <v>0</v>
      </c>
      <c r="J497" t="n">
        <v>0</v>
      </c>
      <c r="K497" t="n">
        <v>0</v>
      </c>
      <c r="L497" t="n">
        <v>0</v>
      </c>
      <c r="M497" t="n">
        <v>0</v>
      </c>
      <c r="N497" t="n">
        <v>0</v>
      </c>
      <c r="O497" t="n">
        <v>0</v>
      </c>
      <c r="P497" t="n">
        <v>0</v>
      </c>
      <c r="Q497" t="n">
        <v>0</v>
      </c>
      <c r="R497" s="2" t="inlineStr"/>
    </row>
    <row r="498" ht="15" customHeight="1">
      <c r="A498" t="inlineStr">
        <is>
          <t>A 24260-2025</t>
        </is>
      </c>
      <c r="B498" s="1" t="n">
        <v>45797</v>
      </c>
      <c r="C498" s="1" t="n">
        <v>45989</v>
      </c>
      <c r="D498" t="inlineStr">
        <is>
          <t>VÄRMLANDS LÄN</t>
        </is>
      </c>
      <c r="E498" t="inlineStr">
        <is>
          <t>TORSBY</t>
        </is>
      </c>
      <c r="G498" t="n">
        <v>2.5</v>
      </c>
      <c r="H498" t="n">
        <v>0</v>
      </c>
      <c r="I498" t="n">
        <v>0</v>
      </c>
      <c r="J498" t="n">
        <v>0</v>
      </c>
      <c r="K498" t="n">
        <v>0</v>
      </c>
      <c r="L498" t="n">
        <v>0</v>
      </c>
      <c r="M498" t="n">
        <v>0</v>
      </c>
      <c r="N498" t="n">
        <v>0</v>
      </c>
      <c r="O498" t="n">
        <v>0</v>
      </c>
      <c r="P498" t="n">
        <v>0</v>
      </c>
      <c r="Q498" t="n">
        <v>0</v>
      </c>
      <c r="R498" s="2" t="inlineStr"/>
    </row>
    <row r="499" ht="15" customHeight="1">
      <c r="A499" t="inlineStr">
        <is>
          <t>A 54865-2022</t>
        </is>
      </c>
      <c r="B499" s="1" t="n">
        <v>44884</v>
      </c>
      <c r="C499" s="1" t="n">
        <v>45989</v>
      </c>
      <c r="D499" t="inlineStr">
        <is>
          <t>VÄRMLANDS LÄN</t>
        </is>
      </c>
      <c r="E499" t="inlineStr">
        <is>
          <t>TORSBY</t>
        </is>
      </c>
      <c r="G499" t="n">
        <v>2.3</v>
      </c>
      <c r="H499" t="n">
        <v>0</v>
      </c>
      <c r="I499" t="n">
        <v>0</v>
      </c>
      <c r="J499" t="n">
        <v>0</v>
      </c>
      <c r="K499" t="n">
        <v>0</v>
      </c>
      <c r="L499" t="n">
        <v>0</v>
      </c>
      <c r="M499" t="n">
        <v>0</v>
      </c>
      <c r="N499" t="n">
        <v>0</v>
      </c>
      <c r="O499" t="n">
        <v>0</v>
      </c>
      <c r="P499" t="n">
        <v>0</v>
      </c>
      <c r="Q499" t="n">
        <v>0</v>
      </c>
      <c r="R499" s="2" t="inlineStr"/>
    </row>
    <row r="500" ht="15" customHeight="1">
      <c r="A500" t="inlineStr">
        <is>
          <t>A 27270-2024</t>
        </is>
      </c>
      <c r="B500" s="1" t="n">
        <v>45471.81967592592</v>
      </c>
      <c r="C500" s="1" t="n">
        <v>45989</v>
      </c>
      <c r="D500" t="inlineStr">
        <is>
          <t>VÄRMLANDS LÄN</t>
        </is>
      </c>
      <c r="E500" t="inlineStr">
        <is>
          <t>TORSBY</t>
        </is>
      </c>
      <c r="G500" t="n">
        <v>6.9</v>
      </c>
      <c r="H500" t="n">
        <v>0</v>
      </c>
      <c r="I500" t="n">
        <v>0</v>
      </c>
      <c r="J500" t="n">
        <v>0</v>
      </c>
      <c r="K500" t="n">
        <v>0</v>
      </c>
      <c r="L500" t="n">
        <v>0</v>
      </c>
      <c r="M500" t="n">
        <v>0</v>
      </c>
      <c r="N500" t="n">
        <v>0</v>
      </c>
      <c r="O500" t="n">
        <v>0</v>
      </c>
      <c r="P500" t="n">
        <v>0</v>
      </c>
      <c r="Q500" t="n">
        <v>0</v>
      </c>
      <c r="R500" s="2" t="inlineStr"/>
    </row>
    <row r="501" ht="15" customHeight="1">
      <c r="A501" t="inlineStr">
        <is>
          <t>A 27358-2024</t>
        </is>
      </c>
      <c r="B501" s="1" t="n">
        <v>45473.71635416667</v>
      </c>
      <c r="C501" s="1" t="n">
        <v>45989</v>
      </c>
      <c r="D501" t="inlineStr">
        <is>
          <t>VÄRMLANDS LÄN</t>
        </is>
      </c>
      <c r="E501" t="inlineStr">
        <is>
          <t>TORSBY</t>
        </is>
      </c>
      <c r="G501" t="n">
        <v>4.2</v>
      </c>
      <c r="H501" t="n">
        <v>0</v>
      </c>
      <c r="I501" t="n">
        <v>0</v>
      </c>
      <c r="J501" t="n">
        <v>0</v>
      </c>
      <c r="K501" t="n">
        <v>0</v>
      </c>
      <c r="L501" t="n">
        <v>0</v>
      </c>
      <c r="M501" t="n">
        <v>0</v>
      </c>
      <c r="N501" t="n">
        <v>0</v>
      </c>
      <c r="O501" t="n">
        <v>0</v>
      </c>
      <c r="P501" t="n">
        <v>0</v>
      </c>
      <c r="Q501" t="n">
        <v>0</v>
      </c>
      <c r="R501" s="2" t="inlineStr"/>
    </row>
    <row r="502" ht="15" customHeight="1">
      <c r="A502" t="inlineStr">
        <is>
          <t>A 27360-2024</t>
        </is>
      </c>
      <c r="B502" s="1" t="n">
        <v>45473</v>
      </c>
      <c r="C502" s="1" t="n">
        <v>45989</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35762-2024</t>
        </is>
      </c>
      <c r="B503" s="1" t="n">
        <v>45532.57373842593</v>
      </c>
      <c r="C503" s="1" t="n">
        <v>45989</v>
      </c>
      <c r="D503" t="inlineStr">
        <is>
          <t>VÄRMLANDS LÄN</t>
        </is>
      </c>
      <c r="E503" t="inlineStr">
        <is>
          <t>TORSBY</t>
        </is>
      </c>
      <c r="G503" t="n">
        <v>11.8</v>
      </c>
      <c r="H503" t="n">
        <v>0</v>
      </c>
      <c r="I503" t="n">
        <v>0</v>
      </c>
      <c r="J503" t="n">
        <v>0</v>
      </c>
      <c r="K503" t="n">
        <v>0</v>
      </c>
      <c r="L503" t="n">
        <v>0</v>
      </c>
      <c r="M503" t="n">
        <v>0</v>
      </c>
      <c r="N503" t="n">
        <v>0</v>
      </c>
      <c r="O503" t="n">
        <v>0</v>
      </c>
      <c r="P503" t="n">
        <v>0</v>
      </c>
      <c r="Q503" t="n">
        <v>0</v>
      </c>
      <c r="R503" s="2" t="inlineStr"/>
    </row>
    <row r="504" ht="15" customHeight="1">
      <c r="A504" t="inlineStr">
        <is>
          <t>A 35609-2024</t>
        </is>
      </c>
      <c r="B504" s="1" t="n">
        <v>45531.68758101852</v>
      </c>
      <c r="C504" s="1" t="n">
        <v>45989</v>
      </c>
      <c r="D504" t="inlineStr">
        <is>
          <t>VÄRMLANDS LÄN</t>
        </is>
      </c>
      <c r="E504" t="inlineStr">
        <is>
          <t>TORSBY</t>
        </is>
      </c>
      <c r="G504" t="n">
        <v>38.3</v>
      </c>
      <c r="H504" t="n">
        <v>0</v>
      </c>
      <c r="I504" t="n">
        <v>0</v>
      </c>
      <c r="J504" t="n">
        <v>0</v>
      </c>
      <c r="K504" t="n">
        <v>0</v>
      </c>
      <c r="L504" t="n">
        <v>0</v>
      </c>
      <c r="M504" t="n">
        <v>0</v>
      </c>
      <c r="N504" t="n">
        <v>0</v>
      </c>
      <c r="O504" t="n">
        <v>0</v>
      </c>
      <c r="P504" t="n">
        <v>0</v>
      </c>
      <c r="Q504" t="n">
        <v>0</v>
      </c>
      <c r="R504" s="2" t="inlineStr"/>
    </row>
    <row r="505" ht="15" customHeight="1">
      <c r="A505" t="inlineStr">
        <is>
          <t>A 25428-2025</t>
        </is>
      </c>
      <c r="B505" s="1" t="n">
        <v>45800.71540509259</v>
      </c>
      <c r="C505" s="1" t="n">
        <v>45989</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25353-2025</t>
        </is>
      </c>
      <c r="B506" s="1" t="n">
        <v>45800.61553240741</v>
      </c>
      <c r="C506" s="1" t="n">
        <v>45989</v>
      </c>
      <c r="D506" t="inlineStr">
        <is>
          <t>VÄRMLANDS LÄN</t>
        </is>
      </c>
      <c r="E506" t="inlineStr">
        <is>
          <t>TORSBY</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25186-2025</t>
        </is>
      </c>
      <c r="B507" s="1" t="n">
        <v>45800.45247685185</v>
      </c>
      <c r="C507" s="1" t="n">
        <v>45989</v>
      </c>
      <c r="D507" t="inlineStr">
        <is>
          <t>VÄRMLANDS LÄN</t>
        </is>
      </c>
      <c r="E507" t="inlineStr">
        <is>
          <t>TORSBY</t>
        </is>
      </c>
      <c r="F507" t="inlineStr">
        <is>
          <t>Kyrkan</t>
        </is>
      </c>
      <c r="G507" t="n">
        <v>10.2</v>
      </c>
      <c r="H507" t="n">
        <v>0</v>
      </c>
      <c r="I507" t="n">
        <v>0</v>
      </c>
      <c r="J507" t="n">
        <v>0</v>
      </c>
      <c r="K507" t="n">
        <v>0</v>
      </c>
      <c r="L507" t="n">
        <v>0</v>
      </c>
      <c r="M507" t="n">
        <v>0</v>
      </c>
      <c r="N507" t="n">
        <v>0</v>
      </c>
      <c r="O507" t="n">
        <v>0</v>
      </c>
      <c r="P507" t="n">
        <v>0</v>
      </c>
      <c r="Q507" t="n">
        <v>0</v>
      </c>
      <c r="R507" s="2" t="inlineStr"/>
    </row>
    <row r="508" ht="15" customHeight="1">
      <c r="A508" t="inlineStr">
        <is>
          <t>A 24726-2025</t>
        </is>
      </c>
      <c r="B508" s="1" t="n">
        <v>45799.32805555555</v>
      </c>
      <c r="C508" s="1" t="n">
        <v>45989</v>
      </c>
      <c r="D508" t="inlineStr">
        <is>
          <t>VÄRMLANDS LÄN</t>
        </is>
      </c>
      <c r="E508" t="inlineStr">
        <is>
          <t>TORSBY</t>
        </is>
      </c>
      <c r="G508" t="n">
        <v>4.8</v>
      </c>
      <c r="H508" t="n">
        <v>0</v>
      </c>
      <c r="I508" t="n">
        <v>0</v>
      </c>
      <c r="J508" t="n">
        <v>0</v>
      </c>
      <c r="K508" t="n">
        <v>0</v>
      </c>
      <c r="L508" t="n">
        <v>0</v>
      </c>
      <c r="M508" t="n">
        <v>0</v>
      </c>
      <c r="N508" t="n">
        <v>0</v>
      </c>
      <c r="O508" t="n">
        <v>0</v>
      </c>
      <c r="P508" t="n">
        <v>0</v>
      </c>
      <c r="Q508" t="n">
        <v>0</v>
      </c>
      <c r="R508" s="2" t="inlineStr"/>
    </row>
    <row r="509" ht="15" customHeight="1">
      <c r="A509" t="inlineStr">
        <is>
          <t>A 54714-2023</t>
        </is>
      </c>
      <c r="B509" s="1" t="n">
        <v>45236.3515162037</v>
      </c>
      <c r="C509" s="1" t="n">
        <v>45989</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25218-2025</t>
        </is>
      </c>
      <c r="B510" s="1" t="n">
        <v>45800.4766087963</v>
      </c>
      <c r="C510" s="1" t="n">
        <v>45989</v>
      </c>
      <c r="D510" t="inlineStr">
        <is>
          <t>VÄRMLANDS LÄN</t>
        </is>
      </c>
      <c r="E510" t="inlineStr">
        <is>
          <t>TORSBY</t>
        </is>
      </c>
      <c r="G510" t="n">
        <v>1.6</v>
      </c>
      <c r="H510" t="n">
        <v>0</v>
      </c>
      <c r="I510" t="n">
        <v>0</v>
      </c>
      <c r="J510" t="n">
        <v>0</v>
      </c>
      <c r="K510" t="n">
        <v>0</v>
      </c>
      <c r="L510" t="n">
        <v>0</v>
      </c>
      <c r="M510" t="n">
        <v>0</v>
      </c>
      <c r="N510" t="n">
        <v>0</v>
      </c>
      <c r="O510" t="n">
        <v>0</v>
      </c>
      <c r="P510" t="n">
        <v>0</v>
      </c>
      <c r="Q510" t="n">
        <v>0</v>
      </c>
      <c r="R510" s="2" t="inlineStr"/>
    </row>
    <row r="511" ht="15" customHeight="1">
      <c r="A511" t="inlineStr">
        <is>
          <t>A 18959-2024</t>
        </is>
      </c>
      <c r="B511" s="1" t="n">
        <v>45427.53032407408</v>
      </c>
      <c r="C511" s="1" t="n">
        <v>45989</v>
      </c>
      <c r="D511" t="inlineStr">
        <is>
          <t>VÄRMLANDS LÄN</t>
        </is>
      </c>
      <c r="E511" t="inlineStr">
        <is>
          <t>TORSBY</t>
        </is>
      </c>
      <c r="G511" t="n">
        <v>0.5</v>
      </c>
      <c r="H511" t="n">
        <v>0</v>
      </c>
      <c r="I511" t="n">
        <v>0</v>
      </c>
      <c r="J511" t="n">
        <v>0</v>
      </c>
      <c r="K511" t="n">
        <v>0</v>
      </c>
      <c r="L511" t="n">
        <v>0</v>
      </c>
      <c r="M511" t="n">
        <v>0</v>
      </c>
      <c r="N511" t="n">
        <v>0</v>
      </c>
      <c r="O511" t="n">
        <v>0</v>
      </c>
      <c r="P511" t="n">
        <v>0</v>
      </c>
      <c r="Q511" t="n">
        <v>0</v>
      </c>
      <c r="R511" s="2" t="inlineStr"/>
    </row>
    <row r="512" ht="15" customHeight="1">
      <c r="A512" t="inlineStr">
        <is>
          <t>A 24967-2025</t>
        </is>
      </c>
      <c r="B512" s="1" t="n">
        <v>45799.58332175926</v>
      </c>
      <c r="C512" s="1" t="n">
        <v>45989</v>
      </c>
      <c r="D512" t="inlineStr">
        <is>
          <t>VÄRMLANDS LÄN</t>
        </is>
      </c>
      <c r="E512" t="inlineStr">
        <is>
          <t>TORSBY</t>
        </is>
      </c>
      <c r="F512" t="inlineStr">
        <is>
          <t>Bergvik skog väst AB</t>
        </is>
      </c>
      <c r="G512" t="n">
        <v>17.6</v>
      </c>
      <c r="H512" t="n">
        <v>0</v>
      </c>
      <c r="I512" t="n">
        <v>0</v>
      </c>
      <c r="J512" t="n">
        <v>0</v>
      </c>
      <c r="K512" t="n">
        <v>0</v>
      </c>
      <c r="L512" t="n">
        <v>0</v>
      </c>
      <c r="M512" t="n">
        <v>0</v>
      </c>
      <c r="N512" t="n">
        <v>0</v>
      </c>
      <c r="O512" t="n">
        <v>0</v>
      </c>
      <c r="P512" t="n">
        <v>0</v>
      </c>
      <c r="Q512" t="n">
        <v>0</v>
      </c>
      <c r="R512" s="2" t="inlineStr"/>
    </row>
    <row r="513" ht="15" customHeight="1">
      <c r="A513" t="inlineStr">
        <is>
          <t>A 41022-2023</t>
        </is>
      </c>
      <c r="B513" s="1" t="n">
        <v>45173</v>
      </c>
      <c r="C513" s="1" t="n">
        <v>45989</v>
      </c>
      <c r="D513" t="inlineStr">
        <is>
          <t>VÄRMLANDS LÄN</t>
        </is>
      </c>
      <c r="E513" t="inlineStr">
        <is>
          <t>TORSBY</t>
        </is>
      </c>
      <c r="G513" t="n">
        <v>3.8</v>
      </c>
      <c r="H513" t="n">
        <v>0</v>
      </c>
      <c r="I513" t="n">
        <v>0</v>
      </c>
      <c r="J513" t="n">
        <v>0</v>
      </c>
      <c r="K513" t="n">
        <v>0</v>
      </c>
      <c r="L513" t="n">
        <v>0</v>
      </c>
      <c r="M513" t="n">
        <v>0</v>
      </c>
      <c r="N513" t="n">
        <v>0</v>
      </c>
      <c r="O513" t="n">
        <v>0</v>
      </c>
      <c r="P513" t="n">
        <v>0</v>
      </c>
      <c r="Q513" t="n">
        <v>0</v>
      </c>
      <c r="R513" s="2" t="inlineStr"/>
    </row>
    <row r="514" ht="15" customHeight="1">
      <c r="A514" t="inlineStr">
        <is>
          <t>A 30700-2024</t>
        </is>
      </c>
      <c r="B514" s="1" t="n">
        <v>45496.35869212963</v>
      </c>
      <c r="C514" s="1" t="n">
        <v>45989</v>
      </c>
      <c r="D514" t="inlineStr">
        <is>
          <t>VÄRMLANDS LÄN</t>
        </is>
      </c>
      <c r="E514" t="inlineStr">
        <is>
          <t>TORSBY</t>
        </is>
      </c>
      <c r="G514" t="n">
        <v>7.2</v>
      </c>
      <c r="H514" t="n">
        <v>0</v>
      </c>
      <c r="I514" t="n">
        <v>0</v>
      </c>
      <c r="J514" t="n">
        <v>0</v>
      </c>
      <c r="K514" t="n">
        <v>0</v>
      </c>
      <c r="L514" t="n">
        <v>0</v>
      </c>
      <c r="M514" t="n">
        <v>0</v>
      </c>
      <c r="N514" t="n">
        <v>0</v>
      </c>
      <c r="O514" t="n">
        <v>0</v>
      </c>
      <c r="P514" t="n">
        <v>0</v>
      </c>
      <c r="Q514" t="n">
        <v>0</v>
      </c>
      <c r="R514" s="2" t="inlineStr"/>
    </row>
    <row r="515" ht="15" customHeight="1">
      <c r="A515" t="inlineStr">
        <is>
          <t>A 30705-2024</t>
        </is>
      </c>
      <c r="B515" s="1" t="n">
        <v>45496.38092592593</v>
      </c>
      <c r="C515" s="1" t="n">
        <v>45989</v>
      </c>
      <c r="D515" t="inlineStr">
        <is>
          <t>VÄRMLANDS LÄN</t>
        </is>
      </c>
      <c r="E515" t="inlineStr">
        <is>
          <t>TORSBY</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39215-2022</t>
        </is>
      </c>
      <c r="B516" s="1" t="n">
        <v>44817</v>
      </c>
      <c r="C516" s="1" t="n">
        <v>45989</v>
      </c>
      <c r="D516" t="inlineStr">
        <is>
          <t>VÄRMLANDS LÄN</t>
        </is>
      </c>
      <c r="E516" t="inlineStr">
        <is>
          <t>TORSBY</t>
        </is>
      </c>
      <c r="G516" t="n">
        <v>3.8</v>
      </c>
      <c r="H516" t="n">
        <v>0</v>
      </c>
      <c r="I516" t="n">
        <v>0</v>
      </c>
      <c r="J516" t="n">
        <v>0</v>
      </c>
      <c r="K516" t="n">
        <v>0</v>
      </c>
      <c r="L516" t="n">
        <v>0</v>
      </c>
      <c r="M516" t="n">
        <v>0</v>
      </c>
      <c r="N516" t="n">
        <v>0</v>
      </c>
      <c r="O516" t="n">
        <v>0</v>
      </c>
      <c r="P516" t="n">
        <v>0</v>
      </c>
      <c r="Q516" t="n">
        <v>0</v>
      </c>
      <c r="R516" s="2" t="inlineStr"/>
    </row>
    <row r="517" ht="15" customHeight="1">
      <c r="A517" t="inlineStr">
        <is>
          <t>A 21518-2024</t>
        </is>
      </c>
      <c r="B517" s="1" t="n">
        <v>45441</v>
      </c>
      <c r="C517" s="1" t="n">
        <v>45989</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24757-2025</t>
        </is>
      </c>
      <c r="B518" s="1" t="n">
        <v>45799</v>
      </c>
      <c r="C518" s="1" t="n">
        <v>45989</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12051-2024</t>
        </is>
      </c>
      <c r="B519" s="1" t="n">
        <v>45377</v>
      </c>
      <c r="C519" s="1" t="n">
        <v>45989</v>
      </c>
      <c r="D519" t="inlineStr">
        <is>
          <t>VÄRMLANDS LÄN</t>
        </is>
      </c>
      <c r="E519" t="inlineStr">
        <is>
          <t>TORSBY</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39216-2022</t>
        </is>
      </c>
      <c r="B520" s="1" t="n">
        <v>44817</v>
      </c>
      <c r="C520" s="1" t="n">
        <v>45989</v>
      </c>
      <c r="D520" t="inlineStr">
        <is>
          <t>VÄRMLANDS LÄN</t>
        </is>
      </c>
      <c r="E520" t="inlineStr">
        <is>
          <t>TORSBY</t>
        </is>
      </c>
      <c r="G520" t="n">
        <v>6.6</v>
      </c>
      <c r="H520" t="n">
        <v>0</v>
      </c>
      <c r="I520" t="n">
        <v>0</v>
      </c>
      <c r="J520" t="n">
        <v>0</v>
      </c>
      <c r="K520" t="n">
        <v>0</v>
      </c>
      <c r="L520" t="n">
        <v>0</v>
      </c>
      <c r="M520" t="n">
        <v>0</v>
      </c>
      <c r="N520" t="n">
        <v>0</v>
      </c>
      <c r="O520" t="n">
        <v>0</v>
      </c>
      <c r="P520" t="n">
        <v>0</v>
      </c>
      <c r="Q520" t="n">
        <v>0</v>
      </c>
      <c r="R520" s="2" t="inlineStr"/>
    </row>
    <row r="521" ht="15" customHeight="1">
      <c r="A521" t="inlineStr">
        <is>
          <t>A 25369-2025</t>
        </is>
      </c>
      <c r="B521" s="1" t="n">
        <v>45800.63046296296</v>
      </c>
      <c r="C521" s="1" t="n">
        <v>45989</v>
      </c>
      <c r="D521" t="inlineStr">
        <is>
          <t>VÄRMLANDS LÄN</t>
        </is>
      </c>
      <c r="E521" t="inlineStr">
        <is>
          <t>TORSBY</t>
        </is>
      </c>
      <c r="F521" t="inlineStr">
        <is>
          <t>Bergvik skog väst AB</t>
        </is>
      </c>
      <c r="G521" t="n">
        <v>5.3</v>
      </c>
      <c r="H521" t="n">
        <v>0</v>
      </c>
      <c r="I521" t="n">
        <v>0</v>
      </c>
      <c r="J521" t="n">
        <v>0</v>
      </c>
      <c r="K521" t="n">
        <v>0</v>
      </c>
      <c r="L521" t="n">
        <v>0</v>
      </c>
      <c r="M521" t="n">
        <v>0</v>
      </c>
      <c r="N521" t="n">
        <v>0</v>
      </c>
      <c r="O521" t="n">
        <v>0</v>
      </c>
      <c r="P521" t="n">
        <v>0</v>
      </c>
      <c r="Q521" t="n">
        <v>0</v>
      </c>
      <c r="R521" s="2" t="inlineStr"/>
    </row>
    <row r="522" ht="15" customHeight="1">
      <c r="A522" t="inlineStr">
        <is>
          <t>A 9067-2023</t>
        </is>
      </c>
      <c r="B522" s="1" t="n">
        <v>44979</v>
      </c>
      <c r="C522" s="1" t="n">
        <v>45989</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36718-2024</t>
        </is>
      </c>
      <c r="B523" s="1" t="n">
        <v>45537</v>
      </c>
      <c r="C523" s="1" t="n">
        <v>45989</v>
      </c>
      <c r="D523" t="inlineStr">
        <is>
          <t>VÄRMLANDS LÄN</t>
        </is>
      </c>
      <c r="E523" t="inlineStr">
        <is>
          <t>TORSBY</t>
        </is>
      </c>
      <c r="G523" t="n">
        <v>3.7</v>
      </c>
      <c r="H523" t="n">
        <v>0</v>
      </c>
      <c r="I523" t="n">
        <v>0</v>
      </c>
      <c r="J523" t="n">
        <v>0</v>
      </c>
      <c r="K523" t="n">
        <v>0</v>
      </c>
      <c r="L523" t="n">
        <v>0</v>
      </c>
      <c r="M523" t="n">
        <v>0</v>
      </c>
      <c r="N523" t="n">
        <v>0</v>
      </c>
      <c r="O523" t="n">
        <v>0</v>
      </c>
      <c r="P523" t="n">
        <v>0</v>
      </c>
      <c r="Q523" t="n">
        <v>0</v>
      </c>
      <c r="R523" s="2" t="inlineStr"/>
    </row>
    <row r="524" ht="15" customHeight="1">
      <c r="A524" t="inlineStr">
        <is>
          <t>A 37075-2021</t>
        </is>
      </c>
      <c r="B524" s="1" t="n">
        <v>44394</v>
      </c>
      <c r="C524" s="1" t="n">
        <v>45989</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9574-2023</t>
        </is>
      </c>
      <c r="B525" s="1" t="n">
        <v>44982.55168981481</v>
      </c>
      <c r="C525" s="1" t="n">
        <v>45989</v>
      </c>
      <c r="D525" t="inlineStr">
        <is>
          <t>VÄRMLANDS LÄN</t>
        </is>
      </c>
      <c r="E525" t="inlineStr">
        <is>
          <t>TORSBY</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38497-2025</t>
        </is>
      </c>
      <c r="B526" s="1" t="n">
        <v>45884</v>
      </c>
      <c r="C526" s="1" t="n">
        <v>45989</v>
      </c>
      <c r="D526" t="inlineStr">
        <is>
          <t>VÄRMLANDS LÄN</t>
        </is>
      </c>
      <c r="E526" t="inlineStr">
        <is>
          <t>TORSBY</t>
        </is>
      </c>
      <c r="G526" t="n">
        <v>7.7</v>
      </c>
      <c r="H526" t="n">
        <v>0</v>
      </c>
      <c r="I526" t="n">
        <v>0</v>
      </c>
      <c r="J526" t="n">
        <v>0</v>
      </c>
      <c r="K526" t="n">
        <v>0</v>
      </c>
      <c r="L526" t="n">
        <v>0</v>
      </c>
      <c r="M526" t="n">
        <v>0</v>
      </c>
      <c r="N526" t="n">
        <v>0</v>
      </c>
      <c r="O526" t="n">
        <v>0</v>
      </c>
      <c r="P526" t="n">
        <v>0</v>
      </c>
      <c r="Q526" t="n">
        <v>0</v>
      </c>
      <c r="R526" s="2" t="inlineStr"/>
    </row>
    <row r="527" ht="15" customHeight="1">
      <c r="A527" t="inlineStr">
        <is>
          <t>A 42428-2024</t>
        </is>
      </c>
      <c r="B527" s="1" t="n">
        <v>45565</v>
      </c>
      <c r="C527" s="1" t="n">
        <v>45989</v>
      </c>
      <c r="D527" t="inlineStr">
        <is>
          <t>VÄRMLANDS LÄN</t>
        </is>
      </c>
      <c r="E527" t="inlineStr">
        <is>
          <t>TORSBY</t>
        </is>
      </c>
      <c r="F527" t="inlineStr">
        <is>
          <t>Bergvik skog väst AB</t>
        </is>
      </c>
      <c r="G527" t="n">
        <v>20.7</v>
      </c>
      <c r="H527" t="n">
        <v>0</v>
      </c>
      <c r="I527" t="n">
        <v>0</v>
      </c>
      <c r="J527" t="n">
        <v>0</v>
      </c>
      <c r="K527" t="n">
        <v>0</v>
      </c>
      <c r="L527" t="n">
        <v>0</v>
      </c>
      <c r="M527" t="n">
        <v>0</v>
      </c>
      <c r="N527" t="n">
        <v>0</v>
      </c>
      <c r="O527" t="n">
        <v>0</v>
      </c>
      <c r="P527" t="n">
        <v>0</v>
      </c>
      <c r="Q527" t="n">
        <v>0</v>
      </c>
      <c r="R527" s="2" t="inlineStr"/>
    </row>
    <row r="528" ht="15" customHeight="1">
      <c r="A528" t="inlineStr">
        <is>
          <t>A 38536-2025</t>
        </is>
      </c>
      <c r="B528" s="1" t="n">
        <v>45884.42</v>
      </c>
      <c r="C528" s="1" t="n">
        <v>45989</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32847-2024</t>
        </is>
      </c>
      <c r="B529" s="1" t="n">
        <v>45516.63021990741</v>
      </c>
      <c r="C529" s="1" t="n">
        <v>45989</v>
      </c>
      <c r="D529" t="inlineStr">
        <is>
          <t>VÄRMLANDS LÄN</t>
        </is>
      </c>
      <c r="E529" t="inlineStr">
        <is>
          <t>TORSBY</t>
        </is>
      </c>
      <c r="F529" t="inlineStr">
        <is>
          <t>Bergvik skog väst AB</t>
        </is>
      </c>
      <c r="G529" t="n">
        <v>3.9</v>
      </c>
      <c r="H529" t="n">
        <v>0</v>
      </c>
      <c r="I529" t="n">
        <v>0</v>
      </c>
      <c r="J529" t="n">
        <v>0</v>
      </c>
      <c r="K529" t="n">
        <v>0</v>
      </c>
      <c r="L529" t="n">
        <v>0</v>
      </c>
      <c r="M529" t="n">
        <v>0</v>
      </c>
      <c r="N529" t="n">
        <v>0</v>
      </c>
      <c r="O529" t="n">
        <v>0</v>
      </c>
      <c r="P529" t="n">
        <v>0</v>
      </c>
      <c r="Q529" t="n">
        <v>0</v>
      </c>
      <c r="R529" s="2" t="inlineStr"/>
    </row>
    <row r="530" ht="15" customHeight="1">
      <c r="A530" t="inlineStr">
        <is>
          <t>A 32138-2024</t>
        </is>
      </c>
      <c r="B530" s="1" t="n">
        <v>45511</v>
      </c>
      <c r="C530" s="1" t="n">
        <v>45989</v>
      </c>
      <c r="D530" t="inlineStr">
        <is>
          <t>VÄRMLANDS LÄN</t>
        </is>
      </c>
      <c r="E530" t="inlineStr">
        <is>
          <t>TORSBY</t>
        </is>
      </c>
      <c r="F530" t="inlineStr">
        <is>
          <t>Bergvik skog väst AB</t>
        </is>
      </c>
      <c r="G530" t="n">
        <v>26.3</v>
      </c>
      <c r="H530" t="n">
        <v>0</v>
      </c>
      <c r="I530" t="n">
        <v>0</v>
      </c>
      <c r="J530" t="n">
        <v>0</v>
      </c>
      <c r="K530" t="n">
        <v>0</v>
      </c>
      <c r="L530" t="n">
        <v>0</v>
      </c>
      <c r="M530" t="n">
        <v>0</v>
      </c>
      <c r="N530" t="n">
        <v>0</v>
      </c>
      <c r="O530" t="n">
        <v>0</v>
      </c>
      <c r="P530" t="n">
        <v>0</v>
      </c>
      <c r="Q530" t="n">
        <v>0</v>
      </c>
      <c r="R530" s="2" t="inlineStr"/>
    </row>
    <row r="531" ht="15" customHeight="1">
      <c r="A531" t="inlineStr">
        <is>
          <t>A 20872-2024</t>
        </is>
      </c>
      <c r="B531" s="1" t="n">
        <v>45439.44173611111</v>
      </c>
      <c r="C531" s="1" t="n">
        <v>45989</v>
      </c>
      <c r="D531" t="inlineStr">
        <is>
          <t>VÄRMLANDS LÄN</t>
        </is>
      </c>
      <c r="E531" t="inlineStr">
        <is>
          <t>TORSBY</t>
        </is>
      </c>
      <c r="G531" t="n">
        <v>7.4</v>
      </c>
      <c r="H531" t="n">
        <v>0</v>
      </c>
      <c r="I531" t="n">
        <v>0</v>
      </c>
      <c r="J531" t="n">
        <v>0</v>
      </c>
      <c r="K531" t="n">
        <v>0</v>
      </c>
      <c r="L531" t="n">
        <v>0</v>
      </c>
      <c r="M531" t="n">
        <v>0</v>
      </c>
      <c r="N531" t="n">
        <v>0</v>
      </c>
      <c r="O531" t="n">
        <v>0</v>
      </c>
      <c r="P531" t="n">
        <v>0</v>
      </c>
      <c r="Q531" t="n">
        <v>0</v>
      </c>
      <c r="R531" s="2" t="inlineStr"/>
    </row>
    <row r="532" ht="15" customHeight="1">
      <c r="A532" t="inlineStr">
        <is>
          <t>A 40987-2024</t>
        </is>
      </c>
      <c r="B532" s="1" t="n">
        <v>45558</v>
      </c>
      <c r="C532" s="1" t="n">
        <v>45989</v>
      </c>
      <c r="D532" t="inlineStr">
        <is>
          <t>VÄRMLANDS LÄN</t>
        </is>
      </c>
      <c r="E532" t="inlineStr">
        <is>
          <t>TORSBY</t>
        </is>
      </c>
      <c r="G532" t="n">
        <v>11.6</v>
      </c>
      <c r="H532" t="n">
        <v>0</v>
      </c>
      <c r="I532" t="n">
        <v>0</v>
      </c>
      <c r="J532" t="n">
        <v>0</v>
      </c>
      <c r="K532" t="n">
        <v>0</v>
      </c>
      <c r="L532" t="n">
        <v>0</v>
      </c>
      <c r="M532" t="n">
        <v>0</v>
      </c>
      <c r="N532" t="n">
        <v>0</v>
      </c>
      <c r="O532" t="n">
        <v>0</v>
      </c>
      <c r="P532" t="n">
        <v>0</v>
      </c>
      <c r="Q532" t="n">
        <v>0</v>
      </c>
      <c r="R532" s="2" t="inlineStr"/>
    </row>
    <row r="533" ht="15" customHeight="1">
      <c r="A533" t="inlineStr">
        <is>
          <t>A 25949-2024</t>
        </is>
      </c>
      <c r="B533" s="1" t="n">
        <v>45467.6442824074</v>
      </c>
      <c r="C533" s="1" t="n">
        <v>45989</v>
      </c>
      <c r="D533" t="inlineStr">
        <is>
          <t>VÄRMLANDS LÄN</t>
        </is>
      </c>
      <c r="E533" t="inlineStr">
        <is>
          <t>TORSBY</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31830-2024</t>
        </is>
      </c>
      <c r="B534" s="1" t="n">
        <v>45509</v>
      </c>
      <c r="C534" s="1" t="n">
        <v>45989</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25328-2025</t>
        </is>
      </c>
      <c r="B535" s="1" t="n">
        <v>45800</v>
      </c>
      <c r="C535" s="1" t="n">
        <v>45989</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25050-2025</t>
        </is>
      </c>
      <c r="B536" s="1" t="n">
        <v>45799</v>
      </c>
      <c r="C536" s="1" t="n">
        <v>45989</v>
      </c>
      <c r="D536" t="inlineStr">
        <is>
          <t>VÄRMLANDS LÄN</t>
        </is>
      </c>
      <c r="E536" t="inlineStr">
        <is>
          <t>TORSBY</t>
        </is>
      </c>
      <c r="F536" t="inlineStr">
        <is>
          <t>Bergvik skog väst AB</t>
        </is>
      </c>
      <c r="G536" t="n">
        <v>39.7</v>
      </c>
      <c r="H536" t="n">
        <v>0</v>
      </c>
      <c r="I536" t="n">
        <v>0</v>
      </c>
      <c r="J536" t="n">
        <v>0</v>
      </c>
      <c r="K536" t="n">
        <v>0</v>
      </c>
      <c r="L536" t="n">
        <v>0</v>
      </c>
      <c r="M536" t="n">
        <v>0</v>
      </c>
      <c r="N536" t="n">
        <v>0</v>
      </c>
      <c r="O536" t="n">
        <v>0</v>
      </c>
      <c r="P536" t="n">
        <v>0</v>
      </c>
      <c r="Q536" t="n">
        <v>0</v>
      </c>
      <c r="R536" s="2" t="inlineStr"/>
    </row>
    <row r="537" ht="15" customHeight="1">
      <c r="A537" t="inlineStr">
        <is>
          <t>A 21365-2023</t>
        </is>
      </c>
      <c r="B537" s="1" t="n">
        <v>45063.26761574074</v>
      </c>
      <c r="C537" s="1" t="n">
        <v>45989</v>
      </c>
      <c r="D537" t="inlineStr">
        <is>
          <t>VÄRMLANDS LÄN</t>
        </is>
      </c>
      <c r="E537" t="inlineStr">
        <is>
          <t>TORSBY</t>
        </is>
      </c>
      <c r="F537" t="inlineStr">
        <is>
          <t>Kyrkan</t>
        </is>
      </c>
      <c r="G537" t="n">
        <v>4</v>
      </c>
      <c r="H537" t="n">
        <v>0</v>
      </c>
      <c r="I537" t="n">
        <v>0</v>
      </c>
      <c r="J537" t="n">
        <v>0</v>
      </c>
      <c r="K537" t="n">
        <v>0</v>
      </c>
      <c r="L537" t="n">
        <v>0</v>
      </c>
      <c r="M537" t="n">
        <v>0</v>
      </c>
      <c r="N537" t="n">
        <v>0</v>
      </c>
      <c r="O537" t="n">
        <v>0</v>
      </c>
      <c r="P537" t="n">
        <v>0</v>
      </c>
      <c r="Q537" t="n">
        <v>0</v>
      </c>
      <c r="R537" s="2" t="inlineStr"/>
    </row>
    <row r="538" ht="15" customHeight="1">
      <c r="A538" t="inlineStr">
        <is>
          <t>A 60781-2024</t>
        </is>
      </c>
      <c r="B538" s="1" t="n">
        <v>45642</v>
      </c>
      <c r="C538" s="1" t="n">
        <v>45989</v>
      </c>
      <c r="D538" t="inlineStr">
        <is>
          <t>VÄRMLANDS LÄN</t>
        </is>
      </c>
      <c r="E538" t="inlineStr">
        <is>
          <t>TORSBY</t>
        </is>
      </c>
      <c r="G538" t="n">
        <v>4.3</v>
      </c>
      <c r="H538" t="n">
        <v>0</v>
      </c>
      <c r="I538" t="n">
        <v>0</v>
      </c>
      <c r="J538" t="n">
        <v>0</v>
      </c>
      <c r="K538" t="n">
        <v>0</v>
      </c>
      <c r="L538" t="n">
        <v>0</v>
      </c>
      <c r="M538" t="n">
        <v>0</v>
      </c>
      <c r="N538" t="n">
        <v>0</v>
      </c>
      <c r="O538" t="n">
        <v>0</v>
      </c>
      <c r="P538" t="n">
        <v>0</v>
      </c>
      <c r="Q538" t="n">
        <v>0</v>
      </c>
      <c r="R538" s="2" t="inlineStr"/>
    </row>
    <row r="539" ht="15" customHeight="1">
      <c r="A539" t="inlineStr">
        <is>
          <t>A 66978-2021</t>
        </is>
      </c>
      <c r="B539" s="1" t="n">
        <v>44522</v>
      </c>
      <c r="C539" s="1" t="n">
        <v>45989</v>
      </c>
      <c r="D539" t="inlineStr">
        <is>
          <t>VÄRMLANDS LÄN</t>
        </is>
      </c>
      <c r="E539" t="inlineStr">
        <is>
          <t>TORSBY</t>
        </is>
      </c>
      <c r="F539" t="inlineStr">
        <is>
          <t>Kommuner</t>
        </is>
      </c>
      <c r="G539" t="n">
        <v>1</v>
      </c>
      <c r="H539" t="n">
        <v>0</v>
      </c>
      <c r="I539" t="n">
        <v>0</v>
      </c>
      <c r="J539" t="n">
        <v>0</v>
      </c>
      <c r="K539" t="n">
        <v>0</v>
      </c>
      <c r="L539" t="n">
        <v>0</v>
      </c>
      <c r="M539" t="n">
        <v>0</v>
      </c>
      <c r="N539" t="n">
        <v>0</v>
      </c>
      <c r="O539" t="n">
        <v>0</v>
      </c>
      <c r="P539" t="n">
        <v>0</v>
      </c>
      <c r="Q539" t="n">
        <v>0</v>
      </c>
      <c r="R539" s="2" t="inlineStr"/>
    </row>
    <row r="540" ht="15" customHeight="1">
      <c r="A540" t="inlineStr">
        <is>
          <t>A 29375-2024</t>
        </is>
      </c>
      <c r="B540" s="1" t="n">
        <v>45483.58712962963</v>
      </c>
      <c r="C540" s="1" t="n">
        <v>45989</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25959-2025</t>
        </is>
      </c>
      <c r="B541" s="1" t="n">
        <v>45804.60914351852</v>
      </c>
      <c r="C541" s="1" t="n">
        <v>45989</v>
      </c>
      <c r="D541" t="inlineStr">
        <is>
          <t>VÄRMLANDS LÄN</t>
        </is>
      </c>
      <c r="E541" t="inlineStr">
        <is>
          <t>TORSBY</t>
        </is>
      </c>
      <c r="F541" t="inlineStr">
        <is>
          <t>Bergvik skog väst AB</t>
        </is>
      </c>
      <c r="G541" t="n">
        <v>17.6</v>
      </c>
      <c r="H541" t="n">
        <v>0</v>
      </c>
      <c r="I541" t="n">
        <v>0</v>
      </c>
      <c r="J541" t="n">
        <v>0</v>
      </c>
      <c r="K541" t="n">
        <v>0</v>
      </c>
      <c r="L541" t="n">
        <v>0</v>
      </c>
      <c r="M541" t="n">
        <v>0</v>
      </c>
      <c r="N541" t="n">
        <v>0</v>
      </c>
      <c r="O541" t="n">
        <v>0</v>
      </c>
      <c r="P541" t="n">
        <v>0</v>
      </c>
      <c r="Q541" t="n">
        <v>0</v>
      </c>
      <c r="R541" s="2" t="inlineStr"/>
    </row>
    <row r="542" ht="15" customHeight="1">
      <c r="A542" t="inlineStr">
        <is>
          <t>A 39208-2025</t>
        </is>
      </c>
      <c r="B542" s="1" t="n">
        <v>45888</v>
      </c>
      <c r="C542" s="1" t="n">
        <v>45989</v>
      </c>
      <c r="D542" t="inlineStr">
        <is>
          <t>VÄRMLANDS LÄN</t>
        </is>
      </c>
      <c r="E542" t="inlineStr">
        <is>
          <t>TORSBY</t>
        </is>
      </c>
      <c r="F542" t="inlineStr">
        <is>
          <t>Bergvik skog väst AB</t>
        </is>
      </c>
      <c r="G542" t="n">
        <v>39.1</v>
      </c>
      <c r="H542" t="n">
        <v>0</v>
      </c>
      <c r="I542" t="n">
        <v>0</v>
      </c>
      <c r="J542" t="n">
        <v>0</v>
      </c>
      <c r="K542" t="n">
        <v>0</v>
      </c>
      <c r="L542" t="n">
        <v>0</v>
      </c>
      <c r="M542" t="n">
        <v>0</v>
      </c>
      <c r="N542" t="n">
        <v>0</v>
      </c>
      <c r="O542" t="n">
        <v>0</v>
      </c>
      <c r="P542" t="n">
        <v>0</v>
      </c>
      <c r="Q542" t="n">
        <v>0</v>
      </c>
      <c r="R542" s="2" t="inlineStr"/>
    </row>
    <row r="543" ht="15" customHeight="1">
      <c r="A543" t="inlineStr">
        <is>
          <t>A 25807-2025</t>
        </is>
      </c>
      <c r="B543" s="1" t="n">
        <v>45804.41055555556</v>
      </c>
      <c r="C543" s="1" t="n">
        <v>45989</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25653-2025</t>
        </is>
      </c>
      <c r="B544" s="1" t="n">
        <v>45803.61072916666</v>
      </c>
      <c r="C544" s="1" t="n">
        <v>45989</v>
      </c>
      <c r="D544" t="inlineStr">
        <is>
          <t>VÄRMLANDS LÄN</t>
        </is>
      </c>
      <c r="E544" t="inlineStr">
        <is>
          <t>TORSBY</t>
        </is>
      </c>
      <c r="F544" t="inlineStr">
        <is>
          <t>Bergvik skog väst AB</t>
        </is>
      </c>
      <c r="G544" t="n">
        <v>6.1</v>
      </c>
      <c r="H544" t="n">
        <v>0</v>
      </c>
      <c r="I544" t="n">
        <v>0</v>
      </c>
      <c r="J544" t="n">
        <v>0</v>
      </c>
      <c r="K544" t="n">
        <v>0</v>
      </c>
      <c r="L544" t="n">
        <v>0</v>
      </c>
      <c r="M544" t="n">
        <v>0</v>
      </c>
      <c r="N544" t="n">
        <v>0</v>
      </c>
      <c r="O544" t="n">
        <v>0</v>
      </c>
      <c r="P544" t="n">
        <v>0</v>
      </c>
      <c r="Q544" t="n">
        <v>0</v>
      </c>
      <c r="R544" s="2" t="inlineStr"/>
    </row>
    <row r="545" ht="15" customHeight="1">
      <c r="A545" t="inlineStr">
        <is>
          <t>A 38143-2025</t>
        </is>
      </c>
      <c r="B545" s="1" t="n">
        <v>45882</v>
      </c>
      <c r="C545" s="1" t="n">
        <v>45989</v>
      </c>
      <c r="D545" t="inlineStr">
        <is>
          <t>VÄRMLANDS LÄN</t>
        </is>
      </c>
      <c r="E545" t="inlineStr">
        <is>
          <t>TORSBY</t>
        </is>
      </c>
      <c r="G545" t="n">
        <v>4.3</v>
      </c>
      <c r="H545" t="n">
        <v>0</v>
      </c>
      <c r="I545" t="n">
        <v>0</v>
      </c>
      <c r="J545" t="n">
        <v>0</v>
      </c>
      <c r="K545" t="n">
        <v>0</v>
      </c>
      <c r="L545" t="n">
        <v>0</v>
      </c>
      <c r="M545" t="n">
        <v>0</v>
      </c>
      <c r="N545" t="n">
        <v>0</v>
      </c>
      <c r="O545" t="n">
        <v>0</v>
      </c>
      <c r="P545" t="n">
        <v>0</v>
      </c>
      <c r="Q545" t="n">
        <v>0</v>
      </c>
      <c r="R545" s="2" t="inlineStr"/>
    </row>
    <row r="546" ht="15" customHeight="1">
      <c r="A546" t="inlineStr">
        <is>
          <t>A 11121-2024</t>
        </is>
      </c>
      <c r="B546" s="1" t="n">
        <v>45371.40634259259</v>
      </c>
      <c r="C546" s="1" t="n">
        <v>45989</v>
      </c>
      <c r="D546" t="inlineStr">
        <is>
          <t>VÄRMLANDS LÄN</t>
        </is>
      </c>
      <c r="E546" t="inlineStr">
        <is>
          <t>TORSBY</t>
        </is>
      </c>
      <c r="G546" t="n">
        <v>2.3</v>
      </c>
      <c r="H546" t="n">
        <v>0</v>
      </c>
      <c r="I546" t="n">
        <v>0</v>
      </c>
      <c r="J546" t="n">
        <v>0</v>
      </c>
      <c r="K546" t="n">
        <v>0</v>
      </c>
      <c r="L546" t="n">
        <v>0</v>
      </c>
      <c r="M546" t="n">
        <v>0</v>
      </c>
      <c r="N546" t="n">
        <v>0</v>
      </c>
      <c r="O546" t="n">
        <v>0</v>
      </c>
      <c r="P546" t="n">
        <v>0</v>
      </c>
      <c r="Q546" t="n">
        <v>0</v>
      </c>
      <c r="R546" s="2" t="inlineStr"/>
    </row>
    <row r="547" ht="15" customHeight="1">
      <c r="A547" t="inlineStr">
        <is>
          <t>A 25881-2025</t>
        </is>
      </c>
      <c r="B547" s="1" t="n">
        <v>45804.49729166667</v>
      </c>
      <c r="C547" s="1" t="n">
        <v>45989</v>
      </c>
      <c r="D547" t="inlineStr">
        <is>
          <t>VÄRMLANDS LÄN</t>
        </is>
      </c>
      <c r="E547" t="inlineStr">
        <is>
          <t>TORSBY</t>
        </is>
      </c>
      <c r="G547" t="n">
        <v>5.3</v>
      </c>
      <c r="H547" t="n">
        <v>0</v>
      </c>
      <c r="I547" t="n">
        <v>0</v>
      </c>
      <c r="J547" t="n">
        <v>0</v>
      </c>
      <c r="K547" t="n">
        <v>0</v>
      </c>
      <c r="L547" t="n">
        <v>0</v>
      </c>
      <c r="M547" t="n">
        <v>0</v>
      </c>
      <c r="N547" t="n">
        <v>0</v>
      </c>
      <c r="O547" t="n">
        <v>0</v>
      </c>
      <c r="P547" t="n">
        <v>0</v>
      </c>
      <c r="Q547" t="n">
        <v>0</v>
      </c>
      <c r="R547" s="2" t="inlineStr"/>
    </row>
    <row r="548" ht="15" customHeight="1">
      <c r="A548" t="inlineStr">
        <is>
          <t>A 25917-2025</t>
        </is>
      </c>
      <c r="B548" s="1" t="n">
        <v>45804.56704861111</v>
      </c>
      <c r="C548" s="1" t="n">
        <v>45989</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38738-2025</t>
        </is>
      </c>
      <c r="B549" s="1" t="n">
        <v>45887.3715162037</v>
      </c>
      <c r="C549" s="1" t="n">
        <v>45989</v>
      </c>
      <c r="D549" t="inlineStr">
        <is>
          <t>VÄRMLANDS LÄN</t>
        </is>
      </c>
      <c r="E549" t="inlineStr">
        <is>
          <t>TORSBY</t>
        </is>
      </c>
      <c r="F549" t="inlineStr">
        <is>
          <t>Bergvik skog väst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33227-2024</t>
        </is>
      </c>
      <c r="B550" s="1" t="n">
        <v>45518.5708912037</v>
      </c>
      <c r="C550" s="1" t="n">
        <v>45989</v>
      </c>
      <c r="D550" t="inlineStr">
        <is>
          <t>VÄRMLANDS LÄN</t>
        </is>
      </c>
      <c r="E550" t="inlineStr">
        <is>
          <t>TORSBY</t>
        </is>
      </c>
      <c r="F550" t="inlineStr">
        <is>
          <t>Bergvik skog väst AB</t>
        </is>
      </c>
      <c r="G550" t="n">
        <v>3.8</v>
      </c>
      <c r="H550" t="n">
        <v>0</v>
      </c>
      <c r="I550" t="n">
        <v>0</v>
      </c>
      <c r="J550" t="n">
        <v>0</v>
      </c>
      <c r="K550" t="n">
        <v>0</v>
      </c>
      <c r="L550" t="n">
        <v>0</v>
      </c>
      <c r="M550" t="n">
        <v>0</v>
      </c>
      <c r="N550" t="n">
        <v>0</v>
      </c>
      <c r="O550" t="n">
        <v>0</v>
      </c>
      <c r="P550" t="n">
        <v>0</v>
      </c>
      <c r="Q550" t="n">
        <v>0</v>
      </c>
      <c r="R550" s="2" t="inlineStr"/>
    </row>
    <row r="551" ht="15" customHeight="1">
      <c r="A551" t="inlineStr">
        <is>
          <t>A 25464-2025</t>
        </is>
      </c>
      <c r="B551" s="1" t="n">
        <v>45802.46032407408</v>
      </c>
      <c r="C551" s="1" t="n">
        <v>45989</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25465-2025</t>
        </is>
      </c>
      <c r="B552" s="1" t="n">
        <v>45802.48196759259</v>
      </c>
      <c r="C552" s="1" t="n">
        <v>45989</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25443-2025</t>
        </is>
      </c>
      <c r="B553" s="1" t="n">
        <v>45801.49258101852</v>
      </c>
      <c r="C553" s="1" t="n">
        <v>45989</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25808-2025</t>
        </is>
      </c>
      <c r="B554" s="1" t="n">
        <v>45804.41528935185</v>
      </c>
      <c r="C554" s="1" t="n">
        <v>45989</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25803-2025</t>
        </is>
      </c>
      <c r="B555" s="1" t="n">
        <v>45804.40886574074</v>
      </c>
      <c r="C555" s="1" t="n">
        <v>45989</v>
      </c>
      <c r="D555" t="inlineStr">
        <is>
          <t>VÄRMLANDS LÄN</t>
        </is>
      </c>
      <c r="E555" t="inlineStr">
        <is>
          <t>TORSBY</t>
        </is>
      </c>
      <c r="G555" t="n">
        <v>2.3</v>
      </c>
      <c r="H555" t="n">
        <v>0</v>
      </c>
      <c r="I555" t="n">
        <v>0</v>
      </c>
      <c r="J555" t="n">
        <v>0</v>
      </c>
      <c r="K555" t="n">
        <v>0</v>
      </c>
      <c r="L555" t="n">
        <v>0</v>
      </c>
      <c r="M555" t="n">
        <v>0</v>
      </c>
      <c r="N555" t="n">
        <v>0</v>
      </c>
      <c r="O555" t="n">
        <v>0</v>
      </c>
      <c r="P555" t="n">
        <v>0</v>
      </c>
      <c r="Q555" t="n">
        <v>0</v>
      </c>
      <c r="R555" s="2" t="inlineStr"/>
    </row>
    <row r="556" ht="15" customHeight="1">
      <c r="A556" t="inlineStr">
        <is>
          <t>A 25915-2025</t>
        </is>
      </c>
      <c r="B556" s="1" t="n">
        <v>45804.56549768519</v>
      </c>
      <c r="C556" s="1" t="n">
        <v>45989</v>
      </c>
      <c r="D556" t="inlineStr">
        <is>
          <t>VÄRMLANDS LÄN</t>
        </is>
      </c>
      <c r="E556" t="inlineStr">
        <is>
          <t>TORSBY</t>
        </is>
      </c>
      <c r="G556" t="n">
        <v>0.8</v>
      </c>
      <c r="H556" t="n">
        <v>0</v>
      </c>
      <c r="I556" t="n">
        <v>0</v>
      </c>
      <c r="J556" t="n">
        <v>0</v>
      </c>
      <c r="K556" t="n">
        <v>0</v>
      </c>
      <c r="L556" t="n">
        <v>0</v>
      </c>
      <c r="M556" t="n">
        <v>0</v>
      </c>
      <c r="N556" t="n">
        <v>0</v>
      </c>
      <c r="O556" t="n">
        <v>0</v>
      </c>
      <c r="P556" t="n">
        <v>0</v>
      </c>
      <c r="Q556" t="n">
        <v>0</v>
      </c>
      <c r="R556" s="2" t="inlineStr"/>
    </row>
    <row r="557" ht="15" customHeight="1">
      <c r="A557" t="inlineStr">
        <is>
          <t>A 14023-2025</t>
        </is>
      </c>
      <c r="B557" s="1" t="n">
        <v>45740</v>
      </c>
      <c r="C557" s="1" t="n">
        <v>45989</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38771-2025</t>
        </is>
      </c>
      <c r="B558" s="1" t="n">
        <v>45887</v>
      </c>
      <c r="C558" s="1" t="n">
        <v>45989</v>
      </c>
      <c r="D558" t="inlineStr">
        <is>
          <t>VÄRMLANDS LÄN</t>
        </is>
      </c>
      <c r="E558" t="inlineStr">
        <is>
          <t>TORSBY</t>
        </is>
      </c>
      <c r="G558" t="n">
        <v>2.7</v>
      </c>
      <c r="H558" t="n">
        <v>0</v>
      </c>
      <c r="I558" t="n">
        <v>0</v>
      </c>
      <c r="J558" t="n">
        <v>0</v>
      </c>
      <c r="K558" t="n">
        <v>0</v>
      </c>
      <c r="L558" t="n">
        <v>0</v>
      </c>
      <c r="M558" t="n">
        <v>0</v>
      </c>
      <c r="N558" t="n">
        <v>0</v>
      </c>
      <c r="O558" t="n">
        <v>0</v>
      </c>
      <c r="P558" t="n">
        <v>0</v>
      </c>
      <c r="Q558" t="n">
        <v>0</v>
      </c>
      <c r="R558" s="2" t="inlineStr"/>
    </row>
    <row r="559" ht="15" customHeight="1">
      <c r="A559" t="inlineStr">
        <is>
          <t>A 54796-2024</t>
        </is>
      </c>
      <c r="B559" s="1" t="n">
        <v>45618</v>
      </c>
      <c r="C559" s="1" t="n">
        <v>45989</v>
      </c>
      <c r="D559" t="inlineStr">
        <is>
          <t>VÄRMLANDS LÄN</t>
        </is>
      </c>
      <c r="E559" t="inlineStr">
        <is>
          <t>TORSBY</t>
        </is>
      </c>
      <c r="G559" t="n">
        <v>0.8</v>
      </c>
      <c r="H559" t="n">
        <v>0</v>
      </c>
      <c r="I559" t="n">
        <v>0</v>
      </c>
      <c r="J559" t="n">
        <v>0</v>
      </c>
      <c r="K559" t="n">
        <v>0</v>
      </c>
      <c r="L559" t="n">
        <v>0</v>
      </c>
      <c r="M559" t="n">
        <v>0</v>
      </c>
      <c r="N559" t="n">
        <v>0</v>
      </c>
      <c r="O559" t="n">
        <v>0</v>
      </c>
      <c r="P559" t="n">
        <v>0</v>
      </c>
      <c r="Q559" t="n">
        <v>0</v>
      </c>
      <c r="R559" s="2" t="inlineStr"/>
    </row>
    <row r="560" ht="15" customHeight="1">
      <c r="A560" t="inlineStr">
        <is>
          <t>A 38808-2025</t>
        </is>
      </c>
      <c r="B560" s="1" t="n">
        <v>45887.47344907407</v>
      </c>
      <c r="C560" s="1" t="n">
        <v>45989</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39059-2025</t>
        </is>
      </c>
      <c r="B561" s="1" t="n">
        <v>45888</v>
      </c>
      <c r="C561" s="1" t="n">
        <v>45989</v>
      </c>
      <c r="D561" t="inlineStr">
        <is>
          <t>VÄRMLANDS LÄN</t>
        </is>
      </c>
      <c r="E561" t="inlineStr">
        <is>
          <t>TORSBY</t>
        </is>
      </c>
      <c r="G561" t="n">
        <v>8.6</v>
      </c>
      <c r="H561" t="n">
        <v>0</v>
      </c>
      <c r="I561" t="n">
        <v>0</v>
      </c>
      <c r="J561" t="n">
        <v>0</v>
      </c>
      <c r="K561" t="n">
        <v>0</v>
      </c>
      <c r="L561" t="n">
        <v>0</v>
      </c>
      <c r="M561" t="n">
        <v>0</v>
      </c>
      <c r="N561" t="n">
        <v>0</v>
      </c>
      <c r="O561" t="n">
        <v>0</v>
      </c>
      <c r="P561" t="n">
        <v>0</v>
      </c>
      <c r="Q561" t="n">
        <v>0</v>
      </c>
      <c r="R561" s="2" t="inlineStr"/>
    </row>
    <row r="562" ht="15" customHeight="1">
      <c r="A562" t="inlineStr">
        <is>
          <t>A 25859-2025</t>
        </is>
      </c>
      <c r="B562" s="1" t="n">
        <v>45804.47244212963</v>
      </c>
      <c r="C562" s="1" t="n">
        <v>45989</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61128-2022</t>
        </is>
      </c>
      <c r="B563" s="1" t="n">
        <v>44915.4455787037</v>
      </c>
      <c r="C563" s="1" t="n">
        <v>45989</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41671-2021</t>
        </is>
      </c>
      <c r="B564" s="1" t="n">
        <v>44425</v>
      </c>
      <c r="C564" s="1" t="n">
        <v>45989</v>
      </c>
      <c r="D564" t="inlineStr">
        <is>
          <t>VÄRMLANDS LÄN</t>
        </is>
      </c>
      <c r="E564" t="inlineStr">
        <is>
          <t>TORSBY</t>
        </is>
      </c>
      <c r="F564" t="inlineStr">
        <is>
          <t>Övriga Aktiebolag</t>
        </is>
      </c>
      <c r="G564" t="n">
        <v>10.1</v>
      </c>
      <c r="H564" t="n">
        <v>0</v>
      </c>
      <c r="I564" t="n">
        <v>0</v>
      </c>
      <c r="J564" t="n">
        <v>0</v>
      </c>
      <c r="K564" t="n">
        <v>0</v>
      </c>
      <c r="L564" t="n">
        <v>0</v>
      </c>
      <c r="M564" t="n">
        <v>0</v>
      </c>
      <c r="N564" t="n">
        <v>0</v>
      </c>
      <c r="O564" t="n">
        <v>0</v>
      </c>
      <c r="P564" t="n">
        <v>0</v>
      </c>
      <c r="Q564" t="n">
        <v>0</v>
      </c>
      <c r="R564" s="2" t="inlineStr"/>
    </row>
    <row r="565" ht="15" customHeight="1">
      <c r="A565" t="inlineStr">
        <is>
          <t>A 25545-2025</t>
        </is>
      </c>
      <c r="B565" s="1" t="n">
        <v>45803.43763888889</v>
      </c>
      <c r="C565" s="1" t="n">
        <v>45989</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27086-2024</t>
        </is>
      </c>
      <c r="B566" s="1" t="n">
        <v>45471</v>
      </c>
      <c r="C566" s="1" t="n">
        <v>45989</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25508-2025</t>
        </is>
      </c>
      <c r="B567" s="1" t="n">
        <v>45803.35520833333</v>
      </c>
      <c r="C567" s="1" t="n">
        <v>45989</v>
      </c>
      <c r="D567" t="inlineStr">
        <is>
          <t>VÄRMLANDS LÄN</t>
        </is>
      </c>
      <c r="E567" t="inlineStr">
        <is>
          <t>TORSBY</t>
        </is>
      </c>
      <c r="G567" t="n">
        <v>3.9</v>
      </c>
      <c r="H567" t="n">
        <v>0</v>
      </c>
      <c r="I567" t="n">
        <v>0</v>
      </c>
      <c r="J567" t="n">
        <v>0</v>
      </c>
      <c r="K567" t="n">
        <v>0</v>
      </c>
      <c r="L567" t="n">
        <v>0</v>
      </c>
      <c r="M567" t="n">
        <v>0</v>
      </c>
      <c r="N567" t="n">
        <v>0</v>
      </c>
      <c r="O567" t="n">
        <v>0</v>
      </c>
      <c r="P567" t="n">
        <v>0</v>
      </c>
      <c r="Q567" t="n">
        <v>0</v>
      </c>
      <c r="R567" s="2" t="inlineStr"/>
    </row>
    <row r="568" ht="15" customHeight="1">
      <c r="A568" t="inlineStr">
        <is>
          <t>A 39033-2025</t>
        </is>
      </c>
      <c r="B568" s="1" t="n">
        <v>45888</v>
      </c>
      <c r="C568" s="1" t="n">
        <v>45989</v>
      </c>
      <c r="D568" t="inlineStr">
        <is>
          <t>VÄRMLANDS LÄN</t>
        </is>
      </c>
      <c r="E568" t="inlineStr">
        <is>
          <t>TORSBY</t>
        </is>
      </c>
      <c r="G568" t="n">
        <v>6.4</v>
      </c>
      <c r="H568" t="n">
        <v>0</v>
      </c>
      <c r="I568" t="n">
        <v>0</v>
      </c>
      <c r="J568" t="n">
        <v>0</v>
      </c>
      <c r="K568" t="n">
        <v>0</v>
      </c>
      <c r="L568" t="n">
        <v>0</v>
      </c>
      <c r="M568" t="n">
        <v>0</v>
      </c>
      <c r="N568" t="n">
        <v>0</v>
      </c>
      <c r="O568" t="n">
        <v>0</v>
      </c>
      <c r="P568" t="n">
        <v>0</v>
      </c>
      <c r="Q568" t="n">
        <v>0</v>
      </c>
      <c r="R568" s="2" t="inlineStr"/>
    </row>
    <row r="569" ht="15" customHeight="1">
      <c r="A569" t="inlineStr">
        <is>
          <t>A 14025-2025</t>
        </is>
      </c>
      <c r="B569" s="1" t="n">
        <v>45740</v>
      </c>
      <c r="C569" s="1" t="n">
        <v>45989</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26158-2025</t>
        </is>
      </c>
      <c r="B570" s="1" t="n">
        <v>45805</v>
      </c>
      <c r="C570" s="1" t="n">
        <v>45989</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26061-2025</t>
        </is>
      </c>
      <c r="B571" s="1" t="n">
        <v>45805.24886574074</v>
      </c>
      <c r="C571" s="1" t="n">
        <v>45989</v>
      </c>
      <c r="D571" t="inlineStr">
        <is>
          <t>VÄRMLANDS LÄN</t>
        </is>
      </c>
      <c r="E571" t="inlineStr">
        <is>
          <t>TORSBY</t>
        </is>
      </c>
      <c r="G571" t="n">
        <v>3.9</v>
      </c>
      <c r="H571" t="n">
        <v>0</v>
      </c>
      <c r="I571" t="n">
        <v>0</v>
      </c>
      <c r="J571" t="n">
        <v>0</v>
      </c>
      <c r="K571" t="n">
        <v>0</v>
      </c>
      <c r="L571" t="n">
        <v>0</v>
      </c>
      <c r="M571" t="n">
        <v>0</v>
      </c>
      <c r="N571" t="n">
        <v>0</v>
      </c>
      <c r="O571" t="n">
        <v>0</v>
      </c>
      <c r="P571" t="n">
        <v>0</v>
      </c>
      <c r="Q571" t="n">
        <v>0</v>
      </c>
      <c r="R571" s="2" t="inlineStr"/>
    </row>
    <row r="572" ht="15" customHeight="1">
      <c r="A572" t="inlineStr">
        <is>
          <t>A 38979-2025</t>
        </is>
      </c>
      <c r="B572" s="1" t="n">
        <v>45887.99758101852</v>
      </c>
      <c r="C572" s="1" t="n">
        <v>45989</v>
      </c>
      <c r="D572" t="inlineStr">
        <is>
          <t>VÄRMLANDS LÄN</t>
        </is>
      </c>
      <c r="E572" t="inlineStr">
        <is>
          <t>TORSBY</t>
        </is>
      </c>
      <c r="G572" t="n">
        <v>5</v>
      </c>
      <c r="H572" t="n">
        <v>0</v>
      </c>
      <c r="I572" t="n">
        <v>0</v>
      </c>
      <c r="J572" t="n">
        <v>0</v>
      </c>
      <c r="K572" t="n">
        <v>0</v>
      </c>
      <c r="L572" t="n">
        <v>0</v>
      </c>
      <c r="M572" t="n">
        <v>0</v>
      </c>
      <c r="N572" t="n">
        <v>0</v>
      </c>
      <c r="O572" t="n">
        <v>0</v>
      </c>
      <c r="P572" t="n">
        <v>0</v>
      </c>
      <c r="Q572" t="n">
        <v>0</v>
      </c>
      <c r="R572" s="2" t="inlineStr"/>
    </row>
    <row r="573" ht="15" customHeight="1">
      <c r="A573" t="inlineStr">
        <is>
          <t>A 51823-2024</t>
        </is>
      </c>
      <c r="B573" s="1" t="n">
        <v>45607</v>
      </c>
      <c r="C573" s="1" t="n">
        <v>45989</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38795-2025</t>
        </is>
      </c>
      <c r="B574" s="1" t="n">
        <v>45887</v>
      </c>
      <c r="C574" s="1" t="n">
        <v>45989</v>
      </c>
      <c r="D574" t="inlineStr">
        <is>
          <t>VÄRMLANDS LÄN</t>
        </is>
      </c>
      <c r="E574" t="inlineStr">
        <is>
          <t>TORSBY</t>
        </is>
      </c>
      <c r="F574" t="inlineStr">
        <is>
          <t>Bergvik skog väst AB</t>
        </is>
      </c>
      <c r="G574" t="n">
        <v>4.2</v>
      </c>
      <c r="H574" t="n">
        <v>0</v>
      </c>
      <c r="I574" t="n">
        <v>0</v>
      </c>
      <c r="J574" t="n">
        <v>0</v>
      </c>
      <c r="K574" t="n">
        <v>0</v>
      </c>
      <c r="L574" t="n">
        <v>0</v>
      </c>
      <c r="M574" t="n">
        <v>0</v>
      </c>
      <c r="N574" t="n">
        <v>0</v>
      </c>
      <c r="O574" t="n">
        <v>0</v>
      </c>
      <c r="P574" t="n">
        <v>0</v>
      </c>
      <c r="Q574" t="n">
        <v>0</v>
      </c>
      <c r="R574" s="2" t="inlineStr"/>
    </row>
    <row r="575" ht="15" customHeight="1">
      <c r="A575" t="inlineStr">
        <is>
          <t>A 38541-2023</t>
        </is>
      </c>
      <c r="B575" s="1" t="n">
        <v>45162</v>
      </c>
      <c r="C575" s="1" t="n">
        <v>45989</v>
      </c>
      <c r="D575" t="inlineStr">
        <is>
          <t>VÄRMLANDS LÄN</t>
        </is>
      </c>
      <c r="E575" t="inlineStr">
        <is>
          <t>TORSBY</t>
        </is>
      </c>
      <c r="G575" t="n">
        <v>2</v>
      </c>
      <c r="H575" t="n">
        <v>0</v>
      </c>
      <c r="I575" t="n">
        <v>0</v>
      </c>
      <c r="J575" t="n">
        <v>0</v>
      </c>
      <c r="K575" t="n">
        <v>0</v>
      </c>
      <c r="L575" t="n">
        <v>0</v>
      </c>
      <c r="M575" t="n">
        <v>0</v>
      </c>
      <c r="N575" t="n">
        <v>0</v>
      </c>
      <c r="O575" t="n">
        <v>0</v>
      </c>
      <c r="P575" t="n">
        <v>0</v>
      </c>
      <c r="Q575" t="n">
        <v>0</v>
      </c>
      <c r="R575" s="2" t="inlineStr"/>
    </row>
    <row r="576" ht="15" customHeight="1">
      <c r="A576" t="inlineStr">
        <is>
          <t>A 26231-2025</t>
        </is>
      </c>
      <c r="B576" s="1" t="n">
        <v>45805</v>
      </c>
      <c r="C576" s="1" t="n">
        <v>45989</v>
      </c>
      <c r="D576" t="inlineStr">
        <is>
          <t>VÄRMLANDS LÄN</t>
        </is>
      </c>
      <c r="E576" t="inlineStr">
        <is>
          <t>TORSBY</t>
        </is>
      </c>
      <c r="G576" t="n">
        <v>0.5</v>
      </c>
      <c r="H576" t="n">
        <v>0</v>
      </c>
      <c r="I576" t="n">
        <v>0</v>
      </c>
      <c r="J576" t="n">
        <v>0</v>
      </c>
      <c r="K576" t="n">
        <v>0</v>
      </c>
      <c r="L576" t="n">
        <v>0</v>
      </c>
      <c r="M576" t="n">
        <v>0</v>
      </c>
      <c r="N576" t="n">
        <v>0</v>
      </c>
      <c r="O576" t="n">
        <v>0</v>
      </c>
      <c r="P576" t="n">
        <v>0</v>
      </c>
      <c r="Q576" t="n">
        <v>0</v>
      </c>
      <c r="R576" s="2" t="inlineStr"/>
    </row>
    <row r="577" ht="15" customHeight="1">
      <c r="A577" t="inlineStr">
        <is>
          <t>A 26108-2025</t>
        </is>
      </c>
      <c r="B577" s="1" t="n">
        <v>45805</v>
      </c>
      <c r="C577" s="1" t="n">
        <v>45989</v>
      </c>
      <c r="D577" t="inlineStr">
        <is>
          <t>VÄRMLANDS LÄN</t>
        </is>
      </c>
      <c r="E577" t="inlineStr">
        <is>
          <t>TORSBY</t>
        </is>
      </c>
      <c r="F577" t="inlineStr">
        <is>
          <t>Bergvik skog väst AB</t>
        </is>
      </c>
      <c r="G577" t="n">
        <v>22.8</v>
      </c>
      <c r="H577" t="n">
        <v>0</v>
      </c>
      <c r="I577" t="n">
        <v>0</v>
      </c>
      <c r="J577" t="n">
        <v>0</v>
      </c>
      <c r="K577" t="n">
        <v>0</v>
      </c>
      <c r="L577" t="n">
        <v>0</v>
      </c>
      <c r="M577" t="n">
        <v>0</v>
      </c>
      <c r="N577" t="n">
        <v>0</v>
      </c>
      <c r="O577" t="n">
        <v>0</v>
      </c>
      <c r="P577" t="n">
        <v>0</v>
      </c>
      <c r="Q577" t="n">
        <v>0</v>
      </c>
      <c r="R577" s="2" t="inlineStr"/>
    </row>
    <row r="578" ht="15" customHeight="1">
      <c r="A578" t="inlineStr">
        <is>
          <t>A 45587-2023</t>
        </is>
      </c>
      <c r="B578" s="1" t="n">
        <v>45194.62877314815</v>
      </c>
      <c r="C578" s="1" t="n">
        <v>45989</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39039-2025</t>
        </is>
      </c>
      <c r="B579" s="1" t="n">
        <v>45888.42684027777</v>
      </c>
      <c r="C579" s="1" t="n">
        <v>45989</v>
      </c>
      <c r="D579" t="inlineStr">
        <is>
          <t>VÄRMLANDS LÄN</t>
        </is>
      </c>
      <c r="E579" t="inlineStr">
        <is>
          <t>TORSBY</t>
        </is>
      </c>
      <c r="G579" t="n">
        <v>1.8</v>
      </c>
      <c r="H579" t="n">
        <v>0</v>
      </c>
      <c r="I579" t="n">
        <v>0</v>
      </c>
      <c r="J579" t="n">
        <v>0</v>
      </c>
      <c r="K579" t="n">
        <v>0</v>
      </c>
      <c r="L579" t="n">
        <v>0</v>
      </c>
      <c r="M579" t="n">
        <v>0</v>
      </c>
      <c r="N579" t="n">
        <v>0</v>
      </c>
      <c r="O579" t="n">
        <v>0</v>
      </c>
      <c r="P579" t="n">
        <v>0</v>
      </c>
      <c r="Q579" t="n">
        <v>0</v>
      </c>
      <c r="R579" s="2" t="inlineStr"/>
    </row>
    <row r="580" ht="15" customHeight="1">
      <c r="A580" t="inlineStr">
        <is>
          <t>A 56240-2024</t>
        </is>
      </c>
      <c r="B580" s="1" t="n">
        <v>45624.63012731481</v>
      </c>
      <c r="C580" s="1" t="n">
        <v>45989</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2387-2025</t>
        </is>
      </c>
      <c r="B581" s="1" t="n">
        <v>45674</v>
      </c>
      <c r="C581" s="1" t="n">
        <v>45989</v>
      </c>
      <c r="D581" t="inlineStr">
        <is>
          <t>VÄRMLANDS LÄN</t>
        </is>
      </c>
      <c r="E581" t="inlineStr">
        <is>
          <t>TORSBY</t>
        </is>
      </c>
      <c r="G581" t="n">
        <v>2.1</v>
      </c>
      <c r="H581" t="n">
        <v>0</v>
      </c>
      <c r="I581" t="n">
        <v>0</v>
      </c>
      <c r="J581" t="n">
        <v>0</v>
      </c>
      <c r="K581" t="n">
        <v>0</v>
      </c>
      <c r="L581" t="n">
        <v>0</v>
      </c>
      <c r="M581" t="n">
        <v>0</v>
      </c>
      <c r="N581" t="n">
        <v>0</v>
      </c>
      <c r="O581" t="n">
        <v>0</v>
      </c>
      <c r="P581" t="n">
        <v>0</v>
      </c>
      <c r="Q581" t="n">
        <v>0</v>
      </c>
      <c r="R581" s="2" t="inlineStr"/>
    </row>
    <row r="582" ht="15" customHeight="1">
      <c r="A582" t="inlineStr">
        <is>
          <t>A 26342-2025</t>
        </is>
      </c>
      <c r="B582" s="1" t="n">
        <v>45805.70604166666</v>
      </c>
      <c r="C582" s="1" t="n">
        <v>45989</v>
      </c>
      <c r="D582" t="inlineStr">
        <is>
          <t>VÄRMLANDS LÄN</t>
        </is>
      </c>
      <c r="E582" t="inlineStr">
        <is>
          <t>TORSBY</t>
        </is>
      </c>
      <c r="F582" t="inlineStr">
        <is>
          <t>Bergvik skog väst AB</t>
        </is>
      </c>
      <c r="G582" t="n">
        <v>13.6</v>
      </c>
      <c r="H582" t="n">
        <v>0</v>
      </c>
      <c r="I582" t="n">
        <v>0</v>
      </c>
      <c r="J582" t="n">
        <v>0</v>
      </c>
      <c r="K582" t="n">
        <v>0</v>
      </c>
      <c r="L582" t="n">
        <v>0</v>
      </c>
      <c r="M582" t="n">
        <v>0</v>
      </c>
      <c r="N582" t="n">
        <v>0</v>
      </c>
      <c r="O582" t="n">
        <v>0</v>
      </c>
      <c r="P582" t="n">
        <v>0</v>
      </c>
      <c r="Q582" t="n">
        <v>0</v>
      </c>
      <c r="R582" s="2" t="inlineStr"/>
    </row>
    <row r="583" ht="15" customHeight="1">
      <c r="A583" t="inlineStr">
        <is>
          <t>A 39565-2025</t>
        </is>
      </c>
      <c r="B583" s="1" t="n">
        <v>45890</v>
      </c>
      <c r="C583" s="1" t="n">
        <v>45989</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42834-2024</t>
        </is>
      </c>
      <c r="B584" s="1" t="n">
        <v>45566</v>
      </c>
      <c r="C584" s="1" t="n">
        <v>45989</v>
      </c>
      <c r="D584" t="inlineStr">
        <is>
          <t>VÄRMLANDS LÄN</t>
        </is>
      </c>
      <c r="E584" t="inlineStr">
        <is>
          <t>TORSBY</t>
        </is>
      </c>
      <c r="G584" t="n">
        <v>5.8</v>
      </c>
      <c r="H584" t="n">
        <v>0</v>
      </c>
      <c r="I584" t="n">
        <v>0</v>
      </c>
      <c r="J584" t="n">
        <v>0</v>
      </c>
      <c r="K584" t="n">
        <v>0</v>
      </c>
      <c r="L584" t="n">
        <v>0</v>
      </c>
      <c r="M584" t="n">
        <v>0</v>
      </c>
      <c r="N584" t="n">
        <v>0</v>
      </c>
      <c r="O584" t="n">
        <v>0</v>
      </c>
      <c r="P584" t="n">
        <v>0</v>
      </c>
      <c r="Q584" t="n">
        <v>0</v>
      </c>
      <c r="R584" s="2" t="inlineStr"/>
    </row>
    <row r="585" ht="15" customHeight="1">
      <c r="A585" t="inlineStr">
        <is>
          <t>A 39454-2025</t>
        </is>
      </c>
      <c r="B585" s="1" t="n">
        <v>45889.7462962963</v>
      </c>
      <c r="C585" s="1" t="n">
        <v>45989</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24004-2024</t>
        </is>
      </c>
      <c r="B586" s="1" t="n">
        <v>45456</v>
      </c>
      <c r="C586" s="1" t="n">
        <v>45989</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26487-2025</t>
        </is>
      </c>
      <c r="B587" s="1" t="n">
        <v>45807.47644675926</v>
      </c>
      <c r="C587" s="1" t="n">
        <v>45989</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30002-2024</t>
        </is>
      </c>
      <c r="B588" s="1" t="n">
        <v>45488</v>
      </c>
      <c r="C588" s="1" t="n">
        <v>45989</v>
      </c>
      <c r="D588" t="inlineStr">
        <is>
          <t>VÄRMLANDS LÄN</t>
        </is>
      </c>
      <c r="E588" t="inlineStr">
        <is>
          <t>TORSBY</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56430-2024</t>
        </is>
      </c>
      <c r="B589" s="1" t="n">
        <v>45625</v>
      </c>
      <c r="C589" s="1" t="n">
        <v>45989</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10888-2023</t>
        </is>
      </c>
      <c r="B590" s="1" t="n">
        <v>44985</v>
      </c>
      <c r="C590" s="1" t="n">
        <v>45989</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39451-2025</t>
        </is>
      </c>
      <c r="B591" s="1" t="n">
        <v>45889.72677083333</v>
      </c>
      <c r="C591" s="1" t="n">
        <v>45989</v>
      </c>
      <c r="D591" t="inlineStr">
        <is>
          <t>VÄRMLANDS LÄN</t>
        </is>
      </c>
      <c r="E591" t="inlineStr">
        <is>
          <t>TORSBY</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28545-2024</t>
        </is>
      </c>
      <c r="B592" s="1" t="n">
        <v>45478.3559375</v>
      </c>
      <c r="C592" s="1" t="n">
        <v>45989</v>
      </c>
      <c r="D592" t="inlineStr">
        <is>
          <t>VÄRMLANDS LÄN</t>
        </is>
      </c>
      <c r="E592" t="inlineStr">
        <is>
          <t>TORSBY</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11222-2024</t>
        </is>
      </c>
      <c r="B593" s="1" t="n">
        <v>45371</v>
      </c>
      <c r="C593" s="1" t="n">
        <v>45989</v>
      </c>
      <c r="D593" t="inlineStr">
        <is>
          <t>VÄRMLANDS LÄN</t>
        </is>
      </c>
      <c r="E593" t="inlineStr">
        <is>
          <t>TORSBY</t>
        </is>
      </c>
      <c r="G593" t="n">
        <v>1.6</v>
      </c>
      <c r="H593" t="n">
        <v>0</v>
      </c>
      <c r="I593" t="n">
        <v>0</v>
      </c>
      <c r="J593" t="n">
        <v>0</v>
      </c>
      <c r="K593" t="n">
        <v>0</v>
      </c>
      <c r="L593" t="n">
        <v>0</v>
      </c>
      <c r="M593" t="n">
        <v>0</v>
      </c>
      <c r="N593" t="n">
        <v>0</v>
      </c>
      <c r="O593" t="n">
        <v>0</v>
      </c>
      <c r="P593" t="n">
        <v>0</v>
      </c>
      <c r="Q593" t="n">
        <v>0</v>
      </c>
      <c r="R593" s="2" t="inlineStr"/>
    </row>
    <row r="594" ht="15" customHeight="1">
      <c r="A594" t="inlineStr">
        <is>
          <t>A 44448-2024</t>
        </is>
      </c>
      <c r="B594" s="1" t="n">
        <v>45574</v>
      </c>
      <c r="C594" s="1" t="n">
        <v>45989</v>
      </c>
      <c r="D594" t="inlineStr">
        <is>
          <t>VÄRMLANDS LÄN</t>
        </is>
      </c>
      <c r="E594" t="inlineStr">
        <is>
          <t>TORSBY</t>
        </is>
      </c>
      <c r="G594" t="n">
        <v>8.9</v>
      </c>
      <c r="H594" t="n">
        <v>0</v>
      </c>
      <c r="I594" t="n">
        <v>0</v>
      </c>
      <c r="J594" t="n">
        <v>0</v>
      </c>
      <c r="K594" t="n">
        <v>0</v>
      </c>
      <c r="L594" t="n">
        <v>0</v>
      </c>
      <c r="M594" t="n">
        <v>0</v>
      </c>
      <c r="N594" t="n">
        <v>0</v>
      </c>
      <c r="O594" t="n">
        <v>0</v>
      </c>
      <c r="P594" t="n">
        <v>0</v>
      </c>
      <c r="Q594" t="n">
        <v>0</v>
      </c>
      <c r="R594" s="2" t="inlineStr"/>
    </row>
    <row r="595" ht="15" customHeight="1">
      <c r="A595" t="inlineStr">
        <is>
          <t>A 36917-2024</t>
        </is>
      </c>
      <c r="B595" s="1" t="n">
        <v>45538.65065972223</v>
      </c>
      <c r="C595" s="1" t="n">
        <v>45989</v>
      </c>
      <c r="D595" t="inlineStr">
        <is>
          <t>VÄRMLANDS LÄN</t>
        </is>
      </c>
      <c r="E595" t="inlineStr">
        <is>
          <t>TORSBY</t>
        </is>
      </c>
      <c r="G595" t="n">
        <v>2.9</v>
      </c>
      <c r="H595" t="n">
        <v>0</v>
      </c>
      <c r="I595" t="n">
        <v>0</v>
      </c>
      <c r="J595" t="n">
        <v>0</v>
      </c>
      <c r="K595" t="n">
        <v>0</v>
      </c>
      <c r="L595" t="n">
        <v>0</v>
      </c>
      <c r="M595" t="n">
        <v>0</v>
      </c>
      <c r="N595" t="n">
        <v>0</v>
      </c>
      <c r="O595" t="n">
        <v>0</v>
      </c>
      <c r="P595" t="n">
        <v>0</v>
      </c>
      <c r="Q595" t="n">
        <v>0</v>
      </c>
      <c r="R595" s="2" t="inlineStr"/>
    </row>
    <row r="596" ht="15" customHeight="1">
      <c r="A596" t="inlineStr">
        <is>
          <t>A 36922-2024</t>
        </is>
      </c>
      <c r="B596" s="1" t="n">
        <v>45538</v>
      </c>
      <c r="C596" s="1" t="n">
        <v>45989</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26876-2024</t>
        </is>
      </c>
      <c r="B597" s="1" t="n">
        <v>45470.62181712963</v>
      </c>
      <c r="C597" s="1" t="n">
        <v>45989</v>
      </c>
      <c r="D597" t="inlineStr">
        <is>
          <t>VÄRMLANDS LÄN</t>
        </is>
      </c>
      <c r="E597" t="inlineStr">
        <is>
          <t>TORSBY</t>
        </is>
      </c>
      <c r="G597" t="n">
        <v>3.9</v>
      </c>
      <c r="H597" t="n">
        <v>0</v>
      </c>
      <c r="I597" t="n">
        <v>0</v>
      </c>
      <c r="J597" t="n">
        <v>0</v>
      </c>
      <c r="K597" t="n">
        <v>0</v>
      </c>
      <c r="L597" t="n">
        <v>0</v>
      </c>
      <c r="M597" t="n">
        <v>0</v>
      </c>
      <c r="N597" t="n">
        <v>0</v>
      </c>
      <c r="O597" t="n">
        <v>0</v>
      </c>
      <c r="P597" t="n">
        <v>0</v>
      </c>
      <c r="Q597" t="n">
        <v>0</v>
      </c>
      <c r="R597" s="2" t="inlineStr"/>
    </row>
    <row r="598" ht="15" customHeight="1">
      <c r="A598" t="inlineStr">
        <is>
          <t>A 56724-2023</t>
        </is>
      </c>
      <c r="B598" s="1" t="n">
        <v>45244.3393287037</v>
      </c>
      <c r="C598" s="1" t="n">
        <v>45989</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26607-2025</t>
        </is>
      </c>
      <c r="B599" s="1" t="n">
        <v>45809.92239583333</v>
      </c>
      <c r="C599" s="1" t="n">
        <v>45989</v>
      </c>
      <c r="D599" t="inlineStr">
        <is>
          <t>VÄRMLANDS LÄN</t>
        </is>
      </c>
      <c r="E599" t="inlineStr">
        <is>
          <t>TORSBY</t>
        </is>
      </c>
      <c r="G599" t="n">
        <v>7.5</v>
      </c>
      <c r="H599" t="n">
        <v>0</v>
      </c>
      <c r="I599" t="n">
        <v>0</v>
      </c>
      <c r="J599" t="n">
        <v>0</v>
      </c>
      <c r="K599" t="n">
        <v>0</v>
      </c>
      <c r="L599" t="n">
        <v>0</v>
      </c>
      <c r="M599" t="n">
        <v>0</v>
      </c>
      <c r="N599" t="n">
        <v>0</v>
      </c>
      <c r="O599" t="n">
        <v>0</v>
      </c>
      <c r="P599" t="n">
        <v>0</v>
      </c>
      <c r="Q599" t="n">
        <v>0</v>
      </c>
      <c r="R599" s="2" t="inlineStr"/>
    </row>
    <row r="600" ht="15" customHeight="1">
      <c r="A600" t="inlineStr">
        <is>
          <t>A 3841-2022</t>
        </is>
      </c>
      <c r="B600" s="1" t="n">
        <v>44587</v>
      </c>
      <c r="C600" s="1" t="n">
        <v>45989</v>
      </c>
      <c r="D600" t="inlineStr">
        <is>
          <t>VÄRMLANDS LÄN</t>
        </is>
      </c>
      <c r="E600" t="inlineStr">
        <is>
          <t>TORSBY</t>
        </is>
      </c>
      <c r="G600" t="n">
        <v>6.4</v>
      </c>
      <c r="H600" t="n">
        <v>0</v>
      </c>
      <c r="I600" t="n">
        <v>0</v>
      </c>
      <c r="J600" t="n">
        <v>0</v>
      </c>
      <c r="K600" t="n">
        <v>0</v>
      </c>
      <c r="L600" t="n">
        <v>0</v>
      </c>
      <c r="M600" t="n">
        <v>0</v>
      </c>
      <c r="N600" t="n">
        <v>0</v>
      </c>
      <c r="O600" t="n">
        <v>0</v>
      </c>
      <c r="P600" t="n">
        <v>0</v>
      </c>
      <c r="Q600" t="n">
        <v>0</v>
      </c>
      <c r="R600" s="2" t="inlineStr"/>
    </row>
    <row r="601" ht="15" customHeight="1">
      <c r="A601" t="inlineStr">
        <is>
          <t>A 26822-2025</t>
        </is>
      </c>
      <c r="B601" s="1" t="n">
        <v>45810</v>
      </c>
      <c r="C601" s="1" t="n">
        <v>45989</v>
      </c>
      <c r="D601" t="inlineStr">
        <is>
          <t>VÄRMLANDS LÄN</t>
        </is>
      </c>
      <c r="E601" t="inlineStr">
        <is>
          <t>TORSBY</t>
        </is>
      </c>
      <c r="G601" t="n">
        <v>13.7</v>
      </c>
      <c r="H601" t="n">
        <v>0</v>
      </c>
      <c r="I601" t="n">
        <v>0</v>
      </c>
      <c r="J601" t="n">
        <v>0</v>
      </c>
      <c r="K601" t="n">
        <v>0</v>
      </c>
      <c r="L601" t="n">
        <v>0</v>
      </c>
      <c r="M601" t="n">
        <v>0</v>
      </c>
      <c r="N601" t="n">
        <v>0</v>
      </c>
      <c r="O601" t="n">
        <v>0</v>
      </c>
      <c r="P601" t="n">
        <v>0</v>
      </c>
      <c r="Q601" t="n">
        <v>0</v>
      </c>
      <c r="R601" s="2" t="inlineStr"/>
    </row>
    <row r="602" ht="15" customHeight="1">
      <c r="A602" t="inlineStr">
        <is>
          <t>A 50973-2023</t>
        </is>
      </c>
      <c r="B602" s="1" t="n">
        <v>45218.50408564815</v>
      </c>
      <c r="C602" s="1" t="n">
        <v>45989</v>
      </c>
      <c r="D602" t="inlineStr">
        <is>
          <t>VÄRMLANDS LÄN</t>
        </is>
      </c>
      <c r="E602" t="inlineStr">
        <is>
          <t>TORSBY</t>
        </is>
      </c>
      <c r="G602" t="n">
        <v>10.7</v>
      </c>
      <c r="H602" t="n">
        <v>0</v>
      </c>
      <c r="I602" t="n">
        <v>0</v>
      </c>
      <c r="J602" t="n">
        <v>0</v>
      </c>
      <c r="K602" t="n">
        <v>0</v>
      </c>
      <c r="L602" t="n">
        <v>0</v>
      </c>
      <c r="M602" t="n">
        <v>0</v>
      </c>
      <c r="N602" t="n">
        <v>0</v>
      </c>
      <c r="O602" t="n">
        <v>0</v>
      </c>
      <c r="P602" t="n">
        <v>0</v>
      </c>
      <c r="Q602" t="n">
        <v>0</v>
      </c>
      <c r="R602" s="2" t="inlineStr"/>
    </row>
    <row r="603" ht="15" customHeight="1">
      <c r="A603" t="inlineStr">
        <is>
          <t>A 26418-2025</t>
        </is>
      </c>
      <c r="B603" s="1" t="n">
        <v>45807.36436342593</v>
      </c>
      <c r="C603" s="1" t="n">
        <v>45989</v>
      </c>
      <c r="D603" t="inlineStr">
        <is>
          <t>VÄRMLANDS LÄN</t>
        </is>
      </c>
      <c r="E603" t="inlineStr">
        <is>
          <t>TORSBY</t>
        </is>
      </c>
      <c r="F603" t="inlineStr">
        <is>
          <t>Bergvik skog väst AB</t>
        </is>
      </c>
      <c r="G603" t="n">
        <v>13.4</v>
      </c>
      <c r="H603" t="n">
        <v>0</v>
      </c>
      <c r="I603" t="n">
        <v>0</v>
      </c>
      <c r="J603" t="n">
        <v>0</v>
      </c>
      <c r="K603" t="n">
        <v>0</v>
      </c>
      <c r="L603" t="n">
        <v>0</v>
      </c>
      <c r="M603" t="n">
        <v>0</v>
      </c>
      <c r="N603" t="n">
        <v>0</v>
      </c>
      <c r="O603" t="n">
        <v>0</v>
      </c>
      <c r="P603" t="n">
        <v>0</v>
      </c>
      <c r="Q603" t="n">
        <v>0</v>
      </c>
      <c r="R603" s="2" t="inlineStr"/>
    </row>
    <row r="604" ht="15" customHeight="1">
      <c r="A604" t="inlineStr">
        <is>
          <t>A 39258-2025</t>
        </is>
      </c>
      <c r="B604" s="1" t="n">
        <v>45889</v>
      </c>
      <c r="C604" s="1" t="n">
        <v>45989</v>
      </c>
      <c r="D604" t="inlineStr">
        <is>
          <t>VÄRMLANDS LÄN</t>
        </is>
      </c>
      <c r="E604" t="inlineStr">
        <is>
          <t>TORSBY</t>
        </is>
      </c>
      <c r="F604" t="inlineStr">
        <is>
          <t>Bergvik skog väst AB</t>
        </is>
      </c>
      <c r="G604" t="n">
        <v>12.1</v>
      </c>
      <c r="H604" t="n">
        <v>0</v>
      </c>
      <c r="I604" t="n">
        <v>0</v>
      </c>
      <c r="J604" t="n">
        <v>0</v>
      </c>
      <c r="K604" t="n">
        <v>0</v>
      </c>
      <c r="L604" t="n">
        <v>0</v>
      </c>
      <c r="M604" t="n">
        <v>0</v>
      </c>
      <c r="N604" t="n">
        <v>0</v>
      </c>
      <c r="O604" t="n">
        <v>0</v>
      </c>
      <c r="P604" t="n">
        <v>0</v>
      </c>
      <c r="Q604" t="n">
        <v>0</v>
      </c>
      <c r="R604" s="2" t="inlineStr"/>
    </row>
    <row r="605" ht="15" customHeight="1">
      <c r="A605" t="inlineStr">
        <is>
          <t>A 26564-2025</t>
        </is>
      </c>
      <c r="B605" s="1" t="n">
        <v>45807.66306712963</v>
      </c>
      <c r="C605" s="1" t="n">
        <v>45989</v>
      </c>
      <c r="D605" t="inlineStr">
        <is>
          <t>VÄRMLANDS LÄN</t>
        </is>
      </c>
      <c r="E605" t="inlineStr">
        <is>
          <t>TORSBY</t>
        </is>
      </c>
      <c r="F605" t="inlineStr">
        <is>
          <t>Bergvik skog väst AB</t>
        </is>
      </c>
      <c r="G605" t="n">
        <v>4</v>
      </c>
      <c r="H605" t="n">
        <v>0</v>
      </c>
      <c r="I605" t="n">
        <v>0</v>
      </c>
      <c r="J605" t="n">
        <v>0</v>
      </c>
      <c r="K605" t="n">
        <v>0</v>
      </c>
      <c r="L605" t="n">
        <v>0</v>
      </c>
      <c r="M605" t="n">
        <v>0</v>
      </c>
      <c r="N605" t="n">
        <v>0</v>
      </c>
      <c r="O605" t="n">
        <v>0</v>
      </c>
      <c r="P605" t="n">
        <v>0</v>
      </c>
      <c r="Q605" t="n">
        <v>0</v>
      </c>
      <c r="R605" s="2" t="inlineStr"/>
    </row>
    <row r="606" ht="15" customHeight="1">
      <c r="A606" t="inlineStr">
        <is>
          <t>A 26479-2025</t>
        </is>
      </c>
      <c r="B606" s="1" t="n">
        <v>45807.47021990741</v>
      </c>
      <c r="C606" s="1" t="n">
        <v>45989</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26491-2025</t>
        </is>
      </c>
      <c r="B607" s="1" t="n">
        <v>45807.48939814815</v>
      </c>
      <c r="C607" s="1" t="n">
        <v>45989</v>
      </c>
      <c r="D607" t="inlineStr">
        <is>
          <t>VÄRMLANDS LÄN</t>
        </is>
      </c>
      <c r="E607" t="inlineStr">
        <is>
          <t>TORSBY</t>
        </is>
      </c>
      <c r="G607" t="n">
        <v>5.3</v>
      </c>
      <c r="H607" t="n">
        <v>0</v>
      </c>
      <c r="I607" t="n">
        <v>0</v>
      </c>
      <c r="J607" t="n">
        <v>0</v>
      </c>
      <c r="K607" t="n">
        <v>0</v>
      </c>
      <c r="L607" t="n">
        <v>0</v>
      </c>
      <c r="M607" t="n">
        <v>0</v>
      </c>
      <c r="N607" t="n">
        <v>0</v>
      </c>
      <c r="O607" t="n">
        <v>0</v>
      </c>
      <c r="P607" t="n">
        <v>0</v>
      </c>
      <c r="Q607" t="n">
        <v>0</v>
      </c>
      <c r="R607" s="2" t="inlineStr"/>
    </row>
    <row r="608" ht="15" customHeight="1">
      <c r="A608" t="inlineStr">
        <is>
          <t>A 26507-2025</t>
        </is>
      </c>
      <c r="B608" s="1" t="n">
        <v>45807.52539351852</v>
      </c>
      <c r="C608" s="1" t="n">
        <v>45989</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26533-2025</t>
        </is>
      </c>
      <c r="B609" s="1" t="n">
        <v>45807.57259259259</v>
      </c>
      <c r="C609" s="1" t="n">
        <v>45989</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39321-2025</t>
        </is>
      </c>
      <c r="B610" s="1" t="n">
        <v>45889</v>
      </c>
      <c r="C610" s="1" t="n">
        <v>45989</v>
      </c>
      <c r="D610" t="inlineStr">
        <is>
          <t>VÄRMLANDS LÄN</t>
        </is>
      </c>
      <c r="E610" t="inlineStr">
        <is>
          <t>TORSBY</t>
        </is>
      </c>
      <c r="F610" t="inlineStr">
        <is>
          <t>Bergvik skog väst AB</t>
        </is>
      </c>
      <c r="G610" t="n">
        <v>47.1</v>
      </c>
      <c r="H610" t="n">
        <v>0</v>
      </c>
      <c r="I610" t="n">
        <v>0</v>
      </c>
      <c r="J610" t="n">
        <v>0</v>
      </c>
      <c r="K610" t="n">
        <v>0</v>
      </c>
      <c r="L610" t="n">
        <v>0</v>
      </c>
      <c r="M610" t="n">
        <v>0</v>
      </c>
      <c r="N610" t="n">
        <v>0</v>
      </c>
      <c r="O610" t="n">
        <v>0</v>
      </c>
      <c r="P610" t="n">
        <v>0</v>
      </c>
      <c r="Q610" t="n">
        <v>0</v>
      </c>
      <c r="R610" s="2" t="inlineStr"/>
    </row>
    <row r="611" ht="15" customHeight="1">
      <c r="A611" t="inlineStr">
        <is>
          <t>A 39473-2025</t>
        </is>
      </c>
      <c r="B611" s="1" t="n">
        <v>45890</v>
      </c>
      <c r="C611" s="1" t="n">
        <v>45989</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47355-2023</t>
        </is>
      </c>
      <c r="B612" s="1" t="n">
        <v>45202</v>
      </c>
      <c r="C612" s="1" t="n">
        <v>45989</v>
      </c>
      <c r="D612" t="inlineStr">
        <is>
          <t>VÄRMLANDS LÄN</t>
        </is>
      </c>
      <c r="E612" t="inlineStr">
        <is>
          <t>TORSBY</t>
        </is>
      </c>
      <c r="G612" t="n">
        <v>3.5</v>
      </c>
      <c r="H612" t="n">
        <v>0</v>
      </c>
      <c r="I612" t="n">
        <v>0</v>
      </c>
      <c r="J612" t="n">
        <v>0</v>
      </c>
      <c r="K612" t="n">
        <v>0</v>
      </c>
      <c r="L612" t="n">
        <v>0</v>
      </c>
      <c r="M612" t="n">
        <v>0</v>
      </c>
      <c r="N612" t="n">
        <v>0</v>
      </c>
      <c r="O612" t="n">
        <v>0</v>
      </c>
      <c r="P612" t="n">
        <v>0</v>
      </c>
      <c r="Q612" t="n">
        <v>0</v>
      </c>
      <c r="R612" s="2" t="inlineStr"/>
    </row>
    <row r="613" ht="15" customHeight="1">
      <c r="A613" t="inlineStr">
        <is>
          <t>A 43144-2024</t>
        </is>
      </c>
      <c r="B613" s="1" t="n">
        <v>45567</v>
      </c>
      <c r="C613" s="1" t="n">
        <v>45989</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39652-2025</t>
        </is>
      </c>
      <c r="B614" s="1" t="n">
        <v>45890.61689814815</v>
      </c>
      <c r="C614" s="1" t="n">
        <v>45989</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60537-2024</t>
        </is>
      </c>
      <c r="B615" s="1" t="n">
        <v>45643.77138888889</v>
      </c>
      <c r="C615" s="1" t="n">
        <v>45989</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24087-2024</t>
        </is>
      </c>
      <c r="B616" s="1" t="n">
        <v>45456</v>
      </c>
      <c r="C616" s="1" t="n">
        <v>45989</v>
      </c>
      <c r="D616" t="inlineStr">
        <is>
          <t>VÄRMLANDS LÄN</t>
        </is>
      </c>
      <c r="E616" t="inlineStr">
        <is>
          <t>TORSBY</t>
        </is>
      </c>
      <c r="G616" t="n">
        <v>1.8</v>
      </c>
      <c r="H616" t="n">
        <v>0</v>
      </c>
      <c r="I616" t="n">
        <v>0</v>
      </c>
      <c r="J616" t="n">
        <v>0</v>
      </c>
      <c r="K616" t="n">
        <v>0</v>
      </c>
      <c r="L616" t="n">
        <v>0</v>
      </c>
      <c r="M616" t="n">
        <v>0</v>
      </c>
      <c r="N616" t="n">
        <v>0</v>
      </c>
      <c r="O616" t="n">
        <v>0</v>
      </c>
      <c r="P616" t="n">
        <v>0</v>
      </c>
      <c r="Q616" t="n">
        <v>0</v>
      </c>
      <c r="R616" s="2" t="inlineStr"/>
    </row>
    <row r="617" ht="15" customHeight="1">
      <c r="A617" t="inlineStr">
        <is>
          <t>A 16380-2025</t>
        </is>
      </c>
      <c r="B617" s="1" t="n">
        <v>45751</v>
      </c>
      <c r="C617" s="1" t="n">
        <v>45989</v>
      </c>
      <c r="D617" t="inlineStr">
        <is>
          <t>VÄRMLANDS LÄN</t>
        </is>
      </c>
      <c r="E617" t="inlineStr">
        <is>
          <t>TORSBY</t>
        </is>
      </c>
      <c r="F617" t="inlineStr">
        <is>
          <t>Bergvik skog väst AB</t>
        </is>
      </c>
      <c r="G617" t="n">
        <v>7.9</v>
      </c>
      <c r="H617" t="n">
        <v>0</v>
      </c>
      <c r="I617" t="n">
        <v>0</v>
      </c>
      <c r="J617" t="n">
        <v>0</v>
      </c>
      <c r="K617" t="n">
        <v>0</v>
      </c>
      <c r="L617" t="n">
        <v>0</v>
      </c>
      <c r="M617" t="n">
        <v>0</v>
      </c>
      <c r="N617" t="n">
        <v>0</v>
      </c>
      <c r="O617" t="n">
        <v>0</v>
      </c>
      <c r="P617" t="n">
        <v>0</v>
      </c>
      <c r="Q617" t="n">
        <v>0</v>
      </c>
      <c r="R617" s="2" t="inlineStr"/>
    </row>
    <row r="618" ht="15" customHeight="1">
      <c r="A618" t="inlineStr">
        <is>
          <t>A 25956-2025</t>
        </is>
      </c>
      <c r="B618" s="1" t="n">
        <v>45804</v>
      </c>
      <c r="C618" s="1" t="n">
        <v>45989</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15773-2023</t>
        </is>
      </c>
      <c r="B619" s="1" t="n">
        <v>45021</v>
      </c>
      <c r="C619" s="1" t="n">
        <v>45989</v>
      </c>
      <c r="D619" t="inlineStr">
        <is>
          <t>VÄRMLANDS LÄN</t>
        </is>
      </c>
      <c r="E619" t="inlineStr">
        <is>
          <t>TORSBY</t>
        </is>
      </c>
      <c r="G619" t="n">
        <v>2.5</v>
      </c>
      <c r="H619" t="n">
        <v>0</v>
      </c>
      <c r="I619" t="n">
        <v>0</v>
      </c>
      <c r="J619" t="n">
        <v>0</v>
      </c>
      <c r="K619" t="n">
        <v>0</v>
      </c>
      <c r="L619" t="n">
        <v>0</v>
      </c>
      <c r="M619" t="n">
        <v>0</v>
      </c>
      <c r="N619" t="n">
        <v>0</v>
      </c>
      <c r="O619" t="n">
        <v>0</v>
      </c>
      <c r="P619" t="n">
        <v>0</v>
      </c>
      <c r="Q619" t="n">
        <v>0</v>
      </c>
      <c r="R619" s="2" t="inlineStr"/>
    </row>
    <row r="620" ht="15" customHeight="1">
      <c r="A620" t="inlineStr">
        <is>
          <t>A 39815-2025</t>
        </is>
      </c>
      <c r="B620" s="1" t="n">
        <v>45891.52760416667</v>
      </c>
      <c r="C620" s="1" t="n">
        <v>45989</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754-2025</t>
        </is>
      </c>
      <c r="B621" s="1" t="n">
        <v>45665</v>
      </c>
      <c r="C621" s="1" t="n">
        <v>45989</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40195-2025</t>
        </is>
      </c>
      <c r="B622" s="1" t="n">
        <v>45894.65922453703</v>
      </c>
      <c r="C622" s="1" t="n">
        <v>45989</v>
      </c>
      <c r="D622" t="inlineStr">
        <is>
          <t>VÄRMLANDS LÄN</t>
        </is>
      </c>
      <c r="E622" t="inlineStr">
        <is>
          <t>TORSBY</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40051-2025</t>
        </is>
      </c>
      <c r="B623" s="1" t="n">
        <v>45894.40730324074</v>
      </c>
      <c r="C623" s="1" t="n">
        <v>45989</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57393-2022</t>
        </is>
      </c>
      <c r="B624" s="1" t="n">
        <v>44896.47630787037</v>
      </c>
      <c r="C624" s="1" t="n">
        <v>45989</v>
      </c>
      <c r="D624" t="inlineStr">
        <is>
          <t>VÄRMLANDS LÄN</t>
        </is>
      </c>
      <c r="E624" t="inlineStr">
        <is>
          <t>TORSBY</t>
        </is>
      </c>
      <c r="G624" t="n">
        <v>5</v>
      </c>
      <c r="H624" t="n">
        <v>0</v>
      </c>
      <c r="I624" t="n">
        <v>0</v>
      </c>
      <c r="J624" t="n">
        <v>0</v>
      </c>
      <c r="K624" t="n">
        <v>0</v>
      </c>
      <c r="L624" t="n">
        <v>0</v>
      </c>
      <c r="M624" t="n">
        <v>0</v>
      </c>
      <c r="N624" t="n">
        <v>0</v>
      </c>
      <c r="O624" t="n">
        <v>0</v>
      </c>
      <c r="P624" t="n">
        <v>0</v>
      </c>
      <c r="Q624" t="n">
        <v>0</v>
      </c>
      <c r="R624" s="2" t="inlineStr"/>
    </row>
    <row r="625" ht="15" customHeight="1">
      <c r="A625" t="inlineStr">
        <is>
          <t>A 63032-2023</t>
        </is>
      </c>
      <c r="B625" s="1" t="n">
        <v>45272.72728009259</v>
      </c>
      <c r="C625" s="1" t="n">
        <v>45989</v>
      </c>
      <c r="D625" t="inlineStr">
        <is>
          <t>VÄRMLANDS LÄN</t>
        </is>
      </c>
      <c r="E625" t="inlineStr">
        <is>
          <t>TORSBY</t>
        </is>
      </c>
      <c r="G625" t="n">
        <v>2.8</v>
      </c>
      <c r="H625" t="n">
        <v>0</v>
      </c>
      <c r="I625" t="n">
        <v>0</v>
      </c>
      <c r="J625" t="n">
        <v>0</v>
      </c>
      <c r="K625" t="n">
        <v>0</v>
      </c>
      <c r="L625" t="n">
        <v>0</v>
      </c>
      <c r="M625" t="n">
        <v>0</v>
      </c>
      <c r="N625" t="n">
        <v>0</v>
      </c>
      <c r="O625" t="n">
        <v>0</v>
      </c>
      <c r="P625" t="n">
        <v>0</v>
      </c>
      <c r="Q625" t="n">
        <v>0</v>
      </c>
      <c r="R625" s="2" t="inlineStr"/>
    </row>
    <row r="626" ht="15" customHeight="1">
      <c r="A626" t="inlineStr">
        <is>
          <t>A 39919-2025</t>
        </is>
      </c>
      <c r="B626" s="1" t="n">
        <v>45891.66664351852</v>
      </c>
      <c r="C626" s="1" t="n">
        <v>45989</v>
      </c>
      <c r="D626" t="inlineStr">
        <is>
          <t>VÄRMLANDS LÄN</t>
        </is>
      </c>
      <c r="E626" t="inlineStr">
        <is>
          <t>TORSBY</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58951-2022</t>
        </is>
      </c>
      <c r="B627" s="1" t="n">
        <v>44903.65313657407</v>
      </c>
      <c r="C627" s="1" t="n">
        <v>45989</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33499-2024</t>
        </is>
      </c>
      <c r="B628" s="1" t="n">
        <v>45519.62280092593</v>
      </c>
      <c r="C628" s="1" t="n">
        <v>45989</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26504-2025</t>
        </is>
      </c>
      <c r="B629" s="1" t="n">
        <v>45807.519375</v>
      </c>
      <c r="C629" s="1" t="n">
        <v>45989</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26505-2025</t>
        </is>
      </c>
      <c r="B630" s="1" t="n">
        <v>45807.52231481481</v>
      </c>
      <c r="C630" s="1" t="n">
        <v>45989</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26511-2025</t>
        </is>
      </c>
      <c r="B631" s="1" t="n">
        <v>45807.54571759259</v>
      </c>
      <c r="C631" s="1" t="n">
        <v>45989</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40157-2024</t>
        </is>
      </c>
      <c r="B632" s="1" t="n">
        <v>45554</v>
      </c>
      <c r="C632" s="1" t="n">
        <v>45989</v>
      </c>
      <c r="D632" t="inlineStr">
        <is>
          <t>VÄRMLANDS LÄN</t>
        </is>
      </c>
      <c r="E632" t="inlineStr">
        <is>
          <t>TORSBY</t>
        </is>
      </c>
      <c r="F632" t="inlineStr">
        <is>
          <t>Bergvik skog väst AB</t>
        </is>
      </c>
      <c r="G632" t="n">
        <v>1.4</v>
      </c>
      <c r="H632" t="n">
        <v>0</v>
      </c>
      <c r="I632" t="n">
        <v>0</v>
      </c>
      <c r="J632" t="n">
        <v>0</v>
      </c>
      <c r="K632" t="n">
        <v>0</v>
      </c>
      <c r="L632" t="n">
        <v>0</v>
      </c>
      <c r="M632" t="n">
        <v>0</v>
      </c>
      <c r="N632" t="n">
        <v>0</v>
      </c>
      <c r="O632" t="n">
        <v>0</v>
      </c>
      <c r="P632" t="n">
        <v>0</v>
      </c>
      <c r="Q632" t="n">
        <v>0</v>
      </c>
      <c r="R632" s="2" t="inlineStr"/>
    </row>
    <row r="633" ht="15" customHeight="1">
      <c r="A633" t="inlineStr">
        <is>
          <t>A 40034-2025</t>
        </is>
      </c>
      <c r="B633" s="1" t="n">
        <v>45894.38159722222</v>
      </c>
      <c r="C633" s="1" t="n">
        <v>45989</v>
      </c>
      <c r="D633" t="inlineStr">
        <is>
          <t>VÄRMLANDS LÄN</t>
        </is>
      </c>
      <c r="E633" t="inlineStr">
        <is>
          <t>TORSBY</t>
        </is>
      </c>
      <c r="G633" t="n">
        <v>5.3</v>
      </c>
      <c r="H633" t="n">
        <v>0</v>
      </c>
      <c r="I633" t="n">
        <v>0</v>
      </c>
      <c r="J633" t="n">
        <v>0</v>
      </c>
      <c r="K633" t="n">
        <v>0</v>
      </c>
      <c r="L633" t="n">
        <v>0</v>
      </c>
      <c r="M633" t="n">
        <v>0</v>
      </c>
      <c r="N633" t="n">
        <v>0</v>
      </c>
      <c r="O633" t="n">
        <v>0</v>
      </c>
      <c r="P633" t="n">
        <v>0</v>
      </c>
      <c r="Q633" t="n">
        <v>0</v>
      </c>
      <c r="R633" s="2" t="inlineStr"/>
    </row>
    <row r="634" ht="15" customHeight="1">
      <c r="A634" t="inlineStr">
        <is>
          <t>A 40227-2024</t>
        </is>
      </c>
      <c r="B634" s="1" t="n">
        <v>45554</v>
      </c>
      <c r="C634" s="1" t="n">
        <v>45989</v>
      </c>
      <c r="D634" t="inlineStr">
        <is>
          <t>VÄRMLANDS LÄN</t>
        </is>
      </c>
      <c r="E634" t="inlineStr">
        <is>
          <t>TORSBY</t>
        </is>
      </c>
      <c r="F634" t="inlineStr">
        <is>
          <t>Bergvik skog väst AB</t>
        </is>
      </c>
      <c r="G634" t="n">
        <v>4.8</v>
      </c>
      <c r="H634" t="n">
        <v>0</v>
      </c>
      <c r="I634" t="n">
        <v>0</v>
      </c>
      <c r="J634" t="n">
        <v>0</v>
      </c>
      <c r="K634" t="n">
        <v>0</v>
      </c>
      <c r="L634" t="n">
        <v>0</v>
      </c>
      <c r="M634" t="n">
        <v>0</v>
      </c>
      <c r="N634" t="n">
        <v>0</v>
      </c>
      <c r="O634" t="n">
        <v>0</v>
      </c>
      <c r="P634" t="n">
        <v>0</v>
      </c>
      <c r="Q634" t="n">
        <v>0</v>
      </c>
      <c r="R634" s="2" t="inlineStr"/>
    </row>
    <row r="635" ht="15" customHeight="1">
      <c r="A635" t="inlineStr">
        <is>
          <t>A 1120-2023</t>
        </is>
      </c>
      <c r="B635" s="1" t="n">
        <v>44935</v>
      </c>
      <c r="C635" s="1" t="n">
        <v>45989</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26563-2025</t>
        </is>
      </c>
      <c r="B636" s="1" t="n">
        <v>45807.65767361111</v>
      </c>
      <c r="C636" s="1" t="n">
        <v>45989</v>
      </c>
      <c r="D636" t="inlineStr">
        <is>
          <t>VÄRMLANDS LÄN</t>
        </is>
      </c>
      <c r="E636" t="inlineStr">
        <is>
          <t>TORSBY</t>
        </is>
      </c>
      <c r="F636" t="inlineStr">
        <is>
          <t>Bergvik skog väst AB</t>
        </is>
      </c>
      <c r="G636" t="n">
        <v>19.5</v>
      </c>
      <c r="H636" t="n">
        <v>0</v>
      </c>
      <c r="I636" t="n">
        <v>0</v>
      </c>
      <c r="J636" t="n">
        <v>0</v>
      </c>
      <c r="K636" t="n">
        <v>0</v>
      </c>
      <c r="L636" t="n">
        <v>0</v>
      </c>
      <c r="M636" t="n">
        <v>0</v>
      </c>
      <c r="N636" t="n">
        <v>0</v>
      </c>
      <c r="O636" t="n">
        <v>0</v>
      </c>
      <c r="P636" t="n">
        <v>0</v>
      </c>
      <c r="Q636" t="n">
        <v>0</v>
      </c>
      <c r="R636" s="2" t="inlineStr"/>
    </row>
    <row r="637" ht="15" customHeight="1">
      <c r="A637" t="inlineStr">
        <is>
          <t>A 39845-2025</t>
        </is>
      </c>
      <c r="B637" s="1" t="n">
        <v>45891</v>
      </c>
      <c r="C637" s="1" t="n">
        <v>45989</v>
      </c>
      <c r="D637" t="inlineStr">
        <is>
          <t>VÄRMLANDS LÄN</t>
        </is>
      </c>
      <c r="E637" t="inlineStr">
        <is>
          <t>TORSBY</t>
        </is>
      </c>
      <c r="F637" t="inlineStr">
        <is>
          <t>Bergvik skog väst AB</t>
        </is>
      </c>
      <c r="G637" t="n">
        <v>14.1</v>
      </c>
      <c r="H637" t="n">
        <v>0</v>
      </c>
      <c r="I637" t="n">
        <v>0</v>
      </c>
      <c r="J637" t="n">
        <v>0</v>
      </c>
      <c r="K637" t="n">
        <v>0</v>
      </c>
      <c r="L637" t="n">
        <v>0</v>
      </c>
      <c r="M637" t="n">
        <v>0</v>
      </c>
      <c r="N637" t="n">
        <v>0</v>
      </c>
      <c r="O637" t="n">
        <v>0</v>
      </c>
      <c r="P637" t="n">
        <v>0</v>
      </c>
      <c r="Q637" t="n">
        <v>0</v>
      </c>
      <c r="R637" s="2" t="inlineStr"/>
    </row>
    <row r="638" ht="15" customHeight="1">
      <c r="A638" t="inlineStr">
        <is>
          <t>A 26539-2025</t>
        </is>
      </c>
      <c r="B638" s="1" t="n">
        <v>45807.58127314815</v>
      </c>
      <c r="C638" s="1" t="n">
        <v>45989</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2981-2025</t>
        </is>
      </c>
      <c r="B639" s="1" t="n">
        <v>45678.48844907407</v>
      </c>
      <c r="C639" s="1" t="n">
        <v>45989</v>
      </c>
      <c r="D639" t="inlineStr">
        <is>
          <t>VÄRMLANDS LÄN</t>
        </is>
      </c>
      <c r="E639" t="inlineStr">
        <is>
          <t>TORSBY</t>
        </is>
      </c>
      <c r="G639" t="n">
        <v>4.7</v>
      </c>
      <c r="H639" t="n">
        <v>0</v>
      </c>
      <c r="I639" t="n">
        <v>0</v>
      </c>
      <c r="J639" t="n">
        <v>0</v>
      </c>
      <c r="K639" t="n">
        <v>0</v>
      </c>
      <c r="L639" t="n">
        <v>0</v>
      </c>
      <c r="M639" t="n">
        <v>0</v>
      </c>
      <c r="N639" t="n">
        <v>0</v>
      </c>
      <c r="O639" t="n">
        <v>0</v>
      </c>
      <c r="P639" t="n">
        <v>0</v>
      </c>
      <c r="Q639" t="n">
        <v>0</v>
      </c>
      <c r="R639" s="2" t="inlineStr"/>
    </row>
    <row r="640" ht="15" customHeight="1">
      <c r="A640" t="inlineStr">
        <is>
          <t>A 39743-2025</t>
        </is>
      </c>
      <c r="B640" s="1" t="n">
        <v>45891</v>
      </c>
      <c r="C640" s="1" t="n">
        <v>45989</v>
      </c>
      <c r="D640" t="inlineStr">
        <is>
          <t>VÄRMLANDS LÄN</t>
        </is>
      </c>
      <c r="E640" t="inlineStr">
        <is>
          <t>TORSBY</t>
        </is>
      </c>
      <c r="F640" t="inlineStr">
        <is>
          <t>Bergvik skog väst AB</t>
        </is>
      </c>
      <c r="G640" t="n">
        <v>2.5</v>
      </c>
      <c r="H640" t="n">
        <v>0</v>
      </c>
      <c r="I640" t="n">
        <v>0</v>
      </c>
      <c r="J640" t="n">
        <v>0</v>
      </c>
      <c r="K640" t="n">
        <v>0</v>
      </c>
      <c r="L640" t="n">
        <v>0</v>
      </c>
      <c r="M640" t="n">
        <v>0</v>
      </c>
      <c r="N640" t="n">
        <v>0</v>
      </c>
      <c r="O640" t="n">
        <v>0</v>
      </c>
      <c r="P640" t="n">
        <v>0</v>
      </c>
      <c r="Q640" t="n">
        <v>0</v>
      </c>
      <c r="R640" s="2" t="inlineStr"/>
    </row>
    <row r="641" ht="15" customHeight="1">
      <c r="A641" t="inlineStr">
        <is>
          <t>A 26890-2025</t>
        </is>
      </c>
      <c r="B641" s="1" t="n">
        <v>45811</v>
      </c>
      <c r="C641" s="1" t="n">
        <v>45989</v>
      </c>
      <c r="D641" t="inlineStr">
        <is>
          <t>VÄRMLANDS LÄN</t>
        </is>
      </c>
      <c r="E641" t="inlineStr">
        <is>
          <t>TORSBY</t>
        </is>
      </c>
      <c r="F641" t="inlineStr">
        <is>
          <t>Bergvik skog väst AB</t>
        </is>
      </c>
      <c r="G641" t="n">
        <v>6.7</v>
      </c>
      <c r="H641" t="n">
        <v>0</v>
      </c>
      <c r="I641" t="n">
        <v>0</v>
      </c>
      <c r="J641" t="n">
        <v>0</v>
      </c>
      <c r="K641" t="n">
        <v>0</v>
      </c>
      <c r="L641" t="n">
        <v>0</v>
      </c>
      <c r="M641" t="n">
        <v>0</v>
      </c>
      <c r="N641" t="n">
        <v>0</v>
      </c>
      <c r="O641" t="n">
        <v>0</v>
      </c>
      <c r="P641" t="n">
        <v>0</v>
      </c>
      <c r="Q641" t="n">
        <v>0</v>
      </c>
      <c r="R641" s="2" t="inlineStr"/>
    </row>
    <row r="642" ht="15" customHeight="1">
      <c r="A642" t="inlineStr">
        <is>
          <t>A 40128-2025</t>
        </is>
      </c>
      <c r="B642" s="1" t="n">
        <v>45894</v>
      </c>
      <c r="C642" s="1" t="n">
        <v>45989</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39731-2025</t>
        </is>
      </c>
      <c r="B643" s="1" t="n">
        <v>45891</v>
      </c>
      <c r="C643" s="1" t="n">
        <v>45989</v>
      </c>
      <c r="D643" t="inlineStr">
        <is>
          <t>VÄRMLANDS LÄN</t>
        </is>
      </c>
      <c r="E643" t="inlineStr">
        <is>
          <t>TORSBY</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26892-2025</t>
        </is>
      </c>
      <c r="B644" s="1" t="n">
        <v>45811.3334837963</v>
      </c>
      <c r="C644" s="1" t="n">
        <v>45989</v>
      </c>
      <c r="D644" t="inlineStr">
        <is>
          <t>VÄRMLANDS LÄN</t>
        </is>
      </c>
      <c r="E644" t="inlineStr">
        <is>
          <t>TORSBY</t>
        </is>
      </c>
      <c r="F644" t="inlineStr">
        <is>
          <t>Bergvik skog väst AB</t>
        </is>
      </c>
      <c r="G644" t="n">
        <v>3.1</v>
      </c>
      <c r="H644" t="n">
        <v>0</v>
      </c>
      <c r="I644" t="n">
        <v>0</v>
      </c>
      <c r="J644" t="n">
        <v>0</v>
      </c>
      <c r="K644" t="n">
        <v>0</v>
      </c>
      <c r="L644" t="n">
        <v>0</v>
      </c>
      <c r="M644" t="n">
        <v>0</v>
      </c>
      <c r="N644" t="n">
        <v>0</v>
      </c>
      <c r="O644" t="n">
        <v>0</v>
      </c>
      <c r="P644" t="n">
        <v>0</v>
      </c>
      <c r="Q644" t="n">
        <v>0</v>
      </c>
      <c r="R644" s="2" t="inlineStr"/>
    </row>
    <row r="645" ht="15" customHeight="1">
      <c r="A645" t="inlineStr">
        <is>
          <t>A 24580-2025</t>
        </is>
      </c>
      <c r="B645" s="1" t="n">
        <v>45798</v>
      </c>
      <c r="C645" s="1" t="n">
        <v>45989</v>
      </c>
      <c r="D645" t="inlineStr">
        <is>
          <t>VÄRMLANDS LÄN</t>
        </is>
      </c>
      <c r="E645" t="inlineStr">
        <is>
          <t>TORSBY</t>
        </is>
      </c>
      <c r="G645" t="n">
        <v>12.2</v>
      </c>
      <c r="H645" t="n">
        <v>0</v>
      </c>
      <c r="I645" t="n">
        <v>0</v>
      </c>
      <c r="J645" t="n">
        <v>0</v>
      </c>
      <c r="K645" t="n">
        <v>0</v>
      </c>
      <c r="L645" t="n">
        <v>0</v>
      </c>
      <c r="M645" t="n">
        <v>0</v>
      </c>
      <c r="N645" t="n">
        <v>0</v>
      </c>
      <c r="O645" t="n">
        <v>0</v>
      </c>
      <c r="P645" t="n">
        <v>0</v>
      </c>
      <c r="Q645" t="n">
        <v>0</v>
      </c>
      <c r="R645" s="2" t="inlineStr"/>
    </row>
    <row r="646" ht="15" customHeight="1">
      <c r="A646" t="inlineStr">
        <is>
          <t>A 39499-2025</t>
        </is>
      </c>
      <c r="B646" s="1" t="n">
        <v>45890</v>
      </c>
      <c r="C646" s="1" t="n">
        <v>45989</v>
      </c>
      <c r="D646" t="inlineStr">
        <is>
          <t>VÄRMLANDS LÄN</t>
        </is>
      </c>
      <c r="E646" t="inlineStr">
        <is>
          <t>TORSBY</t>
        </is>
      </c>
      <c r="F646" t="inlineStr">
        <is>
          <t>Kommuner</t>
        </is>
      </c>
      <c r="G646" t="n">
        <v>1.3</v>
      </c>
      <c r="H646" t="n">
        <v>0</v>
      </c>
      <c r="I646" t="n">
        <v>0</v>
      </c>
      <c r="J646" t="n">
        <v>0</v>
      </c>
      <c r="K646" t="n">
        <v>0</v>
      </c>
      <c r="L646" t="n">
        <v>0</v>
      </c>
      <c r="M646" t="n">
        <v>0</v>
      </c>
      <c r="N646" t="n">
        <v>0</v>
      </c>
      <c r="O646" t="n">
        <v>0</v>
      </c>
      <c r="P646" t="n">
        <v>0</v>
      </c>
      <c r="Q646" t="n">
        <v>0</v>
      </c>
      <c r="R646" s="2" t="inlineStr"/>
    </row>
    <row r="647" ht="15" customHeight="1">
      <c r="A647" t="inlineStr">
        <is>
          <t>A 33338-2024</t>
        </is>
      </c>
      <c r="B647" s="1" t="n">
        <v>45519</v>
      </c>
      <c r="C647" s="1" t="n">
        <v>45989</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26898-2025</t>
        </is>
      </c>
      <c r="B648" s="1" t="n">
        <v>45811</v>
      </c>
      <c r="C648" s="1" t="n">
        <v>45989</v>
      </c>
      <c r="D648" t="inlineStr">
        <is>
          <t>VÄRMLANDS LÄN</t>
        </is>
      </c>
      <c r="E648" t="inlineStr">
        <is>
          <t>TORSBY</t>
        </is>
      </c>
      <c r="F648" t="inlineStr">
        <is>
          <t>Övriga Aktiebolag</t>
        </is>
      </c>
      <c r="G648" t="n">
        <v>37.8</v>
      </c>
      <c r="H648" t="n">
        <v>0</v>
      </c>
      <c r="I648" t="n">
        <v>0</v>
      </c>
      <c r="J648" t="n">
        <v>0</v>
      </c>
      <c r="K648" t="n">
        <v>0</v>
      </c>
      <c r="L648" t="n">
        <v>0</v>
      </c>
      <c r="M648" t="n">
        <v>0</v>
      </c>
      <c r="N648" t="n">
        <v>0</v>
      </c>
      <c r="O648" t="n">
        <v>0</v>
      </c>
      <c r="P648" t="n">
        <v>0</v>
      </c>
      <c r="Q648" t="n">
        <v>0</v>
      </c>
      <c r="R648" s="2" t="inlineStr"/>
    </row>
    <row r="649" ht="15" customHeight="1">
      <c r="A649" t="inlineStr">
        <is>
          <t>A 18115-2025</t>
        </is>
      </c>
      <c r="B649" s="1" t="n">
        <v>45761</v>
      </c>
      <c r="C649" s="1" t="n">
        <v>45989</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26960-2025</t>
        </is>
      </c>
      <c r="B650" s="1" t="n">
        <v>45811.46167824074</v>
      </c>
      <c r="C650" s="1" t="n">
        <v>45989</v>
      </c>
      <c r="D650" t="inlineStr">
        <is>
          <t>VÄRMLANDS LÄN</t>
        </is>
      </c>
      <c r="E650" t="inlineStr">
        <is>
          <t>TORSBY</t>
        </is>
      </c>
      <c r="F650" t="inlineStr">
        <is>
          <t>Kyrkan</t>
        </is>
      </c>
      <c r="G650" t="n">
        <v>5.8</v>
      </c>
      <c r="H650" t="n">
        <v>0</v>
      </c>
      <c r="I650" t="n">
        <v>0</v>
      </c>
      <c r="J650" t="n">
        <v>0</v>
      </c>
      <c r="K650" t="n">
        <v>0</v>
      </c>
      <c r="L650" t="n">
        <v>0</v>
      </c>
      <c r="M650" t="n">
        <v>0</v>
      </c>
      <c r="N650" t="n">
        <v>0</v>
      </c>
      <c r="O650" t="n">
        <v>0</v>
      </c>
      <c r="P650" t="n">
        <v>0</v>
      </c>
      <c r="Q650" t="n">
        <v>0</v>
      </c>
      <c r="R650" s="2" t="inlineStr"/>
    </row>
    <row r="651" ht="15" customHeight="1">
      <c r="A651" t="inlineStr">
        <is>
          <t>A 15885-2025</t>
        </is>
      </c>
      <c r="B651" s="1" t="n">
        <v>45749</v>
      </c>
      <c r="C651" s="1" t="n">
        <v>45989</v>
      </c>
      <c r="D651" t="inlineStr">
        <is>
          <t>VÄRMLANDS LÄN</t>
        </is>
      </c>
      <c r="E651" t="inlineStr">
        <is>
          <t>TORSBY</t>
        </is>
      </c>
      <c r="G651" t="n">
        <v>9.9</v>
      </c>
      <c r="H651" t="n">
        <v>0</v>
      </c>
      <c r="I651" t="n">
        <v>0</v>
      </c>
      <c r="J651" t="n">
        <v>0</v>
      </c>
      <c r="K651" t="n">
        <v>0</v>
      </c>
      <c r="L651" t="n">
        <v>0</v>
      </c>
      <c r="M651" t="n">
        <v>0</v>
      </c>
      <c r="N651" t="n">
        <v>0</v>
      </c>
      <c r="O651" t="n">
        <v>0</v>
      </c>
      <c r="P651" t="n">
        <v>0</v>
      </c>
      <c r="Q651" t="n">
        <v>0</v>
      </c>
      <c r="R651" s="2" t="inlineStr"/>
    </row>
    <row r="652" ht="15" customHeight="1">
      <c r="A652" t="inlineStr">
        <is>
          <t>A 16017-2025</t>
        </is>
      </c>
      <c r="B652" s="1" t="n">
        <v>45749</v>
      </c>
      <c r="C652" s="1" t="n">
        <v>45989</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28035-2024</t>
        </is>
      </c>
      <c r="B653" s="1" t="n">
        <v>45476</v>
      </c>
      <c r="C653" s="1" t="n">
        <v>45989</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27093-2025</t>
        </is>
      </c>
      <c r="B654" s="1" t="n">
        <v>45811.67347222222</v>
      </c>
      <c r="C654" s="1" t="n">
        <v>45989</v>
      </c>
      <c r="D654" t="inlineStr">
        <is>
          <t>VÄRMLANDS LÄN</t>
        </is>
      </c>
      <c r="E654" t="inlineStr">
        <is>
          <t>TORSBY</t>
        </is>
      </c>
      <c r="F654" t="inlineStr">
        <is>
          <t>Bergvik skog väst AB</t>
        </is>
      </c>
      <c r="G654" t="n">
        <v>2.8</v>
      </c>
      <c r="H654" t="n">
        <v>0</v>
      </c>
      <c r="I654" t="n">
        <v>0</v>
      </c>
      <c r="J654" t="n">
        <v>0</v>
      </c>
      <c r="K654" t="n">
        <v>0</v>
      </c>
      <c r="L654" t="n">
        <v>0</v>
      </c>
      <c r="M654" t="n">
        <v>0</v>
      </c>
      <c r="N654" t="n">
        <v>0</v>
      </c>
      <c r="O654" t="n">
        <v>0</v>
      </c>
      <c r="P654" t="n">
        <v>0</v>
      </c>
      <c r="Q654" t="n">
        <v>0</v>
      </c>
      <c r="R654" s="2" t="inlineStr"/>
    </row>
    <row r="655" ht="15" customHeight="1">
      <c r="A655" t="inlineStr">
        <is>
          <t>A 27174-2025</t>
        </is>
      </c>
      <c r="B655" s="1" t="n">
        <v>45812.34997685185</v>
      </c>
      <c r="C655" s="1" t="n">
        <v>45989</v>
      </c>
      <c r="D655" t="inlineStr">
        <is>
          <t>VÄRMLANDS LÄN</t>
        </is>
      </c>
      <c r="E655" t="inlineStr">
        <is>
          <t>TORSBY</t>
        </is>
      </c>
      <c r="F655" t="inlineStr">
        <is>
          <t>Kyrkan</t>
        </is>
      </c>
      <c r="G655" t="n">
        <v>1.6</v>
      </c>
      <c r="H655" t="n">
        <v>0</v>
      </c>
      <c r="I655" t="n">
        <v>0</v>
      </c>
      <c r="J655" t="n">
        <v>0</v>
      </c>
      <c r="K655" t="n">
        <v>0</v>
      </c>
      <c r="L655" t="n">
        <v>0</v>
      </c>
      <c r="M655" t="n">
        <v>0</v>
      </c>
      <c r="N655" t="n">
        <v>0</v>
      </c>
      <c r="O655" t="n">
        <v>0</v>
      </c>
      <c r="P655" t="n">
        <v>0</v>
      </c>
      <c r="Q655" t="n">
        <v>0</v>
      </c>
      <c r="R655" s="2" t="inlineStr"/>
    </row>
    <row r="656" ht="15" customHeight="1">
      <c r="A656" t="inlineStr">
        <is>
          <t>A 60454-2024</t>
        </is>
      </c>
      <c r="B656" s="1" t="n">
        <v>45643</v>
      </c>
      <c r="C656" s="1" t="n">
        <v>45989</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27043-2025</t>
        </is>
      </c>
      <c r="B657" s="1" t="n">
        <v>45811.61342592593</v>
      </c>
      <c r="C657" s="1" t="n">
        <v>45989</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27291-2025</t>
        </is>
      </c>
      <c r="B658" s="1" t="n">
        <v>45812.55769675926</v>
      </c>
      <c r="C658" s="1" t="n">
        <v>45989</v>
      </c>
      <c r="D658" t="inlineStr">
        <is>
          <t>VÄRMLANDS LÄN</t>
        </is>
      </c>
      <c r="E658" t="inlineStr">
        <is>
          <t>TORSBY</t>
        </is>
      </c>
      <c r="G658" t="n">
        <v>8</v>
      </c>
      <c r="H658" t="n">
        <v>0</v>
      </c>
      <c r="I658" t="n">
        <v>0</v>
      </c>
      <c r="J658" t="n">
        <v>0</v>
      </c>
      <c r="K658" t="n">
        <v>0</v>
      </c>
      <c r="L658" t="n">
        <v>0</v>
      </c>
      <c r="M658" t="n">
        <v>0</v>
      </c>
      <c r="N658" t="n">
        <v>0</v>
      </c>
      <c r="O658" t="n">
        <v>0</v>
      </c>
      <c r="P658" t="n">
        <v>0</v>
      </c>
      <c r="Q658" t="n">
        <v>0</v>
      </c>
      <c r="R658" s="2" t="inlineStr"/>
    </row>
    <row r="659" ht="15" customHeight="1">
      <c r="A659" t="inlineStr">
        <is>
          <t>A 27056-2025</t>
        </is>
      </c>
      <c r="B659" s="1" t="n">
        <v>45811.63118055555</v>
      </c>
      <c r="C659" s="1" t="n">
        <v>45989</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54023-2024</t>
        </is>
      </c>
      <c r="B660" s="1" t="n">
        <v>45616</v>
      </c>
      <c r="C660" s="1" t="n">
        <v>45989</v>
      </c>
      <c r="D660" t="inlineStr">
        <is>
          <t>VÄRMLANDS LÄN</t>
        </is>
      </c>
      <c r="E660" t="inlineStr">
        <is>
          <t>TORSBY</t>
        </is>
      </c>
      <c r="F660" t="inlineStr">
        <is>
          <t>Kommuner</t>
        </is>
      </c>
      <c r="G660" t="n">
        <v>3</v>
      </c>
      <c r="H660" t="n">
        <v>0</v>
      </c>
      <c r="I660" t="n">
        <v>0</v>
      </c>
      <c r="J660" t="n">
        <v>0</v>
      </c>
      <c r="K660" t="n">
        <v>0</v>
      </c>
      <c r="L660" t="n">
        <v>0</v>
      </c>
      <c r="M660" t="n">
        <v>0</v>
      </c>
      <c r="N660" t="n">
        <v>0</v>
      </c>
      <c r="O660" t="n">
        <v>0</v>
      </c>
      <c r="P660" t="n">
        <v>0</v>
      </c>
      <c r="Q660" t="n">
        <v>0</v>
      </c>
      <c r="R660" s="2" t="inlineStr"/>
    </row>
    <row r="661" ht="15" customHeight="1">
      <c r="A661" t="inlineStr">
        <is>
          <t>A 54027-2024</t>
        </is>
      </c>
      <c r="B661" s="1" t="n">
        <v>45616</v>
      </c>
      <c r="C661" s="1" t="n">
        <v>45989</v>
      </c>
      <c r="D661" t="inlineStr">
        <is>
          <t>VÄRMLANDS LÄN</t>
        </is>
      </c>
      <c r="E661" t="inlineStr">
        <is>
          <t>TORSBY</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54609-2024</t>
        </is>
      </c>
      <c r="B662" s="1" t="n">
        <v>45617</v>
      </c>
      <c r="C662" s="1" t="n">
        <v>45989</v>
      </c>
      <c r="D662" t="inlineStr">
        <is>
          <t>VÄRMLANDS LÄN</t>
        </is>
      </c>
      <c r="E662" t="inlineStr">
        <is>
          <t>TORSBY</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27094-2025</t>
        </is>
      </c>
      <c r="B663" s="1" t="n">
        <v>45811.6766087963</v>
      </c>
      <c r="C663" s="1" t="n">
        <v>45989</v>
      </c>
      <c r="D663" t="inlineStr">
        <is>
          <t>VÄRMLANDS LÄN</t>
        </is>
      </c>
      <c r="E663" t="inlineStr">
        <is>
          <t>TORSBY</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27149-2025</t>
        </is>
      </c>
      <c r="B664" s="1" t="n">
        <v>45812.31924768518</v>
      </c>
      <c r="C664" s="1" t="n">
        <v>45989</v>
      </c>
      <c r="D664" t="inlineStr">
        <is>
          <t>VÄRMLANDS LÄN</t>
        </is>
      </c>
      <c r="E664" t="inlineStr">
        <is>
          <t>TORSBY</t>
        </is>
      </c>
      <c r="F664" t="inlineStr">
        <is>
          <t>Bergvik skog väst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19964-2025</t>
        </is>
      </c>
      <c r="B665" s="1" t="n">
        <v>45771.67315972222</v>
      </c>
      <c r="C665" s="1" t="n">
        <v>45989</v>
      </c>
      <c r="D665" t="inlineStr">
        <is>
          <t>VÄRMLANDS LÄN</t>
        </is>
      </c>
      <c r="E665" t="inlineStr">
        <is>
          <t>TORSBY</t>
        </is>
      </c>
      <c r="F665" t="inlineStr">
        <is>
          <t>Bergvik skog väst AB</t>
        </is>
      </c>
      <c r="G665" t="n">
        <v>23.8</v>
      </c>
      <c r="H665" t="n">
        <v>0</v>
      </c>
      <c r="I665" t="n">
        <v>0</v>
      </c>
      <c r="J665" t="n">
        <v>0</v>
      </c>
      <c r="K665" t="n">
        <v>0</v>
      </c>
      <c r="L665" t="n">
        <v>0</v>
      </c>
      <c r="M665" t="n">
        <v>0</v>
      </c>
      <c r="N665" t="n">
        <v>0</v>
      </c>
      <c r="O665" t="n">
        <v>0</v>
      </c>
      <c r="P665" t="n">
        <v>0</v>
      </c>
      <c r="Q665" t="n">
        <v>0</v>
      </c>
      <c r="R665" s="2" t="inlineStr"/>
    </row>
    <row r="666" ht="15" customHeight="1">
      <c r="A666" t="inlineStr">
        <is>
          <t>A 26897-2025</t>
        </is>
      </c>
      <c r="B666" s="1" t="n">
        <v>45811.34108796297</v>
      </c>
      <c r="C666" s="1" t="n">
        <v>45989</v>
      </c>
      <c r="D666" t="inlineStr">
        <is>
          <t>VÄRMLANDS LÄN</t>
        </is>
      </c>
      <c r="E666" t="inlineStr">
        <is>
          <t>TORSBY</t>
        </is>
      </c>
      <c r="G666" t="n">
        <v>4.7</v>
      </c>
      <c r="H666" t="n">
        <v>0</v>
      </c>
      <c r="I666" t="n">
        <v>0</v>
      </c>
      <c r="J666" t="n">
        <v>0</v>
      </c>
      <c r="K666" t="n">
        <v>0</v>
      </c>
      <c r="L666" t="n">
        <v>0</v>
      </c>
      <c r="M666" t="n">
        <v>0</v>
      </c>
      <c r="N666" t="n">
        <v>0</v>
      </c>
      <c r="O666" t="n">
        <v>0</v>
      </c>
      <c r="P666" t="n">
        <v>0</v>
      </c>
      <c r="Q666" t="n">
        <v>0</v>
      </c>
      <c r="R666" s="2" t="inlineStr"/>
    </row>
    <row r="667" ht="15" customHeight="1">
      <c r="A667" t="inlineStr">
        <is>
          <t>A 54004-2024</t>
        </is>
      </c>
      <c r="B667" s="1" t="n">
        <v>45616.36659722222</v>
      </c>
      <c r="C667" s="1" t="n">
        <v>45989</v>
      </c>
      <c r="D667" t="inlineStr">
        <is>
          <t>VÄRMLANDS LÄN</t>
        </is>
      </c>
      <c r="E667" t="inlineStr">
        <is>
          <t>TORSBY</t>
        </is>
      </c>
      <c r="F667" t="inlineStr">
        <is>
          <t>Kommuner</t>
        </is>
      </c>
      <c r="G667" t="n">
        <v>4</v>
      </c>
      <c r="H667" t="n">
        <v>0</v>
      </c>
      <c r="I667" t="n">
        <v>0</v>
      </c>
      <c r="J667" t="n">
        <v>0</v>
      </c>
      <c r="K667" t="n">
        <v>0</v>
      </c>
      <c r="L667" t="n">
        <v>0</v>
      </c>
      <c r="M667" t="n">
        <v>0</v>
      </c>
      <c r="N667" t="n">
        <v>0</v>
      </c>
      <c r="O667" t="n">
        <v>0</v>
      </c>
      <c r="P667" t="n">
        <v>0</v>
      </c>
      <c r="Q667" t="n">
        <v>0</v>
      </c>
      <c r="R667" s="2" t="inlineStr"/>
    </row>
    <row r="668" ht="15" customHeight="1">
      <c r="A668" t="inlineStr">
        <is>
          <t>A 27116-2025</t>
        </is>
      </c>
      <c r="B668" s="1" t="n">
        <v>45811.74233796296</v>
      </c>
      <c r="C668" s="1" t="n">
        <v>45989</v>
      </c>
      <c r="D668" t="inlineStr">
        <is>
          <t>VÄRMLANDS LÄN</t>
        </is>
      </c>
      <c r="E668" t="inlineStr">
        <is>
          <t>TORSBY</t>
        </is>
      </c>
      <c r="G668" t="n">
        <v>6.2</v>
      </c>
      <c r="H668" t="n">
        <v>0</v>
      </c>
      <c r="I668" t="n">
        <v>0</v>
      </c>
      <c r="J668" t="n">
        <v>0</v>
      </c>
      <c r="K668" t="n">
        <v>0</v>
      </c>
      <c r="L668" t="n">
        <v>0</v>
      </c>
      <c r="M668" t="n">
        <v>0</v>
      </c>
      <c r="N668" t="n">
        <v>0</v>
      </c>
      <c r="O668" t="n">
        <v>0</v>
      </c>
      <c r="P668" t="n">
        <v>0</v>
      </c>
      <c r="Q668" t="n">
        <v>0</v>
      </c>
      <c r="R668" s="2" t="inlineStr"/>
    </row>
    <row r="669" ht="15" customHeight="1">
      <c r="A669" t="inlineStr">
        <is>
          <t>A 40519-2025</t>
        </is>
      </c>
      <c r="B669" s="1" t="n">
        <v>45896.3640162037</v>
      </c>
      <c r="C669" s="1" t="n">
        <v>45989</v>
      </c>
      <c r="D669" t="inlineStr">
        <is>
          <t>VÄRMLANDS LÄN</t>
        </is>
      </c>
      <c r="E669" t="inlineStr">
        <is>
          <t>TORSBY</t>
        </is>
      </c>
      <c r="F669" t="inlineStr">
        <is>
          <t>Bergvik skog väst AB</t>
        </is>
      </c>
      <c r="G669" t="n">
        <v>0.4</v>
      </c>
      <c r="H669" t="n">
        <v>0</v>
      </c>
      <c r="I669" t="n">
        <v>0</v>
      </c>
      <c r="J669" t="n">
        <v>0</v>
      </c>
      <c r="K669" t="n">
        <v>0</v>
      </c>
      <c r="L669" t="n">
        <v>0</v>
      </c>
      <c r="M669" t="n">
        <v>0</v>
      </c>
      <c r="N669" t="n">
        <v>0</v>
      </c>
      <c r="O669" t="n">
        <v>0</v>
      </c>
      <c r="P669" t="n">
        <v>0</v>
      </c>
      <c r="Q669" t="n">
        <v>0</v>
      </c>
      <c r="R669" s="2" t="inlineStr"/>
    </row>
    <row r="670" ht="15" customHeight="1">
      <c r="A670" t="inlineStr">
        <is>
          <t>A 14614-2025</t>
        </is>
      </c>
      <c r="B670" s="1" t="n">
        <v>45742</v>
      </c>
      <c r="C670" s="1" t="n">
        <v>45989</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43179-2023</t>
        </is>
      </c>
      <c r="B671" s="1" t="n">
        <v>45183.37615740741</v>
      </c>
      <c r="C671" s="1" t="n">
        <v>45989</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27728-2025</t>
        </is>
      </c>
      <c r="B672" s="1" t="n">
        <v>45814</v>
      </c>
      <c r="C672" s="1" t="n">
        <v>45989</v>
      </c>
      <c r="D672" t="inlineStr">
        <is>
          <t>VÄRMLANDS LÄN</t>
        </is>
      </c>
      <c r="E672" t="inlineStr">
        <is>
          <t>TORSBY</t>
        </is>
      </c>
      <c r="F672" t="inlineStr">
        <is>
          <t>Bergvik skog väst AB</t>
        </is>
      </c>
      <c r="G672" t="n">
        <v>8.5</v>
      </c>
      <c r="H672" t="n">
        <v>0</v>
      </c>
      <c r="I672" t="n">
        <v>0</v>
      </c>
      <c r="J672" t="n">
        <v>0</v>
      </c>
      <c r="K672" t="n">
        <v>0</v>
      </c>
      <c r="L672" t="n">
        <v>0</v>
      </c>
      <c r="M672" t="n">
        <v>0</v>
      </c>
      <c r="N672" t="n">
        <v>0</v>
      </c>
      <c r="O672" t="n">
        <v>0</v>
      </c>
      <c r="P672" t="n">
        <v>0</v>
      </c>
      <c r="Q672" t="n">
        <v>0</v>
      </c>
      <c r="R672" s="2" t="inlineStr"/>
    </row>
    <row r="673" ht="15" customHeight="1">
      <c r="A673" t="inlineStr">
        <is>
          <t>A 24827-2025</t>
        </is>
      </c>
      <c r="B673" s="1" t="n">
        <v>45799</v>
      </c>
      <c r="C673" s="1" t="n">
        <v>45989</v>
      </c>
      <c r="D673" t="inlineStr">
        <is>
          <t>VÄRMLANDS LÄN</t>
        </is>
      </c>
      <c r="E673" t="inlineStr">
        <is>
          <t>TORSBY</t>
        </is>
      </c>
      <c r="G673" t="n">
        <v>27.5</v>
      </c>
      <c r="H673" t="n">
        <v>0</v>
      </c>
      <c r="I673" t="n">
        <v>0</v>
      </c>
      <c r="J673" t="n">
        <v>0</v>
      </c>
      <c r="K673" t="n">
        <v>0</v>
      </c>
      <c r="L673" t="n">
        <v>0</v>
      </c>
      <c r="M673" t="n">
        <v>0</v>
      </c>
      <c r="N673" t="n">
        <v>0</v>
      </c>
      <c r="O673" t="n">
        <v>0</v>
      </c>
      <c r="P673" t="n">
        <v>0</v>
      </c>
      <c r="Q673" t="n">
        <v>0</v>
      </c>
      <c r="R673" s="2" t="inlineStr"/>
    </row>
    <row r="674" ht="15" customHeight="1">
      <c r="A674" t="inlineStr">
        <is>
          <t>A 27450-2025</t>
        </is>
      </c>
      <c r="B674" s="1" t="n">
        <v>45813.33738425926</v>
      </c>
      <c r="C674" s="1" t="n">
        <v>45989</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27674-2025</t>
        </is>
      </c>
      <c r="B675" s="1" t="n">
        <v>45813.62936342593</v>
      </c>
      <c r="C675" s="1" t="n">
        <v>45989</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18096-2025</t>
        </is>
      </c>
      <c r="B676" s="1" t="n">
        <v>45761</v>
      </c>
      <c r="C676" s="1" t="n">
        <v>45989</v>
      </c>
      <c r="D676" t="inlineStr">
        <is>
          <t>VÄRMLANDS LÄN</t>
        </is>
      </c>
      <c r="E676" t="inlineStr">
        <is>
          <t>TORSBY</t>
        </is>
      </c>
      <c r="G676" t="n">
        <v>3.6</v>
      </c>
      <c r="H676" t="n">
        <v>0</v>
      </c>
      <c r="I676" t="n">
        <v>0</v>
      </c>
      <c r="J676" t="n">
        <v>0</v>
      </c>
      <c r="K676" t="n">
        <v>0</v>
      </c>
      <c r="L676" t="n">
        <v>0</v>
      </c>
      <c r="M676" t="n">
        <v>0</v>
      </c>
      <c r="N676" t="n">
        <v>0</v>
      </c>
      <c r="O676" t="n">
        <v>0</v>
      </c>
      <c r="P676" t="n">
        <v>0</v>
      </c>
      <c r="Q676" t="n">
        <v>0</v>
      </c>
      <c r="R676" s="2" t="inlineStr"/>
    </row>
    <row r="677" ht="15" customHeight="1">
      <c r="A677" t="inlineStr">
        <is>
          <t>A 27730-2025</t>
        </is>
      </c>
      <c r="B677" s="1" t="n">
        <v>45814</v>
      </c>
      <c r="C677" s="1" t="n">
        <v>45989</v>
      </c>
      <c r="D677" t="inlineStr">
        <is>
          <t>VÄRMLANDS LÄN</t>
        </is>
      </c>
      <c r="E677" t="inlineStr">
        <is>
          <t>TORSBY</t>
        </is>
      </c>
      <c r="F677" t="inlineStr">
        <is>
          <t>Bergvik skog väst AB</t>
        </is>
      </c>
      <c r="G677" t="n">
        <v>5.1</v>
      </c>
      <c r="H677" t="n">
        <v>0</v>
      </c>
      <c r="I677" t="n">
        <v>0</v>
      </c>
      <c r="J677" t="n">
        <v>0</v>
      </c>
      <c r="K677" t="n">
        <v>0</v>
      </c>
      <c r="L677" t="n">
        <v>0</v>
      </c>
      <c r="M677" t="n">
        <v>0</v>
      </c>
      <c r="N677" t="n">
        <v>0</v>
      </c>
      <c r="O677" t="n">
        <v>0</v>
      </c>
      <c r="P677" t="n">
        <v>0</v>
      </c>
      <c r="Q677" t="n">
        <v>0</v>
      </c>
      <c r="R677" s="2" t="inlineStr"/>
    </row>
    <row r="678" ht="15" customHeight="1">
      <c r="A678" t="inlineStr">
        <is>
          <t>A 41293-2025</t>
        </is>
      </c>
      <c r="B678" s="1" t="n">
        <v>45898</v>
      </c>
      <c r="C678" s="1" t="n">
        <v>45989</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40729-2025</t>
        </is>
      </c>
      <c r="B679" s="1" t="n">
        <v>45897.35421296296</v>
      </c>
      <c r="C679" s="1" t="n">
        <v>45989</v>
      </c>
      <c r="D679" t="inlineStr">
        <is>
          <t>VÄRMLANDS LÄN</t>
        </is>
      </c>
      <c r="E679" t="inlineStr">
        <is>
          <t>TORSBY</t>
        </is>
      </c>
      <c r="F679" t="inlineStr">
        <is>
          <t>Bergvik skog väst AB</t>
        </is>
      </c>
      <c r="G679" t="n">
        <v>25.4</v>
      </c>
      <c r="H679" t="n">
        <v>0</v>
      </c>
      <c r="I679" t="n">
        <v>0</v>
      </c>
      <c r="J679" t="n">
        <v>0</v>
      </c>
      <c r="K679" t="n">
        <v>0</v>
      </c>
      <c r="L679" t="n">
        <v>0</v>
      </c>
      <c r="M679" t="n">
        <v>0</v>
      </c>
      <c r="N679" t="n">
        <v>0</v>
      </c>
      <c r="O679" t="n">
        <v>0</v>
      </c>
      <c r="P679" t="n">
        <v>0</v>
      </c>
      <c r="Q679" t="n">
        <v>0</v>
      </c>
      <c r="R679" s="2" t="inlineStr"/>
    </row>
    <row r="680" ht="15" customHeight="1">
      <c r="A680" t="inlineStr">
        <is>
          <t>A 27467-2025</t>
        </is>
      </c>
      <c r="B680" s="1" t="n">
        <v>45813.35497685185</v>
      </c>
      <c r="C680" s="1" t="n">
        <v>45989</v>
      </c>
      <c r="D680" t="inlineStr">
        <is>
          <t>VÄRMLANDS LÄN</t>
        </is>
      </c>
      <c r="E680" t="inlineStr">
        <is>
          <t>TORSBY</t>
        </is>
      </c>
      <c r="F680" t="inlineStr">
        <is>
          <t>Bergvik skog väst AB</t>
        </is>
      </c>
      <c r="G680" t="n">
        <v>0.7</v>
      </c>
      <c r="H680" t="n">
        <v>0</v>
      </c>
      <c r="I680" t="n">
        <v>0</v>
      </c>
      <c r="J680" t="n">
        <v>0</v>
      </c>
      <c r="K680" t="n">
        <v>0</v>
      </c>
      <c r="L680" t="n">
        <v>0</v>
      </c>
      <c r="M680" t="n">
        <v>0</v>
      </c>
      <c r="N680" t="n">
        <v>0</v>
      </c>
      <c r="O680" t="n">
        <v>0</v>
      </c>
      <c r="P680" t="n">
        <v>0</v>
      </c>
      <c r="Q680" t="n">
        <v>0</v>
      </c>
      <c r="R680" s="2" t="inlineStr"/>
    </row>
    <row r="681" ht="15" customHeight="1">
      <c r="A681" t="inlineStr">
        <is>
          <t>A 27667-2025</t>
        </is>
      </c>
      <c r="B681" s="1" t="n">
        <v>45813.62092592593</v>
      </c>
      <c r="C681" s="1" t="n">
        <v>45989</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17687-2024</t>
        </is>
      </c>
      <c r="B682" s="1" t="n">
        <v>45418</v>
      </c>
      <c r="C682" s="1" t="n">
        <v>45989</v>
      </c>
      <c r="D682" t="inlineStr">
        <is>
          <t>VÄRMLANDS LÄN</t>
        </is>
      </c>
      <c r="E682" t="inlineStr">
        <is>
          <t>TORSBY</t>
        </is>
      </c>
      <c r="G682" t="n">
        <v>1.9</v>
      </c>
      <c r="H682" t="n">
        <v>0</v>
      </c>
      <c r="I682" t="n">
        <v>0</v>
      </c>
      <c r="J682" t="n">
        <v>0</v>
      </c>
      <c r="K682" t="n">
        <v>0</v>
      </c>
      <c r="L682" t="n">
        <v>0</v>
      </c>
      <c r="M682" t="n">
        <v>0</v>
      </c>
      <c r="N682" t="n">
        <v>0</v>
      </c>
      <c r="O682" t="n">
        <v>0</v>
      </c>
      <c r="P682" t="n">
        <v>0</v>
      </c>
      <c r="Q682" t="n">
        <v>0</v>
      </c>
      <c r="R682" s="2" t="inlineStr"/>
    </row>
    <row r="683" ht="15" customHeight="1">
      <c r="A683" t="inlineStr">
        <is>
          <t>A 27470-2025</t>
        </is>
      </c>
      <c r="B683" s="1" t="n">
        <v>45813.36284722222</v>
      </c>
      <c r="C683" s="1" t="n">
        <v>45989</v>
      </c>
      <c r="D683" t="inlineStr">
        <is>
          <t>VÄRMLANDS LÄN</t>
        </is>
      </c>
      <c r="E683" t="inlineStr">
        <is>
          <t>TORSBY</t>
        </is>
      </c>
      <c r="G683" t="n">
        <v>17.9</v>
      </c>
      <c r="H683" t="n">
        <v>0</v>
      </c>
      <c r="I683" t="n">
        <v>0</v>
      </c>
      <c r="J683" t="n">
        <v>0</v>
      </c>
      <c r="K683" t="n">
        <v>0</v>
      </c>
      <c r="L683" t="n">
        <v>0</v>
      </c>
      <c r="M683" t="n">
        <v>0</v>
      </c>
      <c r="N683" t="n">
        <v>0</v>
      </c>
      <c r="O683" t="n">
        <v>0</v>
      </c>
      <c r="P683" t="n">
        <v>0</v>
      </c>
      <c r="Q683" t="n">
        <v>0</v>
      </c>
      <c r="R683" s="2" t="inlineStr"/>
    </row>
    <row r="684" ht="15" customHeight="1">
      <c r="A684" t="inlineStr">
        <is>
          <t>A 25866-2025</t>
        </is>
      </c>
      <c r="B684" s="1" t="n">
        <v>45804.48143518518</v>
      </c>
      <c r="C684" s="1" t="n">
        <v>45989</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27968-2025</t>
        </is>
      </c>
      <c r="B685" s="1" t="n">
        <v>45817.55846064815</v>
      </c>
      <c r="C685" s="1" t="n">
        <v>45989</v>
      </c>
      <c r="D685" t="inlineStr">
        <is>
          <t>VÄRMLANDS LÄN</t>
        </is>
      </c>
      <c r="E685" t="inlineStr">
        <is>
          <t>TORSBY</t>
        </is>
      </c>
      <c r="G685" t="n">
        <v>1.5</v>
      </c>
      <c r="H685" t="n">
        <v>0</v>
      </c>
      <c r="I685" t="n">
        <v>0</v>
      </c>
      <c r="J685" t="n">
        <v>0</v>
      </c>
      <c r="K685" t="n">
        <v>0</v>
      </c>
      <c r="L685" t="n">
        <v>0</v>
      </c>
      <c r="M685" t="n">
        <v>0</v>
      </c>
      <c r="N685" t="n">
        <v>0</v>
      </c>
      <c r="O685" t="n">
        <v>0</v>
      </c>
      <c r="P685" t="n">
        <v>0</v>
      </c>
      <c r="Q685" t="n">
        <v>0</v>
      </c>
      <c r="R685" s="2" t="inlineStr"/>
    </row>
    <row r="686" ht="15" customHeight="1">
      <c r="A686" t="inlineStr">
        <is>
          <t>A 41209-2025</t>
        </is>
      </c>
      <c r="B686" s="1" t="n">
        <v>45898</v>
      </c>
      <c r="C686" s="1" t="n">
        <v>45989</v>
      </c>
      <c r="D686" t="inlineStr">
        <is>
          <t>VÄRMLANDS LÄN</t>
        </is>
      </c>
      <c r="E686" t="inlineStr">
        <is>
          <t>TORSBY</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40541-2024</t>
        </is>
      </c>
      <c r="B687" s="1" t="n">
        <v>45555.62736111111</v>
      </c>
      <c r="C687" s="1" t="n">
        <v>45989</v>
      </c>
      <c r="D687" t="inlineStr">
        <is>
          <t>VÄRMLANDS LÄN</t>
        </is>
      </c>
      <c r="E687" t="inlineStr">
        <is>
          <t>TORSBY</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27856-2025</t>
        </is>
      </c>
      <c r="B688" s="1" t="n">
        <v>45817.41006944444</v>
      </c>
      <c r="C688" s="1" t="n">
        <v>45989</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41168-2025</t>
        </is>
      </c>
      <c r="B689" s="1" t="n">
        <v>45898</v>
      </c>
      <c r="C689" s="1" t="n">
        <v>45989</v>
      </c>
      <c r="D689" t="inlineStr">
        <is>
          <t>VÄRMLANDS LÄN</t>
        </is>
      </c>
      <c r="E689" t="inlineStr">
        <is>
          <t>TORSBY</t>
        </is>
      </c>
      <c r="F689" t="inlineStr">
        <is>
          <t>Övriga Aktiebolag</t>
        </is>
      </c>
      <c r="G689" t="n">
        <v>5</v>
      </c>
      <c r="H689" t="n">
        <v>0</v>
      </c>
      <c r="I689" t="n">
        <v>0</v>
      </c>
      <c r="J689" t="n">
        <v>0</v>
      </c>
      <c r="K689" t="n">
        <v>0</v>
      </c>
      <c r="L689" t="n">
        <v>0</v>
      </c>
      <c r="M689" t="n">
        <v>0</v>
      </c>
      <c r="N689" t="n">
        <v>0</v>
      </c>
      <c r="O689" t="n">
        <v>0</v>
      </c>
      <c r="P689" t="n">
        <v>0</v>
      </c>
      <c r="Q689" t="n">
        <v>0</v>
      </c>
      <c r="R689" s="2" t="inlineStr"/>
    </row>
    <row r="690" ht="15" customHeight="1">
      <c r="A690" t="inlineStr">
        <is>
          <t>A 40546-2024</t>
        </is>
      </c>
      <c r="B690" s="1" t="n">
        <v>45555</v>
      </c>
      <c r="C690" s="1" t="n">
        <v>45989</v>
      </c>
      <c r="D690" t="inlineStr">
        <is>
          <t>VÄRMLANDS LÄN</t>
        </is>
      </c>
      <c r="E690" t="inlineStr">
        <is>
          <t>TORSBY</t>
        </is>
      </c>
      <c r="F690" t="inlineStr">
        <is>
          <t>Bergvik skog väst AB</t>
        </is>
      </c>
      <c r="G690" t="n">
        <v>13.9</v>
      </c>
      <c r="H690" t="n">
        <v>0</v>
      </c>
      <c r="I690" t="n">
        <v>0</v>
      </c>
      <c r="J690" t="n">
        <v>0</v>
      </c>
      <c r="K690" t="n">
        <v>0</v>
      </c>
      <c r="L690" t="n">
        <v>0</v>
      </c>
      <c r="M690" t="n">
        <v>0</v>
      </c>
      <c r="N690" t="n">
        <v>0</v>
      </c>
      <c r="O690" t="n">
        <v>0</v>
      </c>
      <c r="P690" t="n">
        <v>0</v>
      </c>
      <c r="Q690" t="n">
        <v>0</v>
      </c>
      <c r="R690" s="2" t="inlineStr"/>
    </row>
    <row r="691" ht="15" customHeight="1">
      <c r="A691" t="inlineStr">
        <is>
          <t>A 34353-2025</t>
        </is>
      </c>
      <c r="B691" s="1" t="n">
        <v>45846.4775</v>
      </c>
      <c r="C691" s="1" t="n">
        <v>45989</v>
      </c>
      <c r="D691" t="inlineStr">
        <is>
          <t>VÄRMLANDS LÄN</t>
        </is>
      </c>
      <c r="E691" t="inlineStr">
        <is>
          <t>TORSBY</t>
        </is>
      </c>
      <c r="G691" t="n">
        <v>14.5</v>
      </c>
      <c r="H691" t="n">
        <v>0</v>
      </c>
      <c r="I691" t="n">
        <v>0</v>
      </c>
      <c r="J691" t="n">
        <v>0</v>
      </c>
      <c r="K691" t="n">
        <v>0</v>
      </c>
      <c r="L691" t="n">
        <v>0</v>
      </c>
      <c r="M691" t="n">
        <v>0</v>
      </c>
      <c r="N691" t="n">
        <v>0</v>
      </c>
      <c r="O691" t="n">
        <v>0</v>
      </c>
      <c r="P691" t="n">
        <v>0</v>
      </c>
      <c r="Q691" t="n">
        <v>0</v>
      </c>
      <c r="R691" s="2" t="inlineStr"/>
    </row>
    <row r="692" ht="15" customHeight="1">
      <c r="A692" t="inlineStr">
        <is>
          <t>A 55436-2022</t>
        </is>
      </c>
      <c r="B692" s="1" t="n">
        <v>44887</v>
      </c>
      <c r="C692" s="1" t="n">
        <v>45989</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41137-2025</t>
        </is>
      </c>
      <c r="B693" s="1" t="n">
        <v>45898</v>
      </c>
      <c r="C693" s="1" t="n">
        <v>45989</v>
      </c>
      <c r="D693" t="inlineStr">
        <is>
          <t>VÄRMLANDS LÄN</t>
        </is>
      </c>
      <c r="E693" t="inlineStr">
        <is>
          <t>TORSBY</t>
        </is>
      </c>
      <c r="F693" t="inlineStr">
        <is>
          <t>Övriga Aktiebolag</t>
        </is>
      </c>
      <c r="G693" t="n">
        <v>3.3</v>
      </c>
      <c r="H693" t="n">
        <v>0</v>
      </c>
      <c r="I693" t="n">
        <v>0</v>
      </c>
      <c r="J693" t="n">
        <v>0</v>
      </c>
      <c r="K693" t="n">
        <v>0</v>
      </c>
      <c r="L693" t="n">
        <v>0</v>
      </c>
      <c r="M693" t="n">
        <v>0</v>
      </c>
      <c r="N693" t="n">
        <v>0</v>
      </c>
      <c r="O693" t="n">
        <v>0</v>
      </c>
      <c r="P693" t="n">
        <v>0</v>
      </c>
      <c r="Q693" t="n">
        <v>0</v>
      </c>
      <c r="R693" s="2" t="inlineStr"/>
    </row>
    <row r="694" ht="15" customHeight="1">
      <c r="A694" t="inlineStr">
        <is>
          <t>A 12458-2023</t>
        </is>
      </c>
      <c r="B694" s="1" t="n">
        <v>44999</v>
      </c>
      <c r="C694" s="1" t="n">
        <v>45989</v>
      </c>
      <c r="D694" t="inlineStr">
        <is>
          <t>VÄRMLANDS LÄN</t>
        </is>
      </c>
      <c r="E694" t="inlineStr">
        <is>
          <t>TORSBY</t>
        </is>
      </c>
      <c r="G694" t="n">
        <v>2.7</v>
      </c>
      <c r="H694" t="n">
        <v>0</v>
      </c>
      <c r="I694" t="n">
        <v>0</v>
      </c>
      <c r="J694" t="n">
        <v>0</v>
      </c>
      <c r="K694" t="n">
        <v>0</v>
      </c>
      <c r="L694" t="n">
        <v>0</v>
      </c>
      <c r="M694" t="n">
        <v>0</v>
      </c>
      <c r="N694" t="n">
        <v>0</v>
      </c>
      <c r="O694" t="n">
        <v>0</v>
      </c>
      <c r="P694" t="n">
        <v>0</v>
      </c>
      <c r="Q694" t="n">
        <v>0</v>
      </c>
      <c r="R694" s="2" t="inlineStr"/>
    </row>
    <row r="695" ht="15" customHeight="1">
      <c r="A695" t="inlineStr">
        <is>
          <t>A 50494-2024</t>
        </is>
      </c>
      <c r="B695" s="1" t="n">
        <v>45601.50818287037</v>
      </c>
      <c r="C695" s="1" t="n">
        <v>45989</v>
      </c>
      <c r="D695" t="inlineStr">
        <is>
          <t>VÄRMLANDS LÄN</t>
        </is>
      </c>
      <c r="E695" t="inlineStr">
        <is>
          <t>TORSBY</t>
        </is>
      </c>
      <c r="G695" t="n">
        <v>5.4</v>
      </c>
      <c r="H695" t="n">
        <v>0</v>
      </c>
      <c r="I695" t="n">
        <v>0</v>
      </c>
      <c r="J695" t="n">
        <v>0</v>
      </c>
      <c r="K695" t="n">
        <v>0</v>
      </c>
      <c r="L695" t="n">
        <v>0</v>
      </c>
      <c r="M695" t="n">
        <v>0</v>
      </c>
      <c r="N695" t="n">
        <v>0</v>
      </c>
      <c r="O695" t="n">
        <v>0</v>
      </c>
      <c r="P695" t="n">
        <v>0</v>
      </c>
      <c r="Q695" t="n">
        <v>0</v>
      </c>
      <c r="R695" s="2" t="inlineStr"/>
    </row>
    <row r="696" ht="15" customHeight="1">
      <c r="A696" t="inlineStr">
        <is>
          <t>A 13848-2024</t>
        </is>
      </c>
      <c r="B696" s="1" t="n">
        <v>45390</v>
      </c>
      <c r="C696" s="1" t="n">
        <v>45989</v>
      </c>
      <c r="D696" t="inlineStr">
        <is>
          <t>VÄRMLANDS LÄN</t>
        </is>
      </c>
      <c r="E696" t="inlineStr">
        <is>
          <t>TORSBY</t>
        </is>
      </c>
      <c r="G696" t="n">
        <v>4.5</v>
      </c>
      <c r="H696" t="n">
        <v>0</v>
      </c>
      <c r="I696" t="n">
        <v>0</v>
      </c>
      <c r="J696" t="n">
        <v>0</v>
      </c>
      <c r="K696" t="n">
        <v>0</v>
      </c>
      <c r="L696" t="n">
        <v>0</v>
      </c>
      <c r="M696" t="n">
        <v>0</v>
      </c>
      <c r="N696" t="n">
        <v>0</v>
      </c>
      <c r="O696" t="n">
        <v>0</v>
      </c>
      <c r="P696" t="n">
        <v>0</v>
      </c>
      <c r="Q696" t="n">
        <v>0</v>
      </c>
      <c r="R696" s="2" t="inlineStr"/>
    </row>
    <row r="697" ht="15" customHeight="1">
      <c r="A697" t="inlineStr">
        <is>
          <t>A 28116-2025</t>
        </is>
      </c>
      <c r="B697" s="1" t="n">
        <v>45818.28697916667</v>
      </c>
      <c r="C697" s="1" t="n">
        <v>45989</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28117-2025</t>
        </is>
      </c>
      <c r="B698" s="1" t="n">
        <v>45818</v>
      </c>
      <c r="C698" s="1" t="n">
        <v>45989</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28118-2025</t>
        </is>
      </c>
      <c r="B699" s="1" t="n">
        <v>45818</v>
      </c>
      <c r="C699" s="1" t="n">
        <v>45989</v>
      </c>
      <c r="D699" t="inlineStr">
        <is>
          <t>VÄRMLANDS LÄN</t>
        </is>
      </c>
      <c r="E699" t="inlineStr">
        <is>
          <t>TORSBY</t>
        </is>
      </c>
      <c r="F699" t="inlineStr">
        <is>
          <t>Bergvik skog väst AB</t>
        </is>
      </c>
      <c r="G699" t="n">
        <v>7.4</v>
      </c>
      <c r="H699" t="n">
        <v>0</v>
      </c>
      <c r="I699" t="n">
        <v>0</v>
      </c>
      <c r="J699" t="n">
        <v>0</v>
      </c>
      <c r="K699" t="n">
        <v>0</v>
      </c>
      <c r="L699" t="n">
        <v>0</v>
      </c>
      <c r="M699" t="n">
        <v>0</v>
      </c>
      <c r="N699" t="n">
        <v>0</v>
      </c>
      <c r="O699" t="n">
        <v>0</v>
      </c>
      <c r="P699" t="n">
        <v>0</v>
      </c>
      <c r="Q699" t="n">
        <v>0</v>
      </c>
      <c r="R699" s="2" t="inlineStr"/>
    </row>
    <row r="700" ht="15" customHeight="1">
      <c r="A700" t="inlineStr">
        <is>
          <t>A 41148-2025</t>
        </is>
      </c>
      <c r="B700" s="1" t="n">
        <v>45898</v>
      </c>
      <c r="C700" s="1" t="n">
        <v>45989</v>
      </c>
      <c r="D700" t="inlineStr">
        <is>
          <t>VÄRMLANDS LÄN</t>
        </is>
      </c>
      <c r="E700" t="inlineStr">
        <is>
          <t>TORSBY</t>
        </is>
      </c>
      <c r="G700" t="n">
        <v>0.9</v>
      </c>
      <c r="H700" t="n">
        <v>0</v>
      </c>
      <c r="I700" t="n">
        <v>0</v>
      </c>
      <c r="J700" t="n">
        <v>0</v>
      </c>
      <c r="K700" t="n">
        <v>0</v>
      </c>
      <c r="L700" t="n">
        <v>0</v>
      </c>
      <c r="M700" t="n">
        <v>0</v>
      </c>
      <c r="N700" t="n">
        <v>0</v>
      </c>
      <c r="O700" t="n">
        <v>0</v>
      </c>
      <c r="P700" t="n">
        <v>0</v>
      </c>
      <c r="Q700" t="n">
        <v>0</v>
      </c>
      <c r="R700" s="2" t="inlineStr"/>
    </row>
    <row r="701" ht="15" customHeight="1">
      <c r="A701" t="inlineStr">
        <is>
          <t>A 59425-2021</t>
        </is>
      </c>
      <c r="B701" s="1" t="n">
        <v>44491.43469907407</v>
      </c>
      <c r="C701" s="1" t="n">
        <v>45989</v>
      </c>
      <c r="D701" t="inlineStr">
        <is>
          <t>VÄRMLANDS LÄN</t>
        </is>
      </c>
      <c r="E701" t="inlineStr">
        <is>
          <t>TORSBY</t>
        </is>
      </c>
      <c r="F701" t="inlineStr">
        <is>
          <t>Bergvik skog väst AB</t>
        </is>
      </c>
      <c r="G701" t="n">
        <v>14.9</v>
      </c>
      <c r="H701" t="n">
        <v>0</v>
      </c>
      <c r="I701" t="n">
        <v>0</v>
      </c>
      <c r="J701" t="n">
        <v>0</v>
      </c>
      <c r="K701" t="n">
        <v>0</v>
      </c>
      <c r="L701" t="n">
        <v>0</v>
      </c>
      <c r="M701" t="n">
        <v>0</v>
      </c>
      <c r="N701" t="n">
        <v>0</v>
      </c>
      <c r="O701" t="n">
        <v>0</v>
      </c>
      <c r="P701" t="n">
        <v>0</v>
      </c>
      <c r="Q701" t="n">
        <v>0</v>
      </c>
      <c r="R701" s="2" t="inlineStr"/>
    </row>
    <row r="702" ht="15" customHeight="1">
      <c r="A702" t="inlineStr">
        <is>
          <t>A 20255-2025</t>
        </is>
      </c>
      <c r="B702" s="1" t="n">
        <v>45772.9009375</v>
      </c>
      <c r="C702" s="1" t="n">
        <v>45989</v>
      </c>
      <c r="D702" t="inlineStr">
        <is>
          <t>VÄRMLANDS LÄN</t>
        </is>
      </c>
      <c r="E702" t="inlineStr">
        <is>
          <t>TORSBY</t>
        </is>
      </c>
      <c r="G702" t="n">
        <v>9</v>
      </c>
      <c r="H702" t="n">
        <v>0</v>
      </c>
      <c r="I702" t="n">
        <v>0</v>
      </c>
      <c r="J702" t="n">
        <v>0</v>
      </c>
      <c r="K702" t="n">
        <v>0</v>
      </c>
      <c r="L702" t="n">
        <v>0</v>
      </c>
      <c r="M702" t="n">
        <v>0</v>
      </c>
      <c r="N702" t="n">
        <v>0</v>
      </c>
      <c r="O702" t="n">
        <v>0</v>
      </c>
      <c r="P702" t="n">
        <v>0</v>
      </c>
      <c r="Q702" t="n">
        <v>0</v>
      </c>
      <c r="R702" s="2" t="inlineStr"/>
    </row>
    <row r="703" ht="15" customHeight="1">
      <c r="A703" t="inlineStr">
        <is>
          <t>A 28214-2025</t>
        </is>
      </c>
      <c r="B703" s="1" t="n">
        <v>45818</v>
      </c>
      <c r="C703" s="1" t="n">
        <v>45989</v>
      </c>
      <c r="D703" t="inlineStr">
        <is>
          <t>VÄRMLANDS LÄN</t>
        </is>
      </c>
      <c r="E703" t="inlineStr">
        <is>
          <t>TORSBY</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27906-2025</t>
        </is>
      </c>
      <c r="B704" s="1" t="n">
        <v>45817.47108796296</v>
      </c>
      <c r="C704" s="1" t="n">
        <v>45989</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28329-2024</t>
        </is>
      </c>
      <c r="B705" s="1" t="n">
        <v>45477</v>
      </c>
      <c r="C705" s="1" t="n">
        <v>45989</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27759-2025</t>
        </is>
      </c>
      <c r="B706" s="1" t="n">
        <v>45816.48986111111</v>
      </c>
      <c r="C706" s="1" t="n">
        <v>45989</v>
      </c>
      <c r="D706" t="inlineStr">
        <is>
          <t>VÄRMLANDS LÄN</t>
        </is>
      </c>
      <c r="E706" t="inlineStr">
        <is>
          <t>TORSBY</t>
        </is>
      </c>
      <c r="G706" t="n">
        <v>0.7</v>
      </c>
      <c r="H706" t="n">
        <v>0</v>
      </c>
      <c r="I706" t="n">
        <v>0</v>
      </c>
      <c r="J706" t="n">
        <v>0</v>
      </c>
      <c r="K706" t="n">
        <v>0</v>
      </c>
      <c r="L706" t="n">
        <v>0</v>
      </c>
      <c r="M706" t="n">
        <v>0</v>
      </c>
      <c r="N706" t="n">
        <v>0</v>
      </c>
      <c r="O706" t="n">
        <v>0</v>
      </c>
      <c r="P706" t="n">
        <v>0</v>
      </c>
      <c r="Q706" t="n">
        <v>0</v>
      </c>
      <c r="R706" s="2" t="inlineStr"/>
    </row>
    <row r="707" ht="15" customHeight="1">
      <c r="A707" t="inlineStr">
        <is>
          <t>A 17039-2025</t>
        </is>
      </c>
      <c r="B707" s="1" t="n">
        <v>45754</v>
      </c>
      <c r="C707" s="1" t="n">
        <v>45989</v>
      </c>
      <c r="D707" t="inlineStr">
        <is>
          <t>VÄRMLANDS LÄN</t>
        </is>
      </c>
      <c r="E707" t="inlineStr">
        <is>
          <t>TORSBY</t>
        </is>
      </c>
      <c r="G707" t="n">
        <v>6.7</v>
      </c>
      <c r="H707" t="n">
        <v>0</v>
      </c>
      <c r="I707" t="n">
        <v>0</v>
      </c>
      <c r="J707" t="n">
        <v>0</v>
      </c>
      <c r="K707" t="n">
        <v>0</v>
      </c>
      <c r="L707" t="n">
        <v>0</v>
      </c>
      <c r="M707" t="n">
        <v>0</v>
      </c>
      <c r="N707" t="n">
        <v>0</v>
      </c>
      <c r="O707" t="n">
        <v>0</v>
      </c>
      <c r="P707" t="n">
        <v>0</v>
      </c>
      <c r="Q707" t="n">
        <v>0</v>
      </c>
      <c r="R707" s="2" t="inlineStr"/>
    </row>
    <row r="708" ht="15" customHeight="1">
      <c r="A708" t="inlineStr">
        <is>
          <t>A 27962-2025</t>
        </is>
      </c>
      <c r="B708" s="1" t="n">
        <v>45817.54878472222</v>
      </c>
      <c r="C708" s="1" t="n">
        <v>45989</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53945-2023</t>
        </is>
      </c>
      <c r="B709" s="1" t="n">
        <v>45231.6009837963</v>
      </c>
      <c r="C709" s="1" t="n">
        <v>45989</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58945-2024</t>
        </is>
      </c>
      <c r="B710" s="1" t="n">
        <v>45636</v>
      </c>
      <c r="C710" s="1" t="n">
        <v>45989</v>
      </c>
      <c r="D710" t="inlineStr">
        <is>
          <t>VÄRMLANDS LÄN</t>
        </is>
      </c>
      <c r="E710" t="inlineStr">
        <is>
          <t>TORSBY</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41232-2025</t>
        </is>
      </c>
      <c r="B711" s="1" t="n">
        <v>45898</v>
      </c>
      <c r="C711" s="1" t="n">
        <v>45989</v>
      </c>
      <c r="D711" t="inlineStr">
        <is>
          <t>VÄRMLANDS LÄN</t>
        </is>
      </c>
      <c r="E711" t="inlineStr">
        <is>
          <t>TORSBY</t>
        </is>
      </c>
      <c r="F711" t="inlineStr">
        <is>
          <t>Övriga Aktiebolag</t>
        </is>
      </c>
      <c r="G711" t="n">
        <v>1</v>
      </c>
      <c r="H711" t="n">
        <v>0</v>
      </c>
      <c r="I711" t="n">
        <v>0</v>
      </c>
      <c r="J711" t="n">
        <v>0</v>
      </c>
      <c r="K711" t="n">
        <v>0</v>
      </c>
      <c r="L711" t="n">
        <v>0</v>
      </c>
      <c r="M711" t="n">
        <v>0</v>
      </c>
      <c r="N711" t="n">
        <v>0</v>
      </c>
      <c r="O711" t="n">
        <v>0</v>
      </c>
      <c r="P711" t="n">
        <v>0</v>
      </c>
      <c r="Q711" t="n">
        <v>0</v>
      </c>
      <c r="R711" s="2" t="inlineStr"/>
    </row>
    <row r="712" ht="15" customHeight="1">
      <c r="A712" t="inlineStr">
        <is>
          <t>A 24576-2025</t>
        </is>
      </c>
      <c r="B712" s="1" t="n">
        <v>45798</v>
      </c>
      <c r="C712" s="1" t="n">
        <v>45989</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41189-2025</t>
        </is>
      </c>
      <c r="B713" s="1" t="n">
        <v>45898</v>
      </c>
      <c r="C713" s="1" t="n">
        <v>45989</v>
      </c>
      <c r="D713" t="inlineStr">
        <is>
          <t>VÄRMLANDS LÄN</t>
        </is>
      </c>
      <c r="E713" t="inlineStr">
        <is>
          <t>TORSBY</t>
        </is>
      </c>
      <c r="F713" t="inlineStr">
        <is>
          <t>Övriga Aktiebolag</t>
        </is>
      </c>
      <c r="G713" t="n">
        <v>10.3</v>
      </c>
      <c r="H713" t="n">
        <v>0</v>
      </c>
      <c r="I713" t="n">
        <v>0</v>
      </c>
      <c r="J713" t="n">
        <v>0</v>
      </c>
      <c r="K713" t="n">
        <v>0</v>
      </c>
      <c r="L713" t="n">
        <v>0</v>
      </c>
      <c r="M713" t="n">
        <v>0</v>
      </c>
      <c r="N713" t="n">
        <v>0</v>
      </c>
      <c r="O713" t="n">
        <v>0</v>
      </c>
      <c r="P713" t="n">
        <v>0</v>
      </c>
      <c r="Q713" t="n">
        <v>0</v>
      </c>
      <c r="R713" s="2" t="inlineStr"/>
    </row>
    <row r="714" ht="15" customHeight="1">
      <c r="A714" t="inlineStr">
        <is>
          <t>A 41194-2025</t>
        </is>
      </c>
      <c r="B714" s="1" t="n">
        <v>45898.57028935185</v>
      </c>
      <c r="C714" s="1" t="n">
        <v>45989</v>
      </c>
      <c r="D714" t="inlineStr">
        <is>
          <t>VÄRMLANDS LÄN</t>
        </is>
      </c>
      <c r="E714" t="inlineStr">
        <is>
          <t>TORSBY</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41124-2025</t>
        </is>
      </c>
      <c r="B715" s="1" t="n">
        <v>45898.47166666666</v>
      </c>
      <c r="C715" s="1" t="n">
        <v>45989</v>
      </c>
      <c r="D715" t="inlineStr">
        <is>
          <t>VÄRMLANDS LÄN</t>
        </is>
      </c>
      <c r="E715" t="inlineStr">
        <is>
          <t>TORSBY</t>
        </is>
      </c>
      <c r="F715" t="inlineStr">
        <is>
          <t>Bergvik skog väst AB</t>
        </is>
      </c>
      <c r="G715" t="n">
        <v>8.9</v>
      </c>
      <c r="H715" t="n">
        <v>0</v>
      </c>
      <c r="I715" t="n">
        <v>0</v>
      </c>
      <c r="J715" t="n">
        <v>0</v>
      </c>
      <c r="K715" t="n">
        <v>0</v>
      </c>
      <c r="L715" t="n">
        <v>0</v>
      </c>
      <c r="M715" t="n">
        <v>0</v>
      </c>
      <c r="N715" t="n">
        <v>0</v>
      </c>
      <c r="O715" t="n">
        <v>0</v>
      </c>
      <c r="P715" t="n">
        <v>0</v>
      </c>
      <c r="Q715" t="n">
        <v>0</v>
      </c>
      <c r="R715" s="2" t="inlineStr"/>
    </row>
    <row r="716" ht="15" customHeight="1">
      <c r="A716" t="inlineStr">
        <is>
          <t>A 11672-2025</t>
        </is>
      </c>
      <c r="B716" s="1" t="n">
        <v>45727</v>
      </c>
      <c r="C716" s="1" t="n">
        <v>45989</v>
      </c>
      <c r="D716" t="inlineStr">
        <is>
          <t>VÄRMLANDS LÄN</t>
        </is>
      </c>
      <c r="E716" t="inlineStr">
        <is>
          <t>TORSBY</t>
        </is>
      </c>
      <c r="G716" t="n">
        <v>4.3</v>
      </c>
      <c r="H716" t="n">
        <v>0</v>
      </c>
      <c r="I716" t="n">
        <v>0</v>
      </c>
      <c r="J716" t="n">
        <v>0</v>
      </c>
      <c r="K716" t="n">
        <v>0</v>
      </c>
      <c r="L716" t="n">
        <v>0</v>
      </c>
      <c r="M716" t="n">
        <v>0</v>
      </c>
      <c r="N716" t="n">
        <v>0</v>
      </c>
      <c r="O716" t="n">
        <v>0</v>
      </c>
      <c r="P716" t="n">
        <v>0</v>
      </c>
      <c r="Q716" t="n">
        <v>0</v>
      </c>
      <c r="R716" s="2" t="inlineStr"/>
    </row>
    <row r="717" ht="15" customHeight="1">
      <c r="A717" t="inlineStr">
        <is>
          <t>A 27758-2025</t>
        </is>
      </c>
      <c r="B717" s="1" t="n">
        <v>45816</v>
      </c>
      <c r="C717" s="1" t="n">
        <v>45989</v>
      </c>
      <c r="D717" t="inlineStr">
        <is>
          <t>VÄRMLANDS LÄN</t>
        </is>
      </c>
      <c r="E717" t="inlineStr">
        <is>
          <t>TORSBY</t>
        </is>
      </c>
      <c r="G717" t="n">
        <v>0.8</v>
      </c>
      <c r="H717" t="n">
        <v>0</v>
      </c>
      <c r="I717" t="n">
        <v>0</v>
      </c>
      <c r="J717" t="n">
        <v>0</v>
      </c>
      <c r="K717" t="n">
        <v>0</v>
      </c>
      <c r="L717" t="n">
        <v>0</v>
      </c>
      <c r="M717" t="n">
        <v>0</v>
      </c>
      <c r="N717" t="n">
        <v>0</v>
      </c>
      <c r="O717" t="n">
        <v>0</v>
      </c>
      <c r="P717" t="n">
        <v>0</v>
      </c>
      <c r="Q717" t="n">
        <v>0</v>
      </c>
      <c r="R717" s="2" t="inlineStr"/>
    </row>
    <row r="718" ht="15" customHeight="1">
      <c r="A718" t="inlineStr">
        <is>
          <t>A 24111-2025</t>
        </is>
      </c>
      <c r="B718" s="1" t="n">
        <v>45796.60822916667</v>
      </c>
      <c r="C718" s="1" t="n">
        <v>45989</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33149-2025</t>
        </is>
      </c>
      <c r="B719" s="1" t="n">
        <v>45840.54246527778</v>
      </c>
      <c r="C719" s="1" t="n">
        <v>45989</v>
      </c>
      <c r="D719" t="inlineStr">
        <is>
          <t>VÄRMLANDS LÄN</t>
        </is>
      </c>
      <c r="E719" t="inlineStr">
        <is>
          <t>TORSBY</t>
        </is>
      </c>
      <c r="G719" t="n">
        <v>2.8</v>
      </c>
      <c r="H719" t="n">
        <v>0</v>
      </c>
      <c r="I719" t="n">
        <v>0</v>
      </c>
      <c r="J719" t="n">
        <v>0</v>
      </c>
      <c r="K719" t="n">
        <v>0</v>
      </c>
      <c r="L719" t="n">
        <v>0</v>
      </c>
      <c r="M719" t="n">
        <v>0</v>
      </c>
      <c r="N719" t="n">
        <v>0</v>
      </c>
      <c r="O719" t="n">
        <v>0</v>
      </c>
      <c r="P719" t="n">
        <v>0</v>
      </c>
      <c r="Q719" t="n">
        <v>0</v>
      </c>
      <c r="R719" s="2" t="inlineStr"/>
    </row>
    <row r="720" ht="15" customHeight="1">
      <c r="A720" t="inlineStr">
        <is>
          <t>A 27863-2025</t>
        </is>
      </c>
      <c r="B720" s="1" t="n">
        <v>45817.42118055555</v>
      </c>
      <c r="C720" s="1" t="n">
        <v>45989</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46166-2024</t>
        </is>
      </c>
      <c r="B721" s="1" t="n">
        <v>45581</v>
      </c>
      <c r="C721" s="1" t="n">
        <v>45989</v>
      </c>
      <c r="D721" t="inlineStr">
        <is>
          <t>VÄRMLANDS LÄN</t>
        </is>
      </c>
      <c r="E721" t="inlineStr">
        <is>
          <t>TORSBY</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24493-2024</t>
        </is>
      </c>
      <c r="B722" s="1" t="n">
        <v>45459.72136574074</v>
      </c>
      <c r="C722" s="1" t="n">
        <v>45989</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41471-2025</t>
        </is>
      </c>
      <c r="B723" s="1" t="n">
        <v>45901.46770833333</v>
      </c>
      <c r="C723" s="1" t="n">
        <v>45989</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41478-2025</t>
        </is>
      </c>
      <c r="B724" s="1" t="n">
        <v>45901</v>
      </c>
      <c r="C724" s="1" t="n">
        <v>45989</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41416-2025</t>
        </is>
      </c>
      <c r="B725" s="1" t="n">
        <v>45901</v>
      </c>
      <c r="C725" s="1" t="n">
        <v>45989</v>
      </c>
      <c r="D725" t="inlineStr">
        <is>
          <t>VÄRMLANDS LÄN</t>
        </is>
      </c>
      <c r="E725" t="inlineStr">
        <is>
          <t>TORSBY</t>
        </is>
      </c>
      <c r="G725" t="n">
        <v>7.8</v>
      </c>
      <c r="H725" t="n">
        <v>0</v>
      </c>
      <c r="I725" t="n">
        <v>0</v>
      </c>
      <c r="J725" t="n">
        <v>0</v>
      </c>
      <c r="K725" t="n">
        <v>0</v>
      </c>
      <c r="L725" t="n">
        <v>0</v>
      </c>
      <c r="M725" t="n">
        <v>0</v>
      </c>
      <c r="N725" t="n">
        <v>0</v>
      </c>
      <c r="O725" t="n">
        <v>0</v>
      </c>
      <c r="P725" t="n">
        <v>0</v>
      </c>
      <c r="Q725" t="n">
        <v>0</v>
      </c>
      <c r="R725" s="2" t="inlineStr"/>
    </row>
    <row r="726" ht="15" customHeight="1">
      <c r="A726" t="inlineStr">
        <is>
          <t>A 41711-2025</t>
        </is>
      </c>
      <c r="B726" s="1" t="n">
        <v>45902.43106481482</v>
      </c>
      <c r="C726" s="1" t="n">
        <v>45989</v>
      </c>
      <c r="D726" t="inlineStr">
        <is>
          <t>VÄRMLANDS LÄN</t>
        </is>
      </c>
      <c r="E726" t="inlineStr">
        <is>
          <t>TORSBY</t>
        </is>
      </c>
      <c r="G726" t="n">
        <v>11.1</v>
      </c>
      <c r="H726" t="n">
        <v>0</v>
      </c>
      <c r="I726" t="n">
        <v>0</v>
      </c>
      <c r="J726" t="n">
        <v>0</v>
      </c>
      <c r="K726" t="n">
        <v>0</v>
      </c>
      <c r="L726" t="n">
        <v>0</v>
      </c>
      <c r="M726" t="n">
        <v>0</v>
      </c>
      <c r="N726" t="n">
        <v>0</v>
      </c>
      <c r="O726" t="n">
        <v>0</v>
      </c>
      <c r="P726" t="n">
        <v>0</v>
      </c>
      <c r="Q726" t="n">
        <v>0</v>
      </c>
      <c r="R726" s="2" t="inlineStr"/>
    </row>
    <row r="727" ht="15" customHeight="1">
      <c r="A727" t="inlineStr">
        <is>
          <t>A 41376-2025</t>
        </is>
      </c>
      <c r="B727" s="1" t="n">
        <v>45900.84105324074</v>
      </c>
      <c r="C727" s="1" t="n">
        <v>45989</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28612-2025</t>
        </is>
      </c>
      <c r="B728" s="1" t="n">
        <v>45819</v>
      </c>
      <c r="C728" s="1" t="n">
        <v>45989</v>
      </c>
      <c r="D728" t="inlineStr">
        <is>
          <t>VÄRMLANDS LÄN</t>
        </is>
      </c>
      <c r="E728" t="inlineStr">
        <is>
          <t>TORSBY</t>
        </is>
      </c>
      <c r="G728" t="n">
        <v>5.2</v>
      </c>
      <c r="H728" t="n">
        <v>0</v>
      </c>
      <c r="I728" t="n">
        <v>0</v>
      </c>
      <c r="J728" t="n">
        <v>0</v>
      </c>
      <c r="K728" t="n">
        <v>0</v>
      </c>
      <c r="L728" t="n">
        <v>0</v>
      </c>
      <c r="M728" t="n">
        <v>0</v>
      </c>
      <c r="N728" t="n">
        <v>0</v>
      </c>
      <c r="O728" t="n">
        <v>0</v>
      </c>
      <c r="P728" t="n">
        <v>0</v>
      </c>
      <c r="Q728" t="n">
        <v>0</v>
      </c>
      <c r="R728" s="2" t="inlineStr"/>
    </row>
    <row r="729" ht="15" customHeight="1">
      <c r="A729" t="inlineStr">
        <is>
          <t>A 28774-2025</t>
        </is>
      </c>
      <c r="B729" s="1" t="n">
        <v>45820.4434375</v>
      </c>
      <c r="C729" s="1" t="n">
        <v>45989</v>
      </c>
      <c r="D729" t="inlineStr">
        <is>
          <t>VÄRMLANDS LÄN</t>
        </is>
      </c>
      <c r="E729" t="inlineStr">
        <is>
          <t>TORSBY</t>
        </is>
      </c>
      <c r="G729" t="n">
        <v>7</v>
      </c>
      <c r="H729" t="n">
        <v>0</v>
      </c>
      <c r="I729" t="n">
        <v>0</v>
      </c>
      <c r="J729" t="n">
        <v>0</v>
      </c>
      <c r="K729" t="n">
        <v>0</v>
      </c>
      <c r="L729" t="n">
        <v>0</v>
      </c>
      <c r="M729" t="n">
        <v>0</v>
      </c>
      <c r="N729" t="n">
        <v>0</v>
      </c>
      <c r="O729" t="n">
        <v>0</v>
      </c>
      <c r="P729" t="n">
        <v>0</v>
      </c>
      <c r="Q729" t="n">
        <v>0</v>
      </c>
      <c r="R729" s="2" t="inlineStr"/>
    </row>
    <row r="730" ht="15" customHeight="1">
      <c r="A730" t="inlineStr">
        <is>
          <t>A 41634-2025</t>
        </is>
      </c>
      <c r="B730" s="1" t="n">
        <v>45902</v>
      </c>
      <c r="C730" s="1" t="n">
        <v>45989</v>
      </c>
      <c r="D730" t="inlineStr">
        <is>
          <t>VÄRMLANDS LÄN</t>
        </is>
      </c>
      <c r="E730" t="inlineStr">
        <is>
          <t>TORSBY</t>
        </is>
      </c>
      <c r="G730" t="n">
        <v>2.4</v>
      </c>
      <c r="H730" t="n">
        <v>0</v>
      </c>
      <c r="I730" t="n">
        <v>0</v>
      </c>
      <c r="J730" t="n">
        <v>0</v>
      </c>
      <c r="K730" t="n">
        <v>0</v>
      </c>
      <c r="L730" t="n">
        <v>0</v>
      </c>
      <c r="M730" t="n">
        <v>0</v>
      </c>
      <c r="N730" t="n">
        <v>0</v>
      </c>
      <c r="O730" t="n">
        <v>0</v>
      </c>
      <c r="P730" t="n">
        <v>0</v>
      </c>
      <c r="Q730" t="n">
        <v>0</v>
      </c>
      <c r="R730" s="2" t="inlineStr"/>
    </row>
    <row r="731" ht="15" customHeight="1">
      <c r="A731" t="inlineStr">
        <is>
          <t>A 28939-2025</t>
        </is>
      </c>
      <c r="B731" s="1" t="n">
        <v>45820.71350694444</v>
      </c>
      <c r="C731" s="1" t="n">
        <v>45989</v>
      </c>
      <c r="D731" t="inlineStr">
        <is>
          <t>VÄRMLANDS LÄN</t>
        </is>
      </c>
      <c r="E731" t="inlineStr">
        <is>
          <t>TORSBY</t>
        </is>
      </c>
      <c r="G731" t="n">
        <v>5.6</v>
      </c>
      <c r="H731" t="n">
        <v>0</v>
      </c>
      <c r="I731" t="n">
        <v>0</v>
      </c>
      <c r="J731" t="n">
        <v>0</v>
      </c>
      <c r="K731" t="n">
        <v>0</v>
      </c>
      <c r="L731" t="n">
        <v>0</v>
      </c>
      <c r="M731" t="n">
        <v>0</v>
      </c>
      <c r="N731" t="n">
        <v>0</v>
      </c>
      <c r="O731" t="n">
        <v>0</v>
      </c>
      <c r="P731" t="n">
        <v>0</v>
      </c>
      <c r="Q731" t="n">
        <v>0</v>
      </c>
      <c r="R731" s="2" t="inlineStr"/>
    </row>
    <row r="732" ht="15" customHeight="1">
      <c r="A732" t="inlineStr">
        <is>
          <t>A 41740-2025</t>
        </is>
      </c>
      <c r="B732" s="1" t="n">
        <v>45902</v>
      </c>
      <c r="C732" s="1" t="n">
        <v>45989</v>
      </c>
      <c r="D732" t="inlineStr">
        <is>
          <t>VÄRMLANDS LÄN</t>
        </is>
      </c>
      <c r="E732" t="inlineStr">
        <is>
          <t>TORSBY</t>
        </is>
      </c>
      <c r="G732" t="n">
        <v>0.8</v>
      </c>
      <c r="H732" t="n">
        <v>0</v>
      </c>
      <c r="I732" t="n">
        <v>0</v>
      </c>
      <c r="J732" t="n">
        <v>0</v>
      </c>
      <c r="K732" t="n">
        <v>0</v>
      </c>
      <c r="L732" t="n">
        <v>0</v>
      </c>
      <c r="M732" t="n">
        <v>0</v>
      </c>
      <c r="N732" t="n">
        <v>0</v>
      </c>
      <c r="O732" t="n">
        <v>0</v>
      </c>
      <c r="P732" t="n">
        <v>0</v>
      </c>
      <c r="Q732" t="n">
        <v>0</v>
      </c>
      <c r="R732" s="2" t="inlineStr"/>
    </row>
    <row r="733" ht="15" customHeight="1">
      <c r="A733" t="inlineStr">
        <is>
          <t>A 41746-2025</t>
        </is>
      </c>
      <c r="B733" s="1" t="n">
        <v>45902.48660879629</v>
      </c>
      <c r="C733" s="1" t="n">
        <v>45989</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28380-2025</t>
        </is>
      </c>
      <c r="B734" s="1" t="n">
        <v>45819.30581018519</v>
      </c>
      <c r="C734" s="1" t="n">
        <v>45989</v>
      </c>
      <c r="D734" t="inlineStr">
        <is>
          <t>VÄRMLANDS LÄN</t>
        </is>
      </c>
      <c r="E734" t="inlineStr">
        <is>
          <t>TORSBY</t>
        </is>
      </c>
      <c r="G734" t="n">
        <v>3.8</v>
      </c>
      <c r="H734" t="n">
        <v>0</v>
      </c>
      <c r="I734" t="n">
        <v>0</v>
      </c>
      <c r="J734" t="n">
        <v>0</v>
      </c>
      <c r="K734" t="n">
        <v>0</v>
      </c>
      <c r="L734" t="n">
        <v>0</v>
      </c>
      <c r="M734" t="n">
        <v>0</v>
      </c>
      <c r="N734" t="n">
        <v>0</v>
      </c>
      <c r="O734" t="n">
        <v>0</v>
      </c>
      <c r="P734" t="n">
        <v>0</v>
      </c>
      <c r="Q734" t="n">
        <v>0</v>
      </c>
      <c r="R734" s="2" t="inlineStr"/>
    </row>
    <row r="735" ht="15" customHeight="1">
      <c r="A735" t="inlineStr">
        <is>
          <t>A 28761-2025</t>
        </is>
      </c>
      <c r="B735" s="1" t="n">
        <v>45820.41648148148</v>
      </c>
      <c r="C735" s="1" t="n">
        <v>45989</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28765-2025</t>
        </is>
      </c>
      <c r="B736" s="1" t="n">
        <v>45820.41982638889</v>
      </c>
      <c r="C736" s="1" t="n">
        <v>45989</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28898-2025</t>
        </is>
      </c>
      <c r="B737" s="1" t="n">
        <v>45820.63644675926</v>
      </c>
      <c r="C737" s="1" t="n">
        <v>45989</v>
      </c>
      <c r="D737" t="inlineStr">
        <is>
          <t>VÄRMLANDS LÄN</t>
        </is>
      </c>
      <c r="E737" t="inlineStr">
        <is>
          <t>TORSBY</t>
        </is>
      </c>
      <c r="G737" t="n">
        <v>6.2</v>
      </c>
      <c r="H737" t="n">
        <v>0</v>
      </c>
      <c r="I737" t="n">
        <v>0</v>
      </c>
      <c r="J737" t="n">
        <v>0</v>
      </c>
      <c r="K737" t="n">
        <v>0</v>
      </c>
      <c r="L737" t="n">
        <v>0</v>
      </c>
      <c r="M737" t="n">
        <v>0</v>
      </c>
      <c r="N737" t="n">
        <v>0</v>
      </c>
      <c r="O737" t="n">
        <v>0</v>
      </c>
      <c r="P737" t="n">
        <v>0</v>
      </c>
      <c r="Q737" t="n">
        <v>0</v>
      </c>
      <c r="R737" s="2" t="inlineStr"/>
    </row>
    <row r="738" ht="15" customHeight="1">
      <c r="A738" t="inlineStr">
        <is>
          <t>A 28784-2025</t>
        </is>
      </c>
      <c r="B738" s="1" t="n">
        <v>45820</v>
      </c>
      <c r="C738" s="1" t="n">
        <v>45989</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42457-2024</t>
        </is>
      </c>
      <c r="B739" s="1" t="n">
        <v>45565.46346064815</v>
      </c>
      <c r="C739" s="1" t="n">
        <v>45989</v>
      </c>
      <c r="D739" t="inlineStr">
        <is>
          <t>VÄRMLANDS LÄN</t>
        </is>
      </c>
      <c r="E739" t="inlineStr">
        <is>
          <t>TORSBY</t>
        </is>
      </c>
      <c r="G739" t="n">
        <v>5.2</v>
      </c>
      <c r="H739" t="n">
        <v>0</v>
      </c>
      <c r="I739" t="n">
        <v>0</v>
      </c>
      <c r="J739" t="n">
        <v>0</v>
      </c>
      <c r="K739" t="n">
        <v>0</v>
      </c>
      <c r="L739" t="n">
        <v>0</v>
      </c>
      <c r="M739" t="n">
        <v>0</v>
      </c>
      <c r="N739" t="n">
        <v>0</v>
      </c>
      <c r="O739" t="n">
        <v>0</v>
      </c>
      <c r="P739" t="n">
        <v>0</v>
      </c>
      <c r="Q739" t="n">
        <v>0</v>
      </c>
      <c r="R739" s="2" t="inlineStr"/>
    </row>
    <row r="740" ht="15" customHeight="1">
      <c r="A740" t="inlineStr">
        <is>
          <t>A 28511-2025</t>
        </is>
      </c>
      <c r="B740" s="1" t="n">
        <v>45819</v>
      </c>
      <c r="C740" s="1" t="n">
        <v>45989</v>
      </c>
      <c r="D740" t="inlineStr">
        <is>
          <t>VÄRMLANDS LÄN</t>
        </is>
      </c>
      <c r="E740" t="inlineStr">
        <is>
          <t>TORSBY</t>
        </is>
      </c>
      <c r="F740" t="inlineStr">
        <is>
          <t>Bergvik skog väst AB</t>
        </is>
      </c>
      <c r="G740" t="n">
        <v>7.3</v>
      </c>
      <c r="H740" t="n">
        <v>0</v>
      </c>
      <c r="I740" t="n">
        <v>0</v>
      </c>
      <c r="J740" t="n">
        <v>0</v>
      </c>
      <c r="K740" t="n">
        <v>0</v>
      </c>
      <c r="L740" t="n">
        <v>0</v>
      </c>
      <c r="M740" t="n">
        <v>0</v>
      </c>
      <c r="N740" t="n">
        <v>0</v>
      </c>
      <c r="O740" t="n">
        <v>0</v>
      </c>
      <c r="P740" t="n">
        <v>0</v>
      </c>
      <c r="Q740" t="n">
        <v>0</v>
      </c>
      <c r="R740" s="2" t="inlineStr"/>
    </row>
    <row r="741" ht="15" customHeight="1">
      <c r="A741" t="inlineStr">
        <is>
          <t>A 28791-2025</t>
        </is>
      </c>
      <c r="B741" s="1" t="n">
        <v>45820</v>
      </c>
      <c r="C741" s="1" t="n">
        <v>45989</v>
      </c>
      <c r="D741" t="inlineStr">
        <is>
          <t>VÄRMLANDS LÄN</t>
        </is>
      </c>
      <c r="E741" t="inlineStr">
        <is>
          <t>TORSBY</t>
        </is>
      </c>
      <c r="G741" t="n">
        <v>6.4</v>
      </c>
      <c r="H741" t="n">
        <v>0</v>
      </c>
      <c r="I741" t="n">
        <v>0</v>
      </c>
      <c r="J741" t="n">
        <v>0</v>
      </c>
      <c r="K741" t="n">
        <v>0</v>
      </c>
      <c r="L741" t="n">
        <v>0</v>
      </c>
      <c r="M741" t="n">
        <v>0</v>
      </c>
      <c r="N741" t="n">
        <v>0</v>
      </c>
      <c r="O741" t="n">
        <v>0</v>
      </c>
      <c r="P741" t="n">
        <v>0</v>
      </c>
      <c r="Q741" t="n">
        <v>0</v>
      </c>
      <c r="R741" s="2" t="inlineStr"/>
    </row>
    <row r="742" ht="15" customHeight="1">
      <c r="A742" t="inlineStr">
        <is>
          <t>A 41744-2025</t>
        </is>
      </c>
      <c r="B742" s="1" t="n">
        <v>45902</v>
      </c>
      <c r="C742" s="1" t="n">
        <v>45989</v>
      </c>
      <c r="D742" t="inlineStr">
        <is>
          <t>VÄRMLANDS LÄN</t>
        </is>
      </c>
      <c r="E742" t="inlineStr">
        <is>
          <t>TORSBY</t>
        </is>
      </c>
      <c r="G742" t="n">
        <v>1.4</v>
      </c>
      <c r="H742" t="n">
        <v>0</v>
      </c>
      <c r="I742" t="n">
        <v>0</v>
      </c>
      <c r="J742" t="n">
        <v>0</v>
      </c>
      <c r="K742" t="n">
        <v>0</v>
      </c>
      <c r="L742" t="n">
        <v>0</v>
      </c>
      <c r="M742" t="n">
        <v>0</v>
      </c>
      <c r="N742" t="n">
        <v>0</v>
      </c>
      <c r="O742" t="n">
        <v>0</v>
      </c>
      <c r="P742" t="n">
        <v>0</v>
      </c>
      <c r="Q742" t="n">
        <v>0</v>
      </c>
      <c r="R742" s="2" t="inlineStr"/>
    </row>
    <row r="743" ht="15" customHeight="1">
      <c r="A743" t="inlineStr">
        <is>
          <t>A 16488-2024</t>
        </is>
      </c>
      <c r="B743" s="1" t="n">
        <v>45408.34597222223</v>
      </c>
      <c r="C743" s="1" t="n">
        <v>45989</v>
      </c>
      <c r="D743" t="inlineStr">
        <is>
          <t>VÄRMLANDS LÄN</t>
        </is>
      </c>
      <c r="E743" t="inlineStr">
        <is>
          <t>TORSBY</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42414-2024</t>
        </is>
      </c>
      <c r="B744" s="1" t="n">
        <v>45565</v>
      </c>
      <c r="C744" s="1" t="n">
        <v>45989</v>
      </c>
      <c r="D744" t="inlineStr">
        <is>
          <t>VÄRMLANDS LÄN</t>
        </is>
      </c>
      <c r="E744" t="inlineStr">
        <is>
          <t>TORSBY</t>
        </is>
      </c>
      <c r="F744" t="inlineStr">
        <is>
          <t>Bergvik skog väst AB</t>
        </is>
      </c>
      <c r="G744" t="n">
        <v>0.7</v>
      </c>
      <c r="H744" t="n">
        <v>0</v>
      </c>
      <c r="I744" t="n">
        <v>0</v>
      </c>
      <c r="J744" t="n">
        <v>0</v>
      </c>
      <c r="K744" t="n">
        <v>0</v>
      </c>
      <c r="L744" t="n">
        <v>0</v>
      </c>
      <c r="M744" t="n">
        <v>0</v>
      </c>
      <c r="N744" t="n">
        <v>0</v>
      </c>
      <c r="O744" t="n">
        <v>0</v>
      </c>
      <c r="P744" t="n">
        <v>0</v>
      </c>
      <c r="Q744" t="n">
        <v>0</v>
      </c>
      <c r="R744" s="2" t="inlineStr"/>
    </row>
    <row r="745" ht="15" customHeight="1">
      <c r="A745" t="inlineStr">
        <is>
          <t>A 41627-2025</t>
        </is>
      </c>
      <c r="B745" s="1" t="n">
        <v>45901.79328703704</v>
      </c>
      <c r="C745" s="1" t="n">
        <v>45989</v>
      </c>
      <c r="D745" t="inlineStr">
        <is>
          <t>VÄRMLANDS LÄN</t>
        </is>
      </c>
      <c r="E745" t="inlineStr">
        <is>
          <t>TORSBY</t>
        </is>
      </c>
      <c r="F745" t="inlineStr">
        <is>
          <t>Bergvik skog väst AB</t>
        </is>
      </c>
      <c r="G745" t="n">
        <v>2.4</v>
      </c>
      <c r="H745" t="n">
        <v>0</v>
      </c>
      <c r="I745" t="n">
        <v>0</v>
      </c>
      <c r="J745" t="n">
        <v>0</v>
      </c>
      <c r="K745" t="n">
        <v>0</v>
      </c>
      <c r="L745" t="n">
        <v>0</v>
      </c>
      <c r="M745" t="n">
        <v>0</v>
      </c>
      <c r="N745" t="n">
        <v>0</v>
      </c>
      <c r="O745" t="n">
        <v>0</v>
      </c>
      <c r="P745" t="n">
        <v>0</v>
      </c>
      <c r="Q745" t="n">
        <v>0</v>
      </c>
      <c r="R745" s="2" t="inlineStr"/>
    </row>
    <row r="746" ht="15" customHeight="1">
      <c r="A746" t="inlineStr">
        <is>
          <t>A 28757-2025</t>
        </is>
      </c>
      <c r="B746" s="1" t="n">
        <v>45820</v>
      </c>
      <c r="C746" s="1" t="n">
        <v>45989</v>
      </c>
      <c r="D746" t="inlineStr">
        <is>
          <t>VÄRMLANDS LÄN</t>
        </is>
      </c>
      <c r="E746" t="inlineStr">
        <is>
          <t>TORSBY</t>
        </is>
      </c>
      <c r="G746" t="n">
        <v>12.1</v>
      </c>
      <c r="H746" t="n">
        <v>0</v>
      </c>
      <c r="I746" t="n">
        <v>0</v>
      </c>
      <c r="J746" t="n">
        <v>0</v>
      </c>
      <c r="K746" t="n">
        <v>0</v>
      </c>
      <c r="L746" t="n">
        <v>0</v>
      </c>
      <c r="M746" t="n">
        <v>0</v>
      </c>
      <c r="N746" t="n">
        <v>0</v>
      </c>
      <c r="O746" t="n">
        <v>0</v>
      </c>
      <c r="P746" t="n">
        <v>0</v>
      </c>
      <c r="Q746" t="n">
        <v>0</v>
      </c>
      <c r="R746" s="2" t="inlineStr"/>
    </row>
    <row r="747" ht="15" customHeight="1">
      <c r="A747" t="inlineStr">
        <is>
          <t>A 39771-2024</t>
        </is>
      </c>
      <c r="B747" s="1" t="n">
        <v>45552</v>
      </c>
      <c r="C747" s="1" t="n">
        <v>45989</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29312-2025</t>
        </is>
      </c>
      <c r="B748" s="1" t="n">
        <v>45824</v>
      </c>
      <c r="C748" s="1" t="n">
        <v>45989</v>
      </c>
      <c r="D748" t="inlineStr">
        <is>
          <t>VÄRMLANDS LÄN</t>
        </is>
      </c>
      <c r="E748" t="inlineStr">
        <is>
          <t>TORSBY</t>
        </is>
      </c>
      <c r="F748" t="inlineStr">
        <is>
          <t>Övriga Aktiebolag</t>
        </is>
      </c>
      <c r="G748" t="n">
        <v>1.7</v>
      </c>
      <c r="H748" t="n">
        <v>0</v>
      </c>
      <c r="I748" t="n">
        <v>0</v>
      </c>
      <c r="J748" t="n">
        <v>0</v>
      </c>
      <c r="K748" t="n">
        <v>0</v>
      </c>
      <c r="L748" t="n">
        <v>0</v>
      </c>
      <c r="M748" t="n">
        <v>0</v>
      </c>
      <c r="N748" t="n">
        <v>0</v>
      </c>
      <c r="O748" t="n">
        <v>0</v>
      </c>
      <c r="P748" t="n">
        <v>0</v>
      </c>
      <c r="Q748" t="n">
        <v>0</v>
      </c>
      <c r="R748" s="2" t="inlineStr"/>
    </row>
    <row r="749" ht="15" customHeight="1">
      <c r="A749" t="inlineStr">
        <is>
          <t>A 36175-2024</t>
        </is>
      </c>
      <c r="B749" s="1" t="n">
        <v>45534.40834490741</v>
      </c>
      <c r="C749" s="1" t="n">
        <v>45989</v>
      </c>
      <c r="D749" t="inlineStr">
        <is>
          <t>VÄRMLANDS LÄN</t>
        </is>
      </c>
      <c r="E749" t="inlineStr">
        <is>
          <t>TORSBY</t>
        </is>
      </c>
      <c r="G749" t="n">
        <v>1.1</v>
      </c>
      <c r="H749" t="n">
        <v>0</v>
      </c>
      <c r="I749" t="n">
        <v>0</v>
      </c>
      <c r="J749" t="n">
        <v>0</v>
      </c>
      <c r="K749" t="n">
        <v>0</v>
      </c>
      <c r="L749" t="n">
        <v>0</v>
      </c>
      <c r="M749" t="n">
        <v>0</v>
      </c>
      <c r="N749" t="n">
        <v>0</v>
      </c>
      <c r="O749" t="n">
        <v>0</v>
      </c>
      <c r="P749" t="n">
        <v>0</v>
      </c>
      <c r="Q749" t="n">
        <v>0</v>
      </c>
      <c r="R749" s="2" t="inlineStr"/>
    </row>
    <row r="750" ht="15" customHeight="1">
      <c r="A750" t="inlineStr">
        <is>
          <t>A 61510-2022</t>
        </is>
      </c>
      <c r="B750" s="1" t="n">
        <v>44916.49820601852</v>
      </c>
      <c r="C750" s="1" t="n">
        <v>45989</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42308-2025</t>
        </is>
      </c>
      <c r="B751" s="1" t="n">
        <v>45904</v>
      </c>
      <c r="C751" s="1" t="n">
        <v>45989</v>
      </c>
      <c r="D751" t="inlineStr">
        <is>
          <t>VÄRMLANDS LÄN</t>
        </is>
      </c>
      <c r="E751" t="inlineStr">
        <is>
          <t>TORSBY</t>
        </is>
      </c>
      <c r="G751" t="n">
        <v>4.4</v>
      </c>
      <c r="H751" t="n">
        <v>0</v>
      </c>
      <c r="I751" t="n">
        <v>0</v>
      </c>
      <c r="J751" t="n">
        <v>0</v>
      </c>
      <c r="K751" t="n">
        <v>0</v>
      </c>
      <c r="L751" t="n">
        <v>0</v>
      </c>
      <c r="M751" t="n">
        <v>0</v>
      </c>
      <c r="N751" t="n">
        <v>0</v>
      </c>
      <c r="O751" t="n">
        <v>0</v>
      </c>
      <c r="P751" t="n">
        <v>0</v>
      </c>
      <c r="Q751" t="n">
        <v>0</v>
      </c>
      <c r="R751" s="2" t="inlineStr"/>
    </row>
    <row r="752" ht="15" customHeight="1">
      <c r="A752" t="inlineStr">
        <is>
          <t>A 42352-2025</t>
        </is>
      </c>
      <c r="B752" s="1" t="n">
        <v>45904</v>
      </c>
      <c r="C752" s="1" t="n">
        <v>45989</v>
      </c>
      <c r="D752" t="inlineStr">
        <is>
          <t>VÄRMLANDS LÄN</t>
        </is>
      </c>
      <c r="E752" t="inlineStr">
        <is>
          <t>TORSBY</t>
        </is>
      </c>
      <c r="G752" t="n">
        <v>0.1</v>
      </c>
      <c r="H752" t="n">
        <v>0</v>
      </c>
      <c r="I752" t="n">
        <v>0</v>
      </c>
      <c r="J752" t="n">
        <v>0</v>
      </c>
      <c r="K752" t="n">
        <v>0</v>
      </c>
      <c r="L752" t="n">
        <v>0</v>
      </c>
      <c r="M752" t="n">
        <v>0</v>
      </c>
      <c r="N752" t="n">
        <v>0</v>
      </c>
      <c r="O752" t="n">
        <v>0</v>
      </c>
      <c r="P752" t="n">
        <v>0</v>
      </c>
      <c r="Q752" t="n">
        <v>0</v>
      </c>
      <c r="R752" s="2" t="inlineStr"/>
    </row>
    <row r="753" ht="15" customHeight="1">
      <c r="A753" t="inlineStr">
        <is>
          <t>A 29071-2025</t>
        </is>
      </c>
      <c r="B753" s="1" t="n">
        <v>45821</v>
      </c>
      <c r="C753" s="1" t="n">
        <v>45989</v>
      </c>
      <c r="D753" t="inlineStr">
        <is>
          <t>VÄRMLANDS LÄN</t>
        </is>
      </c>
      <c r="E753" t="inlineStr">
        <is>
          <t>TORSBY</t>
        </is>
      </c>
      <c r="G753" t="n">
        <v>4.2</v>
      </c>
      <c r="H753" t="n">
        <v>0</v>
      </c>
      <c r="I753" t="n">
        <v>0</v>
      </c>
      <c r="J753" t="n">
        <v>0</v>
      </c>
      <c r="K753" t="n">
        <v>0</v>
      </c>
      <c r="L753" t="n">
        <v>0</v>
      </c>
      <c r="M753" t="n">
        <v>0</v>
      </c>
      <c r="N753" t="n">
        <v>0</v>
      </c>
      <c r="O753" t="n">
        <v>0</v>
      </c>
      <c r="P753" t="n">
        <v>0</v>
      </c>
      <c r="Q753" t="n">
        <v>0</v>
      </c>
      <c r="R753" s="2" t="inlineStr"/>
    </row>
    <row r="754" ht="15" customHeight="1">
      <c r="A754" t="inlineStr">
        <is>
          <t>A 41895-2025</t>
        </is>
      </c>
      <c r="B754" s="1" t="n">
        <v>45903.38645833333</v>
      </c>
      <c r="C754" s="1" t="n">
        <v>45989</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42349-2025</t>
        </is>
      </c>
      <c r="B755" s="1" t="n">
        <v>45904</v>
      </c>
      <c r="C755" s="1" t="n">
        <v>45989</v>
      </c>
      <c r="D755" t="inlineStr">
        <is>
          <t>VÄRMLANDS LÄN</t>
        </is>
      </c>
      <c r="E755" t="inlineStr">
        <is>
          <t>TORSBY</t>
        </is>
      </c>
      <c r="G755" t="n">
        <v>0.2</v>
      </c>
      <c r="H755" t="n">
        <v>0</v>
      </c>
      <c r="I755" t="n">
        <v>0</v>
      </c>
      <c r="J755" t="n">
        <v>0</v>
      </c>
      <c r="K755" t="n">
        <v>0</v>
      </c>
      <c r="L755" t="n">
        <v>0</v>
      </c>
      <c r="M755" t="n">
        <v>0</v>
      </c>
      <c r="N755" t="n">
        <v>0</v>
      </c>
      <c r="O755" t="n">
        <v>0</v>
      </c>
      <c r="P755" t="n">
        <v>0</v>
      </c>
      <c r="Q755" t="n">
        <v>0</v>
      </c>
      <c r="R755" s="2" t="inlineStr"/>
    </row>
    <row r="756" ht="15" customHeight="1">
      <c r="A756" t="inlineStr">
        <is>
          <t>A 3536-2024</t>
        </is>
      </c>
      <c r="B756" s="1" t="n">
        <v>45320</v>
      </c>
      <c r="C756" s="1" t="n">
        <v>45989</v>
      </c>
      <c r="D756" t="inlineStr">
        <is>
          <t>VÄRMLANDS LÄN</t>
        </is>
      </c>
      <c r="E756" t="inlineStr">
        <is>
          <t>TORSBY</t>
        </is>
      </c>
      <c r="G756" t="n">
        <v>2.7</v>
      </c>
      <c r="H756" t="n">
        <v>0</v>
      </c>
      <c r="I756" t="n">
        <v>0</v>
      </c>
      <c r="J756" t="n">
        <v>0</v>
      </c>
      <c r="K756" t="n">
        <v>0</v>
      </c>
      <c r="L756" t="n">
        <v>0</v>
      </c>
      <c r="M756" t="n">
        <v>0</v>
      </c>
      <c r="N756" t="n">
        <v>0</v>
      </c>
      <c r="O756" t="n">
        <v>0</v>
      </c>
      <c r="P756" t="n">
        <v>0</v>
      </c>
      <c r="Q756" t="n">
        <v>0</v>
      </c>
      <c r="R756" s="2" t="inlineStr"/>
    </row>
    <row r="757" ht="15" customHeight="1">
      <c r="A757" t="inlineStr">
        <is>
          <t>A 29403-2025</t>
        </is>
      </c>
      <c r="B757" s="1" t="n">
        <v>45824.61469907407</v>
      </c>
      <c r="C757" s="1" t="n">
        <v>45989</v>
      </c>
      <c r="D757" t="inlineStr">
        <is>
          <t>VÄRMLANDS LÄN</t>
        </is>
      </c>
      <c r="E757" t="inlineStr">
        <is>
          <t>TORSBY</t>
        </is>
      </c>
      <c r="F757" t="inlineStr">
        <is>
          <t>Bergvik skog väst AB</t>
        </is>
      </c>
      <c r="G757" t="n">
        <v>7.7</v>
      </c>
      <c r="H757" t="n">
        <v>0</v>
      </c>
      <c r="I757" t="n">
        <v>0</v>
      </c>
      <c r="J757" t="n">
        <v>0</v>
      </c>
      <c r="K757" t="n">
        <v>0</v>
      </c>
      <c r="L757" t="n">
        <v>0</v>
      </c>
      <c r="M757" t="n">
        <v>0</v>
      </c>
      <c r="N757" t="n">
        <v>0</v>
      </c>
      <c r="O757" t="n">
        <v>0</v>
      </c>
      <c r="P757" t="n">
        <v>0</v>
      </c>
      <c r="Q757" t="n">
        <v>0</v>
      </c>
      <c r="R757" s="2" t="inlineStr"/>
    </row>
    <row r="758" ht="15" customHeight="1">
      <c r="A758" t="inlineStr">
        <is>
          <t>A 60737-2022</t>
        </is>
      </c>
      <c r="B758" s="1" t="n">
        <v>44913.88537037037</v>
      </c>
      <c r="C758" s="1" t="n">
        <v>45989</v>
      </c>
      <c r="D758" t="inlineStr">
        <is>
          <t>VÄRMLANDS LÄN</t>
        </is>
      </c>
      <c r="E758" t="inlineStr">
        <is>
          <t>TORSBY</t>
        </is>
      </c>
      <c r="G758" t="n">
        <v>1.9</v>
      </c>
      <c r="H758" t="n">
        <v>0</v>
      </c>
      <c r="I758" t="n">
        <v>0</v>
      </c>
      <c r="J758" t="n">
        <v>0</v>
      </c>
      <c r="K758" t="n">
        <v>0</v>
      </c>
      <c r="L758" t="n">
        <v>0</v>
      </c>
      <c r="M758" t="n">
        <v>0</v>
      </c>
      <c r="N758" t="n">
        <v>0</v>
      </c>
      <c r="O758" t="n">
        <v>0</v>
      </c>
      <c r="P758" t="n">
        <v>0</v>
      </c>
      <c r="Q758" t="n">
        <v>0</v>
      </c>
      <c r="R758" s="2" t="inlineStr"/>
    </row>
    <row r="759" ht="15" customHeight="1">
      <c r="A759" t="inlineStr">
        <is>
          <t>A 42354-2025</t>
        </is>
      </c>
      <c r="B759" s="1" t="n">
        <v>45904</v>
      </c>
      <c r="C759" s="1" t="n">
        <v>45989</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42273-2025</t>
        </is>
      </c>
      <c r="B760" s="1" t="n">
        <v>45904.60708333334</v>
      </c>
      <c r="C760" s="1" t="n">
        <v>45989</v>
      </c>
      <c r="D760" t="inlineStr">
        <is>
          <t>VÄRMLANDS LÄN</t>
        </is>
      </c>
      <c r="E760" t="inlineStr">
        <is>
          <t>TORSBY</t>
        </is>
      </c>
      <c r="G760" t="n">
        <v>2.5</v>
      </c>
      <c r="H760" t="n">
        <v>0</v>
      </c>
      <c r="I760" t="n">
        <v>0</v>
      </c>
      <c r="J760" t="n">
        <v>0</v>
      </c>
      <c r="K760" t="n">
        <v>0</v>
      </c>
      <c r="L760" t="n">
        <v>0</v>
      </c>
      <c r="M760" t="n">
        <v>0</v>
      </c>
      <c r="N760" t="n">
        <v>0</v>
      </c>
      <c r="O760" t="n">
        <v>0</v>
      </c>
      <c r="P760" t="n">
        <v>0</v>
      </c>
      <c r="Q760" t="n">
        <v>0</v>
      </c>
      <c r="R760" s="2" t="inlineStr"/>
    </row>
    <row r="761" ht="15" customHeight="1">
      <c r="A761" t="inlineStr">
        <is>
          <t>A 41501-2024</t>
        </is>
      </c>
      <c r="B761" s="1" t="n">
        <v>45560</v>
      </c>
      <c r="C761" s="1" t="n">
        <v>45989</v>
      </c>
      <c r="D761" t="inlineStr">
        <is>
          <t>VÄRMLANDS LÄN</t>
        </is>
      </c>
      <c r="E761" t="inlineStr">
        <is>
          <t>TORSBY</t>
        </is>
      </c>
      <c r="G761" t="n">
        <v>7.5</v>
      </c>
      <c r="H761" t="n">
        <v>0</v>
      </c>
      <c r="I761" t="n">
        <v>0</v>
      </c>
      <c r="J761" t="n">
        <v>0</v>
      </c>
      <c r="K761" t="n">
        <v>0</v>
      </c>
      <c r="L761" t="n">
        <v>0</v>
      </c>
      <c r="M761" t="n">
        <v>0</v>
      </c>
      <c r="N761" t="n">
        <v>0</v>
      </c>
      <c r="O761" t="n">
        <v>0</v>
      </c>
      <c r="P761" t="n">
        <v>0</v>
      </c>
      <c r="Q761" t="n">
        <v>0</v>
      </c>
      <c r="R761" s="2" t="inlineStr"/>
    </row>
    <row r="762" ht="15" customHeight="1">
      <c r="A762" t="inlineStr">
        <is>
          <t>A 29251-2025</t>
        </is>
      </c>
      <c r="B762" s="1" t="n">
        <v>45824</v>
      </c>
      <c r="C762" s="1" t="n">
        <v>45989</v>
      </c>
      <c r="D762" t="inlineStr">
        <is>
          <t>VÄRMLANDS LÄN</t>
        </is>
      </c>
      <c r="E762" t="inlineStr">
        <is>
          <t>TORSBY</t>
        </is>
      </c>
      <c r="G762" t="n">
        <v>8.1</v>
      </c>
      <c r="H762" t="n">
        <v>0</v>
      </c>
      <c r="I762" t="n">
        <v>0</v>
      </c>
      <c r="J762" t="n">
        <v>0</v>
      </c>
      <c r="K762" t="n">
        <v>0</v>
      </c>
      <c r="L762" t="n">
        <v>0</v>
      </c>
      <c r="M762" t="n">
        <v>0</v>
      </c>
      <c r="N762" t="n">
        <v>0</v>
      </c>
      <c r="O762" t="n">
        <v>0</v>
      </c>
      <c r="P762" t="n">
        <v>0</v>
      </c>
      <c r="Q762" t="n">
        <v>0</v>
      </c>
      <c r="R762" s="2" t="inlineStr"/>
    </row>
    <row r="763" ht="15" customHeight="1">
      <c r="A763" t="inlineStr">
        <is>
          <t>A 29063-2025</t>
        </is>
      </c>
      <c r="B763" s="1" t="n">
        <v>45821</v>
      </c>
      <c r="C763" s="1" t="n">
        <v>45989</v>
      </c>
      <c r="D763" t="inlineStr">
        <is>
          <t>VÄRMLANDS LÄN</t>
        </is>
      </c>
      <c r="E763" t="inlineStr">
        <is>
          <t>TORSBY</t>
        </is>
      </c>
      <c r="G763" t="n">
        <v>10.2</v>
      </c>
      <c r="H763" t="n">
        <v>0</v>
      </c>
      <c r="I763" t="n">
        <v>0</v>
      </c>
      <c r="J763" t="n">
        <v>0</v>
      </c>
      <c r="K763" t="n">
        <v>0</v>
      </c>
      <c r="L763" t="n">
        <v>0</v>
      </c>
      <c r="M763" t="n">
        <v>0</v>
      </c>
      <c r="N763" t="n">
        <v>0</v>
      </c>
      <c r="O763" t="n">
        <v>0</v>
      </c>
      <c r="P763" t="n">
        <v>0</v>
      </c>
      <c r="Q763" t="n">
        <v>0</v>
      </c>
      <c r="R763" s="2" t="inlineStr"/>
    </row>
    <row r="764" ht="15" customHeight="1">
      <c r="A764" t="inlineStr">
        <is>
          <t>A 29307-2025</t>
        </is>
      </c>
      <c r="B764" s="1" t="n">
        <v>45824</v>
      </c>
      <c r="C764" s="1" t="n">
        <v>45989</v>
      </c>
      <c r="D764" t="inlineStr">
        <is>
          <t>VÄRMLANDS LÄN</t>
        </is>
      </c>
      <c r="E764" t="inlineStr">
        <is>
          <t>TORSBY</t>
        </is>
      </c>
      <c r="F764" t="inlineStr">
        <is>
          <t>Övriga Aktiebolag</t>
        </is>
      </c>
      <c r="G764" t="n">
        <v>3.7</v>
      </c>
      <c r="H764" t="n">
        <v>0</v>
      </c>
      <c r="I764" t="n">
        <v>0</v>
      </c>
      <c r="J764" t="n">
        <v>0</v>
      </c>
      <c r="K764" t="n">
        <v>0</v>
      </c>
      <c r="L764" t="n">
        <v>0</v>
      </c>
      <c r="M764" t="n">
        <v>0</v>
      </c>
      <c r="N764" t="n">
        <v>0</v>
      </c>
      <c r="O764" t="n">
        <v>0</v>
      </c>
      <c r="P764" t="n">
        <v>0</v>
      </c>
      <c r="Q764" t="n">
        <v>0</v>
      </c>
      <c r="R764" s="2" t="inlineStr"/>
    </row>
    <row r="765" ht="15" customHeight="1">
      <c r="A765" t="inlineStr">
        <is>
          <t>A 55485-2023</t>
        </is>
      </c>
      <c r="B765" s="1" t="n">
        <v>45238.52023148148</v>
      </c>
      <c r="C765" s="1" t="n">
        <v>45989</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42350-2025</t>
        </is>
      </c>
      <c r="B766" s="1" t="n">
        <v>45904</v>
      </c>
      <c r="C766" s="1" t="n">
        <v>45989</v>
      </c>
      <c r="D766" t="inlineStr">
        <is>
          <t>VÄRMLANDS LÄN</t>
        </is>
      </c>
      <c r="E766" t="inlineStr">
        <is>
          <t>TORSBY</t>
        </is>
      </c>
      <c r="G766" t="n">
        <v>0.2</v>
      </c>
      <c r="H766" t="n">
        <v>0</v>
      </c>
      <c r="I766" t="n">
        <v>0</v>
      </c>
      <c r="J766" t="n">
        <v>0</v>
      </c>
      <c r="K766" t="n">
        <v>0</v>
      </c>
      <c r="L766" t="n">
        <v>0</v>
      </c>
      <c r="M766" t="n">
        <v>0</v>
      </c>
      <c r="N766" t="n">
        <v>0</v>
      </c>
      <c r="O766" t="n">
        <v>0</v>
      </c>
      <c r="P766" t="n">
        <v>0</v>
      </c>
      <c r="Q766" t="n">
        <v>0</v>
      </c>
      <c r="R766" s="2" t="inlineStr"/>
    </row>
    <row r="767" ht="15" customHeight="1">
      <c r="A767" t="inlineStr">
        <is>
          <t>A 41958-2025</t>
        </is>
      </c>
      <c r="B767" s="1" t="n">
        <v>45903.46856481482</v>
      </c>
      <c r="C767" s="1" t="n">
        <v>45989</v>
      </c>
      <c r="D767" t="inlineStr">
        <is>
          <t>VÄRMLANDS LÄN</t>
        </is>
      </c>
      <c r="E767" t="inlineStr">
        <is>
          <t>TORSBY</t>
        </is>
      </c>
      <c r="F767" t="inlineStr">
        <is>
          <t>Bergvik skog väst AB</t>
        </is>
      </c>
      <c r="G767" t="n">
        <v>15.8</v>
      </c>
      <c r="H767" t="n">
        <v>0</v>
      </c>
      <c r="I767" t="n">
        <v>0</v>
      </c>
      <c r="J767" t="n">
        <v>0</v>
      </c>
      <c r="K767" t="n">
        <v>0</v>
      </c>
      <c r="L767" t="n">
        <v>0</v>
      </c>
      <c r="M767" t="n">
        <v>0</v>
      </c>
      <c r="N767" t="n">
        <v>0</v>
      </c>
      <c r="O767" t="n">
        <v>0</v>
      </c>
      <c r="P767" t="n">
        <v>0</v>
      </c>
      <c r="Q767" t="n">
        <v>0</v>
      </c>
      <c r="R767" s="2" t="inlineStr"/>
    </row>
    <row r="768" ht="15" customHeight="1">
      <c r="A768" t="inlineStr">
        <is>
          <t>A 6656-2021</t>
        </is>
      </c>
      <c r="B768" s="1" t="n">
        <v>44236</v>
      </c>
      <c r="C768" s="1" t="n">
        <v>45989</v>
      </c>
      <c r="D768" t="inlineStr">
        <is>
          <t>VÄRMLANDS LÄN</t>
        </is>
      </c>
      <c r="E768" t="inlineStr">
        <is>
          <t>TORSBY</t>
        </is>
      </c>
      <c r="G768" t="n">
        <v>2.4</v>
      </c>
      <c r="H768" t="n">
        <v>0</v>
      </c>
      <c r="I768" t="n">
        <v>0</v>
      </c>
      <c r="J768" t="n">
        <v>0</v>
      </c>
      <c r="K768" t="n">
        <v>0</v>
      </c>
      <c r="L768" t="n">
        <v>0</v>
      </c>
      <c r="M768" t="n">
        <v>0</v>
      </c>
      <c r="N768" t="n">
        <v>0</v>
      </c>
      <c r="O768" t="n">
        <v>0</v>
      </c>
      <c r="P768" t="n">
        <v>0</v>
      </c>
      <c r="Q768" t="n">
        <v>0</v>
      </c>
      <c r="R768" s="2" t="inlineStr"/>
    </row>
    <row r="769" ht="15" customHeight="1">
      <c r="A769" t="inlineStr">
        <is>
          <t>A 392-2025</t>
        </is>
      </c>
      <c r="B769" s="1" t="n">
        <v>45663.35111111111</v>
      </c>
      <c r="C769" s="1" t="n">
        <v>45989</v>
      </c>
      <c r="D769" t="inlineStr">
        <is>
          <t>VÄRMLANDS LÄN</t>
        </is>
      </c>
      <c r="E769" t="inlineStr">
        <is>
          <t>TORSBY</t>
        </is>
      </c>
      <c r="G769" t="n">
        <v>3.5</v>
      </c>
      <c r="H769" t="n">
        <v>0</v>
      </c>
      <c r="I769" t="n">
        <v>0</v>
      </c>
      <c r="J769" t="n">
        <v>0</v>
      </c>
      <c r="K769" t="n">
        <v>0</v>
      </c>
      <c r="L769" t="n">
        <v>0</v>
      </c>
      <c r="M769" t="n">
        <v>0</v>
      </c>
      <c r="N769" t="n">
        <v>0</v>
      </c>
      <c r="O769" t="n">
        <v>0</v>
      </c>
      <c r="P769" t="n">
        <v>0</v>
      </c>
      <c r="Q769" t="n">
        <v>0</v>
      </c>
      <c r="R769" s="2" t="inlineStr"/>
    </row>
    <row r="770" ht="15" customHeight="1">
      <c r="A770" t="inlineStr">
        <is>
          <t>A 50147-2023</t>
        </is>
      </c>
      <c r="B770" s="1" t="n">
        <v>45215</v>
      </c>
      <c r="C770" s="1" t="n">
        <v>45989</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42152-2025</t>
        </is>
      </c>
      <c r="B771" s="1" t="n">
        <v>45904.3884375</v>
      </c>
      <c r="C771" s="1" t="n">
        <v>45989</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10579-2021</t>
        </is>
      </c>
      <c r="B772" s="1" t="n">
        <v>44257</v>
      </c>
      <c r="C772" s="1" t="n">
        <v>45989</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42108-2025</t>
        </is>
      </c>
      <c r="B773" s="1" t="n">
        <v>45903</v>
      </c>
      <c r="C773" s="1" t="n">
        <v>45989</v>
      </c>
      <c r="D773" t="inlineStr">
        <is>
          <t>VÄRMLANDS LÄN</t>
        </is>
      </c>
      <c r="E773" t="inlineStr">
        <is>
          <t>TORSBY</t>
        </is>
      </c>
      <c r="F773" t="inlineStr">
        <is>
          <t>Bergvik skog väst AB</t>
        </is>
      </c>
      <c r="G773" t="n">
        <v>13.5</v>
      </c>
      <c r="H773" t="n">
        <v>0</v>
      </c>
      <c r="I773" t="n">
        <v>0</v>
      </c>
      <c r="J773" t="n">
        <v>0</v>
      </c>
      <c r="K773" t="n">
        <v>0</v>
      </c>
      <c r="L773" t="n">
        <v>0</v>
      </c>
      <c r="M773" t="n">
        <v>0</v>
      </c>
      <c r="N773" t="n">
        <v>0</v>
      </c>
      <c r="O773" t="n">
        <v>0</v>
      </c>
      <c r="P773" t="n">
        <v>0</v>
      </c>
      <c r="Q773" t="n">
        <v>0</v>
      </c>
      <c r="R773" s="2" t="inlineStr"/>
    </row>
    <row r="774" ht="15" customHeight="1">
      <c r="A774" t="inlineStr">
        <is>
          <t>A 33078-2024</t>
        </is>
      </c>
      <c r="B774" s="1" t="n">
        <v>45517</v>
      </c>
      <c r="C774" s="1" t="n">
        <v>45989</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42296-2025</t>
        </is>
      </c>
      <c r="B775" s="1" t="n">
        <v>45904.63361111111</v>
      </c>
      <c r="C775" s="1" t="n">
        <v>45989</v>
      </c>
      <c r="D775" t="inlineStr">
        <is>
          <t>VÄRMLANDS LÄN</t>
        </is>
      </c>
      <c r="E775" t="inlineStr">
        <is>
          <t>TORSBY</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42305-2025</t>
        </is>
      </c>
      <c r="B776" s="1" t="n">
        <v>45904.64886574074</v>
      </c>
      <c r="C776" s="1" t="n">
        <v>45989</v>
      </c>
      <c r="D776" t="inlineStr">
        <is>
          <t>VÄRMLANDS LÄN</t>
        </is>
      </c>
      <c r="E776" t="inlineStr">
        <is>
          <t>TORSBY</t>
        </is>
      </c>
      <c r="F776" t="inlineStr">
        <is>
          <t>Bergvik skog väst AB</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31351-2024</t>
        </is>
      </c>
      <c r="B777" s="1" t="n">
        <v>45505</v>
      </c>
      <c r="C777" s="1" t="n">
        <v>45989</v>
      </c>
      <c r="D777" t="inlineStr">
        <is>
          <t>VÄRMLANDS LÄN</t>
        </is>
      </c>
      <c r="E777" t="inlineStr">
        <is>
          <t>TORSBY</t>
        </is>
      </c>
      <c r="F777" t="inlineStr">
        <is>
          <t>Kyrkan</t>
        </is>
      </c>
      <c r="G777" t="n">
        <v>6.5</v>
      </c>
      <c r="H777" t="n">
        <v>0</v>
      </c>
      <c r="I777" t="n">
        <v>0</v>
      </c>
      <c r="J777" t="n">
        <v>0</v>
      </c>
      <c r="K777" t="n">
        <v>0</v>
      </c>
      <c r="L777" t="n">
        <v>0</v>
      </c>
      <c r="M777" t="n">
        <v>0</v>
      </c>
      <c r="N777" t="n">
        <v>0</v>
      </c>
      <c r="O777" t="n">
        <v>0</v>
      </c>
      <c r="P777" t="n">
        <v>0</v>
      </c>
      <c r="Q777" t="n">
        <v>0</v>
      </c>
      <c r="R777" s="2" t="inlineStr"/>
    </row>
    <row r="778" ht="15" customHeight="1">
      <c r="A778" t="inlineStr">
        <is>
          <t>A 41975-2025</t>
        </is>
      </c>
      <c r="B778" s="1" t="n">
        <v>45903.49732638889</v>
      </c>
      <c r="C778" s="1" t="n">
        <v>45989</v>
      </c>
      <c r="D778" t="inlineStr">
        <is>
          <t>VÄRMLANDS LÄN</t>
        </is>
      </c>
      <c r="E778" t="inlineStr">
        <is>
          <t>TORSBY</t>
        </is>
      </c>
      <c r="F778" t="inlineStr">
        <is>
          <t>Bergvik skog väst AB</t>
        </is>
      </c>
      <c r="G778" t="n">
        <v>10.4</v>
      </c>
      <c r="H778" t="n">
        <v>0</v>
      </c>
      <c r="I778" t="n">
        <v>0</v>
      </c>
      <c r="J778" t="n">
        <v>0</v>
      </c>
      <c r="K778" t="n">
        <v>0</v>
      </c>
      <c r="L778" t="n">
        <v>0</v>
      </c>
      <c r="M778" t="n">
        <v>0</v>
      </c>
      <c r="N778" t="n">
        <v>0</v>
      </c>
      <c r="O778" t="n">
        <v>0</v>
      </c>
      <c r="P778" t="n">
        <v>0</v>
      </c>
      <c r="Q778" t="n">
        <v>0</v>
      </c>
      <c r="R778" s="2" t="inlineStr"/>
    </row>
    <row r="779" ht="15" customHeight="1">
      <c r="A779" t="inlineStr">
        <is>
          <t>A 13207-2022</t>
        </is>
      </c>
      <c r="B779" s="1" t="n">
        <v>44644.56116898148</v>
      </c>
      <c r="C779" s="1" t="n">
        <v>45989</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42304-2025</t>
        </is>
      </c>
      <c r="B780" s="1" t="n">
        <v>45904</v>
      </c>
      <c r="C780" s="1" t="n">
        <v>45989</v>
      </c>
      <c r="D780" t="inlineStr">
        <is>
          <t>VÄRMLANDS LÄN</t>
        </is>
      </c>
      <c r="E780" t="inlineStr">
        <is>
          <t>TORSBY</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42149-2025</t>
        </is>
      </c>
      <c r="B781" s="1" t="n">
        <v>45904.38109953704</v>
      </c>
      <c r="C781" s="1" t="n">
        <v>45989</v>
      </c>
      <c r="D781" t="inlineStr">
        <is>
          <t>VÄRMLANDS LÄN</t>
        </is>
      </c>
      <c r="E781" t="inlineStr">
        <is>
          <t>TORSBY</t>
        </is>
      </c>
      <c r="G781" t="n">
        <v>2.3</v>
      </c>
      <c r="H781" t="n">
        <v>0</v>
      </c>
      <c r="I781" t="n">
        <v>0</v>
      </c>
      <c r="J781" t="n">
        <v>0</v>
      </c>
      <c r="K781" t="n">
        <v>0</v>
      </c>
      <c r="L781" t="n">
        <v>0</v>
      </c>
      <c r="M781" t="n">
        <v>0</v>
      </c>
      <c r="N781" t="n">
        <v>0</v>
      </c>
      <c r="O781" t="n">
        <v>0</v>
      </c>
      <c r="P781" t="n">
        <v>0</v>
      </c>
      <c r="Q781" t="n">
        <v>0</v>
      </c>
      <c r="R781" s="2" t="inlineStr"/>
    </row>
    <row r="782" ht="15" customHeight="1">
      <c r="A782" t="inlineStr">
        <is>
          <t>A 51215-2025</t>
        </is>
      </c>
      <c r="B782" s="1" t="n">
        <v>45947.64357638889</v>
      </c>
      <c r="C782" s="1" t="n">
        <v>45989</v>
      </c>
      <c r="D782" t="inlineStr">
        <is>
          <t>VÄRMLANDS LÄN</t>
        </is>
      </c>
      <c r="E782" t="inlineStr">
        <is>
          <t>TORSBY</t>
        </is>
      </c>
      <c r="F782" t="inlineStr">
        <is>
          <t>Bergvik skog väst AB</t>
        </is>
      </c>
      <c r="G782" t="n">
        <v>7.8</v>
      </c>
      <c r="H782" t="n">
        <v>0</v>
      </c>
      <c r="I782" t="n">
        <v>0</v>
      </c>
      <c r="J782" t="n">
        <v>0</v>
      </c>
      <c r="K782" t="n">
        <v>0</v>
      </c>
      <c r="L782" t="n">
        <v>0</v>
      </c>
      <c r="M782" t="n">
        <v>0</v>
      </c>
      <c r="N782" t="n">
        <v>0</v>
      </c>
      <c r="O782" t="n">
        <v>0</v>
      </c>
      <c r="P782" t="n">
        <v>0</v>
      </c>
      <c r="Q782" t="n">
        <v>0</v>
      </c>
      <c r="R782" s="2" t="inlineStr"/>
    </row>
    <row r="783" ht="15" customHeight="1">
      <c r="A783" t="inlineStr">
        <is>
          <t>A 51219-2025</t>
        </is>
      </c>
      <c r="B783" s="1" t="n">
        <v>45947.64710648148</v>
      </c>
      <c r="C783" s="1" t="n">
        <v>45989</v>
      </c>
      <c r="D783" t="inlineStr">
        <is>
          <t>VÄRMLANDS LÄN</t>
        </is>
      </c>
      <c r="E783" t="inlineStr">
        <is>
          <t>TORSBY</t>
        </is>
      </c>
      <c r="F783" t="inlineStr">
        <is>
          <t>Bergvik skog väst AB</t>
        </is>
      </c>
      <c r="G783" t="n">
        <v>4.6</v>
      </c>
      <c r="H783" t="n">
        <v>0</v>
      </c>
      <c r="I783" t="n">
        <v>0</v>
      </c>
      <c r="J783" t="n">
        <v>0</v>
      </c>
      <c r="K783" t="n">
        <v>0</v>
      </c>
      <c r="L783" t="n">
        <v>0</v>
      </c>
      <c r="M783" t="n">
        <v>0</v>
      </c>
      <c r="N783" t="n">
        <v>0</v>
      </c>
      <c r="O783" t="n">
        <v>0</v>
      </c>
      <c r="P783" t="n">
        <v>0</v>
      </c>
      <c r="Q783" t="n">
        <v>0</v>
      </c>
      <c r="R783" s="2" t="inlineStr"/>
    </row>
    <row r="784" ht="15" customHeight="1">
      <c r="A784" t="inlineStr">
        <is>
          <t>A 44424-2024</t>
        </is>
      </c>
      <c r="B784" s="1" t="n">
        <v>45573</v>
      </c>
      <c r="C784" s="1" t="n">
        <v>45989</v>
      </c>
      <c r="D784" t="inlineStr">
        <is>
          <t>VÄRMLANDS LÄN</t>
        </is>
      </c>
      <c r="E784" t="inlineStr">
        <is>
          <t>TORSBY</t>
        </is>
      </c>
      <c r="G784" t="n">
        <v>8.5</v>
      </c>
      <c r="H784" t="n">
        <v>0</v>
      </c>
      <c r="I784" t="n">
        <v>0</v>
      </c>
      <c r="J784" t="n">
        <v>0</v>
      </c>
      <c r="K784" t="n">
        <v>0</v>
      </c>
      <c r="L784" t="n">
        <v>0</v>
      </c>
      <c r="M784" t="n">
        <v>0</v>
      </c>
      <c r="N784" t="n">
        <v>0</v>
      </c>
      <c r="O784" t="n">
        <v>0</v>
      </c>
      <c r="P784" t="n">
        <v>0</v>
      </c>
      <c r="Q784" t="n">
        <v>0</v>
      </c>
      <c r="R784" s="2" t="inlineStr"/>
    </row>
    <row r="785" ht="15" customHeight="1">
      <c r="A785" t="inlineStr">
        <is>
          <t>A 47452-2024</t>
        </is>
      </c>
      <c r="B785" s="1" t="n">
        <v>45587</v>
      </c>
      <c r="C785" s="1" t="n">
        <v>45989</v>
      </c>
      <c r="D785" t="inlineStr">
        <is>
          <t>VÄRMLANDS LÄN</t>
        </is>
      </c>
      <c r="E785" t="inlineStr">
        <is>
          <t>TORSBY</t>
        </is>
      </c>
      <c r="F785" t="inlineStr">
        <is>
          <t>Övriga Aktiebolag</t>
        </is>
      </c>
      <c r="G785" t="n">
        <v>1.4</v>
      </c>
      <c r="H785" t="n">
        <v>0</v>
      </c>
      <c r="I785" t="n">
        <v>0</v>
      </c>
      <c r="J785" t="n">
        <v>0</v>
      </c>
      <c r="K785" t="n">
        <v>0</v>
      </c>
      <c r="L785" t="n">
        <v>0</v>
      </c>
      <c r="M785" t="n">
        <v>0</v>
      </c>
      <c r="N785" t="n">
        <v>0</v>
      </c>
      <c r="O785" t="n">
        <v>0</v>
      </c>
      <c r="P785" t="n">
        <v>0</v>
      </c>
      <c r="Q785" t="n">
        <v>0</v>
      </c>
      <c r="R785" s="2" t="inlineStr"/>
    </row>
    <row r="786" ht="15" customHeight="1">
      <c r="A786" t="inlineStr">
        <is>
          <t>A 29587-2025</t>
        </is>
      </c>
      <c r="B786" s="1" t="n">
        <v>45825.39394675926</v>
      </c>
      <c r="C786" s="1" t="n">
        <v>45989</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29702-2025</t>
        </is>
      </c>
      <c r="B787" s="1" t="n">
        <v>45825.55667824074</v>
      </c>
      <c r="C787" s="1" t="n">
        <v>45989</v>
      </c>
      <c r="D787" t="inlineStr">
        <is>
          <t>VÄRMLANDS LÄN</t>
        </is>
      </c>
      <c r="E787" t="inlineStr">
        <is>
          <t>TORSBY</t>
        </is>
      </c>
      <c r="G787" t="n">
        <v>8.6</v>
      </c>
      <c r="H787" t="n">
        <v>0</v>
      </c>
      <c r="I787" t="n">
        <v>0</v>
      </c>
      <c r="J787" t="n">
        <v>0</v>
      </c>
      <c r="K787" t="n">
        <v>0</v>
      </c>
      <c r="L787" t="n">
        <v>0</v>
      </c>
      <c r="M787" t="n">
        <v>0</v>
      </c>
      <c r="N787" t="n">
        <v>0</v>
      </c>
      <c r="O787" t="n">
        <v>0</v>
      </c>
      <c r="P787" t="n">
        <v>0</v>
      </c>
      <c r="Q787" t="n">
        <v>0</v>
      </c>
      <c r="R787" s="2" t="inlineStr"/>
    </row>
    <row r="788" ht="15" customHeight="1">
      <c r="A788" t="inlineStr">
        <is>
          <t>A 29641-2025</t>
        </is>
      </c>
      <c r="B788" s="1" t="n">
        <v>45825.46285879629</v>
      </c>
      <c r="C788" s="1" t="n">
        <v>45989</v>
      </c>
      <c r="D788" t="inlineStr">
        <is>
          <t>VÄRMLANDS LÄN</t>
        </is>
      </c>
      <c r="E788" t="inlineStr">
        <is>
          <t>TORSBY</t>
        </is>
      </c>
      <c r="G788" t="n">
        <v>23.4</v>
      </c>
      <c r="H788" t="n">
        <v>0</v>
      </c>
      <c r="I788" t="n">
        <v>0</v>
      </c>
      <c r="J788" t="n">
        <v>0</v>
      </c>
      <c r="K788" t="n">
        <v>0</v>
      </c>
      <c r="L788" t="n">
        <v>0</v>
      </c>
      <c r="M788" t="n">
        <v>0</v>
      </c>
      <c r="N788" t="n">
        <v>0</v>
      </c>
      <c r="O788" t="n">
        <v>0</v>
      </c>
      <c r="P788" t="n">
        <v>0</v>
      </c>
      <c r="Q788" t="n">
        <v>0</v>
      </c>
      <c r="R788" s="2" t="inlineStr"/>
    </row>
    <row r="789" ht="15" customHeight="1">
      <c r="A789" t="inlineStr">
        <is>
          <t>A 30078-2025</t>
        </is>
      </c>
      <c r="B789" s="1" t="n">
        <v>45826.64291666666</v>
      </c>
      <c r="C789" s="1" t="n">
        <v>45989</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30026-2025</t>
        </is>
      </c>
      <c r="B790" s="1" t="n">
        <v>45826.5637037037</v>
      </c>
      <c r="C790" s="1" t="n">
        <v>45989</v>
      </c>
      <c r="D790" t="inlineStr">
        <is>
          <t>VÄRMLANDS LÄN</t>
        </is>
      </c>
      <c r="E790" t="inlineStr">
        <is>
          <t>TORSBY</t>
        </is>
      </c>
      <c r="G790" t="n">
        <v>0.9</v>
      </c>
      <c r="H790" t="n">
        <v>0</v>
      </c>
      <c r="I790" t="n">
        <v>0</v>
      </c>
      <c r="J790" t="n">
        <v>0</v>
      </c>
      <c r="K790" t="n">
        <v>0</v>
      </c>
      <c r="L790" t="n">
        <v>0</v>
      </c>
      <c r="M790" t="n">
        <v>0</v>
      </c>
      <c r="N790" t="n">
        <v>0</v>
      </c>
      <c r="O790" t="n">
        <v>0</v>
      </c>
      <c r="P790" t="n">
        <v>0</v>
      </c>
      <c r="Q790" t="n">
        <v>0</v>
      </c>
      <c r="R790" s="2" t="inlineStr"/>
    </row>
    <row r="791" ht="15" customHeight="1">
      <c r="A791" t="inlineStr">
        <is>
          <t>A 52689-2024</t>
        </is>
      </c>
      <c r="B791" s="1" t="n">
        <v>45610.39621527777</v>
      </c>
      <c r="C791" s="1" t="n">
        <v>45989</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34534-2024</t>
        </is>
      </c>
      <c r="B792" s="1" t="n">
        <v>45525</v>
      </c>
      <c r="C792" s="1" t="n">
        <v>45989</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8284-2023</t>
        </is>
      </c>
      <c r="B793" s="1" t="n">
        <v>44974.64714120371</v>
      </c>
      <c r="C793" s="1" t="n">
        <v>45989</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29512-2025</t>
        </is>
      </c>
      <c r="B794" s="1" t="n">
        <v>45825.31002314815</v>
      </c>
      <c r="C794" s="1" t="n">
        <v>45989</v>
      </c>
      <c r="D794" t="inlineStr">
        <is>
          <t>VÄRMLANDS LÄN</t>
        </is>
      </c>
      <c r="E794" t="inlineStr">
        <is>
          <t>TORSBY</t>
        </is>
      </c>
      <c r="F794" t="inlineStr">
        <is>
          <t>Bergvik skog väst AB</t>
        </is>
      </c>
      <c r="G794" t="n">
        <v>17.9</v>
      </c>
      <c r="H794" t="n">
        <v>0</v>
      </c>
      <c r="I794" t="n">
        <v>0</v>
      </c>
      <c r="J794" t="n">
        <v>0</v>
      </c>
      <c r="K794" t="n">
        <v>0</v>
      </c>
      <c r="L794" t="n">
        <v>0</v>
      </c>
      <c r="M794" t="n">
        <v>0</v>
      </c>
      <c r="N794" t="n">
        <v>0</v>
      </c>
      <c r="O794" t="n">
        <v>0</v>
      </c>
      <c r="P794" t="n">
        <v>0</v>
      </c>
      <c r="Q794" t="n">
        <v>0</v>
      </c>
      <c r="R794" s="2" t="inlineStr"/>
    </row>
    <row r="795" ht="15" customHeight="1">
      <c r="A795" t="inlineStr">
        <is>
          <t>A 45812-2024</t>
        </is>
      </c>
      <c r="B795" s="1" t="n">
        <v>45579</v>
      </c>
      <c r="C795" s="1" t="n">
        <v>45989</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45849-2024</t>
        </is>
      </c>
      <c r="B796" s="1" t="n">
        <v>45580</v>
      </c>
      <c r="C796" s="1" t="n">
        <v>45989</v>
      </c>
      <c r="D796" t="inlineStr">
        <is>
          <t>VÄRMLANDS LÄN</t>
        </is>
      </c>
      <c r="E796" t="inlineStr">
        <is>
          <t>TORSBY</t>
        </is>
      </c>
      <c r="G796" t="n">
        <v>2.5</v>
      </c>
      <c r="H796" t="n">
        <v>0</v>
      </c>
      <c r="I796" t="n">
        <v>0</v>
      </c>
      <c r="J796" t="n">
        <v>0</v>
      </c>
      <c r="K796" t="n">
        <v>0</v>
      </c>
      <c r="L796" t="n">
        <v>0</v>
      </c>
      <c r="M796" t="n">
        <v>0</v>
      </c>
      <c r="N796" t="n">
        <v>0</v>
      </c>
      <c r="O796" t="n">
        <v>0</v>
      </c>
      <c r="P796" t="n">
        <v>0</v>
      </c>
      <c r="Q796" t="n">
        <v>0</v>
      </c>
      <c r="R796" s="2" t="inlineStr"/>
    </row>
    <row r="797" ht="15" customHeight="1">
      <c r="A797" t="inlineStr">
        <is>
          <t>A 53297-2024</t>
        </is>
      </c>
      <c r="B797" s="1" t="n">
        <v>45614.38802083334</v>
      </c>
      <c r="C797" s="1" t="n">
        <v>45989</v>
      </c>
      <c r="D797" t="inlineStr">
        <is>
          <t>VÄRMLANDS LÄN</t>
        </is>
      </c>
      <c r="E797" t="inlineStr">
        <is>
          <t>TORSBY</t>
        </is>
      </c>
      <c r="F797" t="inlineStr">
        <is>
          <t>Bergvik skog väst AB</t>
        </is>
      </c>
      <c r="G797" t="n">
        <v>9.5</v>
      </c>
      <c r="H797" t="n">
        <v>0</v>
      </c>
      <c r="I797" t="n">
        <v>0</v>
      </c>
      <c r="J797" t="n">
        <v>0</v>
      </c>
      <c r="K797" t="n">
        <v>0</v>
      </c>
      <c r="L797" t="n">
        <v>0</v>
      </c>
      <c r="M797" t="n">
        <v>0</v>
      </c>
      <c r="N797" t="n">
        <v>0</v>
      </c>
      <c r="O797" t="n">
        <v>0</v>
      </c>
      <c r="P797" t="n">
        <v>0</v>
      </c>
      <c r="Q797" t="n">
        <v>0</v>
      </c>
      <c r="R797" s="2" t="inlineStr"/>
    </row>
    <row r="798" ht="15" customHeight="1">
      <c r="A798" t="inlineStr">
        <is>
          <t>A 29650-2025</t>
        </is>
      </c>
      <c r="B798" s="1" t="n">
        <v>45825.47546296296</v>
      </c>
      <c r="C798" s="1" t="n">
        <v>45989</v>
      </c>
      <c r="D798" t="inlineStr">
        <is>
          <t>VÄRMLANDS LÄN</t>
        </is>
      </c>
      <c r="E798" t="inlineStr">
        <is>
          <t>TORSBY</t>
        </is>
      </c>
      <c r="G798" t="n">
        <v>16.8</v>
      </c>
      <c r="H798" t="n">
        <v>0</v>
      </c>
      <c r="I798" t="n">
        <v>0</v>
      </c>
      <c r="J798" t="n">
        <v>0</v>
      </c>
      <c r="K798" t="n">
        <v>0</v>
      </c>
      <c r="L798" t="n">
        <v>0</v>
      </c>
      <c r="M798" t="n">
        <v>0</v>
      </c>
      <c r="N798" t="n">
        <v>0</v>
      </c>
      <c r="O798" t="n">
        <v>0</v>
      </c>
      <c r="P798" t="n">
        <v>0</v>
      </c>
      <c r="Q798" t="n">
        <v>0</v>
      </c>
      <c r="R798" s="2" t="inlineStr"/>
    </row>
    <row r="799" ht="15" customHeight="1">
      <c r="A799" t="inlineStr">
        <is>
          <t>A 30074-2025</t>
        </is>
      </c>
      <c r="B799" s="1" t="n">
        <v>45826.63672453703</v>
      </c>
      <c r="C799" s="1" t="n">
        <v>45989</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8016-2023</t>
        </is>
      </c>
      <c r="B800" s="1" t="n">
        <v>44973</v>
      </c>
      <c r="C800" s="1" t="n">
        <v>45989</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53368-2024</t>
        </is>
      </c>
      <c r="B801" s="1" t="n">
        <v>45614</v>
      </c>
      <c r="C801" s="1" t="n">
        <v>45989</v>
      </c>
      <c r="D801" t="inlineStr">
        <is>
          <t>VÄRMLANDS LÄN</t>
        </is>
      </c>
      <c r="E801" t="inlineStr">
        <is>
          <t>TORSBY</t>
        </is>
      </c>
      <c r="G801" t="n">
        <v>0.5</v>
      </c>
      <c r="H801" t="n">
        <v>0</v>
      </c>
      <c r="I801" t="n">
        <v>0</v>
      </c>
      <c r="J801" t="n">
        <v>0</v>
      </c>
      <c r="K801" t="n">
        <v>0</v>
      </c>
      <c r="L801" t="n">
        <v>0</v>
      </c>
      <c r="M801" t="n">
        <v>0</v>
      </c>
      <c r="N801" t="n">
        <v>0</v>
      </c>
      <c r="O801" t="n">
        <v>0</v>
      </c>
      <c r="P801" t="n">
        <v>0</v>
      </c>
      <c r="Q801" t="n">
        <v>0</v>
      </c>
      <c r="R801" s="2" t="inlineStr"/>
    </row>
    <row r="802" ht="15" customHeight="1">
      <c r="A802" t="inlineStr">
        <is>
          <t>A 34961-2024</t>
        </is>
      </c>
      <c r="B802" s="1" t="n">
        <v>45527.48923611111</v>
      </c>
      <c r="C802" s="1" t="n">
        <v>45989</v>
      </c>
      <c r="D802" t="inlineStr">
        <is>
          <t>VÄRMLANDS LÄN</t>
        </is>
      </c>
      <c r="E802" t="inlineStr">
        <is>
          <t>TORSBY</t>
        </is>
      </c>
      <c r="F802" t="inlineStr">
        <is>
          <t>Bergvik skog väst AB</t>
        </is>
      </c>
      <c r="G802" t="n">
        <v>3.6</v>
      </c>
      <c r="H802" t="n">
        <v>0</v>
      </c>
      <c r="I802" t="n">
        <v>0</v>
      </c>
      <c r="J802" t="n">
        <v>0</v>
      </c>
      <c r="K802" t="n">
        <v>0</v>
      </c>
      <c r="L802" t="n">
        <v>0</v>
      </c>
      <c r="M802" t="n">
        <v>0</v>
      </c>
      <c r="N802" t="n">
        <v>0</v>
      </c>
      <c r="O802" t="n">
        <v>0</v>
      </c>
      <c r="P802" t="n">
        <v>0</v>
      </c>
      <c r="Q802" t="n">
        <v>0</v>
      </c>
      <c r="R802" s="2" t="inlineStr"/>
    </row>
    <row r="803" ht="15" customHeight="1">
      <c r="A803" t="inlineStr">
        <is>
          <t>A 20968-2024</t>
        </is>
      </c>
      <c r="B803" s="1" t="n">
        <v>45439</v>
      </c>
      <c r="C803" s="1" t="n">
        <v>45989</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30214-2025</t>
        </is>
      </c>
      <c r="B804" s="1" t="n">
        <v>45827</v>
      </c>
      <c r="C804" s="1" t="n">
        <v>45989</v>
      </c>
      <c r="D804" t="inlineStr">
        <is>
          <t>VÄRMLANDS LÄN</t>
        </is>
      </c>
      <c r="E804" t="inlineStr">
        <is>
          <t>TORSBY</t>
        </is>
      </c>
      <c r="F804" t="inlineStr">
        <is>
          <t>Bergvik skog väst AB</t>
        </is>
      </c>
      <c r="G804" t="n">
        <v>13.9</v>
      </c>
      <c r="H804" t="n">
        <v>0</v>
      </c>
      <c r="I804" t="n">
        <v>0</v>
      </c>
      <c r="J804" t="n">
        <v>0</v>
      </c>
      <c r="K804" t="n">
        <v>0</v>
      </c>
      <c r="L804" t="n">
        <v>0</v>
      </c>
      <c r="M804" t="n">
        <v>0</v>
      </c>
      <c r="N804" t="n">
        <v>0</v>
      </c>
      <c r="O804" t="n">
        <v>0</v>
      </c>
      <c r="P804" t="n">
        <v>0</v>
      </c>
      <c r="Q804" t="n">
        <v>0</v>
      </c>
      <c r="R804" s="2" t="inlineStr"/>
    </row>
    <row r="805" ht="15" customHeight="1">
      <c r="A805" t="inlineStr">
        <is>
          <t>A 41631-2024</t>
        </is>
      </c>
      <c r="B805" s="1" t="n">
        <v>45560</v>
      </c>
      <c r="C805" s="1" t="n">
        <v>45989</v>
      </c>
      <c r="D805" t="inlineStr">
        <is>
          <t>VÄRMLANDS LÄN</t>
        </is>
      </c>
      <c r="E805" t="inlineStr">
        <is>
          <t>TORSBY</t>
        </is>
      </c>
      <c r="F805" t="inlineStr">
        <is>
          <t>Bergvik skog väst AB</t>
        </is>
      </c>
      <c r="G805" t="n">
        <v>16.3</v>
      </c>
      <c r="H805" t="n">
        <v>0</v>
      </c>
      <c r="I805" t="n">
        <v>0</v>
      </c>
      <c r="J805" t="n">
        <v>0</v>
      </c>
      <c r="K805" t="n">
        <v>0</v>
      </c>
      <c r="L805" t="n">
        <v>0</v>
      </c>
      <c r="M805" t="n">
        <v>0</v>
      </c>
      <c r="N805" t="n">
        <v>0</v>
      </c>
      <c r="O805" t="n">
        <v>0</v>
      </c>
      <c r="P805" t="n">
        <v>0</v>
      </c>
      <c r="Q805" t="n">
        <v>0</v>
      </c>
      <c r="R805" s="2" t="inlineStr"/>
    </row>
    <row r="806" ht="15" customHeight="1">
      <c r="A806" t="inlineStr">
        <is>
          <t>A 66459-2020</t>
        </is>
      </c>
      <c r="B806" s="1" t="n">
        <v>44176</v>
      </c>
      <c r="C806" s="1" t="n">
        <v>45989</v>
      </c>
      <c r="D806" t="inlineStr">
        <is>
          <t>VÄRMLANDS LÄN</t>
        </is>
      </c>
      <c r="E806" t="inlineStr">
        <is>
          <t>TORSBY</t>
        </is>
      </c>
      <c r="G806" t="n">
        <v>2.7</v>
      </c>
      <c r="H806" t="n">
        <v>0</v>
      </c>
      <c r="I806" t="n">
        <v>0</v>
      </c>
      <c r="J806" t="n">
        <v>0</v>
      </c>
      <c r="K806" t="n">
        <v>0</v>
      </c>
      <c r="L806" t="n">
        <v>0</v>
      </c>
      <c r="M806" t="n">
        <v>0</v>
      </c>
      <c r="N806" t="n">
        <v>0</v>
      </c>
      <c r="O806" t="n">
        <v>0</v>
      </c>
      <c r="P806" t="n">
        <v>0</v>
      </c>
      <c r="Q806" t="n">
        <v>0</v>
      </c>
      <c r="R806" s="2" t="inlineStr"/>
    </row>
    <row r="807" ht="15" customHeight="1">
      <c r="A807" t="inlineStr">
        <is>
          <t>A 21542-2024</t>
        </is>
      </c>
      <c r="B807" s="1" t="n">
        <v>45441</v>
      </c>
      <c r="C807" s="1" t="n">
        <v>45989</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42499-2025</t>
        </is>
      </c>
      <c r="B808" s="1" t="n">
        <v>45905.5194675926</v>
      </c>
      <c r="C808" s="1" t="n">
        <v>45989</v>
      </c>
      <c r="D808" t="inlineStr">
        <is>
          <t>VÄRMLANDS LÄN</t>
        </is>
      </c>
      <c r="E808" t="inlineStr">
        <is>
          <t>TORSBY</t>
        </is>
      </c>
      <c r="F808" t="inlineStr">
        <is>
          <t>Bergvik skog väst AB</t>
        </is>
      </c>
      <c r="G808" t="n">
        <v>3.3</v>
      </c>
      <c r="H808" t="n">
        <v>0</v>
      </c>
      <c r="I808" t="n">
        <v>0</v>
      </c>
      <c r="J808" t="n">
        <v>0</v>
      </c>
      <c r="K808" t="n">
        <v>0</v>
      </c>
      <c r="L808" t="n">
        <v>0</v>
      </c>
      <c r="M808" t="n">
        <v>0</v>
      </c>
      <c r="N808" t="n">
        <v>0</v>
      </c>
      <c r="O808" t="n">
        <v>0</v>
      </c>
      <c r="P808" t="n">
        <v>0</v>
      </c>
      <c r="Q808" t="n">
        <v>0</v>
      </c>
      <c r="R808" s="2" t="inlineStr"/>
    </row>
    <row r="809" ht="15" customHeight="1">
      <c r="A809" t="inlineStr">
        <is>
          <t>A 30433-2025</t>
        </is>
      </c>
      <c r="B809" s="1" t="n">
        <v>45827</v>
      </c>
      <c r="C809" s="1" t="n">
        <v>45989</v>
      </c>
      <c r="D809" t="inlineStr">
        <is>
          <t>VÄRMLANDS LÄN</t>
        </is>
      </c>
      <c r="E809" t="inlineStr">
        <is>
          <t>TORSBY</t>
        </is>
      </c>
      <c r="G809" t="n">
        <v>13.4</v>
      </c>
      <c r="H809" t="n">
        <v>0</v>
      </c>
      <c r="I809" t="n">
        <v>0</v>
      </c>
      <c r="J809" t="n">
        <v>0</v>
      </c>
      <c r="K809" t="n">
        <v>0</v>
      </c>
      <c r="L809" t="n">
        <v>0</v>
      </c>
      <c r="M809" t="n">
        <v>0</v>
      </c>
      <c r="N809" t="n">
        <v>0</v>
      </c>
      <c r="O809" t="n">
        <v>0</v>
      </c>
      <c r="P809" t="n">
        <v>0</v>
      </c>
      <c r="Q809" t="n">
        <v>0</v>
      </c>
      <c r="R809" s="2" t="inlineStr"/>
    </row>
    <row r="810" ht="15" customHeight="1">
      <c r="A810" t="inlineStr">
        <is>
          <t>A 30199-2025</t>
        </is>
      </c>
      <c r="B810" s="1" t="n">
        <v>45827</v>
      </c>
      <c r="C810" s="1" t="n">
        <v>45989</v>
      </c>
      <c r="D810" t="inlineStr">
        <is>
          <t>VÄRMLANDS LÄN</t>
        </is>
      </c>
      <c r="E810" t="inlineStr">
        <is>
          <t>TORSBY</t>
        </is>
      </c>
      <c r="F810" t="inlineStr">
        <is>
          <t>Bergvik skog väst AB</t>
        </is>
      </c>
      <c r="G810" t="n">
        <v>4.9</v>
      </c>
      <c r="H810" t="n">
        <v>0</v>
      </c>
      <c r="I810" t="n">
        <v>0</v>
      </c>
      <c r="J810" t="n">
        <v>0</v>
      </c>
      <c r="K810" t="n">
        <v>0</v>
      </c>
      <c r="L810" t="n">
        <v>0</v>
      </c>
      <c r="M810" t="n">
        <v>0</v>
      </c>
      <c r="N810" t="n">
        <v>0</v>
      </c>
      <c r="O810" t="n">
        <v>0</v>
      </c>
      <c r="P810" t="n">
        <v>0</v>
      </c>
      <c r="Q810" t="n">
        <v>0</v>
      </c>
      <c r="R810" s="2" t="inlineStr"/>
    </row>
    <row r="811" ht="15" customHeight="1">
      <c r="A811" t="inlineStr">
        <is>
          <t>A 42720-2025</t>
        </is>
      </c>
      <c r="B811" s="1" t="n">
        <v>45908.39427083333</v>
      </c>
      <c r="C811" s="1" t="n">
        <v>45989</v>
      </c>
      <c r="D811" t="inlineStr">
        <is>
          <t>VÄRMLANDS LÄN</t>
        </is>
      </c>
      <c r="E811" t="inlineStr">
        <is>
          <t>TORSBY</t>
        </is>
      </c>
      <c r="F811" t="inlineStr">
        <is>
          <t>Bergvik skog väst AB</t>
        </is>
      </c>
      <c r="G811" t="n">
        <v>6.8</v>
      </c>
      <c r="H811" t="n">
        <v>0</v>
      </c>
      <c r="I811" t="n">
        <v>0</v>
      </c>
      <c r="J811" t="n">
        <v>0</v>
      </c>
      <c r="K811" t="n">
        <v>0</v>
      </c>
      <c r="L811" t="n">
        <v>0</v>
      </c>
      <c r="M811" t="n">
        <v>0</v>
      </c>
      <c r="N811" t="n">
        <v>0</v>
      </c>
      <c r="O811" t="n">
        <v>0</v>
      </c>
      <c r="P811" t="n">
        <v>0</v>
      </c>
      <c r="Q811" t="n">
        <v>0</v>
      </c>
      <c r="R811" s="2" t="inlineStr"/>
    </row>
    <row r="812" ht="15" customHeight="1">
      <c r="A812" t="inlineStr">
        <is>
          <t>A 30380-2025</t>
        </is>
      </c>
      <c r="B812" s="1" t="n">
        <v>45827</v>
      </c>
      <c r="C812" s="1" t="n">
        <v>45989</v>
      </c>
      <c r="D812" t="inlineStr">
        <is>
          <t>VÄRMLANDS LÄN</t>
        </is>
      </c>
      <c r="E812" t="inlineStr">
        <is>
          <t>TORSBY</t>
        </is>
      </c>
      <c r="G812" t="n">
        <v>5.8</v>
      </c>
      <c r="H812" t="n">
        <v>0</v>
      </c>
      <c r="I812" t="n">
        <v>0</v>
      </c>
      <c r="J812" t="n">
        <v>0</v>
      </c>
      <c r="K812" t="n">
        <v>0</v>
      </c>
      <c r="L812" t="n">
        <v>0</v>
      </c>
      <c r="M812" t="n">
        <v>0</v>
      </c>
      <c r="N812" t="n">
        <v>0</v>
      </c>
      <c r="O812" t="n">
        <v>0</v>
      </c>
      <c r="P812" t="n">
        <v>0</v>
      </c>
      <c r="Q812" t="n">
        <v>0</v>
      </c>
      <c r="R812" s="2" t="inlineStr"/>
    </row>
    <row r="813" ht="15" customHeight="1">
      <c r="A813" t="inlineStr">
        <is>
          <t>A 42886-2025</t>
        </is>
      </c>
      <c r="B813" s="1" t="n">
        <v>45908.65288194444</v>
      </c>
      <c r="C813" s="1" t="n">
        <v>45989</v>
      </c>
      <c r="D813" t="inlineStr">
        <is>
          <t>VÄRMLANDS LÄN</t>
        </is>
      </c>
      <c r="E813" t="inlineStr">
        <is>
          <t>TORSBY</t>
        </is>
      </c>
      <c r="G813" t="n">
        <v>5.8</v>
      </c>
      <c r="H813" t="n">
        <v>0</v>
      </c>
      <c r="I813" t="n">
        <v>0</v>
      </c>
      <c r="J813" t="n">
        <v>0</v>
      </c>
      <c r="K813" t="n">
        <v>0</v>
      </c>
      <c r="L813" t="n">
        <v>0</v>
      </c>
      <c r="M813" t="n">
        <v>0</v>
      </c>
      <c r="N813" t="n">
        <v>0</v>
      </c>
      <c r="O813" t="n">
        <v>0</v>
      </c>
      <c r="P813" t="n">
        <v>0</v>
      </c>
      <c r="Q813" t="n">
        <v>0</v>
      </c>
      <c r="R813" s="2" t="inlineStr"/>
    </row>
    <row r="814" ht="15" customHeight="1">
      <c r="A814" t="inlineStr">
        <is>
          <t>A 59080-2024</t>
        </is>
      </c>
      <c r="B814" s="1" t="n">
        <v>45637</v>
      </c>
      <c r="C814" s="1" t="n">
        <v>45989</v>
      </c>
      <c r="D814" t="inlineStr">
        <is>
          <t>VÄRMLANDS LÄN</t>
        </is>
      </c>
      <c r="E814" t="inlineStr">
        <is>
          <t>TORSBY</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30151-2025</t>
        </is>
      </c>
      <c r="B815" s="1" t="n">
        <v>45827</v>
      </c>
      <c r="C815" s="1" t="n">
        <v>45989</v>
      </c>
      <c r="D815" t="inlineStr">
        <is>
          <t>VÄRMLANDS LÄN</t>
        </is>
      </c>
      <c r="E815" t="inlineStr">
        <is>
          <t>TORSBY</t>
        </is>
      </c>
      <c r="G815" t="n">
        <v>4.1</v>
      </c>
      <c r="H815" t="n">
        <v>0</v>
      </c>
      <c r="I815" t="n">
        <v>0</v>
      </c>
      <c r="J815" t="n">
        <v>0</v>
      </c>
      <c r="K815" t="n">
        <v>0</v>
      </c>
      <c r="L815" t="n">
        <v>0</v>
      </c>
      <c r="M815" t="n">
        <v>0</v>
      </c>
      <c r="N815" t="n">
        <v>0</v>
      </c>
      <c r="O815" t="n">
        <v>0</v>
      </c>
      <c r="P815" t="n">
        <v>0</v>
      </c>
      <c r="Q815" t="n">
        <v>0</v>
      </c>
      <c r="R815" s="2" t="inlineStr"/>
    </row>
    <row r="816" ht="15" customHeight="1">
      <c r="A816" t="inlineStr">
        <is>
          <t>A 5763-2023</t>
        </is>
      </c>
      <c r="B816" s="1" t="n">
        <v>44963.36383101852</v>
      </c>
      <c r="C816" s="1" t="n">
        <v>45989</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30153-2025</t>
        </is>
      </c>
      <c r="B817" s="1" t="n">
        <v>45827.31736111111</v>
      </c>
      <c r="C817" s="1" t="n">
        <v>45989</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30333-2025</t>
        </is>
      </c>
      <c r="B818" s="1" t="n">
        <v>45827</v>
      </c>
      <c r="C818" s="1" t="n">
        <v>45989</v>
      </c>
      <c r="D818" t="inlineStr">
        <is>
          <t>VÄRMLANDS LÄN</t>
        </is>
      </c>
      <c r="E818" t="inlineStr">
        <is>
          <t>TORSBY</t>
        </is>
      </c>
      <c r="G818" t="n">
        <v>1.9</v>
      </c>
      <c r="H818" t="n">
        <v>0</v>
      </c>
      <c r="I818" t="n">
        <v>0</v>
      </c>
      <c r="J818" t="n">
        <v>0</v>
      </c>
      <c r="K818" t="n">
        <v>0</v>
      </c>
      <c r="L818" t="n">
        <v>0</v>
      </c>
      <c r="M818" t="n">
        <v>0</v>
      </c>
      <c r="N818" t="n">
        <v>0</v>
      </c>
      <c r="O818" t="n">
        <v>0</v>
      </c>
      <c r="P818" t="n">
        <v>0</v>
      </c>
      <c r="Q818" t="n">
        <v>0</v>
      </c>
      <c r="R818" s="2" t="inlineStr"/>
    </row>
    <row r="819" ht="15" customHeight="1">
      <c r="A819" t="inlineStr">
        <is>
          <t>A 30377-2025</t>
        </is>
      </c>
      <c r="B819" s="1" t="n">
        <v>45827</v>
      </c>
      <c r="C819" s="1" t="n">
        <v>45989</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30388-2025</t>
        </is>
      </c>
      <c r="B820" s="1" t="n">
        <v>45827.5734837963</v>
      </c>
      <c r="C820" s="1" t="n">
        <v>45989</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42496-2025</t>
        </is>
      </c>
      <c r="B821" s="1" t="n">
        <v>45905.50864583333</v>
      </c>
      <c r="C821" s="1" t="n">
        <v>45989</v>
      </c>
      <c r="D821" t="inlineStr">
        <is>
          <t>VÄRMLANDS LÄN</t>
        </is>
      </c>
      <c r="E821" t="inlineStr">
        <is>
          <t>TORSBY</t>
        </is>
      </c>
      <c r="G821" t="n">
        <v>3.9</v>
      </c>
      <c r="H821" t="n">
        <v>0</v>
      </c>
      <c r="I821" t="n">
        <v>0</v>
      </c>
      <c r="J821" t="n">
        <v>0</v>
      </c>
      <c r="K821" t="n">
        <v>0</v>
      </c>
      <c r="L821" t="n">
        <v>0</v>
      </c>
      <c r="M821" t="n">
        <v>0</v>
      </c>
      <c r="N821" t="n">
        <v>0</v>
      </c>
      <c r="O821" t="n">
        <v>0</v>
      </c>
      <c r="P821" t="n">
        <v>0</v>
      </c>
      <c r="Q821" t="n">
        <v>0</v>
      </c>
      <c r="R821" s="2" t="inlineStr"/>
    </row>
    <row r="822" ht="15" customHeight="1">
      <c r="A822" t="inlineStr">
        <is>
          <t>A 42529-2025</t>
        </is>
      </c>
      <c r="B822" s="1" t="n">
        <v>45905.55716435185</v>
      </c>
      <c r="C822" s="1" t="n">
        <v>45989</v>
      </c>
      <c r="D822" t="inlineStr">
        <is>
          <t>VÄRMLANDS LÄN</t>
        </is>
      </c>
      <c r="E822" t="inlineStr">
        <is>
          <t>TORSBY</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68603-2020</t>
        </is>
      </c>
      <c r="B823" s="1" t="n">
        <v>44186</v>
      </c>
      <c r="C823" s="1" t="n">
        <v>45989</v>
      </c>
      <c r="D823" t="inlineStr">
        <is>
          <t>VÄRMLANDS LÄN</t>
        </is>
      </c>
      <c r="E823" t="inlineStr">
        <is>
          <t>TORSBY</t>
        </is>
      </c>
      <c r="G823" t="n">
        <v>11.2</v>
      </c>
      <c r="H823" t="n">
        <v>0</v>
      </c>
      <c r="I823" t="n">
        <v>0</v>
      </c>
      <c r="J823" t="n">
        <v>0</v>
      </c>
      <c r="K823" t="n">
        <v>0</v>
      </c>
      <c r="L823" t="n">
        <v>0</v>
      </c>
      <c r="M823" t="n">
        <v>0</v>
      </c>
      <c r="N823" t="n">
        <v>0</v>
      </c>
      <c r="O823" t="n">
        <v>0</v>
      </c>
      <c r="P823" t="n">
        <v>0</v>
      </c>
      <c r="Q823" t="n">
        <v>0</v>
      </c>
      <c r="R823" s="2" t="inlineStr"/>
    </row>
    <row r="824" ht="15" customHeight="1">
      <c r="A824" t="inlineStr">
        <is>
          <t>A 42563-2025</t>
        </is>
      </c>
      <c r="B824" s="1" t="n">
        <v>45905.60097222222</v>
      </c>
      <c r="C824" s="1" t="n">
        <v>45989</v>
      </c>
      <c r="D824" t="inlineStr">
        <is>
          <t>VÄRMLANDS LÄN</t>
        </is>
      </c>
      <c r="E824" t="inlineStr">
        <is>
          <t>TORSBY</t>
        </is>
      </c>
      <c r="F824" t="inlineStr">
        <is>
          <t>Bergvik skog väst AB</t>
        </is>
      </c>
      <c r="G824" t="n">
        <v>3.1</v>
      </c>
      <c r="H824" t="n">
        <v>0</v>
      </c>
      <c r="I824" t="n">
        <v>0</v>
      </c>
      <c r="J824" t="n">
        <v>0</v>
      </c>
      <c r="K824" t="n">
        <v>0</v>
      </c>
      <c r="L824" t="n">
        <v>0</v>
      </c>
      <c r="M824" t="n">
        <v>0</v>
      </c>
      <c r="N824" t="n">
        <v>0</v>
      </c>
      <c r="O824" t="n">
        <v>0</v>
      </c>
      <c r="P824" t="n">
        <v>0</v>
      </c>
      <c r="Q824" t="n">
        <v>0</v>
      </c>
      <c r="R824" s="2" t="inlineStr"/>
    </row>
    <row r="825" ht="15" customHeight="1">
      <c r="A825" t="inlineStr">
        <is>
          <t>A 54822-2023</t>
        </is>
      </c>
      <c r="B825" s="1" t="n">
        <v>45229</v>
      </c>
      <c r="C825" s="1" t="n">
        <v>45989</v>
      </c>
      <c r="D825" t="inlineStr">
        <is>
          <t>VÄRMLANDS LÄN</t>
        </is>
      </c>
      <c r="E825" t="inlineStr">
        <is>
          <t>TORSBY</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30974-2025</t>
        </is>
      </c>
      <c r="B826" s="1" t="n">
        <v>45832.46305555556</v>
      </c>
      <c r="C826" s="1" t="n">
        <v>45989</v>
      </c>
      <c r="D826" t="inlineStr">
        <is>
          <t>VÄRMLANDS LÄN</t>
        </is>
      </c>
      <c r="E826" t="inlineStr">
        <is>
          <t>TORSBY</t>
        </is>
      </c>
      <c r="G826" t="n">
        <v>29.2</v>
      </c>
      <c r="H826" t="n">
        <v>0</v>
      </c>
      <c r="I826" t="n">
        <v>0</v>
      </c>
      <c r="J826" t="n">
        <v>0</v>
      </c>
      <c r="K826" t="n">
        <v>0</v>
      </c>
      <c r="L826" t="n">
        <v>0</v>
      </c>
      <c r="M826" t="n">
        <v>0</v>
      </c>
      <c r="N826" t="n">
        <v>0</v>
      </c>
      <c r="O826" t="n">
        <v>0</v>
      </c>
      <c r="P826" t="n">
        <v>0</v>
      </c>
      <c r="Q826" t="n">
        <v>0</v>
      </c>
      <c r="R826" s="2" t="inlineStr"/>
    </row>
    <row r="827" ht="15" customHeight="1">
      <c r="A827" t="inlineStr">
        <is>
          <t>A 51113-2025</t>
        </is>
      </c>
      <c r="B827" s="1" t="n">
        <v>45947.51290509259</v>
      </c>
      <c r="C827" s="1" t="n">
        <v>45989</v>
      </c>
      <c r="D827" t="inlineStr">
        <is>
          <t>VÄRMLANDS LÄN</t>
        </is>
      </c>
      <c r="E827" t="inlineStr">
        <is>
          <t>TORSBY</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30738-2025</t>
        </is>
      </c>
      <c r="B828" s="1" t="n">
        <v>45831.57583333334</v>
      </c>
      <c r="C828" s="1" t="n">
        <v>45989</v>
      </c>
      <c r="D828" t="inlineStr">
        <is>
          <t>VÄRMLANDS LÄN</t>
        </is>
      </c>
      <c r="E828" t="inlineStr">
        <is>
          <t>TORSBY</t>
        </is>
      </c>
      <c r="G828" t="n">
        <v>8.1</v>
      </c>
      <c r="H828" t="n">
        <v>0</v>
      </c>
      <c r="I828" t="n">
        <v>0</v>
      </c>
      <c r="J828" t="n">
        <v>0</v>
      </c>
      <c r="K828" t="n">
        <v>0</v>
      </c>
      <c r="L828" t="n">
        <v>0</v>
      </c>
      <c r="M828" t="n">
        <v>0</v>
      </c>
      <c r="N828" t="n">
        <v>0</v>
      </c>
      <c r="O828" t="n">
        <v>0</v>
      </c>
      <c r="P828" t="n">
        <v>0</v>
      </c>
      <c r="Q828" t="n">
        <v>0</v>
      </c>
      <c r="R828" s="2" t="inlineStr"/>
    </row>
    <row r="829" ht="15" customHeight="1">
      <c r="A829" t="inlineStr">
        <is>
          <t>A 42705-2025</t>
        </is>
      </c>
      <c r="B829" s="1" t="n">
        <v>45908.37063657407</v>
      </c>
      <c r="C829" s="1" t="n">
        <v>45989</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15660-2025</t>
        </is>
      </c>
      <c r="B830" s="1" t="n">
        <v>45748</v>
      </c>
      <c r="C830" s="1" t="n">
        <v>45989</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43128-2021</t>
        </is>
      </c>
      <c r="B831" s="1" t="n">
        <v>44431.65930555556</v>
      </c>
      <c r="C831" s="1" t="n">
        <v>45989</v>
      </c>
      <c r="D831" t="inlineStr">
        <is>
          <t>VÄRMLANDS LÄN</t>
        </is>
      </c>
      <c r="E831" t="inlineStr">
        <is>
          <t>TORSBY</t>
        </is>
      </c>
      <c r="G831" t="n">
        <v>10.9</v>
      </c>
      <c r="H831" t="n">
        <v>0</v>
      </c>
      <c r="I831" t="n">
        <v>0</v>
      </c>
      <c r="J831" t="n">
        <v>0</v>
      </c>
      <c r="K831" t="n">
        <v>0</v>
      </c>
      <c r="L831" t="n">
        <v>0</v>
      </c>
      <c r="M831" t="n">
        <v>0</v>
      </c>
      <c r="N831" t="n">
        <v>0</v>
      </c>
      <c r="O831" t="n">
        <v>0</v>
      </c>
      <c r="P831" t="n">
        <v>0</v>
      </c>
      <c r="Q831" t="n">
        <v>0</v>
      </c>
      <c r="R831" s="2" t="inlineStr"/>
    </row>
    <row r="832" ht="15" customHeight="1">
      <c r="A832" t="inlineStr">
        <is>
          <t>A 42742-2025</t>
        </is>
      </c>
      <c r="B832" s="1" t="n">
        <v>45908</v>
      </c>
      <c r="C832" s="1" t="n">
        <v>45989</v>
      </c>
      <c r="D832" t="inlineStr">
        <is>
          <t>VÄRMLANDS LÄN</t>
        </is>
      </c>
      <c r="E832" t="inlineStr">
        <is>
          <t>TORSBY</t>
        </is>
      </c>
      <c r="F832" t="inlineStr">
        <is>
          <t>Bergvik skog väst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31101-2025</t>
        </is>
      </c>
      <c r="B833" s="1" t="n">
        <v>45832</v>
      </c>
      <c r="C833" s="1" t="n">
        <v>45989</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3223-2025</t>
        </is>
      </c>
      <c r="B834" s="1" t="n">
        <v>45679</v>
      </c>
      <c r="C834" s="1" t="n">
        <v>45989</v>
      </c>
      <c r="D834" t="inlineStr">
        <is>
          <t>VÄRMLANDS LÄN</t>
        </is>
      </c>
      <c r="E834" t="inlineStr">
        <is>
          <t>TORSBY</t>
        </is>
      </c>
      <c r="G834" t="n">
        <v>3.4</v>
      </c>
      <c r="H834" t="n">
        <v>0</v>
      </c>
      <c r="I834" t="n">
        <v>0</v>
      </c>
      <c r="J834" t="n">
        <v>0</v>
      </c>
      <c r="K834" t="n">
        <v>0</v>
      </c>
      <c r="L834" t="n">
        <v>0</v>
      </c>
      <c r="M834" t="n">
        <v>0</v>
      </c>
      <c r="N834" t="n">
        <v>0</v>
      </c>
      <c r="O834" t="n">
        <v>0</v>
      </c>
      <c r="P834" t="n">
        <v>0</v>
      </c>
      <c r="Q834" t="n">
        <v>0</v>
      </c>
      <c r="R834" s="2" t="inlineStr"/>
    </row>
    <row r="835" ht="15" customHeight="1">
      <c r="A835" t="inlineStr">
        <is>
          <t>A 3226-2025</t>
        </is>
      </c>
      <c r="B835" s="1" t="n">
        <v>45679.48003472222</v>
      </c>
      <c r="C835" s="1" t="n">
        <v>45989</v>
      </c>
      <c r="D835" t="inlineStr">
        <is>
          <t>VÄRMLANDS LÄN</t>
        </is>
      </c>
      <c r="E835" t="inlineStr">
        <is>
          <t>TORSBY</t>
        </is>
      </c>
      <c r="G835" t="n">
        <v>3.3</v>
      </c>
      <c r="H835" t="n">
        <v>0</v>
      </c>
      <c r="I835" t="n">
        <v>0</v>
      </c>
      <c r="J835" t="n">
        <v>0</v>
      </c>
      <c r="K835" t="n">
        <v>0</v>
      </c>
      <c r="L835" t="n">
        <v>0</v>
      </c>
      <c r="M835" t="n">
        <v>0</v>
      </c>
      <c r="N835" t="n">
        <v>0</v>
      </c>
      <c r="O835" t="n">
        <v>0</v>
      </c>
      <c r="P835" t="n">
        <v>0</v>
      </c>
      <c r="Q835" t="n">
        <v>0</v>
      </c>
      <c r="R835" s="2" t="inlineStr"/>
    </row>
    <row r="836" ht="15" customHeight="1">
      <c r="A836" t="inlineStr">
        <is>
          <t>A 49936-2024</t>
        </is>
      </c>
      <c r="B836" s="1" t="n">
        <v>45597</v>
      </c>
      <c r="C836" s="1" t="n">
        <v>45989</v>
      </c>
      <c r="D836" t="inlineStr">
        <is>
          <t>VÄRMLANDS LÄN</t>
        </is>
      </c>
      <c r="E836" t="inlineStr">
        <is>
          <t>TORSBY</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45989</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47619-2024</t>
        </is>
      </c>
      <c r="B838" s="1" t="n">
        <v>45588.32371527778</v>
      </c>
      <c r="C838" s="1" t="n">
        <v>45989</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30560-2025</t>
        </is>
      </c>
      <c r="B839" s="1" t="n">
        <v>45831.39497685185</v>
      </c>
      <c r="C839" s="1" t="n">
        <v>45989</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33146-2025</t>
        </is>
      </c>
      <c r="B840" s="1" t="n">
        <v>45840.53549768519</v>
      </c>
      <c r="C840" s="1" t="n">
        <v>45989</v>
      </c>
      <c r="D840" t="inlineStr">
        <is>
          <t>VÄRMLANDS LÄN</t>
        </is>
      </c>
      <c r="E840" t="inlineStr">
        <is>
          <t>TORSBY</t>
        </is>
      </c>
      <c r="G840" t="n">
        <v>4.8</v>
      </c>
      <c r="H840" t="n">
        <v>0</v>
      </c>
      <c r="I840" t="n">
        <v>0</v>
      </c>
      <c r="J840" t="n">
        <v>0</v>
      </c>
      <c r="K840" t="n">
        <v>0</v>
      </c>
      <c r="L840" t="n">
        <v>0</v>
      </c>
      <c r="M840" t="n">
        <v>0</v>
      </c>
      <c r="N840" t="n">
        <v>0</v>
      </c>
      <c r="O840" t="n">
        <v>0</v>
      </c>
      <c r="P840" t="n">
        <v>0</v>
      </c>
      <c r="Q840" t="n">
        <v>0</v>
      </c>
      <c r="R840" s="2" t="inlineStr"/>
    </row>
    <row r="841" ht="15" customHeight="1">
      <c r="A841" t="inlineStr">
        <is>
          <t>A 51754-2025</t>
        </is>
      </c>
      <c r="B841" s="1" t="n">
        <v>45951.62231481481</v>
      </c>
      <c r="C841" s="1" t="n">
        <v>45989</v>
      </c>
      <c r="D841" t="inlineStr">
        <is>
          <t>VÄRMLANDS LÄN</t>
        </is>
      </c>
      <c r="E841" t="inlineStr">
        <is>
          <t>TORSBY</t>
        </is>
      </c>
      <c r="F841" t="inlineStr">
        <is>
          <t>Bergvik skog väst AB</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51873-2025</t>
        </is>
      </c>
      <c r="B842" s="1" t="n">
        <v>45952.39040509259</v>
      </c>
      <c r="C842" s="1" t="n">
        <v>45989</v>
      </c>
      <c r="D842" t="inlineStr">
        <is>
          <t>VÄRMLANDS LÄN</t>
        </is>
      </c>
      <c r="E842" t="inlineStr">
        <is>
          <t>TORSBY</t>
        </is>
      </c>
      <c r="G842" t="n">
        <v>1.9</v>
      </c>
      <c r="H842" t="n">
        <v>0</v>
      </c>
      <c r="I842" t="n">
        <v>0</v>
      </c>
      <c r="J842" t="n">
        <v>0</v>
      </c>
      <c r="K842" t="n">
        <v>0</v>
      </c>
      <c r="L842" t="n">
        <v>0</v>
      </c>
      <c r="M842" t="n">
        <v>0</v>
      </c>
      <c r="N842" t="n">
        <v>0</v>
      </c>
      <c r="O842" t="n">
        <v>0</v>
      </c>
      <c r="P842" t="n">
        <v>0</v>
      </c>
      <c r="Q842" t="n">
        <v>0</v>
      </c>
      <c r="R842" s="2" t="inlineStr"/>
    </row>
    <row r="843" ht="15" customHeight="1">
      <c r="A843" t="inlineStr">
        <is>
          <t>A 51927-2025</t>
        </is>
      </c>
      <c r="B843" s="1" t="n">
        <v>45952.49587962963</v>
      </c>
      <c r="C843" s="1" t="n">
        <v>45989</v>
      </c>
      <c r="D843" t="inlineStr">
        <is>
          <t>VÄRMLANDS LÄN</t>
        </is>
      </c>
      <c r="E843" t="inlineStr">
        <is>
          <t>TORSBY</t>
        </is>
      </c>
      <c r="F843" t="inlineStr">
        <is>
          <t>Kyrkan</t>
        </is>
      </c>
      <c r="G843" t="n">
        <v>4.9</v>
      </c>
      <c r="H843" t="n">
        <v>0</v>
      </c>
      <c r="I843" t="n">
        <v>0</v>
      </c>
      <c r="J843" t="n">
        <v>0</v>
      </c>
      <c r="K843" t="n">
        <v>0</v>
      </c>
      <c r="L843" t="n">
        <v>0</v>
      </c>
      <c r="M843" t="n">
        <v>0</v>
      </c>
      <c r="N843" t="n">
        <v>0</v>
      </c>
      <c r="O843" t="n">
        <v>0</v>
      </c>
      <c r="P843" t="n">
        <v>0</v>
      </c>
      <c r="Q843" t="n">
        <v>0</v>
      </c>
      <c r="R843" s="2" t="inlineStr"/>
    </row>
    <row r="844" ht="15" customHeight="1">
      <c r="A844" t="inlineStr">
        <is>
          <t>A 52045-2025</t>
        </is>
      </c>
      <c r="B844" s="1" t="n">
        <v>45952.61650462963</v>
      </c>
      <c r="C844" s="1" t="n">
        <v>45989</v>
      </c>
      <c r="D844" t="inlineStr">
        <is>
          <t>VÄRMLANDS LÄN</t>
        </is>
      </c>
      <c r="E844" t="inlineStr">
        <is>
          <t>TORSBY</t>
        </is>
      </c>
      <c r="G844" t="n">
        <v>3.4</v>
      </c>
      <c r="H844" t="n">
        <v>0</v>
      </c>
      <c r="I844" t="n">
        <v>0</v>
      </c>
      <c r="J844" t="n">
        <v>0</v>
      </c>
      <c r="K844" t="n">
        <v>0</v>
      </c>
      <c r="L844" t="n">
        <v>0</v>
      </c>
      <c r="M844" t="n">
        <v>0</v>
      </c>
      <c r="N844" t="n">
        <v>0</v>
      </c>
      <c r="O844" t="n">
        <v>0</v>
      </c>
      <c r="P844" t="n">
        <v>0</v>
      </c>
      <c r="Q844" t="n">
        <v>0</v>
      </c>
      <c r="R844" s="2" t="inlineStr"/>
    </row>
    <row r="845" ht="15" customHeight="1">
      <c r="A845" t="inlineStr">
        <is>
          <t>A 43304-2025</t>
        </is>
      </c>
      <c r="B845" s="1" t="n">
        <v>45910.63630787037</v>
      </c>
      <c r="C845" s="1" t="n">
        <v>45989</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51793-2025</t>
        </is>
      </c>
      <c r="B846" s="1" t="n">
        <v>45951.71525462963</v>
      </c>
      <c r="C846" s="1" t="n">
        <v>45989</v>
      </c>
      <c r="D846" t="inlineStr">
        <is>
          <t>VÄRMLANDS LÄN</t>
        </is>
      </c>
      <c r="E846" t="inlineStr">
        <is>
          <t>TORSBY</t>
        </is>
      </c>
      <c r="F846" t="inlineStr">
        <is>
          <t>Bergvik skog väst AB</t>
        </is>
      </c>
      <c r="G846" t="n">
        <v>4.8</v>
      </c>
      <c r="H846" t="n">
        <v>0</v>
      </c>
      <c r="I846" t="n">
        <v>0</v>
      </c>
      <c r="J846" t="n">
        <v>0</v>
      </c>
      <c r="K846" t="n">
        <v>0</v>
      </c>
      <c r="L846" t="n">
        <v>0</v>
      </c>
      <c r="M846" t="n">
        <v>0</v>
      </c>
      <c r="N846" t="n">
        <v>0</v>
      </c>
      <c r="O846" t="n">
        <v>0</v>
      </c>
      <c r="P846" t="n">
        <v>0</v>
      </c>
      <c r="Q846" t="n">
        <v>0</v>
      </c>
      <c r="R846" s="2" t="inlineStr"/>
    </row>
    <row r="847" ht="15" customHeight="1">
      <c r="A847" t="inlineStr">
        <is>
          <t>A 30607-2025</t>
        </is>
      </c>
      <c r="B847" s="1" t="n">
        <v>45831.4584375</v>
      </c>
      <c r="C847" s="1" t="n">
        <v>45989</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30717-2025</t>
        </is>
      </c>
      <c r="B848" s="1" t="n">
        <v>45831.56103009259</v>
      </c>
      <c r="C848" s="1" t="n">
        <v>45989</v>
      </c>
      <c r="D848" t="inlineStr">
        <is>
          <t>VÄRMLANDS LÄN</t>
        </is>
      </c>
      <c r="E848" t="inlineStr">
        <is>
          <t>TORSBY</t>
        </is>
      </c>
      <c r="G848" t="n">
        <v>3</v>
      </c>
      <c r="H848" t="n">
        <v>0</v>
      </c>
      <c r="I848" t="n">
        <v>0</v>
      </c>
      <c r="J848" t="n">
        <v>0</v>
      </c>
      <c r="K848" t="n">
        <v>0</v>
      </c>
      <c r="L848" t="n">
        <v>0</v>
      </c>
      <c r="M848" t="n">
        <v>0</v>
      </c>
      <c r="N848" t="n">
        <v>0</v>
      </c>
      <c r="O848" t="n">
        <v>0</v>
      </c>
      <c r="P848" t="n">
        <v>0</v>
      </c>
      <c r="Q848" t="n">
        <v>0</v>
      </c>
      <c r="R848" s="2" t="inlineStr"/>
    </row>
    <row r="849" ht="15" customHeight="1">
      <c r="A849" t="inlineStr">
        <is>
          <t>A 10218-2023</t>
        </is>
      </c>
      <c r="B849" s="1" t="n">
        <v>44986.59697916666</v>
      </c>
      <c r="C849" s="1" t="n">
        <v>45989</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51587-2025</t>
        </is>
      </c>
      <c r="B850" s="1" t="n">
        <v>45951.35355324074</v>
      </c>
      <c r="C850" s="1" t="n">
        <v>45989</v>
      </c>
      <c r="D850" t="inlineStr">
        <is>
          <t>VÄRMLANDS LÄN</t>
        </is>
      </c>
      <c r="E850" t="inlineStr">
        <is>
          <t>TORSBY</t>
        </is>
      </c>
      <c r="G850" t="n">
        <v>9</v>
      </c>
      <c r="H850" t="n">
        <v>0</v>
      </c>
      <c r="I850" t="n">
        <v>0</v>
      </c>
      <c r="J850" t="n">
        <v>0</v>
      </c>
      <c r="K850" t="n">
        <v>0</v>
      </c>
      <c r="L850" t="n">
        <v>0</v>
      </c>
      <c r="M850" t="n">
        <v>0</v>
      </c>
      <c r="N850" t="n">
        <v>0</v>
      </c>
      <c r="O850" t="n">
        <v>0</v>
      </c>
      <c r="P850" t="n">
        <v>0</v>
      </c>
      <c r="Q850" t="n">
        <v>0</v>
      </c>
      <c r="R850" s="2" t="inlineStr"/>
    </row>
    <row r="851" ht="15" customHeight="1">
      <c r="A851" t="inlineStr">
        <is>
          <t>A 51633-2025</t>
        </is>
      </c>
      <c r="B851" s="1" t="n">
        <v>45951.42775462963</v>
      </c>
      <c r="C851" s="1" t="n">
        <v>45989</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43313-2025</t>
        </is>
      </c>
      <c r="B852" s="1" t="n">
        <v>45910</v>
      </c>
      <c r="C852" s="1" t="n">
        <v>45989</v>
      </c>
      <c r="D852" t="inlineStr">
        <is>
          <t>VÄRMLANDS LÄN</t>
        </is>
      </c>
      <c r="E852" t="inlineStr">
        <is>
          <t>TORSBY</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2576-2021</t>
        </is>
      </c>
      <c r="B853" s="1" t="n">
        <v>44214</v>
      </c>
      <c r="C853" s="1" t="n">
        <v>45989</v>
      </c>
      <c r="D853" t="inlineStr">
        <is>
          <t>VÄRMLANDS LÄN</t>
        </is>
      </c>
      <c r="E853" t="inlineStr">
        <is>
          <t>TORSBY</t>
        </is>
      </c>
      <c r="F853" t="inlineStr">
        <is>
          <t>Kommuner</t>
        </is>
      </c>
      <c r="G853" t="n">
        <v>0.6</v>
      </c>
      <c r="H853" t="n">
        <v>0</v>
      </c>
      <c r="I853" t="n">
        <v>0</v>
      </c>
      <c r="J853" t="n">
        <v>0</v>
      </c>
      <c r="K853" t="n">
        <v>0</v>
      </c>
      <c r="L853" t="n">
        <v>0</v>
      </c>
      <c r="M853" t="n">
        <v>0</v>
      </c>
      <c r="N853" t="n">
        <v>0</v>
      </c>
      <c r="O853" t="n">
        <v>0</v>
      </c>
      <c r="P853" t="n">
        <v>0</v>
      </c>
      <c r="Q853" t="n">
        <v>0</v>
      </c>
      <c r="R853" s="2" t="inlineStr"/>
    </row>
    <row r="854" ht="15" customHeight="1">
      <c r="A854" t="inlineStr">
        <is>
          <t>A 51914-2025</t>
        </is>
      </c>
      <c r="B854" s="1" t="n">
        <v>45952.47380787037</v>
      </c>
      <c r="C854" s="1" t="n">
        <v>45989</v>
      </c>
      <c r="D854" t="inlineStr">
        <is>
          <t>VÄRMLANDS LÄN</t>
        </is>
      </c>
      <c r="E854" t="inlineStr">
        <is>
          <t>TORSBY</t>
        </is>
      </c>
      <c r="F854" t="inlineStr">
        <is>
          <t>Kyrkan</t>
        </is>
      </c>
      <c r="G854" t="n">
        <v>3.3</v>
      </c>
      <c r="H854" t="n">
        <v>0</v>
      </c>
      <c r="I854" t="n">
        <v>0</v>
      </c>
      <c r="J854" t="n">
        <v>0</v>
      </c>
      <c r="K854" t="n">
        <v>0</v>
      </c>
      <c r="L854" t="n">
        <v>0</v>
      </c>
      <c r="M854" t="n">
        <v>0</v>
      </c>
      <c r="N854" t="n">
        <v>0</v>
      </c>
      <c r="O854" t="n">
        <v>0</v>
      </c>
      <c r="P854" t="n">
        <v>0</v>
      </c>
      <c r="Q854" t="n">
        <v>0</v>
      </c>
      <c r="R854" s="2" t="inlineStr"/>
    </row>
    <row r="855" ht="15" customHeight="1">
      <c r="A855" t="inlineStr">
        <is>
          <t>A 51944-2025</t>
        </is>
      </c>
      <c r="B855" s="1" t="n">
        <v>45952.52608796296</v>
      </c>
      <c r="C855" s="1" t="n">
        <v>45989</v>
      </c>
      <c r="D855" t="inlineStr">
        <is>
          <t>VÄRMLANDS LÄN</t>
        </is>
      </c>
      <c r="E855" t="inlineStr">
        <is>
          <t>TORSBY</t>
        </is>
      </c>
      <c r="G855" t="n">
        <v>8</v>
      </c>
      <c r="H855" t="n">
        <v>0</v>
      </c>
      <c r="I855" t="n">
        <v>0</v>
      </c>
      <c r="J855" t="n">
        <v>0</v>
      </c>
      <c r="K855" t="n">
        <v>0</v>
      </c>
      <c r="L855" t="n">
        <v>0</v>
      </c>
      <c r="M855" t="n">
        <v>0</v>
      </c>
      <c r="N855" t="n">
        <v>0</v>
      </c>
      <c r="O855" t="n">
        <v>0</v>
      </c>
      <c r="P855" t="n">
        <v>0</v>
      </c>
      <c r="Q855" t="n">
        <v>0</v>
      </c>
      <c r="R855" s="2" t="inlineStr"/>
    </row>
    <row r="856" ht="15" customHeight="1">
      <c r="A856" t="inlineStr">
        <is>
          <t>A 10589-2024</t>
        </is>
      </c>
      <c r="B856" s="1" t="n">
        <v>45366</v>
      </c>
      <c r="C856" s="1" t="n">
        <v>45989</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31547-2025</t>
        </is>
      </c>
      <c r="B857" s="1" t="n">
        <v>45833.63733796297</v>
      </c>
      <c r="C857" s="1" t="n">
        <v>45989</v>
      </c>
      <c r="D857" t="inlineStr">
        <is>
          <t>VÄRMLANDS LÄN</t>
        </is>
      </c>
      <c r="E857" t="inlineStr">
        <is>
          <t>TORSBY</t>
        </is>
      </c>
      <c r="F857" t="inlineStr">
        <is>
          <t>Bergvik skog väst AB</t>
        </is>
      </c>
      <c r="G857" t="n">
        <v>7.9</v>
      </c>
      <c r="H857" t="n">
        <v>0</v>
      </c>
      <c r="I857" t="n">
        <v>0</v>
      </c>
      <c r="J857" t="n">
        <v>0</v>
      </c>
      <c r="K857" t="n">
        <v>0</v>
      </c>
      <c r="L857" t="n">
        <v>0</v>
      </c>
      <c r="M857" t="n">
        <v>0</v>
      </c>
      <c r="N857" t="n">
        <v>0</v>
      </c>
      <c r="O857" t="n">
        <v>0</v>
      </c>
      <c r="P857" t="n">
        <v>0</v>
      </c>
      <c r="Q857" t="n">
        <v>0</v>
      </c>
      <c r="R857" s="2" t="inlineStr"/>
    </row>
    <row r="858" ht="15" customHeight="1">
      <c r="A858" t="inlineStr">
        <is>
          <t>A 9057-2022</t>
        </is>
      </c>
      <c r="B858" s="1" t="n">
        <v>44615</v>
      </c>
      <c r="C858" s="1" t="n">
        <v>45989</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52089-2025</t>
        </is>
      </c>
      <c r="B859" s="1" t="n">
        <v>45952.67644675926</v>
      </c>
      <c r="C859" s="1" t="n">
        <v>45989</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51659-2025</t>
        </is>
      </c>
      <c r="B860" s="1" t="n">
        <v>45951.47482638889</v>
      </c>
      <c r="C860" s="1" t="n">
        <v>45989</v>
      </c>
      <c r="D860" t="inlineStr">
        <is>
          <t>VÄRMLANDS LÄN</t>
        </is>
      </c>
      <c r="E860" t="inlineStr">
        <is>
          <t>TORSBY</t>
        </is>
      </c>
      <c r="G860" t="n">
        <v>3.8</v>
      </c>
      <c r="H860" t="n">
        <v>0</v>
      </c>
      <c r="I860" t="n">
        <v>0</v>
      </c>
      <c r="J860" t="n">
        <v>0</v>
      </c>
      <c r="K860" t="n">
        <v>0</v>
      </c>
      <c r="L860" t="n">
        <v>0</v>
      </c>
      <c r="M860" t="n">
        <v>0</v>
      </c>
      <c r="N860" t="n">
        <v>0</v>
      </c>
      <c r="O860" t="n">
        <v>0</v>
      </c>
      <c r="P860" t="n">
        <v>0</v>
      </c>
      <c r="Q860" t="n">
        <v>0</v>
      </c>
      <c r="R860" s="2" t="inlineStr"/>
    </row>
    <row r="861" ht="15" customHeight="1">
      <c r="A861" t="inlineStr">
        <is>
          <t>A 31850-2025</t>
        </is>
      </c>
      <c r="B861" s="1" t="n">
        <v>45834</v>
      </c>
      <c r="C861" s="1" t="n">
        <v>45989</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52067-2025</t>
        </is>
      </c>
      <c r="B862" s="1" t="n">
        <v>45952.64248842592</v>
      </c>
      <c r="C862" s="1" t="n">
        <v>45989</v>
      </c>
      <c r="D862" t="inlineStr">
        <is>
          <t>VÄRMLANDS LÄN</t>
        </is>
      </c>
      <c r="E862" t="inlineStr">
        <is>
          <t>TORSBY</t>
        </is>
      </c>
      <c r="F862" t="inlineStr">
        <is>
          <t>Bergvik skog väst AB</t>
        </is>
      </c>
      <c r="G862" t="n">
        <v>7.9</v>
      </c>
      <c r="H862" t="n">
        <v>0</v>
      </c>
      <c r="I862" t="n">
        <v>0</v>
      </c>
      <c r="J862" t="n">
        <v>0</v>
      </c>
      <c r="K862" t="n">
        <v>0</v>
      </c>
      <c r="L862" t="n">
        <v>0</v>
      </c>
      <c r="M862" t="n">
        <v>0</v>
      </c>
      <c r="N862" t="n">
        <v>0</v>
      </c>
      <c r="O862" t="n">
        <v>0</v>
      </c>
      <c r="P862" t="n">
        <v>0</v>
      </c>
      <c r="Q862" t="n">
        <v>0</v>
      </c>
      <c r="R862" s="2" t="inlineStr"/>
    </row>
    <row r="863" ht="15" customHeight="1">
      <c r="A863" t="inlineStr">
        <is>
          <t>A 31630-2025</t>
        </is>
      </c>
      <c r="B863" s="1" t="n">
        <v>45834.32670138889</v>
      </c>
      <c r="C863" s="1" t="n">
        <v>45989</v>
      </c>
      <c r="D863" t="inlineStr">
        <is>
          <t>VÄRMLANDS LÄN</t>
        </is>
      </c>
      <c r="E863" t="inlineStr">
        <is>
          <t>TORSBY</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31902-2025</t>
        </is>
      </c>
      <c r="B864" s="1" t="n">
        <v>45834.68592592593</v>
      </c>
      <c r="C864" s="1" t="n">
        <v>45989</v>
      </c>
      <c r="D864" t="inlineStr">
        <is>
          <t>VÄRMLANDS LÄN</t>
        </is>
      </c>
      <c r="E864" t="inlineStr">
        <is>
          <t>TORSBY</t>
        </is>
      </c>
      <c r="G864" t="n">
        <v>27.1</v>
      </c>
      <c r="H864" t="n">
        <v>0</v>
      </c>
      <c r="I864" t="n">
        <v>0</v>
      </c>
      <c r="J864" t="n">
        <v>0</v>
      </c>
      <c r="K864" t="n">
        <v>0</v>
      </c>
      <c r="L864" t="n">
        <v>0</v>
      </c>
      <c r="M864" t="n">
        <v>0</v>
      </c>
      <c r="N864" t="n">
        <v>0</v>
      </c>
      <c r="O864" t="n">
        <v>0</v>
      </c>
      <c r="P864" t="n">
        <v>0</v>
      </c>
      <c r="Q864" t="n">
        <v>0</v>
      </c>
      <c r="R864" s="2" t="inlineStr"/>
    </row>
    <row r="865" ht="15" customHeight="1">
      <c r="A865" t="inlineStr">
        <is>
          <t>A 31906-2025</t>
        </is>
      </c>
      <c r="B865" s="1" t="n">
        <v>45834.69046296296</v>
      </c>
      <c r="C865" s="1" t="n">
        <v>45989</v>
      </c>
      <c r="D865" t="inlineStr">
        <is>
          <t>VÄRMLANDS LÄN</t>
        </is>
      </c>
      <c r="E865" t="inlineStr">
        <is>
          <t>TORSBY</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31335-2025</t>
        </is>
      </c>
      <c r="B866" s="1" t="n">
        <v>45833.42608796297</v>
      </c>
      <c r="C866" s="1" t="n">
        <v>45989</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42966-2025</t>
        </is>
      </c>
      <c r="B867" s="1" t="n">
        <v>45909.38825231481</v>
      </c>
      <c r="C867" s="1" t="n">
        <v>45989</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51694-2025</t>
        </is>
      </c>
      <c r="B868" s="1" t="n">
        <v>45951.54628472222</v>
      </c>
      <c r="C868" s="1" t="n">
        <v>45989</v>
      </c>
      <c r="D868" t="inlineStr">
        <is>
          <t>VÄRMLANDS LÄN</t>
        </is>
      </c>
      <c r="E868" t="inlineStr">
        <is>
          <t>TORSBY</t>
        </is>
      </c>
      <c r="F868" t="inlineStr">
        <is>
          <t>Bergvik skog väst AB</t>
        </is>
      </c>
      <c r="G868" t="n">
        <v>7.5</v>
      </c>
      <c r="H868" t="n">
        <v>0</v>
      </c>
      <c r="I868" t="n">
        <v>0</v>
      </c>
      <c r="J868" t="n">
        <v>0</v>
      </c>
      <c r="K868" t="n">
        <v>0</v>
      </c>
      <c r="L868" t="n">
        <v>0</v>
      </c>
      <c r="M868" t="n">
        <v>0</v>
      </c>
      <c r="N868" t="n">
        <v>0</v>
      </c>
      <c r="O868" t="n">
        <v>0</v>
      </c>
      <c r="P868" t="n">
        <v>0</v>
      </c>
      <c r="Q868" t="n">
        <v>0</v>
      </c>
      <c r="R868" s="2" t="inlineStr"/>
    </row>
    <row r="869" ht="15" customHeight="1">
      <c r="A869" t="inlineStr">
        <is>
          <t>A 42932-2025</t>
        </is>
      </c>
      <c r="B869" s="1" t="n">
        <v>45909</v>
      </c>
      <c r="C869" s="1" t="n">
        <v>45989</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48185-2024</t>
        </is>
      </c>
      <c r="B870" s="1" t="n">
        <v>45589.90284722222</v>
      </c>
      <c r="C870" s="1" t="n">
        <v>45989</v>
      </c>
      <c r="D870" t="inlineStr">
        <is>
          <t>VÄRMLANDS LÄN</t>
        </is>
      </c>
      <c r="E870" t="inlineStr">
        <is>
          <t>TORSBY</t>
        </is>
      </c>
      <c r="G870" t="n">
        <v>4.8</v>
      </c>
      <c r="H870" t="n">
        <v>0</v>
      </c>
      <c r="I870" t="n">
        <v>0</v>
      </c>
      <c r="J870" t="n">
        <v>0</v>
      </c>
      <c r="K870" t="n">
        <v>0</v>
      </c>
      <c r="L870" t="n">
        <v>0</v>
      </c>
      <c r="M870" t="n">
        <v>0</v>
      </c>
      <c r="N870" t="n">
        <v>0</v>
      </c>
      <c r="O870" t="n">
        <v>0</v>
      </c>
      <c r="P870" t="n">
        <v>0</v>
      </c>
      <c r="Q870" t="n">
        <v>0</v>
      </c>
      <c r="R870" s="2" t="inlineStr"/>
    </row>
    <row r="871" ht="15" customHeight="1">
      <c r="A871" t="inlineStr">
        <is>
          <t>A 22943-2023</t>
        </is>
      </c>
      <c r="B871" s="1" t="n">
        <v>45072</v>
      </c>
      <c r="C871" s="1" t="n">
        <v>45989</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42931-2025</t>
        </is>
      </c>
      <c r="B872" s="1" t="n">
        <v>45909</v>
      </c>
      <c r="C872" s="1" t="n">
        <v>45989</v>
      </c>
      <c r="D872" t="inlineStr">
        <is>
          <t>VÄRMLANDS LÄN</t>
        </is>
      </c>
      <c r="E872" t="inlineStr">
        <is>
          <t>TORSBY</t>
        </is>
      </c>
      <c r="G872" t="n">
        <v>1</v>
      </c>
      <c r="H872" t="n">
        <v>0</v>
      </c>
      <c r="I872" t="n">
        <v>0</v>
      </c>
      <c r="J872" t="n">
        <v>0</v>
      </c>
      <c r="K872" t="n">
        <v>0</v>
      </c>
      <c r="L872" t="n">
        <v>0</v>
      </c>
      <c r="M872" t="n">
        <v>0</v>
      </c>
      <c r="N872" t="n">
        <v>0</v>
      </c>
      <c r="O872" t="n">
        <v>0</v>
      </c>
      <c r="P872" t="n">
        <v>0</v>
      </c>
      <c r="Q872" t="n">
        <v>0</v>
      </c>
      <c r="R872" s="2" t="inlineStr"/>
    </row>
    <row r="873" ht="15" customHeight="1">
      <c r="A873" t="inlineStr">
        <is>
          <t>A 42961-2025</t>
        </is>
      </c>
      <c r="B873" s="1" t="n">
        <v>45909.36737268518</v>
      </c>
      <c r="C873" s="1" t="n">
        <v>45989</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22301-2023</t>
        </is>
      </c>
      <c r="B874" s="1" t="n">
        <v>45070</v>
      </c>
      <c r="C874" s="1" t="n">
        <v>45989</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43055-2025</t>
        </is>
      </c>
      <c r="B875" s="1" t="n">
        <v>45909</v>
      </c>
      <c r="C875" s="1" t="n">
        <v>45989</v>
      </c>
      <c r="D875" t="inlineStr">
        <is>
          <t>VÄRMLANDS LÄN</t>
        </is>
      </c>
      <c r="E875" t="inlineStr">
        <is>
          <t>TORSBY</t>
        </is>
      </c>
      <c r="F875" t="inlineStr">
        <is>
          <t>Bergvik skog väst AB</t>
        </is>
      </c>
      <c r="G875" t="n">
        <v>20.1</v>
      </c>
      <c r="H875" t="n">
        <v>0</v>
      </c>
      <c r="I875" t="n">
        <v>0</v>
      </c>
      <c r="J875" t="n">
        <v>0</v>
      </c>
      <c r="K875" t="n">
        <v>0</v>
      </c>
      <c r="L875" t="n">
        <v>0</v>
      </c>
      <c r="M875" t="n">
        <v>0</v>
      </c>
      <c r="N875" t="n">
        <v>0</v>
      </c>
      <c r="O875" t="n">
        <v>0</v>
      </c>
      <c r="P875" t="n">
        <v>0</v>
      </c>
      <c r="Q875" t="n">
        <v>0</v>
      </c>
      <c r="R875" s="2" t="inlineStr"/>
    </row>
    <row r="876" ht="15" customHeight="1">
      <c r="A876" t="inlineStr">
        <is>
          <t>A 52026-2025</t>
        </is>
      </c>
      <c r="B876" s="1" t="n">
        <v>45952</v>
      </c>
      <c r="C876" s="1" t="n">
        <v>45989</v>
      </c>
      <c r="D876" t="inlineStr">
        <is>
          <t>VÄRMLANDS LÄN</t>
        </is>
      </c>
      <c r="E876" t="inlineStr">
        <is>
          <t>TORSBY</t>
        </is>
      </c>
      <c r="F876" t="inlineStr">
        <is>
          <t>Bergvik skog väst AB</t>
        </is>
      </c>
      <c r="G876" t="n">
        <v>15.7</v>
      </c>
      <c r="H876" t="n">
        <v>0</v>
      </c>
      <c r="I876" t="n">
        <v>0</v>
      </c>
      <c r="J876" t="n">
        <v>0</v>
      </c>
      <c r="K876" t="n">
        <v>0</v>
      </c>
      <c r="L876" t="n">
        <v>0</v>
      </c>
      <c r="M876" t="n">
        <v>0</v>
      </c>
      <c r="N876" t="n">
        <v>0</v>
      </c>
      <c r="O876" t="n">
        <v>0</v>
      </c>
      <c r="P876" t="n">
        <v>0</v>
      </c>
      <c r="Q876" t="n">
        <v>0</v>
      </c>
      <c r="R876" s="2" t="inlineStr"/>
    </row>
    <row r="877" ht="15" customHeight="1">
      <c r="A877" t="inlineStr">
        <is>
          <t>A 24965-2023</t>
        </is>
      </c>
      <c r="B877" s="1" t="n">
        <v>45085</v>
      </c>
      <c r="C877" s="1" t="n">
        <v>45989</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24969-2023</t>
        </is>
      </c>
      <c r="B878" s="1" t="n">
        <v>45085.61429398148</v>
      </c>
      <c r="C878" s="1" t="n">
        <v>45989</v>
      </c>
      <c r="D878" t="inlineStr">
        <is>
          <t>VÄRMLANDS LÄN</t>
        </is>
      </c>
      <c r="E878" t="inlineStr">
        <is>
          <t>TORSBY</t>
        </is>
      </c>
      <c r="G878" t="n">
        <v>0.2</v>
      </c>
      <c r="H878" t="n">
        <v>0</v>
      </c>
      <c r="I878" t="n">
        <v>0</v>
      </c>
      <c r="J878" t="n">
        <v>0</v>
      </c>
      <c r="K878" t="n">
        <v>0</v>
      </c>
      <c r="L878" t="n">
        <v>0</v>
      </c>
      <c r="M878" t="n">
        <v>0</v>
      </c>
      <c r="N878" t="n">
        <v>0</v>
      </c>
      <c r="O878" t="n">
        <v>0</v>
      </c>
      <c r="P878" t="n">
        <v>0</v>
      </c>
      <c r="Q878" t="n">
        <v>0</v>
      </c>
      <c r="R878" s="2" t="inlineStr"/>
    </row>
    <row r="879" ht="15" customHeight="1">
      <c r="A879" t="inlineStr">
        <is>
          <t>A 15126-2024</t>
        </is>
      </c>
      <c r="B879" s="1" t="n">
        <v>45399</v>
      </c>
      <c r="C879" s="1" t="n">
        <v>45989</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15127-2024</t>
        </is>
      </c>
      <c r="B880" s="1" t="n">
        <v>45399.76815972223</v>
      </c>
      <c r="C880" s="1" t="n">
        <v>45989</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51819-2025</t>
        </is>
      </c>
      <c r="B881" s="1" t="n">
        <v>45951.88194444445</v>
      </c>
      <c r="C881" s="1" t="n">
        <v>45989</v>
      </c>
      <c r="D881" t="inlineStr">
        <is>
          <t>VÄRMLANDS LÄN</t>
        </is>
      </c>
      <c r="E881" t="inlineStr">
        <is>
          <t>TORSBY</t>
        </is>
      </c>
      <c r="G881" t="n">
        <v>1.3</v>
      </c>
      <c r="H881" t="n">
        <v>0</v>
      </c>
      <c r="I881" t="n">
        <v>0</v>
      </c>
      <c r="J881" t="n">
        <v>0</v>
      </c>
      <c r="K881" t="n">
        <v>0</v>
      </c>
      <c r="L881" t="n">
        <v>0</v>
      </c>
      <c r="M881" t="n">
        <v>0</v>
      </c>
      <c r="N881" t="n">
        <v>0</v>
      </c>
      <c r="O881" t="n">
        <v>0</v>
      </c>
      <c r="P881" t="n">
        <v>0</v>
      </c>
      <c r="Q881" t="n">
        <v>0</v>
      </c>
      <c r="R881" s="2" t="inlineStr"/>
    </row>
    <row r="882" ht="15" customHeight="1">
      <c r="A882" t="inlineStr">
        <is>
          <t>A 5365-2021</t>
        </is>
      </c>
      <c r="B882" s="1" t="n">
        <v>44229</v>
      </c>
      <c r="C882" s="1" t="n">
        <v>45989</v>
      </c>
      <c r="D882" t="inlineStr">
        <is>
          <t>VÄRMLANDS LÄN</t>
        </is>
      </c>
      <c r="E882" t="inlineStr">
        <is>
          <t>TORSBY</t>
        </is>
      </c>
      <c r="G882" t="n">
        <v>8.1</v>
      </c>
      <c r="H882" t="n">
        <v>0</v>
      </c>
      <c r="I882" t="n">
        <v>0</v>
      </c>
      <c r="J882" t="n">
        <v>0</v>
      </c>
      <c r="K882" t="n">
        <v>0</v>
      </c>
      <c r="L882" t="n">
        <v>0</v>
      </c>
      <c r="M882" t="n">
        <v>0</v>
      </c>
      <c r="N882" t="n">
        <v>0</v>
      </c>
      <c r="O882" t="n">
        <v>0</v>
      </c>
      <c r="P882" t="n">
        <v>0</v>
      </c>
      <c r="Q882" t="n">
        <v>0</v>
      </c>
      <c r="R882" s="2" t="inlineStr"/>
    </row>
    <row r="883" ht="15" customHeight="1">
      <c r="A883" t="inlineStr">
        <is>
          <t>A 47651-2024</t>
        </is>
      </c>
      <c r="B883" s="1" t="n">
        <v>45588</v>
      </c>
      <c r="C883" s="1" t="n">
        <v>45989</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18682-2024</t>
        </is>
      </c>
      <c r="B884" s="1" t="n">
        <v>45426.37251157407</v>
      </c>
      <c r="C884" s="1" t="n">
        <v>45989</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51637-2025</t>
        </is>
      </c>
      <c r="B885" s="1" t="n">
        <v>45951.43625</v>
      </c>
      <c r="C885" s="1" t="n">
        <v>45989</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51644-2025</t>
        </is>
      </c>
      <c r="B886" s="1" t="n">
        <v>45951.44677083333</v>
      </c>
      <c r="C886" s="1" t="n">
        <v>45989</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42965-2025</t>
        </is>
      </c>
      <c r="B887" s="1" t="n">
        <v>45909.37575231482</v>
      </c>
      <c r="C887" s="1" t="n">
        <v>45989</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39768-2024</t>
        </is>
      </c>
      <c r="B888" s="1" t="n">
        <v>45552</v>
      </c>
      <c r="C888" s="1" t="n">
        <v>45989</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51836-2024</t>
        </is>
      </c>
      <c r="B889" s="1" t="n">
        <v>45607</v>
      </c>
      <c r="C889" s="1" t="n">
        <v>45989</v>
      </c>
      <c r="D889" t="inlineStr">
        <is>
          <t>VÄRMLANDS LÄN</t>
        </is>
      </c>
      <c r="E889" t="inlineStr">
        <is>
          <t>TORSBY</t>
        </is>
      </c>
      <c r="G889" t="n">
        <v>2</v>
      </c>
      <c r="H889" t="n">
        <v>0</v>
      </c>
      <c r="I889" t="n">
        <v>0</v>
      </c>
      <c r="J889" t="n">
        <v>0</v>
      </c>
      <c r="K889" t="n">
        <v>0</v>
      </c>
      <c r="L889" t="n">
        <v>0</v>
      </c>
      <c r="M889" t="n">
        <v>0</v>
      </c>
      <c r="N889" t="n">
        <v>0</v>
      </c>
      <c r="O889" t="n">
        <v>0</v>
      </c>
      <c r="P889" t="n">
        <v>0</v>
      </c>
      <c r="Q889" t="n">
        <v>0</v>
      </c>
      <c r="R889" s="2" t="inlineStr"/>
    </row>
    <row r="890" ht="15" customHeight="1">
      <c r="A890" t="inlineStr">
        <is>
          <t>A 43538-2024</t>
        </is>
      </c>
      <c r="B890" s="1" t="n">
        <v>45569.36136574074</v>
      </c>
      <c r="C890" s="1" t="n">
        <v>45989</v>
      </c>
      <c r="D890" t="inlineStr">
        <is>
          <t>VÄRMLANDS LÄN</t>
        </is>
      </c>
      <c r="E890" t="inlineStr">
        <is>
          <t>TORSBY</t>
        </is>
      </c>
      <c r="F890" t="inlineStr">
        <is>
          <t>Bergvik skog väst AB</t>
        </is>
      </c>
      <c r="G890" t="n">
        <v>14.4</v>
      </c>
      <c r="H890" t="n">
        <v>0</v>
      </c>
      <c r="I890" t="n">
        <v>0</v>
      </c>
      <c r="J890" t="n">
        <v>0</v>
      </c>
      <c r="K890" t="n">
        <v>0</v>
      </c>
      <c r="L890" t="n">
        <v>0</v>
      </c>
      <c r="M890" t="n">
        <v>0</v>
      </c>
      <c r="N890" t="n">
        <v>0</v>
      </c>
      <c r="O890" t="n">
        <v>0</v>
      </c>
      <c r="P890" t="n">
        <v>0</v>
      </c>
      <c r="Q890" t="n">
        <v>0</v>
      </c>
      <c r="R890" s="2" t="inlineStr"/>
    </row>
    <row r="891" ht="15" customHeight="1">
      <c r="A891" t="inlineStr">
        <is>
          <t>A 3672-2024</t>
        </is>
      </c>
      <c r="B891" s="1" t="n">
        <v>45321.36465277777</v>
      </c>
      <c r="C891" s="1" t="n">
        <v>45989</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48253-2024</t>
        </is>
      </c>
      <c r="B892" s="1" t="n">
        <v>45590</v>
      </c>
      <c r="C892" s="1" t="n">
        <v>45989</v>
      </c>
      <c r="D892" t="inlineStr">
        <is>
          <t>VÄRMLANDS LÄN</t>
        </is>
      </c>
      <c r="E892" t="inlineStr">
        <is>
          <t>TORSBY</t>
        </is>
      </c>
      <c r="F892" t="inlineStr">
        <is>
          <t>Bergvik skog väst AB</t>
        </is>
      </c>
      <c r="G892" t="n">
        <v>20.7</v>
      </c>
      <c r="H892" t="n">
        <v>0</v>
      </c>
      <c r="I892" t="n">
        <v>0</v>
      </c>
      <c r="J892" t="n">
        <v>0</v>
      </c>
      <c r="K892" t="n">
        <v>0</v>
      </c>
      <c r="L892" t="n">
        <v>0</v>
      </c>
      <c r="M892" t="n">
        <v>0</v>
      </c>
      <c r="N892" t="n">
        <v>0</v>
      </c>
      <c r="O892" t="n">
        <v>0</v>
      </c>
      <c r="P892" t="n">
        <v>0</v>
      </c>
      <c r="Q892" t="n">
        <v>0</v>
      </c>
      <c r="R892" s="2" t="inlineStr"/>
    </row>
    <row r="893" ht="15" customHeight="1">
      <c r="A893" t="inlineStr">
        <is>
          <t>A 52509-2025</t>
        </is>
      </c>
      <c r="B893" s="1" t="n">
        <v>45954.50586805555</v>
      </c>
      <c r="C893" s="1" t="n">
        <v>45989</v>
      </c>
      <c r="D893" t="inlineStr">
        <is>
          <t>VÄRMLANDS LÄN</t>
        </is>
      </c>
      <c r="E893" t="inlineStr">
        <is>
          <t>TORSBY</t>
        </is>
      </c>
      <c r="F893" t="inlineStr">
        <is>
          <t>Bergvik skog väst AB</t>
        </is>
      </c>
      <c r="G893" t="n">
        <v>4.7</v>
      </c>
      <c r="H893" t="n">
        <v>0</v>
      </c>
      <c r="I893" t="n">
        <v>0</v>
      </c>
      <c r="J893" t="n">
        <v>0</v>
      </c>
      <c r="K893" t="n">
        <v>0</v>
      </c>
      <c r="L893" t="n">
        <v>0</v>
      </c>
      <c r="M893" t="n">
        <v>0</v>
      </c>
      <c r="N893" t="n">
        <v>0</v>
      </c>
      <c r="O893" t="n">
        <v>0</v>
      </c>
      <c r="P893" t="n">
        <v>0</v>
      </c>
      <c r="Q893" t="n">
        <v>0</v>
      </c>
      <c r="R893" s="2" t="inlineStr"/>
    </row>
    <row r="894" ht="15" customHeight="1">
      <c r="A894" t="inlineStr">
        <is>
          <t>A 52512-2025</t>
        </is>
      </c>
      <c r="B894" s="1" t="n">
        <v>45954.50771990741</v>
      </c>
      <c r="C894" s="1" t="n">
        <v>45989</v>
      </c>
      <c r="D894" t="inlineStr">
        <is>
          <t>VÄRMLANDS LÄN</t>
        </is>
      </c>
      <c r="E894" t="inlineStr">
        <is>
          <t>TORSBY</t>
        </is>
      </c>
      <c r="F894" t="inlineStr">
        <is>
          <t>Bergvik skog väst AB</t>
        </is>
      </c>
      <c r="G894" t="n">
        <v>14.6</v>
      </c>
      <c r="H894" t="n">
        <v>0</v>
      </c>
      <c r="I894" t="n">
        <v>0</v>
      </c>
      <c r="J894" t="n">
        <v>0</v>
      </c>
      <c r="K894" t="n">
        <v>0</v>
      </c>
      <c r="L894" t="n">
        <v>0</v>
      </c>
      <c r="M894" t="n">
        <v>0</v>
      </c>
      <c r="N894" t="n">
        <v>0</v>
      </c>
      <c r="O894" t="n">
        <v>0</v>
      </c>
      <c r="P894" t="n">
        <v>0</v>
      </c>
      <c r="Q894" t="n">
        <v>0</v>
      </c>
      <c r="R894" s="2" t="inlineStr"/>
    </row>
    <row r="895" ht="15" customHeight="1">
      <c r="A895" t="inlineStr">
        <is>
          <t>A 31672-2025</t>
        </is>
      </c>
      <c r="B895" s="1" t="n">
        <v>45834.36979166666</v>
      </c>
      <c r="C895" s="1" t="n">
        <v>45989</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31416-2025</t>
        </is>
      </c>
      <c r="B896" s="1" t="n">
        <v>45833.48278935185</v>
      </c>
      <c r="C896" s="1" t="n">
        <v>45989</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52357-2025</t>
        </is>
      </c>
      <c r="B897" s="1" t="n">
        <v>45952</v>
      </c>
      <c r="C897" s="1" t="n">
        <v>45989</v>
      </c>
      <c r="D897" t="inlineStr">
        <is>
          <t>VÄRMLANDS LÄN</t>
        </is>
      </c>
      <c r="E897" t="inlineStr">
        <is>
          <t>TORSBY</t>
        </is>
      </c>
      <c r="G897" t="n">
        <v>3.5</v>
      </c>
      <c r="H897" t="n">
        <v>0</v>
      </c>
      <c r="I897" t="n">
        <v>0</v>
      </c>
      <c r="J897" t="n">
        <v>0</v>
      </c>
      <c r="K897" t="n">
        <v>0</v>
      </c>
      <c r="L897" t="n">
        <v>0</v>
      </c>
      <c r="M897" t="n">
        <v>0</v>
      </c>
      <c r="N897" t="n">
        <v>0</v>
      </c>
      <c r="O897" t="n">
        <v>0</v>
      </c>
      <c r="P897" t="n">
        <v>0</v>
      </c>
      <c r="Q897" t="n">
        <v>0</v>
      </c>
      <c r="R897" s="2" t="inlineStr"/>
    </row>
    <row r="898" ht="15" customHeight="1">
      <c r="A898" t="inlineStr">
        <is>
          <t>A 52587-2025</t>
        </is>
      </c>
      <c r="B898" s="1" t="n">
        <v>45954.63325231482</v>
      </c>
      <c r="C898" s="1" t="n">
        <v>45989</v>
      </c>
      <c r="D898" t="inlineStr">
        <is>
          <t>VÄRMLANDS LÄN</t>
        </is>
      </c>
      <c r="E898" t="inlineStr">
        <is>
          <t>TORSBY</t>
        </is>
      </c>
      <c r="G898" t="n">
        <v>4.2</v>
      </c>
      <c r="H898" t="n">
        <v>0</v>
      </c>
      <c r="I898" t="n">
        <v>0</v>
      </c>
      <c r="J898" t="n">
        <v>0</v>
      </c>
      <c r="K898" t="n">
        <v>0</v>
      </c>
      <c r="L898" t="n">
        <v>0</v>
      </c>
      <c r="M898" t="n">
        <v>0</v>
      </c>
      <c r="N898" t="n">
        <v>0</v>
      </c>
      <c r="O898" t="n">
        <v>0</v>
      </c>
      <c r="P898" t="n">
        <v>0</v>
      </c>
      <c r="Q898" t="n">
        <v>0</v>
      </c>
      <c r="R898" s="2" t="inlineStr"/>
    </row>
    <row r="899" ht="15" customHeight="1">
      <c r="A899" t="inlineStr">
        <is>
          <t>A 52493-2025</t>
        </is>
      </c>
      <c r="B899" s="1" t="n">
        <v>45954.48518518519</v>
      </c>
      <c r="C899" s="1" t="n">
        <v>45989</v>
      </c>
      <c r="D899" t="inlineStr">
        <is>
          <t>VÄRMLANDS LÄN</t>
        </is>
      </c>
      <c r="E899" t="inlineStr">
        <is>
          <t>TORSBY</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32134-2025</t>
        </is>
      </c>
      <c r="B900" s="1" t="n">
        <v>45835.5102662037</v>
      </c>
      <c r="C900" s="1" t="n">
        <v>45989</v>
      </c>
      <c r="D900" t="inlineStr">
        <is>
          <t>VÄRMLANDS LÄN</t>
        </is>
      </c>
      <c r="E900" t="inlineStr">
        <is>
          <t>TORSBY</t>
        </is>
      </c>
      <c r="G900" t="n">
        <v>8.5</v>
      </c>
      <c r="H900" t="n">
        <v>0</v>
      </c>
      <c r="I900" t="n">
        <v>0</v>
      </c>
      <c r="J900" t="n">
        <v>0</v>
      </c>
      <c r="K900" t="n">
        <v>0</v>
      </c>
      <c r="L900" t="n">
        <v>0</v>
      </c>
      <c r="M900" t="n">
        <v>0</v>
      </c>
      <c r="N900" t="n">
        <v>0</v>
      </c>
      <c r="O900" t="n">
        <v>0</v>
      </c>
      <c r="P900" t="n">
        <v>0</v>
      </c>
      <c r="Q900" t="n">
        <v>0</v>
      </c>
      <c r="R900" s="2" t="inlineStr"/>
    </row>
    <row r="901" ht="15" customHeight="1">
      <c r="A901" t="inlineStr">
        <is>
          <t>A 19575-2025</t>
        </is>
      </c>
      <c r="B901" s="1" t="n">
        <v>45770.55957175926</v>
      </c>
      <c r="C901" s="1" t="n">
        <v>45989</v>
      </c>
      <c r="D901" t="inlineStr">
        <is>
          <t>VÄRMLANDS LÄN</t>
        </is>
      </c>
      <c r="E901" t="inlineStr">
        <is>
          <t>TORSBY</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26979-2023</t>
        </is>
      </c>
      <c r="B902" s="1" t="n">
        <v>45091</v>
      </c>
      <c r="C902" s="1" t="n">
        <v>45989</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52359-2025</t>
        </is>
      </c>
      <c r="B903" s="1" t="n">
        <v>45952</v>
      </c>
      <c r="C903" s="1" t="n">
        <v>45989</v>
      </c>
      <c r="D903" t="inlineStr">
        <is>
          <t>VÄRMLANDS LÄN</t>
        </is>
      </c>
      <c r="E903" t="inlineStr">
        <is>
          <t>TORSBY</t>
        </is>
      </c>
      <c r="G903" t="n">
        <v>3.8</v>
      </c>
      <c r="H903" t="n">
        <v>0</v>
      </c>
      <c r="I903" t="n">
        <v>0</v>
      </c>
      <c r="J903" t="n">
        <v>0</v>
      </c>
      <c r="K903" t="n">
        <v>0</v>
      </c>
      <c r="L903" t="n">
        <v>0</v>
      </c>
      <c r="M903" t="n">
        <v>0</v>
      </c>
      <c r="N903" t="n">
        <v>0</v>
      </c>
      <c r="O903" t="n">
        <v>0</v>
      </c>
      <c r="P903" t="n">
        <v>0</v>
      </c>
      <c r="Q903" t="n">
        <v>0</v>
      </c>
      <c r="R903" s="2" t="inlineStr"/>
    </row>
    <row r="904" ht="15" customHeight="1">
      <c r="A904" t="inlineStr">
        <is>
          <t>A 32622-2025</t>
        </is>
      </c>
      <c r="B904" s="1" t="n">
        <v>45838</v>
      </c>
      <c r="C904" s="1" t="n">
        <v>45989</v>
      </c>
      <c r="D904" t="inlineStr">
        <is>
          <t>VÄRMLANDS LÄN</t>
        </is>
      </c>
      <c r="E904" t="inlineStr">
        <is>
          <t>TORSBY</t>
        </is>
      </c>
      <c r="G904" t="n">
        <v>4.6</v>
      </c>
      <c r="H904" t="n">
        <v>0</v>
      </c>
      <c r="I904" t="n">
        <v>0</v>
      </c>
      <c r="J904" t="n">
        <v>0</v>
      </c>
      <c r="K904" t="n">
        <v>0</v>
      </c>
      <c r="L904" t="n">
        <v>0</v>
      </c>
      <c r="M904" t="n">
        <v>0</v>
      </c>
      <c r="N904" t="n">
        <v>0</v>
      </c>
      <c r="O904" t="n">
        <v>0</v>
      </c>
      <c r="P904" t="n">
        <v>0</v>
      </c>
      <c r="Q904" t="n">
        <v>0</v>
      </c>
      <c r="R904" s="2" t="inlineStr"/>
    </row>
    <row r="905" ht="15" customHeight="1">
      <c r="A905" t="inlineStr">
        <is>
          <t>A 13924-2025</t>
        </is>
      </c>
      <c r="B905" s="1" t="n">
        <v>45737</v>
      </c>
      <c r="C905" s="1" t="n">
        <v>45989</v>
      </c>
      <c r="D905" t="inlineStr">
        <is>
          <t>VÄRMLANDS LÄN</t>
        </is>
      </c>
      <c r="E905" t="inlineStr">
        <is>
          <t>TORSBY</t>
        </is>
      </c>
      <c r="G905" t="n">
        <v>2.6</v>
      </c>
      <c r="H905" t="n">
        <v>0</v>
      </c>
      <c r="I905" t="n">
        <v>0</v>
      </c>
      <c r="J905" t="n">
        <v>0</v>
      </c>
      <c r="K905" t="n">
        <v>0</v>
      </c>
      <c r="L905" t="n">
        <v>0</v>
      </c>
      <c r="M905" t="n">
        <v>0</v>
      </c>
      <c r="N905" t="n">
        <v>0</v>
      </c>
      <c r="O905" t="n">
        <v>0</v>
      </c>
      <c r="P905" t="n">
        <v>0</v>
      </c>
      <c r="Q905" t="n">
        <v>0</v>
      </c>
      <c r="R905" s="2" t="inlineStr"/>
    </row>
    <row r="906" ht="15" customHeight="1">
      <c r="A906" t="inlineStr">
        <is>
          <t>A 32618-2025</t>
        </is>
      </c>
      <c r="B906" s="1" t="n">
        <v>45838.6435300926</v>
      </c>
      <c r="C906" s="1" t="n">
        <v>45989</v>
      </c>
      <c r="D906" t="inlineStr">
        <is>
          <t>VÄRMLANDS LÄN</t>
        </is>
      </c>
      <c r="E906" t="inlineStr">
        <is>
          <t>TORSBY</t>
        </is>
      </c>
      <c r="G906" t="n">
        <v>4.1</v>
      </c>
      <c r="H906" t="n">
        <v>0</v>
      </c>
      <c r="I906" t="n">
        <v>0</v>
      </c>
      <c r="J906" t="n">
        <v>0</v>
      </c>
      <c r="K906" t="n">
        <v>0</v>
      </c>
      <c r="L906" t="n">
        <v>0</v>
      </c>
      <c r="M906" t="n">
        <v>0</v>
      </c>
      <c r="N906" t="n">
        <v>0</v>
      </c>
      <c r="O906" t="n">
        <v>0</v>
      </c>
      <c r="P906" t="n">
        <v>0</v>
      </c>
      <c r="Q906" t="n">
        <v>0</v>
      </c>
      <c r="R906" s="2" t="inlineStr"/>
    </row>
    <row r="907" ht="15" customHeight="1">
      <c r="A907" t="inlineStr">
        <is>
          <t>A 32298-2025</t>
        </is>
      </c>
      <c r="B907" s="1" t="n">
        <v>45835.7144675926</v>
      </c>
      <c r="C907" s="1" t="n">
        <v>45989</v>
      </c>
      <c r="D907" t="inlineStr">
        <is>
          <t>VÄRMLANDS LÄN</t>
        </is>
      </c>
      <c r="E907" t="inlineStr">
        <is>
          <t>TORSBY</t>
        </is>
      </c>
      <c r="G907" t="n">
        <v>19.2</v>
      </c>
      <c r="H907" t="n">
        <v>0</v>
      </c>
      <c r="I907" t="n">
        <v>0</v>
      </c>
      <c r="J907" t="n">
        <v>0</v>
      </c>
      <c r="K907" t="n">
        <v>0</v>
      </c>
      <c r="L907" t="n">
        <v>0</v>
      </c>
      <c r="M907" t="n">
        <v>0</v>
      </c>
      <c r="N907" t="n">
        <v>0</v>
      </c>
      <c r="O907" t="n">
        <v>0</v>
      </c>
      <c r="P907" t="n">
        <v>0</v>
      </c>
      <c r="Q907" t="n">
        <v>0</v>
      </c>
      <c r="R907" s="2" t="inlineStr"/>
    </row>
    <row r="908" ht="15" customHeight="1">
      <c r="A908" t="inlineStr">
        <is>
          <t>A 7907-2025</t>
        </is>
      </c>
      <c r="B908" s="1" t="n">
        <v>45707</v>
      </c>
      <c r="C908" s="1" t="n">
        <v>45989</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32343-2025</t>
        </is>
      </c>
      <c r="B909" s="1" t="n">
        <v>45837.37171296297</v>
      </c>
      <c r="C909" s="1" t="n">
        <v>45989</v>
      </c>
      <c r="D909" t="inlineStr">
        <is>
          <t>VÄRMLANDS LÄN</t>
        </is>
      </c>
      <c r="E909" t="inlineStr">
        <is>
          <t>TORSBY</t>
        </is>
      </c>
      <c r="G909" t="n">
        <v>11.4</v>
      </c>
      <c r="H909" t="n">
        <v>0</v>
      </c>
      <c r="I909" t="n">
        <v>0</v>
      </c>
      <c r="J909" t="n">
        <v>0</v>
      </c>
      <c r="K909" t="n">
        <v>0</v>
      </c>
      <c r="L909" t="n">
        <v>0</v>
      </c>
      <c r="M909" t="n">
        <v>0</v>
      </c>
      <c r="N909" t="n">
        <v>0</v>
      </c>
      <c r="O909" t="n">
        <v>0</v>
      </c>
      <c r="P909" t="n">
        <v>0</v>
      </c>
      <c r="Q909" t="n">
        <v>0</v>
      </c>
      <c r="R909" s="2" t="inlineStr"/>
    </row>
    <row r="910" ht="15" customHeight="1">
      <c r="A910" t="inlineStr">
        <is>
          <t>A 32084-2025</t>
        </is>
      </c>
      <c r="B910" s="1" t="n">
        <v>45835.45379629629</v>
      </c>
      <c r="C910" s="1" t="n">
        <v>45989</v>
      </c>
      <c r="D910" t="inlineStr">
        <is>
          <t>VÄRMLANDS LÄN</t>
        </is>
      </c>
      <c r="E910" t="inlineStr">
        <is>
          <t>TORSBY</t>
        </is>
      </c>
      <c r="F910" t="inlineStr">
        <is>
          <t>Bergvik skog väst AB</t>
        </is>
      </c>
      <c r="G910" t="n">
        <v>3.6</v>
      </c>
      <c r="H910" t="n">
        <v>0</v>
      </c>
      <c r="I910" t="n">
        <v>0</v>
      </c>
      <c r="J910" t="n">
        <v>0</v>
      </c>
      <c r="K910" t="n">
        <v>0</v>
      </c>
      <c r="L910" t="n">
        <v>0</v>
      </c>
      <c r="M910" t="n">
        <v>0</v>
      </c>
      <c r="N910" t="n">
        <v>0</v>
      </c>
      <c r="O910" t="n">
        <v>0</v>
      </c>
      <c r="P910" t="n">
        <v>0</v>
      </c>
      <c r="Q910" t="n">
        <v>0</v>
      </c>
      <c r="R910" s="2" t="inlineStr"/>
    </row>
    <row r="911" ht="15" customHeight="1">
      <c r="A911" t="inlineStr">
        <is>
          <t>A 32433-2025</t>
        </is>
      </c>
      <c r="B911" s="1" t="n">
        <v>45838.37252314815</v>
      </c>
      <c r="C911" s="1" t="n">
        <v>45989</v>
      </c>
      <c r="D911" t="inlineStr">
        <is>
          <t>VÄRMLANDS LÄN</t>
        </is>
      </c>
      <c r="E911" t="inlineStr">
        <is>
          <t>TORSBY</t>
        </is>
      </c>
      <c r="G911" t="n">
        <v>0.6</v>
      </c>
      <c r="H911" t="n">
        <v>0</v>
      </c>
      <c r="I911" t="n">
        <v>0</v>
      </c>
      <c r="J911" t="n">
        <v>0</v>
      </c>
      <c r="K911" t="n">
        <v>0</v>
      </c>
      <c r="L911" t="n">
        <v>0</v>
      </c>
      <c r="M911" t="n">
        <v>0</v>
      </c>
      <c r="N911" t="n">
        <v>0</v>
      </c>
      <c r="O911" t="n">
        <v>0</v>
      </c>
      <c r="P911" t="n">
        <v>0</v>
      </c>
      <c r="Q911" t="n">
        <v>0</v>
      </c>
      <c r="R911" s="2" t="inlineStr"/>
    </row>
    <row r="912" ht="15" customHeight="1">
      <c r="A912" t="inlineStr">
        <is>
          <t>A 32342-2025</t>
        </is>
      </c>
      <c r="B912" s="1" t="n">
        <v>45837.34560185186</v>
      </c>
      <c r="C912" s="1" t="n">
        <v>45989</v>
      </c>
      <c r="D912" t="inlineStr">
        <is>
          <t>VÄRMLANDS LÄN</t>
        </is>
      </c>
      <c r="E912" t="inlineStr">
        <is>
          <t>TORSBY</t>
        </is>
      </c>
      <c r="G912" t="n">
        <v>8.1</v>
      </c>
      <c r="H912" t="n">
        <v>0</v>
      </c>
      <c r="I912" t="n">
        <v>0</v>
      </c>
      <c r="J912" t="n">
        <v>0</v>
      </c>
      <c r="K912" t="n">
        <v>0</v>
      </c>
      <c r="L912" t="n">
        <v>0</v>
      </c>
      <c r="M912" t="n">
        <v>0</v>
      </c>
      <c r="N912" t="n">
        <v>0</v>
      </c>
      <c r="O912" t="n">
        <v>0</v>
      </c>
      <c r="P912" t="n">
        <v>0</v>
      </c>
      <c r="Q912" t="n">
        <v>0</v>
      </c>
      <c r="R912" s="2" t="inlineStr"/>
    </row>
    <row r="913" ht="15" customHeight="1">
      <c r="A913" t="inlineStr">
        <is>
          <t>A 43669-2025</t>
        </is>
      </c>
      <c r="B913" s="1" t="n">
        <v>45912.36299768519</v>
      </c>
      <c r="C913" s="1" t="n">
        <v>45989</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32331-2025</t>
        </is>
      </c>
      <c r="B914" s="1" t="n">
        <v>45836.50674768518</v>
      </c>
      <c r="C914" s="1" t="n">
        <v>45989</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52277-2025</t>
        </is>
      </c>
      <c r="B915" s="1" t="n">
        <v>45953.55915509259</v>
      </c>
      <c r="C915" s="1" t="n">
        <v>45989</v>
      </c>
      <c r="D915" t="inlineStr">
        <is>
          <t>VÄRMLANDS LÄN</t>
        </is>
      </c>
      <c r="E915" t="inlineStr">
        <is>
          <t>TORSBY</t>
        </is>
      </c>
      <c r="G915" t="n">
        <v>3.6</v>
      </c>
      <c r="H915" t="n">
        <v>0</v>
      </c>
      <c r="I915" t="n">
        <v>0</v>
      </c>
      <c r="J915" t="n">
        <v>0</v>
      </c>
      <c r="K915" t="n">
        <v>0</v>
      </c>
      <c r="L915" t="n">
        <v>0</v>
      </c>
      <c r="M915" t="n">
        <v>0</v>
      </c>
      <c r="N915" t="n">
        <v>0</v>
      </c>
      <c r="O915" t="n">
        <v>0</v>
      </c>
      <c r="P915" t="n">
        <v>0</v>
      </c>
      <c r="Q915" t="n">
        <v>0</v>
      </c>
      <c r="R915" s="2" t="inlineStr"/>
    </row>
    <row r="916" ht="15" customHeight="1">
      <c r="A916" t="inlineStr">
        <is>
          <t>A 43614-2025</t>
        </is>
      </c>
      <c r="B916" s="1" t="n">
        <v>45911.67766203704</v>
      </c>
      <c r="C916" s="1" t="n">
        <v>45989</v>
      </c>
      <c r="D916" t="inlineStr">
        <is>
          <t>VÄRMLANDS LÄN</t>
        </is>
      </c>
      <c r="E916" t="inlineStr">
        <is>
          <t>TORSBY</t>
        </is>
      </c>
      <c r="F916" t="inlineStr">
        <is>
          <t>Bergvik skog väst AB</t>
        </is>
      </c>
      <c r="G916" t="n">
        <v>3</v>
      </c>
      <c r="H916" t="n">
        <v>0</v>
      </c>
      <c r="I916" t="n">
        <v>0</v>
      </c>
      <c r="J916" t="n">
        <v>0</v>
      </c>
      <c r="K916" t="n">
        <v>0</v>
      </c>
      <c r="L916" t="n">
        <v>0</v>
      </c>
      <c r="M916" t="n">
        <v>0</v>
      </c>
      <c r="N916" t="n">
        <v>0</v>
      </c>
      <c r="O916" t="n">
        <v>0</v>
      </c>
      <c r="P916" t="n">
        <v>0</v>
      </c>
      <c r="Q916" t="n">
        <v>0</v>
      </c>
      <c r="R916" s="2" t="inlineStr"/>
    </row>
    <row r="917" ht="15" customHeight="1">
      <c r="A917" t="inlineStr">
        <is>
          <t>A 18897-2024</t>
        </is>
      </c>
      <c r="B917" s="1" t="n">
        <v>45427.34046296297</v>
      </c>
      <c r="C917" s="1" t="n">
        <v>45989</v>
      </c>
      <c r="D917" t="inlineStr">
        <is>
          <t>VÄRMLANDS LÄN</t>
        </is>
      </c>
      <c r="E917" t="inlineStr">
        <is>
          <t>TORSBY</t>
        </is>
      </c>
      <c r="F917" t="inlineStr">
        <is>
          <t>Övriga statliga verk och myndigheter</t>
        </is>
      </c>
      <c r="G917" t="n">
        <v>4.6</v>
      </c>
      <c r="H917" t="n">
        <v>0</v>
      </c>
      <c r="I917" t="n">
        <v>0</v>
      </c>
      <c r="J917" t="n">
        <v>0</v>
      </c>
      <c r="K917" t="n">
        <v>0</v>
      </c>
      <c r="L917" t="n">
        <v>0</v>
      </c>
      <c r="M917" t="n">
        <v>0</v>
      </c>
      <c r="N917" t="n">
        <v>0</v>
      </c>
      <c r="O917" t="n">
        <v>0</v>
      </c>
      <c r="P917" t="n">
        <v>0</v>
      </c>
      <c r="Q917" t="n">
        <v>0</v>
      </c>
      <c r="R917" s="2" t="inlineStr"/>
    </row>
    <row r="918" ht="15" customHeight="1">
      <c r="A918" t="inlineStr">
        <is>
          <t>A 32191-2025</t>
        </is>
      </c>
      <c r="B918" s="1" t="n">
        <v>45835.57099537037</v>
      </c>
      <c r="C918" s="1" t="n">
        <v>45989</v>
      </c>
      <c r="D918" t="inlineStr">
        <is>
          <t>VÄRMLANDS LÄN</t>
        </is>
      </c>
      <c r="E918" t="inlineStr">
        <is>
          <t>TORSBY</t>
        </is>
      </c>
      <c r="F918" t="inlineStr">
        <is>
          <t>Bergvik skog väst AB</t>
        </is>
      </c>
      <c r="G918" t="n">
        <v>4.5</v>
      </c>
      <c r="H918" t="n">
        <v>0</v>
      </c>
      <c r="I918" t="n">
        <v>0</v>
      </c>
      <c r="J918" t="n">
        <v>0</v>
      </c>
      <c r="K918" t="n">
        <v>0</v>
      </c>
      <c r="L918" t="n">
        <v>0</v>
      </c>
      <c r="M918" t="n">
        <v>0</v>
      </c>
      <c r="N918" t="n">
        <v>0</v>
      </c>
      <c r="O918" t="n">
        <v>0</v>
      </c>
      <c r="P918" t="n">
        <v>0</v>
      </c>
      <c r="Q918" t="n">
        <v>0</v>
      </c>
      <c r="R918" s="2" t="inlineStr"/>
    </row>
    <row r="919" ht="15" customHeight="1">
      <c r="A919" t="inlineStr">
        <is>
          <t>A 43787-2025</t>
        </is>
      </c>
      <c r="B919" s="1" t="n">
        <v>45912</v>
      </c>
      <c r="C919" s="1" t="n">
        <v>45989</v>
      </c>
      <c r="D919" t="inlineStr">
        <is>
          <t>VÄRMLANDS LÄN</t>
        </is>
      </c>
      <c r="E919" t="inlineStr">
        <is>
          <t>TORSBY</t>
        </is>
      </c>
      <c r="G919" t="n">
        <v>13.1</v>
      </c>
      <c r="H919" t="n">
        <v>0</v>
      </c>
      <c r="I919" t="n">
        <v>0</v>
      </c>
      <c r="J919" t="n">
        <v>0</v>
      </c>
      <c r="K919" t="n">
        <v>0</v>
      </c>
      <c r="L919" t="n">
        <v>0</v>
      </c>
      <c r="M919" t="n">
        <v>0</v>
      </c>
      <c r="N919" t="n">
        <v>0</v>
      </c>
      <c r="O919" t="n">
        <v>0</v>
      </c>
      <c r="P919" t="n">
        <v>0</v>
      </c>
      <c r="Q919" t="n">
        <v>0</v>
      </c>
      <c r="R919" s="2" t="inlineStr"/>
    </row>
    <row r="920" ht="15" customHeight="1">
      <c r="A920" t="inlineStr">
        <is>
          <t>A 52261-2025</t>
        </is>
      </c>
      <c r="B920" s="1" t="n">
        <v>45952</v>
      </c>
      <c r="C920" s="1" t="n">
        <v>45989</v>
      </c>
      <c r="D920" t="inlineStr">
        <is>
          <t>VÄRMLANDS LÄN</t>
        </is>
      </c>
      <c r="E920" t="inlineStr">
        <is>
          <t>TORSBY</t>
        </is>
      </c>
      <c r="G920" t="n">
        <v>11.7</v>
      </c>
      <c r="H920" t="n">
        <v>0</v>
      </c>
      <c r="I920" t="n">
        <v>0</v>
      </c>
      <c r="J920" t="n">
        <v>0</v>
      </c>
      <c r="K920" t="n">
        <v>0</v>
      </c>
      <c r="L920" t="n">
        <v>0</v>
      </c>
      <c r="M920" t="n">
        <v>0</v>
      </c>
      <c r="N920" t="n">
        <v>0</v>
      </c>
      <c r="O920" t="n">
        <v>0</v>
      </c>
      <c r="P920" t="n">
        <v>0</v>
      </c>
      <c r="Q920" t="n">
        <v>0</v>
      </c>
      <c r="R920" s="2" t="inlineStr"/>
    </row>
    <row r="921" ht="15" customHeight="1">
      <c r="A921" t="inlineStr">
        <is>
          <t>A 4585-2023</t>
        </is>
      </c>
      <c r="B921" s="1" t="n">
        <v>44956.79790509259</v>
      </c>
      <c r="C921" s="1" t="n">
        <v>45989</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20175-2022</t>
        </is>
      </c>
      <c r="B922" s="1" t="n">
        <v>44698</v>
      </c>
      <c r="C922" s="1" t="n">
        <v>45989</v>
      </c>
      <c r="D922" t="inlineStr">
        <is>
          <t>VÄRMLANDS LÄN</t>
        </is>
      </c>
      <c r="E922" t="inlineStr">
        <is>
          <t>TORSBY</t>
        </is>
      </c>
      <c r="G922" t="n">
        <v>2.8</v>
      </c>
      <c r="H922" t="n">
        <v>0</v>
      </c>
      <c r="I922" t="n">
        <v>0</v>
      </c>
      <c r="J922" t="n">
        <v>0</v>
      </c>
      <c r="K922" t="n">
        <v>0</v>
      </c>
      <c r="L922" t="n">
        <v>0</v>
      </c>
      <c r="M922" t="n">
        <v>0</v>
      </c>
      <c r="N922" t="n">
        <v>0</v>
      </c>
      <c r="O922" t="n">
        <v>0</v>
      </c>
      <c r="P922" t="n">
        <v>0</v>
      </c>
      <c r="Q922" t="n">
        <v>0</v>
      </c>
      <c r="R922" s="2" t="inlineStr"/>
    </row>
    <row r="923" ht="15" customHeight="1">
      <c r="A923" t="inlineStr">
        <is>
          <t>A 32339-2025</t>
        </is>
      </c>
      <c r="B923" s="1" t="n">
        <v>45836.68836805555</v>
      </c>
      <c r="C923" s="1" t="n">
        <v>45989</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52436-2025</t>
        </is>
      </c>
      <c r="B924" s="1" t="n">
        <v>45954.39688657408</v>
      </c>
      <c r="C924" s="1" t="n">
        <v>45989</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32345-2025</t>
        </is>
      </c>
      <c r="B925" s="1" t="n">
        <v>45837.44293981481</v>
      </c>
      <c r="C925" s="1" t="n">
        <v>45989</v>
      </c>
      <c r="D925" t="inlineStr">
        <is>
          <t>VÄRMLANDS LÄN</t>
        </is>
      </c>
      <c r="E925" t="inlineStr">
        <is>
          <t>TORSBY</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32555-2025</t>
        </is>
      </c>
      <c r="B926" s="1" t="n">
        <v>45838.56084490741</v>
      </c>
      <c r="C926" s="1" t="n">
        <v>45989</v>
      </c>
      <c r="D926" t="inlineStr">
        <is>
          <t>VÄRMLANDS LÄN</t>
        </is>
      </c>
      <c r="E926" t="inlineStr">
        <is>
          <t>TORSBY</t>
        </is>
      </c>
      <c r="G926" t="n">
        <v>3.8</v>
      </c>
      <c r="H926" t="n">
        <v>0</v>
      </c>
      <c r="I926" t="n">
        <v>0</v>
      </c>
      <c r="J926" t="n">
        <v>0</v>
      </c>
      <c r="K926" t="n">
        <v>0</v>
      </c>
      <c r="L926" t="n">
        <v>0</v>
      </c>
      <c r="M926" t="n">
        <v>0</v>
      </c>
      <c r="N926" t="n">
        <v>0</v>
      </c>
      <c r="O926" t="n">
        <v>0</v>
      </c>
      <c r="P926" t="n">
        <v>0</v>
      </c>
      <c r="Q926" t="n">
        <v>0</v>
      </c>
      <c r="R926" s="2" t="inlineStr"/>
    </row>
    <row r="927" ht="15" customHeight="1">
      <c r="A927" t="inlineStr">
        <is>
          <t>A 32348-2025</t>
        </is>
      </c>
      <c r="B927" s="1" t="n">
        <v>45837.47078703704</v>
      </c>
      <c r="C927" s="1" t="n">
        <v>45989</v>
      </c>
      <c r="D927" t="inlineStr">
        <is>
          <t>VÄRMLANDS LÄN</t>
        </is>
      </c>
      <c r="E927" t="inlineStr">
        <is>
          <t>TORSBY</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52609-2025</t>
        </is>
      </c>
      <c r="B928" s="1" t="n">
        <v>45954.66649305556</v>
      </c>
      <c r="C928" s="1" t="n">
        <v>45989</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32054-2025</t>
        </is>
      </c>
      <c r="B929" s="1" t="n">
        <v>45835</v>
      </c>
      <c r="C929" s="1" t="n">
        <v>45989</v>
      </c>
      <c r="D929" t="inlineStr">
        <is>
          <t>VÄRMLANDS LÄN</t>
        </is>
      </c>
      <c r="E929" t="inlineStr">
        <is>
          <t>TORSBY</t>
        </is>
      </c>
      <c r="G929" t="n">
        <v>13.1</v>
      </c>
      <c r="H929" t="n">
        <v>0</v>
      </c>
      <c r="I929" t="n">
        <v>0</v>
      </c>
      <c r="J929" t="n">
        <v>0</v>
      </c>
      <c r="K929" t="n">
        <v>0</v>
      </c>
      <c r="L929" t="n">
        <v>0</v>
      </c>
      <c r="M929" t="n">
        <v>0</v>
      </c>
      <c r="N929" t="n">
        <v>0</v>
      </c>
      <c r="O929" t="n">
        <v>0</v>
      </c>
      <c r="P929" t="n">
        <v>0</v>
      </c>
      <c r="Q929" t="n">
        <v>0</v>
      </c>
      <c r="R929" s="2" t="inlineStr"/>
    </row>
    <row r="930" ht="15" customHeight="1">
      <c r="A930" t="inlineStr">
        <is>
          <t>A 33221-2025</t>
        </is>
      </c>
      <c r="B930" s="1" t="n">
        <v>45840.63471064815</v>
      </c>
      <c r="C930" s="1" t="n">
        <v>45989</v>
      </c>
      <c r="D930" t="inlineStr">
        <is>
          <t>VÄRMLANDS LÄN</t>
        </is>
      </c>
      <c r="E930" t="inlineStr">
        <is>
          <t>TORSBY</t>
        </is>
      </c>
      <c r="F930" t="inlineStr">
        <is>
          <t>Bergvik skog väst AB</t>
        </is>
      </c>
      <c r="G930" t="n">
        <v>4.9</v>
      </c>
      <c r="H930" t="n">
        <v>0</v>
      </c>
      <c r="I930" t="n">
        <v>0</v>
      </c>
      <c r="J930" t="n">
        <v>0</v>
      </c>
      <c r="K930" t="n">
        <v>0</v>
      </c>
      <c r="L930" t="n">
        <v>0</v>
      </c>
      <c r="M930" t="n">
        <v>0</v>
      </c>
      <c r="N930" t="n">
        <v>0</v>
      </c>
      <c r="O930" t="n">
        <v>0</v>
      </c>
      <c r="P930" t="n">
        <v>0</v>
      </c>
      <c r="Q930" t="n">
        <v>0</v>
      </c>
      <c r="R930" s="2" t="inlineStr"/>
    </row>
    <row r="931" ht="15" customHeight="1">
      <c r="A931" t="inlineStr">
        <is>
          <t>A 32983-2025</t>
        </is>
      </c>
      <c r="B931" s="1" t="n">
        <v>45839.92967592592</v>
      </c>
      <c r="C931" s="1" t="n">
        <v>45989</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43608-2025</t>
        </is>
      </c>
      <c r="B932" s="1" t="n">
        <v>45911.67491898148</v>
      </c>
      <c r="C932" s="1" t="n">
        <v>45989</v>
      </c>
      <c r="D932" t="inlineStr">
        <is>
          <t>VÄRMLANDS LÄN</t>
        </is>
      </c>
      <c r="E932" t="inlineStr">
        <is>
          <t>TORSBY</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33196-2025</t>
        </is>
      </c>
      <c r="B933" s="1" t="n">
        <v>45840.60381944444</v>
      </c>
      <c r="C933" s="1" t="n">
        <v>45989</v>
      </c>
      <c r="D933" t="inlineStr">
        <is>
          <t>VÄRMLANDS LÄN</t>
        </is>
      </c>
      <c r="E933" t="inlineStr">
        <is>
          <t>TORSBY</t>
        </is>
      </c>
      <c r="G933" t="n">
        <v>4.3</v>
      </c>
      <c r="H933" t="n">
        <v>0</v>
      </c>
      <c r="I933" t="n">
        <v>0</v>
      </c>
      <c r="J933" t="n">
        <v>0</v>
      </c>
      <c r="K933" t="n">
        <v>0</v>
      </c>
      <c r="L933" t="n">
        <v>0</v>
      </c>
      <c r="M933" t="n">
        <v>0</v>
      </c>
      <c r="N933" t="n">
        <v>0</v>
      </c>
      <c r="O933" t="n">
        <v>0</v>
      </c>
      <c r="P933" t="n">
        <v>0</v>
      </c>
      <c r="Q933" t="n">
        <v>0</v>
      </c>
      <c r="R933" s="2" t="inlineStr"/>
    </row>
    <row r="934" ht="15" customHeight="1">
      <c r="A934" t="inlineStr">
        <is>
          <t>A 64432-2023</t>
        </is>
      </c>
      <c r="B934" s="1" t="n">
        <v>45280.67184027778</v>
      </c>
      <c r="C934" s="1" t="n">
        <v>45989</v>
      </c>
      <c r="D934" t="inlineStr">
        <is>
          <t>VÄRMLANDS LÄN</t>
        </is>
      </c>
      <c r="E934" t="inlineStr">
        <is>
          <t>TORSBY</t>
        </is>
      </c>
      <c r="G934" t="n">
        <v>3</v>
      </c>
      <c r="H934" t="n">
        <v>0</v>
      </c>
      <c r="I934" t="n">
        <v>0</v>
      </c>
      <c r="J934" t="n">
        <v>0</v>
      </c>
      <c r="K934" t="n">
        <v>0</v>
      </c>
      <c r="L934" t="n">
        <v>0</v>
      </c>
      <c r="M934" t="n">
        <v>0</v>
      </c>
      <c r="N934" t="n">
        <v>0</v>
      </c>
      <c r="O934" t="n">
        <v>0</v>
      </c>
      <c r="P934" t="n">
        <v>0</v>
      </c>
      <c r="Q934" t="n">
        <v>0</v>
      </c>
      <c r="R934" s="2" t="inlineStr"/>
    </row>
    <row r="935" ht="15" customHeight="1">
      <c r="A935" t="inlineStr">
        <is>
          <t>A 33189-2025</t>
        </is>
      </c>
      <c r="B935" s="1" t="n">
        <v>45840.59884259259</v>
      </c>
      <c r="C935" s="1" t="n">
        <v>45989</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33192-2025</t>
        </is>
      </c>
      <c r="B936" s="1" t="n">
        <v>45840.60081018518</v>
      </c>
      <c r="C936" s="1" t="n">
        <v>45989</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9900-2024</t>
        </is>
      </c>
      <c r="B937" s="1" t="n">
        <v>45363</v>
      </c>
      <c r="C937" s="1" t="n">
        <v>45989</v>
      </c>
      <c r="D937" t="inlineStr">
        <is>
          <t>VÄRMLANDS LÄN</t>
        </is>
      </c>
      <c r="E937" t="inlineStr">
        <is>
          <t>TORSBY</t>
        </is>
      </c>
      <c r="G937" t="n">
        <v>13.6</v>
      </c>
      <c r="H937" t="n">
        <v>0</v>
      </c>
      <c r="I937" t="n">
        <v>0</v>
      </c>
      <c r="J937" t="n">
        <v>0</v>
      </c>
      <c r="K937" t="n">
        <v>0</v>
      </c>
      <c r="L937" t="n">
        <v>0</v>
      </c>
      <c r="M937" t="n">
        <v>0</v>
      </c>
      <c r="N937" t="n">
        <v>0</v>
      </c>
      <c r="O937" t="n">
        <v>0</v>
      </c>
      <c r="P937" t="n">
        <v>0</v>
      </c>
      <c r="Q937" t="n">
        <v>0</v>
      </c>
      <c r="R937" s="2" t="inlineStr"/>
    </row>
    <row r="938" ht="15" customHeight="1">
      <c r="A938" t="inlineStr">
        <is>
          <t>A 18595-2025</t>
        </is>
      </c>
      <c r="B938" s="1" t="n">
        <v>45763</v>
      </c>
      <c r="C938" s="1" t="n">
        <v>45989</v>
      </c>
      <c r="D938" t="inlineStr">
        <is>
          <t>VÄRMLANDS LÄN</t>
        </is>
      </c>
      <c r="E938" t="inlineStr">
        <is>
          <t>TORSBY</t>
        </is>
      </c>
      <c r="F938" t="inlineStr">
        <is>
          <t>Kyrkan</t>
        </is>
      </c>
      <c r="G938" t="n">
        <v>7.9</v>
      </c>
      <c r="H938" t="n">
        <v>0</v>
      </c>
      <c r="I938" t="n">
        <v>0</v>
      </c>
      <c r="J938" t="n">
        <v>0</v>
      </c>
      <c r="K938" t="n">
        <v>0</v>
      </c>
      <c r="L938" t="n">
        <v>0</v>
      </c>
      <c r="M938" t="n">
        <v>0</v>
      </c>
      <c r="N938" t="n">
        <v>0</v>
      </c>
      <c r="O938" t="n">
        <v>0</v>
      </c>
      <c r="P938" t="n">
        <v>0</v>
      </c>
      <c r="Q938" t="n">
        <v>0</v>
      </c>
      <c r="R938" s="2" t="inlineStr"/>
    </row>
    <row r="939" ht="15" customHeight="1">
      <c r="A939" t="inlineStr">
        <is>
          <t>A 33161-2025</t>
        </is>
      </c>
      <c r="B939" s="1" t="n">
        <v>45840.56846064814</v>
      </c>
      <c r="C939" s="1" t="n">
        <v>45989</v>
      </c>
      <c r="D939" t="inlineStr">
        <is>
          <t>VÄRMLANDS LÄN</t>
        </is>
      </c>
      <c r="E939" t="inlineStr">
        <is>
          <t>TORSBY</t>
        </is>
      </c>
      <c r="G939" t="n">
        <v>0.6</v>
      </c>
      <c r="H939" t="n">
        <v>0</v>
      </c>
      <c r="I939" t="n">
        <v>0</v>
      </c>
      <c r="J939" t="n">
        <v>0</v>
      </c>
      <c r="K939" t="n">
        <v>0</v>
      </c>
      <c r="L939" t="n">
        <v>0</v>
      </c>
      <c r="M939" t="n">
        <v>0</v>
      </c>
      <c r="N939" t="n">
        <v>0</v>
      </c>
      <c r="O939" t="n">
        <v>0</v>
      </c>
      <c r="P939" t="n">
        <v>0</v>
      </c>
      <c r="Q939" t="n">
        <v>0</v>
      </c>
      <c r="R939" s="2" t="inlineStr"/>
    </row>
    <row r="940" ht="15" customHeight="1">
      <c r="A940" t="inlineStr">
        <is>
          <t>A 43831-2025</t>
        </is>
      </c>
      <c r="B940" s="1" t="n">
        <v>45912.62987268518</v>
      </c>
      <c r="C940" s="1" t="n">
        <v>45989</v>
      </c>
      <c r="D940" t="inlineStr">
        <is>
          <t>VÄRMLANDS LÄN</t>
        </is>
      </c>
      <c r="E940" t="inlineStr">
        <is>
          <t>TORSBY</t>
        </is>
      </c>
      <c r="F940" t="inlineStr">
        <is>
          <t>Bergvik skog väst AB</t>
        </is>
      </c>
      <c r="G940" t="n">
        <v>5.1</v>
      </c>
      <c r="H940" t="n">
        <v>0</v>
      </c>
      <c r="I940" t="n">
        <v>0</v>
      </c>
      <c r="J940" t="n">
        <v>0</v>
      </c>
      <c r="K940" t="n">
        <v>0</v>
      </c>
      <c r="L940" t="n">
        <v>0</v>
      </c>
      <c r="M940" t="n">
        <v>0</v>
      </c>
      <c r="N940" t="n">
        <v>0</v>
      </c>
      <c r="O940" t="n">
        <v>0</v>
      </c>
      <c r="P940" t="n">
        <v>0</v>
      </c>
      <c r="Q940" t="n">
        <v>0</v>
      </c>
      <c r="R940" s="2" t="inlineStr"/>
    </row>
    <row r="941" ht="15" customHeight="1">
      <c r="A941" t="inlineStr">
        <is>
          <t>A 52489-2025</t>
        </is>
      </c>
      <c r="B941" s="1" t="n">
        <v>45954.48056712963</v>
      </c>
      <c r="C941" s="1" t="n">
        <v>45989</v>
      </c>
      <c r="D941" t="inlineStr">
        <is>
          <t>VÄRMLANDS LÄN</t>
        </is>
      </c>
      <c r="E941" t="inlineStr">
        <is>
          <t>TORSBY</t>
        </is>
      </c>
      <c r="F941" t="inlineStr">
        <is>
          <t>Bergvik skog väst AB</t>
        </is>
      </c>
      <c r="G941" t="n">
        <v>7.8</v>
      </c>
      <c r="H941" t="n">
        <v>0</v>
      </c>
      <c r="I941" t="n">
        <v>0</v>
      </c>
      <c r="J941" t="n">
        <v>0</v>
      </c>
      <c r="K941" t="n">
        <v>0</v>
      </c>
      <c r="L941" t="n">
        <v>0</v>
      </c>
      <c r="M941" t="n">
        <v>0</v>
      </c>
      <c r="N941" t="n">
        <v>0</v>
      </c>
      <c r="O941" t="n">
        <v>0</v>
      </c>
      <c r="P941" t="n">
        <v>0</v>
      </c>
      <c r="Q941" t="n">
        <v>0</v>
      </c>
      <c r="R941" s="2" t="inlineStr"/>
    </row>
    <row r="942" ht="15" customHeight="1">
      <c r="A942" t="inlineStr">
        <is>
          <t>A 32995-2025</t>
        </is>
      </c>
      <c r="B942" s="1" t="n">
        <v>45839</v>
      </c>
      <c r="C942" s="1" t="n">
        <v>45989</v>
      </c>
      <c r="D942" t="inlineStr">
        <is>
          <t>VÄRMLANDS LÄN</t>
        </is>
      </c>
      <c r="E942" t="inlineStr">
        <is>
          <t>TORSBY</t>
        </is>
      </c>
      <c r="G942" t="n">
        <v>5.5</v>
      </c>
      <c r="H942" t="n">
        <v>0</v>
      </c>
      <c r="I942" t="n">
        <v>0</v>
      </c>
      <c r="J942" t="n">
        <v>0</v>
      </c>
      <c r="K942" t="n">
        <v>0</v>
      </c>
      <c r="L942" t="n">
        <v>0</v>
      </c>
      <c r="M942" t="n">
        <v>0</v>
      </c>
      <c r="N942" t="n">
        <v>0</v>
      </c>
      <c r="O942" t="n">
        <v>0</v>
      </c>
      <c r="P942" t="n">
        <v>0</v>
      </c>
      <c r="Q942" t="n">
        <v>0</v>
      </c>
      <c r="R942" s="2" t="inlineStr"/>
    </row>
    <row r="943" ht="15" customHeight="1">
      <c r="A943" t="inlineStr">
        <is>
          <t>A 52931-2025</t>
        </is>
      </c>
      <c r="B943" s="1" t="n">
        <v>45957.62225694444</v>
      </c>
      <c r="C943" s="1" t="n">
        <v>45989</v>
      </c>
      <c r="D943" t="inlineStr">
        <is>
          <t>VÄRMLANDS LÄN</t>
        </is>
      </c>
      <c r="E943" t="inlineStr">
        <is>
          <t>TORSBY</t>
        </is>
      </c>
      <c r="G943" t="n">
        <v>3.6</v>
      </c>
      <c r="H943" t="n">
        <v>0</v>
      </c>
      <c r="I943" t="n">
        <v>0</v>
      </c>
      <c r="J943" t="n">
        <v>0</v>
      </c>
      <c r="K943" t="n">
        <v>0</v>
      </c>
      <c r="L943" t="n">
        <v>0</v>
      </c>
      <c r="M943" t="n">
        <v>0</v>
      </c>
      <c r="N943" t="n">
        <v>0</v>
      </c>
      <c r="O943" t="n">
        <v>0</v>
      </c>
      <c r="P943" t="n">
        <v>0</v>
      </c>
      <c r="Q943" t="n">
        <v>0</v>
      </c>
      <c r="R943" s="2" t="inlineStr"/>
    </row>
    <row r="944" ht="15" customHeight="1">
      <c r="A944" t="inlineStr">
        <is>
          <t>A 32710-2025</t>
        </is>
      </c>
      <c r="B944" s="1" t="n">
        <v>45839.36722222222</v>
      </c>
      <c r="C944" s="1" t="n">
        <v>45989</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12574-2025</t>
        </is>
      </c>
      <c r="B945" s="1" t="n">
        <v>45732</v>
      </c>
      <c r="C945" s="1" t="n">
        <v>45989</v>
      </c>
      <c r="D945" t="inlineStr">
        <is>
          <t>VÄRMLANDS LÄN</t>
        </is>
      </c>
      <c r="E945" t="inlineStr">
        <is>
          <t>TORSBY</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52891-2025</t>
        </is>
      </c>
      <c r="B946" s="1" t="n">
        <v>45957.57776620371</v>
      </c>
      <c r="C946" s="1" t="n">
        <v>45989</v>
      </c>
      <c r="D946" t="inlineStr">
        <is>
          <t>VÄRMLANDS LÄN</t>
        </is>
      </c>
      <c r="E946" t="inlineStr">
        <is>
          <t>TORSBY</t>
        </is>
      </c>
      <c r="G946" t="n">
        <v>5.3</v>
      </c>
      <c r="H946" t="n">
        <v>0</v>
      </c>
      <c r="I946" t="n">
        <v>0</v>
      </c>
      <c r="J946" t="n">
        <v>0</v>
      </c>
      <c r="K946" t="n">
        <v>0</v>
      </c>
      <c r="L946" t="n">
        <v>0</v>
      </c>
      <c r="M946" t="n">
        <v>0</v>
      </c>
      <c r="N946" t="n">
        <v>0</v>
      </c>
      <c r="O946" t="n">
        <v>0</v>
      </c>
      <c r="P946" t="n">
        <v>0</v>
      </c>
      <c r="Q946" t="n">
        <v>0</v>
      </c>
      <c r="R946" s="2" t="inlineStr"/>
    </row>
    <row r="947" ht="15" customHeight="1">
      <c r="A947" t="inlineStr">
        <is>
          <t>A 44233-2025</t>
        </is>
      </c>
      <c r="B947" s="1" t="n">
        <v>45915.65515046296</v>
      </c>
      <c r="C947" s="1" t="n">
        <v>45989</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52358-2025</t>
        </is>
      </c>
      <c r="B948" s="1" t="n">
        <v>45952</v>
      </c>
      <c r="C948" s="1" t="n">
        <v>45989</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52947-2025</t>
        </is>
      </c>
      <c r="B949" s="1" t="n">
        <v>45954</v>
      </c>
      <c r="C949" s="1" t="n">
        <v>45989</v>
      </c>
      <c r="D949" t="inlineStr">
        <is>
          <t>VÄRMLANDS LÄN</t>
        </is>
      </c>
      <c r="E949" t="inlineStr">
        <is>
          <t>TORSBY</t>
        </is>
      </c>
      <c r="G949" t="n">
        <v>2.7</v>
      </c>
      <c r="H949" t="n">
        <v>0</v>
      </c>
      <c r="I949" t="n">
        <v>0</v>
      </c>
      <c r="J949" t="n">
        <v>0</v>
      </c>
      <c r="K949" t="n">
        <v>0</v>
      </c>
      <c r="L949" t="n">
        <v>0</v>
      </c>
      <c r="M949" t="n">
        <v>0</v>
      </c>
      <c r="N949" t="n">
        <v>0</v>
      </c>
      <c r="O949" t="n">
        <v>0</v>
      </c>
      <c r="P949" t="n">
        <v>0</v>
      </c>
      <c r="Q949" t="n">
        <v>0</v>
      </c>
      <c r="R949" s="2" t="inlineStr"/>
    </row>
    <row r="950" ht="15" customHeight="1">
      <c r="A950" t="inlineStr">
        <is>
          <t>A 53014-2025</t>
        </is>
      </c>
      <c r="B950" s="1" t="n">
        <v>45957.81865740741</v>
      </c>
      <c r="C950" s="1" t="n">
        <v>45989</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52772-2025</t>
        </is>
      </c>
      <c r="B951" s="1" t="n">
        <v>45957.41255787037</v>
      </c>
      <c r="C951" s="1" t="n">
        <v>45989</v>
      </c>
      <c r="D951" t="inlineStr">
        <is>
          <t>VÄRMLANDS LÄN</t>
        </is>
      </c>
      <c r="E951" t="inlineStr">
        <is>
          <t>TORSBY</t>
        </is>
      </c>
      <c r="G951" t="n">
        <v>3.5</v>
      </c>
      <c r="H951" t="n">
        <v>0</v>
      </c>
      <c r="I951" t="n">
        <v>0</v>
      </c>
      <c r="J951" t="n">
        <v>0</v>
      </c>
      <c r="K951" t="n">
        <v>0</v>
      </c>
      <c r="L951" t="n">
        <v>0</v>
      </c>
      <c r="M951" t="n">
        <v>0</v>
      </c>
      <c r="N951" t="n">
        <v>0</v>
      </c>
      <c r="O951" t="n">
        <v>0</v>
      </c>
      <c r="P951" t="n">
        <v>0</v>
      </c>
      <c r="Q951" t="n">
        <v>0</v>
      </c>
      <c r="R951" s="2" t="inlineStr"/>
    </row>
    <row r="952" ht="15" customHeight="1">
      <c r="A952" t="inlineStr">
        <is>
          <t>A 52774-2025</t>
        </is>
      </c>
      <c r="B952" s="1" t="n">
        <v>45957.41480324074</v>
      </c>
      <c r="C952" s="1" t="n">
        <v>45989</v>
      </c>
      <c r="D952" t="inlineStr">
        <is>
          <t>VÄRMLANDS LÄN</t>
        </is>
      </c>
      <c r="E952" t="inlineStr">
        <is>
          <t>TORSBY</t>
        </is>
      </c>
      <c r="G952" t="n">
        <v>3.1</v>
      </c>
      <c r="H952" t="n">
        <v>0</v>
      </c>
      <c r="I952" t="n">
        <v>0</v>
      </c>
      <c r="J952" t="n">
        <v>0</v>
      </c>
      <c r="K952" t="n">
        <v>0</v>
      </c>
      <c r="L952" t="n">
        <v>0</v>
      </c>
      <c r="M952" t="n">
        <v>0</v>
      </c>
      <c r="N952" t="n">
        <v>0</v>
      </c>
      <c r="O952" t="n">
        <v>0</v>
      </c>
      <c r="P952" t="n">
        <v>0</v>
      </c>
      <c r="Q952" t="n">
        <v>0</v>
      </c>
      <c r="R952" s="2" t="inlineStr"/>
    </row>
    <row r="953" ht="15" customHeight="1">
      <c r="A953" t="inlineStr">
        <is>
          <t>A 52847-2025</t>
        </is>
      </c>
      <c r="B953" s="1" t="n">
        <v>45957.48972222222</v>
      </c>
      <c r="C953" s="1" t="n">
        <v>45989</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52852-2025</t>
        </is>
      </c>
      <c r="B954" s="1" t="n">
        <v>45957.49319444445</v>
      </c>
      <c r="C954" s="1" t="n">
        <v>45989</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44141-2025</t>
        </is>
      </c>
      <c r="B955" s="1" t="n">
        <v>45915</v>
      </c>
      <c r="C955" s="1" t="n">
        <v>45989</v>
      </c>
      <c r="D955" t="inlineStr">
        <is>
          <t>VÄRMLANDS LÄN</t>
        </is>
      </c>
      <c r="E955" t="inlineStr">
        <is>
          <t>TORSBY</t>
        </is>
      </c>
      <c r="F955" t="inlineStr">
        <is>
          <t>Kyrkan</t>
        </is>
      </c>
      <c r="G955" t="n">
        <v>2.4</v>
      </c>
      <c r="H955" t="n">
        <v>0</v>
      </c>
      <c r="I955" t="n">
        <v>0</v>
      </c>
      <c r="J955" t="n">
        <v>0</v>
      </c>
      <c r="K955" t="n">
        <v>0</v>
      </c>
      <c r="L955" t="n">
        <v>0</v>
      </c>
      <c r="M955" t="n">
        <v>0</v>
      </c>
      <c r="N955" t="n">
        <v>0</v>
      </c>
      <c r="O955" t="n">
        <v>0</v>
      </c>
      <c r="P955" t="n">
        <v>0</v>
      </c>
      <c r="Q955" t="n">
        <v>0</v>
      </c>
      <c r="R955" s="2" t="inlineStr"/>
    </row>
    <row r="956" ht="15" customHeight="1">
      <c r="A956" t="inlineStr">
        <is>
          <t>A 53266-2025</t>
        </is>
      </c>
      <c r="B956" s="1" t="n">
        <v>45958.6834837963</v>
      </c>
      <c r="C956" s="1" t="n">
        <v>45989</v>
      </c>
      <c r="D956" t="inlineStr">
        <is>
          <t>VÄRMLANDS LÄN</t>
        </is>
      </c>
      <c r="E956" t="inlineStr">
        <is>
          <t>TORSBY</t>
        </is>
      </c>
      <c r="G956" t="n">
        <v>2.4</v>
      </c>
      <c r="H956" t="n">
        <v>0</v>
      </c>
      <c r="I956" t="n">
        <v>0</v>
      </c>
      <c r="J956" t="n">
        <v>0</v>
      </c>
      <c r="K956" t="n">
        <v>0</v>
      </c>
      <c r="L956" t="n">
        <v>0</v>
      </c>
      <c r="M956" t="n">
        <v>0</v>
      </c>
      <c r="N956" t="n">
        <v>0</v>
      </c>
      <c r="O956" t="n">
        <v>0</v>
      </c>
      <c r="P956" t="n">
        <v>0</v>
      </c>
      <c r="Q956" t="n">
        <v>0</v>
      </c>
      <c r="R956" s="2" t="inlineStr"/>
    </row>
    <row r="957" ht="15" customHeight="1">
      <c r="A957" t="inlineStr">
        <is>
          <t>A 63177-2023</t>
        </is>
      </c>
      <c r="B957" s="1" t="n">
        <v>45272</v>
      </c>
      <c r="C957" s="1" t="n">
        <v>45989</v>
      </c>
      <c r="D957" t="inlineStr">
        <is>
          <t>VÄRMLANDS LÄN</t>
        </is>
      </c>
      <c r="E957" t="inlineStr">
        <is>
          <t>TORSBY</t>
        </is>
      </c>
      <c r="G957" t="n">
        <v>14.9</v>
      </c>
      <c r="H957" t="n">
        <v>0</v>
      </c>
      <c r="I957" t="n">
        <v>0</v>
      </c>
      <c r="J957" t="n">
        <v>0</v>
      </c>
      <c r="K957" t="n">
        <v>0</v>
      </c>
      <c r="L957" t="n">
        <v>0</v>
      </c>
      <c r="M957" t="n">
        <v>0</v>
      </c>
      <c r="N957" t="n">
        <v>0</v>
      </c>
      <c r="O957" t="n">
        <v>0</v>
      </c>
      <c r="P957" t="n">
        <v>0</v>
      </c>
      <c r="Q957" t="n">
        <v>0</v>
      </c>
      <c r="R957" s="2" t="inlineStr"/>
    </row>
    <row r="958" ht="15" customHeight="1">
      <c r="A958" t="inlineStr">
        <is>
          <t>A 63266-2023</t>
        </is>
      </c>
      <c r="B958" s="1" t="n">
        <v>45273.741875</v>
      </c>
      <c r="C958" s="1" t="n">
        <v>45989</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44507-2025</t>
        </is>
      </c>
      <c r="B959" s="1" t="n">
        <v>45916</v>
      </c>
      <c r="C959" s="1" t="n">
        <v>45989</v>
      </c>
      <c r="D959" t="inlineStr">
        <is>
          <t>VÄRMLANDS LÄN</t>
        </is>
      </c>
      <c r="E959" t="inlineStr">
        <is>
          <t>TORSBY</t>
        </is>
      </c>
      <c r="F959" t="inlineStr">
        <is>
          <t>Bergvik skog väst AB</t>
        </is>
      </c>
      <c r="G959" t="n">
        <v>10.9</v>
      </c>
      <c r="H959" t="n">
        <v>0</v>
      </c>
      <c r="I959" t="n">
        <v>0</v>
      </c>
      <c r="J959" t="n">
        <v>0</v>
      </c>
      <c r="K959" t="n">
        <v>0</v>
      </c>
      <c r="L959" t="n">
        <v>0</v>
      </c>
      <c r="M959" t="n">
        <v>0</v>
      </c>
      <c r="N959" t="n">
        <v>0</v>
      </c>
      <c r="O959" t="n">
        <v>0</v>
      </c>
      <c r="P959" t="n">
        <v>0</v>
      </c>
      <c r="Q959" t="n">
        <v>0</v>
      </c>
      <c r="R959" s="2" t="inlineStr"/>
    </row>
    <row r="960" ht="15" customHeight="1">
      <c r="A960" t="inlineStr">
        <is>
          <t>A 52364-2025</t>
        </is>
      </c>
      <c r="B960" s="1" t="n">
        <v>45952</v>
      </c>
      <c r="C960" s="1" t="n">
        <v>45989</v>
      </c>
      <c r="D960" t="inlineStr">
        <is>
          <t>VÄRMLANDS LÄN</t>
        </is>
      </c>
      <c r="E960" t="inlineStr">
        <is>
          <t>TORSBY</t>
        </is>
      </c>
      <c r="G960" t="n">
        <v>5.5</v>
      </c>
      <c r="H960" t="n">
        <v>0</v>
      </c>
      <c r="I960" t="n">
        <v>0</v>
      </c>
      <c r="J960" t="n">
        <v>0</v>
      </c>
      <c r="K960" t="n">
        <v>0</v>
      </c>
      <c r="L960" t="n">
        <v>0</v>
      </c>
      <c r="M960" t="n">
        <v>0</v>
      </c>
      <c r="N960" t="n">
        <v>0</v>
      </c>
      <c r="O960" t="n">
        <v>0</v>
      </c>
      <c r="P960" t="n">
        <v>0</v>
      </c>
      <c r="Q960" t="n">
        <v>0</v>
      </c>
      <c r="R960" s="2" t="inlineStr"/>
    </row>
    <row r="961" ht="15" customHeight="1">
      <c r="A961" t="inlineStr">
        <is>
          <t>A 52747-2025</t>
        </is>
      </c>
      <c r="B961" s="1" t="n">
        <v>45957.38515046296</v>
      </c>
      <c r="C961" s="1" t="n">
        <v>45989</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52918-2025</t>
        </is>
      </c>
      <c r="B962" s="1" t="n">
        <v>45957.6122337963</v>
      </c>
      <c r="C962" s="1" t="n">
        <v>45989</v>
      </c>
      <c r="D962" t="inlineStr">
        <is>
          <t>VÄRMLANDS LÄN</t>
        </is>
      </c>
      <c r="E962" t="inlineStr">
        <is>
          <t>TORSBY</t>
        </is>
      </c>
      <c r="F962" t="inlineStr">
        <is>
          <t>Bergvik skog väst AB</t>
        </is>
      </c>
      <c r="G962" t="n">
        <v>13.1</v>
      </c>
      <c r="H962" t="n">
        <v>0</v>
      </c>
      <c r="I962" t="n">
        <v>0</v>
      </c>
      <c r="J962" t="n">
        <v>0</v>
      </c>
      <c r="K962" t="n">
        <v>0</v>
      </c>
      <c r="L962" t="n">
        <v>0</v>
      </c>
      <c r="M962" t="n">
        <v>0</v>
      </c>
      <c r="N962" t="n">
        <v>0</v>
      </c>
      <c r="O962" t="n">
        <v>0</v>
      </c>
      <c r="P962" t="n">
        <v>0</v>
      </c>
      <c r="Q962" t="n">
        <v>0</v>
      </c>
      <c r="R962" s="2" t="inlineStr"/>
    </row>
    <row r="963" ht="15" customHeight="1">
      <c r="A963" t="inlineStr">
        <is>
          <t>A 33712-2025</t>
        </is>
      </c>
      <c r="B963" s="1" t="n">
        <v>45841</v>
      </c>
      <c r="C963" s="1" t="n">
        <v>45989</v>
      </c>
      <c r="D963" t="inlineStr">
        <is>
          <t>VÄRMLANDS LÄN</t>
        </is>
      </c>
      <c r="E963" t="inlineStr">
        <is>
          <t>TORSBY</t>
        </is>
      </c>
      <c r="F963" t="inlineStr">
        <is>
          <t>Bergvik skog väst AB</t>
        </is>
      </c>
      <c r="G963" t="n">
        <v>10.3</v>
      </c>
      <c r="H963" t="n">
        <v>0</v>
      </c>
      <c r="I963" t="n">
        <v>0</v>
      </c>
      <c r="J963" t="n">
        <v>0</v>
      </c>
      <c r="K963" t="n">
        <v>0</v>
      </c>
      <c r="L963" t="n">
        <v>0</v>
      </c>
      <c r="M963" t="n">
        <v>0</v>
      </c>
      <c r="N963" t="n">
        <v>0</v>
      </c>
      <c r="O963" t="n">
        <v>0</v>
      </c>
      <c r="P963" t="n">
        <v>0</v>
      </c>
      <c r="Q963" t="n">
        <v>0</v>
      </c>
      <c r="R963" s="2" t="inlineStr"/>
    </row>
    <row r="964" ht="15" customHeight="1">
      <c r="A964" t="inlineStr">
        <is>
          <t>A 33897-2025</t>
        </is>
      </c>
      <c r="B964" s="1" t="n">
        <v>45842</v>
      </c>
      <c r="C964" s="1" t="n">
        <v>45989</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53272-2025</t>
        </is>
      </c>
      <c r="B965" s="1" t="n">
        <v>45958.71019675926</v>
      </c>
      <c r="C965" s="1" t="n">
        <v>45989</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52796-2025</t>
        </is>
      </c>
      <c r="B966" s="1" t="n">
        <v>45957.43682870371</v>
      </c>
      <c r="C966" s="1" t="n">
        <v>45989</v>
      </c>
      <c r="D966" t="inlineStr">
        <is>
          <t>VÄRMLANDS LÄN</t>
        </is>
      </c>
      <c r="E966" t="inlineStr">
        <is>
          <t>TORSBY</t>
        </is>
      </c>
      <c r="G966" t="n">
        <v>17.7</v>
      </c>
      <c r="H966" t="n">
        <v>0</v>
      </c>
      <c r="I966" t="n">
        <v>0</v>
      </c>
      <c r="J966" t="n">
        <v>0</v>
      </c>
      <c r="K966" t="n">
        <v>0</v>
      </c>
      <c r="L966" t="n">
        <v>0</v>
      </c>
      <c r="M966" t="n">
        <v>0</v>
      </c>
      <c r="N966" t="n">
        <v>0</v>
      </c>
      <c r="O966" t="n">
        <v>0</v>
      </c>
      <c r="P966" t="n">
        <v>0</v>
      </c>
      <c r="Q966" t="n">
        <v>0</v>
      </c>
      <c r="R966" s="2" t="inlineStr"/>
    </row>
    <row r="967" ht="15" customHeight="1">
      <c r="A967" t="inlineStr">
        <is>
          <t>A 52822-2025</t>
        </is>
      </c>
      <c r="B967" s="1" t="n">
        <v>45957.45693287037</v>
      </c>
      <c r="C967" s="1" t="n">
        <v>45989</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52762-2025</t>
        </is>
      </c>
      <c r="B968" s="1" t="n">
        <v>45957.39813657408</v>
      </c>
      <c r="C968" s="1" t="n">
        <v>45989</v>
      </c>
      <c r="D968" t="inlineStr">
        <is>
          <t>VÄRMLANDS LÄN</t>
        </is>
      </c>
      <c r="E968" t="inlineStr">
        <is>
          <t>TORSBY</t>
        </is>
      </c>
      <c r="G968" t="n">
        <v>8.9</v>
      </c>
      <c r="H968" t="n">
        <v>0</v>
      </c>
      <c r="I968" t="n">
        <v>0</v>
      </c>
      <c r="J968" t="n">
        <v>0</v>
      </c>
      <c r="K968" t="n">
        <v>0</v>
      </c>
      <c r="L968" t="n">
        <v>0</v>
      </c>
      <c r="M968" t="n">
        <v>0</v>
      </c>
      <c r="N968" t="n">
        <v>0</v>
      </c>
      <c r="O968" t="n">
        <v>0</v>
      </c>
      <c r="P968" t="n">
        <v>0</v>
      </c>
      <c r="Q968" t="n">
        <v>0</v>
      </c>
      <c r="R968" s="2" t="inlineStr"/>
    </row>
    <row r="969" ht="15" customHeight="1">
      <c r="A969" t="inlineStr">
        <is>
          <t>A 52994-2025</t>
        </is>
      </c>
      <c r="B969" s="1" t="n">
        <v>45957.72753472222</v>
      </c>
      <c r="C969" s="1" t="n">
        <v>45989</v>
      </c>
      <c r="D969" t="inlineStr">
        <is>
          <t>VÄRMLANDS LÄN</t>
        </is>
      </c>
      <c r="E969" t="inlineStr">
        <is>
          <t>TORSBY</t>
        </is>
      </c>
      <c r="G969" t="n">
        <v>6.5</v>
      </c>
      <c r="H969" t="n">
        <v>0</v>
      </c>
      <c r="I969" t="n">
        <v>0</v>
      </c>
      <c r="J969" t="n">
        <v>0</v>
      </c>
      <c r="K969" t="n">
        <v>0</v>
      </c>
      <c r="L969" t="n">
        <v>0</v>
      </c>
      <c r="M969" t="n">
        <v>0</v>
      </c>
      <c r="N969" t="n">
        <v>0</v>
      </c>
      <c r="O969" t="n">
        <v>0</v>
      </c>
      <c r="P969" t="n">
        <v>0</v>
      </c>
      <c r="Q969" t="n">
        <v>0</v>
      </c>
      <c r="R969" s="2" t="inlineStr"/>
    </row>
    <row r="970" ht="15" customHeight="1">
      <c r="A970" t="inlineStr">
        <is>
          <t>A 1040-2024</t>
        </is>
      </c>
      <c r="B970" s="1" t="n">
        <v>45301</v>
      </c>
      <c r="C970" s="1" t="n">
        <v>45989</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44273-2025</t>
        </is>
      </c>
      <c r="B971" s="1" t="n">
        <v>45916</v>
      </c>
      <c r="C971" s="1" t="n">
        <v>45989</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33567-2025</t>
        </is>
      </c>
      <c r="B972" s="1" t="n">
        <v>45841.58232638889</v>
      </c>
      <c r="C972" s="1" t="n">
        <v>45989</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56716-2023</t>
        </is>
      </c>
      <c r="B973" s="1" t="n">
        <v>45238</v>
      </c>
      <c r="C973" s="1" t="n">
        <v>45989</v>
      </c>
      <c r="D973" t="inlineStr">
        <is>
          <t>VÄRMLANDS LÄN</t>
        </is>
      </c>
      <c r="E973" t="inlineStr">
        <is>
          <t>TORSBY</t>
        </is>
      </c>
      <c r="G973" t="n">
        <v>2.9</v>
      </c>
      <c r="H973" t="n">
        <v>0</v>
      </c>
      <c r="I973" t="n">
        <v>0</v>
      </c>
      <c r="J973" t="n">
        <v>0</v>
      </c>
      <c r="K973" t="n">
        <v>0</v>
      </c>
      <c r="L973" t="n">
        <v>0</v>
      </c>
      <c r="M973" t="n">
        <v>0</v>
      </c>
      <c r="N973" t="n">
        <v>0</v>
      </c>
      <c r="O973" t="n">
        <v>0</v>
      </c>
      <c r="P973" t="n">
        <v>0</v>
      </c>
      <c r="Q973" t="n">
        <v>0</v>
      </c>
      <c r="R973" s="2" t="inlineStr"/>
    </row>
    <row r="974" ht="15" customHeight="1">
      <c r="A974" t="inlineStr">
        <is>
          <t>A 31547-2023</t>
        </is>
      </c>
      <c r="B974" s="1" t="n">
        <v>45117</v>
      </c>
      <c r="C974" s="1" t="n">
        <v>45989</v>
      </c>
      <c r="D974" t="inlineStr">
        <is>
          <t>VÄRMLANDS LÄN</t>
        </is>
      </c>
      <c r="E974" t="inlineStr">
        <is>
          <t>TORSBY</t>
        </is>
      </c>
      <c r="G974" t="n">
        <v>2.8</v>
      </c>
      <c r="H974" t="n">
        <v>0</v>
      </c>
      <c r="I974" t="n">
        <v>0</v>
      </c>
      <c r="J974" t="n">
        <v>0</v>
      </c>
      <c r="K974" t="n">
        <v>0</v>
      </c>
      <c r="L974" t="n">
        <v>0</v>
      </c>
      <c r="M974" t="n">
        <v>0</v>
      </c>
      <c r="N974" t="n">
        <v>0</v>
      </c>
      <c r="O974" t="n">
        <v>0</v>
      </c>
      <c r="P974" t="n">
        <v>0</v>
      </c>
      <c r="Q974" t="n">
        <v>0</v>
      </c>
      <c r="R974" s="2" t="inlineStr"/>
    </row>
    <row r="975" ht="15" customHeight="1">
      <c r="A975" t="inlineStr">
        <is>
          <t>A 53107-2025</t>
        </is>
      </c>
      <c r="B975" s="1" t="n">
        <v>45958.43576388889</v>
      </c>
      <c r="C975" s="1" t="n">
        <v>45989</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8018-2025</t>
        </is>
      </c>
      <c r="B976" s="1" t="n">
        <v>45707</v>
      </c>
      <c r="C976" s="1" t="n">
        <v>45989</v>
      </c>
      <c r="D976" t="inlineStr">
        <is>
          <t>VÄRMLANDS LÄN</t>
        </is>
      </c>
      <c r="E976" t="inlineStr">
        <is>
          <t>TORSBY</t>
        </is>
      </c>
      <c r="G976" t="n">
        <v>22.6</v>
      </c>
      <c r="H976" t="n">
        <v>0</v>
      </c>
      <c r="I976" t="n">
        <v>0</v>
      </c>
      <c r="J976" t="n">
        <v>0</v>
      </c>
      <c r="K976" t="n">
        <v>0</v>
      </c>
      <c r="L976" t="n">
        <v>0</v>
      </c>
      <c r="M976" t="n">
        <v>0</v>
      </c>
      <c r="N976" t="n">
        <v>0</v>
      </c>
      <c r="O976" t="n">
        <v>0</v>
      </c>
      <c r="P976" t="n">
        <v>0</v>
      </c>
      <c r="Q976" t="n">
        <v>0</v>
      </c>
      <c r="R976" s="2" t="inlineStr"/>
    </row>
    <row r="977" ht="15" customHeight="1">
      <c r="A977" t="inlineStr">
        <is>
          <t>A 44288-2025</t>
        </is>
      </c>
      <c r="B977" s="1" t="n">
        <v>45916.3500462963</v>
      </c>
      <c r="C977" s="1" t="n">
        <v>45989</v>
      </c>
      <c r="D977" t="inlineStr">
        <is>
          <t>VÄRMLANDS LÄN</t>
        </is>
      </c>
      <c r="E977" t="inlineStr">
        <is>
          <t>TORSBY</t>
        </is>
      </c>
      <c r="G977" t="n">
        <v>3.2</v>
      </c>
      <c r="H977" t="n">
        <v>0</v>
      </c>
      <c r="I977" t="n">
        <v>0</v>
      </c>
      <c r="J977" t="n">
        <v>0</v>
      </c>
      <c r="K977" t="n">
        <v>0</v>
      </c>
      <c r="L977" t="n">
        <v>0</v>
      </c>
      <c r="M977" t="n">
        <v>0</v>
      </c>
      <c r="N977" t="n">
        <v>0</v>
      </c>
      <c r="O977" t="n">
        <v>0</v>
      </c>
      <c r="P977" t="n">
        <v>0</v>
      </c>
      <c r="Q977" t="n">
        <v>0</v>
      </c>
      <c r="R977" s="2" t="inlineStr"/>
    </row>
    <row r="978" ht="15" customHeight="1">
      <c r="A978" t="inlineStr">
        <is>
          <t>A 14945-2023</t>
        </is>
      </c>
      <c r="B978" s="1" t="n">
        <v>45014</v>
      </c>
      <c r="C978" s="1" t="n">
        <v>45989</v>
      </c>
      <c r="D978" t="inlineStr">
        <is>
          <t>VÄRMLANDS LÄN</t>
        </is>
      </c>
      <c r="E978" t="inlineStr">
        <is>
          <t>TORSBY</t>
        </is>
      </c>
      <c r="G978" t="n">
        <v>6.5</v>
      </c>
      <c r="H978" t="n">
        <v>0</v>
      </c>
      <c r="I978" t="n">
        <v>0</v>
      </c>
      <c r="J978" t="n">
        <v>0</v>
      </c>
      <c r="K978" t="n">
        <v>0</v>
      </c>
      <c r="L978" t="n">
        <v>0</v>
      </c>
      <c r="M978" t="n">
        <v>0</v>
      </c>
      <c r="N978" t="n">
        <v>0</v>
      </c>
      <c r="O978" t="n">
        <v>0</v>
      </c>
      <c r="P978" t="n">
        <v>0</v>
      </c>
      <c r="Q978" t="n">
        <v>0</v>
      </c>
      <c r="R978" s="2" t="inlineStr"/>
    </row>
    <row r="979" ht="15" customHeight="1">
      <c r="A979" t="inlineStr">
        <is>
          <t>A 53165-2025</t>
        </is>
      </c>
      <c r="B979" s="1" t="n">
        <v>45958.50232638889</v>
      </c>
      <c r="C979" s="1" t="n">
        <v>45989</v>
      </c>
      <c r="D979" t="inlineStr">
        <is>
          <t>VÄRMLANDS LÄN</t>
        </is>
      </c>
      <c r="E979" t="inlineStr">
        <is>
          <t>TORSBY</t>
        </is>
      </c>
      <c r="F979" t="inlineStr">
        <is>
          <t>Bergvik skog väst AB</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34355-2025</t>
        </is>
      </c>
      <c r="B980" s="1" t="n">
        <v>45846.48114583334</v>
      </c>
      <c r="C980" s="1" t="n">
        <v>45989</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34358-2025</t>
        </is>
      </c>
      <c r="B981" s="1" t="n">
        <v>45846.48637731482</v>
      </c>
      <c r="C981" s="1" t="n">
        <v>45989</v>
      </c>
      <c r="D981" t="inlineStr">
        <is>
          <t>VÄRMLANDS LÄN</t>
        </is>
      </c>
      <c r="E981" t="inlineStr">
        <is>
          <t>TORSBY</t>
        </is>
      </c>
      <c r="G981" t="n">
        <v>5.3</v>
      </c>
      <c r="H981" t="n">
        <v>0</v>
      </c>
      <c r="I981" t="n">
        <v>0</v>
      </c>
      <c r="J981" t="n">
        <v>0</v>
      </c>
      <c r="K981" t="n">
        <v>0</v>
      </c>
      <c r="L981" t="n">
        <v>0</v>
      </c>
      <c r="M981" t="n">
        <v>0</v>
      </c>
      <c r="N981" t="n">
        <v>0</v>
      </c>
      <c r="O981" t="n">
        <v>0</v>
      </c>
      <c r="P981" t="n">
        <v>0</v>
      </c>
      <c r="Q981" t="n">
        <v>0</v>
      </c>
      <c r="R981" s="2" t="inlineStr"/>
    </row>
    <row r="982" ht="15" customHeight="1">
      <c r="A982" t="inlineStr">
        <is>
          <t>A 52787-2025</t>
        </is>
      </c>
      <c r="B982" s="1" t="n">
        <v>45957.42736111111</v>
      </c>
      <c r="C982" s="1" t="n">
        <v>45989</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34398-2025</t>
        </is>
      </c>
      <c r="B983" s="1" t="n">
        <v>45846.60688657407</v>
      </c>
      <c r="C983" s="1" t="n">
        <v>45989</v>
      </c>
      <c r="D983" t="inlineStr">
        <is>
          <t>VÄRMLANDS LÄN</t>
        </is>
      </c>
      <c r="E983" t="inlineStr">
        <is>
          <t>TORSBY</t>
        </is>
      </c>
      <c r="F983" t="inlineStr">
        <is>
          <t>Bergvik skog väst AB</t>
        </is>
      </c>
      <c r="G983" t="n">
        <v>22.3</v>
      </c>
      <c r="H983" t="n">
        <v>0</v>
      </c>
      <c r="I983" t="n">
        <v>0</v>
      </c>
      <c r="J983" t="n">
        <v>0</v>
      </c>
      <c r="K983" t="n">
        <v>0</v>
      </c>
      <c r="L983" t="n">
        <v>0</v>
      </c>
      <c r="M983" t="n">
        <v>0</v>
      </c>
      <c r="N983" t="n">
        <v>0</v>
      </c>
      <c r="O983" t="n">
        <v>0</v>
      </c>
      <c r="P983" t="n">
        <v>0</v>
      </c>
      <c r="Q983" t="n">
        <v>0</v>
      </c>
      <c r="R983" s="2" t="inlineStr"/>
    </row>
    <row r="984" ht="15" customHeight="1">
      <c r="A984" t="inlineStr">
        <is>
          <t>A 52754-2025</t>
        </is>
      </c>
      <c r="B984" s="1" t="n">
        <v>45957.39010416667</v>
      </c>
      <c r="C984" s="1" t="n">
        <v>45989</v>
      </c>
      <c r="D984" t="inlineStr">
        <is>
          <t>VÄRMLANDS LÄN</t>
        </is>
      </c>
      <c r="E984" t="inlineStr">
        <is>
          <t>TORSBY</t>
        </is>
      </c>
      <c r="G984" t="n">
        <v>6.4</v>
      </c>
      <c r="H984" t="n">
        <v>0</v>
      </c>
      <c r="I984" t="n">
        <v>0</v>
      </c>
      <c r="J984" t="n">
        <v>0</v>
      </c>
      <c r="K984" t="n">
        <v>0</v>
      </c>
      <c r="L984" t="n">
        <v>0</v>
      </c>
      <c r="M984" t="n">
        <v>0</v>
      </c>
      <c r="N984" t="n">
        <v>0</v>
      </c>
      <c r="O984" t="n">
        <v>0</v>
      </c>
      <c r="P984" t="n">
        <v>0</v>
      </c>
      <c r="Q984" t="n">
        <v>0</v>
      </c>
      <c r="R984" s="2" t="inlineStr"/>
    </row>
    <row r="985" ht="15" customHeight="1">
      <c r="A985" t="inlineStr">
        <is>
          <t>A 34372-2025</t>
        </is>
      </c>
      <c r="B985" s="1" t="n">
        <v>45846.5134837963</v>
      </c>
      <c r="C985" s="1" t="n">
        <v>45989</v>
      </c>
      <c r="D985" t="inlineStr">
        <is>
          <t>VÄRMLANDS LÄN</t>
        </is>
      </c>
      <c r="E985" t="inlineStr">
        <is>
          <t>TORSBY</t>
        </is>
      </c>
      <c r="G985" t="n">
        <v>4.3</v>
      </c>
      <c r="H985" t="n">
        <v>0</v>
      </c>
      <c r="I985" t="n">
        <v>0</v>
      </c>
      <c r="J985" t="n">
        <v>0</v>
      </c>
      <c r="K985" t="n">
        <v>0</v>
      </c>
      <c r="L985" t="n">
        <v>0</v>
      </c>
      <c r="M985" t="n">
        <v>0</v>
      </c>
      <c r="N985" t="n">
        <v>0</v>
      </c>
      <c r="O985" t="n">
        <v>0</v>
      </c>
      <c r="P985" t="n">
        <v>0</v>
      </c>
      <c r="Q985" t="n">
        <v>0</v>
      </c>
      <c r="R985" s="2" t="inlineStr"/>
    </row>
    <row r="986" ht="15" customHeight="1">
      <c r="A986" t="inlineStr">
        <is>
          <t>A 44522-2025</t>
        </is>
      </c>
      <c r="B986" s="1" t="n">
        <v>45916</v>
      </c>
      <c r="C986" s="1" t="n">
        <v>45989</v>
      </c>
      <c r="D986" t="inlineStr">
        <is>
          <t>VÄRMLANDS LÄN</t>
        </is>
      </c>
      <c r="E986" t="inlineStr">
        <is>
          <t>TORSBY</t>
        </is>
      </c>
      <c r="G986" t="n">
        <v>3.9</v>
      </c>
      <c r="H986" t="n">
        <v>0</v>
      </c>
      <c r="I986" t="n">
        <v>0</v>
      </c>
      <c r="J986" t="n">
        <v>0</v>
      </c>
      <c r="K986" t="n">
        <v>0</v>
      </c>
      <c r="L986" t="n">
        <v>0</v>
      </c>
      <c r="M986" t="n">
        <v>0</v>
      </c>
      <c r="N986" t="n">
        <v>0</v>
      </c>
      <c r="O986" t="n">
        <v>0</v>
      </c>
      <c r="P986" t="n">
        <v>0</v>
      </c>
      <c r="Q986" t="n">
        <v>0</v>
      </c>
      <c r="R986" s="2" t="inlineStr"/>
    </row>
    <row r="987" ht="15" customHeight="1">
      <c r="A987" t="inlineStr">
        <is>
          <t>A 44055-2025</t>
        </is>
      </c>
      <c r="B987" s="1" t="n">
        <v>45915.52358796296</v>
      </c>
      <c r="C987" s="1" t="n">
        <v>45989</v>
      </c>
      <c r="D987" t="inlineStr">
        <is>
          <t>VÄRMLANDS LÄN</t>
        </is>
      </c>
      <c r="E987" t="inlineStr">
        <is>
          <t>TORSBY</t>
        </is>
      </c>
      <c r="F987" t="inlineStr">
        <is>
          <t>Kyrkan</t>
        </is>
      </c>
      <c r="G987" t="n">
        <v>5.4</v>
      </c>
      <c r="H987" t="n">
        <v>0</v>
      </c>
      <c r="I987" t="n">
        <v>0</v>
      </c>
      <c r="J987" t="n">
        <v>0</v>
      </c>
      <c r="K987" t="n">
        <v>0</v>
      </c>
      <c r="L987" t="n">
        <v>0</v>
      </c>
      <c r="M987" t="n">
        <v>0</v>
      </c>
      <c r="N987" t="n">
        <v>0</v>
      </c>
      <c r="O987" t="n">
        <v>0</v>
      </c>
      <c r="P987" t="n">
        <v>0</v>
      </c>
      <c r="Q987" t="n">
        <v>0</v>
      </c>
      <c r="R987" s="2" t="inlineStr"/>
    </row>
    <row r="988" ht="15" customHeight="1">
      <c r="A988" t="inlineStr">
        <is>
          <t>A 34365-2025</t>
        </is>
      </c>
      <c r="B988" s="1" t="n">
        <v>45846.49326388889</v>
      </c>
      <c r="C988" s="1" t="n">
        <v>45989</v>
      </c>
      <c r="D988" t="inlineStr">
        <is>
          <t>VÄRMLANDS LÄN</t>
        </is>
      </c>
      <c r="E988" t="inlineStr">
        <is>
          <t>TORSBY</t>
        </is>
      </c>
      <c r="G988" t="n">
        <v>8.9</v>
      </c>
      <c r="H988" t="n">
        <v>0</v>
      </c>
      <c r="I988" t="n">
        <v>0</v>
      </c>
      <c r="J988" t="n">
        <v>0</v>
      </c>
      <c r="K988" t="n">
        <v>0</v>
      </c>
      <c r="L988" t="n">
        <v>0</v>
      </c>
      <c r="M988" t="n">
        <v>0</v>
      </c>
      <c r="N988" t="n">
        <v>0</v>
      </c>
      <c r="O988" t="n">
        <v>0</v>
      </c>
      <c r="P988" t="n">
        <v>0</v>
      </c>
      <c r="Q988" t="n">
        <v>0</v>
      </c>
      <c r="R988" s="2" t="inlineStr"/>
    </row>
    <row r="989" ht="15" customHeight="1">
      <c r="A989" t="inlineStr">
        <is>
          <t>A 52737-2025</t>
        </is>
      </c>
      <c r="B989" s="1" t="n">
        <v>45957.37336805555</v>
      </c>
      <c r="C989" s="1" t="n">
        <v>45989</v>
      </c>
      <c r="D989" t="inlineStr">
        <is>
          <t>VÄRMLANDS LÄN</t>
        </is>
      </c>
      <c r="E989" t="inlineStr">
        <is>
          <t>TORSBY</t>
        </is>
      </c>
      <c r="G989" t="n">
        <v>10.1</v>
      </c>
      <c r="H989" t="n">
        <v>0</v>
      </c>
      <c r="I989" t="n">
        <v>0</v>
      </c>
      <c r="J989" t="n">
        <v>0</v>
      </c>
      <c r="K989" t="n">
        <v>0</v>
      </c>
      <c r="L989" t="n">
        <v>0</v>
      </c>
      <c r="M989" t="n">
        <v>0</v>
      </c>
      <c r="N989" t="n">
        <v>0</v>
      </c>
      <c r="O989" t="n">
        <v>0</v>
      </c>
      <c r="P989" t="n">
        <v>0</v>
      </c>
      <c r="Q989" t="n">
        <v>0</v>
      </c>
      <c r="R989" s="2" t="inlineStr"/>
    </row>
    <row r="990" ht="15" customHeight="1">
      <c r="A990" t="inlineStr">
        <is>
          <t>A 44156-2025</t>
        </is>
      </c>
      <c r="B990" s="1" t="n">
        <v>45915.59539351852</v>
      </c>
      <c r="C990" s="1" t="n">
        <v>45989</v>
      </c>
      <c r="D990" t="inlineStr">
        <is>
          <t>VÄRMLANDS LÄN</t>
        </is>
      </c>
      <c r="E990" t="inlineStr">
        <is>
          <t>TORSBY</t>
        </is>
      </c>
      <c r="F990" t="inlineStr">
        <is>
          <t>Kyrkan</t>
        </is>
      </c>
      <c r="G990" t="n">
        <v>3.2</v>
      </c>
      <c r="H990" t="n">
        <v>0</v>
      </c>
      <c r="I990" t="n">
        <v>0</v>
      </c>
      <c r="J990" t="n">
        <v>0</v>
      </c>
      <c r="K990" t="n">
        <v>0</v>
      </c>
      <c r="L990" t="n">
        <v>0</v>
      </c>
      <c r="M990" t="n">
        <v>0</v>
      </c>
      <c r="N990" t="n">
        <v>0</v>
      </c>
      <c r="O990" t="n">
        <v>0</v>
      </c>
      <c r="P990" t="n">
        <v>0</v>
      </c>
      <c r="Q990" t="n">
        <v>0</v>
      </c>
      <c r="R990" s="2" t="inlineStr"/>
    </row>
    <row r="991" ht="15" customHeight="1">
      <c r="A991" t="inlineStr">
        <is>
          <t>A 34388-2025</t>
        </is>
      </c>
      <c r="B991" s="1" t="n">
        <v>45846.57305555556</v>
      </c>
      <c r="C991" s="1" t="n">
        <v>45989</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53049-2025</t>
        </is>
      </c>
      <c r="B992" s="1" t="n">
        <v>45958.36173611111</v>
      </c>
      <c r="C992" s="1" t="n">
        <v>45989</v>
      </c>
      <c r="D992" t="inlineStr">
        <is>
          <t>VÄRMLANDS LÄN</t>
        </is>
      </c>
      <c r="E992" t="inlineStr">
        <is>
          <t>TORSBY</t>
        </is>
      </c>
      <c r="G992" t="n">
        <v>4.9</v>
      </c>
      <c r="H992" t="n">
        <v>0</v>
      </c>
      <c r="I992" t="n">
        <v>0</v>
      </c>
      <c r="J992" t="n">
        <v>0</v>
      </c>
      <c r="K992" t="n">
        <v>0</v>
      </c>
      <c r="L992" t="n">
        <v>0</v>
      </c>
      <c r="M992" t="n">
        <v>0</v>
      </c>
      <c r="N992" t="n">
        <v>0</v>
      </c>
      <c r="O992" t="n">
        <v>0</v>
      </c>
      <c r="P992" t="n">
        <v>0</v>
      </c>
      <c r="Q992" t="n">
        <v>0</v>
      </c>
      <c r="R992" s="2" t="inlineStr"/>
    </row>
    <row r="993" ht="15" customHeight="1">
      <c r="A993" t="inlineStr">
        <is>
          <t>A 34140-2025</t>
        </is>
      </c>
      <c r="B993" s="1" t="n">
        <v>45845.54896990741</v>
      </c>
      <c r="C993" s="1" t="n">
        <v>45989</v>
      </c>
      <c r="D993" t="inlineStr">
        <is>
          <t>VÄRMLANDS LÄN</t>
        </is>
      </c>
      <c r="E993" t="inlineStr">
        <is>
          <t>TORSBY</t>
        </is>
      </c>
      <c r="G993" t="n">
        <v>0.9</v>
      </c>
      <c r="H993" t="n">
        <v>0</v>
      </c>
      <c r="I993" t="n">
        <v>0</v>
      </c>
      <c r="J993" t="n">
        <v>0</v>
      </c>
      <c r="K993" t="n">
        <v>0</v>
      </c>
      <c r="L993" t="n">
        <v>0</v>
      </c>
      <c r="M993" t="n">
        <v>0</v>
      </c>
      <c r="N993" t="n">
        <v>0</v>
      </c>
      <c r="O993" t="n">
        <v>0</v>
      </c>
      <c r="P993" t="n">
        <v>0</v>
      </c>
      <c r="Q993" t="n">
        <v>0</v>
      </c>
      <c r="R993" s="2" t="inlineStr"/>
    </row>
    <row r="994" ht="15" customHeight="1">
      <c r="A994" t="inlineStr">
        <is>
          <t>A 34137-2025</t>
        </is>
      </c>
      <c r="B994" s="1" t="n">
        <v>45845.54340277778</v>
      </c>
      <c r="C994" s="1" t="n">
        <v>45989</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34138-2025</t>
        </is>
      </c>
      <c r="B995" s="1" t="n">
        <v>45845.54486111111</v>
      </c>
      <c r="C995" s="1" t="n">
        <v>45989</v>
      </c>
      <c r="D995" t="inlineStr">
        <is>
          <t>VÄRMLANDS LÄN</t>
        </is>
      </c>
      <c r="E995" t="inlineStr">
        <is>
          <t>TORSBY</t>
        </is>
      </c>
      <c r="G995" t="n">
        <v>2.7</v>
      </c>
      <c r="H995" t="n">
        <v>0</v>
      </c>
      <c r="I995" t="n">
        <v>0</v>
      </c>
      <c r="J995" t="n">
        <v>0</v>
      </c>
      <c r="K995" t="n">
        <v>0</v>
      </c>
      <c r="L995" t="n">
        <v>0</v>
      </c>
      <c r="M995" t="n">
        <v>0</v>
      </c>
      <c r="N995" t="n">
        <v>0</v>
      </c>
      <c r="O995" t="n">
        <v>0</v>
      </c>
      <c r="P995" t="n">
        <v>0</v>
      </c>
      <c r="Q995" t="n">
        <v>0</v>
      </c>
      <c r="R995" s="2" t="inlineStr"/>
    </row>
    <row r="996" ht="15" customHeight="1">
      <c r="A996" t="inlineStr">
        <is>
          <t>A 34146-2025</t>
        </is>
      </c>
      <c r="B996" s="1" t="n">
        <v>45845.56008101852</v>
      </c>
      <c r="C996" s="1" t="n">
        <v>45989</v>
      </c>
      <c r="D996" t="inlineStr">
        <is>
          <t>VÄRMLANDS LÄN</t>
        </is>
      </c>
      <c r="E996" t="inlineStr">
        <is>
          <t>TORSBY</t>
        </is>
      </c>
      <c r="G996" t="n">
        <v>0.6</v>
      </c>
      <c r="H996" t="n">
        <v>0</v>
      </c>
      <c r="I996" t="n">
        <v>0</v>
      </c>
      <c r="J996" t="n">
        <v>0</v>
      </c>
      <c r="K996" t="n">
        <v>0</v>
      </c>
      <c r="L996" t="n">
        <v>0</v>
      </c>
      <c r="M996" t="n">
        <v>0</v>
      </c>
      <c r="N996" t="n">
        <v>0</v>
      </c>
      <c r="O996" t="n">
        <v>0</v>
      </c>
      <c r="P996" t="n">
        <v>0</v>
      </c>
      <c r="Q996" t="n">
        <v>0</v>
      </c>
      <c r="R996" s="2" t="inlineStr"/>
    </row>
    <row r="997" ht="15" customHeight="1">
      <c r="A997" t="inlineStr">
        <is>
          <t>A 44374-2025</t>
        </is>
      </c>
      <c r="B997" s="1" t="n">
        <v>45916.47035879629</v>
      </c>
      <c r="C997" s="1" t="n">
        <v>45989</v>
      </c>
      <c r="D997" t="inlineStr">
        <is>
          <t>VÄRMLANDS LÄN</t>
        </is>
      </c>
      <c r="E997" t="inlineStr">
        <is>
          <t>TORSBY</t>
        </is>
      </c>
      <c r="F997" t="inlineStr">
        <is>
          <t>Bergvik skog väst AB</t>
        </is>
      </c>
      <c r="G997" t="n">
        <v>10.5</v>
      </c>
      <c r="H997" t="n">
        <v>0</v>
      </c>
      <c r="I997" t="n">
        <v>0</v>
      </c>
      <c r="J997" t="n">
        <v>0</v>
      </c>
      <c r="K997" t="n">
        <v>0</v>
      </c>
      <c r="L997" t="n">
        <v>0</v>
      </c>
      <c r="M997" t="n">
        <v>0</v>
      </c>
      <c r="N997" t="n">
        <v>0</v>
      </c>
      <c r="O997" t="n">
        <v>0</v>
      </c>
      <c r="P997" t="n">
        <v>0</v>
      </c>
      <c r="Q997" t="n">
        <v>0</v>
      </c>
      <c r="R997" s="2" t="inlineStr"/>
    </row>
    <row r="998" ht="15" customHeight="1">
      <c r="A998" t="inlineStr">
        <is>
          <t>A 52741-2025</t>
        </is>
      </c>
      <c r="B998" s="1" t="n">
        <v>45957.3778587963</v>
      </c>
      <c r="C998" s="1" t="n">
        <v>45989</v>
      </c>
      <c r="D998" t="inlineStr">
        <is>
          <t>VÄRMLANDS LÄN</t>
        </is>
      </c>
      <c r="E998" t="inlineStr">
        <is>
          <t>TORSBY</t>
        </is>
      </c>
      <c r="G998" t="n">
        <v>0.4</v>
      </c>
      <c r="H998" t="n">
        <v>0</v>
      </c>
      <c r="I998" t="n">
        <v>0</v>
      </c>
      <c r="J998" t="n">
        <v>0</v>
      </c>
      <c r="K998" t="n">
        <v>0</v>
      </c>
      <c r="L998" t="n">
        <v>0</v>
      </c>
      <c r="M998" t="n">
        <v>0</v>
      </c>
      <c r="N998" t="n">
        <v>0</v>
      </c>
      <c r="O998" t="n">
        <v>0</v>
      </c>
      <c r="P998" t="n">
        <v>0</v>
      </c>
      <c r="Q998" t="n">
        <v>0</v>
      </c>
      <c r="R998" s="2" t="inlineStr"/>
    </row>
    <row r="999" ht="15" customHeight="1">
      <c r="A999" t="inlineStr">
        <is>
          <t>A 34363-2025</t>
        </is>
      </c>
      <c r="B999" s="1" t="n">
        <v>45846.49144675926</v>
      </c>
      <c r="C999" s="1" t="n">
        <v>45989</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52362-2025</t>
        </is>
      </c>
      <c r="B1000" s="1" t="n">
        <v>45952</v>
      </c>
      <c r="C1000" s="1" t="n">
        <v>45989</v>
      </c>
      <c r="D1000" t="inlineStr">
        <is>
          <t>VÄRMLANDS LÄN</t>
        </is>
      </c>
      <c r="E1000" t="inlineStr">
        <is>
          <t>TORSBY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34370-2025</t>
        </is>
      </c>
      <c r="B1001" s="1" t="n">
        <v>45846.51056712963</v>
      </c>
      <c r="C1001" s="1" t="n">
        <v>45989</v>
      </c>
      <c r="D1001" t="inlineStr">
        <is>
          <t>VÄRMLANDS LÄN</t>
        </is>
      </c>
      <c r="E1001" t="inlineStr">
        <is>
          <t>TORSBY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52981-2025</t>
        </is>
      </c>
      <c r="B1002" s="1" t="n">
        <v>45957.68748842592</v>
      </c>
      <c r="C1002" s="1" t="n">
        <v>45989</v>
      </c>
      <c r="D1002" t="inlineStr">
        <is>
          <t>VÄRMLANDS LÄN</t>
        </is>
      </c>
      <c r="E1002" t="inlineStr">
        <is>
          <t>TORSBY</t>
        </is>
      </c>
      <c r="G1002" t="n">
        <v>20.5</v>
      </c>
      <c r="H1002" t="n">
        <v>0</v>
      </c>
      <c r="I1002" t="n">
        <v>0</v>
      </c>
      <c r="J1002" t="n">
        <v>0</v>
      </c>
      <c r="K1002" t="n">
        <v>0</v>
      </c>
      <c r="L1002" t="n">
        <v>0</v>
      </c>
      <c r="M1002" t="n">
        <v>0</v>
      </c>
      <c r="N1002" t="n">
        <v>0</v>
      </c>
      <c r="O1002" t="n">
        <v>0</v>
      </c>
      <c r="P1002" t="n">
        <v>0</v>
      </c>
      <c r="Q1002" t="n">
        <v>0</v>
      </c>
      <c r="R1002" s="2" t="inlineStr"/>
    </row>
    <row r="1003" ht="15" customHeight="1">
      <c r="A1003" t="inlineStr">
        <is>
          <t>A 52982-2025</t>
        </is>
      </c>
      <c r="B1003" s="1" t="n">
        <v>45957.69270833334</v>
      </c>
      <c r="C1003" s="1" t="n">
        <v>45989</v>
      </c>
      <c r="D1003" t="inlineStr">
        <is>
          <t>VÄRMLANDS LÄN</t>
        </is>
      </c>
      <c r="E1003" t="inlineStr">
        <is>
          <t>TORSBY</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52731-2025</t>
        </is>
      </c>
      <c r="B1004" s="1" t="n">
        <v>45957.36682870371</v>
      </c>
      <c r="C1004" s="1" t="n">
        <v>45989</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34046-2025</t>
        </is>
      </c>
      <c r="B1005" s="1" t="n">
        <v>45845.38671296297</v>
      </c>
      <c r="C1005" s="1" t="n">
        <v>45989</v>
      </c>
      <c r="D1005" t="inlineStr">
        <is>
          <t>VÄRMLANDS LÄN</t>
        </is>
      </c>
      <c r="E1005" t="inlineStr">
        <is>
          <t>TORSBY</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53113-2025</t>
        </is>
      </c>
      <c r="B1006" s="1" t="n">
        <v>45958.44431712963</v>
      </c>
      <c r="C1006" s="1" t="n">
        <v>45989</v>
      </c>
      <c r="D1006" t="inlineStr">
        <is>
          <t>VÄRMLANDS LÄN</t>
        </is>
      </c>
      <c r="E1006" t="inlineStr">
        <is>
          <t>TORSBY</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34268-2025</t>
        </is>
      </c>
      <c r="B1007" s="1" t="n">
        <v>45845</v>
      </c>
      <c r="C1007" s="1" t="n">
        <v>45989</v>
      </c>
      <c r="D1007" t="inlineStr">
        <is>
          <t>VÄRMLANDS LÄN</t>
        </is>
      </c>
      <c r="E1007" t="inlineStr">
        <is>
          <t>TORSBY</t>
        </is>
      </c>
      <c r="F1007" t="inlineStr">
        <is>
          <t>Bergvik skog väst AB</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53123-2025</t>
        </is>
      </c>
      <c r="B1008" s="1" t="n">
        <v>45958.45204861111</v>
      </c>
      <c r="C1008" s="1" t="n">
        <v>45989</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8281-2023</t>
        </is>
      </c>
      <c r="B1009" s="1" t="n">
        <v>44974</v>
      </c>
      <c r="C1009" s="1" t="n">
        <v>45989</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44133-2025</t>
        </is>
      </c>
      <c r="B1010" s="1" t="n">
        <v>45915</v>
      </c>
      <c r="C1010" s="1" t="n">
        <v>45989</v>
      </c>
      <c r="D1010" t="inlineStr">
        <is>
          <t>VÄRMLANDS LÄN</t>
        </is>
      </c>
      <c r="E1010" t="inlineStr">
        <is>
          <t>TORSBY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44286-2025</t>
        </is>
      </c>
      <c r="B1011" s="1" t="n">
        <v>45916</v>
      </c>
      <c r="C1011" s="1" t="n">
        <v>45989</v>
      </c>
      <c r="D1011" t="inlineStr">
        <is>
          <t>VÄRMLANDS LÄN</t>
        </is>
      </c>
      <c r="E1011" t="inlineStr">
        <is>
          <t>TORSBY</t>
        </is>
      </c>
      <c r="F1011" t="inlineStr">
        <is>
          <t>Bergvik skog väst AB</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44290-2025</t>
        </is>
      </c>
      <c r="B1012" s="1" t="n">
        <v>45916.35228009259</v>
      </c>
      <c r="C1012" s="1" t="n">
        <v>45989</v>
      </c>
      <c r="D1012" t="inlineStr">
        <is>
          <t>VÄRMLANDS LÄN</t>
        </is>
      </c>
      <c r="E1012" t="inlineStr">
        <is>
          <t>TORSBY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44220-2025</t>
        </is>
      </c>
      <c r="B1013" s="1" t="n">
        <v>45915</v>
      </c>
      <c r="C1013" s="1" t="n">
        <v>45989</v>
      </c>
      <c r="D1013" t="inlineStr">
        <is>
          <t>VÄRMLANDS LÄN</t>
        </is>
      </c>
      <c r="E1013" t="inlineStr">
        <is>
          <t>TORSBY</t>
        </is>
      </c>
      <c r="F1013" t="inlineStr">
        <is>
          <t>Kommuner</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34136-2025</t>
        </is>
      </c>
      <c r="B1014" s="1" t="n">
        <v>45845.54184027778</v>
      </c>
      <c r="C1014" s="1" t="n">
        <v>45989</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34145-2025</t>
        </is>
      </c>
      <c r="B1015" s="1" t="n">
        <v>45845.55372685185</v>
      </c>
      <c r="C1015" s="1" t="n">
        <v>45989</v>
      </c>
      <c r="D1015" t="inlineStr">
        <is>
          <t>VÄRMLANDS LÄN</t>
        </is>
      </c>
      <c r="E1015" t="inlineStr">
        <is>
          <t>TORSBY</t>
        </is>
      </c>
      <c r="G1015" t="n">
        <v>19.2</v>
      </c>
      <c r="H1015" t="n">
        <v>0</v>
      </c>
      <c r="I1015" t="n">
        <v>0</v>
      </c>
      <c r="J1015" t="n">
        <v>0</v>
      </c>
      <c r="K1015" t="n">
        <v>0</v>
      </c>
      <c r="L1015" t="n">
        <v>0</v>
      </c>
      <c r="M1015" t="n">
        <v>0</v>
      </c>
      <c r="N1015" t="n">
        <v>0</v>
      </c>
      <c r="O1015" t="n">
        <v>0</v>
      </c>
      <c r="P1015" t="n">
        <v>0</v>
      </c>
      <c r="Q1015" t="n">
        <v>0</v>
      </c>
      <c r="R1015" s="2" t="inlineStr"/>
    </row>
    <row r="1016" ht="15" customHeight="1">
      <c r="A1016" t="inlineStr">
        <is>
          <t>A 56107-2024</t>
        </is>
      </c>
      <c r="B1016" s="1" t="n">
        <v>45624.44055555556</v>
      </c>
      <c r="C1016" s="1" t="n">
        <v>45989</v>
      </c>
      <c r="D1016" t="inlineStr">
        <is>
          <t>VÄRMLANDS LÄN</t>
        </is>
      </c>
      <c r="E1016" t="inlineStr">
        <is>
          <t>TORSBY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34179-2025</t>
        </is>
      </c>
      <c r="B1017" s="1" t="n">
        <v>45845</v>
      </c>
      <c r="C1017" s="1" t="n">
        <v>45989</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55836-2024</t>
        </is>
      </c>
      <c r="B1018" s="1" t="n">
        <v>45623.49150462963</v>
      </c>
      <c r="C1018" s="1" t="n">
        <v>45989</v>
      </c>
      <c r="D1018" t="inlineStr">
        <is>
          <t>VÄRMLANDS LÄN</t>
        </is>
      </c>
      <c r="E1018" t="inlineStr">
        <is>
          <t>TORSBY</t>
        </is>
      </c>
      <c r="F1018" t="inlineStr">
        <is>
          <t>Kommuner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34399-2025</t>
        </is>
      </c>
      <c r="B1019" s="1" t="n">
        <v>45846.610625</v>
      </c>
      <c r="C1019" s="1" t="n">
        <v>45989</v>
      </c>
      <c r="D1019" t="inlineStr">
        <is>
          <t>VÄRMLANDS LÄN</t>
        </is>
      </c>
      <c r="E1019" t="inlineStr">
        <is>
          <t>TORSBY</t>
        </is>
      </c>
      <c r="F1019" t="inlineStr">
        <is>
          <t>Bergvik skog väst AB</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44901-2025</t>
        </is>
      </c>
      <c r="B1020" s="1" t="n">
        <v>45918</v>
      </c>
      <c r="C1020" s="1" t="n">
        <v>45989</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53605-2025</t>
        </is>
      </c>
      <c r="B1021" s="1" t="n">
        <v>45960.46434027778</v>
      </c>
      <c r="C1021" s="1" t="n">
        <v>45989</v>
      </c>
      <c r="D1021" t="inlineStr">
        <is>
          <t>VÄRMLANDS LÄN</t>
        </is>
      </c>
      <c r="E1021" t="inlineStr">
        <is>
          <t>TORSBY</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34517-2025</t>
        </is>
      </c>
      <c r="B1022" s="1" t="n">
        <v>45847.46900462963</v>
      </c>
      <c r="C1022" s="1" t="n">
        <v>45989</v>
      </c>
      <c r="D1022" t="inlineStr">
        <is>
          <t>VÄRMLANDS LÄN</t>
        </is>
      </c>
      <c r="E1022" t="inlineStr">
        <is>
          <t>TORSBY</t>
        </is>
      </c>
      <c r="F1022" t="inlineStr">
        <is>
          <t>Övriga Aktiebolag</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40807-2024</t>
        </is>
      </c>
      <c r="B1023" s="1" t="n">
        <v>45558</v>
      </c>
      <c r="C1023" s="1" t="n">
        <v>45989</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44808-2025</t>
        </is>
      </c>
      <c r="B1024" s="1" t="n">
        <v>45918</v>
      </c>
      <c r="C1024" s="1" t="n">
        <v>45989</v>
      </c>
      <c r="D1024" t="inlineStr">
        <is>
          <t>VÄRMLANDS LÄN</t>
        </is>
      </c>
      <c r="E1024" t="inlineStr">
        <is>
          <t>TORSBY</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34533-2025</t>
        </is>
      </c>
      <c r="B1025" s="1" t="n">
        <v>45847.50868055555</v>
      </c>
      <c r="C1025" s="1" t="n">
        <v>45989</v>
      </c>
      <c r="D1025" t="inlineStr">
        <is>
          <t>VÄRMLANDS LÄN</t>
        </is>
      </c>
      <c r="E1025" t="inlineStr">
        <is>
          <t>TORSBY</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34480-2025</t>
        </is>
      </c>
      <c r="B1026" s="1" t="n">
        <v>45847.37582175926</v>
      </c>
      <c r="C1026" s="1" t="n">
        <v>45989</v>
      </c>
      <c r="D1026" t="inlineStr">
        <is>
          <t>VÄRMLANDS LÄN</t>
        </is>
      </c>
      <c r="E1026" t="inlineStr">
        <is>
          <t>TORSBY</t>
        </is>
      </c>
      <c r="F1026" t="inlineStr">
        <is>
          <t>Övriga Aktiebolag</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34495-2025</t>
        </is>
      </c>
      <c r="B1027" s="1" t="n">
        <v>45847.42686342593</v>
      </c>
      <c r="C1027" s="1" t="n">
        <v>45989</v>
      </c>
      <c r="D1027" t="inlineStr">
        <is>
          <t>VÄRMLANDS LÄN</t>
        </is>
      </c>
      <c r="E1027" t="inlineStr">
        <is>
          <t>TORSBY</t>
        </is>
      </c>
      <c r="F1027" t="inlineStr">
        <is>
          <t>Övriga Aktiebolag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53677-2025</t>
        </is>
      </c>
      <c r="B1028" s="1" t="n">
        <v>45960.56180555555</v>
      </c>
      <c r="C1028" s="1" t="n">
        <v>45989</v>
      </c>
      <c r="D1028" t="inlineStr">
        <is>
          <t>VÄRMLANDS LÄN</t>
        </is>
      </c>
      <c r="E1028" t="inlineStr">
        <is>
          <t>TORSBY</t>
        </is>
      </c>
      <c r="F1028" t="inlineStr">
        <is>
          <t>Bergvik skog väst AB</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53596-2025</t>
        </is>
      </c>
      <c r="B1029" s="1" t="n">
        <v>45960.44909722222</v>
      </c>
      <c r="C1029" s="1" t="n">
        <v>45989</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44590-2025</t>
        </is>
      </c>
      <c r="B1030" s="1" t="n">
        <v>45917.42607638889</v>
      </c>
      <c r="C1030" s="1" t="n">
        <v>45989</v>
      </c>
      <c r="D1030" t="inlineStr">
        <is>
          <t>VÄRMLANDS LÄN</t>
        </is>
      </c>
      <c r="E1030" t="inlineStr">
        <is>
          <t>TORSBY</t>
        </is>
      </c>
      <c r="F1030" t="inlineStr">
        <is>
          <t>Bergvik skog väst AB</t>
        </is>
      </c>
      <c r="G1030" t="n">
        <v>10.3</v>
      </c>
      <c r="H1030" t="n">
        <v>0</v>
      </c>
      <c r="I1030" t="n">
        <v>0</v>
      </c>
      <c r="J1030" t="n">
        <v>0</v>
      </c>
      <c r="K1030" t="n">
        <v>0</v>
      </c>
      <c r="L1030" t="n">
        <v>0</v>
      </c>
      <c r="M1030" t="n">
        <v>0</v>
      </c>
      <c r="N1030" t="n">
        <v>0</v>
      </c>
      <c r="O1030" t="n">
        <v>0</v>
      </c>
      <c r="P1030" t="n">
        <v>0</v>
      </c>
      <c r="Q1030" t="n">
        <v>0</v>
      </c>
      <c r="R1030" s="2" t="inlineStr"/>
    </row>
    <row r="1031" ht="15" customHeight="1">
      <c r="A1031" t="inlineStr">
        <is>
          <t>A 44710-2025</t>
        </is>
      </c>
      <c r="B1031" s="1" t="n">
        <v>45917.61743055555</v>
      </c>
      <c r="C1031" s="1" t="n">
        <v>45989</v>
      </c>
      <c r="D1031" t="inlineStr">
        <is>
          <t>VÄRMLANDS LÄN</t>
        </is>
      </c>
      <c r="E1031" t="inlineStr">
        <is>
          <t>TORSBY</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34451-2025</t>
        </is>
      </c>
      <c r="B1032" s="1" t="n">
        <v>45846.85114583333</v>
      </c>
      <c r="C1032" s="1" t="n">
        <v>45989</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31316-2025</t>
        </is>
      </c>
      <c r="B1033" s="1" t="n">
        <v>45833.40241898148</v>
      </c>
      <c r="C1033" s="1" t="n">
        <v>45989</v>
      </c>
      <c r="D1033" t="inlineStr">
        <is>
          <t>VÄRMLANDS LÄN</t>
        </is>
      </c>
      <c r="E1033" t="inlineStr">
        <is>
          <t>TORSBY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44794-2025</t>
        </is>
      </c>
      <c r="B1034" s="1" t="n">
        <v>45918.34465277778</v>
      </c>
      <c r="C1034" s="1" t="n">
        <v>45989</v>
      </c>
      <c r="D1034" t="inlineStr">
        <is>
          <t>VÄRMLANDS LÄN</t>
        </is>
      </c>
      <c r="E1034" t="inlineStr">
        <is>
          <t>TORSBY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13586-2023</t>
        </is>
      </c>
      <c r="B1035" s="1" t="n">
        <v>45006</v>
      </c>
      <c r="C1035" s="1" t="n">
        <v>45989</v>
      </c>
      <c r="D1035" t="inlineStr">
        <is>
          <t>VÄRMLANDS LÄN</t>
        </is>
      </c>
      <c r="E1035" t="inlineStr">
        <is>
          <t>TORSBY</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44817-2025</t>
        </is>
      </c>
      <c r="B1036" s="1" t="n">
        <v>45918</v>
      </c>
      <c r="C1036" s="1" t="n">
        <v>45989</v>
      </c>
      <c r="D1036" t="inlineStr">
        <is>
          <t>VÄRMLANDS LÄN</t>
        </is>
      </c>
      <c r="E1036" t="inlineStr">
        <is>
          <t>TORSBY</t>
        </is>
      </c>
      <c r="F1036" t="inlineStr">
        <is>
          <t>Bergvik skog väst AB</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34997-2025</t>
        </is>
      </c>
      <c r="B1037" s="1" t="n">
        <v>45849.87340277778</v>
      </c>
      <c r="C1037" s="1" t="n">
        <v>45989</v>
      </c>
      <c r="D1037" t="inlineStr">
        <is>
          <t>VÄRMLANDS LÄN</t>
        </is>
      </c>
      <c r="E1037" t="inlineStr">
        <is>
          <t>TORSBY</t>
        </is>
      </c>
      <c r="G1037" t="n">
        <v>24.4</v>
      </c>
      <c r="H1037" t="n">
        <v>0</v>
      </c>
      <c r="I1037" t="n">
        <v>0</v>
      </c>
      <c r="J1037" t="n">
        <v>0</v>
      </c>
      <c r="K1037" t="n">
        <v>0</v>
      </c>
      <c r="L1037" t="n">
        <v>0</v>
      </c>
      <c r="M1037" t="n">
        <v>0</v>
      </c>
      <c r="N1037" t="n">
        <v>0</v>
      </c>
      <c r="O1037" t="n">
        <v>0</v>
      </c>
      <c r="P1037" t="n">
        <v>0</v>
      </c>
      <c r="Q1037" t="n">
        <v>0</v>
      </c>
      <c r="R1037" s="2" t="inlineStr"/>
    </row>
    <row r="1038" ht="15" customHeight="1">
      <c r="A1038" t="inlineStr">
        <is>
          <t>A 53383-2025</t>
        </is>
      </c>
      <c r="B1038" s="1" t="n">
        <v>45959.54097222222</v>
      </c>
      <c r="C1038" s="1" t="n">
        <v>45989</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33620-2024</t>
        </is>
      </c>
      <c r="B1039" s="1" t="n">
        <v>45520.41530092592</v>
      </c>
      <c r="C1039" s="1" t="n">
        <v>45989</v>
      </c>
      <c r="D1039" t="inlineStr">
        <is>
          <t>VÄRMLANDS LÄN</t>
        </is>
      </c>
      <c r="E1039" t="inlineStr">
        <is>
          <t>TORSBY</t>
        </is>
      </c>
      <c r="F1039" t="inlineStr">
        <is>
          <t>Bergvik skog väst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20985-2024</t>
        </is>
      </c>
      <c r="B1040" s="1" t="n">
        <v>45439</v>
      </c>
      <c r="C1040" s="1" t="n">
        <v>45989</v>
      </c>
      <c r="D1040" t="inlineStr">
        <is>
          <t>VÄRMLANDS LÄN</t>
        </is>
      </c>
      <c r="E1040" t="inlineStr">
        <is>
          <t>TORSBY</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44976-2025</t>
        </is>
      </c>
      <c r="B1041" s="1" t="n">
        <v>45918</v>
      </c>
      <c r="C1041" s="1" t="n">
        <v>45989</v>
      </c>
      <c r="D1041" t="inlineStr">
        <is>
          <t>VÄRMLANDS LÄN</t>
        </is>
      </c>
      <c r="E1041" t="inlineStr">
        <is>
          <t>TORSBY</t>
        </is>
      </c>
      <c r="F1041" t="inlineStr">
        <is>
          <t>Bergvik skog väst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44995-2025</t>
        </is>
      </c>
      <c r="B1042" s="1" t="n">
        <v>45918</v>
      </c>
      <c r="C1042" s="1" t="n">
        <v>45989</v>
      </c>
      <c r="D1042" t="inlineStr">
        <is>
          <t>VÄRMLANDS LÄN</t>
        </is>
      </c>
      <c r="E1042" t="inlineStr">
        <is>
          <t>TORSBY</t>
        </is>
      </c>
      <c r="F1042" t="inlineStr">
        <is>
          <t>Bergvik skog väst AB</t>
        </is>
      </c>
      <c r="G1042" t="n">
        <v>18.7</v>
      </c>
      <c r="H1042" t="n">
        <v>0</v>
      </c>
      <c r="I1042" t="n">
        <v>0</v>
      </c>
      <c r="J1042" t="n">
        <v>0</v>
      </c>
      <c r="K1042" t="n">
        <v>0</v>
      </c>
      <c r="L1042" t="n">
        <v>0</v>
      </c>
      <c r="M1042" t="n">
        <v>0</v>
      </c>
      <c r="N1042" t="n">
        <v>0</v>
      </c>
      <c r="O1042" t="n">
        <v>0</v>
      </c>
      <c r="P1042" t="n">
        <v>0</v>
      </c>
      <c r="Q1042" t="n">
        <v>0</v>
      </c>
      <c r="R1042" s="2" t="inlineStr"/>
      <c r="U1042">
        <f>HYPERLINK("https://klasma.github.io/Logging_1737/knärot/A 44995-2025 karta knärot.png", "A 44995-2025")</f>
        <v/>
      </c>
      <c r="V1042">
        <f>HYPERLINK("https://klasma.github.io/Logging_1737/klagomål/A 44995-2025 FSC-klagomål.docx", "A 44995-2025")</f>
        <v/>
      </c>
      <c r="W1042">
        <f>HYPERLINK("https://klasma.github.io/Logging_1737/klagomålsmail/A 44995-2025 FSC-klagomål mail.docx", "A 44995-2025")</f>
        <v/>
      </c>
      <c r="X1042">
        <f>HYPERLINK("https://klasma.github.io/Logging_1737/tillsyn/A 44995-2025 tillsynsbegäran.docx", "A 44995-2025")</f>
        <v/>
      </c>
      <c r="Y1042">
        <f>HYPERLINK("https://klasma.github.io/Logging_1737/tillsynsmail/A 44995-2025 tillsynsbegäran mail.docx", "A 44995-2025")</f>
        <v/>
      </c>
    </row>
    <row r="1043" ht="15" customHeight="1">
      <c r="A1043" t="inlineStr">
        <is>
          <t>A 34846-2025</t>
        </is>
      </c>
      <c r="B1043" s="1" t="n">
        <v>45849.41454861111</v>
      </c>
      <c r="C1043" s="1" t="n">
        <v>45989</v>
      </c>
      <c r="D1043" t="inlineStr">
        <is>
          <t>VÄRMLANDS LÄN</t>
        </is>
      </c>
      <c r="E1043" t="inlineStr">
        <is>
          <t>TORSBY</t>
        </is>
      </c>
      <c r="F1043" t="inlineStr">
        <is>
          <t>Bergvik skog väst AB</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44821-2025</t>
        </is>
      </c>
      <c r="B1044" s="1" t="n">
        <v>45918</v>
      </c>
      <c r="C1044" s="1" t="n">
        <v>45989</v>
      </c>
      <c r="D1044" t="inlineStr">
        <is>
          <t>VÄRMLANDS LÄN</t>
        </is>
      </c>
      <c r="E1044" t="inlineStr">
        <is>
          <t>TORSBY</t>
        </is>
      </c>
      <c r="F1044" t="inlineStr">
        <is>
          <t>Bergvik skog väst AB</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53601-2025</t>
        </is>
      </c>
      <c r="B1045" s="1" t="n">
        <v>45960.45984953704</v>
      </c>
      <c r="C1045" s="1" t="n">
        <v>45989</v>
      </c>
      <c r="D1045" t="inlineStr">
        <is>
          <t>VÄRMLANDS LÄN</t>
        </is>
      </c>
      <c r="E1045" t="inlineStr">
        <is>
          <t>TORSBY</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51199-2023</t>
        </is>
      </c>
      <c r="B1046" s="1" t="n">
        <v>45219.42247685185</v>
      </c>
      <c r="C1046" s="1" t="n">
        <v>45989</v>
      </c>
      <c r="D1046" t="inlineStr">
        <is>
          <t>VÄRMLANDS LÄN</t>
        </is>
      </c>
      <c r="E1046" t="inlineStr">
        <is>
          <t>TORSBY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44715-2025</t>
        </is>
      </c>
      <c r="B1047" s="1" t="n">
        <v>45917.62854166667</v>
      </c>
      <c r="C1047" s="1" t="n">
        <v>45989</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35191-2025</t>
        </is>
      </c>
      <c r="B1048" s="1" t="n">
        <v>45853.3469675926</v>
      </c>
      <c r="C1048" s="1" t="n">
        <v>45989</v>
      </c>
      <c r="D1048" t="inlineStr">
        <is>
          <t>VÄRMLANDS LÄN</t>
        </is>
      </c>
      <c r="E1048" t="inlineStr">
        <is>
          <t>TORSBY</t>
        </is>
      </c>
      <c r="F1048" t="inlineStr">
        <is>
          <t>Bergvik skog väst AB</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38084-2023</t>
        </is>
      </c>
      <c r="B1049" s="1" t="n">
        <v>45160</v>
      </c>
      <c r="C1049" s="1" t="n">
        <v>45989</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53520-2025</t>
        </is>
      </c>
      <c r="B1050" s="1" t="n">
        <v>45960.35893518518</v>
      </c>
      <c r="C1050" s="1" t="n">
        <v>45989</v>
      </c>
      <c r="D1050" t="inlineStr">
        <is>
          <t>VÄRMLANDS LÄN</t>
        </is>
      </c>
      <c r="E1050" t="inlineStr">
        <is>
          <t>TORSBY</t>
        </is>
      </c>
      <c r="F1050" t="inlineStr">
        <is>
          <t>Bergvik skog väst AB</t>
        </is>
      </c>
      <c r="G1050" t="n">
        <v>16.5</v>
      </c>
      <c r="H1050" t="n">
        <v>0</v>
      </c>
      <c r="I1050" t="n">
        <v>0</v>
      </c>
      <c r="J1050" t="n">
        <v>0</v>
      </c>
      <c r="K1050" t="n">
        <v>0</v>
      </c>
      <c r="L1050" t="n">
        <v>0</v>
      </c>
      <c r="M1050" t="n">
        <v>0</v>
      </c>
      <c r="N1050" t="n">
        <v>0</v>
      </c>
      <c r="O1050" t="n">
        <v>0</v>
      </c>
      <c r="P1050" t="n">
        <v>0</v>
      </c>
      <c r="Q1050" t="n">
        <v>0</v>
      </c>
      <c r="R1050" s="2" t="inlineStr"/>
    </row>
    <row r="1051" ht="15" customHeight="1">
      <c r="A1051" t="inlineStr">
        <is>
          <t>A 55811-2021</t>
        </is>
      </c>
      <c r="B1051" s="1" t="n">
        <v>44476</v>
      </c>
      <c r="C1051" s="1" t="n">
        <v>45989</v>
      </c>
      <c r="D1051" t="inlineStr">
        <is>
          <t>VÄRMLANDS LÄN</t>
        </is>
      </c>
      <c r="E1051" t="inlineStr">
        <is>
          <t>TORSBY</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35185-2025</t>
        </is>
      </c>
      <c r="B1052" s="1" t="n">
        <v>45853.30383101852</v>
      </c>
      <c r="C1052" s="1" t="n">
        <v>45989</v>
      </c>
      <c r="D1052" t="inlineStr">
        <is>
          <t>VÄRMLANDS LÄN</t>
        </is>
      </c>
      <c r="E1052" t="inlineStr">
        <is>
          <t>TORSBY</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35367-2025</t>
        </is>
      </c>
      <c r="B1053" s="1" t="n">
        <v>45854</v>
      </c>
      <c r="C1053" s="1" t="n">
        <v>45989</v>
      </c>
      <c r="D1053" t="inlineStr">
        <is>
          <t>VÄRMLANDS LÄN</t>
        </is>
      </c>
      <c r="E1053" t="inlineStr">
        <is>
          <t>TORSBY</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35194-2025</t>
        </is>
      </c>
      <c r="B1054" s="1" t="n">
        <v>45853.35740740741</v>
      </c>
      <c r="C1054" s="1" t="n">
        <v>45989</v>
      </c>
      <c r="D1054" t="inlineStr">
        <is>
          <t>VÄRMLANDS LÄN</t>
        </is>
      </c>
      <c r="E1054" t="inlineStr">
        <is>
          <t>TORSBY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53763-2025</t>
        </is>
      </c>
      <c r="B1055" s="1" t="n">
        <v>45960.67592592593</v>
      </c>
      <c r="C1055" s="1" t="n">
        <v>45989</v>
      </c>
      <c r="D1055" t="inlineStr">
        <is>
          <t>VÄRMLANDS LÄN</t>
        </is>
      </c>
      <c r="E1055" t="inlineStr">
        <is>
          <t>TORSBY</t>
        </is>
      </c>
      <c r="F1055" t="inlineStr">
        <is>
          <t>Bergvik skog väst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35334-2025</t>
        </is>
      </c>
      <c r="B1056" s="1" t="n">
        <v>45854.57973379629</v>
      </c>
      <c r="C1056" s="1" t="n">
        <v>45989</v>
      </c>
      <c r="D1056" t="inlineStr">
        <is>
          <t>VÄRMLANDS LÄN</t>
        </is>
      </c>
      <c r="E1056" t="inlineStr">
        <is>
          <t>TORSBY</t>
        </is>
      </c>
      <c r="F1056" t="inlineStr">
        <is>
          <t>Bergvik skog väst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52532-2023</t>
        </is>
      </c>
      <c r="B1057" s="1" t="n">
        <v>45225.54318287037</v>
      </c>
      <c r="C1057" s="1" t="n">
        <v>45989</v>
      </c>
      <c r="D1057" t="inlineStr">
        <is>
          <t>VÄRMLANDS LÄN</t>
        </is>
      </c>
      <c r="E1057" t="inlineStr">
        <is>
          <t>TORSBY</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45380-2025</t>
        </is>
      </c>
      <c r="B1058" s="1" t="n">
        <v>45922</v>
      </c>
      <c r="C1058" s="1" t="n">
        <v>45989</v>
      </c>
      <c r="D1058" t="inlineStr">
        <is>
          <t>VÄRMLANDS LÄN</t>
        </is>
      </c>
      <c r="E1058" t="inlineStr">
        <is>
          <t>TORSBY</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17562-2024</t>
        </is>
      </c>
      <c r="B1059" s="1" t="n">
        <v>45415</v>
      </c>
      <c r="C1059" s="1" t="n">
        <v>45989</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35552-2025</t>
        </is>
      </c>
      <c r="B1060" s="1" t="n">
        <v>45856.49702546297</v>
      </c>
      <c r="C1060" s="1" t="n">
        <v>45989</v>
      </c>
      <c r="D1060" t="inlineStr">
        <is>
          <t>VÄRMLANDS LÄN</t>
        </is>
      </c>
      <c r="E1060" t="inlineStr">
        <is>
          <t>TORSBY</t>
        </is>
      </c>
      <c r="F1060" t="inlineStr">
        <is>
          <t>Bergvik skog väst AB</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45108-2025</t>
        </is>
      </c>
      <c r="B1061" s="1" t="n">
        <v>45919.41467592592</v>
      </c>
      <c r="C1061" s="1" t="n">
        <v>45989</v>
      </c>
      <c r="D1061" t="inlineStr">
        <is>
          <t>VÄRMLANDS LÄN</t>
        </is>
      </c>
      <c r="E1061" t="inlineStr">
        <is>
          <t>TORSBY</t>
        </is>
      </c>
      <c r="F1061" t="inlineStr">
        <is>
          <t>Bergvik skog väst AB</t>
        </is>
      </c>
      <c r="G1061" t="n">
        <v>24.4</v>
      </c>
      <c r="H1061" t="n">
        <v>0</v>
      </c>
      <c r="I1061" t="n">
        <v>0</v>
      </c>
      <c r="J1061" t="n">
        <v>0</v>
      </c>
      <c r="K1061" t="n">
        <v>0</v>
      </c>
      <c r="L1061" t="n">
        <v>0</v>
      </c>
      <c r="M1061" t="n">
        <v>0</v>
      </c>
      <c r="N1061" t="n">
        <v>0</v>
      </c>
      <c r="O1061" t="n">
        <v>0</v>
      </c>
      <c r="P1061" t="n">
        <v>0</v>
      </c>
      <c r="Q1061" t="n">
        <v>0</v>
      </c>
      <c r="R1061" s="2" t="inlineStr"/>
    </row>
    <row r="1062" ht="15" customHeight="1">
      <c r="A1062" t="inlineStr">
        <is>
          <t>A 53848-2025</t>
        </is>
      </c>
      <c r="B1062" s="1" t="n">
        <v>45961.36832175926</v>
      </c>
      <c r="C1062" s="1" t="n">
        <v>45989</v>
      </c>
      <c r="D1062" t="inlineStr">
        <is>
          <t>VÄRMLANDS LÄN</t>
        </is>
      </c>
      <c r="E1062" t="inlineStr">
        <is>
          <t>TORSBY</t>
        </is>
      </c>
      <c r="G1062" t="n">
        <v>19.1</v>
      </c>
      <c r="H1062" t="n">
        <v>0</v>
      </c>
      <c r="I1062" t="n">
        <v>0</v>
      </c>
      <c r="J1062" t="n">
        <v>0</v>
      </c>
      <c r="K1062" t="n">
        <v>0</v>
      </c>
      <c r="L1062" t="n">
        <v>0</v>
      </c>
      <c r="M1062" t="n">
        <v>0</v>
      </c>
      <c r="N1062" t="n">
        <v>0</v>
      </c>
      <c r="O1062" t="n">
        <v>0</v>
      </c>
      <c r="P1062" t="n">
        <v>0</v>
      </c>
      <c r="Q1062" t="n">
        <v>0</v>
      </c>
      <c r="R1062" s="2" t="inlineStr"/>
    </row>
    <row r="1063" ht="15" customHeight="1">
      <c r="A1063" t="inlineStr">
        <is>
          <t>A 45245-2025</t>
        </is>
      </c>
      <c r="B1063" s="1" t="n">
        <v>45919.60621527778</v>
      </c>
      <c r="C1063" s="1" t="n">
        <v>45989</v>
      </c>
      <c r="D1063" t="inlineStr">
        <is>
          <t>VÄRMLANDS LÄN</t>
        </is>
      </c>
      <c r="E1063" t="inlineStr">
        <is>
          <t>TORSBY</t>
        </is>
      </c>
      <c r="F1063" t="inlineStr">
        <is>
          <t>Kyrkan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45268-2025</t>
        </is>
      </c>
      <c r="B1064" s="1" t="n">
        <v>45919.66782407407</v>
      </c>
      <c r="C1064" s="1" t="n">
        <v>45989</v>
      </c>
      <c r="D1064" t="inlineStr">
        <is>
          <t>VÄRMLANDS LÄN</t>
        </is>
      </c>
      <c r="E1064" t="inlineStr">
        <is>
          <t>TORSBY</t>
        </is>
      </c>
      <c r="F1064" t="inlineStr">
        <is>
          <t>Bergvik skog väst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45269-2025</t>
        </is>
      </c>
      <c r="B1065" s="1" t="n">
        <v>45919.67443287037</v>
      </c>
      <c r="C1065" s="1" t="n">
        <v>45989</v>
      </c>
      <c r="D1065" t="inlineStr">
        <is>
          <t>VÄRMLANDS LÄN</t>
        </is>
      </c>
      <c r="E1065" t="inlineStr">
        <is>
          <t>TORSBY</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11364-2023</t>
        </is>
      </c>
      <c r="B1066" s="1" t="n">
        <v>44993.43150462963</v>
      </c>
      <c r="C1066" s="1" t="n">
        <v>45989</v>
      </c>
      <c r="D1066" t="inlineStr">
        <is>
          <t>VÄRMLANDS LÄN</t>
        </is>
      </c>
      <c r="E1066" t="inlineStr">
        <is>
          <t>TORSBY</t>
        </is>
      </c>
      <c r="G1066" t="n">
        <v>31.9</v>
      </c>
      <c r="H1066" t="n">
        <v>0</v>
      </c>
      <c r="I1066" t="n">
        <v>0</v>
      </c>
      <c r="J1066" t="n">
        <v>0</v>
      </c>
      <c r="K1066" t="n">
        <v>0</v>
      </c>
      <c r="L1066" t="n">
        <v>0</v>
      </c>
      <c r="M1066" t="n">
        <v>0</v>
      </c>
      <c r="N1066" t="n">
        <v>0</v>
      </c>
      <c r="O1066" t="n">
        <v>0</v>
      </c>
      <c r="P1066" t="n">
        <v>0</v>
      </c>
      <c r="Q1066" t="n">
        <v>0</v>
      </c>
      <c r="R1066" s="2" t="inlineStr"/>
    </row>
    <row r="1067" ht="15" customHeight="1">
      <c r="A1067" t="inlineStr">
        <is>
          <t>A 35408-2025</t>
        </is>
      </c>
      <c r="B1067" s="1" t="n">
        <v>45855.37256944444</v>
      </c>
      <c r="C1067" s="1" t="n">
        <v>45989</v>
      </c>
      <c r="D1067" t="inlineStr">
        <is>
          <t>VÄRMLANDS LÄN</t>
        </is>
      </c>
      <c r="E1067" t="inlineStr">
        <is>
          <t>TORSBY</t>
        </is>
      </c>
      <c r="F1067" t="inlineStr">
        <is>
          <t>Bergvik skog väst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45043-2025</t>
        </is>
      </c>
      <c r="B1068" s="1" t="n">
        <v>45918.92902777778</v>
      </c>
      <c r="C1068" s="1" t="n">
        <v>45989</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54101-2025</t>
        </is>
      </c>
      <c r="B1069" s="1" t="n">
        <v>45964.42424768519</v>
      </c>
      <c r="C1069" s="1" t="n">
        <v>45989</v>
      </c>
      <c r="D1069" t="inlineStr">
        <is>
          <t>VÄRMLANDS LÄN</t>
        </is>
      </c>
      <c r="E1069" t="inlineStr">
        <is>
          <t>TORSBY</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61073-2024</t>
        </is>
      </c>
      <c r="B1070" s="1" t="n">
        <v>45645.50665509259</v>
      </c>
      <c r="C1070" s="1" t="n">
        <v>45989</v>
      </c>
      <c r="D1070" t="inlineStr">
        <is>
          <t>VÄRMLANDS LÄN</t>
        </is>
      </c>
      <c r="E1070" t="inlineStr">
        <is>
          <t>TORSBY</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54144-2025</t>
        </is>
      </c>
      <c r="B1071" s="1" t="n">
        <v>45964.48305555555</v>
      </c>
      <c r="C1071" s="1" t="n">
        <v>45989</v>
      </c>
      <c r="D1071" t="inlineStr">
        <is>
          <t>VÄRMLANDS LÄN</t>
        </is>
      </c>
      <c r="E1071" t="inlineStr">
        <is>
          <t>TORSBY</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5052-2025</t>
        </is>
      </c>
      <c r="B1072" s="1" t="n">
        <v>45691</v>
      </c>
      <c r="C1072" s="1" t="n">
        <v>45989</v>
      </c>
      <c r="D1072" t="inlineStr">
        <is>
          <t>VÄRMLANDS LÄN</t>
        </is>
      </c>
      <c r="E1072" t="inlineStr">
        <is>
          <t>TORSBY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52801-2024</t>
        </is>
      </c>
      <c r="B1073" s="1" t="n">
        <v>45610.56784722222</v>
      </c>
      <c r="C1073" s="1" t="n">
        <v>45989</v>
      </c>
      <c r="D1073" t="inlineStr">
        <is>
          <t>VÄRMLANDS LÄN</t>
        </is>
      </c>
      <c r="E1073" t="inlineStr">
        <is>
          <t>TORSBY</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7283-2023</t>
        </is>
      </c>
      <c r="B1074" s="1" t="n">
        <v>44970</v>
      </c>
      <c r="C1074" s="1" t="n">
        <v>45989</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25537-2022</t>
        </is>
      </c>
      <c r="B1075" s="1" t="n">
        <v>44732</v>
      </c>
      <c r="C1075" s="1" t="n">
        <v>45989</v>
      </c>
      <c r="D1075" t="inlineStr">
        <is>
          <t>VÄRMLANDS LÄN</t>
        </is>
      </c>
      <c r="E1075" t="inlineStr">
        <is>
          <t>TORSBY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20725-2024</t>
        </is>
      </c>
      <c r="B1076" s="1" t="n">
        <v>45436.65284722222</v>
      </c>
      <c r="C1076" s="1" t="n">
        <v>45989</v>
      </c>
      <c r="D1076" t="inlineStr">
        <is>
          <t>VÄRMLANDS LÄN</t>
        </is>
      </c>
      <c r="E1076" t="inlineStr">
        <is>
          <t>TORSBY</t>
        </is>
      </c>
      <c r="F1076" t="inlineStr">
        <is>
          <t>Bergvik skog väst AB</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11259-2024</t>
        </is>
      </c>
      <c r="B1077" s="1" t="n">
        <v>45371</v>
      </c>
      <c r="C1077" s="1" t="n">
        <v>45989</v>
      </c>
      <c r="D1077" t="inlineStr">
        <is>
          <t>VÄRMLANDS LÄN</t>
        </is>
      </c>
      <c r="E1077" t="inlineStr">
        <is>
          <t>TORSBY</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42481-2025</t>
        </is>
      </c>
      <c r="B1078" s="1" t="n">
        <v>45904</v>
      </c>
      <c r="C1078" s="1" t="n">
        <v>45989</v>
      </c>
      <c r="D1078" t="inlineStr">
        <is>
          <t>VÄRMLANDS LÄN</t>
        </is>
      </c>
      <c r="E1078" t="inlineStr">
        <is>
          <t>TORSBY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1161-2025</t>
        </is>
      </c>
      <c r="B1079" s="1" t="n">
        <v>45666</v>
      </c>
      <c r="C1079" s="1" t="n">
        <v>45989</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14800-2025</t>
        </is>
      </c>
      <c r="B1080" s="1" t="n">
        <v>45743</v>
      </c>
      <c r="C1080" s="1" t="n">
        <v>45989</v>
      </c>
      <c r="D1080" t="inlineStr">
        <is>
          <t>VÄRMLANDS LÄN</t>
        </is>
      </c>
      <c r="E1080" t="inlineStr">
        <is>
          <t>TORSBY</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38252-2023</t>
        </is>
      </c>
      <c r="B1081" s="1" t="n">
        <v>45161</v>
      </c>
      <c r="C1081" s="1" t="n">
        <v>45989</v>
      </c>
      <c r="D1081" t="inlineStr">
        <is>
          <t>VÄRMLANDS LÄN</t>
        </is>
      </c>
      <c r="E1081" t="inlineStr">
        <is>
          <t>TORSBY</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46915-2024</t>
        </is>
      </c>
      <c r="B1082" s="1" t="n">
        <v>45583</v>
      </c>
      <c r="C1082" s="1" t="n">
        <v>45989</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54079-2025</t>
        </is>
      </c>
      <c r="B1083" s="1" t="n">
        <v>45964.36883101852</v>
      </c>
      <c r="C1083" s="1" t="n">
        <v>45989</v>
      </c>
      <c r="D1083" t="inlineStr">
        <is>
          <t>VÄRMLANDS LÄN</t>
        </is>
      </c>
      <c r="E1083" t="inlineStr">
        <is>
          <t>TORSBY</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54091-2025</t>
        </is>
      </c>
      <c r="B1084" s="1" t="n">
        <v>45964.39363425926</v>
      </c>
      <c r="C1084" s="1" t="n">
        <v>45989</v>
      </c>
      <c r="D1084" t="inlineStr">
        <is>
          <t>VÄRMLANDS LÄN</t>
        </is>
      </c>
      <c r="E1084" t="inlineStr">
        <is>
          <t>TORSBY</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21516-2022</t>
        </is>
      </c>
      <c r="B1085" s="1" t="n">
        <v>44706</v>
      </c>
      <c r="C1085" s="1" t="n">
        <v>45989</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3397-2022</t>
        </is>
      </c>
      <c r="B1086" s="1" t="n">
        <v>44585</v>
      </c>
      <c r="C1086" s="1" t="n">
        <v>45989</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45093-2025</t>
        </is>
      </c>
      <c r="B1087" s="1" t="n">
        <v>45919.38398148148</v>
      </c>
      <c r="C1087" s="1" t="n">
        <v>45989</v>
      </c>
      <c r="D1087" t="inlineStr">
        <is>
          <t>VÄRMLANDS LÄN</t>
        </is>
      </c>
      <c r="E1087" t="inlineStr">
        <is>
          <t>TORSBY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45133-2025</t>
        </is>
      </c>
      <c r="B1088" s="1" t="n">
        <v>45919.4447337963</v>
      </c>
      <c r="C1088" s="1" t="n">
        <v>45989</v>
      </c>
      <c r="D1088" t="inlineStr">
        <is>
          <t>VÄRMLANDS LÄN</t>
        </is>
      </c>
      <c r="E1088" t="inlineStr">
        <is>
          <t>TORSBY</t>
        </is>
      </c>
      <c r="F1088" t="inlineStr">
        <is>
          <t>Bergvik skog väst AB</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54071-2025</t>
        </is>
      </c>
      <c r="B1089" s="1" t="n">
        <v>45962</v>
      </c>
      <c r="C1089" s="1" t="n">
        <v>45989</v>
      </c>
      <c r="D1089" t="inlineStr">
        <is>
          <t>VÄRMLANDS LÄN</t>
        </is>
      </c>
      <c r="E1089" t="inlineStr">
        <is>
          <t>TORSBY</t>
        </is>
      </c>
      <c r="F1089" t="inlineStr">
        <is>
          <t>Övriga Aktiebolag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45489-2025</t>
        </is>
      </c>
      <c r="B1090" s="1" t="n">
        <v>45921</v>
      </c>
      <c r="C1090" s="1" t="n">
        <v>45989</v>
      </c>
      <c r="D1090" t="inlineStr">
        <is>
          <t>VÄRMLANDS LÄN</t>
        </is>
      </c>
      <c r="E1090" t="inlineStr">
        <is>
          <t>TORSBY</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54168-2025</t>
        </is>
      </c>
      <c r="B1091" s="1" t="n">
        <v>45964.52528935186</v>
      </c>
      <c r="C1091" s="1" t="n">
        <v>45989</v>
      </c>
      <c r="D1091" t="inlineStr">
        <is>
          <t>VÄRMLANDS LÄN</t>
        </is>
      </c>
      <c r="E1091" t="inlineStr">
        <is>
          <t>TORSBY</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30735-2025</t>
        </is>
      </c>
      <c r="B1092" s="1" t="n">
        <v>45831.57479166667</v>
      </c>
      <c r="C1092" s="1" t="n">
        <v>45989</v>
      </c>
      <c r="D1092" t="inlineStr">
        <is>
          <t>VÄRMLANDS LÄN</t>
        </is>
      </c>
      <c r="E1092" t="inlineStr">
        <is>
          <t>TORSBY</t>
        </is>
      </c>
      <c r="F1092" t="inlineStr">
        <is>
          <t>Bergvik skog väst AB</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35817-2025</t>
        </is>
      </c>
      <c r="B1093" s="1" t="n">
        <v>45861.44365740741</v>
      </c>
      <c r="C1093" s="1" t="n">
        <v>45989</v>
      </c>
      <c r="D1093" t="inlineStr">
        <is>
          <t>VÄRMLANDS LÄN</t>
        </is>
      </c>
      <c r="E1093" t="inlineStr">
        <is>
          <t>TORSBY</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8022-2025</t>
        </is>
      </c>
      <c r="B1094" s="1" t="n">
        <v>45707.57733796296</v>
      </c>
      <c r="C1094" s="1" t="n">
        <v>45989</v>
      </c>
      <c r="D1094" t="inlineStr">
        <is>
          <t>VÄRMLANDS LÄN</t>
        </is>
      </c>
      <c r="E1094" t="inlineStr">
        <is>
          <t>TORSBY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35855-2025</t>
        </is>
      </c>
      <c r="B1095" s="1" t="n">
        <v>45861.61864583333</v>
      </c>
      <c r="C1095" s="1" t="n">
        <v>45989</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45425-2025</t>
        </is>
      </c>
      <c r="B1096" s="1" t="n">
        <v>45922.45195601852</v>
      </c>
      <c r="C1096" s="1" t="n">
        <v>45989</v>
      </c>
      <c r="D1096" t="inlineStr">
        <is>
          <t>VÄRMLANDS LÄN</t>
        </is>
      </c>
      <c r="E1096" t="inlineStr">
        <is>
          <t>TORSBY</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39767-2024</t>
        </is>
      </c>
      <c r="B1097" s="1" t="n">
        <v>45552</v>
      </c>
      <c r="C1097" s="1" t="n">
        <v>45989</v>
      </c>
      <c r="D1097" t="inlineStr">
        <is>
          <t>VÄRMLANDS LÄN</t>
        </is>
      </c>
      <c r="E1097" t="inlineStr">
        <is>
          <t>TORSBY</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23804-2022</t>
        </is>
      </c>
      <c r="B1098" s="1" t="n">
        <v>44722</v>
      </c>
      <c r="C1098" s="1" t="n">
        <v>45989</v>
      </c>
      <c r="D1098" t="inlineStr">
        <is>
          <t>VÄRMLANDS LÄN</t>
        </is>
      </c>
      <c r="E1098" t="inlineStr">
        <is>
          <t>TORSBY</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45490-2025</t>
        </is>
      </c>
      <c r="B1099" s="1" t="n">
        <v>45921</v>
      </c>
      <c r="C1099" s="1" t="n">
        <v>45989</v>
      </c>
      <c r="D1099" t="inlineStr">
        <is>
          <t>VÄRMLANDS LÄN</t>
        </is>
      </c>
      <c r="E1099" t="inlineStr">
        <is>
          <t>TORSBY</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45508-2025</t>
        </is>
      </c>
      <c r="B1100" s="1" t="n">
        <v>45922</v>
      </c>
      <c r="C1100" s="1" t="n">
        <v>45989</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35724-2022</t>
        </is>
      </c>
      <c r="B1101" s="1" t="n">
        <v>44799</v>
      </c>
      <c r="C1101" s="1" t="n">
        <v>45989</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30958-2025</t>
        </is>
      </c>
      <c r="B1102" s="1" t="n">
        <v>45832.43880787037</v>
      </c>
      <c r="C1102" s="1" t="n">
        <v>45989</v>
      </c>
      <c r="D1102" t="inlineStr">
        <is>
          <t>VÄRMLANDS LÄN</t>
        </is>
      </c>
      <c r="E1102" t="inlineStr">
        <is>
          <t>TORSBY</t>
        </is>
      </c>
      <c r="G1102" t="n">
        <v>28.5</v>
      </c>
      <c r="H1102" t="n">
        <v>0</v>
      </c>
      <c r="I1102" t="n">
        <v>0</v>
      </c>
      <c r="J1102" t="n">
        <v>0</v>
      </c>
      <c r="K1102" t="n">
        <v>0</v>
      </c>
      <c r="L1102" t="n">
        <v>0</v>
      </c>
      <c r="M1102" t="n">
        <v>0</v>
      </c>
      <c r="N1102" t="n">
        <v>0</v>
      </c>
      <c r="O1102" t="n">
        <v>0</v>
      </c>
      <c r="P1102" t="n">
        <v>0</v>
      </c>
      <c r="Q1102" t="n">
        <v>0</v>
      </c>
      <c r="R1102" s="2" t="inlineStr"/>
    </row>
    <row r="1103" ht="15" customHeight="1">
      <c r="A1103" t="inlineStr">
        <is>
          <t>A 54006-2024</t>
        </is>
      </c>
      <c r="B1103" s="1" t="n">
        <v>45616.3717824074</v>
      </c>
      <c r="C1103" s="1" t="n">
        <v>45989</v>
      </c>
      <c r="D1103" t="inlineStr">
        <is>
          <t>VÄRMLANDS LÄN</t>
        </is>
      </c>
      <c r="E1103" t="inlineStr">
        <is>
          <t>TORSBY</t>
        </is>
      </c>
      <c r="F1103" t="inlineStr">
        <is>
          <t>Kommuner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45615-2025</t>
        </is>
      </c>
      <c r="B1104" s="1" t="n">
        <v>45921</v>
      </c>
      <c r="C1104" s="1" t="n">
        <v>45989</v>
      </c>
      <c r="D1104" t="inlineStr">
        <is>
          <t>VÄRMLANDS LÄN</t>
        </is>
      </c>
      <c r="E1104" t="inlineStr">
        <is>
          <t>TORSBY</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45357-2025</t>
        </is>
      </c>
      <c r="B1105" s="1" t="n">
        <v>45922.36716435185</v>
      </c>
      <c r="C1105" s="1" t="n">
        <v>45989</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21078-2023</t>
        </is>
      </c>
      <c r="B1106" s="1" t="n">
        <v>45061</v>
      </c>
      <c r="C1106" s="1" t="n">
        <v>45989</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52564-2025</t>
        </is>
      </c>
      <c r="B1107" s="1" t="n">
        <v>45954</v>
      </c>
      <c r="C1107" s="1" t="n">
        <v>45989</v>
      </c>
      <c r="D1107" t="inlineStr">
        <is>
          <t>VÄRMLANDS LÄN</t>
        </is>
      </c>
      <c r="E1107" t="inlineStr">
        <is>
          <t>TORSBY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35965-2025</t>
        </is>
      </c>
      <c r="B1108" s="1" t="n">
        <v>45863.39790509259</v>
      </c>
      <c r="C1108" s="1" t="n">
        <v>45989</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7378-2025</t>
        </is>
      </c>
      <c r="B1109" s="1" t="n">
        <v>45705</v>
      </c>
      <c r="C1109" s="1" t="n">
        <v>45989</v>
      </c>
      <c r="D1109" t="inlineStr">
        <is>
          <t>VÄRMLANDS LÄN</t>
        </is>
      </c>
      <c r="E1109" t="inlineStr">
        <is>
          <t>TORSBY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35980-2025</t>
        </is>
      </c>
      <c r="B1110" s="1" t="n">
        <v>45863</v>
      </c>
      <c r="C1110" s="1" t="n">
        <v>45989</v>
      </c>
      <c r="D1110" t="inlineStr">
        <is>
          <t>VÄRMLANDS LÄN</t>
        </is>
      </c>
      <c r="E1110" t="inlineStr">
        <is>
          <t>TORSBY</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52062-2024</t>
        </is>
      </c>
      <c r="B1111" s="1" t="n">
        <v>45608</v>
      </c>
      <c r="C1111" s="1" t="n">
        <v>45989</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44292-2025</t>
        </is>
      </c>
      <c r="B1112" s="1" t="n">
        <v>45915</v>
      </c>
      <c r="C1112" s="1" t="n">
        <v>45989</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45360-2025</t>
        </is>
      </c>
      <c r="B1113" s="1" t="n">
        <v>45922.37266203704</v>
      </c>
      <c r="C1113" s="1" t="n">
        <v>45989</v>
      </c>
      <c r="D1113" t="inlineStr">
        <is>
          <t>VÄRMLANDS LÄN</t>
        </is>
      </c>
      <c r="E1113" t="inlineStr">
        <is>
          <t>TORSBY</t>
        </is>
      </c>
      <c r="F1113" t="inlineStr">
        <is>
          <t>Kommuner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25961-2025</t>
        </is>
      </c>
      <c r="B1114" s="1" t="n">
        <v>45804</v>
      </c>
      <c r="C1114" s="1" t="n">
        <v>45989</v>
      </c>
      <c r="D1114" t="inlineStr">
        <is>
          <t>VÄRMLANDS LÄN</t>
        </is>
      </c>
      <c r="E1114" t="inlineStr">
        <is>
          <t>TORSBY</t>
        </is>
      </c>
      <c r="G1114" t="n">
        <v>17.8</v>
      </c>
      <c r="H1114" t="n">
        <v>0</v>
      </c>
      <c r="I1114" t="n">
        <v>0</v>
      </c>
      <c r="J1114" t="n">
        <v>0</v>
      </c>
      <c r="K1114" t="n">
        <v>0</v>
      </c>
      <c r="L1114" t="n">
        <v>0</v>
      </c>
      <c r="M1114" t="n">
        <v>0</v>
      </c>
      <c r="N1114" t="n">
        <v>0</v>
      </c>
      <c r="O1114" t="n">
        <v>0</v>
      </c>
      <c r="P1114" t="n">
        <v>0</v>
      </c>
      <c r="Q1114" t="n">
        <v>0</v>
      </c>
      <c r="R1114" s="2" t="inlineStr"/>
    </row>
    <row r="1115" ht="15" customHeight="1">
      <c r="A1115" t="inlineStr">
        <is>
          <t>A 35987-2025</t>
        </is>
      </c>
      <c r="B1115" s="1" t="n">
        <v>45863.46144675926</v>
      </c>
      <c r="C1115" s="1" t="n">
        <v>45989</v>
      </c>
      <c r="D1115" t="inlineStr">
        <is>
          <t>VÄRMLANDS LÄN</t>
        </is>
      </c>
      <c r="E1115" t="inlineStr">
        <is>
          <t>TORSBY</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10027-2023</t>
        </is>
      </c>
      <c r="B1116" s="1" t="n">
        <v>44979</v>
      </c>
      <c r="C1116" s="1" t="n">
        <v>45989</v>
      </c>
      <c r="D1116" t="inlineStr">
        <is>
          <t>VÄRMLANDS LÄN</t>
        </is>
      </c>
      <c r="E1116" t="inlineStr">
        <is>
          <t>TORSBY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48721-2024</t>
        </is>
      </c>
      <c r="B1117" s="1" t="n">
        <v>45593.54752314815</v>
      </c>
      <c r="C1117" s="1" t="n">
        <v>45989</v>
      </c>
      <c r="D1117" t="inlineStr">
        <is>
          <t>VÄRMLANDS LÄN</t>
        </is>
      </c>
      <c r="E1117" t="inlineStr">
        <is>
          <t>TORSBY</t>
        </is>
      </c>
      <c r="F1117" t="inlineStr">
        <is>
          <t>Bergvik skog väst AB</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39746-2024</t>
        </is>
      </c>
      <c r="B1118" s="1" t="n">
        <v>45552</v>
      </c>
      <c r="C1118" s="1" t="n">
        <v>45989</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54732-2025</t>
        </is>
      </c>
      <c r="B1119" s="1" t="n">
        <v>45966.56212962963</v>
      </c>
      <c r="C1119" s="1" t="n">
        <v>45989</v>
      </c>
      <c r="D1119" t="inlineStr">
        <is>
          <t>VÄRMLANDS LÄN</t>
        </is>
      </c>
      <c r="E1119" t="inlineStr">
        <is>
          <t>TORSBY</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54734-2025</t>
        </is>
      </c>
      <c r="B1120" s="1" t="n">
        <v>45966.56431712963</v>
      </c>
      <c r="C1120" s="1" t="n">
        <v>45989</v>
      </c>
      <c r="D1120" t="inlineStr">
        <is>
          <t>VÄRMLANDS LÄN</t>
        </is>
      </c>
      <c r="E1120" t="inlineStr">
        <is>
          <t>TORSBY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54784-2025</t>
        </is>
      </c>
      <c r="B1121" s="1" t="n">
        <v>45966.62114583333</v>
      </c>
      <c r="C1121" s="1" t="n">
        <v>45989</v>
      </c>
      <c r="D1121" t="inlineStr">
        <is>
          <t>VÄRMLANDS LÄN</t>
        </is>
      </c>
      <c r="E1121" t="inlineStr">
        <is>
          <t>TORSBY</t>
        </is>
      </c>
      <c r="F1121" t="inlineStr">
        <is>
          <t>Bergvik skog väst AB</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8188-2025</t>
        </is>
      </c>
      <c r="B1122" s="1" t="n">
        <v>45708.40246527778</v>
      </c>
      <c r="C1122" s="1" t="n">
        <v>45989</v>
      </c>
      <c r="D1122" t="inlineStr">
        <is>
          <t>VÄRMLANDS LÄN</t>
        </is>
      </c>
      <c r="E1122" t="inlineStr">
        <is>
          <t>TORSBY</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45967-2025</t>
        </is>
      </c>
      <c r="B1123" s="1" t="n">
        <v>45924</v>
      </c>
      <c r="C1123" s="1" t="n">
        <v>45989</v>
      </c>
      <c r="D1123" t="inlineStr">
        <is>
          <t>VÄRMLANDS LÄN</t>
        </is>
      </c>
      <c r="E1123" t="inlineStr">
        <is>
          <t>TORSBY</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45825-2025</t>
        </is>
      </c>
      <c r="B1124" s="1" t="n">
        <v>45923.59983796296</v>
      </c>
      <c r="C1124" s="1" t="n">
        <v>45989</v>
      </c>
      <c r="D1124" t="inlineStr">
        <is>
          <t>VÄRMLANDS LÄN</t>
        </is>
      </c>
      <c r="E1124" t="inlineStr">
        <is>
          <t>TORSBY</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20191-2025</t>
        </is>
      </c>
      <c r="B1125" s="1" t="n">
        <v>45772</v>
      </c>
      <c r="C1125" s="1" t="n">
        <v>45989</v>
      </c>
      <c r="D1125" t="inlineStr">
        <is>
          <t>VÄRMLANDS LÄN</t>
        </is>
      </c>
      <c r="E1125" t="inlineStr">
        <is>
          <t>TORSBY</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45966-2025</t>
        </is>
      </c>
      <c r="B1126" s="1" t="n">
        <v>45924</v>
      </c>
      <c r="C1126" s="1" t="n">
        <v>45989</v>
      </c>
      <c r="D1126" t="inlineStr">
        <is>
          <t>VÄRMLANDS LÄN</t>
        </is>
      </c>
      <c r="E1126" t="inlineStr">
        <is>
          <t>TORSBY</t>
        </is>
      </c>
      <c r="F1126" t="inlineStr">
        <is>
          <t>Övriga Aktiebolag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38991-2023</t>
        </is>
      </c>
      <c r="B1127" s="1" t="n">
        <v>45163.65929398148</v>
      </c>
      <c r="C1127" s="1" t="n">
        <v>45989</v>
      </c>
      <c r="D1127" t="inlineStr">
        <is>
          <t>VÄRMLANDS LÄN</t>
        </is>
      </c>
      <c r="E1127" t="inlineStr">
        <is>
          <t>TORSBY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36288-2025</t>
        </is>
      </c>
      <c r="B1128" s="1" t="n">
        <v>45867.6619212963</v>
      </c>
      <c r="C1128" s="1" t="n">
        <v>45989</v>
      </c>
      <c r="D1128" t="inlineStr">
        <is>
          <t>VÄRMLANDS LÄN</t>
        </is>
      </c>
      <c r="E1128" t="inlineStr">
        <is>
          <t>TORSBY</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36289-2025</t>
        </is>
      </c>
      <c r="B1129" s="1" t="n">
        <v>45867.66329861111</v>
      </c>
      <c r="C1129" s="1" t="n">
        <v>45989</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36256-2025</t>
        </is>
      </c>
      <c r="B1130" s="1" t="n">
        <v>45867.58938657407</v>
      </c>
      <c r="C1130" s="1" t="n">
        <v>45989</v>
      </c>
      <c r="D1130" t="inlineStr">
        <is>
          <t>VÄRMLANDS LÄN</t>
        </is>
      </c>
      <c r="E1130" t="inlineStr">
        <is>
          <t>TORSBY</t>
        </is>
      </c>
      <c r="F1130" t="inlineStr">
        <is>
          <t>Bergvik skog väst AB</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45679-2025</t>
        </is>
      </c>
      <c r="B1131" s="1" t="n">
        <v>45923.36864583333</v>
      </c>
      <c r="C1131" s="1" t="n">
        <v>45989</v>
      </c>
      <c r="D1131" t="inlineStr">
        <is>
          <t>VÄRMLANDS LÄN</t>
        </is>
      </c>
      <c r="E1131" t="inlineStr">
        <is>
          <t>TORSBY</t>
        </is>
      </c>
      <c r="F1131" t="inlineStr">
        <is>
          <t>Bergvik skog väst AB</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11670-2025</t>
        </is>
      </c>
      <c r="B1132" s="1" t="n">
        <v>45727</v>
      </c>
      <c r="C1132" s="1" t="n">
        <v>45989</v>
      </c>
      <c r="D1132" t="inlineStr">
        <is>
          <t>VÄRMLANDS LÄN</t>
        </is>
      </c>
      <c r="E1132" t="inlineStr">
        <is>
          <t>TORSBY</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906-2025</t>
        </is>
      </c>
      <c r="B1133" s="1" t="n">
        <v>45664</v>
      </c>
      <c r="C1133" s="1" t="n">
        <v>45989</v>
      </c>
      <c r="D1133" t="inlineStr">
        <is>
          <t>VÄRMLANDS LÄN</t>
        </is>
      </c>
      <c r="E1133" t="inlineStr">
        <is>
          <t>TORSBY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54817-2025</t>
        </is>
      </c>
      <c r="B1134" s="1" t="n">
        <v>45966.65671296296</v>
      </c>
      <c r="C1134" s="1" t="n">
        <v>45989</v>
      </c>
      <c r="D1134" t="inlineStr">
        <is>
          <t>VÄRMLANDS LÄN</t>
        </is>
      </c>
      <c r="E1134" t="inlineStr">
        <is>
          <t>TORSBY</t>
        </is>
      </c>
      <c r="F1134" t="inlineStr">
        <is>
          <t>Bergvik skog väst AB</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17053-2025</t>
        </is>
      </c>
      <c r="B1135" s="1" t="n">
        <v>45754</v>
      </c>
      <c r="C1135" s="1" t="n">
        <v>45989</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36258-2025</t>
        </is>
      </c>
      <c r="B1136" s="1" t="n">
        <v>45867.59559027778</v>
      </c>
      <c r="C1136" s="1" t="n">
        <v>45989</v>
      </c>
      <c r="D1136" t="inlineStr">
        <is>
          <t>VÄRMLANDS LÄN</t>
        </is>
      </c>
      <c r="E1136" t="inlineStr">
        <is>
          <t>TORSBY</t>
        </is>
      </c>
      <c r="F1136" t="inlineStr">
        <is>
          <t>Bergvik skog väst AB</t>
        </is>
      </c>
      <c r="G1136" t="n">
        <v>13.7</v>
      </c>
      <c r="H1136" t="n">
        <v>0</v>
      </c>
      <c r="I1136" t="n">
        <v>0</v>
      </c>
      <c r="J1136" t="n">
        <v>0</v>
      </c>
      <c r="K1136" t="n">
        <v>0</v>
      </c>
      <c r="L1136" t="n">
        <v>0</v>
      </c>
      <c r="M1136" t="n">
        <v>0</v>
      </c>
      <c r="N1136" t="n">
        <v>0</v>
      </c>
      <c r="O1136" t="n">
        <v>0</v>
      </c>
      <c r="P1136" t="n">
        <v>0</v>
      </c>
      <c r="Q1136" t="n">
        <v>0</v>
      </c>
      <c r="R1136" s="2" t="inlineStr"/>
    </row>
    <row r="1137" ht="15" customHeight="1">
      <c r="A1137" t="inlineStr">
        <is>
          <t>A 32624-2025</t>
        </is>
      </c>
      <c r="B1137" s="1" t="n">
        <v>45838.64796296296</v>
      </c>
      <c r="C1137" s="1" t="n">
        <v>45989</v>
      </c>
      <c r="D1137" t="inlineStr">
        <is>
          <t>VÄRMLANDS LÄN</t>
        </is>
      </c>
      <c r="E1137" t="inlineStr">
        <is>
          <t>TORSBY</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26686-2022</t>
        </is>
      </c>
      <c r="B1138" s="1" t="n">
        <v>44739.67833333334</v>
      </c>
      <c r="C1138" s="1" t="n">
        <v>45989</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38076-2024</t>
        </is>
      </c>
      <c r="B1139" s="1" t="n">
        <v>45544</v>
      </c>
      <c r="C1139" s="1" t="n">
        <v>45989</v>
      </c>
      <c r="D1139" t="inlineStr">
        <is>
          <t>VÄRMLANDS LÄN</t>
        </is>
      </c>
      <c r="E1139" t="inlineStr">
        <is>
          <t>TORSBY</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36287-2025</t>
        </is>
      </c>
      <c r="B1140" s="1" t="n">
        <v>45867.65814814815</v>
      </c>
      <c r="C1140" s="1" t="n">
        <v>45989</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1432-2025</t>
        </is>
      </c>
      <c r="B1141" s="1" t="n">
        <v>45669</v>
      </c>
      <c r="C1141" s="1" t="n">
        <v>45989</v>
      </c>
      <c r="D1141" t="inlineStr">
        <is>
          <t>VÄRMLANDS LÄN</t>
        </is>
      </c>
      <c r="E1141" t="inlineStr">
        <is>
          <t>TORSBY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1435-2025</t>
        </is>
      </c>
      <c r="B1142" s="1" t="n">
        <v>45669</v>
      </c>
      <c r="C1142" s="1" t="n">
        <v>45989</v>
      </c>
      <c r="D1142" t="inlineStr">
        <is>
          <t>VÄRMLANDS LÄN</t>
        </is>
      </c>
      <c r="E1142" t="inlineStr">
        <is>
          <t>TORSBY</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36279-2025</t>
        </is>
      </c>
      <c r="B1143" s="1" t="n">
        <v>45867.638125</v>
      </c>
      <c r="C1143" s="1" t="n">
        <v>45989</v>
      </c>
      <c r="D1143" t="inlineStr">
        <is>
          <t>VÄRMLANDS LÄN</t>
        </is>
      </c>
      <c r="E1143" t="inlineStr">
        <is>
          <t>TORSBY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21585-2024</t>
        </is>
      </c>
      <c r="B1144" s="1" t="n">
        <v>45441</v>
      </c>
      <c r="C1144" s="1" t="n">
        <v>45989</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46102-2025</t>
        </is>
      </c>
      <c r="B1145" s="1" t="n">
        <v>45924</v>
      </c>
      <c r="C1145" s="1" t="n">
        <v>45989</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46110-2025</t>
        </is>
      </c>
      <c r="B1146" s="1" t="n">
        <v>45924</v>
      </c>
      <c r="C1146" s="1" t="n">
        <v>45989</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30836-2025</t>
        </is>
      </c>
      <c r="B1147" s="1" t="n">
        <v>45831.70571759259</v>
      </c>
      <c r="C1147" s="1" t="n">
        <v>45989</v>
      </c>
      <c r="D1147" t="inlineStr">
        <is>
          <t>VÄRMLANDS LÄN</t>
        </is>
      </c>
      <c r="E1147" t="inlineStr">
        <is>
          <t>TORSBY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28559-2021</t>
        </is>
      </c>
      <c r="B1148" s="1" t="n">
        <v>44356</v>
      </c>
      <c r="C1148" s="1" t="n">
        <v>45989</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36548-2025</t>
        </is>
      </c>
      <c r="B1149" s="1" t="n">
        <v>45869.74849537037</v>
      </c>
      <c r="C1149" s="1" t="n">
        <v>45989</v>
      </c>
      <c r="D1149" t="inlineStr">
        <is>
          <t>VÄRMLANDS LÄN</t>
        </is>
      </c>
      <c r="E1149" t="inlineStr">
        <is>
          <t>TORSBY</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52843-2025</t>
        </is>
      </c>
      <c r="B1150" s="1" t="n">
        <v>45957</v>
      </c>
      <c r="C1150" s="1" t="n">
        <v>45989</v>
      </c>
      <c r="D1150" t="inlineStr">
        <is>
          <t>VÄRMLANDS LÄN</t>
        </is>
      </c>
      <c r="E1150" t="inlineStr">
        <is>
          <t>TORSBY</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51987-2024</t>
        </is>
      </c>
      <c r="B1151" s="1" t="n">
        <v>45607</v>
      </c>
      <c r="C1151" s="1" t="n">
        <v>45989</v>
      </c>
      <c r="D1151" t="inlineStr">
        <is>
          <t>VÄRMLANDS LÄN</t>
        </is>
      </c>
      <c r="E1151" t="inlineStr">
        <is>
          <t>TORSBY</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36530-2025</t>
        </is>
      </c>
      <c r="B1152" s="1" t="n">
        <v>45869.61282407407</v>
      </c>
      <c r="C1152" s="1" t="n">
        <v>45989</v>
      </c>
      <c r="D1152" t="inlineStr">
        <is>
          <t>VÄRMLANDS LÄN</t>
        </is>
      </c>
      <c r="E1152" t="inlineStr">
        <is>
          <t>TORSBY</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54412-2025</t>
        </is>
      </c>
      <c r="B1153" s="1" t="n">
        <v>45965.46076388889</v>
      </c>
      <c r="C1153" s="1" t="n">
        <v>45989</v>
      </c>
      <c r="D1153" t="inlineStr">
        <is>
          <t>VÄRMLANDS LÄN</t>
        </is>
      </c>
      <c r="E1153" t="inlineStr">
        <is>
          <t>TORSBY</t>
        </is>
      </c>
      <c r="F1153" t="inlineStr">
        <is>
          <t>Bergvik skog väst AB</t>
        </is>
      </c>
      <c r="G1153" t="n">
        <v>37.8</v>
      </c>
      <c r="H1153" t="n">
        <v>0</v>
      </c>
      <c r="I1153" t="n">
        <v>0</v>
      </c>
      <c r="J1153" t="n">
        <v>0</v>
      </c>
      <c r="K1153" t="n">
        <v>0</v>
      </c>
      <c r="L1153" t="n">
        <v>0</v>
      </c>
      <c r="M1153" t="n">
        <v>0</v>
      </c>
      <c r="N1153" t="n">
        <v>0</v>
      </c>
      <c r="O1153" t="n">
        <v>0</v>
      </c>
      <c r="P1153" t="n">
        <v>0</v>
      </c>
      <c r="Q1153" t="n">
        <v>0</v>
      </c>
      <c r="R1153" s="2" t="inlineStr"/>
    </row>
    <row r="1154" ht="15" customHeight="1">
      <c r="A1154" t="inlineStr">
        <is>
          <t>A 36477-2025</t>
        </is>
      </c>
      <c r="B1154" s="1" t="n">
        <v>45869</v>
      </c>
      <c r="C1154" s="1" t="n">
        <v>45989</v>
      </c>
      <c r="D1154" t="inlineStr">
        <is>
          <t>VÄRMLANDS LÄN</t>
        </is>
      </c>
      <c r="E1154" t="inlineStr">
        <is>
          <t>TORSBY</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36498-2025</t>
        </is>
      </c>
      <c r="B1155" s="1" t="n">
        <v>45869</v>
      </c>
      <c r="C1155" s="1" t="n">
        <v>45989</v>
      </c>
      <c r="D1155" t="inlineStr">
        <is>
          <t>VÄRMLANDS LÄN</t>
        </is>
      </c>
      <c r="E1155" t="inlineStr">
        <is>
          <t>TORSBY</t>
        </is>
      </c>
      <c r="F1155" t="inlineStr">
        <is>
          <t>Bergvik skog väst AB</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36500-2025</t>
        </is>
      </c>
      <c r="B1156" s="1" t="n">
        <v>45869</v>
      </c>
      <c r="C1156" s="1" t="n">
        <v>45989</v>
      </c>
      <c r="D1156" t="inlineStr">
        <is>
          <t>VÄRMLANDS LÄN</t>
        </is>
      </c>
      <c r="E1156" t="inlineStr">
        <is>
          <t>TORSBY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46503-2024</t>
        </is>
      </c>
      <c r="B1157" s="1" t="n">
        <v>45582</v>
      </c>
      <c r="C1157" s="1" t="n">
        <v>45989</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21790-2023</t>
        </is>
      </c>
      <c r="B1158" s="1" t="n">
        <v>45067</v>
      </c>
      <c r="C1158" s="1" t="n">
        <v>45989</v>
      </c>
      <c r="D1158" t="inlineStr">
        <is>
          <t>VÄRMLANDS LÄN</t>
        </is>
      </c>
      <c r="E1158" t="inlineStr">
        <is>
          <t>TORSBY</t>
        </is>
      </c>
      <c r="F1158" t="inlineStr">
        <is>
          <t>Övriga statliga verk och myndigheter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36483-2025</t>
        </is>
      </c>
      <c r="B1159" s="1" t="n">
        <v>45869</v>
      </c>
      <c r="C1159" s="1" t="n">
        <v>45989</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43157-2021</t>
        </is>
      </c>
      <c r="B1160" s="1" t="n">
        <v>44431</v>
      </c>
      <c r="C1160" s="1" t="n">
        <v>45989</v>
      </c>
      <c r="D1160" t="inlineStr">
        <is>
          <t>VÄRMLANDS LÄN</t>
        </is>
      </c>
      <c r="E1160" t="inlineStr">
        <is>
          <t>TORSBY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43529-2023</t>
        </is>
      </c>
      <c r="B1161" s="1" t="n">
        <v>45181</v>
      </c>
      <c r="C1161" s="1" t="n">
        <v>45989</v>
      </c>
      <c r="D1161" t="inlineStr">
        <is>
          <t>VÄRMLANDS LÄN</t>
        </is>
      </c>
      <c r="E1161" t="inlineStr">
        <is>
          <t>TORSBY</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54729-2025</t>
        </is>
      </c>
      <c r="B1162" s="1" t="n">
        <v>45966.55791666666</v>
      </c>
      <c r="C1162" s="1" t="n">
        <v>45989</v>
      </c>
      <c r="D1162" t="inlineStr">
        <is>
          <t>VÄRMLANDS LÄN</t>
        </is>
      </c>
      <c r="E1162" t="inlineStr">
        <is>
          <t>TORSBY</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68153-2021</t>
        </is>
      </c>
      <c r="B1163" s="1" t="n">
        <v>44526.43881944445</v>
      </c>
      <c r="C1163" s="1" t="n">
        <v>45989</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54505-2025</t>
        </is>
      </c>
      <c r="B1164" s="1" t="n">
        <v>45965.6169212963</v>
      </c>
      <c r="C1164" s="1" t="n">
        <v>45989</v>
      </c>
      <c r="D1164" t="inlineStr">
        <is>
          <t>VÄRMLANDS LÄN</t>
        </is>
      </c>
      <c r="E1164" t="inlineStr">
        <is>
          <t>TORSBY</t>
        </is>
      </c>
      <c r="F1164" t="inlineStr">
        <is>
          <t>Bergvik skog väst AB</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36856-2025</t>
        </is>
      </c>
      <c r="B1165" s="1" t="n">
        <v>45874.40421296296</v>
      </c>
      <c r="C1165" s="1" t="n">
        <v>45989</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27115-2024</t>
        </is>
      </c>
      <c r="B1166" s="1" t="n">
        <v>45471</v>
      </c>
      <c r="C1166" s="1" t="n">
        <v>45989</v>
      </c>
      <c r="D1166" t="inlineStr">
        <is>
          <t>VÄRMLANDS LÄN</t>
        </is>
      </c>
      <c r="E1166" t="inlineStr">
        <is>
          <t>TORSBY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27144-2024</t>
        </is>
      </c>
      <c r="B1167" s="1" t="n">
        <v>45471.55459490741</v>
      </c>
      <c r="C1167" s="1" t="n">
        <v>45989</v>
      </c>
      <c r="D1167" t="inlineStr">
        <is>
          <t>VÄRMLANDS LÄN</t>
        </is>
      </c>
      <c r="E1167" t="inlineStr">
        <is>
          <t>TORSBY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25090-2023</t>
        </is>
      </c>
      <c r="B1168" s="1" t="n">
        <v>45086</v>
      </c>
      <c r="C1168" s="1" t="n">
        <v>45989</v>
      </c>
      <c r="D1168" t="inlineStr">
        <is>
          <t>VÄRMLANDS LÄN</t>
        </is>
      </c>
      <c r="E1168" t="inlineStr">
        <is>
          <t>TORSBY</t>
        </is>
      </c>
      <c r="F1168" t="inlineStr">
        <is>
          <t>Bergvik skog väst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54762-2025</t>
        </is>
      </c>
      <c r="B1169" s="1" t="n">
        <v>45966.60082175926</v>
      </c>
      <c r="C1169" s="1" t="n">
        <v>45989</v>
      </c>
      <c r="D1169" t="inlineStr">
        <is>
          <t>VÄRMLANDS LÄN</t>
        </is>
      </c>
      <c r="E1169" t="inlineStr">
        <is>
          <t>TORSBY</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41253-2021</t>
        </is>
      </c>
      <c r="B1170" s="1" t="n">
        <v>44424</v>
      </c>
      <c r="C1170" s="1" t="n">
        <v>45989</v>
      </c>
      <c r="D1170" t="inlineStr">
        <is>
          <t>VÄRMLANDS LÄN</t>
        </is>
      </c>
      <c r="E1170" t="inlineStr">
        <is>
          <t>TORSBY</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11569-2025</t>
        </is>
      </c>
      <c r="B1171" s="1" t="n">
        <v>45727.37971064815</v>
      </c>
      <c r="C1171" s="1" t="n">
        <v>45989</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53583-2024</t>
        </is>
      </c>
      <c r="B1172" s="1" t="n">
        <v>45614.66449074074</v>
      </c>
      <c r="C1172" s="1" t="n">
        <v>45989</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38699-2022</t>
        </is>
      </c>
      <c r="B1173" s="1" t="n">
        <v>44814.53259259259</v>
      </c>
      <c r="C1173" s="1" t="n">
        <v>45989</v>
      </c>
      <c r="D1173" t="inlineStr">
        <is>
          <t>VÄRMLANDS LÄN</t>
        </is>
      </c>
      <c r="E1173" t="inlineStr">
        <is>
          <t>TORSBY</t>
        </is>
      </c>
      <c r="F1173" t="inlineStr">
        <is>
          <t>Bergvik skog väst AB</t>
        </is>
      </c>
      <c r="G1173" t="n">
        <v>22.6</v>
      </c>
      <c r="H1173" t="n">
        <v>0</v>
      </c>
      <c r="I1173" t="n">
        <v>0</v>
      </c>
      <c r="J1173" t="n">
        <v>0</v>
      </c>
      <c r="K1173" t="n">
        <v>0</v>
      </c>
      <c r="L1173" t="n">
        <v>0</v>
      </c>
      <c r="M1173" t="n">
        <v>0</v>
      </c>
      <c r="N1173" t="n">
        <v>0</v>
      </c>
      <c r="O1173" t="n">
        <v>0</v>
      </c>
      <c r="P1173" t="n">
        <v>0</v>
      </c>
      <c r="Q1173" t="n">
        <v>0</v>
      </c>
      <c r="R1173" s="2" t="inlineStr"/>
    </row>
    <row r="1174" ht="15" customHeight="1">
      <c r="A1174" t="inlineStr">
        <is>
          <t>A 37913-2022</t>
        </is>
      </c>
      <c r="B1174" s="1" t="n">
        <v>44811</v>
      </c>
      <c r="C1174" s="1" t="n">
        <v>45989</v>
      </c>
      <c r="D1174" t="inlineStr">
        <is>
          <t>VÄRMLANDS LÄN</t>
        </is>
      </c>
      <c r="E1174" t="inlineStr">
        <is>
          <t>TORSBY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52750-2024</t>
        </is>
      </c>
      <c r="B1175" s="1" t="n">
        <v>45610</v>
      </c>
      <c r="C1175" s="1" t="n">
        <v>45989</v>
      </c>
      <c r="D1175" t="inlineStr">
        <is>
          <t>VÄRMLANDS LÄN</t>
        </is>
      </c>
      <c r="E1175" t="inlineStr">
        <is>
          <t>TORSBY</t>
        </is>
      </c>
      <c r="F1175" t="inlineStr">
        <is>
          <t>Kyrkan</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364-2025</t>
        </is>
      </c>
      <c r="B1176" s="1" t="n">
        <v>45661</v>
      </c>
      <c r="C1176" s="1" t="n">
        <v>45989</v>
      </c>
      <c r="D1176" t="inlineStr">
        <is>
          <t>VÄRMLANDS LÄN</t>
        </is>
      </c>
      <c r="E1176" t="inlineStr">
        <is>
          <t>TORSBY</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51662-2024</t>
        </is>
      </c>
      <c r="B1177" s="1" t="n">
        <v>45606.75559027777</v>
      </c>
      <c r="C1177" s="1" t="n">
        <v>45989</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44720.40818287037</v>
      </c>
      <c r="C1178" s="1" t="n">
        <v>45989</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47141-2022</t>
        </is>
      </c>
      <c r="B1179" s="1" t="n">
        <v>44852.56548611111</v>
      </c>
      <c r="C1179" s="1" t="n">
        <v>45989</v>
      </c>
      <c r="D1179" t="inlineStr">
        <is>
          <t>VÄRMLANDS LÄN</t>
        </is>
      </c>
      <c r="E1179" t="inlineStr">
        <is>
          <t>TORSBY</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57809-2024</t>
        </is>
      </c>
      <c r="B1180" s="1" t="n">
        <v>45631</v>
      </c>
      <c r="C1180" s="1" t="n">
        <v>45989</v>
      </c>
      <c r="D1180" t="inlineStr">
        <is>
          <t>VÄRMLANDS LÄN</t>
        </is>
      </c>
      <c r="E1180" t="inlineStr">
        <is>
          <t>TORSBY</t>
        </is>
      </c>
      <c r="F1180" t="inlineStr">
        <is>
          <t>Bergvik skog väst AB</t>
        </is>
      </c>
      <c r="G1180" t="n">
        <v>10.9</v>
      </c>
      <c r="H1180" t="n">
        <v>0</v>
      </c>
      <c r="I1180" t="n">
        <v>0</v>
      </c>
      <c r="J1180" t="n">
        <v>0</v>
      </c>
      <c r="K1180" t="n">
        <v>0</v>
      </c>
      <c r="L1180" t="n">
        <v>0</v>
      </c>
      <c r="M1180" t="n">
        <v>0</v>
      </c>
      <c r="N1180" t="n">
        <v>0</v>
      </c>
      <c r="O1180" t="n">
        <v>0</v>
      </c>
      <c r="P1180" t="n">
        <v>0</v>
      </c>
      <c r="Q1180" t="n">
        <v>0</v>
      </c>
      <c r="R1180" s="2" t="inlineStr"/>
    </row>
    <row r="1181" ht="15" customHeight="1">
      <c r="A1181" t="inlineStr">
        <is>
          <t>A 31936-2023</t>
        </is>
      </c>
      <c r="B1181" s="1" t="n">
        <v>45107</v>
      </c>
      <c r="C1181" s="1" t="n">
        <v>45989</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46658-2025</t>
        </is>
      </c>
      <c r="B1182" s="1" t="n">
        <v>45926.49914351852</v>
      </c>
      <c r="C1182" s="1" t="n">
        <v>45989</v>
      </c>
      <c r="D1182" t="inlineStr">
        <is>
          <t>VÄRMLANDS LÄN</t>
        </is>
      </c>
      <c r="E1182" t="inlineStr">
        <is>
          <t>TORSBY</t>
        </is>
      </c>
      <c r="F1182" t="inlineStr">
        <is>
          <t>Bergvik skog väst AB</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46503-2025</t>
        </is>
      </c>
      <c r="B1183" s="1" t="n">
        <v>45925</v>
      </c>
      <c r="C1183" s="1" t="n">
        <v>45989</v>
      </c>
      <c r="D1183" t="inlineStr">
        <is>
          <t>VÄRMLANDS LÄN</t>
        </is>
      </c>
      <c r="E1183" t="inlineStr">
        <is>
          <t>TORSBY</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1512-2025</t>
        </is>
      </c>
      <c r="B1184" s="1" t="n">
        <v>45670.45255787037</v>
      </c>
      <c r="C1184" s="1" t="n">
        <v>45989</v>
      </c>
      <c r="D1184" t="inlineStr">
        <is>
          <t>VÄRMLANDS LÄN</t>
        </is>
      </c>
      <c r="E1184" t="inlineStr">
        <is>
          <t>TORSBY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61206-2024</t>
        </is>
      </c>
      <c r="B1185" s="1" t="n">
        <v>45645.64626157407</v>
      </c>
      <c r="C1185" s="1" t="n">
        <v>45989</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40036-2022</t>
        </is>
      </c>
      <c r="B1186" s="1" t="n">
        <v>44820.43179398148</v>
      </c>
      <c r="C1186" s="1" t="n">
        <v>45989</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36920-2025</t>
        </is>
      </c>
      <c r="B1187" s="1" t="n">
        <v>45874</v>
      </c>
      <c r="C1187" s="1" t="n">
        <v>45989</v>
      </c>
      <c r="D1187" t="inlineStr">
        <is>
          <t>VÄRMLANDS LÄN</t>
        </is>
      </c>
      <c r="E1187" t="inlineStr">
        <is>
          <t>TORSBY</t>
        </is>
      </c>
      <c r="F1187" t="inlineStr">
        <is>
          <t>Bergvik skog väst AB</t>
        </is>
      </c>
      <c r="G1187" t="n">
        <v>15.9</v>
      </c>
      <c r="H1187" t="n">
        <v>0</v>
      </c>
      <c r="I1187" t="n">
        <v>0</v>
      </c>
      <c r="J1187" t="n">
        <v>0</v>
      </c>
      <c r="K1187" t="n">
        <v>0</v>
      </c>
      <c r="L1187" t="n">
        <v>0</v>
      </c>
      <c r="M1187" t="n">
        <v>0</v>
      </c>
      <c r="N1187" t="n">
        <v>0</v>
      </c>
      <c r="O1187" t="n">
        <v>0</v>
      </c>
      <c r="P1187" t="n">
        <v>0</v>
      </c>
      <c r="Q1187" t="n">
        <v>0</v>
      </c>
      <c r="R1187" s="2" t="inlineStr"/>
    </row>
    <row r="1188" ht="15" customHeight="1">
      <c r="A1188" t="inlineStr">
        <is>
          <t>A 46702-2025</t>
        </is>
      </c>
      <c r="B1188" s="1" t="n">
        <v>45926</v>
      </c>
      <c r="C1188" s="1" t="n">
        <v>45989</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17153-2025</t>
        </is>
      </c>
      <c r="B1189" s="1" t="n">
        <v>45756</v>
      </c>
      <c r="C1189" s="1" t="n">
        <v>45989</v>
      </c>
      <c r="D1189" t="inlineStr">
        <is>
          <t>VÄRMLANDS LÄN</t>
        </is>
      </c>
      <c r="E1189" t="inlineStr">
        <is>
          <t>TORSBY</t>
        </is>
      </c>
      <c r="F1189" t="inlineStr">
        <is>
          <t>Bergvik skog väst AB</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55178-2025</t>
        </is>
      </c>
      <c r="B1190" s="1" t="n">
        <v>45968.52921296296</v>
      </c>
      <c r="C1190" s="1" t="n">
        <v>45989</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375-2025</t>
        </is>
      </c>
      <c r="B1191" s="1" t="n">
        <v>45661</v>
      </c>
      <c r="C1191" s="1" t="n">
        <v>45989</v>
      </c>
      <c r="D1191" t="inlineStr">
        <is>
          <t>VÄRMLANDS LÄN</t>
        </is>
      </c>
      <c r="E1191" t="inlineStr">
        <is>
          <t>TORSBY</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47077-2023</t>
        </is>
      </c>
      <c r="B1192" s="1" t="n">
        <v>45201</v>
      </c>
      <c r="C1192" s="1" t="n">
        <v>45989</v>
      </c>
      <c r="D1192" t="inlineStr">
        <is>
          <t>VÄRMLANDS LÄN</t>
        </is>
      </c>
      <c r="E1192" t="inlineStr">
        <is>
          <t>TORSBY</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46243-2025</t>
        </is>
      </c>
      <c r="B1193" s="1" t="n">
        <v>45925.32122685185</v>
      </c>
      <c r="C1193" s="1" t="n">
        <v>45989</v>
      </c>
      <c r="D1193" t="inlineStr">
        <is>
          <t>VÄRMLANDS LÄN</t>
        </is>
      </c>
      <c r="E1193" t="inlineStr">
        <is>
          <t>TORSBY</t>
        </is>
      </c>
      <c r="F1193" t="inlineStr">
        <is>
          <t>Bergvik skog väst AB</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36318-2022</t>
        </is>
      </c>
      <c r="B1194" s="1" t="n">
        <v>44803</v>
      </c>
      <c r="C1194" s="1" t="n">
        <v>45989</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46493-2025</t>
        </is>
      </c>
      <c r="B1195" s="1" t="n">
        <v>45925</v>
      </c>
      <c r="C1195" s="1" t="n">
        <v>45989</v>
      </c>
      <c r="D1195" t="inlineStr">
        <is>
          <t>VÄRMLANDS LÄN</t>
        </is>
      </c>
      <c r="E1195" t="inlineStr">
        <is>
          <t>TORSBY</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37230-2025</t>
        </is>
      </c>
      <c r="B1196" s="1" t="n">
        <v>45876</v>
      </c>
      <c r="C1196" s="1" t="n">
        <v>45989</v>
      </c>
      <c r="D1196" t="inlineStr">
        <is>
          <t>VÄRMLANDS LÄN</t>
        </is>
      </c>
      <c r="E1196" t="inlineStr">
        <is>
          <t>TORSBY</t>
        </is>
      </c>
      <c r="F1196" t="inlineStr">
        <is>
          <t>Bergvik skog väst AB</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1092-2025</t>
        </is>
      </c>
      <c r="B1197" s="1" t="n">
        <v>45666.6333912037</v>
      </c>
      <c r="C1197" s="1" t="n">
        <v>45989</v>
      </c>
      <c r="D1197" t="inlineStr">
        <is>
          <t>VÄRMLANDS LÄN</t>
        </is>
      </c>
      <c r="E1197" t="inlineStr">
        <is>
          <t>TORSBY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46550-2025</t>
        </is>
      </c>
      <c r="B1198" s="1" t="n">
        <v>45926</v>
      </c>
      <c r="C1198" s="1" t="n">
        <v>45989</v>
      </c>
      <c r="D1198" t="inlineStr">
        <is>
          <t>VÄRMLANDS LÄN</t>
        </is>
      </c>
      <c r="E1198" t="inlineStr">
        <is>
          <t>TORSBY</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53714-2025</t>
        </is>
      </c>
      <c r="B1199" s="1" t="n">
        <v>45960</v>
      </c>
      <c r="C1199" s="1" t="n">
        <v>45989</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55071-2025</t>
        </is>
      </c>
      <c r="B1200" s="1" t="n">
        <v>45967</v>
      </c>
      <c r="C1200" s="1" t="n">
        <v>45989</v>
      </c>
      <c r="D1200" t="inlineStr">
        <is>
          <t>VÄRMLANDS LÄN</t>
        </is>
      </c>
      <c r="E1200" t="inlineStr">
        <is>
          <t>TORSBY</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46695-2025</t>
        </is>
      </c>
      <c r="B1201" s="1" t="n">
        <v>45926</v>
      </c>
      <c r="C1201" s="1" t="n">
        <v>45989</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42347-2021</t>
        </is>
      </c>
      <c r="B1202" s="1" t="n">
        <v>44427</v>
      </c>
      <c r="C1202" s="1" t="n">
        <v>45989</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29908-2022</t>
        </is>
      </c>
      <c r="B1203" s="1" t="n">
        <v>44756</v>
      </c>
      <c r="C1203" s="1" t="n">
        <v>45989</v>
      </c>
      <c r="D1203" t="inlineStr">
        <is>
          <t>VÄRMLANDS LÄN</t>
        </is>
      </c>
      <c r="E1203" t="inlineStr">
        <is>
          <t>TORSBY</t>
        </is>
      </c>
      <c r="F1203" t="inlineStr">
        <is>
          <t>Kommuner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54692-2025</t>
        </is>
      </c>
      <c r="B1204" s="1" t="n">
        <v>45966</v>
      </c>
      <c r="C1204" s="1" t="n">
        <v>45989</v>
      </c>
      <c r="D1204" t="inlineStr">
        <is>
          <t>VÄRMLANDS LÄN</t>
        </is>
      </c>
      <c r="E1204" t="inlineStr">
        <is>
          <t>TORSBY</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46334-2025</t>
        </is>
      </c>
      <c r="B1205" s="1" t="n">
        <v>45925.45925925926</v>
      </c>
      <c r="C1205" s="1" t="n">
        <v>45989</v>
      </c>
      <c r="D1205" t="inlineStr">
        <is>
          <t>VÄRMLANDS LÄN</t>
        </is>
      </c>
      <c r="E1205" t="inlineStr">
        <is>
          <t>TORSBY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55139-2025</t>
        </is>
      </c>
      <c r="B1206" s="1" t="n">
        <v>45968.42827546296</v>
      </c>
      <c r="C1206" s="1" t="n">
        <v>45989</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54780-2025</t>
        </is>
      </c>
      <c r="B1207" s="1" t="n">
        <v>45966</v>
      </c>
      <c r="C1207" s="1" t="n">
        <v>45989</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37236-2025</t>
        </is>
      </c>
      <c r="B1208" s="1" t="n">
        <v>45876.36116898148</v>
      </c>
      <c r="C1208" s="1" t="n">
        <v>45989</v>
      </c>
      <c r="D1208" t="inlineStr">
        <is>
          <t>VÄRMLANDS LÄN</t>
        </is>
      </c>
      <c r="E1208" t="inlineStr">
        <is>
          <t>TORSBY</t>
        </is>
      </c>
      <c r="F1208" t="inlineStr">
        <is>
          <t>Bergvik skog väst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37334-2025</t>
        </is>
      </c>
      <c r="B1209" s="1" t="n">
        <v>45876.66663194444</v>
      </c>
      <c r="C1209" s="1" t="n">
        <v>45989</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37339-2025</t>
        </is>
      </c>
      <c r="B1210" s="1" t="n">
        <v>45876.68457175926</v>
      </c>
      <c r="C1210" s="1" t="n">
        <v>45989</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55177-2025</t>
        </is>
      </c>
      <c r="B1211" s="1" t="n">
        <v>45968.51857638889</v>
      </c>
      <c r="C1211" s="1" t="n">
        <v>45989</v>
      </c>
      <c r="D1211" t="inlineStr">
        <is>
          <t>VÄRMLANDS LÄN</t>
        </is>
      </c>
      <c r="E1211" t="inlineStr">
        <is>
          <t>TORSBY</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17184-2023</t>
        </is>
      </c>
      <c r="B1212" s="1" t="n">
        <v>45034.69127314815</v>
      </c>
      <c r="C1212" s="1" t="n">
        <v>45989</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46326-2025</t>
        </is>
      </c>
      <c r="B1213" s="1" t="n">
        <v>45925.45237268518</v>
      </c>
      <c r="C1213" s="1" t="n">
        <v>45989</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46578-2025</t>
        </is>
      </c>
      <c r="B1214" s="1" t="n">
        <v>45926.37353009259</v>
      </c>
      <c r="C1214" s="1" t="n">
        <v>45989</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46293-2025</t>
        </is>
      </c>
      <c r="B1215" s="1" t="n">
        <v>45925.39297453704</v>
      </c>
      <c r="C1215" s="1" t="n">
        <v>45989</v>
      </c>
      <c r="D1215" t="inlineStr">
        <is>
          <t>VÄRMLANDS LÄN</t>
        </is>
      </c>
      <c r="E1215" t="inlineStr">
        <is>
          <t>TORSBY</t>
        </is>
      </c>
      <c r="G1215" t="n">
        <v>24.3</v>
      </c>
      <c r="H1215" t="n">
        <v>0</v>
      </c>
      <c r="I1215" t="n">
        <v>0</v>
      </c>
      <c r="J1215" t="n">
        <v>0</v>
      </c>
      <c r="K1215" t="n">
        <v>0</v>
      </c>
      <c r="L1215" t="n">
        <v>0</v>
      </c>
      <c r="M1215" t="n">
        <v>0</v>
      </c>
      <c r="N1215" t="n">
        <v>0</v>
      </c>
      <c r="O1215" t="n">
        <v>0</v>
      </c>
      <c r="P1215" t="n">
        <v>0</v>
      </c>
      <c r="Q1215" t="n">
        <v>0</v>
      </c>
      <c r="R1215" s="2" t="inlineStr"/>
    </row>
    <row r="1216" ht="15" customHeight="1">
      <c r="A1216" t="inlineStr">
        <is>
          <t>A 17065-2025</t>
        </is>
      </c>
      <c r="B1216" s="1" t="n">
        <v>45754</v>
      </c>
      <c r="C1216" s="1" t="n">
        <v>45989</v>
      </c>
      <c r="D1216" t="inlineStr">
        <is>
          <t>VÄRMLANDS LÄN</t>
        </is>
      </c>
      <c r="E1216" t="inlineStr">
        <is>
          <t>TORSBY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37348-2025</t>
        </is>
      </c>
      <c r="B1217" s="1" t="n">
        <v>45876.71136574074</v>
      </c>
      <c r="C1217" s="1" t="n">
        <v>45989</v>
      </c>
      <c r="D1217" t="inlineStr">
        <is>
          <t>VÄRMLANDS LÄN</t>
        </is>
      </c>
      <c r="E1217" t="inlineStr">
        <is>
          <t>TORSBY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14801-2025</t>
        </is>
      </c>
      <c r="B1218" s="1" t="n">
        <v>45743</v>
      </c>
      <c r="C1218" s="1" t="n">
        <v>45989</v>
      </c>
      <c r="D1218" t="inlineStr">
        <is>
          <t>VÄRMLANDS LÄN</t>
        </is>
      </c>
      <c r="E1218" t="inlineStr">
        <is>
          <t>TORSBY</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37260-2025</t>
        </is>
      </c>
      <c r="B1219" s="1" t="n">
        <v>45876</v>
      </c>
      <c r="C1219" s="1" t="n">
        <v>45989</v>
      </c>
      <c r="D1219" t="inlineStr">
        <is>
          <t>VÄRMLANDS LÄN</t>
        </is>
      </c>
      <c r="E1219" t="inlineStr">
        <is>
          <t>TORSBY</t>
        </is>
      </c>
      <c r="F1219" t="inlineStr">
        <is>
          <t>Bergvik skog väst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37300-2025</t>
        </is>
      </c>
      <c r="B1220" s="1" t="n">
        <v>45876</v>
      </c>
      <c r="C1220" s="1" t="n">
        <v>45989</v>
      </c>
      <c r="D1220" t="inlineStr">
        <is>
          <t>VÄRMLANDS LÄN</t>
        </is>
      </c>
      <c r="E1220" t="inlineStr">
        <is>
          <t>TORSBY</t>
        </is>
      </c>
      <c r="F1220" t="inlineStr">
        <is>
          <t>Bergvik skog väst AB</t>
        </is>
      </c>
      <c r="G1220" t="n">
        <v>33.6</v>
      </c>
      <c r="H1220" t="n">
        <v>0</v>
      </c>
      <c r="I1220" t="n">
        <v>0</v>
      </c>
      <c r="J1220" t="n">
        <v>0</v>
      </c>
      <c r="K1220" t="n">
        <v>0</v>
      </c>
      <c r="L1220" t="n">
        <v>0</v>
      </c>
      <c r="M1220" t="n">
        <v>0</v>
      </c>
      <c r="N1220" t="n">
        <v>0</v>
      </c>
      <c r="O1220" t="n">
        <v>0</v>
      </c>
      <c r="P1220" t="n">
        <v>0</v>
      </c>
      <c r="Q1220" t="n">
        <v>0</v>
      </c>
      <c r="R1220" s="2" t="inlineStr"/>
    </row>
    <row r="1221" ht="15" customHeight="1">
      <c r="A1221" t="inlineStr">
        <is>
          <t>A 6968-2025</t>
        </is>
      </c>
      <c r="B1221" s="1" t="n">
        <v>45701.53253472222</v>
      </c>
      <c r="C1221" s="1" t="n">
        <v>45989</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37273-2025</t>
        </is>
      </c>
      <c r="B1222" s="1" t="n">
        <v>45876</v>
      </c>
      <c r="C1222" s="1" t="n">
        <v>45989</v>
      </c>
      <c r="D1222" t="inlineStr">
        <is>
          <t>VÄRMLANDS LÄN</t>
        </is>
      </c>
      <c r="E1222" t="inlineStr">
        <is>
          <t>TORSBY</t>
        </is>
      </c>
      <c r="F1222" t="inlineStr">
        <is>
          <t>Bergvik skog väst AB</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16309-2023</t>
        </is>
      </c>
      <c r="B1223" s="1" t="n">
        <v>45028.58873842593</v>
      </c>
      <c r="C1223" s="1" t="n">
        <v>45989</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30011-2024</t>
        </is>
      </c>
      <c r="B1224" s="1" t="n">
        <v>45488</v>
      </c>
      <c r="C1224" s="1" t="n">
        <v>45989</v>
      </c>
      <c r="D1224" t="inlineStr">
        <is>
          <t>VÄRMLANDS LÄN</t>
        </is>
      </c>
      <c r="E1224" t="inlineStr">
        <is>
          <t>TORSBY</t>
        </is>
      </c>
      <c r="F1224" t="inlineStr">
        <is>
          <t>Kommuner</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37381-2025</t>
        </is>
      </c>
      <c r="B1225" s="1" t="n">
        <v>45877</v>
      </c>
      <c r="C1225" s="1" t="n">
        <v>45989</v>
      </c>
      <c r="D1225" t="inlineStr">
        <is>
          <t>VÄRMLANDS LÄN</t>
        </is>
      </c>
      <c r="E1225" t="inlineStr">
        <is>
          <t>TORSBY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10329-2025</t>
        </is>
      </c>
      <c r="B1226" s="1" t="n">
        <v>45720</v>
      </c>
      <c r="C1226" s="1" t="n">
        <v>45989</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10343-2025</t>
        </is>
      </c>
      <c r="B1227" s="1" t="n">
        <v>45720</v>
      </c>
      <c r="C1227" s="1" t="n">
        <v>45989</v>
      </c>
      <c r="D1227" t="inlineStr">
        <is>
          <t>VÄRMLANDS LÄN</t>
        </is>
      </c>
      <c r="E1227" t="inlineStr">
        <is>
          <t>TORSBY</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12402-2025</t>
        </is>
      </c>
      <c r="B1228" s="1" t="n">
        <v>45730.4228125</v>
      </c>
      <c r="C1228" s="1" t="n">
        <v>45989</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49845-2024</t>
        </is>
      </c>
      <c r="B1229" s="1" t="n">
        <v>45597</v>
      </c>
      <c r="C1229" s="1" t="n">
        <v>45989</v>
      </c>
      <c r="D1229" t="inlineStr">
        <is>
          <t>VÄRMLANDS LÄN</t>
        </is>
      </c>
      <c r="E1229" t="inlineStr">
        <is>
          <t>TORSBY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50372-2024</t>
        </is>
      </c>
      <c r="B1230" s="1" t="n">
        <v>45601.25935185186</v>
      </c>
      <c r="C1230" s="1" t="n">
        <v>45989</v>
      </c>
      <c r="D1230" t="inlineStr">
        <is>
          <t>VÄRMLANDS LÄN</t>
        </is>
      </c>
      <c r="E1230" t="inlineStr">
        <is>
          <t>TORSBY</t>
        </is>
      </c>
      <c r="F1230" t="inlineStr">
        <is>
          <t>Övriga Aktiebolag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47366-2025</t>
        </is>
      </c>
      <c r="B1231" s="1" t="n">
        <v>45930</v>
      </c>
      <c r="C1231" s="1" t="n">
        <v>45989</v>
      </c>
      <c r="D1231" t="inlineStr">
        <is>
          <t>VÄRMLANDS LÄN</t>
        </is>
      </c>
      <c r="E1231" t="inlineStr">
        <is>
          <t>TORSBY</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47047-2025</t>
        </is>
      </c>
      <c r="B1232" s="1" t="n">
        <v>45929</v>
      </c>
      <c r="C1232" s="1" t="n">
        <v>45989</v>
      </c>
      <c r="D1232" t="inlineStr">
        <is>
          <t>VÄRMLANDS LÄN</t>
        </is>
      </c>
      <c r="E1232" t="inlineStr">
        <is>
          <t>TORSBY</t>
        </is>
      </c>
      <c r="F1232" t="inlineStr">
        <is>
          <t>Kyrkan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37566-2025</t>
        </is>
      </c>
      <c r="B1233" s="1" t="n">
        <v>45880</v>
      </c>
      <c r="C1233" s="1" t="n">
        <v>45989</v>
      </c>
      <c r="D1233" t="inlineStr">
        <is>
          <t>VÄRMLANDS LÄN</t>
        </is>
      </c>
      <c r="E1233" t="inlineStr">
        <is>
          <t>TORSBY</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50852-2023</t>
        </is>
      </c>
      <c r="B1234" s="1" t="n">
        <v>45218.29837962963</v>
      </c>
      <c r="C1234" s="1" t="n">
        <v>45989</v>
      </c>
      <c r="D1234" t="inlineStr">
        <is>
          <t>VÄRMLANDS LÄN</t>
        </is>
      </c>
      <c r="E1234" t="inlineStr">
        <is>
          <t>TORSBY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52982-2023</t>
        </is>
      </c>
      <c r="B1235" s="1" t="n">
        <v>45226.61299768519</v>
      </c>
      <c r="C1235" s="1" t="n">
        <v>45989</v>
      </c>
      <c r="D1235" t="inlineStr">
        <is>
          <t>VÄRMLANDS LÄN</t>
        </is>
      </c>
      <c r="E1235" t="inlineStr">
        <is>
          <t>TORSBY</t>
        </is>
      </c>
      <c r="G1235" t="n">
        <v>35.5</v>
      </c>
      <c r="H1235" t="n">
        <v>0</v>
      </c>
      <c r="I1235" t="n">
        <v>0</v>
      </c>
      <c r="J1235" t="n">
        <v>0</v>
      </c>
      <c r="K1235" t="n">
        <v>0</v>
      </c>
      <c r="L1235" t="n">
        <v>0</v>
      </c>
      <c r="M1235" t="n">
        <v>0</v>
      </c>
      <c r="N1235" t="n">
        <v>0</v>
      </c>
      <c r="O1235" t="n">
        <v>0</v>
      </c>
      <c r="P1235" t="n">
        <v>0</v>
      </c>
      <c r="Q1235" t="n">
        <v>0</v>
      </c>
      <c r="R1235" s="2" t="inlineStr"/>
    </row>
    <row r="1236" ht="15" customHeight="1">
      <c r="A1236" t="inlineStr">
        <is>
          <t>A 54996-2025</t>
        </is>
      </c>
      <c r="B1236" s="1" t="n">
        <v>45967</v>
      </c>
      <c r="C1236" s="1" t="n">
        <v>45989</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57216-2023</t>
        </is>
      </c>
      <c r="B1237" s="1" t="n">
        <v>45245</v>
      </c>
      <c r="C1237" s="1" t="n">
        <v>45989</v>
      </c>
      <c r="D1237" t="inlineStr">
        <is>
          <t>VÄRMLANDS LÄN</t>
        </is>
      </c>
      <c r="E1237" t="inlineStr">
        <is>
          <t>TORSBY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41270-2023</t>
        </is>
      </c>
      <c r="B1238" s="1" t="n">
        <v>45174.54952546296</v>
      </c>
      <c r="C1238" s="1" t="n">
        <v>45989</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32932-2024</t>
        </is>
      </c>
      <c r="B1239" s="1" t="n">
        <v>45517.31537037037</v>
      </c>
      <c r="C1239" s="1" t="n">
        <v>45989</v>
      </c>
      <c r="D1239" t="inlineStr">
        <is>
          <t>VÄRMLANDS LÄN</t>
        </is>
      </c>
      <c r="E1239" t="inlineStr">
        <is>
          <t>TORSBY</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55675-2025</t>
        </is>
      </c>
      <c r="B1240" s="1" t="n">
        <v>45972.4175</v>
      </c>
      <c r="C1240" s="1" t="n">
        <v>45989</v>
      </c>
      <c r="D1240" t="inlineStr">
        <is>
          <t>VÄRMLANDS LÄN</t>
        </is>
      </c>
      <c r="E1240" t="inlineStr">
        <is>
          <t>TORSBY</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61565-2024</t>
        </is>
      </c>
      <c r="B1241" s="1" t="n">
        <v>45646</v>
      </c>
      <c r="C1241" s="1" t="n">
        <v>45989</v>
      </c>
      <c r="D1241" t="inlineStr">
        <is>
          <t>VÄRMLANDS LÄN</t>
        </is>
      </c>
      <c r="E1241" t="inlineStr">
        <is>
          <t>TORSBY</t>
        </is>
      </c>
      <c r="F1241" t="inlineStr">
        <is>
          <t>Bergvik skog väst AB</t>
        </is>
      </c>
      <c r="G1241" t="n">
        <v>14.4</v>
      </c>
      <c r="H1241" t="n">
        <v>0</v>
      </c>
      <c r="I1241" t="n">
        <v>0</v>
      </c>
      <c r="J1241" t="n">
        <v>0</v>
      </c>
      <c r="K1241" t="n">
        <v>0</v>
      </c>
      <c r="L1241" t="n">
        <v>0</v>
      </c>
      <c r="M1241" t="n">
        <v>0</v>
      </c>
      <c r="N1241" t="n">
        <v>0</v>
      </c>
      <c r="O1241" t="n">
        <v>0</v>
      </c>
      <c r="P1241" t="n">
        <v>0</v>
      </c>
      <c r="Q1241" t="n">
        <v>0</v>
      </c>
      <c r="R1241" s="2" t="inlineStr"/>
    </row>
    <row r="1242" ht="15" customHeight="1">
      <c r="A1242" t="inlineStr">
        <is>
          <t>A 25264-2024</t>
        </is>
      </c>
      <c r="B1242" s="1" t="n">
        <v>45462.61859953704</v>
      </c>
      <c r="C1242" s="1" t="n">
        <v>45989</v>
      </c>
      <c r="D1242" t="inlineStr">
        <is>
          <t>VÄRMLANDS LÄN</t>
        </is>
      </c>
      <c r="E1242" t="inlineStr">
        <is>
          <t>TORSBY</t>
        </is>
      </c>
      <c r="G1242" t="n">
        <v>10.7</v>
      </c>
      <c r="H1242" t="n">
        <v>0</v>
      </c>
      <c r="I1242" t="n">
        <v>0</v>
      </c>
      <c r="J1242" t="n">
        <v>0</v>
      </c>
      <c r="K1242" t="n">
        <v>0</v>
      </c>
      <c r="L1242" t="n">
        <v>0</v>
      </c>
      <c r="M1242" t="n">
        <v>0</v>
      </c>
      <c r="N1242" t="n">
        <v>0</v>
      </c>
      <c r="O1242" t="n">
        <v>0</v>
      </c>
      <c r="P1242" t="n">
        <v>0</v>
      </c>
      <c r="Q1242" t="n">
        <v>0</v>
      </c>
      <c r="R1242" s="2" t="inlineStr"/>
    </row>
    <row r="1243" ht="15" customHeight="1">
      <c r="A1243" t="inlineStr">
        <is>
          <t>A 37279-2022</t>
        </is>
      </c>
      <c r="B1243" s="1" t="n">
        <v>44807</v>
      </c>
      <c r="C1243" s="1" t="n">
        <v>45989</v>
      </c>
      <c r="D1243" t="inlineStr">
        <is>
          <t>VÄRMLANDS LÄN</t>
        </is>
      </c>
      <c r="E1243" t="inlineStr">
        <is>
          <t>TORSBY</t>
        </is>
      </c>
      <c r="G1243" t="n">
        <v>18.2</v>
      </c>
      <c r="H1243" t="n">
        <v>0</v>
      </c>
      <c r="I1243" t="n">
        <v>0</v>
      </c>
      <c r="J1243" t="n">
        <v>0</v>
      </c>
      <c r="K1243" t="n">
        <v>0</v>
      </c>
      <c r="L1243" t="n">
        <v>0</v>
      </c>
      <c r="M1243" t="n">
        <v>0</v>
      </c>
      <c r="N1243" t="n">
        <v>0</v>
      </c>
      <c r="O1243" t="n">
        <v>0</v>
      </c>
      <c r="P1243" t="n">
        <v>0</v>
      </c>
      <c r="Q1243" t="n">
        <v>0</v>
      </c>
      <c r="R1243" s="2" t="inlineStr"/>
    </row>
    <row r="1244" ht="15" customHeight="1">
      <c r="A1244" t="inlineStr">
        <is>
          <t>A 56571-2024</t>
        </is>
      </c>
      <c r="B1244" s="1" t="n">
        <v>45625</v>
      </c>
      <c r="C1244" s="1" t="n">
        <v>45989</v>
      </c>
      <c r="D1244" t="inlineStr">
        <is>
          <t>VÄRMLANDS LÄN</t>
        </is>
      </c>
      <c r="E1244" t="inlineStr">
        <is>
          <t>TORSBY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55296-2025</t>
        </is>
      </c>
      <c r="B1245" s="1" t="n">
        <v>45969.53423611111</v>
      </c>
      <c r="C1245" s="1" t="n">
        <v>45989</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22386-2025</t>
        </is>
      </c>
      <c r="B1246" s="1" t="n">
        <v>45786.50703703704</v>
      </c>
      <c r="C1246" s="1" t="n">
        <v>45989</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20898-2023</t>
        </is>
      </c>
      <c r="B1247" s="1" t="n">
        <v>45059</v>
      </c>
      <c r="C1247" s="1" t="n">
        <v>45989</v>
      </c>
      <c r="D1247" t="inlineStr">
        <is>
          <t>VÄRMLANDS LÄN</t>
        </is>
      </c>
      <c r="E1247" t="inlineStr">
        <is>
          <t>TORSBY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37760-2025</t>
        </is>
      </c>
      <c r="B1248" s="1" t="n">
        <v>45880</v>
      </c>
      <c r="C1248" s="1" t="n">
        <v>45989</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50138-2023</t>
        </is>
      </c>
      <c r="B1249" s="1" t="n">
        <v>45215.66738425926</v>
      </c>
      <c r="C1249" s="1" t="n">
        <v>45989</v>
      </c>
      <c r="D1249" t="inlineStr">
        <is>
          <t>VÄRMLANDS LÄN</t>
        </is>
      </c>
      <c r="E1249" t="inlineStr">
        <is>
          <t>TORSBY</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31493-2021</t>
        </is>
      </c>
      <c r="B1250" s="1" t="n">
        <v>44369</v>
      </c>
      <c r="C1250" s="1" t="n">
        <v>45989</v>
      </c>
      <c r="D1250" t="inlineStr">
        <is>
          <t>VÄRMLANDS LÄN</t>
        </is>
      </c>
      <c r="E1250" t="inlineStr">
        <is>
          <t>TORSBY</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6653-2025</t>
        </is>
      </c>
      <c r="B1251" s="1" t="n">
        <v>45700.42601851852</v>
      </c>
      <c r="C1251" s="1" t="n">
        <v>45989</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41315-2022</t>
        </is>
      </c>
      <c r="B1252" s="1" t="n">
        <v>44826</v>
      </c>
      <c r="C1252" s="1" t="n">
        <v>45989</v>
      </c>
      <c r="D1252" t="inlineStr">
        <is>
          <t>VÄRMLANDS LÄN</t>
        </is>
      </c>
      <c r="E1252" t="inlineStr">
        <is>
          <t>TORSBY</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18411-2023</t>
        </is>
      </c>
      <c r="B1253" s="1" t="n">
        <v>45042</v>
      </c>
      <c r="C1253" s="1" t="n">
        <v>45989</v>
      </c>
      <c r="D1253" t="inlineStr">
        <is>
          <t>VÄRMLANDS LÄN</t>
        </is>
      </c>
      <c r="E1253" t="inlineStr">
        <is>
          <t>TORSBY</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58062-2021</t>
        </is>
      </c>
      <c r="B1254" s="1" t="n">
        <v>44487</v>
      </c>
      <c r="C1254" s="1" t="n">
        <v>45989</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24150-2021</t>
        </is>
      </c>
      <c r="B1255" s="1" t="n">
        <v>44336</v>
      </c>
      <c r="C1255" s="1" t="n">
        <v>45989</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54029-2021</t>
        </is>
      </c>
      <c r="B1256" s="1" t="n">
        <v>44470.37834490741</v>
      </c>
      <c r="C1256" s="1" t="n">
        <v>45989</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12528-2025</t>
        </is>
      </c>
      <c r="B1257" s="1" t="n">
        <v>45730</v>
      </c>
      <c r="C1257" s="1" t="n">
        <v>45989</v>
      </c>
      <c r="D1257" t="inlineStr">
        <is>
          <t>VÄRMLANDS LÄN</t>
        </is>
      </c>
      <c r="E1257" t="inlineStr">
        <is>
          <t>TORSBY</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12554-2025</t>
        </is>
      </c>
      <c r="B1258" s="1" t="n">
        <v>45731</v>
      </c>
      <c r="C1258" s="1" t="n">
        <v>45989</v>
      </c>
      <c r="D1258" t="inlineStr">
        <is>
          <t>VÄRMLANDS LÄN</t>
        </is>
      </c>
      <c r="E1258" t="inlineStr">
        <is>
          <t>TORSBY</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41377-2021</t>
        </is>
      </c>
      <c r="B1259" s="1" t="n">
        <v>44424.65148148148</v>
      </c>
      <c r="C1259" s="1" t="n">
        <v>45989</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15464-2025</t>
        </is>
      </c>
      <c r="B1260" s="1" t="n">
        <v>45747</v>
      </c>
      <c r="C1260" s="1" t="n">
        <v>45989</v>
      </c>
      <c r="D1260" t="inlineStr">
        <is>
          <t>VÄRMLANDS LÄN</t>
        </is>
      </c>
      <c r="E1260" t="inlineStr">
        <is>
          <t>TORSBY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18544-2023</t>
        </is>
      </c>
      <c r="B1261" s="1" t="n">
        <v>45041</v>
      </c>
      <c r="C1261" s="1" t="n">
        <v>45989</v>
      </c>
      <c r="D1261" t="inlineStr">
        <is>
          <t>VÄRMLANDS LÄN</t>
        </is>
      </c>
      <c r="E1261" t="inlineStr">
        <is>
          <t>TORSBY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59941-2023</t>
        </is>
      </c>
      <c r="B1262" s="1" t="n">
        <v>45257.67721064815</v>
      </c>
      <c r="C1262" s="1" t="n">
        <v>45989</v>
      </c>
      <c r="D1262" t="inlineStr">
        <is>
          <t>VÄRMLANDS LÄN</t>
        </is>
      </c>
      <c r="E1262" t="inlineStr">
        <is>
          <t>TORSBY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7927-2024</t>
        </is>
      </c>
      <c r="B1263" s="1" t="n">
        <v>45350</v>
      </c>
      <c r="C1263" s="1" t="n">
        <v>45989</v>
      </c>
      <c r="D1263" t="inlineStr">
        <is>
          <t>VÄRMLANDS LÄN</t>
        </is>
      </c>
      <c r="E1263" t="inlineStr">
        <is>
          <t>TORSBY</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60314-2023</t>
        </is>
      </c>
      <c r="B1264" s="1" t="n">
        <v>45258.87101851852</v>
      </c>
      <c r="C1264" s="1" t="n">
        <v>45989</v>
      </c>
      <c r="D1264" t="inlineStr">
        <is>
          <t>VÄRMLANDS LÄN</t>
        </is>
      </c>
      <c r="E1264" t="inlineStr">
        <is>
          <t>TORSBY</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52580-2023</t>
        </is>
      </c>
      <c r="B1265" s="1" t="n">
        <v>45225.59354166667</v>
      </c>
      <c r="C1265" s="1" t="n">
        <v>45989</v>
      </c>
      <c r="D1265" t="inlineStr">
        <is>
          <t>VÄRMLANDS LÄN</t>
        </is>
      </c>
      <c r="E1265" t="inlineStr">
        <is>
          <t>TORSBY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52591-2023</t>
        </is>
      </c>
      <c r="B1266" s="1" t="n">
        <v>45225</v>
      </c>
      <c r="C1266" s="1" t="n">
        <v>45989</v>
      </c>
      <c r="D1266" t="inlineStr">
        <is>
          <t>VÄRMLANDS LÄN</t>
        </is>
      </c>
      <c r="E1266" t="inlineStr">
        <is>
          <t>TORSBY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30299-2025</t>
        </is>
      </c>
      <c r="B1267" s="1" t="n">
        <v>45827</v>
      </c>
      <c r="C1267" s="1" t="n">
        <v>45989</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67457-2021</t>
        </is>
      </c>
      <c r="B1268" s="1" t="n">
        <v>44524</v>
      </c>
      <c r="C1268" s="1" t="n">
        <v>45989</v>
      </c>
      <c r="D1268" t="inlineStr">
        <is>
          <t>VÄRMLANDS LÄN</t>
        </is>
      </c>
      <c r="E1268" t="inlineStr">
        <is>
          <t>TORSBY</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55320-2025</t>
        </is>
      </c>
      <c r="B1269" s="1" t="n">
        <v>45971.31269675926</v>
      </c>
      <c r="C1269" s="1" t="n">
        <v>45989</v>
      </c>
      <c r="D1269" t="inlineStr">
        <is>
          <t>VÄRMLANDS LÄN</t>
        </is>
      </c>
      <c r="E1269" t="inlineStr">
        <is>
          <t>TORSBY</t>
        </is>
      </c>
      <c r="F1269" t="inlineStr">
        <is>
          <t>Bergvik skog väst AB</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36782-2024</t>
        </is>
      </c>
      <c r="B1270" s="1" t="n">
        <v>45538</v>
      </c>
      <c r="C1270" s="1" t="n">
        <v>45989</v>
      </c>
      <c r="D1270" t="inlineStr">
        <is>
          <t>VÄRMLANDS LÄN</t>
        </is>
      </c>
      <c r="E1270" t="inlineStr">
        <is>
          <t>TORSBY</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36790-2024</t>
        </is>
      </c>
      <c r="B1271" s="1" t="n">
        <v>45538.43484953704</v>
      </c>
      <c r="C1271" s="1" t="n">
        <v>45989</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37736-2025</t>
        </is>
      </c>
      <c r="B1272" s="1" t="n">
        <v>45880</v>
      </c>
      <c r="C1272" s="1" t="n">
        <v>45989</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37547-2025</t>
        </is>
      </c>
      <c r="B1273" s="1" t="n">
        <v>45879</v>
      </c>
      <c r="C1273" s="1" t="n">
        <v>45989</v>
      </c>
      <c r="D1273" t="inlineStr">
        <is>
          <t>VÄRMLANDS LÄN</t>
        </is>
      </c>
      <c r="E1273" t="inlineStr">
        <is>
          <t>TORSBY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55664-2025</t>
        </is>
      </c>
      <c r="B1274" s="1" t="n">
        <v>45972.39621527777</v>
      </c>
      <c r="C1274" s="1" t="n">
        <v>45989</v>
      </c>
      <c r="D1274" t="inlineStr">
        <is>
          <t>VÄRMLANDS LÄN</t>
        </is>
      </c>
      <c r="E1274" t="inlineStr">
        <is>
          <t>TORSBY</t>
        </is>
      </c>
      <c r="F1274" t="inlineStr">
        <is>
          <t>Bergvik skog väst AB</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54160-2022</t>
        </is>
      </c>
      <c r="B1275" s="1" t="n">
        <v>44881</v>
      </c>
      <c r="C1275" s="1" t="n">
        <v>45989</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36674-2023</t>
        </is>
      </c>
      <c r="B1276" s="1" t="n">
        <v>45153.5908912037</v>
      </c>
      <c r="C1276" s="1" t="n">
        <v>45989</v>
      </c>
      <c r="D1276" t="inlineStr">
        <is>
          <t>VÄRMLANDS LÄN</t>
        </is>
      </c>
      <c r="E1276" t="inlineStr">
        <is>
          <t>TORSBY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19675-2023</t>
        </is>
      </c>
      <c r="B1277" s="1" t="n">
        <v>45051</v>
      </c>
      <c r="C1277" s="1" t="n">
        <v>45989</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37583-2025</t>
        </is>
      </c>
      <c r="B1278" s="1" t="n">
        <v>45880</v>
      </c>
      <c r="C1278" s="1" t="n">
        <v>45989</v>
      </c>
      <c r="D1278" t="inlineStr">
        <is>
          <t>VÄRMLANDS LÄN</t>
        </is>
      </c>
      <c r="E1278" t="inlineStr">
        <is>
          <t>TORSBY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27677-2024</t>
        </is>
      </c>
      <c r="B1279" s="1" t="n">
        <v>45475</v>
      </c>
      <c r="C1279" s="1" t="n">
        <v>45989</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27678-2024</t>
        </is>
      </c>
      <c r="B1280" s="1" t="n">
        <v>45475</v>
      </c>
      <c r="C1280" s="1" t="n">
        <v>45989</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45152-2023</t>
        </is>
      </c>
      <c r="B1281" s="1" t="n">
        <v>45191</v>
      </c>
      <c r="C1281" s="1" t="n">
        <v>45989</v>
      </c>
      <c r="D1281" t="inlineStr">
        <is>
          <t>VÄRMLANDS LÄN</t>
        </is>
      </c>
      <c r="E1281" t="inlineStr">
        <is>
          <t>TORSBY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28005-2024</t>
        </is>
      </c>
      <c r="B1282" s="1" t="n">
        <v>45476</v>
      </c>
      <c r="C1282" s="1" t="n">
        <v>45989</v>
      </c>
      <c r="D1282" t="inlineStr">
        <is>
          <t>VÄRMLANDS LÄN</t>
        </is>
      </c>
      <c r="E1282" t="inlineStr">
        <is>
          <t>TORSBY</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46865-2025</t>
        </is>
      </c>
      <c r="B1283" s="1" t="n">
        <v>45929</v>
      </c>
      <c r="C1283" s="1" t="n">
        <v>45989</v>
      </c>
      <c r="D1283" t="inlineStr">
        <is>
          <t>VÄRMLANDS LÄN</t>
        </is>
      </c>
      <c r="E1283" t="inlineStr">
        <is>
          <t>TORSBY</t>
        </is>
      </c>
      <c r="F1283" t="inlineStr">
        <is>
          <t>Bergvik skog väst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49840-2024</t>
        </is>
      </c>
      <c r="B1284" s="1" t="n">
        <v>45597</v>
      </c>
      <c r="C1284" s="1" t="n">
        <v>45989</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17879-2024</t>
        </is>
      </c>
      <c r="B1285" s="1" t="n">
        <v>45419</v>
      </c>
      <c r="C1285" s="1" t="n">
        <v>45989</v>
      </c>
      <c r="D1285" t="inlineStr">
        <is>
          <t>VÄRMLANDS LÄN</t>
        </is>
      </c>
      <c r="E1285" t="inlineStr">
        <is>
          <t>TORSBY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5839-2021</t>
        </is>
      </c>
      <c r="B1286" s="1" t="n">
        <v>44231</v>
      </c>
      <c r="C1286" s="1" t="n">
        <v>45989</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41322-2022</t>
        </is>
      </c>
      <c r="B1287" s="1" t="n">
        <v>44826</v>
      </c>
      <c r="C1287" s="1" t="n">
        <v>45989</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13561-2023</t>
        </is>
      </c>
      <c r="B1288" s="1" t="n">
        <v>45006.47429398148</v>
      </c>
      <c r="C1288" s="1" t="n">
        <v>45989</v>
      </c>
      <c r="D1288" t="inlineStr">
        <is>
          <t>VÄRMLANDS LÄN</t>
        </is>
      </c>
      <c r="E1288" t="inlineStr">
        <is>
          <t>TORSBY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54033-2021</t>
        </is>
      </c>
      <c r="B1289" s="1" t="n">
        <v>44470.38454861111</v>
      </c>
      <c r="C1289" s="1" t="n">
        <v>45989</v>
      </c>
      <c r="D1289" t="inlineStr">
        <is>
          <t>VÄRMLANDS LÄN</t>
        </is>
      </c>
      <c r="E1289" t="inlineStr">
        <is>
          <t>TORSBY</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40718-2022</t>
        </is>
      </c>
      <c r="B1290" s="1" t="n">
        <v>44824.49635416667</v>
      </c>
      <c r="C1290" s="1" t="n">
        <v>45989</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42701-2022</t>
        </is>
      </c>
      <c r="B1291" s="1" t="n">
        <v>44832</v>
      </c>
      <c r="C1291" s="1" t="n">
        <v>45989</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59613-2024</t>
        </is>
      </c>
      <c r="B1292" s="1" t="n">
        <v>45638</v>
      </c>
      <c r="C1292" s="1" t="n">
        <v>45989</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37546-2025</t>
        </is>
      </c>
      <c r="B1293" s="1" t="n">
        <v>45879</v>
      </c>
      <c r="C1293" s="1" t="n">
        <v>45989</v>
      </c>
      <c r="D1293" t="inlineStr">
        <is>
          <t>VÄRMLANDS LÄN</t>
        </is>
      </c>
      <c r="E1293" t="inlineStr">
        <is>
          <t>TORSBY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37575-2025</t>
        </is>
      </c>
      <c r="B1294" s="1" t="n">
        <v>45880.38028935185</v>
      </c>
      <c r="C1294" s="1" t="n">
        <v>45989</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26042-2024</t>
        </is>
      </c>
      <c r="B1295" s="1" t="n">
        <v>45468.29846064815</v>
      </c>
      <c r="C1295" s="1" t="n">
        <v>45989</v>
      </c>
      <c r="D1295" t="inlineStr">
        <is>
          <t>VÄRMLANDS LÄN</t>
        </is>
      </c>
      <c r="E1295" t="inlineStr">
        <is>
          <t>TORSBY</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46921-2025</t>
        </is>
      </c>
      <c r="B1296" s="1" t="n">
        <v>45929.43655092592</v>
      </c>
      <c r="C1296" s="1" t="n">
        <v>45989</v>
      </c>
      <c r="D1296" t="inlineStr">
        <is>
          <t>VÄRMLANDS LÄN</t>
        </is>
      </c>
      <c r="E1296" t="inlineStr">
        <is>
          <t>TORSBY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58976-2024</t>
        </is>
      </c>
      <c r="B1297" s="1" t="n">
        <v>45636.6081712963</v>
      </c>
      <c r="C1297" s="1" t="n">
        <v>45989</v>
      </c>
      <c r="D1297" t="inlineStr">
        <is>
          <t>VÄRMLANDS LÄN</t>
        </is>
      </c>
      <c r="E1297" t="inlineStr">
        <is>
          <t>TORSBY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33853-2021</t>
        </is>
      </c>
      <c r="B1298" s="1" t="n">
        <v>44378.61460648148</v>
      </c>
      <c r="C1298" s="1" t="n">
        <v>45989</v>
      </c>
      <c r="D1298" t="inlineStr">
        <is>
          <t>VÄRMLANDS LÄN</t>
        </is>
      </c>
      <c r="E1298" t="inlineStr">
        <is>
          <t>TORSBY</t>
        </is>
      </c>
      <c r="F1298" t="inlineStr">
        <is>
          <t>Bergvik skog väst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37878-2025</t>
        </is>
      </c>
      <c r="B1299" s="1" t="n">
        <v>45881</v>
      </c>
      <c r="C1299" s="1" t="n">
        <v>45989</v>
      </c>
      <c r="D1299" t="inlineStr">
        <is>
          <t>VÄRMLANDS LÄN</t>
        </is>
      </c>
      <c r="E1299" t="inlineStr">
        <is>
          <t>TORSBY</t>
        </is>
      </c>
      <c r="F1299" t="inlineStr">
        <is>
          <t>Bergvik skog väst AB</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37904-2025</t>
        </is>
      </c>
      <c r="B1300" s="1" t="n">
        <v>45881</v>
      </c>
      <c r="C1300" s="1" t="n">
        <v>45989</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37927-2025</t>
        </is>
      </c>
      <c r="B1301" s="1" t="n">
        <v>45881.58063657407</v>
      </c>
      <c r="C1301" s="1" t="n">
        <v>45989</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54462-2025</t>
        </is>
      </c>
      <c r="B1302" s="1" t="n">
        <v>45964</v>
      </c>
      <c r="C1302" s="1" t="n">
        <v>45989</v>
      </c>
      <c r="D1302" t="inlineStr">
        <is>
          <t>VÄRMLANDS LÄN</t>
        </is>
      </c>
      <c r="E1302" t="inlineStr">
        <is>
          <t>TORSBY</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37937-2025</t>
        </is>
      </c>
      <c r="B1303" s="1" t="n">
        <v>45881</v>
      </c>
      <c r="C1303" s="1" t="n">
        <v>45989</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38165-2025</t>
        </is>
      </c>
      <c r="B1304" s="1" t="n">
        <v>45882.63063657407</v>
      </c>
      <c r="C1304" s="1" t="n">
        <v>45989</v>
      </c>
      <c r="D1304" t="inlineStr">
        <is>
          <t>VÄRMLANDS LÄN</t>
        </is>
      </c>
      <c r="E1304" t="inlineStr">
        <is>
          <t>TORSBY</t>
        </is>
      </c>
      <c r="F1304" t="inlineStr">
        <is>
          <t>Bergvik skog väst AB</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47049-2025</t>
        </is>
      </c>
      <c r="B1305" s="1" t="n">
        <v>45929.6130324074</v>
      </c>
      <c r="C1305" s="1" t="n">
        <v>45989</v>
      </c>
      <c r="D1305" t="inlineStr">
        <is>
          <t>VÄRMLANDS LÄN</t>
        </is>
      </c>
      <c r="E1305" t="inlineStr">
        <is>
          <t>TORSBY</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37908-2025</t>
        </is>
      </c>
      <c r="B1306" s="1" t="n">
        <v>45881.5732175926</v>
      </c>
      <c r="C1306" s="1" t="n">
        <v>45989</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37945-2025</t>
        </is>
      </c>
      <c r="B1307" s="1" t="n">
        <v>45881</v>
      </c>
      <c r="C1307" s="1" t="n">
        <v>45989</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38056-2025</t>
        </is>
      </c>
      <c r="B1308" s="1" t="n">
        <v>45882</v>
      </c>
      <c r="C1308" s="1" t="n">
        <v>45989</v>
      </c>
      <c r="D1308" t="inlineStr">
        <is>
          <t>VÄRMLANDS LÄN</t>
        </is>
      </c>
      <c r="E1308" t="inlineStr">
        <is>
          <t>TORSBY</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52577-2025</t>
        </is>
      </c>
      <c r="B1309" s="1" t="n">
        <v>45954.61509259259</v>
      </c>
      <c r="C1309" s="1" t="n">
        <v>45989</v>
      </c>
      <c r="D1309" t="inlineStr">
        <is>
          <t>VÄRMLANDS LÄN</t>
        </is>
      </c>
      <c r="E1309" t="inlineStr">
        <is>
          <t>TORSBY</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38184-2024</t>
        </is>
      </c>
      <c r="B1310" s="1" t="n">
        <v>45545</v>
      </c>
      <c r="C1310" s="1" t="n">
        <v>45989</v>
      </c>
      <c r="D1310" t="inlineStr">
        <is>
          <t>VÄRMLANDS LÄN</t>
        </is>
      </c>
      <c r="E1310" t="inlineStr">
        <is>
          <t>TORSBY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61546-2024</t>
        </is>
      </c>
      <c r="B1311" s="1" t="n">
        <v>45645</v>
      </c>
      <c r="C1311" s="1" t="n">
        <v>45989</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33782-2023</t>
        </is>
      </c>
      <c r="B1312" s="1" t="n">
        <v>45120</v>
      </c>
      <c r="C1312" s="1" t="n">
        <v>45989</v>
      </c>
      <c r="D1312" t="inlineStr">
        <is>
          <t>VÄRMLANDS LÄN</t>
        </is>
      </c>
      <c r="E1312" t="inlineStr">
        <is>
          <t>TORSBY</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55269-2025</t>
        </is>
      </c>
      <c r="B1313" s="1" t="n">
        <v>45968</v>
      </c>
      <c r="C1313" s="1" t="n">
        <v>45989</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17941-2021</t>
        </is>
      </c>
      <c r="B1314" s="1" t="n">
        <v>44301</v>
      </c>
      <c r="C1314" s="1" t="n">
        <v>45989</v>
      </c>
      <c r="D1314" t="inlineStr">
        <is>
          <t>VÄRMLANDS LÄN</t>
        </is>
      </c>
      <c r="E1314" t="inlineStr">
        <is>
          <t>TORSBY</t>
        </is>
      </c>
      <c r="F1314" t="inlineStr">
        <is>
          <t>Kommuner</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38905-2025</t>
        </is>
      </c>
      <c r="B1315" s="1" t="n">
        <v>45884</v>
      </c>
      <c r="C1315" s="1" t="n">
        <v>45989</v>
      </c>
      <c r="D1315" t="inlineStr">
        <is>
          <t>VÄRMLANDS LÄN</t>
        </is>
      </c>
      <c r="E1315" t="inlineStr">
        <is>
          <t>TORSBY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34568-2022</t>
        </is>
      </c>
      <c r="B1316" s="1" t="n">
        <v>44795.28277777778</v>
      </c>
      <c r="C1316" s="1" t="n">
        <v>45989</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47621-2025</t>
        </is>
      </c>
      <c r="B1317" s="1" t="n">
        <v>45931.48322916667</v>
      </c>
      <c r="C1317" s="1" t="n">
        <v>45989</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18684-2025</t>
        </is>
      </c>
      <c r="B1318" s="1" t="n">
        <v>45763.61064814815</v>
      </c>
      <c r="C1318" s="1" t="n">
        <v>45989</v>
      </c>
      <c r="D1318" t="inlineStr">
        <is>
          <t>VÄRMLANDS LÄN</t>
        </is>
      </c>
      <c r="E1318" t="inlineStr">
        <is>
          <t>TORSBY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56033-2025</t>
        </is>
      </c>
      <c r="B1319" s="1" t="n">
        <v>45973.6066087963</v>
      </c>
      <c r="C1319" s="1" t="n">
        <v>45989</v>
      </c>
      <c r="D1319" t="inlineStr">
        <is>
          <t>VÄRMLANDS LÄN</t>
        </is>
      </c>
      <c r="E1319" t="inlineStr">
        <is>
          <t>TORSBY</t>
        </is>
      </c>
      <c r="F1319" t="inlineStr">
        <is>
          <t>Bergvik skog väst AB</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38611-2025</t>
        </is>
      </c>
      <c r="B1320" s="1" t="n">
        <v>45884.53958333333</v>
      </c>
      <c r="C1320" s="1" t="n">
        <v>45989</v>
      </c>
      <c r="D1320" t="inlineStr">
        <is>
          <t>VÄRMLANDS LÄN</t>
        </is>
      </c>
      <c r="E1320" t="inlineStr">
        <is>
          <t>TORSBY</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57172-2022</t>
        </is>
      </c>
      <c r="B1321" s="1" t="n">
        <v>44895</v>
      </c>
      <c r="C1321" s="1" t="n">
        <v>45989</v>
      </c>
      <c r="D1321" t="inlineStr">
        <is>
          <t>VÄRMLANDS LÄN</t>
        </is>
      </c>
      <c r="E1321" t="inlineStr">
        <is>
          <t>TORSBY</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41843-2023</t>
        </is>
      </c>
      <c r="B1322" s="1" t="n">
        <v>45176.60533564815</v>
      </c>
      <c r="C1322" s="1" t="n">
        <v>45989</v>
      </c>
      <c r="D1322" t="inlineStr">
        <is>
          <t>VÄRMLANDS LÄN</t>
        </is>
      </c>
      <c r="E1322" t="inlineStr">
        <is>
          <t>TORSBY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38315-2025</t>
        </is>
      </c>
      <c r="B1323" s="1" t="n">
        <v>45883.47824074074</v>
      </c>
      <c r="C1323" s="1" t="n">
        <v>45989</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48020-2025</t>
        </is>
      </c>
      <c r="B1324" s="1" t="n">
        <v>45932</v>
      </c>
      <c r="C1324" s="1" t="n">
        <v>45989</v>
      </c>
      <c r="D1324" t="inlineStr">
        <is>
          <t>VÄRMLANDS LÄN</t>
        </is>
      </c>
      <c r="E1324" t="inlineStr">
        <is>
          <t>TORSBY</t>
        </is>
      </c>
      <c r="F1324" t="inlineStr">
        <is>
          <t>Bergvik skog väst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47494-2025</t>
        </is>
      </c>
      <c r="B1325" s="1" t="n">
        <v>45930.78428240741</v>
      </c>
      <c r="C1325" s="1" t="n">
        <v>45989</v>
      </c>
      <c r="D1325" t="inlineStr">
        <is>
          <t>VÄRMLANDS LÄN</t>
        </is>
      </c>
      <c r="E1325" t="inlineStr">
        <is>
          <t>TORSBY</t>
        </is>
      </c>
      <c r="F1325" t="inlineStr">
        <is>
          <t>Bergvik skog väst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47495-2025</t>
        </is>
      </c>
      <c r="B1326" s="1" t="n">
        <v>45930.79185185185</v>
      </c>
      <c r="C1326" s="1" t="n">
        <v>45989</v>
      </c>
      <c r="D1326" t="inlineStr">
        <is>
          <t>VÄRMLANDS LÄN</t>
        </is>
      </c>
      <c r="E1326" t="inlineStr">
        <is>
          <t>TORSBY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19527-2023</t>
        </is>
      </c>
      <c r="B1327" s="1" t="n">
        <v>45050</v>
      </c>
      <c r="C1327" s="1" t="n">
        <v>45989</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9793-2024</t>
        </is>
      </c>
      <c r="B1328" s="1" t="n">
        <v>45362.71013888889</v>
      </c>
      <c r="C1328" s="1" t="n">
        <v>45989</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18244-2023</t>
        </is>
      </c>
      <c r="B1329" s="1" t="n">
        <v>45041</v>
      </c>
      <c r="C1329" s="1" t="n">
        <v>45989</v>
      </c>
      <c r="D1329" t="inlineStr">
        <is>
          <t>VÄRMLANDS LÄN</t>
        </is>
      </c>
      <c r="E1329" t="inlineStr">
        <is>
          <t>TORSBY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38232-2025</t>
        </is>
      </c>
      <c r="B1330" s="1" t="n">
        <v>45883</v>
      </c>
      <c r="C1330" s="1" t="n">
        <v>45989</v>
      </c>
      <c r="D1330" t="inlineStr">
        <is>
          <t>VÄRMLANDS LÄN</t>
        </is>
      </c>
      <c r="E1330" t="inlineStr">
        <is>
          <t>TORSBY</t>
        </is>
      </c>
      <c r="F1330" t="inlineStr">
        <is>
          <t>Bergvik skog väst AB</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54076-2025</t>
        </is>
      </c>
      <c r="B1331" s="1" t="n">
        <v>45964</v>
      </c>
      <c r="C1331" s="1" t="n">
        <v>45989</v>
      </c>
      <c r="D1331" t="inlineStr">
        <is>
          <t>VÄRMLANDS LÄN</t>
        </is>
      </c>
      <c r="E1331" t="inlineStr">
        <is>
          <t>TORSBY</t>
        </is>
      </c>
      <c r="F1331" t="inlineStr">
        <is>
          <t>Övriga statliga verk och myndigheter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47545-2025</t>
        </is>
      </c>
      <c r="B1332" s="1" t="n">
        <v>45931</v>
      </c>
      <c r="C1332" s="1" t="n">
        <v>45989</v>
      </c>
      <c r="D1332" t="inlineStr">
        <is>
          <t>VÄRMLANDS LÄN</t>
        </is>
      </c>
      <c r="E1332" t="inlineStr">
        <is>
          <t>TORSBY</t>
        </is>
      </c>
      <c r="F1332" t="inlineStr">
        <is>
          <t>Bergvik skog väst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32343-2024</t>
        </is>
      </c>
      <c r="B1333" s="1" t="n">
        <v>45512.520625</v>
      </c>
      <c r="C1333" s="1" t="n">
        <v>45989</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38397-2025</t>
        </is>
      </c>
      <c r="B1334" s="1" t="n">
        <v>45883</v>
      </c>
      <c r="C1334" s="1" t="n">
        <v>45989</v>
      </c>
      <c r="D1334" t="inlineStr">
        <is>
          <t>VÄRMLANDS LÄN</t>
        </is>
      </c>
      <c r="E1334" t="inlineStr">
        <is>
          <t>TORSBY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43111-2022</t>
        </is>
      </c>
      <c r="B1335" s="1" t="n">
        <v>44833</v>
      </c>
      <c r="C1335" s="1" t="n">
        <v>45989</v>
      </c>
      <c r="D1335" t="inlineStr">
        <is>
          <t>VÄRMLANDS LÄN</t>
        </is>
      </c>
      <c r="E1335" t="inlineStr">
        <is>
          <t>TORSBY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55938-2025</t>
        </is>
      </c>
      <c r="B1336" s="1" t="n">
        <v>45973.44658564815</v>
      </c>
      <c r="C1336" s="1" t="n">
        <v>45989</v>
      </c>
      <c r="D1336" t="inlineStr">
        <is>
          <t>VÄRMLANDS LÄN</t>
        </is>
      </c>
      <c r="E1336" t="inlineStr">
        <is>
          <t>TORSBY</t>
        </is>
      </c>
      <c r="F1336" t="inlineStr">
        <is>
          <t>Bergvik skog väst AB</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45056-2022</t>
        </is>
      </c>
      <c r="B1337" s="1" t="n">
        <v>44841.72731481482</v>
      </c>
      <c r="C1337" s="1" t="n">
        <v>45989</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55863-2025</t>
        </is>
      </c>
      <c r="B1338" s="1" t="n">
        <v>45973.3465162037</v>
      </c>
      <c r="C1338" s="1" t="n">
        <v>45989</v>
      </c>
      <c r="D1338" t="inlineStr">
        <is>
          <t>VÄRMLANDS LÄN</t>
        </is>
      </c>
      <c r="E1338" t="inlineStr">
        <is>
          <t>TORSBY</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38249-2025</t>
        </is>
      </c>
      <c r="B1339" s="1" t="n">
        <v>45883</v>
      </c>
      <c r="C1339" s="1" t="n">
        <v>45989</v>
      </c>
      <c r="D1339" t="inlineStr">
        <is>
          <t>VÄRMLANDS LÄN</t>
        </is>
      </c>
      <c r="E1339" t="inlineStr">
        <is>
          <t>TORSBY</t>
        </is>
      </c>
      <c r="F1339" t="inlineStr">
        <is>
          <t>Bergvik skog väst AB</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47927-2025</t>
        </is>
      </c>
      <c r="B1340" s="1" t="n">
        <v>45932.54604166667</v>
      </c>
      <c r="C1340" s="1" t="n">
        <v>45989</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56258-2025</t>
        </is>
      </c>
      <c r="B1341" s="1" t="n">
        <v>45974.56655092593</v>
      </c>
      <c r="C1341" s="1" t="n">
        <v>45989</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47736-2025</t>
        </is>
      </c>
      <c r="B1342" s="1" t="n">
        <v>45931.63822916667</v>
      </c>
      <c r="C1342" s="1" t="n">
        <v>45989</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56187-2025</t>
        </is>
      </c>
      <c r="B1343" s="1" t="n">
        <v>45974.42451388889</v>
      </c>
      <c r="C1343" s="1" t="n">
        <v>45989</v>
      </c>
      <c r="D1343" t="inlineStr">
        <is>
          <t>VÄRMLANDS LÄN</t>
        </is>
      </c>
      <c r="E1343" t="inlineStr">
        <is>
          <t>TORSBY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47624-2025</t>
        </is>
      </c>
      <c r="B1344" s="1" t="n">
        <v>45931.48381944445</v>
      </c>
      <c r="C1344" s="1" t="n">
        <v>45989</v>
      </c>
      <c r="D1344" t="inlineStr">
        <is>
          <t>VÄRMLANDS LÄN</t>
        </is>
      </c>
      <c r="E1344" t="inlineStr">
        <is>
          <t>TORSBY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56052-2025</t>
        </is>
      </c>
      <c r="B1345" s="1" t="n">
        <v>45973.63180555555</v>
      </c>
      <c r="C1345" s="1" t="n">
        <v>45989</v>
      </c>
      <c r="D1345" t="inlineStr">
        <is>
          <t>VÄRMLANDS LÄN</t>
        </is>
      </c>
      <c r="E1345" t="inlineStr">
        <is>
          <t>TORSBY</t>
        </is>
      </c>
      <c r="F1345" t="inlineStr">
        <is>
          <t>Bergvik skog väst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56263-2025</t>
        </is>
      </c>
      <c r="B1346" s="1" t="n">
        <v>45974.57358796296</v>
      </c>
      <c r="C1346" s="1" t="n">
        <v>45989</v>
      </c>
      <c r="D1346" t="inlineStr">
        <is>
          <t>VÄRMLANDS LÄN</t>
        </is>
      </c>
      <c r="E1346" t="inlineStr">
        <is>
          <t>TORSBY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20182-2021</t>
        </is>
      </c>
      <c r="B1347" s="1" t="n">
        <v>44312</v>
      </c>
      <c r="C1347" s="1" t="n">
        <v>45989</v>
      </c>
      <c r="D1347" t="inlineStr">
        <is>
          <t>VÄRMLANDS LÄN</t>
        </is>
      </c>
      <c r="E1347" t="inlineStr">
        <is>
          <t>TORSBY</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69250-2020</t>
        </is>
      </c>
      <c r="B1348" s="1" t="n">
        <v>44192</v>
      </c>
      <c r="C1348" s="1" t="n">
        <v>45989</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20060-2025</t>
        </is>
      </c>
      <c r="B1349" s="1" t="n">
        <v>45772.41831018519</v>
      </c>
      <c r="C1349" s="1" t="n">
        <v>45989</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2803-2025</t>
        </is>
      </c>
      <c r="B1350" s="1" t="n">
        <v>45677</v>
      </c>
      <c r="C1350" s="1" t="n">
        <v>45989</v>
      </c>
      <c r="D1350" t="inlineStr">
        <is>
          <t>VÄRMLANDS LÄN</t>
        </is>
      </c>
      <c r="E1350" t="inlineStr">
        <is>
          <t>TORSBY</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38662-2025</t>
        </is>
      </c>
      <c r="B1351" s="1" t="n">
        <v>45884.61193287037</v>
      </c>
      <c r="C1351" s="1" t="n">
        <v>45989</v>
      </c>
      <c r="D1351" t="inlineStr">
        <is>
          <t>VÄRMLANDS LÄN</t>
        </is>
      </c>
      <c r="E1351" t="inlineStr">
        <is>
          <t>TORSBY</t>
        </is>
      </c>
      <c r="F1351" t="inlineStr">
        <is>
          <t>Bergvik skog väst AB</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46221-2023</t>
        </is>
      </c>
      <c r="B1352" s="1" t="n">
        <v>45196.66636574074</v>
      </c>
      <c r="C1352" s="1" t="n">
        <v>45989</v>
      </c>
      <c r="D1352" t="inlineStr">
        <is>
          <t>VÄRMLANDS LÄN</t>
        </is>
      </c>
      <c r="E1352" t="inlineStr">
        <is>
          <t>TORSBY</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12440-2025</t>
        </is>
      </c>
      <c r="B1353" s="1" t="n">
        <v>45730</v>
      </c>
      <c r="C1353" s="1" t="n">
        <v>45989</v>
      </c>
      <c r="D1353" t="inlineStr">
        <is>
          <t>VÄRMLANDS LÄN</t>
        </is>
      </c>
      <c r="E1353" t="inlineStr">
        <is>
          <t>TORSBY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48499-2025</t>
        </is>
      </c>
      <c r="B1354" s="1" t="n">
        <v>45936.37533564815</v>
      </c>
      <c r="C1354" s="1" t="n">
        <v>45989</v>
      </c>
      <c r="D1354" t="inlineStr">
        <is>
          <t>VÄRMLANDS LÄN</t>
        </is>
      </c>
      <c r="E1354" t="inlineStr">
        <is>
          <t>TORSBY</t>
        </is>
      </c>
      <c r="F1354" t="inlineStr">
        <is>
          <t>Bergvik skog väst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56021-2023</t>
        </is>
      </c>
      <c r="B1355" s="1" t="n">
        <v>45240</v>
      </c>
      <c r="C1355" s="1" t="n">
        <v>45989</v>
      </c>
      <c r="D1355" t="inlineStr">
        <is>
          <t>VÄRMLANDS LÄN</t>
        </is>
      </c>
      <c r="E1355" t="inlineStr">
        <is>
          <t>TORSBY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37081-2023</t>
        </is>
      </c>
      <c r="B1356" s="1" t="n">
        <v>45155</v>
      </c>
      <c r="C1356" s="1" t="n">
        <v>45989</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57980-2023</t>
        </is>
      </c>
      <c r="B1357" s="1" t="n">
        <v>45247.59328703704</v>
      </c>
      <c r="C1357" s="1" t="n">
        <v>45989</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48375-2025</t>
        </is>
      </c>
      <c r="B1358" s="1" t="n">
        <v>45933.71201388889</v>
      </c>
      <c r="C1358" s="1" t="n">
        <v>45989</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14613-2025</t>
        </is>
      </c>
      <c r="B1359" s="1" t="n">
        <v>45742.39615740741</v>
      </c>
      <c r="C1359" s="1" t="n">
        <v>45989</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19662-2025</t>
        </is>
      </c>
      <c r="B1360" s="1" t="n">
        <v>45770</v>
      </c>
      <c r="C1360" s="1" t="n">
        <v>45989</v>
      </c>
      <c r="D1360" t="inlineStr">
        <is>
          <t>VÄRMLANDS LÄN</t>
        </is>
      </c>
      <c r="E1360" t="inlineStr">
        <is>
          <t>TORSBY</t>
        </is>
      </c>
      <c r="F1360" t="inlineStr">
        <is>
          <t>Bergvik skog väst AB</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19763-2025</t>
        </is>
      </c>
      <c r="B1361" s="1" t="n">
        <v>45771.40707175926</v>
      </c>
      <c r="C1361" s="1" t="n">
        <v>45989</v>
      </c>
      <c r="D1361" t="inlineStr">
        <is>
          <t>VÄRMLANDS LÄN</t>
        </is>
      </c>
      <c r="E1361" t="inlineStr">
        <is>
          <t>TORSBY</t>
        </is>
      </c>
      <c r="F1361" t="inlineStr">
        <is>
          <t>Bergvik skog väst AB</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19159-2025</t>
        </is>
      </c>
      <c r="B1362" s="1" t="n">
        <v>45769</v>
      </c>
      <c r="C1362" s="1" t="n">
        <v>45989</v>
      </c>
      <c r="D1362" t="inlineStr">
        <is>
          <t>VÄRMLANDS LÄN</t>
        </is>
      </c>
      <c r="E1362" t="inlineStr">
        <is>
          <t>TORSBY</t>
        </is>
      </c>
      <c r="F1362" t="inlineStr">
        <is>
          <t>Bergvik skog väst AB</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55622-2025</t>
        </is>
      </c>
      <c r="B1363" s="1" t="n">
        <v>45971</v>
      </c>
      <c r="C1363" s="1" t="n">
        <v>45989</v>
      </c>
      <c r="D1363" t="inlineStr">
        <is>
          <t>VÄRMLANDS LÄN</t>
        </is>
      </c>
      <c r="E1363" t="inlineStr">
        <is>
          <t>TORSBY</t>
        </is>
      </c>
      <c r="F1363" t="inlineStr">
        <is>
          <t>Kyrkan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40180-2024</t>
        </is>
      </c>
      <c r="B1364" s="1" t="n">
        <v>45554.55413194445</v>
      </c>
      <c r="C1364" s="1" t="n">
        <v>45989</v>
      </c>
      <c r="D1364" t="inlineStr">
        <is>
          <t>VÄRMLANDS LÄN</t>
        </is>
      </c>
      <c r="E1364" t="inlineStr">
        <is>
          <t>TORSBY</t>
        </is>
      </c>
      <c r="F1364" t="inlineStr">
        <is>
          <t>Bergvik skog väst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56848-2025</t>
        </is>
      </c>
      <c r="B1365" s="1" t="n">
        <v>45978.4887037037</v>
      </c>
      <c r="C1365" s="1" t="n">
        <v>45989</v>
      </c>
      <c r="D1365" t="inlineStr">
        <is>
          <t>VÄRMLANDS LÄN</t>
        </is>
      </c>
      <c r="E1365" t="inlineStr">
        <is>
          <t>TORSBY</t>
        </is>
      </c>
      <c r="F1365" t="inlineStr">
        <is>
          <t>Bergvik skog väst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56761-2025</t>
        </is>
      </c>
      <c r="B1366" s="1" t="n">
        <v>45978.37505787037</v>
      </c>
      <c r="C1366" s="1" t="n">
        <v>45989</v>
      </c>
      <c r="D1366" t="inlineStr">
        <is>
          <t>VÄRMLANDS LÄN</t>
        </is>
      </c>
      <c r="E1366" t="inlineStr">
        <is>
          <t>TORSBY</t>
        </is>
      </c>
      <c r="F1366" t="inlineStr">
        <is>
          <t>Bergvik skog väst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20461-2025</t>
        </is>
      </c>
      <c r="B1367" s="1" t="n">
        <v>45775.53158564815</v>
      </c>
      <c r="C1367" s="1" t="n">
        <v>45989</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34093-2024</t>
        </is>
      </c>
      <c r="B1368" s="1" t="n">
        <v>45523</v>
      </c>
      <c r="C1368" s="1" t="n">
        <v>45989</v>
      </c>
      <c r="D1368" t="inlineStr">
        <is>
          <t>VÄRMLANDS LÄN</t>
        </is>
      </c>
      <c r="E1368" t="inlineStr">
        <is>
          <t>TORSBY</t>
        </is>
      </c>
      <c r="F1368" t="inlineStr">
        <is>
          <t>Bergvik skog väst AB</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6317-2025</t>
        </is>
      </c>
      <c r="B1369" s="1" t="n">
        <v>45698.74826388889</v>
      </c>
      <c r="C1369" s="1" t="n">
        <v>45989</v>
      </c>
      <c r="D1369" t="inlineStr">
        <is>
          <t>VÄRMLANDS LÄN</t>
        </is>
      </c>
      <c r="E1369" t="inlineStr">
        <is>
          <t>TORSBY</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38298-2021</t>
        </is>
      </c>
      <c r="B1370" s="1" t="n">
        <v>44406</v>
      </c>
      <c r="C1370" s="1" t="n">
        <v>45989</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13285-2025</t>
        </is>
      </c>
      <c r="B1371" s="1" t="n">
        <v>45735</v>
      </c>
      <c r="C1371" s="1" t="n">
        <v>45989</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56785-2025</t>
        </is>
      </c>
      <c r="B1372" s="1" t="n">
        <v>45978.42228009259</v>
      </c>
      <c r="C1372" s="1" t="n">
        <v>45989</v>
      </c>
      <c r="D1372" t="inlineStr">
        <is>
          <t>VÄRMLANDS LÄN</t>
        </is>
      </c>
      <c r="E1372" t="inlineStr">
        <is>
          <t>TORSBY</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56786-2025</t>
        </is>
      </c>
      <c r="B1373" s="1" t="n">
        <v>45978.4254050926</v>
      </c>
      <c r="C1373" s="1" t="n">
        <v>45989</v>
      </c>
      <c r="D1373" t="inlineStr">
        <is>
          <t>VÄRMLANDS LÄN</t>
        </is>
      </c>
      <c r="E1373" t="inlineStr">
        <is>
          <t>TORSBY</t>
        </is>
      </c>
      <c r="F1373" t="inlineStr">
        <is>
          <t>Bergvik skog väst AB</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54885-2022</t>
        </is>
      </c>
      <c r="B1374" s="1" t="n">
        <v>44886</v>
      </c>
      <c r="C1374" s="1" t="n">
        <v>45989</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48202-2025</t>
        </is>
      </c>
      <c r="B1375" s="1" t="n">
        <v>45933.48121527778</v>
      </c>
      <c r="C1375" s="1" t="n">
        <v>45989</v>
      </c>
      <c r="D1375" t="inlineStr">
        <is>
          <t>VÄRMLANDS LÄN</t>
        </is>
      </c>
      <c r="E1375" t="inlineStr">
        <is>
          <t>TORSBY</t>
        </is>
      </c>
      <c r="G1375" t="n">
        <v>9.4</v>
      </c>
      <c r="H1375" t="n">
        <v>0</v>
      </c>
      <c r="I1375" t="n">
        <v>0</v>
      </c>
      <c r="J1375" t="n">
        <v>0</v>
      </c>
      <c r="K1375" t="n">
        <v>0</v>
      </c>
      <c r="L1375" t="n">
        <v>0</v>
      </c>
      <c r="M1375" t="n">
        <v>0</v>
      </c>
      <c r="N1375" t="n">
        <v>0</v>
      </c>
      <c r="O1375" t="n">
        <v>0</v>
      </c>
      <c r="P1375" t="n">
        <v>0</v>
      </c>
      <c r="Q1375" t="n">
        <v>0</v>
      </c>
      <c r="R1375" s="2" t="inlineStr"/>
    </row>
    <row r="1376" ht="15" customHeight="1">
      <c r="A1376" t="inlineStr">
        <is>
          <t>A 23073-2023</t>
        </is>
      </c>
      <c r="B1376" s="1" t="n">
        <v>45070</v>
      </c>
      <c r="C1376" s="1" t="n">
        <v>45989</v>
      </c>
      <c r="D1376" t="inlineStr">
        <is>
          <t>VÄRMLANDS LÄN</t>
        </is>
      </c>
      <c r="E1376" t="inlineStr">
        <is>
          <t>TORSBY</t>
        </is>
      </c>
      <c r="G1376" t="n">
        <v>15.1</v>
      </c>
      <c r="H1376" t="n">
        <v>0</v>
      </c>
      <c r="I1376" t="n">
        <v>0</v>
      </c>
      <c r="J1376" t="n">
        <v>0</v>
      </c>
      <c r="K1376" t="n">
        <v>0</v>
      </c>
      <c r="L1376" t="n">
        <v>0</v>
      </c>
      <c r="M1376" t="n">
        <v>0</v>
      </c>
      <c r="N1376" t="n">
        <v>0</v>
      </c>
      <c r="O1376" t="n">
        <v>0</v>
      </c>
      <c r="P1376" t="n">
        <v>0</v>
      </c>
      <c r="Q1376" t="n">
        <v>0</v>
      </c>
      <c r="R1376" s="2" t="inlineStr"/>
    </row>
    <row r="1377" ht="15" customHeight="1">
      <c r="A1377" t="inlineStr">
        <is>
          <t>A 48180-2025</t>
        </is>
      </c>
      <c r="B1377" s="1" t="n">
        <v>45933.45245370371</v>
      </c>
      <c r="C1377" s="1" t="n">
        <v>45989</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4516-2025</t>
        </is>
      </c>
      <c r="B1378" s="1" t="n">
        <v>45686.88212962963</v>
      </c>
      <c r="C1378" s="1" t="n">
        <v>45989</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4517-2025</t>
        </is>
      </c>
      <c r="B1379" s="1" t="n">
        <v>45686</v>
      </c>
      <c r="C1379" s="1" t="n">
        <v>45989</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11872-2025</t>
        </is>
      </c>
      <c r="B1380" s="1" t="n">
        <v>45728.43021990741</v>
      </c>
      <c r="C1380" s="1" t="n">
        <v>45989</v>
      </c>
      <c r="D1380" t="inlineStr">
        <is>
          <t>VÄRMLANDS LÄN</t>
        </is>
      </c>
      <c r="E1380" t="inlineStr">
        <is>
          <t>TORSBY</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24244-2023</t>
        </is>
      </c>
      <c r="B1381" s="1" t="n">
        <v>45079.61969907407</v>
      </c>
      <c r="C1381" s="1" t="n">
        <v>45989</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48214-2025</t>
        </is>
      </c>
      <c r="B1382" s="1" t="n">
        <v>45933.49465277778</v>
      </c>
      <c r="C1382" s="1" t="n">
        <v>45989</v>
      </c>
      <c r="D1382" t="inlineStr">
        <is>
          <t>VÄRMLANDS LÄN</t>
        </is>
      </c>
      <c r="E1382" t="inlineStr">
        <is>
          <t>TORSBY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55953-2025</t>
        </is>
      </c>
      <c r="B1383" s="1" t="n">
        <v>45973</v>
      </c>
      <c r="C1383" s="1" t="n">
        <v>45989</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55958-2025</t>
        </is>
      </c>
      <c r="B1384" s="1" t="n">
        <v>45973</v>
      </c>
      <c r="C1384" s="1" t="n">
        <v>45989</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1839-2022</t>
        </is>
      </c>
      <c r="B1385" s="1" t="n">
        <v>44574</v>
      </c>
      <c r="C1385" s="1" t="n">
        <v>45989</v>
      </c>
      <c r="D1385" t="inlineStr">
        <is>
          <t>VÄRMLANDS LÄN</t>
        </is>
      </c>
      <c r="E1385" t="inlineStr">
        <is>
          <t>TORSBY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47602-2021</t>
        </is>
      </c>
      <c r="B1386" s="1" t="n">
        <v>44448</v>
      </c>
      <c r="C1386" s="1" t="n">
        <v>45989</v>
      </c>
      <c r="D1386" t="inlineStr">
        <is>
          <t>VÄRMLANDS LÄN</t>
        </is>
      </c>
      <c r="E1386" t="inlineStr">
        <is>
          <t>TORSBY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6711-2023</t>
        </is>
      </c>
      <c r="B1387" s="1" t="n">
        <v>44960</v>
      </c>
      <c r="C1387" s="1" t="n">
        <v>45989</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6715-2023</t>
        </is>
      </c>
      <c r="B1388" s="1" t="n">
        <v>44960</v>
      </c>
      <c r="C1388" s="1" t="n">
        <v>45989</v>
      </c>
      <c r="D1388" t="inlineStr">
        <is>
          <t>VÄRMLANDS LÄN</t>
        </is>
      </c>
      <c r="E1388" t="inlineStr">
        <is>
          <t>TORSBY</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24696-2023</t>
        </is>
      </c>
      <c r="B1389" s="1" t="n">
        <v>45084</v>
      </c>
      <c r="C1389" s="1" t="n">
        <v>45989</v>
      </c>
      <c r="D1389" t="inlineStr">
        <is>
          <t>VÄRMLANDS LÄN</t>
        </is>
      </c>
      <c r="E1389" t="inlineStr">
        <is>
          <t>TORSBY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53460-2024</t>
        </is>
      </c>
      <c r="B1390" s="1" t="n">
        <v>45611</v>
      </c>
      <c r="C1390" s="1" t="n">
        <v>45989</v>
      </c>
      <c r="D1390" t="inlineStr">
        <is>
          <t>VÄRMLANDS LÄN</t>
        </is>
      </c>
      <c r="E1390" t="inlineStr">
        <is>
          <t>TORSBY</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56575-2025</t>
        </is>
      </c>
      <c r="B1391" s="1" t="n">
        <v>45975</v>
      </c>
      <c r="C1391" s="1" t="n">
        <v>45989</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70658-2021</t>
        </is>
      </c>
      <c r="B1392" s="1" t="n">
        <v>44537.52368055555</v>
      </c>
      <c r="C1392" s="1" t="n">
        <v>45989</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37401-2022</t>
        </is>
      </c>
      <c r="B1393" s="1" t="n">
        <v>44809</v>
      </c>
      <c r="C1393" s="1" t="n">
        <v>45989</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27273-2024</t>
        </is>
      </c>
      <c r="B1394" s="1" t="n">
        <v>45471.84013888889</v>
      </c>
      <c r="C1394" s="1" t="n">
        <v>45989</v>
      </c>
      <c r="D1394" t="inlineStr">
        <is>
          <t>VÄRMLANDS LÄN</t>
        </is>
      </c>
      <c r="E1394" t="inlineStr">
        <is>
          <t>TORSBY</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27275-2024</t>
        </is>
      </c>
      <c r="B1395" s="1" t="n">
        <v>45471.85645833334</v>
      </c>
      <c r="C1395" s="1" t="n">
        <v>45989</v>
      </c>
      <c r="D1395" t="inlineStr">
        <is>
          <t>VÄRMLANDS LÄN</t>
        </is>
      </c>
      <c r="E1395" t="inlineStr">
        <is>
          <t>TORSBY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56129-2025</t>
        </is>
      </c>
      <c r="B1396" s="1" t="n">
        <v>45973</v>
      </c>
      <c r="C1396" s="1" t="n">
        <v>45989</v>
      </c>
      <c r="D1396" t="inlineStr">
        <is>
          <t>VÄRMLANDS LÄN</t>
        </is>
      </c>
      <c r="E1396" t="inlineStr">
        <is>
          <t>TORSBY</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56098-2025</t>
        </is>
      </c>
      <c r="B1397" s="1" t="n">
        <v>45973</v>
      </c>
      <c r="C1397" s="1" t="n">
        <v>45989</v>
      </c>
      <c r="D1397" t="inlineStr">
        <is>
          <t>VÄRMLANDS LÄN</t>
        </is>
      </c>
      <c r="E1397" t="inlineStr">
        <is>
          <t>TORSBY</t>
        </is>
      </c>
      <c r="F1397" t="inlineStr">
        <is>
          <t>Kyrkan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56784-2025</t>
        </is>
      </c>
      <c r="B1398" s="1" t="n">
        <v>45978.41734953703</v>
      </c>
      <c r="C1398" s="1" t="n">
        <v>45989</v>
      </c>
      <c r="D1398" t="inlineStr">
        <is>
          <t>VÄRMLANDS LÄN</t>
        </is>
      </c>
      <c r="E1398" t="inlineStr">
        <is>
          <t>TORSBY</t>
        </is>
      </c>
      <c r="F1398" t="inlineStr">
        <is>
          <t>Bergvik skog väst AB</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7178-2025</t>
        </is>
      </c>
      <c r="B1399" s="1" t="n">
        <v>45702.42493055556</v>
      </c>
      <c r="C1399" s="1" t="n">
        <v>45989</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55100-2023</t>
        </is>
      </c>
      <c r="B1400" s="1" t="n">
        <v>45237.45715277778</v>
      </c>
      <c r="C1400" s="1" t="n">
        <v>45989</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49159-2025</t>
        </is>
      </c>
      <c r="B1401" s="1" t="n">
        <v>45938.35060185185</v>
      </c>
      <c r="C1401" s="1" t="n">
        <v>45989</v>
      </c>
      <c r="D1401" t="inlineStr">
        <is>
          <t>VÄRMLANDS LÄN</t>
        </is>
      </c>
      <c r="E1401" t="inlineStr">
        <is>
          <t>TORSBY</t>
        </is>
      </c>
      <c r="F1401" t="inlineStr">
        <is>
          <t>Bergvik skog väst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9729-2025</t>
        </is>
      </c>
      <c r="B1402" s="1" t="n">
        <v>45715</v>
      </c>
      <c r="C1402" s="1" t="n">
        <v>45989</v>
      </c>
      <c r="D1402" t="inlineStr">
        <is>
          <t>VÄRMLANDS LÄN</t>
        </is>
      </c>
      <c r="E1402" t="inlineStr">
        <is>
          <t>TORSBY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20528-2023</t>
        </is>
      </c>
      <c r="B1403" s="1" t="n">
        <v>45057</v>
      </c>
      <c r="C1403" s="1" t="n">
        <v>45989</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43060-2021</t>
        </is>
      </c>
      <c r="B1404" s="1" t="n">
        <v>44431</v>
      </c>
      <c r="C1404" s="1" t="n">
        <v>45989</v>
      </c>
      <c r="D1404" t="inlineStr">
        <is>
          <t>VÄRMLANDS LÄN</t>
        </is>
      </c>
      <c r="E1404" t="inlineStr">
        <is>
          <t>TORSBY</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22687-2023</t>
        </is>
      </c>
      <c r="B1405" s="1" t="n">
        <v>45071</v>
      </c>
      <c r="C1405" s="1" t="n">
        <v>45989</v>
      </c>
      <c r="D1405" t="inlineStr">
        <is>
          <t>VÄRMLANDS LÄN</t>
        </is>
      </c>
      <c r="E1405" t="inlineStr">
        <is>
          <t>TORSBY</t>
        </is>
      </c>
      <c r="F1405" t="inlineStr">
        <is>
          <t>Bergvik skog väst AB</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23572-2023</t>
        </is>
      </c>
      <c r="B1406" s="1" t="n">
        <v>45077</v>
      </c>
      <c r="C1406" s="1" t="n">
        <v>45989</v>
      </c>
      <c r="D1406" t="inlineStr">
        <is>
          <t>VÄRMLANDS LÄN</t>
        </is>
      </c>
      <c r="E1406" t="inlineStr">
        <is>
          <t>TORSBY</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48991-2025</t>
        </is>
      </c>
      <c r="B1407" s="1" t="n">
        <v>45937.58141203703</v>
      </c>
      <c r="C1407" s="1" t="n">
        <v>45989</v>
      </c>
      <c r="D1407" t="inlineStr">
        <is>
          <t>VÄRMLANDS LÄN</t>
        </is>
      </c>
      <c r="E1407" t="inlineStr">
        <is>
          <t>TORSBY</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49203-2025</t>
        </is>
      </c>
      <c r="B1408" s="1" t="n">
        <v>45938</v>
      </c>
      <c r="C1408" s="1" t="n">
        <v>45989</v>
      </c>
      <c r="D1408" t="inlineStr">
        <is>
          <t>VÄRMLANDS LÄN</t>
        </is>
      </c>
      <c r="E1408" t="inlineStr">
        <is>
          <t>TORSBY</t>
        </is>
      </c>
      <c r="F1408" t="inlineStr">
        <is>
          <t>Bergvik skog väst AB</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22635-2022</t>
        </is>
      </c>
      <c r="B1409" s="1" t="n">
        <v>44714</v>
      </c>
      <c r="C1409" s="1" t="n">
        <v>45989</v>
      </c>
      <c r="D1409" t="inlineStr">
        <is>
          <t>VÄRMLANDS LÄN</t>
        </is>
      </c>
      <c r="E1409" t="inlineStr">
        <is>
          <t>TORSBY</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49344-2025</t>
        </is>
      </c>
      <c r="B1410" s="1" t="n">
        <v>45938.60028935185</v>
      </c>
      <c r="C1410" s="1" t="n">
        <v>45989</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41130-2022</t>
        </is>
      </c>
      <c r="B1411" s="1" t="n">
        <v>44825</v>
      </c>
      <c r="C1411" s="1" t="n">
        <v>45989</v>
      </c>
      <c r="D1411" t="inlineStr">
        <is>
          <t>VÄRMLANDS LÄN</t>
        </is>
      </c>
      <c r="E1411" t="inlineStr">
        <is>
          <t>TORSBY</t>
        </is>
      </c>
      <c r="F1411" t="inlineStr">
        <is>
          <t>Kyrkan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43256-2024</t>
        </is>
      </c>
      <c r="B1412" s="1" t="n">
        <v>45568</v>
      </c>
      <c r="C1412" s="1" t="n">
        <v>45989</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57137-2025</t>
        </is>
      </c>
      <c r="B1413" s="1" t="n">
        <v>45979.47663194445</v>
      </c>
      <c r="C1413" s="1" t="n">
        <v>45989</v>
      </c>
      <c r="D1413" t="inlineStr">
        <is>
          <t>VÄRMLANDS LÄN</t>
        </is>
      </c>
      <c r="E1413" t="inlineStr">
        <is>
          <t>TORSBY</t>
        </is>
      </c>
      <c r="F1413" t="inlineStr">
        <is>
          <t>Övriga statliga verk och myndigheter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20745-2023</t>
        </is>
      </c>
      <c r="B1414" s="1" t="n">
        <v>45058</v>
      </c>
      <c r="C1414" s="1" t="n">
        <v>45989</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21988-2023</t>
        </is>
      </c>
      <c r="B1415" s="1" t="n">
        <v>45068</v>
      </c>
      <c r="C1415" s="1" t="n">
        <v>45989</v>
      </c>
      <c r="D1415" t="inlineStr">
        <is>
          <t>VÄRMLANDS LÄN</t>
        </is>
      </c>
      <c r="E1415" t="inlineStr">
        <is>
          <t>TORSBY</t>
        </is>
      </c>
      <c r="F1415" t="inlineStr">
        <is>
          <t>Bergvik skog väst AB</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36850-2024</t>
        </is>
      </c>
      <c r="B1416" s="1" t="n">
        <v>45538</v>
      </c>
      <c r="C1416" s="1" t="n">
        <v>45989</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15450-2023</t>
        </is>
      </c>
      <c r="B1417" s="1" t="n">
        <v>45020</v>
      </c>
      <c r="C1417" s="1" t="n">
        <v>45989</v>
      </c>
      <c r="D1417" t="inlineStr">
        <is>
          <t>VÄRMLANDS LÄN</t>
        </is>
      </c>
      <c r="E1417" t="inlineStr">
        <is>
          <t>TORSBY</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49107-2025</t>
        </is>
      </c>
      <c r="B1418" s="1" t="n">
        <v>45937.74091435185</v>
      </c>
      <c r="C1418" s="1" t="n">
        <v>45989</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49311-2025</t>
        </is>
      </c>
      <c r="B1419" s="1" t="n">
        <v>45938.56336805555</v>
      </c>
      <c r="C1419" s="1" t="n">
        <v>45989</v>
      </c>
      <c r="D1419" t="inlineStr">
        <is>
          <t>VÄRMLANDS LÄN</t>
        </is>
      </c>
      <c r="E1419" t="inlineStr">
        <is>
          <t>TORSBY</t>
        </is>
      </c>
      <c r="F1419" t="inlineStr">
        <is>
          <t>Bergvik skog väst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49313-2025</t>
        </is>
      </c>
      <c r="B1420" s="1" t="n">
        <v>45938.56460648148</v>
      </c>
      <c r="C1420" s="1" t="n">
        <v>45989</v>
      </c>
      <c r="D1420" t="inlineStr">
        <is>
          <t>VÄRMLANDS LÄN</t>
        </is>
      </c>
      <c r="E1420" t="inlineStr">
        <is>
          <t>TORSBY</t>
        </is>
      </c>
      <c r="F1420" t="inlineStr">
        <is>
          <t>Bergvik skog väst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6529-2025</t>
        </is>
      </c>
      <c r="B1421" s="1" t="n">
        <v>45699</v>
      </c>
      <c r="C1421" s="1" t="n">
        <v>45989</v>
      </c>
      <c r="D1421" t="inlineStr">
        <is>
          <t>VÄRMLANDS LÄN</t>
        </is>
      </c>
      <c r="E1421" t="inlineStr">
        <is>
          <t>TORSBY</t>
        </is>
      </c>
      <c r="F1421" t="inlineStr">
        <is>
          <t>Kommuner</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6532-2025</t>
        </is>
      </c>
      <c r="B1422" s="1" t="n">
        <v>45699</v>
      </c>
      <c r="C1422" s="1" t="n">
        <v>45989</v>
      </c>
      <c r="D1422" t="inlineStr">
        <is>
          <t>VÄRMLANDS LÄN</t>
        </is>
      </c>
      <c r="E1422" t="inlineStr">
        <is>
          <t>TORSBY</t>
        </is>
      </c>
      <c r="F1422" t="inlineStr">
        <is>
          <t>Kommuner</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55475-2022</t>
        </is>
      </c>
      <c r="B1423" s="1" t="n">
        <v>44887.66210648148</v>
      </c>
      <c r="C1423" s="1" t="n">
        <v>45989</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49167-2025</t>
        </is>
      </c>
      <c r="B1424" s="1" t="n">
        <v>45938</v>
      </c>
      <c r="C1424" s="1" t="n">
        <v>45989</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6863-2023</t>
        </is>
      </c>
      <c r="B1425" s="1" t="n">
        <v>44964</v>
      </c>
      <c r="C1425" s="1" t="n">
        <v>45989</v>
      </c>
      <c r="D1425" t="inlineStr">
        <is>
          <t>VÄRMLANDS LÄN</t>
        </is>
      </c>
      <c r="E1425" t="inlineStr">
        <is>
          <t>TORSBY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14369-2025</t>
        </is>
      </c>
      <c r="B1426" s="1" t="n">
        <v>45741</v>
      </c>
      <c r="C1426" s="1" t="n">
        <v>45989</v>
      </c>
      <c r="D1426" t="inlineStr">
        <is>
          <t>VÄRMLANDS LÄN</t>
        </is>
      </c>
      <c r="E1426" t="inlineStr">
        <is>
          <t>TORSBY</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14413-2025</t>
        </is>
      </c>
      <c r="B1427" s="1" t="n">
        <v>45741</v>
      </c>
      <c r="C1427" s="1" t="n">
        <v>45989</v>
      </c>
      <c r="D1427" t="inlineStr">
        <is>
          <t>VÄRMLANDS LÄN</t>
        </is>
      </c>
      <c r="E1427" t="inlineStr">
        <is>
          <t>TORSBY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48947-2025</t>
        </is>
      </c>
      <c r="B1428" s="1" t="n">
        <v>45937.54157407407</v>
      </c>
      <c r="C1428" s="1" t="n">
        <v>45989</v>
      </c>
      <c r="D1428" t="inlineStr">
        <is>
          <t>VÄRMLANDS LÄN</t>
        </is>
      </c>
      <c r="E1428" t="inlineStr">
        <is>
          <t>TORSBY</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24896-2023</t>
        </is>
      </c>
      <c r="B1429" s="1" t="n">
        <v>45085</v>
      </c>
      <c r="C1429" s="1" t="n">
        <v>45989</v>
      </c>
      <c r="D1429" t="inlineStr">
        <is>
          <t>VÄRMLANDS LÄN</t>
        </is>
      </c>
      <c r="E1429" t="inlineStr">
        <is>
          <t>TORSBY</t>
        </is>
      </c>
      <c r="F1429" t="inlineStr">
        <is>
          <t>Bergvik skog väst AB</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46698-2024</t>
        </is>
      </c>
      <c r="B1430" s="1" t="n">
        <v>45583.43209490741</v>
      </c>
      <c r="C1430" s="1" t="n">
        <v>45989</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57364-2025</t>
        </is>
      </c>
      <c r="B1431" s="1" t="n">
        <v>45980.37458333333</v>
      </c>
      <c r="C1431" s="1" t="n">
        <v>45989</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57370-2025</t>
        </is>
      </c>
      <c r="B1432" s="1" t="n">
        <v>45979</v>
      </c>
      <c r="C1432" s="1" t="n">
        <v>45989</v>
      </c>
      <c r="D1432" t="inlineStr">
        <is>
          <t>VÄRMLANDS LÄN</t>
        </is>
      </c>
      <c r="E1432" t="inlineStr">
        <is>
          <t>TORSBY</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56130-2025</t>
        </is>
      </c>
      <c r="B1433" s="1" t="n">
        <v>45973</v>
      </c>
      <c r="C1433" s="1" t="n">
        <v>45989</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57073-2025</t>
        </is>
      </c>
      <c r="B1434" s="1" t="n">
        <v>45979.39403935185</v>
      </c>
      <c r="C1434" s="1" t="n">
        <v>45989</v>
      </c>
      <c r="D1434" t="inlineStr">
        <is>
          <t>VÄRMLANDS LÄN</t>
        </is>
      </c>
      <c r="E1434" t="inlineStr">
        <is>
          <t>TORSBY</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49237-2025</t>
        </is>
      </c>
      <c r="B1435" s="1" t="n">
        <v>45938</v>
      </c>
      <c r="C1435" s="1" t="n">
        <v>45989</v>
      </c>
      <c r="D1435" t="inlineStr">
        <is>
          <t>VÄRMLANDS LÄN</t>
        </is>
      </c>
      <c r="E1435" t="inlineStr">
        <is>
          <t>TORSBY</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49250-2025</t>
        </is>
      </c>
      <c r="B1436" s="1" t="n">
        <v>45938</v>
      </c>
      <c r="C1436" s="1" t="n">
        <v>45989</v>
      </c>
      <c r="D1436" t="inlineStr">
        <is>
          <t>VÄRMLANDS LÄN</t>
        </is>
      </c>
      <c r="E1436" t="inlineStr">
        <is>
          <t>TORSBY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49108-2025</t>
        </is>
      </c>
      <c r="B1437" s="1" t="n">
        <v>45937.74528935185</v>
      </c>
      <c r="C1437" s="1" t="n">
        <v>45989</v>
      </c>
      <c r="D1437" t="inlineStr">
        <is>
          <t>VÄRMLANDS LÄN</t>
        </is>
      </c>
      <c r="E1437" t="inlineStr">
        <is>
          <t>TORSBY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49109-2025</t>
        </is>
      </c>
      <c r="B1438" s="1" t="n">
        <v>45937.74931712963</v>
      </c>
      <c r="C1438" s="1" t="n">
        <v>45989</v>
      </c>
      <c r="D1438" t="inlineStr">
        <is>
          <t>VÄRMLANDS LÄN</t>
        </is>
      </c>
      <c r="E1438" t="inlineStr">
        <is>
          <t>TORSBY</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49181-2025</t>
        </is>
      </c>
      <c r="B1439" s="1" t="n">
        <v>45938.38640046296</v>
      </c>
      <c r="C1439" s="1" t="n">
        <v>45989</v>
      </c>
      <c r="D1439" t="inlineStr">
        <is>
          <t>VÄRMLANDS LÄN</t>
        </is>
      </c>
      <c r="E1439" t="inlineStr">
        <is>
          <t>TORSBY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49272-2025</t>
        </is>
      </c>
      <c r="B1440" s="1" t="n">
        <v>45938.50574074074</v>
      </c>
      <c r="C1440" s="1" t="n">
        <v>45989</v>
      </c>
      <c r="D1440" t="inlineStr">
        <is>
          <t>VÄRMLANDS LÄN</t>
        </is>
      </c>
      <c r="E1440" t="inlineStr">
        <is>
          <t>TORSBY</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57348-2025</t>
        </is>
      </c>
      <c r="B1441" s="1" t="n">
        <v>45980.35927083333</v>
      </c>
      <c r="C1441" s="1" t="n">
        <v>45989</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57446-2025</t>
        </is>
      </c>
      <c r="B1442" s="1" t="n">
        <v>45980.49054398148</v>
      </c>
      <c r="C1442" s="1" t="n">
        <v>45989</v>
      </c>
      <c r="D1442" t="inlineStr">
        <is>
          <t>VÄRMLANDS LÄN</t>
        </is>
      </c>
      <c r="E1442" t="inlineStr">
        <is>
          <t>TORSBY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16425-2022</t>
        </is>
      </c>
      <c r="B1443" s="1" t="n">
        <v>44671</v>
      </c>
      <c r="C1443" s="1" t="n">
        <v>45989</v>
      </c>
      <c r="D1443" t="inlineStr">
        <is>
          <t>VÄRMLANDS LÄN</t>
        </is>
      </c>
      <c r="E1443" t="inlineStr">
        <is>
          <t>TORSBY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21255-2023</t>
        </is>
      </c>
      <c r="B1444" s="1" t="n">
        <v>45058</v>
      </c>
      <c r="C1444" s="1" t="n">
        <v>45989</v>
      </c>
      <c r="D1444" t="inlineStr">
        <is>
          <t>VÄRMLANDS LÄN</t>
        </is>
      </c>
      <c r="E1444" t="inlineStr">
        <is>
          <t>TORSBY</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49681-2025</t>
        </is>
      </c>
      <c r="B1445" s="1" t="n">
        <v>45939</v>
      </c>
      <c r="C1445" s="1" t="n">
        <v>45989</v>
      </c>
      <c r="D1445" t="inlineStr">
        <is>
          <t>VÄRMLANDS LÄN</t>
        </is>
      </c>
      <c r="E1445" t="inlineStr">
        <is>
          <t>TORSBY</t>
        </is>
      </c>
      <c r="F1445" t="inlineStr">
        <is>
          <t>Bergvik skog väst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55386-2025</t>
        </is>
      </c>
      <c r="B1446" s="1" t="n">
        <v>45971</v>
      </c>
      <c r="C1446" s="1" t="n">
        <v>45989</v>
      </c>
      <c r="D1446" t="inlineStr">
        <is>
          <t>VÄRMLANDS LÄN</t>
        </is>
      </c>
      <c r="E1446" t="inlineStr">
        <is>
          <t>TORSBY</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18105-2022</t>
        </is>
      </c>
      <c r="B1447" s="1" t="n">
        <v>44684</v>
      </c>
      <c r="C1447" s="1" t="n">
        <v>45989</v>
      </c>
      <c r="D1447" t="inlineStr">
        <is>
          <t>VÄRMLANDS LÄN</t>
        </is>
      </c>
      <c r="E1447" t="inlineStr">
        <is>
          <t>TORSBY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53705-2021</t>
        </is>
      </c>
      <c r="B1448" s="1" t="n">
        <v>44469</v>
      </c>
      <c r="C1448" s="1" t="n">
        <v>45989</v>
      </c>
      <c r="D1448" t="inlineStr">
        <is>
          <t>VÄRMLANDS LÄN</t>
        </is>
      </c>
      <c r="E1448" t="inlineStr">
        <is>
          <t>TORSBY</t>
        </is>
      </c>
      <c r="F1448" t="inlineStr">
        <is>
          <t>Kyrkan</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16329-2025</t>
        </is>
      </c>
      <c r="B1449" s="1" t="n">
        <v>45751</v>
      </c>
      <c r="C1449" s="1" t="n">
        <v>45989</v>
      </c>
      <c r="D1449" t="inlineStr">
        <is>
          <t>VÄRMLANDS LÄN</t>
        </is>
      </c>
      <c r="E1449" t="inlineStr">
        <is>
          <t>TORSBY</t>
        </is>
      </c>
      <c r="F1449" t="inlineStr">
        <is>
          <t>Bergvik skog väst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44699-2025</t>
        </is>
      </c>
      <c r="B1450" s="1" t="n">
        <v>45917</v>
      </c>
      <c r="C1450" s="1" t="n">
        <v>45989</v>
      </c>
      <c r="D1450" t="inlineStr">
        <is>
          <t>VÄRMLANDS LÄN</t>
        </is>
      </c>
      <c r="E1450" t="inlineStr">
        <is>
          <t>TORSBY</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49453-2025</t>
        </is>
      </c>
      <c r="B1451" s="1" t="n">
        <v>45939</v>
      </c>
      <c r="C1451" s="1" t="n">
        <v>45989</v>
      </c>
      <c r="D1451" t="inlineStr">
        <is>
          <t>VÄRMLANDS LÄN</t>
        </is>
      </c>
      <c r="E1451" t="inlineStr">
        <is>
          <t>TORSBY</t>
        </is>
      </c>
      <c r="F1451" t="inlineStr">
        <is>
          <t>Bergvik skog väst AB</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56889-2025</t>
        </is>
      </c>
      <c r="B1452" s="1" t="n">
        <v>45978</v>
      </c>
      <c r="C1452" s="1" t="n">
        <v>45989</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12365-2022</t>
        </is>
      </c>
      <c r="B1453" s="1" t="n">
        <v>44637.70670138889</v>
      </c>
      <c r="C1453" s="1" t="n">
        <v>45989</v>
      </c>
      <c r="D1453" t="inlineStr">
        <is>
          <t>VÄRMLANDS LÄN</t>
        </is>
      </c>
      <c r="E1453" t="inlineStr">
        <is>
          <t>TORSBY</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38286-2023</t>
        </is>
      </c>
      <c r="B1454" s="1" t="n">
        <v>45161.63807870371</v>
      </c>
      <c r="C1454" s="1" t="n">
        <v>45989</v>
      </c>
      <c r="D1454" t="inlineStr">
        <is>
          <t>VÄRMLANDS LÄN</t>
        </is>
      </c>
      <c r="E1454" t="inlineStr">
        <is>
          <t>TORSBY</t>
        </is>
      </c>
      <c r="F1454" t="inlineStr">
        <is>
          <t>Kyrkan</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57695-2025</t>
        </is>
      </c>
      <c r="B1455" s="1" t="n">
        <v>45981.45201388889</v>
      </c>
      <c r="C1455" s="1" t="n">
        <v>45989</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52995-2025</t>
        </is>
      </c>
      <c r="B1456" s="1" t="n">
        <v>45957.72936342593</v>
      </c>
      <c r="C1456" s="1" t="n">
        <v>45989</v>
      </c>
      <c r="D1456" t="inlineStr">
        <is>
          <t>VÄRMLANDS LÄN</t>
        </is>
      </c>
      <c r="E1456" t="inlineStr">
        <is>
          <t>TORSBY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19878-2025</t>
        </is>
      </c>
      <c r="B1457" s="1" t="n">
        <v>45771.55361111111</v>
      </c>
      <c r="C1457" s="1" t="n">
        <v>45989</v>
      </c>
      <c r="D1457" t="inlineStr">
        <is>
          <t>VÄRMLANDS LÄN</t>
        </is>
      </c>
      <c r="E1457" t="inlineStr">
        <is>
          <t>TORSBY</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56299-2025</t>
        </is>
      </c>
      <c r="B1458" s="1" t="n">
        <v>45974</v>
      </c>
      <c r="C1458" s="1" t="n">
        <v>45989</v>
      </c>
      <c r="D1458" t="inlineStr">
        <is>
          <t>VÄRMLANDS LÄN</t>
        </is>
      </c>
      <c r="E1458" t="inlineStr">
        <is>
          <t>TORSBY</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26343-2023</t>
        </is>
      </c>
      <c r="B1459" s="1" t="n">
        <v>45091</v>
      </c>
      <c r="C1459" s="1" t="n">
        <v>45989</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49854-2025</t>
        </is>
      </c>
      <c r="B1460" s="1" t="n">
        <v>45940.50342592593</v>
      </c>
      <c r="C1460" s="1" t="n">
        <v>45989</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49504-2025</t>
        </is>
      </c>
      <c r="B1461" s="1" t="n">
        <v>45939</v>
      </c>
      <c r="C1461" s="1" t="n">
        <v>45989</v>
      </c>
      <c r="D1461" t="inlineStr">
        <is>
          <t>VÄRMLANDS LÄN</t>
        </is>
      </c>
      <c r="E1461" t="inlineStr">
        <is>
          <t>TORSBY</t>
        </is>
      </c>
      <c r="F1461" t="inlineStr">
        <is>
          <t>Bergvik skog väst AB</t>
        </is>
      </c>
      <c r="G1461" t="n">
        <v>35.8</v>
      </c>
      <c r="H1461" t="n">
        <v>0</v>
      </c>
      <c r="I1461" t="n">
        <v>0</v>
      </c>
      <c r="J1461" t="n">
        <v>0</v>
      </c>
      <c r="K1461" t="n">
        <v>0</v>
      </c>
      <c r="L1461" t="n">
        <v>0</v>
      </c>
      <c r="M1461" t="n">
        <v>0</v>
      </c>
      <c r="N1461" t="n">
        <v>0</v>
      </c>
      <c r="O1461" t="n">
        <v>0</v>
      </c>
      <c r="P1461" t="n">
        <v>0</v>
      </c>
      <c r="Q1461" t="n">
        <v>0</v>
      </c>
      <c r="R1461" s="2" t="inlineStr"/>
    </row>
    <row r="1462" ht="15" customHeight="1">
      <c r="A1462" t="inlineStr">
        <is>
          <t>A 44170-2022</t>
        </is>
      </c>
      <c r="B1462" s="1" t="n">
        <v>44838</v>
      </c>
      <c r="C1462" s="1" t="n">
        <v>45989</v>
      </c>
      <c r="D1462" t="inlineStr">
        <is>
          <t>VÄRMLANDS LÄN</t>
        </is>
      </c>
      <c r="E1462" t="inlineStr">
        <is>
          <t>TORSBY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7127-2023</t>
        </is>
      </c>
      <c r="B1463" s="1" t="n">
        <v>44970.41383101852</v>
      </c>
      <c r="C1463" s="1" t="n">
        <v>45989</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49622-2025</t>
        </is>
      </c>
      <c r="B1464" s="1" t="n">
        <v>45939</v>
      </c>
      <c r="C1464" s="1" t="n">
        <v>45989</v>
      </c>
      <c r="D1464" t="inlineStr">
        <is>
          <t>VÄRMLANDS LÄN</t>
        </is>
      </c>
      <c r="E1464" t="inlineStr">
        <is>
          <t>TORSBY</t>
        </is>
      </c>
      <c r="F1464" t="inlineStr">
        <is>
          <t>Bergvik skog väst AB</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49636-2025</t>
        </is>
      </c>
      <c r="B1465" s="1" t="n">
        <v>45939</v>
      </c>
      <c r="C1465" s="1" t="n">
        <v>45989</v>
      </c>
      <c r="D1465" t="inlineStr">
        <is>
          <t>VÄRMLANDS LÄN</t>
        </is>
      </c>
      <c r="E1465" t="inlineStr">
        <is>
          <t>TORSBY</t>
        </is>
      </c>
      <c r="F1465" t="inlineStr">
        <is>
          <t>Bergvik skog väst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15170-2025</t>
        </is>
      </c>
      <c r="B1466" s="1" t="n">
        <v>45743</v>
      </c>
      <c r="C1466" s="1" t="n">
        <v>45989</v>
      </c>
      <c r="D1466" t="inlineStr">
        <is>
          <t>VÄRMLANDS LÄN</t>
        </is>
      </c>
      <c r="E1466" t="inlineStr">
        <is>
          <t>TORSBY</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49638-2025</t>
        </is>
      </c>
      <c r="B1467" s="1" t="n">
        <v>45939.61236111111</v>
      </c>
      <c r="C1467" s="1" t="n">
        <v>45989</v>
      </c>
      <c r="D1467" t="inlineStr">
        <is>
          <t>VÄRMLANDS LÄN</t>
        </is>
      </c>
      <c r="E1467" t="inlineStr">
        <is>
          <t>TORSBY</t>
        </is>
      </c>
      <c r="F1467" t="inlineStr">
        <is>
          <t>Bergvik skog väst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16073-2024</t>
        </is>
      </c>
      <c r="B1468" s="1" t="n">
        <v>45406</v>
      </c>
      <c r="C1468" s="1" t="n">
        <v>45989</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58956-2022</t>
        </is>
      </c>
      <c r="B1469" s="1" t="n">
        <v>44903.65895833333</v>
      </c>
      <c r="C1469" s="1" t="n">
        <v>45989</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57935-2025</t>
        </is>
      </c>
      <c r="B1470" s="1" t="n">
        <v>45981.9675462963</v>
      </c>
      <c r="C1470" s="1" t="n">
        <v>45989</v>
      </c>
      <c r="D1470" t="inlineStr">
        <is>
          <t>VÄRMLANDS LÄN</t>
        </is>
      </c>
      <c r="E1470" t="inlineStr">
        <is>
          <t>TORSBY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57931-2025</t>
        </is>
      </c>
      <c r="B1471" s="1" t="n">
        <v>45981.90670138889</v>
      </c>
      <c r="C1471" s="1" t="n">
        <v>45989</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36050-2023</t>
        </is>
      </c>
      <c r="B1472" s="1" t="n">
        <v>45149</v>
      </c>
      <c r="C1472" s="1" t="n">
        <v>45989</v>
      </c>
      <c r="D1472" t="inlineStr">
        <is>
          <t>VÄRMLANDS LÄN</t>
        </is>
      </c>
      <c r="E1472" t="inlineStr">
        <is>
          <t>TORSBY</t>
        </is>
      </c>
      <c r="F1472" t="inlineStr">
        <is>
          <t>Kommuner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50400-2025</t>
        </is>
      </c>
      <c r="B1473" s="1" t="n">
        <v>45944.63516203704</v>
      </c>
      <c r="C1473" s="1" t="n">
        <v>45989</v>
      </c>
      <c r="D1473" t="inlineStr">
        <is>
          <t>VÄRMLANDS LÄN</t>
        </is>
      </c>
      <c r="E1473" t="inlineStr">
        <is>
          <t>TORSBY</t>
        </is>
      </c>
      <c r="F1473" t="inlineStr">
        <is>
          <t>Bergvik skog väst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34966-2024</t>
        </is>
      </c>
      <c r="B1474" s="1" t="n">
        <v>45527.49600694444</v>
      </c>
      <c r="C1474" s="1" t="n">
        <v>45989</v>
      </c>
      <c r="D1474" t="inlineStr">
        <is>
          <t>VÄRMLANDS LÄN</t>
        </is>
      </c>
      <c r="E1474" t="inlineStr">
        <is>
          <t>TORSBY</t>
        </is>
      </c>
      <c r="F1474" t="inlineStr">
        <is>
          <t>Bergvik skog väst AB</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69628-2020</t>
        </is>
      </c>
      <c r="B1475" s="1" t="n">
        <v>44195</v>
      </c>
      <c r="C1475" s="1" t="n">
        <v>45989</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14162-2025</t>
        </is>
      </c>
      <c r="B1476" s="1" t="n">
        <v>45740</v>
      </c>
      <c r="C1476" s="1" t="n">
        <v>45989</v>
      </c>
      <c r="D1476" t="inlineStr">
        <is>
          <t>VÄRMLANDS LÄN</t>
        </is>
      </c>
      <c r="E1476" t="inlineStr">
        <is>
          <t>TORSBY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53493-2025</t>
        </is>
      </c>
      <c r="B1477" s="1" t="n">
        <v>45960.32559027777</v>
      </c>
      <c r="C1477" s="1" t="n">
        <v>45989</v>
      </c>
      <c r="D1477" t="inlineStr">
        <is>
          <t>VÄRMLANDS LÄN</t>
        </is>
      </c>
      <c r="E1477" t="inlineStr">
        <is>
          <t>TORSBY</t>
        </is>
      </c>
      <c r="F1477" t="inlineStr">
        <is>
          <t>Bergvik skog väst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49206-2022</t>
        </is>
      </c>
      <c r="B1478" s="1" t="n">
        <v>44860.95984953704</v>
      </c>
      <c r="C1478" s="1" t="n">
        <v>45989</v>
      </c>
      <c r="D1478" t="inlineStr">
        <is>
          <t>VÄRMLANDS LÄN</t>
        </is>
      </c>
      <c r="E1478" t="inlineStr">
        <is>
          <t>TORSBY</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9908-2024</t>
        </is>
      </c>
      <c r="B1479" s="1" t="n">
        <v>45363</v>
      </c>
      <c r="C1479" s="1" t="n">
        <v>45989</v>
      </c>
      <c r="D1479" t="inlineStr">
        <is>
          <t>VÄRMLANDS LÄN</t>
        </is>
      </c>
      <c r="E1479" t="inlineStr">
        <is>
          <t>TORSBY</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58678-2025</t>
        </is>
      </c>
      <c r="B1480" s="1" t="n">
        <v>45986.56342592592</v>
      </c>
      <c r="C1480" s="1" t="n">
        <v>45989</v>
      </c>
      <c r="D1480" t="inlineStr">
        <is>
          <t>VÄRMLANDS LÄN</t>
        </is>
      </c>
      <c r="E1480" t="inlineStr">
        <is>
          <t>TORSBY</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20393-2023</t>
        </is>
      </c>
      <c r="B1481" s="1" t="n">
        <v>45056</v>
      </c>
      <c r="C1481" s="1" t="n">
        <v>45989</v>
      </c>
      <c r="D1481" t="inlineStr">
        <is>
          <t>VÄRMLANDS LÄN</t>
        </is>
      </c>
      <c r="E1481" t="inlineStr">
        <is>
          <t>TORSBY</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41529-2024</t>
        </is>
      </c>
      <c r="B1482" s="1" t="n">
        <v>45560.48552083333</v>
      </c>
      <c r="C1482" s="1" t="n">
        <v>45989</v>
      </c>
      <c r="D1482" t="inlineStr">
        <is>
          <t>VÄRMLANDS LÄN</t>
        </is>
      </c>
      <c r="E1482" t="inlineStr">
        <is>
          <t>TORSBY</t>
        </is>
      </c>
      <c r="F1482" t="inlineStr">
        <is>
          <t>Bergvik skog väst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50373-2025</t>
        </is>
      </c>
      <c r="B1483" s="1" t="n">
        <v>45944.59106481481</v>
      </c>
      <c r="C1483" s="1" t="n">
        <v>45989</v>
      </c>
      <c r="D1483" t="inlineStr">
        <is>
          <t>VÄRMLANDS LÄN</t>
        </is>
      </c>
      <c r="E1483" t="inlineStr">
        <is>
          <t>TORSBY</t>
        </is>
      </c>
      <c r="F1483" t="inlineStr">
        <is>
          <t>Bergvik skog väst AB</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276-2024</t>
        </is>
      </c>
      <c r="B1484" s="1" t="n">
        <v>45295</v>
      </c>
      <c r="C1484" s="1" t="n">
        <v>45989</v>
      </c>
      <c r="D1484" t="inlineStr">
        <is>
          <t>VÄRMLANDS LÄN</t>
        </is>
      </c>
      <c r="E1484" t="inlineStr">
        <is>
          <t>TORSBY</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28598-2023</t>
        </is>
      </c>
      <c r="B1485" s="1" t="n">
        <v>45103.57421296297</v>
      </c>
      <c r="C1485" s="1" t="n">
        <v>45989</v>
      </c>
      <c r="D1485" t="inlineStr">
        <is>
          <t>VÄRMLANDS LÄN</t>
        </is>
      </c>
      <c r="E1485" t="inlineStr">
        <is>
          <t>TORSBY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14304-2023</t>
        </is>
      </c>
      <c r="B1486" s="1" t="n">
        <v>45011.76541666667</v>
      </c>
      <c r="C1486" s="1" t="n">
        <v>45989</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46471-2024</t>
        </is>
      </c>
      <c r="B1487" s="1" t="n">
        <v>45582.5517824074</v>
      </c>
      <c r="C1487" s="1" t="n">
        <v>45989</v>
      </c>
      <c r="D1487" t="inlineStr">
        <is>
          <t>VÄRMLANDS LÄN</t>
        </is>
      </c>
      <c r="E1487" t="inlineStr">
        <is>
          <t>TORSBY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58625-2025</t>
        </is>
      </c>
      <c r="B1488" s="1" t="n">
        <v>45986.4740625</v>
      </c>
      <c r="C1488" s="1" t="n">
        <v>45989</v>
      </c>
      <c r="D1488" t="inlineStr">
        <is>
          <t>VÄRMLANDS LÄN</t>
        </is>
      </c>
      <c r="E1488" t="inlineStr">
        <is>
          <t>TORSBY</t>
        </is>
      </c>
      <c r="F1488" t="inlineStr">
        <is>
          <t>Kyrkan</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32332-2023</t>
        </is>
      </c>
      <c r="B1489" s="1" t="n">
        <v>45110</v>
      </c>
      <c r="C1489" s="1" t="n">
        <v>45989</v>
      </c>
      <c r="D1489" t="inlineStr">
        <is>
          <t>VÄRMLANDS LÄN</t>
        </is>
      </c>
      <c r="E1489" t="inlineStr">
        <is>
          <t>TORSBY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15085-2023</t>
        </is>
      </c>
      <c r="B1490" s="1" t="n">
        <v>45016</v>
      </c>
      <c r="C1490" s="1" t="n">
        <v>45989</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71679-2021</t>
        </is>
      </c>
      <c r="B1491" s="1" t="n">
        <v>44543</v>
      </c>
      <c r="C1491" s="1" t="n">
        <v>45989</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40470-2023</t>
        </is>
      </c>
      <c r="B1492" s="1" t="n">
        <v>45170</v>
      </c>
      <c r="C1492" s="1" t="n">
        <v>45989</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58538-2025</t>
        </is>
      </c>
      <c r="B1493" s="1" t="n">
        <v>45985.89356481482</v>
      </c>
      <c r="C1493" s="1" t="n">
        <v>45989</v>
      </c>
      <c r="D1493" t="inlineStr">
        <is>
          <t>VÄRMLANDS LÄN</t>
        </is>
      </c>
      <c r="E1493" t="inlineStr">
        <is>
          <t>TORSBY</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70785-2021</t>
        </is>
      </c>
      <c r="B1494" s="1" t="n">
        <v>44537</v>
      </c>
      <c r="C1494" s="1" t="n">
        <v>45989</v>
      </c>
      <c r="D1494" t="inlineStr">
        <is>
          <t>VÄRMLANDS LÄN</t>
        </is>
      </c>
      <c r="E1494" t="inlineStr">
        <is>
          <t>TORSBY</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50750-2025</t>
        </is>
      </c>
      <c r="B1495" s="1" t="n">
        <v>45946.39091435185</v>
      </c>
      <c r="C1495" s="1" t="n">
        <v>45989</v>
      </c>
      <c r="D1495" t="inlineStr">
        <is>
          <t>VÄRMLANDS LÄN</t>
        </is>
      </c>
      <c r="E1495" t="inlineStr">
        <is>
          <t>TORSBY</t>
        </is>
      </c>
      <c r="F1495" t="inlineStr">
        <is>
          <t>Bergvik skog väst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58396-2025</t>
        </is>
      </c>
      <c r="B1496" s="1" t="n">
        <v>45985</v>
      </c>
      <c r="C1496" s="1" t="n">
        <v>45989</v>
      </c>
      <c r="D1496" t="inlineStr">
        <is>
          <t>VÄRMLANDS LÄN</t>
        </is>
      </c>
      <c r="E1496" t="inlineStr">
        <is>
          <t>TORSBY</t>
        </is>
      </c>
      <c r="F1496" t="inlineStr">
        <is>
          <t>Bergvik skog väst AB</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62574-2022</t>
        </is>
      </c>
      <c r="B1497" s="1" t="n">
        <v>44924.85943287037</v>
      </c>
      <c r="C1497" s="1" t="n">
        <v>45989</v>
      </c>
      <c r="D1497" t="inlineStr">
        <is>
          <t>VÄRMLANDS LÄN</t>
        </is>
      </c>
      <c r="E1497" t="inlineStr">
        <is>
          <t>TORSBY</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50927-2025</t>
        </is>
      </c>
      <c r="B1498" s="1" t="n">
        <v>45946.67895833333</v>
      </c>
      <c r="C1498" s="1" t="n">
        <v>45989</v>
      </c>
      <c r="D1498" t="inlineStr">
        <is>
          <t>VÄRMLANDS LÄN</t>
        </is>
      </c>
      <c r="E1498" t="inlineStr">
        <is>
          <t>TORSBY</t>
        </is>
      </c>
      <c r="F1498" t="inlineStr">
        <is>
          <t>Kommuner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3542-2023</t>
        </is>
      </c>
      <c r="B1499" s="1" t="n">
        <v>44950</v>
      </c>
      <c r="C1499" s="1" t="n">
        <v>45989</v>
      </c>
      <c r="D1499" t="inlineStr">
        <is>
          <t>VÄRMLANDS LÄN</t>
        </is>
      </c>
      <c r="E1499" t="inlineStr">
        <is>
          <t>TORSBY</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58836-2025</t>
        </is>
      </c>
      <c r="B1500" s="1" t="n">
        <v>45987.35586805556</v>
      </c>
      <c r="C1500" s="1" t="n">
        <v>45989</v>
      </c>
      <c r="D1500" t="inlineStr">
        <is>
          <t>VÄRMLANDS LÄN</t>
        </is>
      </c>
      <c r="E1500" t="inlineStr">
        <is>
          <t>TORSBY</t>
        </is>
      </c>
      <c r="F1500" t="inlineStr">
        <is>
          <t>Bergvik skog väst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3678-2024</t>
        </is>
      </c>
      <c r="B1501" s="1" t="n">
        <v>45321.37844907407</v>
      </c>
      <c r="C1501" s="1" t="n">
        <v>45989</v>
      </c>
      <c r="D1501" t="inlineStr">
        <is>
          <t>VÄRMLANDS LÄN</t>
        </is>
      </c>
      <c r="E1501" t="inlineStr">
        <is>
          <t>TORSBY</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59781-2023</t>
        </is>
      </c>
      <c r="B1502" s="1" t="n">
        <v>45257.44043981482</v>
      </c>
      <c r="C1502" s="1" t="n">
        <v>45989</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58897-2025</t>
        </is>
      </c>
      <c r="B1503" s="1" t="n">
        <v>45987.49574074074</v>
      </c>
      <c r="C1503" s="1" t="n">
        <v>45989</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58864-2025</t>
        </is>
      </c>
      <c r="B1504" s="1" t="n">
        <v>45987.44736111111</v>
      </c>
      <c r="C1504" s="1" t="n">
        <v>45989</v>
      </c>
      <c r="D1504" t="inlineStr">
        <is>
          <t>VÄRMLANDS LÄN</t>
        </is>
      </c>
      <c r="E1504" t="inlineStr">
        <is>
          <t>TORSBY</t>
        </is>
      </c>
      <c r="F1504" t="inlineStr">
        <is>
          <t>Kyrkan</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58928-2025</t>
        </is>
      </c>
      <c r="B1505" s="1" t="n">
        <v>45987.5531712963</v>
      </c>
      <c r="C1505" s="1" t="n">
        <v>45989</v>
      </c>
      <c r="D1505" t="inlineStr">
        <is>
          <t>VÄRMLANDS LÄN</t>
        </is>
      </c>
      <c r="E1505" t="inlineStr">
        <is>
          <t>TORSBY</t>
        </is>
      </c>
      <c r="F1505" t="inlineStr">
        <is>
          <t>Bergvik skog väst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58978-2025</t>
        </is>
      </c>
      <c r="B1506" s="1" t="n">
        <v>45987</v>
      </c>
      <c r="C1506" s="1" t="n">
        <v>45989</v>
      </c>
      <c r="D1506" t="inlineStr">
        <is>
          <t>VÄRMLANDS LÄN</t>
        </is>
      </c>
      <c r="E1506" t="inlineStr">
        <is>
          <t>TORSBY</t>
        </is>
      </c>
      <c r="F1506" t="inlineStr">
        <is>
          <t>Bergvik skog väst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50918-2025</t>
        </is>
      </c>
      <c r="B1507" s="1" t="n">
        <v>45946.66516203704</v>
      </c>
      <c r="C1507" s="1" t="n">
        <v>45989</v>
      </c>
      <c r="D1507" t="inlineStr">
        <is>
          <t>VÄRMLANDS LÄN</t>
        </is>
      </c>
      <c r="E1507" t="inlineStr">
        <is>
          <t>TORSBY</t>
        </is>
      </c>
      <c r="F1507" t="inlineStr">
        <is>
          <t>Kommuner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6828-2024</t>
        </is>
      </c>
      <c r="B1508" s="1" t="n">
        <v>45342</v>
      </c>
      <c r="C1508" s="1" t="n">
        <v>45989</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58363-2025</t>
        </is>
      </c>
      <c r="B1509" s="1" t="n">
        <v>45985</v>
      </c>
      <c r="C1509" s="1" t="n">
        <v>45989</v>
      </c>
      <c r="D1509" t="inlineStr">
        <is>
          <t>VÄRMLANDS LÄN</t>
        </is>
      </c>
      <c r="E1509" t="inlineStr">
        <is>
          <t>TORSBY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59009-2025</t>
        </is>
      </c>
      <c r="B1510" s="1" t="n">
        <v>45987</v>
      </c>
      <c r="C1510" s="1" t="n">
        <v>45989</v>
      </c>
      <c r="D1510" t="inlineStr">
        <is>
          <t>VÄRMLANDS LÄN</t>
        </is>
      </c>
      <c r="E1510" t="inlineStr">
        <is>
          <t>TORSBY</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50921-2025</t>
        </is>
      </c>
      <c r="B1511" s="1" t="n">
        <v>45946.67092592592</v>
      </c>
      <c r="C1511" s="1" t="n">
        <v>45989</v>
      </c>
      <c r="D1511" t="inlineStr">
        <is>
          <t>VÄRMLANDS LÄN</t>
        </is>
      </c>
      <c r="E1511" t="inlineStr">
        <is>
          <t>TORSBY</t>
        </is>
      </c>
      <c r="F1511" t="inlineStr">
        <is>
          <t>Kommuner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58919-2025</t>
        </is>
      </c>
      <c r="B1512" s="1" t="n">
        <v>45987.53549768519</v>
      </c>
      <c r="C1512" s="1" t="n">
        <v>45989</v>
      </c>
      <c r="D1512" t="inlineStr">
        <is>
          <t>VÄRMLANDS LÄN</t>
        </is>
      </c>
      <c r="E1512" t="inlineStr">
        <is>
          <t>TORSBY</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12933-2023</t>
        </is>
      </c>
      <c r="B1513" s="1" t="n">
        <v>45001</v>
      </c>
      <c r="C1513" s="1" t="n">
        <v>45989</v>
      </c>
      <c r="D1513" t="inlineStr">
        <is>
          <t>VÄRMLANDS LÄN</t>
        </is>
      </c>
      <c r="E1513" t="inlineStr">
        <is>
          <t>TORSBY</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63083-2023</t>
        </is>
      </c>
      <c r="B1514" s="1" t="n">
        <v>45273.348125</v>
      </c>
      <c r="C1514" s="1" t="n">
        <v>45989</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58430-2023</t>
        </is>
      </c>
      <c r="B1515" s="1" t="n">
        <v>45250.80646990741</v>
      </c>
      <c r="C1515" s="1" t="n">
        <v>45989</v>
      </c>
      <c r="D1515" t="inlineStr">
        <is>
          <t>VÄRMLANDS LÄN</t>
        </is>
      </c>
      <c r="E1515" t="inlineStr">
        <is>
          <t>TORSBY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29043-2023</t>
        </is>
      </c>
      <c r="B1516" s="1" t="n">
        <v>45104</v>
      </c>
      <c r="C1516" s="1" t="n">
        <v>45989</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50906-2025</t>
        </is>
      </c>
      <c r="B1517" s="1" t="n">
        <v>45946.65119212963</v>
      </c>
      <c r="C1517" s="1" t="n">
        <v>45989</v>
      </c>
      <c r="D1517" t="inlineStr">
        <is>
          <t>VÄRMLANDS LÄN</t>
        </is>
      </c>
      <c r="E1517" t="inlineStr">
        <is>
          <t>TORSBY</t>
        </is>
      </c>
      <c r="F1517" t="inlineStr">
        <is>
          <t>Kommuner</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33072-2023</t>
        </is>
      </c>
      <c r="B1518" s="1" t="n">
        <v>45126</v>
      </c>
      <c r="C1518" s="1" t="n">
        <v>45989</v>
      </c>
      <c r="D1518" t="inlineStr">
        <is>
          <t>VÄRMLANDS LÄN</t>
        </is>
      </c>
      <c r="E1518" t="inlineStr">
        <is>
          <t>TORSBY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58537-2025</t>
        </is>
      </c>
      <c r="B1519" s="1" t="n">
        <v>45985</v>
      </c>
      <c r="C1519" s="1" t="n">
        <v>45989</v>
      </c>
      <c r="D1519" t="inlineStr">
        <is>
          <t>VÄRMLANDS LÄN</t>
        </is>
      </c>
      <c r="E1519" t="inlineStr">
        <is>
          <t>TORSBY</t>
        </is>
      </c>
      <c r="F1519" t="inlineStr">
        <is>
          <t>Övriga statliga verk och myndigheter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58540-2025</t>
        </is>
      </c>
      <c r="B1520" s="1" t="n">
        <v>45985</v>
      </c>
      <c r="C1520" s="1" t="n">
        <v>45989</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65134-2023</t>
        </is>
      </c>
      <c r="B1521" s="1" t="n">
        <v>45288.52010416667</v>
      </c>
      <c r="C1521" s="1" t="n">
        <v>45989</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50892-2025</t>
        </is>
      </c>
      <c r="B1522" s="1" t="n">
        <v>45946.63763888889</v>
      </c>
      <c r="C1522" s="1" t="n">
        <v>45989</v>
      </c>
      <c r="D1522" t="inlineStr">
        <is>
          <t>VÄRMLANDS LÄN</t>
        </is>
      </c>
      <c r="E1522" t="inlineStr">
        <is>
          <t>TORSBY</t>
        </is>
      </c>
      <c r="F1522" t="inlineStr">
        <is>
          <t>Kommuner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61367-2022</t>
        </is>
      </c>
      <c r="B1523" s="1" t="n">
        <v>44915.82997685186</v>
      </c>
      <c r="C1523" s="1" t="n">
        <v>45989</v>
      </c>
      <c r="D1523" t="inlineStr">
        <is>
          <t>VÄRMLANDS LÄN</t>
        </is>
      </c>
      <c r="E1523" t="inlineStr">
        <is>
          <t>TORSBY</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6068-2021</t>
        </is>
      </c>
      <c r="B1524" s="1" t="n">
        <v>44232</v>
      </c>
      <c r="C1524" s="1" t="n">
        <v>45989</v>
      </c>
      <c r="D1524" t="inlineStr">
        <is>
          <t>VÄRMLANDS LÄN</t>
        </is>
      </c>
      <c r="E1524" t="inlineStr">
        <is>
          <t>TORSBY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56747-2025</t>
        </is>
      </c>
      <c r="B1525" s="1" t="n">
        <v>45978</v>
      </c>
      <c r="C1525" s="1" t="n">
        <v>45989</v>
      </c>
      <c r="D1525" t="inlineStr">
        <is>
          <t>VÄRMLANDS LÄN</t>
        </is>
      </c>
      <c r="E1525" t="inlineStr">
        <is>
          <t>TORSBY</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53396-2024</t>
        </is>
      </c>
      <c r="B1526" s="1" t="n">
        <v>45614</v>
      </c>
      <c r="C1526" s="1" t="n">
        <v>45989</v>
      </c>
      <c r="D1526" t="inlineStr">
        <is>
          <t>VÄRMLANDS LÄN</t>
        </is>
      </c>
      <c r="E1526" t="inlineStr">
        <is>
          <t>TORSBY</t>
        </is>
      </c>
      <c r="F1526" t="inlineStr">
        <is>
          <t>Bergvik skog väst AB</t>
        </is>
      </c>
      <c r="G1526" t="n">
        <v>10.1</v>
      </c>
      <c r="H1526" t="n">
        <v>0</v>
      </c>
      <c r="I1526" t="n">
        <v>0</v>
      </c>
      <c r="J1526" t="n">
        <v>0</v>
      </c>
      <c r="K1526" t="n">
        <v>0</v>
      </c>
      <c r="L1526" t="n">
        <v>0</v>
      </c>
      <c r="M1526" t="n">
        <v>0</v>
      </c>
      <c r="N1526" t="n">
        <v>0</v>
      </c>
      <c r="O1526" t="n">
        <v>0</v>
      </c>
      <c r="P1526" t="n">
        <v>0</v>
      </c>
      <c r="Q1526" t="n">
        <v>0</v>
      </c>
      <c r="R1526" s="2" t="inlineStr"/>
    </row>
    <row r="1527" ht="15" customHeight="1">
      <c r="A1527" t="inlineStr">
        <is>
          <t>A 14917-2023</t>
        </is>
      </c>
      <c r="B1527" s="1" t="n">
        <v>45015.39938657408</v>
      </c>
      <c r="C1527" s="1" t="n">
        <v>45989</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58840-2025</t>
        </is>
      </c>
      <c r="B1528" s="1" t="n">
        <v>45987.36246527778</v>
      </c>
      <c r="C1528" s="1" t="n">
        <v>45989</v>
      </c>
      <c r="D1528" t="inlineStr">
        <is>
          <t>VÄRMLANDS LÄN</t>
        </is>
      </c>
      <c r="E1528" t="inlineStr">
        <is>
          <t>TORSBY</t>
        </is>
      </c>
      <c r="F1528" t="inlineStr">
        <is>
          <t>Bergvik skog väst AB</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57787-2025</t>
        </is>
      </c>
      <c r="B1529" s="1" t="n">
        <v>45981</v>
      </c>
      <c r="C1529" s="1" t="n">
        <v>45989</v>
      </c>
      <c r="D1529" t="inlineStr">
        <is>
          <t>VÄRMLANDS LÄN</t>
        </is>
      </c>
      <c r="E1529" t="inlineStr">
        <is>
          <t>TORSBY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58901-2025</t>
        </is>
      </c>
      <c r="B1530" s="1" t="n">
        <v>45987.50243055556</v>
      </c>
      <c r="C1530" s="1" t="n">
        <v>45989</v>
      </c>
      <c r="D1530" t="inlineStr">
        <is>
          <t>VÄRMLANDS LÄN</t>
        </is>
      </c>
      <c r="E1530" t="inlineStr">
        <is>
          <t>TORSBY</t>
        </is>
      </c>
      <c r="F1530" t="inlineStr">
        <is>
          <t>Bergvik skog väst AB</t>
        </is>
      </c>
      <c r="G1530" t="n">
        <v>25.3</v>
      </c>
      <c r="H1530" t="n">
        <v>0</v>
      </c>
      <c r="I1530" t="n">
        <v>0</v>
      </c>
      <c r="J1530" t="n">
        <v>0</v>
      </c>
      <c r="K1530" t="n">
        <v>0</v>
      </c>
      <c r="L1530" t="n">
        <v>0</v>
      </c>
      <c r="M1530" t="n">
        <v>0</v>
      </c>
      <c r="N1530" t="n">
        <v>0</v>
      </c>
      <c r="O1530" t="n">
        <v>0</v>
      </c>
      <c r="P1530" t="n">
        <v>0</v>
      </c>
      <c r="Q1530" t="n">
        <v>0</v>
      </c>
      <c r="R1530" s="2" t="inlineStr"/>
    </row>
    <row r="1531" ht="15" customHeight="1">
      <c r="A1531" t="inlineStr">
        <is>
          <t>A 11242-2024</t>
        </is>
      </c>
      <c r="B1531" s="1" t="n">
        <v>45371</v>
      </c>
      <c r="C1531" s="1" t="n">
        <v>45989</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73521-2021</t>
        </is>
      </c>
      <c r="B1532" s="1" t="n">
        <v>44551</v>
      </c>
      <c r="C1532" s="1" t="n">
        <v>45989</v>
      </c>
      <c r="D1532" t="inlineStr">
        <is>
          <t>VÄRMLANDS LÄN</t>
        </is>
      </c>
      <c r="E1532" t="inlineStr">
        <is>
          <t>TORSBY</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11776-2024</t>
        </is>
      </c>
      <c r="B1533" s="1" t="n">
        <v>45374</v>
      </c>
      <c r="C1533" s="1" t="n">
        <v>45989</v>
      </c>
      <c r="D1533" t="inlineStr">
        <is>
          <t>VÄRMLANDS LÄN</t>
        </is>
      </c>
      <c r="E1533" t="inlineStr">
        <is>
          <t>TORSBY</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56772-2025</t>
        </is>
      </c>
      <c r="B1534" s="1" t="n">
        <v>45978</v>
      </c>
      <c r="C1534" s="1" t="n">
        <v>45989</v>
      </c>
      <c r="D1534" t="inlineStr">
        <is>
          <t>VÄRMLANDS LÄN</t>
        </is>
      </c>
      <c r="E1534" t="inlineStr">
        <is>
          <t>TORSBY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31052-2023</t>
        </is>
      </c>
      <c r="B1535" s="1" t="n">
        <v>45113</v>
      </c>
      <c r="C1535" s="1" t="n">
        <v>45989</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56778-2025</t>
        </is>
      </c>
      <c r="B1536" s="1" t="n">
        <v>45978</v>
      </c>
      <c r="C1536" s="1" t="n">
        <v>45989</v>
      </c>
      <c r="D1536" t="inlineStr">
        <is>
          <t>VÄRMLANDS LÄN</t>
        </is>
      </c>
      <c r="E1536" t="inlineStr">
        <is>
          <t>TORSBY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58903-2025</t>
        </is>
      </c>
      <c r="B1537" s="1" t="n">
        <v>45987.50533564815</v>
      </c>
      <c r="C1537" s="1" t="n">
        <v>45989</v>
      </c>
      <c r="D1537" t="inlineStr">
        <is>
          <t>VÄRMLANDS LÄN</t>
        </is>
      </c>
      <c r="E1537" t="inlineStr">
        <is>
          <t>TORSBY</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58899-2025</t>
        </is>
      </c>
      <c r="B1538" s="1" t="n">
        <v>45987.500625</v>
      </c>
      <c r="C1538" s="1" t="n">
        <v>45989</v>
      </c>
      <c r="D1538" t="inlineStr">
        <is>
          <t>VÄRMLANDS LÄN</t>
        </is>
      </c>
      <c r="E1538" t="inlineStr">
        <is>
          <t>TORSBY</t>
        </is>
      </c>
      <c r="F1538" t="inlineStr">
        <is>
          <t>Bergvik skog väst AB</t>
        </is>
      </c>
      <c r="G1538" t="n">
        <v>18.9</v>
      </c>
      <c r="H1538" t="n">
        <v>0</v>
      </c>
      <c r="I1538" t="n">
        <v>0</v>
      </c>
      <c r="J1538" t="n">
        <v>0</v>
      </c>
      <c r="K1538" t="n">
        <v>0</v>
      </c>
      <c r="L1538" t="n">
        <v>0</v>
      </c>
      <c r="M1538" t="n">
        <v>0</v>
      </c>
      <c r="N1538" t="n">
        <v>0</v>
      </c>
      <c r="O1538" t="n">
        <v>0</v>
      </c>
      <c r="P1538" t="n">
        <v>0</v>
      </c>
      <c r="Q1538" t="n">
        <v>0</v>
      </c>
      <c r="R1538" s="2" t="inlineStr"/>
    </row>
    <row r="1539" ht="15" customHeight="1">
      <c r="A1539" t="inlineStr">
        <is>
          <t>A 58246-2025</t>
        </is>
      </c>
      <c r="B1539" s="1" t="n">
        <v>45981</v>
      </c>
      <c r="C1539" s="1" t="n">
        <v>45989</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60133-2023</t>
        </is>
      </c>
      <c r="B1540" s="1" t="n">
        <v>45258</v>
      </c>
      <c r="C1540" s="1" t="n">
        <v>45989</v>
      </c>
      <c r="D1540" t="inlineStr">
        <is>
          <t>VÄRMLANDS LÄN</t>
        </is>
      </c>
      <c r="E1540" t="inlineStr">
        <is>
          <t>TORSBY</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53099-2024</t>
        </is>
      </c>
      <c r="B1541" s="1" t="n">
        <v>45611.54206018519</v>
      </c>
      <c r="C1541" s="1" t="n">
        <v>45989</v>
      </c>
      <c r="D1541" t="inlineStr">
        <is>
          <t>VÄRMLANDS LÄN</t>
        </is>
      </c>
      <c r="E1541" t="inlineStr">
        <is>
          <t>TORSBY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2130-2024</t>
        </is>
      </c>
      <c r="B1542" s="1" t="n">
        <v>45309.51518518518</v>
      </c>
      <c r="C1542" s="1" t="n">
        <v>45989</v>
      </c>
      <c r="D1542" t="inlineStr">
        <is>
          <t>VÄRMLANDS LÄN</t>
        </is>
      </c>
      <c r="E1542" t="inlineStr">
        <is>
          <t>TORSBY</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234-2024</t>
        </is>
      </c>
      <c r="B1543" s="1" t="n">
        <v>45294.8253587963</v>
      </c>
      <c r="C1543" s="1" t="n">
        <v>45989</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236-2024</t>
        </is>
      </c>
      <c r="B1544" s="1" t="n">
        <v>45294.85927083333</v>
      </c>
      <c r="C1544" s="1" t="n">
        <v>45989</v>
      </c>
      <c r="D1544" t="inlineStr">
        <is>
          <t>VÄRMLANDS LÄN</t>
        </is>
      </c>
      <c r="E1544" t="inlineStr">
        <is>
          <t>TORSBY</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64672-2023</t>
        </is>
      </c>
      <c r="B1545" s="1" t="n">
        <v>45281.61913194445</v>
      </c>
      <c r="C1545" s="1" t="n">
        <v>45989</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3922-2024</t>
        </is>
      </c>
      <c r="B1546" s="1" t="n">
        <v>45322.57271990741</v>
      </c>
      <c r="C1546" s="1" t="n">
        <v>45989</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11050-2022</t>
        </is>
      </c>
      <c r="B1547" s="1" t="n">
        <v>44628.60393518519</v>
      </c>
      <c r="C1547" s="1" t="n">
        <v>45989</v>
      </c>
      <c r="D1547" t="inlineStr">
        <is>
          <t>VÄRMLANDS LÄN</t>
        </is>
      </c>
      <c r="E1547" t="inlineStr">
        <is>
          <t>TORSBY</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33862-2024</t>
        </is>
      </c>
      <c r="B1548" s="1" t="n">
        <v>45520.69163194444</v>
      </c>
      <c r="C1548" s="1" t="n">
        <v>45989</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34500-2024</t>
        </is>
      </c>
      <c r="B1549" s="1" t="n">
        <v>45525</v>
      </c>
      <c r="C1549" s="1" t="n">
        <v>45989</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1166-2023</t>
        </is>
      </c>
      <c r="B1550" s="1" t="n">
        <v>44935</v>
      </c>
      <c r="C1550" s="1" t="n">
        <v>45989</v>
      </c>
      <c r="D1550" t="inlineStr">
        <is>
          <t>VÄRMLANDS LÄN</t>
        </is>
      </c>
      <c r="E1550" t="inlineStr">
        <is>
          <t>TORSBY</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5814-2024</t>
        </is>
      </c>
      <c r="B1551" s="1" t="n">
        <v>45335</v>
      </c>
      <c r="C1551" s="1" t="n">
        <v>45989</v>
      </c>
      <c r="D1551" t="inlineStr">
        <is>
          <t>VÄRMLANDS LÄN</t>
        </is>
      </c>
      <c r="E1551" t="inlineStr">
        <is>
          <t>TORSBY</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33469-2024</t>
        </is>
      </c>
      <c r="B1552" s="1" t="n">
        <v>45519.5996875</v>
      </c>
      <c r="C1552" s="1" t="n">
        <v>45989</v>
      </c>
      <c r="D1552" t="inlineStr">
        <is>
          <t>VÄRMLANDS LÄN</t>
        </is>
      </c>
      <c r="E1552" t="inlineStr">
        <is>
          <t>TORSBY</t>
        </is>
      </c>
      <c r="F1552" t="inlineStr">
        <is>
          <t>Bergvik skog väst AB</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74375-2021</t>
        </is>
      </c>
      <c r="B1553" s="1" t="n">
        <v>44559.71840277778</v>
      </c>
      <c r="C1553" s="1" t="n">
        <v>45989</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32588-2024</t>
        </is>
      </c>
      <c r="B1554" s="1" t="n">
        <v>45513.59612268519</v>
      </c>
      <c r="C1554" s="1" t="n">
        <v>45989</v>
      </c>
      <c r="D1554" t="inlineStr">
        <is>
          <t>VÄRMLANDS LÄN</t>
        </is>
      </c>
      <c r="E1554" t="inlineStr">
        <is>
          <t>TORSBY</t>
        </is>
      </c>
      <c r="F1554" t="inlineStr">
        <is>
          <t>Bergvik skog väst AB</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66133-2021</t>
        </is>
      </c>
      <c r="B1555" s="1" t="n">
        <v>44517</v>
      </c>
      <c r="C1555" s="1" t="n">
        <v>45989</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16427-2023</t>
        </is>
      </c>
      <c r="B1556" s="1" t="n">
        <v>45022</v>
      </c>
      <c r="C1556" s="1" t="n">
        <v>45989</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33848-2023</t>
        </is>
      </c>
      <c r="B1557" s="1" t="n">
        <v>45133.68835648148</v>
      </c>
      <c r="C1557" s="1" t="n">
        <v>45989</v>
      </c>
      <c r="D1557" t="inlineStr">
        <is>
          <t>VÄRMLANDS LÄN</t>
        </is>
      </c>
      <c r="E1557" t="inlineStr">
        <is>
          <t>TORSBY</t>
        </is>
      </c>
      <c r="F1557" t="inlineStr">
        <is>
          <t>Bergvik skog väst AB</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15413-2023</t>
        </is>
      </c>
      <c r="B1558" s="1" t="n">
        <v>45019</v>
      </c>
      <c r="C1558" s="1" t="n">
        <v>45989</v>
      </c>
      <c r="D1558" t="inlineStr">
        <is>
          <t>VÄRMLANDS LÄN</t>
        </is>
      </c>
      <c r="E1558" t="inlineStr">
        <is>
          <t>TORSBY</t>
        </is>
      </c>
      <c r="G1558" t="n">
        <v>17.1</v>
      </c>
      <c r="H1558" t="n">
        <v>0</v>
      </c>
      <c r="I1558" t="n">
        <v>0</v>
      </c>
      <c r="J1558" t="n">
        <v>0</v>
      </c>
      <c r="K1558" t="n">
        <v>0</v>
      </c>
      <c r="L1558" t="n">
        <v>0</v>
      </c>
      <c r="M1558" t="n">
        <v>0</v>
      </c>
      <c r="N1558" t="n">
        <v>0</v>
      </c>
      <c r="O1558" t="n">
        <v>0</v>
      </c>
      <c r="P1558" t="n">
        <v>0</v>
      </c>
      <c r="Q1558" t="n">
        <v>0</v>
      </c>
      <c r="R1558" s="2" t="inlineStr"/>
    </row>
    <row r="1559" ht="15" customHeight="1">
      <c r="A1559" t="inlineStr">
        <is>
          <t>A 15488-2023</t>
        </is>
      </c>
      <c r="B1559" s="1" t="n">
        <v>45020</v>
      </c>
      <c r="C1559" s="1" t="n">
        <v>45989</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11878-2024</t>
        </is>
      </c>
      <c r="B1560" s="1" t="n">
        <v>45376.47877314815</v>
      </c>
      <c r="C1560" s="1" t="n">
        <v>45989</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23843-2024</t>
        </is>
      </c>
      <c r="B1561" s="1" t="n">
        <v>45455</v>
      </c>
      <c r="C1561" s="1" t="n">
        <v>45989</v>
      </c>
      <c r="D1561" t="inlineStr">
        <is>
          <t>VÄRMLANDS LÄN</t>
        </is>
      </c>
      <c r="E1561" t="inlineStr">
        <is>
          <t>TORSBY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39648-2023</t>
        </is>
      </c>
      <c r="B1562" s="1" t="n">
        <v>45167.5528587963</v>
      </c>
      <c r="C1562" s="1" t="n">
        <v>45989</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40573-2024</t>
        </is>
      </c>
      <c r="B1563" s="1" t="n">
        <v>45555.69518518518</v>
      </c>
      <c r="C1563" s="1" t="n">
        <v>45989</v>
      </c>
      <c r="D1563" t="inlineStr">
        <is>
          <t>VÄRMLANDS LÄN</t>
        </is>
      </c>
      <c r="E1563" t="inlineStr">
        <is>
          <t>TORSBY</t>
        </is>
      </c>
      <c r="F1563" t="inlineStr">
        <is>
          <t>Bergvik skog väst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67172-2021</t>
        </is>
      </c>
      <c r="B1564" s="1" t="n">
        <v>44523.4271875</v>
      </c>
      <c r="C1564" s="1" t="n">
        <v>45989</v>
      </c>
      <c r="D1564" t="inlineStr">
        <is>
          <t>VÄRMLANDS LÄN</t>
        </is>
      </c>
      <c r="E1564" t="inlineStr">
        <is>
          <t>TORSBY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37238-2024</t>
        </is>
      </c>
      <c r="B1565" s="1" t="n">
        <v>45540</v>
      </c>
      <c r="C1565" s="1" t="n">
        <v>45989</v>
      </c>
      <c r="D1565" t="inlineStr">
        <is>
          <t>VÄRMLANDS LÄN</t>
        </is>
      </c>
      <c r="E1565" t="inlineStr">
        <is>
          <t>TORSBY</t>
        </is>
      </c>
      <c r="F1565" t="inlineStr">
        <is>
          <t>Bergvik skog väst AB</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1911-2022</t>
        </is>
      </c>
      <c r="B1566" s="1" t="n">
        <v>44575</v>
      </c>
      <c r="C1566" s="1" t="n">
        <v>45989</v>
      </c>
      <c r="D1566" t="inlineStr">
        <is>
          <t>VÄRMLANDS LÄN</t>
        </is>
      </c>
      <c r="E1566" t="inlineStr">
        <is>
          <t>TORSBY</t>
        </is>
      </c>
      <c r="F1566" t="inlineStr">
        <is>
          <t>Kommuner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10473-2023</t>
        </is>
      </c>
      <c r="B1567" s="1" t="n">
        <v>44981</v>
      </c>
      <c r="C1567" s="1" t="n">
        <v>45989</v>
      </c>
      <c r="D1567" t="inlineStr">
        <is>
          <t>VÄRMLANDS LÄN</t>
        </is>
      </c>
      <c r="E1567" t="inlineStr">
        <is>
          <t>TORSBY</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38062-2024</t>
        </is>
      </c>
      <c r="B1568" s="1" t="n">
        <v>45544</v>
      </c>
      <c r="C1568" s="1" t="n">
        <v>45989</v>
      </c>
      <c r="D1568" t="inlineStr">
        <is>
          <t>VÄRMLANDS LÄN</t>
        </is>
      </c>
      <c r="E1568" t="inlineStr">
        <is>
          <t>TORSBY</t>
        </is>
      </c>
      <c r="F1568" t="inlineStr">
        <is>
          <t>Bergvik skog väst AB</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13791-2023</t>
        </is>
      </c>
      <c r="B1569" s="1" t="n">
        <v>45005</v>
      </c>
      <c r="C1569" s="1" t="n">
        <v>45989</v>
      </c>
      <c r="D1569" t="inlineStr">
        <is>
          <t>VÄRMLANDS LÄN</t>
        </is>
      </c>
      <c r="E1569" t="inlineStr">
        <is>
          <t>TORSBY</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2662-2024</t>
        </is>
      </c>
      <c r="B1570" s="1" t="n">
        <v>45314.38747685185</v>
      </c>
      <c r="C1570" s="1" t="n">
        <v>45989</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33656-2023</t>
        </is>
      </c>
      <c r="B1571" s="1" t="n">
        <v>45132.57922453704</v>
      </c>
      <c r="C1571" s="1" t="n">
        <v>45989</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27195-2023</t>
        </is>
      </c>
      <c r="B1572" s="1" t="n">
        <v>45096</v>
      </c>
      <c r="C1572" s="1" t="n">
        <v>45989</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21757-2024</t>
        </is>
      </c>
      <c r="B1573" s="1" t="n">
        <v>45442</v>
      </c>
      <c r="C1573" s="1" t="n">
        <v>45989</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30110-2023</t>
        </is>
      </c>
      <c r="B1574" s="1" t="n">
        <v>45110</v>
      </c>
      <c r="C1574" s="1" t="n">
        <v>45989</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26166-2024</t>
        </is>
      </c>
      <c r="B1575" s="1" t="n">
        <v>45468.55357638889</v>
      </c>
      <c r="C1575" s="1" t="n">
        <v>45989</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27588-2024</t>
        </is>
      </c>
      <c r="B1576" s="1" t="n">
        <v>45474</v>
      </c>
      <c r="C1576" s="1" t="n">
        <v>45989</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43037-2024</t>
        </is>
      </c>
      <c r="B1577" s="1" t="n">
        <v>45567</v>
      </c>
      <c r="C1577" s="1" t="n">
        <v>45989</v>
      </c>
      <c r="D1577" t="inlineStr">
        <is>
          <t>VÄRMLANDS LÄN</t>
        </is>
      </c>
      <c r="E1577" t="inlineStr">
        <is>
          <t>TORSBY</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24639-2023</t>
        </is>
      </c>
      <c r="B1578" s="1" t="n">
        <v>45084</v>
      </c>
      <c r="C1578" s="1" t="n">
        <v>45989</v>
      </c>
      <c r="D1578" t="inlineStr">
        <is>
          <t>VÄRMLANDS LÄN</t>
        </is>
      </c>
      <c r="E1578" t="inlineStr">
        <is>
          <t>TORSBY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24995-2024</t>
        </is>
      </c>
      <c r="B1579" s="1" t="n">
        <v>45461</v>
      </c>
      <c r="C1579" s="1" t="n">
        <v>45989</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423-2024</t>
        </is>
      </c>
      <c r="B1580" s="1" t="n">
        <v>45296.53034722222</v>
      </c>
      <c r="C1580" s="1" t="n">
        <v>45989</v>
      </c>
      <c r="D1580" t="inlineStr">
        <is>
          <t>VÄRMLANDS LÄN</t>
        </is>
      </c>
      <c r="E1580" t="inlineStr">
        <is>
          <t>TORSBY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11395-2025</t>
        </is>
      </c>
      <c r="B1581" s="1" t="n">
        <v>45726.5728125</v>
      </c>
      <c r="C1581" s="1" t="n">
        <v>45989</v>
      </c>
      <c r="D1581" t="inlineStr">
        <is>
          <t>VÄRMLANDS LÄN</t>
        </is>
      </c>
      <c r="E1581" t="inlineStr">
        <is>
          <t>TORSBY</t>
        </is>
      </c>
      <c r="G1581" t="n">
        <v>25.3</v>
      </c>
      <c r="H1581" t="n">
        <v>0</v>
      </c>
      <c r="I1581" t="n">
        <v>0</v>
      </c>
      <c r="J1581" t="n">
        <v>0</v>
      </c>
      <c r="K1581" t="n">
        <v>0</v>
      </c>
      <c r="L1581" t="n">
        <v>0</v>
      </c>
      <c r="M1581" t="n">
        <v>0</v>
      </c>
      <c r="N1581" t="n">
        <v>0</v>
      </c>
      <c r="O1581" t="n">
        <v>0</v>
      </c>
      <c r="P1581" t="n">
        <v>0</v>
      </c>
      <c r="Q1581" t="n">
        <v>0</v>
      </c>
      <c r="R1581" s="2" t="inlineStr"/>
    </row>
    <row r="1582" ht="15" customHeight="1">
      <c r="A1582" t="inlineStr">
        <is>
          <t>A 10583-2023</t>
        </is>
      </c>
      <c r="B1582" s="1" t="n">
        <v>44988.36435185185</v>
      </c>
      <c r="C1582" s="1" t="n">
        <v>45989</v>
      </c>
      <c r="D1582" t="inlineStr">
        <is>
          <t>VÄRMLANDS LÄN</t>
        </is>
      </c>
      <c r="E1582" t="inlineStr">
        <is>
          <t>TORSBY</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49298-2024</t>
        </is>
      </c>
      <c r="B1583" s="1" t="n">
        <v>45595.54357638889</v>
      </c>
      <c r="C1583" s="1" t="n">
        <v>45989</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44659-2024</t>
        </is>
      </c>
      <c r="B1584" s="1" t="n">
        <v>45574</v>
      </c>
      <c r="C1584" s="1" t="n">
        <v>45989</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57785-2024</t>
        </is>
      </c>
      <c r="B1585" s="1" t="n">
        <v>45631</v>
      </c>
      <c r="C1585" s="1" t="n">
        <v>45989</v>
      </c>
      <c r="D1585" t="inlineStr">
        <is>
          <t>VÄRMLANDS LÄN</t>
        </is>
      </c>
      <c r="E1585" t="inlineStr">
        <is>
          <t>TORSBY</t>
        </is>
      </c>
      <c r="F1585" t="inlineStr">
        <is>
          <t>Bergvik skog väst AB</t>
        </is>
      </c>
      <c r="G1585" t="n">
        <v>10.9</v>
      </c>
      <c r="H1585" t="n">
        <v>0</v>
      </c>
      <c r="I1585" t="n">
        <v>0</v>
      </c>
      <c r="J1585" t="n">
        <v>0</v>
      </c>
      <c r="K1585" t="n">
        <v>0</v>
      </c>
      <c r="L1585" t="n">
        <v>0</v>
      </c>
      <c r="M1585" t="n">
        <v>0</v>
      </c>
      <c r="N1585" t="n">
        <v>0</v>
      </c>
      <c r="O1585" t="n">
        <v>0</v>
      </c>
      <c r="P1585" t="n">
        <v>0</v>
      </c>
      <c r="Q1585" t="n">
        <v>0</v>
      </c>
      <c r="R1585" s="2" t="inlineStr"/>
    </row>
    <row r="1586" ht="15" customHeight="1">
      <c r="A1586" t="inlineStr">
        <is>
          <t>A 60385-2024</t>
        </is>
      </c>
      <c r="B1586" s="1" t="n">
        <v>45643</v>
      </c>
      <c r="C1586" s="1" t="n">
        <v>45989</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39075-2024</t>
        </is>
      </c>
      <c r="B1587" s="1" t="n">
        <v>45548</v>
      </c>
      <c r="C1587" s="1" t="n">
        <v>45989</v>
      </c>
      <c r="D1587" t="inlineStr">
        <is>
          <t>VÄRMLANDS LÄN</t>
        </is>
      </c>
      <c r="E1587" t="inlineStr">
        <is>
          <t>TORSBY</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15992-2023</t>
        </is>
      </c>
      <c r="B1588" s="1" t="n">
        <v>45023.5066087963</v>
      </c>
      <c r="C1588" s="1" t="n">
        <v>45989</v>
      </c>
      <c r="D1588" t="inlineStr">
        <is>
          <t>VÄRMLANDS LÄN</t>
        </is>
      </c>
      <c r="E1588" t="inlineStr">
        <is>
          <t>TORSBY</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16044-2023</t>
        </is>
      </c>
      <c r="B1589" s="1" t="n">
        <v>45027</v>
      </c>
      <c r="C1589" s="1" t="n">
        <v>45989</v>
      </c>
      <c r="D1589" t="inlineStr">
        <is>
          <t>VÄRMLANDS LÄN</t>
        </is>
      </c>
      <c r="E1589" t="inlineStr">
        <is>
          <t>TORSBY</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15083-2024</t>
        </is>
      </c>
      <c r="B1590" s="1" t="n">
        <v>45399.63163194444</v>
      </c>
      <c r="C1590" s="1" t="n">
        <v>45989</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56101-2024</t>
        </is>
      </c>
      <c r="B1591" s="1" t="n">
        <v>45624</v>
      </c>
      <c r="C1591" s="1" t="n">
        <v>45989</v>
      </c>
      <c r="D1591" t="inlineStr">
        <is>
          <t>VÄRMLANDS LÄN</t>
        </is>
      </c>
      <c r="E1591" t="inlineStr">
        <is>
          <t>TORSBY</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48540-2024</t>
        </is>
      </c>
      <c r="B1592" s="1" t="n">
        <v>45593</v>
      </c>
      <c r="C1592" s="1" t="n">
        <v>45989</v>
      </c>
      <c r="D1592" t="inlineStr">
        <is>
          <t>VÄRMLANDS LÄN</t>
        </is>
      </c>
      <c r="E1592" t="inlineStr">
        <is>
          <t>TORSBY</t>
        </is>
      </c>
      <c r="G1592" t="n">
        <v>16.5</v>
      </c>
      <c r="H1592" t="n">
        <v>0</v>
      </c>
      <c r="I1592" t="n">
        <v>0</v>
      </c>
      <c r="J1592" t="n">
        <v>0</v>
      </c>
      <c r="K1592" t="n">
        <v>0</v>
      </c>
      <c r="L1592" t="n">
        <v>0</v>
      </c>
      <c r="M1592" t="n">
        <v>0</v>
      </c>
      <c r="N1592" t="n">
        <v>0</v>
      </c>
      <c r="O1592" t="n">
        <v>0</v>
      </c>
      <c r="P1592" t="n">
        <v>0</v>
      </c>
      <c r="Q1592" t="n">
        <v>0</v>
      </c>
      <c r="R1592" s="2" t="inlineStr"/>
    </row>
    <row r="1593" ht="15" customHeight="1">
      <c r="A1593" t="inlineStr">
        <is>
          <t>A 54618-2024</t>
        </is>
      </c>
      <c r="B1593" s="1" t="n">
        <v>45617</v>
      </c>
      <c r="C1593" s="1" t="n">
        <v>45989</v>
      </c>
      <c r="D1593" t="inlineStr">
        <is>
          <t>VÄRMLANDS LÄN</t>
        </is>
      </c>
      <c r="E1593" t="inlineStr">
        <is>
          <t>TORSBY</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37357-2023</t>
        </is>
      </c>
      <c r="B1594" s="1" t="n">
        <v>45156.48006944444</v>
      </c>
      <c r="C1594" s="1" t="n">
        <v>45989</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58386-2023</t>
        </is>
      </c>
      <c r="B1595" s="1" t="n">
        <v>45250</v>
      </c>
      <c r="C1595" s="1" t="n">
        <v>45989</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45039.72086805556</v>
      </c>
      <c r="C1596" s="1" t="n">
        <v>45989</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23044-2024</t>
        </is>
      </c>
      <c r="B1597" s="1" t="n">
        <v>45450</v>
      </c>
      <c r="C1597" s="1" t="n">
        <v>45989</v>
      </c>
      <c r="D1597" t="inlineStr">
        <is>
          <t>VÄRMLANDS LÄN</t>
        </is>
      </c>
      <c r="E1597" t="inlineStr">
        <is>
          <t>TORSBY</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24182-2024</t>
        </is>
      </c>
      <c r="B1598" s="1" t="n">
        <v>45456</v>
      </c>
      <c r="C1598" s="1" t="n">
        <v>45989</v>
      </c>
      <c r="D1598" t="inlineStr">
        <is>
          <t>VÄRMLANDS LÄN</t>
        </is>
      </c>
      <c r="E1598" t="inlineStr">
        <is>
          <t>TORSBY</t>
        </is>
      </c>
      <c r="F1598" t="inlineStr">
        <is>
          <t>Bergvik skog väst AB</t>
        </is>
      </c>
      <c r="G1598" t="n">
        <v>28.9</v>
      </c>
      <c r="H1598" t="n">
        <v>0</v>
      </c>
      <c r="I1598" t="n">
        <v>0</v>
      </c>
      <c r="J1598" t="n">
        <v>0</v>
      </c>
      <c r="K1598" t="n">
        <v>0</v>
      </c>
      <c r="L1598" t="n">
        <v>0</v>
      </c>
      <c r="M1598" t="n">
        <v>0</v>
      </c>
      <c r="N1598" t="n">
        <v>0</v>
      </c>
      <c r="O1598" t="n">
        <v>0</v>
      </c>
      <c r="P1598" t="n">
        <v>0</v>
      </c>
      <c r="Q1598" t="n">
        <v>0</v>
      </c>
      <c r="R1598" s="2" t="inlineStr"/>
    </row>
    <row r="1599" ht="15" customHeight="1">
      <c r="A1599" t="inlineStr">
        <is>
          <t>A 24708-2024</t>
        </is>
      </c>
      <c r="B1599" s="1" t="n">
        <v>45460</v>
      </c>
      <c r="C1599" s="1" t="n">
        <v>45989</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26799-2024</t>
        </is>
      </c>
      <c r="B1600" s="1" t="n">
        <v>45470.5071875</v>
      </c>
      <c r="C1600" s="1" t="n">
        <v>45989</v>
      </c>
      <c r="D1600" t="inlineStr">
        <is>
          <t>VÄRMLANDS LÄN</t>
        </is>
      </c>
      <c r="E1600" t="inlineStr">
        <is>
          <t>TORSBY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16369-2024</t>
        </is>
      </c>
      <c r="B1601" s="1" t="n">
        <v>45407</v>
      </c>
      <c r="C1601" s="1" t="n">
        <v>45989</v>
      </c>
      <c r="D1601" t="inlineStr">
        <is>
          <t>VÄRMLANDS LÄN</t>
        </is>
      </c>
      <c r="E1601" t="inlineStr">
        <is>
          <t>TORSBY</t>
        </is>
      </c>
      <c r="F1601" t="inlineStr">
        <is>
          <t>Kommuner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63409-2023</t>
        </is>
      </c>
      <c r="B1602" s="1" t="n">
        <v>45274.51719907407</v>
      </c>
      <c r="C1602" s="1" t="n">
        <v>45989</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14303-2023</t>
        </is>
      </c>
      <c r="B1603" s="1" t="n">
        <v>45011.75886574074</v>
      </c>
      <c r="C1603" s="1" t="n">
        <v>45989</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34427-2023</t>
        </is>
      </c>
      <c r="B1604" s="1" t="n">
        <v>45139.61741898148</v>
      </c>
      <c r="C1604" s="1" t="n">
        <v>45989</v>
      </c>
      <c r="D1604" t="inlineStr">
        <is>
          <t>VÄRMLANDS LÄN</t>
        </is>
      </c>
      <c r="E1604" t="inlineStr">
        <is>
          <t>TORSBY</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15087-2023</t>
        </is>
      </c>
      <c r="B1605" s="1" t="n">
        <v>45016</v>
      </c>
      <c r="C1605" s="1" t="n">
        <v>45989</v>
      </c>
      <c r="D1605" t="inlineStr">
        <is>
          <t>VÄRMLANDS LÄN</t>
        </is>
      </c>
      <c r="E1605" t="inlineStr">
        <is>
          <t>TORSBY</t>
        </is>
      </c>
      <c r="F1605" t="inlineStr">
        <is>
          <t>Bergvik skog väst AB</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17001-2024</t>
        </is>
      </c>
      <c r="B1606" s="1" t="n">
        <v>45412.35605324074</v>
      </c>
      <c r="C1606" s="1" t="n">
        <v>45989</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43545-2024</t>
        </is>
      </c>
      <c r="B1607" s="1" t="n">
        <v>45569.36980324074</v>
      </c>
      <c r="C1607" s="1" t="n">
        <v>45989</v>
      </c>
      <c r="D1607" t="inlineStr">
        <is>
          <t>VÄRMLANDS LÄN</t>
        </is>
      </c>
      <c r="E1607" t="inlineStr">
        <is>
          <t>TORSBY</t>
        </is>
      </c>
      <c r="F1607" t="inlineStr">
        <is>
          <t>Bergvik skog väst AB</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45110.75915509259</v>
      </c>
      <c r="C1608" s="1" t="n">
        <v>45989</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30269-2023</t>
        </is>
      </c>
      <c r="B1609" s="1" t="n">
        <v>45110.76082175926</v>
      </c>
      <c r="C1609" s="1" t="n">
        <v>45989</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70926-2021</t>
        </is>
      </c>
      <c r="B1610" s="1" t="n">
        <v>44538</v>
      </c>
      <c r="C1610" s="1" t="n">
        <v>45989</v>
      </c>
      <c r="D1610" t="inlineStr">
        <is>
          <t>VÄRMLANDS LÄN</t>
        </is>
      </c>
      <c r="E1610" t="inlineStr">
        <is>
          <t>TORSBY</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21580-2024</t>
        </is>
      </c>
      <c r="B1611" s="1" t="n">
        <v>45441</v>
      </c>
      <c r="C1611" s="1" t="n">
        <v>45989</v>
      </c>
      <c r="D1611" t="inlineStr">
        <is>
          <t>VÄRMLANDS LÄN</t>
        </is>
      </c>
      <c r="E1611" t="inlineStr">
        <is>
          <t>TORSBY</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36558-2024</t>
        </is>
      </c>
      <c r="B1612" s="1" t="n">
        <v>45537</v>
      </c>
      <c r="C1612" s="1" t="n">
        <v>45989</v>
      </c>
      <c r="D1612" t="inlineStr">
        <is>
          <t>VÄRMLANDS LÄN</t>
        </is>
      </c>
      <c r="E1612" t="inlineStr">
        <is>
          <t>TORSBY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10979-2025</t>
        </is>
      </c>
      <c r="B1613" s="1" t="n">
        <v>45723.39988425926</v>
      </c>
      <c r="C1613" s="1" t="n">
        <v>45989</v>
      </c>
      <c r="D1613" t="inlineStr">
        <is>
          <t>VÄRMLANDS LÄN</t>
        </is>
      </c>
      <c r="E1613" t="inlineStr">
        <is>
          <t>TORSBY</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46343-2024</t>
        </is>
      </c>
      <c r="B1614" s="1" t="n">
        <v>45582</v>
      </c>
      <c r="C1614" s="1" t="n">
        <v>45989</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14709-2023</t>
        </is>
      </c>
      <c r="B1615" s="1" t="n">
        <v>45014.41900462963</v>
      </c>
      <c r="C1615" s="1" t="n">
        <v>45989</v>
      </c>
      <c r="D1615" t="inlineStr">
        <is>
          <t>VÄRMLANDS LÄN</t>
        </is>
      </c>
      <c r="E1615" t="inlineStr">
        <is>
          <t>TORSBY</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7636-2024</t>
        </is>
      </c>
      <c r="B1616" s="1" t="n">
        <v>45348</v>
      </c>
      <c r="C1616" s="1" t="n">
        <v>45989</v>
      </c>
      <c r="D1616" t="inlineStr">
        <is>
          <t>VÄRMLANDS LÄN</t>
        </is>
      </c>
      <c r="E1616" t="inlineStr">
        <is>
          <t>TORSBY</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5351-2024</t>
        </is>
      </c>
      <c r="B1617" s="1" t="n">
        <v>45331.45199074074</v>
      </c>
      <c r="C1617" s="1" t="n">
        <v>45989</v>
      </c>
      <c r="D1617" t="inlineStr">
        <is>
          <t>VÄRMLANDS LÄN</t>
        </is>
      </c>
      <c r="E1617" t="inlineStr">
        <is>
          <t>TORSBY</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18676-2025</t>
        </is>
      </c>
      <c r="B1618" s="1" t="n">
        <v>45763</v>
      </c>
      <c r="C1618" s="1" t="n">
        <v>45989</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11447-2022</t>
        </is>
      </c>
      <c r="B1619" s="1" t="n">
        <v>44630</v>
      </c>
      <c r="C1619" s="1" t="n">
        <v>45989</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58948-2024</t>
        </is>
      </c>
      <c r="B1620" s="1" t="n">
        <v>45636</v>
      </c>
      <c r="C1620" s="1" t="n">
        <v>45989</v>
      </c>
      <c r="D1620" t="inlineStr">
        <is>
          <t>VÄRMLANDS LÄN</t>
        </is>
      </c>
      <c r="E1620" t="inlineStr">
        <is>
          <t>TORSBY</t>
        </is>
      </c>
      <c r="F1620" t="inlineStr">
        <is>
          <t>Bergvik skog väst AB</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4908-2024</t>
        </is>
      </c>
      <c r="B1621" s="1" t="n">
        <v>45329</v>
      </c>
      <c r="C1621" s="1" t="n">
        <v>45989</v>
      </c>
      <c r="D1621" t="inlineStr">
        <is>
          <t>VÄRMLANDS LÄN</t>
        </is>
      </c>
      <c r="E1621" t="inlineStr">
        <is>
          <t>TORSBY</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22464-2021</t>
        </is>
      </c>
      <c r="B1622" s="1" t="n">
        <v>44326.67932870371</v>
      </c>
      <c r="C1622" s="1" t="n">
        <v>45989</v>
      </c>
      <c r="D1622" t="inlineStr">
        <is>
          <t>VÄRMLANDS LÄN</t>
        </is>
      </c>
      <c r="E1622" t="inlineStr">
        <is>
          <t>TORSBY</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46456-2024</t>
        </is>
      </c>
      <c r="B1623" s="1" t="n">
        <v>45582</v>
      </c>
      <c r="C1623" s="1" t="n">
        <v>45989</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22536-2024</t>
        </is>
      </c>
      <c r="B1624" s="1" t="n">
        <v>45447</v>
      </c>
      <c r="C1624" s="1" t="n">
        <v>45989</v>
      </c>
      <c r="D1624" t="inlineStr">
        <is>
          <t>VÄRMLANDS LÄN</t>
        </is>
      </c>
      <c r="E1624" t="inlineStr">
        <is>
          <t>TORSBY</t>
        </is>
      </c>
      <c r="G1624" t="n">
        <v>25.2</v>
      </c>
      <c r="H1624" t="n">
        <v>0</v>
      </c>
      <c r="I1624" t="n">
        <v>0</v>
      </c>
      <c r="J1624" t="n">
        <v>0</v>
      </c>
      <c r="K1624" t="n">
        <v>0</v>
      </c>
      <c r="L1624" t="n">
        <v>0</v>
      </c>
      <c r="M1624" t="n">
        <v>0</v>
      </c>
      <c r="N1624" t="n">
        <v>0</v>
      </c>
      <c r="O1624" t="n">
        <v>0</v>
      </c>
      <c r="P1624" t="n">
        <v>0</v>
      </c>
      <c r="Q1624" t="n">
        <v>0</v>
      </c>
      <c r="R1624" s="2" t="inlineStr"/>
    </row>
    <row r="1625" ht="15" customHeight="1">
      <c r="A1625" t="inlineStr">
        <is>
          <t>A 50680-2023</t>
        </is>
      </c>
      <c r="B1625" s="1" t="n">
        <v>45217.5165625</v>
      </c>
      <c r="C1625" s="1" t="n">
        <v>45989</v>
      </c>
      <c r="D1625" t="inlineStr">
        <is>
          <t>VÄRMLANDS LÄN</t>
        </is>
      </c>
      <c r="E1625" t="inlineStr">
        <is>
          <t>TORSBY</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52592-2024</t>
        </is>
      </c>
      <c r="B1626" s="1" t="n">
        <v>45609</v>
      </c>
      <c r="C1626" s="1" t="n">
        <v>45989</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45231-2023</t>
        </is>
      </c>
      <c r="B1627" s="1" t="n">
        <v>45191</v>
      </c>
      <c r="C1627" s="1" t="n">
        <v>45989</v>
      </c>
      <c r="D1627" t="inlineStr">
        <is>
          <t>VÄRMLANDS LÄN</t>
        </is>
      </c>
      <c r="E1627" t="inlineStr">
        <is>
          <t>TORSBY</t>
        </is>
      </c>
      <c r="F1627" t="inlineStr">
        <is>
          <t>Bergvik skog väst AB</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43988-2024</t>
        </is>
      </c>
      <c r="B1628" s="1" t="n">
        <v>45572</v>
      </c>
      <c r="C1628" s="1" t="n">
        <v>45989</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43599-2023</t>
        </is>
      </c>
      <c r="B1629" s="1" t="n">
        <v>45184</v>
      </c>
      <c r="C1629" s="1" t="n">
        <v>45989</v>
      </c>
      <c r="D1629" t="inlineStr">
        <is>
          <t>VÄRMLANDS LÄN</t>
        </is>
      </c>
      <c r="E1629" t="inlineStr">
        <is>
          <t>TORSBY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73324-2021</t>
        </is>
      </c>
      <c r="B1630" s="1" t="n">
        <v>44550</v>
      </c>
      <c r="C1630" s="1" t="n">
        <v>45989</v>
      </c>
      <c r="D1630" t="inlineStr">
        <is>
          <t>VÄRMLANDS LÄN</t>
        </is>
      </c>
      <c r="E1630" t="inlineStr">
        <is>
          <t>TORSBY</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60710-2024</t>
        </is>
      </c>
      <c r="B1631" s="1" t="n">
        <v>45643</v>
      </c>
      <c r="C1631" s="1" t="n">
        <v>45989</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22705-2023</t>
        </is>
      </c>
      <c r="B1632" s="1" t="n">
        <v>45071</v>
      </c>
      <c r="C1632" s="1" t="n">
        <v>45989</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53358-2024</t>
        </is>
      </c>
      <c r="B1633" s="1" t="n">
        <v>45614</v>
      </c>
      <c r="C1633" s="1" t="n">
        <v>45989</v>
      </c>
      <c r="D1633" t="inlineStr">
        <is>
          <t>VÄRMLANDS LÄN</t>
        </is>
      </c>
      <c r="E1633" t="inlineStr">
        <is>
          <t>TORSBY</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8054-2022</t>
        </is>
      </c>
      <c r="B1634" s="1" t="n">
        <v>44609</v>
      </c>
      <c r="C1634" s="1" t="n">
        <v>45989</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2195-2025</t>
        </is>
      </c>
      <c r="B1635" s="1" t="n">
        <v>45673.38138888889</v>
      </c>
      <c r="C1635" s="1" t="n">
        <v>45989</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46914-2024</t>
        </is>
      </c>
      <c r="B1636" s="1" t="n">
        <v>45583.7577662037</v>
      </c>
      <c r="C1636" s="1" t="n">
        <v>45989</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32319-2024</t>
        </is>
      </c>
      <c r="B1637" s="1" t="n">
        <v>45512.4621875</v>
      </c>
      <c r="C1637" s="1" t="n">
        <v>45989</v>
      </c>
      <c r="D1637" t="inlineStr">
        <is>
          <t>VÄRMLANDS LÄN</t>
        </is>
      </c>
      <c r="E1637" t="inlineStr">
        <is>
          <t>TORSBY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40207-2023</t>
        </is>
      </c>
      <c r="B1638" s="1" t="n">
        <v>45169.44604166667</v>
      </c>
      <c r="C1638" s="1" t="n">
        <v>45989</v>
      </c>
      <c r="D1638" t="inlineStr">
        <is>
          <t>VÄRMLANDS LÄN</t>
        </is>
      </c>
      <c r="E1638" t="inlineStr">
        <is>
          <t>TORSBY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60272-2024</t>
        </is>
      </c>
      <c r="B1639" s="1" t="n">
        <v>45642</v>
      </c>
      <c r="C1639" s="1" t="n">
        <v>45989</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39772-2024</t>
        </is>
      </c>
      <c r="B1640" s="1" t="n">
        <v>45552</v>
      </c>
      <c r="C1640" s="1" t="n">
        <v>45989</v>
      </c>
      <c r="D1640" t="inlineStr">
        <is>
          <t>VÄRMLANDS LÄN</t>
        </is>
      </c>
      <c r="E1640" t="inlineStr">
        <is>
          <t>TORSBY</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45134-2024</t>
        </is>
      </c>
      <c r="B1641" s="1" t="n">
        <v>45575</v>
      </c>
      <c r="C1641" s="1" t="n">
        <v>45989</v>
      </c>
      <c r="D1641" t="inlineStr">
        <is>
          <t>VÄRMLANDS LÄN</t>
        </is>
      </c>
      <c r="E1641" t="inlineStr">
        <is>
          <t>TORSBY</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73553-2021</t>
        </is>
      </c>
      <c r="B1642" s="1" t="n">
        <v>44551</v>
      </c>
      <c r="C1642" s="1" t="n">
        <v>45989</v>
      </c>
      <c r="D1642" t="inlineStr">
        <is>
          <t>VÄRMLANDS LÄN</t>
        </is>
      </c>
      <c r="E1642" t="inlineStr">
        <is>
          <t>TORSBY</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44342-2024</t>
        </is>
      </c>
      <c r="B1643" s="1" t="n">
        <v>45573.61793981482</v>
      </c>
      <c r="C1643" s="1" t="n">
        <v>45989</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56509-2024</t>
        </is>
      </c>
      <c r="B1644" s="1" t="n">
        <v>45625</v>
      </c>
      <c r="C1644" s="1" t="n">
        <v>45989</v>
      </c>
      <c r="D1644" t="inlineStr">
        <is>
          <t>VÄRMLANDS LÄN</t>
        </is>
      </c>
      <c r="E1644" t="inlineStr">
        <is>
          <t>TORSBY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22634-2023</t>
        </is>
      </c>
      <c r="B1645" s="1" t="n">
        <v>45071</v>
      </c>
      <c r="C1645" s="1" t="n">
        <v>45989</v>
      </c>
      <c r="D1645" t="inlineStr">
        <is>
          <t>VÄRMLANDS LÄN</t>
        </is>
      </c>
      <c r="E1645" t="inlineStr">
        <is>
          <t>TORSBY</t>
        </is>
      </c>
      <c r="F1645" t="inlineStr">
        <is>
          <t>Bergvik skog väst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57469-2024</t>
        </is>
      </c>
      <c r="B1646" s="1" t="n">
        <v>45630</v>
      </c>
      <c r="C1646" s="1" t="n">
        <v>45989</v>
      </c>
      <c r="D1646" t="inlineStr">
        <is>
          <t>VÄRMLANDS LÄN</t>
        </is>
      </c>
      <c r="E1646" t="inlineStr">
        <is>
          <t>TORSBY</t>
        </is>
      </c>
      <c r="F1646" t="inlineStr">
        <is>
          <t>Bergvik skog väst AB</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2699-2022</t>
        </is>
      </c>
      <c r="B1647" s="1" t="n">
        <v>44580.62828703703</v>
      </c>
      <c r="C1647" s="1" t="n">
        <v>45989</v>
      </c>
      <c r="D1647" t="inlineStr">
        <is>
          <t>VÄRMLANDS LÄN</t>
        </is>
      </c>
      <c r="E1647" t="inlineStr">
        <is>
          <t>TORSBY</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9226-2025</t>
        </is>
      </c>
      <c r="B1648" s="1" t="n">
        <v>45714</v>
      </c>
      <c r="C1648" s="1" t="n">
        <v>45989</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5289-2022</t>
        </is>
      </c>
      <c r="B1649" s="1" t="n">
        <v>44594.61883101852</v>
      </c>
      <c r="C1649" s="1" t="n">
        <v>45989</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38979-2023</t>
        </is>
      </c>
      <c r="B1650" s="1" t="n">
        <v>45163.64584490741</v>
      </c>
      <c r="C1650" s="1" t="n">
        <v>45989</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33232-2024</t>
        </is>
      </c>
      <c r="B1651" s="1" t="n">
        <v>45518</v>
      </c>
      <c r="C1651" s="1" t="n">
        <v>45989</v>
      </c>
      <c r="D1651" t="inlineStr">
        <is>
          <t>VÄRMLANDS LÄN</t>
        </is>
      </c>
      <c r="E1651" t="inlineStr">
        <is>
          <t>TORSBY</t>
        </is>
      </c>
      <c r="F1651" t="inlineStr">
        <is>
          <t>Bergvik skog väst AB</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11581-2025</t>
        </is>
      </c>
      <c r="B1652" s="1" t="n">
        <v>45727</v>
      </c>
      <c r="C1652" s="1" t="n">
        <v>45989</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64602-2023</t>
        </is>
      </c>
      <c r="B1653" s="1" t="n">
        <v>45281.50085648148</v>
      </c>
      <c r="C1653" s="1" t="n">
        <v>45989</v>
      </c>
      <c r="D1653" t="inlineStr">
        <is>
          <t>VÄRMLANDS LÄN</t>
        </is>
      </c>
      <c r="E1653" t="inlineStr">
        <is>
          <t>TORSBY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53044-2024</t>
        </is>
      </c>
      <c r="B1654" s="1" t="n">
        <v>45611.44701388889</v>
      </c>
      <c r="C1654" s="1" t="n">
        <v>45989</v>
      </c>
      <c r="D1654" t="inlineStr">
        <is>
          <t>VÄRMLANDS LÄN</t>
        </is>
      </c>
      <c r="E1654" t="inlineStr">
        <is>
          <t>TORSBY</t>
        </is>
      </c>
      <c r="F1654" t="inlineStr">
        <is>
          <t>Kyrkan</t>
        </is>
      </c>
      <c r="G1654" t="n">
        <v>25.8</v>
      </c>
      <c r="H1654" t="n">
        <v>0</v>
      </c>
      <c r="I1654" t="n">
        <v>0</v>
      </c>
      <c r="J1654" t="n">
        <v>0</v>
      </c>
      <c r="K1654" t="n">
        <v>0</v>
      </c>
      <c r="L1654" t="n">
        <v>0</v>
      </c>
      <c r="M1654" t="n">
        <v>0</v>
      </c>
      <c r="N1654" t="n">
        <v>0</v>
      </c>
      <c r="O1654" t="n">
        <v>0</v>
      </c>
      <c r="P1654" t="n">
        <v>0</v>
      </c>
      <c r="Q1654" t="n">
        <v>0</v>
      </c>
      <c r="R1654" s="2" t="inlineStr"/>
    </row>
    <row r="1655" ht="15" customHeight="1">
      <c r="A1655" t="inlineStr">
        <is>
          <t>A 64641-2023</t>
        </is>
      </c>
      <c r="B1655" s="1" t="n">
        <v>45281.55908564815</v>
      </c>
      <c r="C1655" s="1" t="n">
        <v>45989</v>
      </c>
      <c r="D1655" t="inlineStr">
        <is>
          <t>VÄRMLANDS LÄN</t>
        </is>
      </c>
      <c r="E1655" t="inlineStr">
        <is>
          <t>TORSBY</t>
        </is>
      </c>
      <c r="F1655" t="inlineStr">
        <is>
          <t>Bergvik skog väst AB</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7069-2022</t>
        </is>
      </c>
      <c r="B1656" s="1" t="n">
        <v>44603</v>
      </c>
      <c r="C1656" s="1" t="n">
        <v>45989</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15398-2025</t>
        </is>
      </c>
      <c r="B1657" s="1" t="n">
        <v>45747.44309027777</v>
      </c>
      <c r="C1657" s="1" t="n">
        <v>45989</v>
      </c>
      <c r="D1657" t="inlineStr">
        <is>
          <t>VÄRMLANDS LÄN</t>
        </is>
      </c>
      <c r="E1657" t="inlineStr">
        <is>
          <t>TORSBY</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44497-2023</t>
        </is>
      </c>
      <c r="B1658" s="1" t="n">
        <v>45189.45701388889</v>
      </c>
      <c r="C1658" s="1" t="n">
        <v>45989</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1528-2025</t>
        </is>
      </c>
      <c r="B1659" s="1" t="n">
        <v>45670</v>
      </c>
      <c r="C1659" s="1" t="n">
        <v>45989</v>
      </c>
      <c r="D1659" t="inlineStr">
        <is>
          <t>VÄRMLANDS LÄN</t>
        </is>
      </c>
      <c r="E1659" t="inlineStr">
        <is>
          <t>TORSBY</t>
        </is>
      </c>
      <c r="G1659" t="n">
        <v>7.4</v>
      </c>
      <c r="H1659" t="n">
        <v>0</v>
      </c>
      <c r="I1659" t="n">
        <v>0</v>
      </c>
      <c r="J1659" t="n">
        <v>0</v>
      </c>
      <c r="K1659" t="n">
        <v>0</v>
      </c>
      <c r="L1659" t="n">
        <v>0</v>
      </c>
      <c r="M1659" t="n">
        <v>0</v>
      </c>
      <c r="N1659" t="n">
        <v>0</v>
      </c>
      <c r="O1659" t="n">
        <v>0</v>
      </c>
      <c r="P1659" t="n">
        <v>0</v>
      </c>
      <c r="Q1659" t="n">
        <v>0</v>
      </c>
      <c r="R1659" s="2" t="inlineStr"/>
    </row>
    <row r="1660" ht="15" customHeight="1">
      <c r="A1660" t="inlineStr">
        <is>
          <t>A 43732-2022</t>
        </is>
      </c>
      <c r="B1660" s="1" t="n">
        <v>44837.69357638889</v>
      </c>
      <c r="C1660" s="1" t="n">
        <v>45989</v>
      </c>
      <c r="D1660" t="inlineStr">
        <is>
          <t>VÄRMLANDS LÄN</t>
        </is>
      </c>
      <c r="E1660" t="inlineStr">
        <is>
          <t>TORSBY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2506-2025</t>
        </is>
      </c>
      <c r="B1661" s="1" t="n">
        <v>45674</v>
      </c>
      <c r="C1661" s="1" t="n">
        <v>45989</v>
      </c>
      <c r="D1661" t="inlineStr">
        <is>
          <t>VÄRMLANDS LÄN</t>
        </is>
      </c>
      <c r="E1661" t="inlineStr">
        <is>
          <t>TORSBY</t>
        </is>
      </c>
      <c r="F1661" t="inlineStr">
        <is>
          <t>Bergvik skog väst AB</t>
        </is>
      </c>
      <c r="G1661" t="n">
        <v>19.2</v>
      </c>
      <c r="H1661" t="n">
        <v>0</v>
      </c>
      <c r="I1661" t="n">
        <v>0</v>
      </c>
      <c r="J1661" t="n">
        <v>0</v>
      </c>
      <c r="K1661" t="n">
        <v>0</v>
      </c>
      <c r="L1661" t="n">
        <v>0</v>
      </c>
      <c r="M1661" t="n">
        <v>0</v>
      </c>
      <c r="N1661" t="n">
        <v>0</v>
      </c>
      <c r="O1661" t="n">
        <v>0</v>
      </c>
      <c r="P1661" t="n">
        <v>0</v>
      </c>
      <c r="Q1661" t="n">
        <v>0</v>
      </c>
      <c r="R1661" s="2" t="inlineStr"/>
    </row>
    <row r="1662" ht="15" customHeight="1">
      <c r="A1662" t="inlineStr">
        <is>
          <t>A 62090-2024</t>
        </is>
      </c>
      <c r="B1662" s="1" t="n">
        <v>45656</v>
      </c>
      <c r="C1662" s="1" t="n">
        <v>45989</v>
      </c>
      <c r="D1662" t="inlineStr">
        <is>
          <t>VÄRMLANDS LÄN</t>
        </is>
      </c>
      <c r="E1662" t="inlineStr">
        <is>
          <t>TORSBY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62092-2024</t>
        </is>
      </c>
      <c r="B1663" s="1" t="n">
        <v>45656</v>
      </c>
      <c r="C1663" s="1" t="n">
        <v>45989</v>
      </c>
      <c r="D1663" t="inlineStr">
        <is>
          <t>VÄRMLANDS LÄN</t>
        </is>
      </c>
      <c r="E1663" t="inlineStr">
        <is>
          <t>TORSBY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52940-2024</t>
        </is>
      </c>
      <c r="B1664" s="1" t="n">
        <v>45610</v>
      </c>
      <c r="C1664" s="1" t="n">
        <v>45989</v>
      </c>
      <c r="D1664" t="inlineStr">
        <is>
          <t>VÄRMLANDS LÄN</t>
        </is>
      </c>
      <c r="E1664" t="inlineStr">
        <is>
          <t>TORSBY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46233-2023</t>
        </is>
      </c>
      <c r="B1665" s="1" t="n">
        <v>45196.69575231482</v>
      </c>
      <c r="C1665" s="1" t="n">
        <v>45989</v>
      </c>
      <c r="D1665" t="inlineStr">
        <is>
          <t>VÄRMLANDS LÄN</t>
        </is>
      </c>
      <c r="E1665" t="inlineStr">
        <is>
          <t>TORSBY</t>
        </is>
      </c>
      <c r="F1665" t="inlineStr">
        <is>
          <t>Kyrkan</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43137-2024</t>
        </is>
      </c>
      <c r="B1666" s="1" t="n">
        <v>45567</v>
      </c>
      <c r="C1666" s="1" t="n">
        <v>45989</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42632-2023</t>
        </is>
      </c>
      <c r="B1667" s="1" t="n">
        <v>45181</v>
      </c>
      <c r="C1667" s="1" t="n">
        <v>45989</v>
      </c>
      <c r="D1667" t="inlineStr">
        <is>
          <t>VÄRMLANDS LÄN</t>
        </is>
      </c>
      <c r="E1667" t="inlineStr">
        <is>
          <t>TORSBY</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42635-2023</t>
        </is>
      </c>
      <c r="B1668" s="1" t="n">
        <v>45181.49310185185</v>
      </c>
      <c r="C1668" s="1" t="n">
        <v>45989</v>
      </c>
      <c r="D1668" t="inlineStr">
        <is>
          <t>VÄRMLANDS LÄN</t>
        </is>
      </c>
      <c r="E1668" t="inlineStr">
        <is>
          <t>TORSBY</t>
        </is>
      </c>
      <c r="G1668" t="n">
        <v>16.1</v>
      </c>
      <c r="H1668" t="n">
        <v>0</v>
      </c>
      <c r="I1668" t="n">
        <v>0</v>
      </c>
      <c r="J1668" t="n">
        <v>0</v>
      </c>
      <c r="K1668" t="n">
        <v>0</v>
      </c>
      <c r="L1668" t="n">
        <v>0</v>
      </c>
      <c r="M1668" t="n">
        <v>0</v>
      </c>
      <c r="N1668" t="n">
        <v>0</v>
      </c>
      <c r="O1668" t="n">
        <v>0</v>
      </c>
      <c r="P1668" t="n">
        <v>0</v>
      </c>
      <c r="Q1668" t="n">
        <v>0</v>
      </c>
      <c r="R1668" s="2" t="inlineStr"/>
    </row>
    <row r="1669" ht="15" customHeight="1">
      <c r="A1669" t="inlineStr">
        <is>
          <t>A 41936-2024</t>
        </is>
      </c>
      <c r="B1669" s="1" t="n">
        <v>45561</v>
      </c>
      <c r="C1669" s="1" t="n">
        <v>45989</v>
      </c>
      <c r="D1669" t="inlineStr">
        <is>
          <t>VÄRMLANDS LÄN</t>
        </is>
      </c>
      <c r="E1669" t="inlineStr">
        <is>
          <t>TORSBY</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21828-2024</t>
        </is>
      </c>
      <c r="B1670" s="1" t="n">
        <v>45442</v>
      </c>
      <c r="C1670" s="1" t="n">
        <v>45989</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45399-2023</t>
        </is>
      </c>
      <c r="B1671" s="1" t="n">
        <v>45194</v>
      </c>
      <c r="C1671" s="1" t="n">
        <v>45989</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59423-2024</t>
        </is>
      </c>
      <c r="B1672" s="1" t="n">
        <v>45638</v>
      </c>
      <c r="C1672" s="1" t="n">
        <v>45989</v>
      </c>
      <c r="D1672" t="inlineStr">
        <is>
          <t>VÄRMLANDS LÄN</t>
        </is>
      </c>
      <c r="E1672" t="inlineStr">
        <is>
          <t>TORSBY</t>
        </is>
      </c>
      <c r="G1672" t="n">
        <v>23.7</v>
      </c>
      <c r="H1672" t="n">
        <v>0</v>
      </c>
      <c r="I1672" t="n">
        <v>0</v>
      </c>
      <c r="J1672" t="n">
        <v>0</v>
      </c>
      <c r="K1672" t="n">
        <v>0</v>
      </c>
      <c r="L1672" t="n">
        <v>0</v>
      </c>
      <c r="M1672" t="n">
        <v>0</v>
      </c>
      <c r="N1672" t="n">
        <v>0</v>
      </c>
      <c r="O1672" t="n">
        <v>0</v>
      </c>
      <c r="P1672" t="n">
        <v>0</v>
      </c>
      <c r="Q1672" t="n">
        <v>0</v>
      </c>
      <c r="R1672" s="2" t="inlineStr"/>
    </row>
    <row r="1673" ht="15" customHeight="1">
      <c r="A1673" t="inlineStr">
        <is>
          <t>A 13189-2025</t>
        </is>
      </c>
      <c r="B1673" s="1" t="n">
        <v>45735.39708333334</v>
      </c>
      <c r="C1673" s="1" t="n">
        <v>45989</v>
      </c>
      <c r="D1673" t="inlineStr">
        <is>
          <t>VÄRMLANDS LÄN</t>
        </is>
      </c>
      <c r="E1673" t="inlineStr">
        <is>
          <t>TORSBY</t>
        </is>
      </c>
      <c r="G1673" t="n">
        <v>15.4</v>
      </c>
      <c r="H1673" t="n">
        <v>0</v>
      </c>
      <c r="I1673" t="n">
        <v>0</v>
      </c>
      <c r="J1673" t="n">
        <v>0</v>
      </c>
      <c r="K1673" t="n">
        <v>0</v>
      </c>
      <c r="L1673" t="n">
        <v>0</v>
      </c>
      <c r="M1673" t="n">
        <v>0</v>
      </c>
      <c r="N1673" t="n">
        <v>0</v>
      </c>
      <c r="O1673" t="n">
        <v>0</v>
      </c>
      <c r="P1673" t="n">
        <v>0</v>
      </c>
      <c r="Q1673" t="n">
        <v>0</v>
      </c>
      <c r="R1673" s="2" t="inlineStr"/>
    </row>
    <row r="1674" ht="15" customHeight="1">
      <c r="A1674" t="inlineStr">
        <is>
          <t>A 19148-2025</t>
        </is>
      </c>
      <c r="B1674" s="1" t="n">
        <v>45769</v>
      </c>
      <c r="C1674" s="1" t="n">
        <v>45989</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46909-2024</t>
        </is>
      </c>
      <c r="B1675" s="1" t="n">
        <v>45583</v>
      </c>
      <c r="C1675" s="1" t="n">
        <v>45989</v>
      </c>
      <c r="D1675" t="inlineStr">
        <is>
          <t>VÄRMLANDS LÄN</t>
        </is>
      </c>
      <c r="E1675" t="inlineStr">
        <is>
          <t>TORSBY</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20847-2023</t>
        </is>
      </c>
      <c r="B1676" s="1" t="n">
        <v>45056</v>
      </c>
      <c r="C1676" s="1" t="n">
        <v>45989</v>
      </c>
      <c r="D1676" t="inlineStr">
        <is>
          <t>VÄRMLANDS LÄN</t>
        </is>
      </c>
      <c r="E1676" t="inlineStr">
        <is>
          <t>TORSBY</t>
        </is>
      </c>
      <c r="G1676" t="n">
        <v>13.9</v>
      </c>
      <c r="H1676" t="n">
        <v>0</v>
      </c>
      <c r="I1676" t="n">
        <v>0</v>
      </c>
      <c r="J1676" t="n">
        <v>0</v>
      </c>
      <c r="K1676" t="n">
        <v>0</v>
      </c>
      <c r="L1676" t="n">
        <v>0</v>
      </c>
      <c r="M1676" t="n">
        <v>0</v>
      </c>
      <c r="N1676" t="n">
        <v>0</v>
      </c>
      <c r="O1676" t="n">
        <v>0</v>
      </c>
      <c r="P1676" t="n">
        <v>0</v>
      </c>
      <c r="Q1676" t="n">
        <v>0</v>
      </c>
      <c r="R1676" s="2" t="inlineStr"/>
    </row>
    <row r="1677" ht="15" customHeight="1">
      <c r="A1677" t="inlineStr">
        <is>
          <t>A 53748-2024</t>
        </is>
      </c>
      <c r="B1677" s="1" t="n">
        <v>45615.48322916667</v>
      </c>
      <c r="C1677" s="1" t="n">
        <v>45989</v>
      </c>
      <c r="D1677" t="inlineStr">
        <is>
          <t>VÄRMLANDS LÄN</t>
        </is>
      </c>
      <c r="E1677" t="inlineStr">
        <is>
          <t>TORSBY</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17062-2025</t>
        </is>
      </c>
      <c r="B1678" s="1" t="n">
        <v>45754</v>
      </c>
      <c r="C1678" s="1" t="n">
        <v>45989</v>
      </c>
      <c r="D1678" t="inlineStr">
        <is>
          <t>VÄRMLANDS LÄN</t>
        </is>
      </c>
      <c r="E1678" t="inlineStr">
        <is>
          <t>TORSBY</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54223-2023</t>
        </is>
      </c>
      <c r="B1679" s="1" t="n">
        <v>45232</v>
      </c>
      <c r="C1679" s="1" t="n">
        <v>45989</v>
      </c>
      <c r="D1679" t="inlineStr">
        <is>
          <t>VÄRMLANDS LÄN</t>
        </is>
      </c>
      <c r="E1679" t="inlineStr">
        <is>
          <t>TORSBY</t>
        </is>
      </c>
      <c r="F1679" t="inlineStr">
        <is>
          <t>Bergvik skog väst AB</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18447-2025</t>
        </is>
      </c>
      <c r="B1680" s="1" t="n">
        <v>45762</v>
      </c>
      <c r="C1680" s="1" t="n">
        <v>45989</v>
      </c>
      <c r="D1680" t="inlineStr">
        <is>
          <t>VÄRMLANDS LÄN</t>
        </is>
      </c>
      <c r="E1680" t="inlineStr">
        <is>
          <t>TORSBY</t>
        </is>
      </c>
      <c r="G1680" t="n">
        <v>12.8</v>
      </c>
      <c r="H1680" t="n">
        <v>0</v>
      </c>
      <c r="I1680" t="n">
        <v>0</v>
      </c>
      <c r="J1680" t="n">
        <v>0</v>
      </c>
      <c r="K1680" t="n">
        <v>0</v>
      </c>
      <c r="L1680" t="n">
        <v>0</v>
      </c>
      <c r="M1680" t="n">
        <v>0</v>
      </c>
      <c r="N1680" t="n">
        <v>0</v>
      </c>
      <c r="O1680" t="n">
        <v>0</v>
      </c>
      <c r="P1680" t="n">
        <v>0</v>
      </c>
      <c r="Q1680" t="n">
        <v>0</v>
      </c>
      <c r="R1680" s="2" t="inlineStr"/>
    </row>
    <row r="1681" ht="15" customHeight="1">
      <c r="A1681" t="inlineStr">
        <is>
          <t>A 2203-2025</t>
        </is>
      </c>
      <c r="B1681" s="1" t="n">
        <v>45672</v>
      </c>
      <c r="C1681" s="1" t="n">
        <v>45989</v>
      </c>
      <c r="D1681" t="inlineStr">
        <is>
          <t>VÄRMLANDS LÄN</t>
        </is>
      </c>
      <c r="E1681" t="inlineStr">
        <is>
          <t>TORSBY</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10608-2022</t>
        </is>
      </c>
      <c r="B1682" s="1" t="n">
        <v>44624</v>
      </c>
      <c r="C1682" s="1" t="n">
        <v>45989</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41504-2024</t>
        </is>
      </c>
      <c r="B1683" s="1" t="n">
        <v>45560</v>
      </c>
      <c r="C1683" s="1" t="n">
        <v>45989</v>
      </c>
      <c r="D1683" t="inlineStr">
        <is>
          <t>VÄRMLANDS LÄN</t>
        </is>
      </c>
      <c r="E1683" t="inlineStr">
        <is>
          <t>TORSBY</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44083-2023</t>
        </is>
      </c>
      <c r="B1684" s="1" t="n">
        <v>45182</v>
      </c>
      <c r="C1684" s="1" t="n">
        <v>45989</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18331-2025</t>
        </is>
      </c>
      <c r="B1685" s="1" t="n">
        <v>45762</v>
      </c>
      <c r="C1685" s="1" t="n">
        <v>45989</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9871-2024</t>
        </is>
      </c>
      <c r="B1686" s="1" t="n">
        <v>45363</v>
      </c>
      <c r="C1686" s="1" t="n">
        <v>45989</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48903-2024</t>
        </is>
      </c>
      <c r="B1687" s="1" t="n">
        <v>45594</v>
      </c>
      <c r="C1687" s="1" t="n">
        <v>45989</v>
      </c>
      <c r="D1687" t="inlineStr">
        <is>
          <t>VÄRMLANDS LÄN</t>
        </is>
      </c>
      <c r="E1687" t="inlineStr">
        <is>
          <t>TORSBY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3864-2025</t>
        </is>
      </c>
      <c r="B1688" s="1" t="n">
        <v>45684</v>
      </c>
      <c r="C1688" s="1" t="n">
        <v>45989</v>
      </c>
      <c r="D1688" t="inlineStr">
        <is>
          <t>VÄRMLANDS LÄN</t>
        </is>
      </c>
      <c r="E1688" t="inlineStr">
        <is>
          <t>TORSBY</t>
        </is>
      </c>
      <c r="F1688" t="inlineStr">
        <is>
          <t>Bergvik skog väst AB</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22463-2021</t>
        </is>
      </c>
      <c r="B1689" s="1" t="n">
        <v>44326.67366898148</v>
      </c>
      <c r="C1689" s="1" t="n">
        <v>45989</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21581-2024</t>
        </is>
      </c>
      <c r="B1690" s="1" t="n">
        <v>45441</v>
      </c>
      <c r="C1690" s="1" t="n">
        <v>45989</v>
      </c>
      <c r="D1690" t="inlineStr">
        <is>
          <t>VÄRMLANDS LÄN</t>
        </is>
      </c>
      <c r="E1690" t="inlineStr">
        <is>
          <t>TORSBY</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49982-2023</t>
        </is>
      </c>
      <c r="B1691" s="1" t="n">
        <v>45215.4216087963</v>
      </c>
      <c r="C1691" s="1" t="n">
        <v>45989</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35629-2023</t>
        </is>
      </c>
      <c r="B1692" s="1" t="n">
        <v>45147.55939814815</v>
      </c>
      <c r="C1692" s="1" t="n">
        <v>45989</v>
      </c>
      <c r="D1692" t="inlineStr">
        <is>
          <t>VÄRMLANDS LÄN</t>
        </is>
      </c>
      <c r="E1692" t="inlineStr">
        <is>
          <t>TORSBY</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18099-2022</t>
        </is>
      </c>
      <c r="B1693" s="1" t="n">
        <v>44684</v>
      </c>
      <c r="C1693" s="1" t="n">
        <v>45989</v>
      </c>
      <c r="D1693" t="inlineStr">
        <is>
          <t>VÄRMLANDS LÄN</t>
        </is>
      </c>
      <c r="E1693" t="inlineStr">
        <is>
          <t>TORSBY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20309-2025</t>
        </is>
      </c>
      <c r="B1694" s="1" t="n">
        <v>45775.28427083333</v>
      </c>
      <c r="C1694" s="1" t="n">
        <v>45989</v>
      </c>
      <c r="D1694" t="inlineStr">
        <is>
          <t>VÄRMLANDS LÄN</t>
        </is>
      </c>
      <c r="E1694" t="inlineStr">
        <is>
          <t>TORSBY</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19489-2022</t>
        </is>
      </c>
      <c r="B1695" s="1" t="n">
        <v>44693</v>
      </c>
      <c r="C1695" s="1" t="n">
        <v>45989</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20168-2022</t>
        </is>
      </c>
      <c r="B1696" s="1" t="n">
        <v>44698.50056712963</v>
      </c>
      <c r="C1696" s="1" t="n">
        <v>45989</v>
      </c>
      <c r="D1696" t="inlineStr">
        <is>
          <t>VÄRMLANDS LÄN</t>
        </is>
      </c>
      <c r="E1696" t="inlineStr">
        <is>
          <t>TORSBY</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1095-2025</t>
        </is>
      </c>
      <c r="B1697" s="1" t="n">
        <v>45666.63681712963</v>
      </c>
      <c r="C1697" s="1" t="n">
        <v>45989</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19791-2025</t>
        </is>
      </c>
      <c r="B1698" s="1" t="n">
        <v>45771.4452662037</v>
      </c>
      <c r="C1698" s="1" t="n">
        <v>45989</v>
      </c>
      <c r="D1698" t="inlineStr">
        <is>
          <t>VÄRMLANDS LÄN</t>
        </is>
      </c>
      <c r="E1698" t="inlineStr">
        <is>
          <t>TORSBY</t>
        </is>
      </c>
      <c r="F1698" t="inlineStr">
        <is>
          <t>Bergvik skog väst AB</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56815-2023</t>
        </is>
      </c>
      <c r="B1699" s="1" t="n">
        <v>45244</v>
      </c>
      <c r="C1699" s="1" t="n">
        <v>45989</v>
      </c>
      <c r="D1699" t="inlineStr">
        <is>
          <t>VÄRMLANDS LÄN</t>
        </is>
      </c>
      <c r="E1699" t="inlineStr">
        <is>
          <t>TORSBY</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1708-2025</t>
        </is>
      </c>
      <c r="B1700" s="1" t="n">
        <v>45670</v>
      </c>
      <c r="C1700" s="1" t="n">
        <v>45989</v>
      </c>
      <c r="D1700" t="inlineStr">
        <is>
          <t>VÄRMLANDS LÄN</t>
        </is>
      </c>
      <c r="E1700" t="inlineStr">
        <is>
          <t>TORSBY</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55839-2024</t>
        </is>
      </c>
      <c r="B1701" s="1" t="n">
        <v>45623.49502314815</v>
      </c>
      <c r="C1701" s="1" t="n">
        <v>45989</v>
      </c>
      <c r="D1701" t="inlineStr">
        <is>
          <t>VÄRMLANDS LÄN</t>
        </is>
      </c>
      <c r="E1701" t="inlineStr">
        <is>
          <t>TORSBY</t>
        </is>
      </c>
      <c r="F1701" t="inlineStr">
        <is>
          <t>Kommuner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50445-2023</t>
        </is>
      </c>
      <c r="B1702" s="1" t="n">
        <v>45216</v>
      </c>
      <c r="C1702" s="1" t="n">
        <v>45989</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54014-2024</t>
        </is>
      </c>
      <c r="B1703" s="1" t="n">
        <v>45616.38003472222</v>
      </c>
      <c r="C1703" s="1" t="n">
        <v>45989</v>
      </c>
      <c r="D1703" t="inlineStr">
        <is>
          <t>VÄRMLANDS LÄN</t>
        </is>
      </c>
      <c r="E1703" t="inlineStr">
        <is>
          <t>TORSBY</t>
        </is>
      </c>
      <c r="F1703" t="inlineStr">
        <is>
          <t>Kommuner</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19614-2022</t>
        </is>
      </c>
      <c r="B1704" s="1" t="n">
        <v>44694</v>
      </c>
      <c r="C1704" s="1" t="n">
        <v>45989</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48762-2023</t>
        </is>
      </c>
      <c r="B1705" s="1" t="n">
        <v>45208</v>
      </c>
      <c r="C1705" s="1" t="n">
        <v>45989</v>
      </c>
      <c r="D1705" t="inlineStr">
        <is>
          <t>VÄRMLANDS LÄN</t>
        </is>
      </c>
      <c r="E1705" t="inlineStr">
        <is>
          <t>TORSBY</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53570-2024</t>
        </is>
      </c>
      <c r="B1706" s="1" t="n">
        <v>45614.65956018519</v>
      </c>
      <c r="C1706" s="1" t="n">
        <v>45989</v>
      </c>
      <c r="D1706" t="inlineStr">
        <is>
          <t>VÄRMLANDS LÄN</t>
        </is>
      </c>
      <c r="E1706" t="inlineStr">
        <is>
          <t>TORSBY</t>
        </is>
      </c>
      <c r="G1706" t="n">
        <v>15.5</v>
      </c>
      <c r="H1706" t="n">
        <v>0</v>
      </c>
      <c r="I1706" t="n">
        <v>0</v>
      </c>
      <c r="J1706" t="n">
        <v>0</v>
      </c>
      <c r="K1706" t="n">
        <v>0</v>
      </c>
      <c r="L1706" t="n">
        <v>0</v>
      </c>
      <c r="M1706" t="n">
        <v>0</v>
      </c>
      <c r="N1706" t="n">
        <v>0</v>
      </c>
      <c r="O1706" t="n">
        <v>0</v>
      </c>
      <c r="P1706" t="n">
        <v>0</v>
      </c>
      <c r="Q1706" t="n">
        <v>0</v>
      </c>
      <c r="R1706" s="2" t="inlineStr"/>
    </row>
    <row r="1707" ht="15" customHeight="1">
      <c r="A1707" t="inlineStr">
        <is>
          <t>A 4302-2025</t>
        </is>
      </c>
      <c r="B1707" s="1" t="n">
        <v>45685.67939814815</v>
      </c>
      <c r="C1707" s="1" t="n">
        <v>45989</v>
      </c>
      <c r="D1707" t="inlineStr">
        <is>
          <t>VÄRMLANDS LÄN</t>
        </is>
      </c>
      <c r="E1707" t="inlineStr">
        <is>
          <t>TORSBY</t>
        </is>
      </c>
      <c r="F1707" t="inlineStr">
        <is>
          <t>Kommuner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10288-2025</t>
        </is>
      </c>
      <c r="B1708" s="1" t="n">
        <v>45720.41396990741</v>
      </c>
      <c r="C1708" s="1" t="n">
        <v>45989</v>
      </c>
      <c r="D1708" t="inlineStr">
        <is>
          <t>VÄRMLANDS LÄN</t>
        </is>
      </c>
      <c r="E1708" t="inlineStr">
        <is>
          <t>TORSBY</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45098.64269675926</v>
      </c>
      <c r="C1709" s="1" t="n">
        <v>45989</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24876-2023</t>
        </is>
      </c>
      <c r="B1710" s="1" t="n">
        <v>45085.42391203704</v>
      </c>
      <c r="C1710" s="1" t="n">
        <v>45989</v>
      </c>
      <c r="D1710" t="inlineStr">
        <is>
          <t>VÄRMLANDS LÄN</t>
        </is>
      </c>
      <c r="E1710" t="inlineStr">
        <is>
          <t>TORSBY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17841-2025</t>
        </is>
      </c>
      <c r="B1711" s="1" t="n">
        <v>45758</v>
      </c>
      <c r="C1711" s="1" t="n">
        <v>45989</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24657-2024</t>
        </is>
      </c>
      <c r="B1712" s="1" t="n">
        <v>45460</v>
      </c>
      <c r="C1712" s="1" t="n">
        <v>45989</v>
      </c>
      <c r="D1712" t="inlineStr">
        <is>
          <t>VÄRMLANDS LÄN</t>
        </is>
      </c>
      <c r="E1712" t="inlineStr">
        <is>
          <t>TORSBY</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9203-2024</t>
        </is>
      </c>
      <c r="B1713" s="1" t="n">
        <v>45358</v>
      </c>
      <c r="C1713" s="1" t="n">
        <v>45989</v>
      </c>
      <c r="D1713" t="inlineStr">
        <is>
          <t>VÄRMLANDS LÄN</t>
        </is>
      </c>
      <c r="E1713" t="inlineStr">
        <is>
          <t>TORSBY</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23996-2024</t>
        </is>
      </c>
      <c r="B1714" s="1" t="n">
        <v>45456</v>
      </c>
      <c r="C1714" s="1" t="n">
        <v>45989</v>
      </c>
      <c r="D1714" t="inlineStr">
        <is>
          <t>VÄRMLANDS LÄN</t>
        </is>
      </c>
      <c r="E1714" t="inlineStr">
        <is>
          <t>TORSBY</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22426-2024</t>
        </is>
      </c>
      <c r="B1715" s="1" t="n">
        <v>45446</v>
      </c>
      <c r="C1715" s="1" t="n">
        <v>45989</v>
      </c>
      <c r="D1715" t="inlineStr">
        <is>
          <t>VÄRMLANDS LÄN</t>
        </is>
      </c>
      <c r="E1715" t="inlineStr">
        <is>
          <t>TORSBY</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24148-2024</t>
        </is>
      </c>
      <c r="B1716" s="1" t="n">
        <v>45456</v>
      </c>
      <c r="C1716" s="1" t="n">
        <v>45989</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42613-2023</t>
        </is>
      </c>
      <c r="B1717" s="1" t="n">
        <v>45181</v>
      </c>
      <c r="C1717" s="1" t="n">
        <v>45989</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59236-2023</t>
        </is>
      </c>
      <c r="B1718" s="1" t="n">
        <v>45253</v>
      </c>
      <c r="C1718" s="1" t="n">
        <v>45989</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14120-2025</t>
        </is>
      </c>
      <c r="B1719" s="1" t="n">
        <v>45740</v>
      </c>
      <c r="C1719" s="1" t="n">
        <v>45989</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15768-2025</t>
        </is>
      </c>
      <c r="B1720" s="1" t="n">
        <v>45748.58782407407</v>
      </c>
      <c r="C1720" s="1" t="n">
        <v>45989</v>
      </c>
      <c r="D1720" t="inlineStr">
        <is>
          <t>VÄRMLANDS LÄN</t>
        </is>
      </c>
      <c r="E1720" t="inlineStr">
        <is>
          <t>TORSBY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54766-2023</t>
        </is>
      </c>
      <c r="B1721" s="1" t="n">
        <v>45236</v>
      </c>
      <c r="C1721" s="1" t="n">
        <v>45989</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15460-2022</t>
        </is>
      </c>
      <c r="B1722" s="1" t="n">
        <v>44661</v>
      </c>
      <c r="C1722" s="1" t="n">
        <v>45989</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44150-2023</t>
        </is>
      </c>
      <c r="B1723" s="1" t="n">
        <v>45188.47791666666</v>
      </c>
      <c r="C1723" s="1" t="n">
        <v>45989</v>
      </c>
      <c r="D1723" t="inlineStr">
        <is>
          <t>VÄRMLANDS LÄN</t>
        </is>
      </c>
      <c r="E1723" t="inlineStr">
        <is>
          <t>TORSBY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18101-2022</t>
        </is>
      </c>
      <c r="B1724" s="1" t="n">
        <v>44684</v>
      </c>
      <c r="C1724" s="1" t="n">
        <v>45989</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11195-2025</t>
        </is>
      </c>
      <c r="B1725" s="1" t="n">
        <v>45725.85177083333</v>
      </c>
      <c r="C1725" s="1" t="n">
        <v>45989</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16498-2022</t>
        </is>
      </c>
      <c r="B1726" s="1" t="n">
        <v>44671</v>
      </c>
      <c r="C1726" s="1" t="n">
        <v>45989</v>
      </c>
      <c r="D1726" t="inlineStr">
        <is>
          <t>VÄRMLANDS LÄN</t>
        </is>
      </c>
      <c r="E1726" t="inlineStr">
        <is>
          <t>TORSBY</t>
        </is>
      </c>
      <c r="F1726" t="inlineStr">
        <is>
          <t>Kommuner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61157-2023</t>
        </is>
      </c>
      <c r="B1727" s="1" t="n">
        <v>45261.98796296296</v>
      </c>
      <c r="C1727" s="1" t="n">
        <v>45989</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55031-2023</t>
        </is>
      </c>
      <c r="B1728" s="1" t="n">
        <v>45237.34733796296</v>
      </c>
      <c r="C1728" s="1" t="n">
        <v>45989</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29921-2022</t>
        </is>
      </c>
      <c r="B1729" s="1" t="n">
        <v>44756</v>
      </c>
      <c r="C1729" s="1" t="n">
        <v>45989</v>
      </c>
      <c r="D1729" t="inlineStr">
        <is>
          <t>VÄRMLANDS LÄN</t>
        </is>
      </c>
      <c r="E1729" t="inlineStr">
        <is>
          <t>TORSBY</t>
        </is>
      </c>
      <c r="F1729" t="inlineStr">
        <is>
          <t>Kommuner</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46152-2024</t>
        </is>
      </c>
      <c r="B1730" s="1" t="n">
        <v>45581</v>
      </c>
      <c r="C1730" s="1" t="n">
        <v>45989</v>
      </c>
      <c r="D1730" t="inlineStr">
        <is>
          <t>VÄRMLANDS LÄN</t>
        </is>
      </c>
      <c r="E1730" t="inlineStr">
        <is>
          <t>TORSBY</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56970-2023</t>
        </is>
      </c>
      <c r="B1731" s="1" t="n">
        <v>45244.63689814815</v>
      </c>
      <c r="C1731" s="1" t="n">
        <v>45989</v>
      </c>
      <c r="D1731" t="inlineStr">
        <is>
          <t>VÄRMLANDS LÄN</t>
        </is>
      </c>
      <c r="E1731" t="inlineStr">
        <is>
          <t>TORSBY</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4479-2021</t>
        </is>
      </c>
      <c r="B1732" s="1" t="n">
        <v>44224</v>
      </c>
      <c r="C1732" s="1" t="n">
        <v>45989</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4522-2021</t>
        </is>
      </c>
      <c r="B1733" s="1" t="n">
        <v>44224</v>
      </c>
      <c r="C1733" s="1" t="n">
        <v>45989</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1042-2024</t>
        </is>
      </c>
      <c r="B1734" s="1" t="n">
        <v>45301</v>
      </c>
      <c r="C1734" s="1" t="n">
        <v>45989</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36239-2023</t>
        </is>
      </c>
      <c r="B1735" s="1" t="n">
        <v>45150</v>
      </c>
      <c r="C1735" s="1" t="n">
        <v>45989</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41781-2022</t>
        </is>
      </c>
      <c r="B1736" s="1" t="n">
        <v>44827.70537037037</v>
      </c>
      <c r="C1736" s="1" t="n">
        <v>45989</v>
      </c>
      <c r="D1736" t="inlineStr">
        <is>
          <t>VÄRMLANDS LÄN</t>
        </is>
      </c>
      <c r="E1736" t="inlineStr">
        <is>
          <t>TORSBY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15465-2024</t>
        </is>
      </c>
      <c r="B1737" s="1" t="n">
        <v>45401.47399305556</v>
      </c>
      <c r="C1737" s="1" t="n">
        <v>45989</v>
      </c>
      <c r="D1737" t="inlineStr">
        <is>
          <t>VÄRMLANDS LÄN</t>
        </is>
      </c>
      <c r="E1737" t="inlineStr">
        <is>
          <t>TORSBY</t>
        </is>
      </c>
      <c r="F1737" t="inlineStr">
        <is>
          <t>Bergvik skog väst AB</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60383-2024</t>
        </is>
      </c>
      <c r="B1738" s="1" t="n">
        <v>45643.47674768518</v>
      </c>
      <c r="C1738" s="1" t="n">
        <v>45989</v>
      </c>
      <c r="D1738" t="inlineStr">
        <is>
          <t>VÄRMLANDS LÄN</t>
        </is>
      </c>
      <c r="E1738" t="inlineStr">
        <is>
          <t>TORSBY</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60386-2024</t>
        </is>
      </c>
      <c r="B1739" s="1" t="n">
        <v>45643</v>
      </c>
      <c r="C1739" s="1" t="n">
        <v>45989</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58013-2023</t>
        </is>
      </c>
      <c r="B1740" s="1" t="n">
        <v>45247.62346064814</v>
      </c>
      <c r="C1740" s="1" t="n">
        <v>45989</v>
      </c>
      <c r="D1740" t="inlineStr">
        <is>
          <t>VÄRMLANDS LÄN</t>
        </is>
      </c>
      <c r="E1740" t="inlineStr">
        <is>
          <t>TORSBY</t>
        </is>
      </c>
      <c r="F1740" t="inlineStr">
        <is>
          <t>Bergvik skog väst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37623-2023</t>
        </is>
      </c>
      <c r="B1741" s="1" t="n">
        <v>45159.45560185185</v>
      </c>
      <c r="C1741" s="1" t="n">
        <v>45989</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2321-2021</t>
        </is>
      </c>
      <c r="B1742" s="1" t="n">
        <v>44214</v>
      </c>
      <c r="C1742" s="1" t="n">
        <v>45989</v>
      </c>
      <c r="D1742" t="inlineStr">
        <is>
          <t>VÄRMLANDS LÄN</t>
        </is>
      </c>
      <c r="E1742" t="inlineStr">
        <is>
          <t>TORSBY</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38882-2022</t>
        </is>
      </c>
      <c r="B1743" s="1" t="n">
        <v>44816.565625</v>
      </c>
      <c r="C1743" s="1" t="n">
        <v>45989</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59872-2023</t>
        </is>
      </c>
      <c r="B1744" s="1" t="n">
        <v>45257.58666666667</v>
      </c>
      <c r="C1744" s="1" t="n">
        <v>45989</v>
      </c>
      <c r="D1744" t="inlineStr">
        <is>
          <t>VÄRMLANDS LÄN</t>
        </is>
      </c>
      <c r="E1744" t="inlineStr">
        <is>
          <t>TORSBY</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52078-2023</t>
        </is>
      </c>
      <c r="B1745" s="1" t="n">
        <v>45223</v>
      </c>
      <c r="C1745" s="1" t="n">
        <v>45989</v>
      </c>
      <c r="D1745" t="inlineStr">
        <is>
          <t>VÄRMLANDS LÄN</t>
        </is>
      </c>
      <c r="E1745" t="inlineStr">
        <is>
          <t>TORSBY</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7215-2025</t>
        </is>
      </c>
      <c r="B1746" s="1" t="n">
        <v>45702</v>
      </c>
      <c r="C1746" s="1" t="n">
        <v>45989</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24630-2024</t>
        </is>
      </c>
      <c r="B1747" s="1" t="n">
        <v>45460.51149305556</v>
      </c>
      <c r="C1747" s="1" t="n">
        <v>45989</v>
      </c>
      <c r="D1747" t="inlineStr">
        <is>
          <t>VÄRMLANDS LÄN</t>
        </is>
      </c>
      <c r="E1747" t="inlineStr">
        <is>
          <t>TORSBY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10587-2024</t>
        </is>
      </c>
      <c r="B1748" s="1" t="n">
        <v>45366</v>
      </c>
      <c r="C1748" s="1" t="n">
        <v>45989</v>
      </c>
      <c r="D1748" t="inlineStr">
        <is>
          <t>VÄRMLANDS LÄN</t>
        </is>
      </c>
      <c r="E1748" t="inlineStr">
        <is>
          <t>TORSBY</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47694-2022</t>
        </is>
      </c>
      <c r="B1749" s="1" t="n">
        <v>44854</v>
      </c>
      <c r="C1749" s="1" t="n">
        <v>45989</v>
      </c>
      <c r="D1749" t="inlineStr">
        <is>
          <t>VÄRMLANDS LÄN</t>
        </is>
      </c>
      <c r="E1749" t="inlineStr">
        <is>
          <t>TORSBY</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15169-2025</t>
        </is>
      </c>
      <c r="B1750" s="1" t="n">
        <v>45744</v>
      </c>
      <c r="C1750" s="1" t="n">
        <v>45989</v>
      </c>
      <c r="D1750" t="inlineStr">
        <is>
          <t>VÄRMLANDS LÄN</t>
        </is>
      </c>
      <c r="E1750" t="inlineStr">
        <is>
          <t>TORSBY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57990-2023</t>
        </is>
      </c>
      <c r="B1751" s="1" t="n">
        <v>45247.60293981482</v>
      </c>
      <c r="C1751" s="1" t="n">
        <v>45989</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51144-2023</t>
        </is>
      </c>
      <c r="B1752" s="1" t="n">
        <v>45212</v>
      </c>
      <c r="C1752" s="1" t="n">
        <v>45989</v>
      </c>
      <c r="D1752" t="inlineStr">
        <is>
          <t>VÄRMLANDS LÄN</t>
        </is>
      </c>
      <c r="E1752" t="inlineStr">
        <is>
          <t>TORSBY</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11842-2025</t>
        </is>
      </c>
      <c r="B1753" s="1" t="n">
        <v>45728.36950231482</v>
      </c>
      <c r="C1753" s="1" t="n">
        <v>45989</v>
      </c>
      <c r="D1753" t="inlineStr">
        <is>
          <t>VÄRMLANDS LÄN</t>
        </is>
      </c>
      <c r="E1753" t="inlineStr">
        <is>
          <t>TORSBY</t>
        </is>
      </c>
      <c r="F1753" t="inlineStr">
        <is>
          <t>Bergvik skog väst AB</t>
        </is>
      </c>
      <c r="G1753" t="n">
        <v>32.1</v>
      </c>
      <c r="H1753" t="n">
        <v>0</v>
      </c>
      <c r="I1753" t="n">
        <v>0</v>
      </c>
      <c r="J1753" t="n">
        <v>0</v>
      </c>
      <c r="K1753" t="n">
        <v>0</v>
      </c>
      <c r="L1753" t="n">
        <v>0</v>
      </c>
      <c r="M1753" t="n">
        <v>0</v>
      </c>
      <c r="N1753" t="n">
        <v>0</v>
      </c>
      <c r="O1753" t="n">
        <v>0</v>
      </c>
      <c r="P1753" t="n">
        <v>0</v>
      </c>
      <c r="Q1753" t="n">
        <v>0</v>
      </c>
      <c r="R1753" s="2" t="inlineStr"/>
    </row>
    <row r="1754" ht="15" customHeight="1">
      <c r="A1754" t="inlineStr">
        <is>
          <t>A 14367-2025</t>
        </is>
      </c>
      <c r="B1754" s="1" t="n">
        <v>45741.38988425926</v>
      </c>
      <c r="C1754" s="1" t="n">
        <v>45989</v>
      </c>
      <c r="D1754" t="inlineStr">
        <is>
          <t>VÄRMLANDS LÄN</t>
        </is>
      </c>
      <c r="E1754" t="inlineStr">
        <is>
          <t>TORSBY</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14419-2025</t>
        </is>
      </c>
      <c r="B1755" s="1" t="n">
        <v>45741</v>
      </c>
      <c r="C1755" s="1" t="n">
        <v>45989</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27223-2022</t>
        </is>
      </c>
      <c r="B1756" s="1" t="n">
        <v>44741</v>
      </c>
      <c r="C1756" s="1" t="n">
        <v>45989</v>
      </c>
      <c r="D1756" t="inlineStr">
        <is>
          <t>VÄRMLANDS LÄN</t>
        </is>
      </c>
      <c r="E1756" t="inlineStr">
        <is>
          <t>TORSBY</t>
        </is>
      </c>
      <c r="F1756" t="inlineStr">
        <is>
          <t>Bergvik skog väst AB</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20633-2024</t>
        </is>
      </c>
      <c r="B1757" s="1" t="n">
        <v>45436</v>
      </c>
      <c r="C1757" s="1" t="n">
        <v>45989</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35132-2022</t>
        </is>
      </c>
      <c r="B1758" s="1" t="n">
        <v>44797</v>
      </c>
      <c r="C1758" s="1" t="n">
        <v>45989</v>
      </c>
      <c r="D1758" t="inlineStr">
        <is>
          <t>VÄRMLANDS LÄN</t>
        </is>
      </c>
      <c r="E1758" t="inlineStr">
        <is>
          <t>TORSBY</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4510-2023</t>
        </is>
      </c>
      <c r="B1759" s="1" t="n">
        <v>44956.57528935185</v>
      </c>
      <c r="C1759" s="1" t="n">
        <v>45989</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9723-2025</t>
        </is>
      </c>
      <c r="B1760" s="1" t="n">
        <v>45715</v>
      </c>
      <c r="C1760" s="1" t="n">
        <v>45989</v>
      </c>
      <c r="D1760" t="inlineStr">
        <is>
          <t>VÄRMLANDS LÄN</t>
        </is>
      </c>
      <c r="E1760" t="inlineStr">
        <is>
          <t>TORSBY</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36290-2022</t>
        </is>
      </c>
      <c r="B1761" s="1" t="n">
        <v>44803</v>
      </c>
      <c r="C1761" s="1" t="n">
        <v>45989</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7745-2023</t>
        </is>
      </c>
      <c r="B1762" s="1" t="n">
        <v>44973.35336805556</v>
      </c>
      <c r="C1762" s="1" t="n">
        <v>45989</v>
      </c>
      <c r="D1762" t="inlineStr">
        <is>
          <t>VÄRMLANDS LÄN</t>
        </is>
      </c>
      <c r="E1762" t="inlineStr">
        <is>
          <t>TORSBY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44262-2023</t>
        </is>
      </c>
      <c r="B1763" s="1" t="n">
        <v>45188.59809027778</v>
      </c>
      <c r="C1763" s="1" t="n">
        <v>45989</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18258-2025</t>
        </is>
      </c>
      <c r="B1764" s="1" t="n">
        <v>45762.35762731481</v>
      </c>
      <c r="C1764" s="1" t="n">
        <v>45989</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502-2024</t>
        </is>
      </c>
      <c r="B1765" s="1" t="n">
        <v>45299</v>
      </c>
      <c r="C1765" s="1" t="n">
        <v>45989</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1700-2024</t>
        </is>
      </c>
      <c r="B1766" s="1" t="n">
        <v>45307.37347222222</v>
      </c>
      <c r="C1766" s="1" t="n">
        <v>45989</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62258-2023</t>
        </is>
      </c>
      <c r="B1767" s="1" t="n">
        <v>45266</v>
      </c>
      <c r="C1767" s="1" t="n">
        <v>45989</v>
      </c>
      <c r="D1767" t="inlineStr">
        <is>
          <t>VÄRMLANDS LÄN</t>
        </is>
      </c>
      <c r="E1767" t="inlineStr">
        <is>
          <t>TORSBY</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28284-2024</t>
        </is>
      </c>
      <c r="B1768" s="1" t="n">
        <v>45477</v>
      </c>
      <c r="C1768" s="1" t="n">
        <v>45989</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19630-2025</t>
        </is>
      </c>
      <c r="B1769" s="1" t="n">
        <v>45770.64239583333</v>
      </c>
      <c r="C1769" s="1" t="n">
        <v>45989</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18877-2022</t>
        </is>
      </c>
      <c r="B1770" s="1" t="n">
        <v>44690.52556712963</v>
      </c>
      <c r="C1770" s="1" t="n">
        <v>45989</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17048-2025</t>
        </is>
      </c>
      <c r="B1771" s="1" t="n">
        <v>45754</v>
      </c>
      <c r="C1771" s="1" t="n">
        <v>45989</v>
      </c>
      <c r="D1771" t="inlineStr">
        <is>
          <t>VÄRMLANDS LÄN</t>
        </is>
      </c>
      <c r="E1771" t="inlineStr">
        <is>
          <t>TORSBY</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6713-2023</t>
        </is>
      </c>
      <c r="B1772" s="1" t="n">
        <v>44960</v>
      </c>
      <c r="C1772" s="1" t="n">
        <v>45989</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10684-2024</t>
        </is>
      </c>
      <c r="B1773" s="1" t="n">
        <v>45369.37938657407</v>
      </c>
      <c r="C1773" s="1" t="n">
        <v>45989</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15939-2021</t>
        </is>
      </c>
      <c r="B1774" s="1" t="n">
        <v>44287</v>
      </c>
      <c r="C1774" s="1" t="n">
        <v>45989</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12670-2023</t>
        </is>
      </c>
      <c r="B1775" s="1" t="n">
        <v>45000.58043981482</v>
      </c>
      <c r="C1775" s="1" t="n">
        <v>45989</v>
      </c>
      <c r="D1775" t="inlineStr">
        <is>
          <t>VÄRMLANDS LÄN</t>
        </is>
      </c>
      <c r="E1775" t="inlineStr">
        <is>
          <t>TORSBY</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21465-2022</t>
        </is>
      </c>
      <c r="B1776" s="1" t="n">
        <v>44706.38893518518</v>
      </c>
      <c r="C1776" s="1" t="n">
        <v>45989</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1527-2024</t>
        </is>
      </c>
      <c r="B1777" s="1" t="n">
        <v>45306.45614583333</v>
      </c>
      <c r="C1777" s="1" t="n">
        <v>45989</v>
      </c>
      <c r="D1777" t="inlineStr">
        <is>
          <t>VÄRMLANDS LÄN</t>
        </is>
      </c>
      <c r="E1777" t="inlineStr">
        <is>
          <t>TORSBY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23818-2022</t>
        </is>
      </c>
      <c r="B1778" s="1" t="n">
        <v>44722</v>
      </c>
      <c r="C1778" s="1" t="n">
        <v>45989</v>
      </c>
      <c r="D1778" t="inlineStr">
        <is>
          <t>VÄRMLANDS LÄN</t>
        </is>
      </c>
      <c r="E1778" t="inlineStr">
        <is>
          <t>TORSBY</t>
        </is>
      </c>
      <c r="G1778" t="n">
        <v>23.5</v>
      </c>
      <c r="H1778" t="n">
        <v>0</v>
      </c>
      <c r="I1778" t="n">
        <v>0</v>
      </c>
      <c r="J1778" t="n">
        <v>0</v>
      </c>
      <c r="K1778" t="n">
        <v>0</v>
      </c>
      <c r="L1778" t="n">
        <v>0</v>
      </c>
      <c r="M1778" t="n">
        <v>0</v>
      </c>
      <c r="N1778" t="n">
        <v>0</v>
      </c>
      <c r="O1778" t="n">
        <v>0</v>
      </c>
      <c r="P1778" t="n">
        <v>0</v>
      </c>
      <c r="Q1778" t="n">
        <v>0</v>
      </c>
      <c r="R1778" s="2" t="inlineStr"/>
    </row>
    <row r="1779" ht="15" customHeight="1">
      <c r="A1779" t="inlineStr">
        <is>
          <t>A 17754-2025</t>
        </is>
      </c>
      <c r="B1779" s="1" t="n">
        <v>45758</v>
      </c>
      <c r="C1779" s="1" t="n">
        <v>45989</v>
      </c>
      <c r="D1779" t="inlineStr">
        <is>
          <t>VÄRMLANDS LÄN</t>
        </is>
      </c>
      <c r="E1779" t="inlineStr">
        <is>
          <t>TORSBY</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35134-2022</t>
        </is>
      </c>
      <c r="B1780" s="1" t="n">
        <v>44797</v>
      </c>
      <c r="C1780" s="1" t="n">
        <v>45989</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15873-2025</t>
        </is>
      </c>
      <c r="B1781" s="1" t="n">
        <v>45749.3759375</v>
      </c>
      <c r="C1781" s="1" t="n">
        <v>45989</v>
      </c>
      <c r="D1781" t="inlineStr">
        <is>
          <t>VÄRMLANDS LÄN</t>
        </is>
      </c>
      <c r="E1781" t="inlineStr">
        <is>
          <t>TORSBY</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29990-2022</t>
        </is>
      </c>
      <c r="B1782" s="1" t="n">
        <v>44756.73530092592</v>
      </c>
      <c r="C1782" s="1" t="n">
        <v>45989</v>
      </c>
      <c r="D1782" t="inlineStr">
        <is>
          <t>VÄRMLANDS LÄN</t>
        </is>
      </c>
      <c r="E1782" t="inlineStr">
        <is>
          <t>TORSBY</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44708-2022</t>
        </is>
      </c>
      <c r="B1783" s="1" t="n">
        <v>44840.73633101852</v>
      </c>
      <c r="C1783" s="1" t="n">
        <v>45989</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51843-2022</t>
        </is>
      </c>
      <c r="B1784" s="1" t="n">
        <v>44872</v>
      </c>
      <c r="C1784" s="1" t="n">
        <v>45989</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18576-2025</t>
        </is>
      </c>
      <c r="B1785" s="1" t="n">
        <v>45763</v>
      </c>
      <c r="C1785" s="1" t="n">
        <v>45989</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18584-2025</t>
        </is>
      </c>
      <c r="B1786" s="1" t="n">
        <v>45763.46973379629</v>
      </c>
      <c r="C1786" s="1" t="n">
        <v>45989</v>
      </c>
      <c r="D1786" t="inlineStr">
        <is>
          <t>VÄRMLANDS LÄN</t>
        </is>
      </c>
      <c r="E1786" t="inlineStr">
        <is>
          <t>TORSBY</t>
        </is>
      </c>
      <c r="F1786" t="inlineStr">
        <is>
          <t>Kyrkan</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4219-2024</t>
        </is>
      </c>
      <c r="B1787" s="1" t="n">
        <v>45324</v>
      </c>
      <c r="C1787" s="1" t="n">
        <v>45989</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731-2024</t>
        </is>
      </c>
      <c r="B1788" s="1" t="n">
        <v>45300</v>
      </c>
      <c r="C1788" s="1" t="n">
        <v>45989</v>
      </c>
      <c r="D1788" t="inlineStr">
        <is>
          <t>VÄRMLANDS LÄN</t>
        </is>
      </c>
      <c r="E1788" t="inlineStr">
        <is>
          <t>TORSBY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16362-2025</t>
        </is>
      </c>
      <c r="B1789" s="1" t="n">
        <v>45751</v>
      </c>
      <c r="C1789" s="1" t="n">
        <v>45989</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32444-2022</t>
        </is>
      </c>
      <c r="B1790" s="1" t="n">
        <v>44782</v>
      </c>
      <c r="C1790" s="1" t="n">
        <v>45989</v>
      </c>
      <c r="D1790" t="inlineStr">
        <is>
          <t>VÄRMLANDS LÄN</t>
        </is>
      </c>
      <c r="E1790" t="inlineStr">
        <is>
          <t>TORSBY</t>
        </is>
      </c>
      <c r="F1790" t="inlineStr">
        <is>
          <t>Bergvik skog väst AB</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32496-2022</t>
        </is>
      </c>
      <c r="B1791" s="1" t="n">
        <v>44782</v>
      </c>
      <c r="C1791" s="1" t="n">
        <v>45989</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15022-2025</t>
        </is>
      </c>
      <c r="B1792" s="1" t="n">
        <v>45743</v>
      </c>
      <c r="C1792" s="1" t="n">
        <v>45989</v>
      </c>
      <c r="D1792" t="inlineStr">
        <is>
          <t>VÄRMLANDS LÄN</t>
        </is>
      </c>
      <c r="E1792" t="inlineStr">
        <is>
          <t>TORSBY</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40009-2022</t>
        </is>
      </c>
      <c r="B1793" s="1" t="n">
        <v>44820</v>
      </c>
      <c r="C1793" s="1" t="n">
        <v>45989</v>
      </c>
      <c r="D1793" t="inlineStr">
        <is>
          <t>VÄRMLANDS LÄN</t>
        </is>
      </c>
      <c r="E1793" t="inlineStr">
        <is>
          <t>TORSBY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57647-2023</t>
        </is>
      </c>
      <c r="B1794" s="1" t="n">
        <v>45246.59627314815</v>
      </c>
      <c r="C1794" s="1" t="n">
        <v>45989</v>
      </c>
      <c r="D1794" t="inlineStr">
        <is>
          <t>VÄRMLANDS LÄN</t>
        </is>
      </c>
      <c r="E1794" t="inlineStr">
        <is>
          <t>TORSBY</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924-2024</t>
        </is>
      </c>
      <c r="B1795" s="1" t="n">
        <v>45301</v>
      </c>
      <c r="C1795" s="1" t="n">
        <v>45989</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67933-2021</t>
        </is>
      </c>
      <c r="B1796" s="1" t="n">
        <v>44525</v>
      </c>
      <c r="C1796" s="1" t="n">
        <v>45989</v>
      </c>
      <c r="D1796" t="inlineStr">
        <is>
          <t>VÄRMLANDS LÄN</t>
        </is>
      </c>
      <c r="E1796" t="inlineStr">
        <is>
          <t>TORSBY</t>
        </is>
      </c>
      <c r="F1796" t="inlineStr">
        <is>
          <t>Bergvik skog väst AB</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37822-2023</t>
        </is>
      </c>
      <c r="B1797" s="1" t="n">
        <v>45160.30215277777</v>
      </c>
      <c r="C1797" s="1" t="n">
        <v>45989</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30789-2024</t>
        </is>
      </c>
      <c r="B1798" s="1" t="n">
        <v>45497.178125</v>
      </c>
      <c r="C1798" s="1" t="n">
        <v>45989</v>
      </c>
      <c r="D1798" t="inlineStr">
        <is>
          <t>VÄRMLANDS LÄN</t>
        </is>
      </c>
      <c r="E1798" t="inlineStr">
        <is>
          <t>TORSBY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34717-2024</t>
        </is>
      </c>
      <c r="B1799" s="1" t="n">
        <v>45526.56409722222</v>
      </c>
      <c r="C1799" s="1" t="n">
        <v>45989</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54532-2023</t>
        </is>
      </c>
      <c r="B1800" s="1" t="n">
        <v>45233</v>
      </c>
      <c r="C1800" s="1" t="n">
        <v>45989</v>
      </c>
      <c r="D1800" t="inlineStr">
        <is>
          <t>VÄRMLANDS LÄN</t>
        </is>
      </c>
      <c r="E1800" t="inlineStr">
        <is>
          <t>TORSBY</t>
        </is>
      </c>
      <c r="F1800" t="inlineStr">
        <is>
          <t>Bergvik skog väst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58304-2024</t>
        </is>
      </c>
      <c r="B1801" s="1" t="n">
        <v>45632</v>
      </c>
      <c r="C1801" s="1" t="n">
        <v>45989</v>
      </c>
      <c r="D1801" t="inlineStr">
        <is>
          <t>VÄRMLANDS LÄN</t>
        </is>
      </c>
      <c r="E1801" t="inlineStr">
        <is>
          <t>TORSBY</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3160-2021</t>
        </is>
      </c>
      <c r="B1802" s="1" t="n">
        <v>44217</v>
      </c>
      <c r="C1802" s="1" t="n">
        <v>45989</v>
      </c>
      <c r="D1802" t="inlineStr">
        <is>
          <t>VÄRMLANDS LÄN</t>
        </is>
      </c>
      <c r="E1802" t="inlineStr">
        <is>
          <t>TORSBY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15931-2025</t>
        </is>
      </c>
      <c r="B1803" s="1" t="n">
        <v>45749.46791666667</v>
      </c>
      <c r="C1803" s="1" t="n">
        <v>45989</v>
      </c>
      <c r="D1803" t="inlineStr">
        <is>
          <t>VÄRMLANDS LÄN</t>
        </is>
      </c>
      <c r="E1803" t="inlineStr">
        <is>
          <t>TORSBY</t>
        </is>
      </c>
      <c r="F1803" t="inlineStr">
        <is>
          <t>Bergvik skog väst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46424-2023</t>
        </is>
      </c>
      <c r="B1804" s="1" t="n">
        <v>45197.56141203704</v>
      </c>
      <c r="C1804" s="1" t="n">
        <v>45989</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69878-2021</t>
        </is>
      </c>
      <c r="B1805" s="1" t="n">
        <v>44532.82293981482</v>
      </c>
      <c r="C1805" s="1" t="n">
        <v>45989</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1547-2024</t>
        </is>
      </c>
      <c r="B1806" s="1" t="n">
        <v>45306.48456018518</v>
      </c>
      <c r="C1806" s="1" t="n">
        <v>45989</v>
      </c>
      <c r="D1806" t="inlineStr">
        <is>
          <t>VÄRMLANDS LÄN</t>
        </is>
      </c>
      <c r="E1806" t="inlineStr">
        <is>
          <t>TORSBY</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72200-2021</t>
        </is>
      </c>
      <c r="B1807" s="1" t="n">
        <v>44544.67358796296</v>
      </c>
      <c r="C1807" s="1" t="n">
        <v>45989</v>
      </c>
      <c r="D1807" t="inlineStr">
        <is>
          <t>VÄRMLANDS LÄN</t>
        </is>
      </c>
      <c r="E1807" t="inlineStr">
        <is>
          <t>TORSBY</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41841-2023</t>
        </is>
      </c>
      <c r="B1808" s="1" t="n">
        <v>45176.60436342593</v>
      </c>
      <c r="C1808" s="1" t="n">
        <v>45989</v>
      </c>
      <c r="D1808" t="inlineStr">
        <is>
          <t>VÄRMLANDS LÄN</t>
        </is>
      </c>
      <c r="E1808" t="inlineStr">
        <is>
          <t>TORSBY</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40007-2023</t>
        </is>
      </c>
      <c r="B1809" s="1" t="n">
        <v>45168</v>
      </c>
      <c r="C1809" s="1" t="n">
        <v>45989</v>
      </c>
      <c r="D1809" t="inlineStr">
        <is>
          <t>VÄRMLANDS LÄN</t>
        </is>
      </c>
      <c r="E1809" t="inlineStr">
        <is>
          <t>TORSBY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3098-2023</t>
        </is>
      </c>
      <c r="B1810" s="1" t="n">
        <v>44946.46096064815</v>
      </c>
      <c r="C1810" s="1" t="n">
        <v>45989</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3103-2023</t>
        </is>
      </c>
      <c r="B1811" s="1" t="n">
        <v>44946</v>
      </c>
      <c r="C1811" s="1" t="n">
        <v>45989</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59005-2024</t>
        </is>
      </c>
      <c r="B1812" s="1" t="n">
        <v>45636.65234953703</v>
      </c>
      <c r="C1812" s="1" t="n">
        <v>45989</v>
      </c>
      <c r="D1812" t="inlineStr">
        <is>
          <t>VÄRMLANDS LÄN</t>
        </is>
      </c>
      <c r="E1812" t="inlineStr">
        <is>
          <t>TORSBY</t>
        </is>
      </c>
      <c r="G1812" t="n">
        <v>9.6</v>
      </c>
      <c r="H1812" t="n">
        <v>0</v>
      </c>
      <c r="I1812" t="n">
        <v>0</v>
      </c>
      <c r="J1812" t="n">
        <v>0</v>
      </c>
      <c r="K1812" t="n">
        <v>0</v>
      </c>
      <c r="L1812" t="n">
        <v>0</v>
      </c>
      <c r="M1812" t="n">
        <v>0</v>
      </c>
      <c r="N1812" t="n">
        <v>0</v>
      </c>
      <c r="O1812" t="n">
        <v>0</v>
      </c>
      <c r="P1812" t="n">
        <v>0</v>
      </c>
      <c r="Q1812" t="n">
        <v>0</v>
      </c>
      <c r="R1812" s="2" t="inlineStr"/>
    </row>
    <row r="1813" ht="15" customHeight="1">
      <c r="A1813" t="inlineStr">
        <is>
          <t>A 55522-2023</t>
        </is>
      </c>
      <c r="B1813" s="1" t="n">
        <v>45238</v>
      </c>
      <c r="C1813" s="1" t="n">
        <v>45989</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4030-2024</t>
        </is>
      </c>
      <c r="B1814" s="1" t="n">
        <v>45323</v>
      </c>
      <c r="C1814" s="1" t="n">
        <v>45989</v>
      </c>
      <c r="D1814" t="inlineStr">
        <is>
          <t>VÄRMLANDS LÄN</t>
        </is>
      </c>
      <c r="E1814" t="inlineStr">
        <is>
          <t>TORSBY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29925-2024</t>
        </is>
      </c>
      <c r="B1815" s="1" t="n">
        <v>45488</v>
      </c>
      <c r="C1815" s="1" t="n">
        <v>45989</v>
      </c>
      <c r="D1815" t="inlineStr">
        <is>
          <t>VÄRMLANDS LÄN</t>
        </is>
      </c>
      <c r="E1815" t="inlineStr">
        <is>
          <t>TORSBY</t>
        </is>
      </c>
      <c r="F1815" t="inlineStr">
        <is>
          <t>Kyrkan</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29936-2024</t>
        </is>
      </c>
      <c r="B1816" s="1" t="n">
        <v>45488</v>
      </c>
      <c r="C1816" s="1" t="n">
        <v>45989</v>
      </c>
      <c r="D1816" t="inlineStr">
        <is>
          <t>VÄRMLANDS LÄN</t>
        </is>
      </c>
      <c r="E1816" t="inlineStr">
        <is>
          <t>TORSBY</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2797-2025</t>
        </is>
      </c>
      <c r="B1817" s="1" t="n">
        <v>45677</v>
      </c>
      <c r="C1817" s="1" t="n">
        <v>45989</v>
      </c>
      <c r="D1817" t="inlineStr">
        <is>
          <t>VÄRMLANDS LÄN</t>
        </is>
      </c>
      <c r="E1817" t="inlineStr">
        <is>
          <t>TORSBY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62510-2023</t>
        </is>
      </c>
      <c r="B1818" s="1" t="n">
        <v>45268.61853009259</v>
      </c>
      <c r="C1818" s="1" t="n">
        <v>45989</v>
      </c>
      <c r="D1818" t="inlineStr">
        <is>
          <t>VÄRMLANDS LÄN</t>
        </is>
      </c>
      <c r="E1818" t="inlineStr">
        <is>
          <t>TORSBY</t>
        </is>
      </c>
      <c r="G1818" t="n">
        <v>10.1</v>
      </c>
      <c r="H1818" t="n">
        <v>0</v>
      </c>
      <c r="I1818" t="n">
        <v>0</v>
      </c>
      <c r="J1818" t="n">
        <v>0</v>
      </c>
      <c r="K1818" t="n">
        <v>0</v>
      </c>
      <c r="L1818" t="n">
        <v>0</v>
      </c>
      <c r="M1818" t="n">
        <v>0</v>
      </c>
      <c r="N1818" t="n">
        <v>0</v>
      </c>
      <c r="O1818" t="n">
        <v>0</v>
      </c>
      <c r="P1818" t="n">
        <v>0</v>
      </c>
      <c r="Q1818" t="n">
        <v>0</v>
      </c>
      <c r="R1818" s="2" t="inlineStr"/>
    </row>
    <row r="1819" ht="15" customHeight="1">
      <c r="A1819" t="inlineStr">
        <is>
          <t>A 27038-2024</t>
        </is>
      </c>
      <c r="B1819" s="1" t="n">
        <v>45471</v>
      </c>
      <c r="C1819" s="1" t="n">
        <v>45989</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27045-2024</t>
        </is>
      </c>
      <c r="B1820" s="1" t="n">
        <v>45471</v>
      </c>
      <c r="C1820" s="1" t="n">
        <v>45989</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27090-2024</t>
        </is>
      </c>
      <c r="B1821" s="1" t="n">
        <v>45471</v>
      </c>
      <c r="C1821" s="1" t="n">
        <v>45989</v>
      </c>
      <c r="D1821" t="inlineStr">
        <is>
          <t>VÄRMLANDS LÄN</t>
        </is>
      </c>
      <c r="E1821" t="inlineStr">
        <is>
          <t>TORSBY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60458-2024</t>
        </is>
      </c>
      <c r="B1822" s="1" t="n">
        <v>45643</v>
      </c>
      <c r="C1822" s="1" t="n">
        <v>45989</v>
      </c>
      <c r="D1822" t="inlineStr">
        <is>
          <t>VÄRMLANDS LÄN</t>
        </is>
      </c>
      <c r="E1822" t="inlineStr">
        <is>
          <t>TORSBY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41518-2024</t>
        </is>
      </c>
      <c r="B1823" s="1" t="n">
        <v>45560</v>
      </c>
      <c r="C1823" s="1" t="n">
        <v>45989</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33429-2024</t>
        </is>
      </c>
      <c r="B1824" s="1" t="n">
        <v>45519.52792824074</v>
      </c>
      <c r="C1824" s="1" t="n">
        <v>45989</v>
      </c>
      <c r="D1824" t="inlineStr">
        <is>
          <t>VÄRMLANDS LÄN</t>
        </is>
      </c>
      <c r="E1824" t="inlineStr">
        <is>
          <t>TORSBY</t>
        </is>
      </c>
      <c r="F1824" t="inlineStr">
        <is>
          <t>Bergvik skog väst AB</t>
        </is>
      </c>
      <c r="G1824" t="n">
        <v>7.9</v>
      </c>
      <c r="H1824" t="n">
        <v>0</v>
      </c>
      <c r="I1824" t="n">
        <v>0</v>
      </c>
      <c r="J1824" t="n">
        <v>0</v>
      </c>
      <c r="K1824" t="n">
        <v>0</v>
      </c>
      <c r="L1824" t="n">
        <v>0</v>
      </c>
      <c r="M1824" t="n">
        <v>0</v>
      </c>
      <c r="N1824" t="n">
        <v>0</v>
      </c>
      <c r="O1824" t="n">
        <v>0</v>
      </c>
      <c r="P1824" t="n">
        <v>0</v>
      </c>
      <c r="Q1824" t="n">
        <v>0</v>
      </c>
      <c r="R1824" s="2" t="inlineStr"/>
    </row>
    <row r="1825" ht="15" customHeight="1">
      <c r="A1825" t="inlineStr">
        <is>
          <t>A 42662-2024</t>
        </is>
      </c>
      <c r="B1825" s="1" t="n">
        <v>45566</v>
      </c>
      <c r="C1825" s="1" t="n">
        <v>45989</v>
      </c>
      <c r="D1825" t="inlineStr">
        <is>
          <t>VÄRMLANDS LÄN</t>
        </is>
      </c>
      <c r="E1825" t="inlineStr">
        <is>
          <t>TORSBY</t>
        </is>
      </c>
      <c r="F1825" t="inlineStr">
        <is>
          <t>Bergvik skog väst AB</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8197-2025</t>
        </is>
      </c>
      <c r="B1826" s="1" t="n">
        <v>45708.4318287037</v>
      </c>
      <c r="C1826" s="1" t="n">
        <v>45989</v>
      </c>
      <c r="D1826" t="inlineStr">
        <is>
          <t>VÄRMLANDS LÄN</t>
        </is>
      </c>
      <c r="E1826" t="inlineStr">
        <is>
          <t>TORSBY</t>
        </is>
      </c>
      <c r="G1826" t="n">
        <v>9.6</v>
      </c>
      <c r="H1826" t="n">
        <v>0</v>
      </c>
      <c r="I1826" t="n">
        <v>0</v>
      </c>
      <c r="J1826" t="n">
        <v>0</v>
      </c>
      <c r="K1826" t="n">
        <v>0</v>
      </c>
      <c r="L1826" t="n">
        <v>0</v>
      </c>
      <c r="M1826" t="n">
        <v>0</v>
      </c>
      <c r="N1826" t="n">
        <v>0</v>
      </c>
      <c r="O1826" t="n">
        <v>0</v>
      </c>
      <c r="P1826" t="n">
        <v>0</v>
      </c>
      <c r="Q1826" t="n">
        <v>0</v>
      </c>
      <c r="R1826" s="2" t="inlineStr"/>
    </row>
    <row r="1827" ht="15" customHeight="1">
      <c r="A1827" t="inlineStr">
        <is>
          <t>A 25316-2024</t>
        </is>
      </c>
      <c r="B1827" s="1" t="n">
        <v>45462</v>
      </c>
      <c r="C1827" s="1" t="n">
        <v>45989</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15899-2024</t>
        </is>
      </c>
      <c r="B1828" s="1" t="n">
        <v>45405.4034837963</v>
      </c>
      <c r="C1828" s="1" t="n">
        <v>45989</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1803-2024</t>
        </is>
      </c>
      <c r="B1829" s="1" t="n">
        <v>45307</v>
      </c>
      <c r="C1829" s="1" t="n">
        <v>45989</v>
      </c>
      <c r="D1829" t="inlineStr">
        <is>
          <t>VÄRMLANDS LÄN</t>
        </is>
      </c>
      <c r="E1829" t="inlineStr">
        <is>
          <t>TORSBY</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34697-2024</t>
        </is>
      </c>
      <c r="B1830" s="1" t="n">
        <v>45526.55518518519</v>
      </c>
      <c r="C1830" s="1" t="n">
        <v>45989</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36419-2024</t>
        </is>
      </c>
      <c r="B1831" s="1" t="n">
        <v>45536.58380787037</v>
      </c>
      <c r="C1831" s="1" t="n">
        <v>45989</v>
      </c>
      <c r="D1831" t="inlineStr">
        <is>
          <t>VÄRMLANDS LÄN</t>
        </is>
      </c>
      <c r="E1831" t="inlineStr">
        <is>
          <t>TORSBY</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32845-2024</t>
        </is>
      </c>
      <c r="B1832" s="1" t="n">
        <v>45516.62422453704</v>
      </c>
      <c r="C1832" s="1" t="n">
        <v>45989</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4537-2025</t>
        </is>
      </c>
      <c r="B1833" s="1" t="n">
        <v>45687.38836805556</v>
      </c>
      <c r="C1833" s="1" t="n">
        <v>45989</v>
      </c>
      <c r="D1833" t="inlineStr">
        <is>
          <t>VÄRMLANDS LÄN</t>
        </is>
      </c>
      <c r="E1833" t="inlineStr">
        <is>
          <t>TORSBY</t>
        </is>
      </c>
      <c r="F1833" t="inlineStr">
        <is>
          <t>Kommuner</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33133-2024</t>
        </is>
      </c>
      <c r="B1834" s="1" t="n">
        <v>45518.31722222222</v>
      </c>
      <c r="C1834" s="1" t="n">
        <v>45989</v>
      </c>
      <c r="D1834" t="inlineStr">
        <is>
          <t>VÄRMLANDS LÄN</t>
        </is>
      </c>
      <c r="E1834" t="inlineStr">
        <is>
          <t>TORSBY</t>
        </is>
      </c>
      <c r="F1834" t="inlineStr">
        <is>
          <t>Bergvik skog väst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52809-2024</t>
        </is>
      </c>
      <c r="B1835" s="1" t="n">
        <v>45610</v>
      </c>
      <c r="C1835" s="1" t="n">
        <v>45989</v>
      </c>
      <c r="D1835" t="inlineStr">
        <is>
          <t>VÄRMLANDS LÄN</t>
        </is>
      </c>
      <c r="E1835" t="inlineStr">
        <is>
          <t>TORSBY</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15315-2024</t>
        </is>
      </c>
      <c r="B1836" s="1" t="n">
        <v>45400</v>
      </c>
      <c r="C1836" s="1" t="n">
        <v>45989</v>
      </c>
      <c r="D1836" t="inlineStr">
        <is>
          <t>VÄRMLANDS LÄN</t>
        </is>
      </c>
      <c r="E1836" t="inlineStr">
        <is>
          <t>TORSBY</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53381-2022</t>
        </is>
      </c>
      <c r="B1837" s="1" t="n">
        <v>44879</v>
      </c>
      <c r="C1837" s="1" t="n">
        <v>45989</v>
      </c>
      <c r="D1837" t="inlineStr">
        <is>
          <t>VÄRMLANDS LÄN</t>
        </is>
      </c>
      <c r="E1837" t="inlineStr">
        <is>
          <t>TORSBY</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66194-2020</t>
        </is>
      </c>
      <c r="B1838" s="1" t="n">
        <v>44175</v>
      </c>
      <c r="C1838" s="1" t="n">
        <v>45989</v>
      </c>
      <c r="D1838" t="inlineStr">
        <is>
          <t>VÄRMLANDS LÄN</t>
        </is>
      </c>
      <c r="E1838" t="inlineStr">
        <is>
          <t>TORSBY</t>
        </is>
      </c>
      <c r="F1838" t="inlineStr">
        <is>
          <t>Bergvik skog väst AB</t>
        </is>
      </c>
      <c r="G1838" t="n">
        <v>18.4</v>
      </c>
      <c r="H1838" t="n">
        <v>0</v>
      </c>
      <c r="I1838" t="n">
        <v>0</v>
      </c>
      <c r="J1838" t="n">
        <v>0</v>
      </c>
      <c r="K1838" t="n">
        <v>0</v>
      </c>
      <c r="L1838" t="n">
        <v>0</v>
      </c>
      <c r="M1838" t="n">
        <v>0</v>
      </c>
      <c r="N1838" t="n">
        <v>0</v>
      </c>
      <c r="O1838" t="n">
        <v>0</v>
      </c>
      <c r="P1838" t="n">
        <v>0</v>
      </c>
      <c r="Q1838" t="n">
        <v>0</v>
      </c>
      <c r="R1838" s="2" t="inlineStr"/>
    </row>
    <row r="1839" ht="15" customHeight="1">
      <c r="A1839" t="inlineStr">
        <is>
          <t>A 739-2022</t>
        </is>
      </c>
      <c r="B1839" s="1" t="n">
        <v>44568</v>
      </c>
      <c r="C1839" s="1" t="n">
        <v>45989</v>
      </c>
      <c r="D1839" t="inlineStr">
        <is>
          <t>VÄRMLANDS LÄN</t>
        </is>
      </c>
      <c r="E1839" t="inlineStr">
        <is>
          <t>TORSBY</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38486-2022</t>
        </is>
      </c>
      <c r="B1840" s="1" t="n">
        <v>44813</v>
      </c>
      <c r="C1840" s="1" t="n">
        <v>45989</v>
      </c>
      <c r="D1840" t="inlineStr">
        <is>
          <t>VÄRMLANDS LÄN</t>
        </is>
      </c>
      <c r="E1840" t="inlineStr">
        <is>
          <t>TORSBY</t>
        </is>
      </c>
      <c r="F1840" t="inlineStr">
        <is>
          <t>Bergvik skog väst AB</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6111-2021</t>
        </is>
      </c>
      <c r="B1841" s="1" t="n">
        <v>44232</v>
      </c>
      <c r="C1841" s="1" t="n">
        <v>45989</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8012-2023</t>
        </is>
      </c>
      <c r="B1842" s="1" t="n">
        <v>44973</v>
      </c>
      <c r="C1842" s="1" t="n">
        <v>45989</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15274-2024</t>
        </is>
      </c>
      <c r="B1843" s="1" t="n">
        <v>45400.58201388889</v>
      </c>
      <c r="C1843" s="1" t="n">
        <v>45989</v>
      </c>
      <c r="D1843" t="inlineStr">
        <is>
          <t>VÄRMLANDS LÄN</t>
        </is>
      </c>
      <c r="E1843" t="inlineStr">
        <is>
          <t>TORSBY</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21094-2022</t>
        </is>
      </c>
      <c r="B1844" s="1" t="n">
        <v>44704</v>
      </c>
      <c r="C1844" s="1" t="n">
        <v>45989</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18354-2021</t>
        </is>
      </c>
      <c r="B1845" s="1" t="n">
        <v>44305.56186342592</v>
      </c>
      <c r="C1845" s="1" t="n">
        <v>45989</v>
      </c>
      <c r="D1845" t="inlineStr">
        <is>
          <t>VÄRMLANDS LÄN</t>
        </is>
      </c>
      <c r="E1845" t="inlineStr">
        <is>
          <t>TORSBY</t>
        </is>
      </c>
      <c r="F1845" t="inlineStr">
        <is>
          <t>Kommuner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67547-2020</t>
        </is>
      </c>
      <c r="B1846" s="1" t="n">
        <v>44181</v>
      </c>
      <c r="C1846" s="1" t="n">
        <v>45989</v>
      </c>
      <c r="D1846" t="inlineStr">
        <is>
          <t>VÄRMLANDS LÄN</t>
        </is>
      </c>
      <c r="E1846" t="inlineStr">
        <is>
          <t>TORSBY</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21390-2023</t>
        </is>
      </c>
      <c r="B1847" s="1" t="n">
        <v>45063</v>
      </c>
      <c r="C1847" s="1" t="n">
        <v>45989</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21409-2023</t>
        </is>
      </c>
      <c r="B1848" s="1" t="n">
        <v>45063</v>
      </c>
      <c r="C1848" s="1" t="n">
        <v>45989</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34164-2024</t>
        </is>
      </c>
      <c r="B1849" s="1" t="n">
        <v>45524.41924768518</v>
      </c>
      <c r="C1849" s="1" t="n">
        <v>45989</v>
      </c>
      <c r="D1849" t="inlineStr">
        <is>
          <t>VÄRMLANDS LÄN</t>
        </is>
      </c>
      <c r="E1849" t="inlineStr">
        <is>
          <t>TORSBY</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42945-2024</t>
        </is>
      </c>
      <c r="B1850" s="1" t="n">
        <v>45567</v>
      </c>
      <c r="C1850" s="1" t="n">
        <v>45989</v>
      </c>
      <c r="D1850" t="inlineStr">
        <is>
          <t>VÄRMLANDS LÄN</t>
        </is>
      </c>
      <c r="E1850" t="inlineStr">
        <is>
          <t>TORSBY</t>
        </is>
      </c>
      <c r="F1850" t="inlineStr">
        <is>
          <t>Bergvik skog väst AB</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8048-2022</t>
        </is>
      </c>
      <c r="B1851" s="1" t="n">
        <v>44609</v>
      </c>
      <c r="C1851" s="1" t="n">
        <v>45989</v>
      </c>
      <c r="D1851" t="inlineStr">
        <is>
          <t>VÄRMLANDS LÄN</t>
        </is>
      </c>
      <c r="E1851" t="inlineStr">
        <is>
          <t>TORSBY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40788-2022</t>
        </is>
      </c>
      <c r="B1852" s="1" t="n">
        <v>44824</v>
      </c>
      <c r="C1852" s="1" t="n">
        <v>45989</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44470-2024</t>
        </is>
      </c>
      <c r="B1853" s="1" t="n">
        <v>45574</v>
      </c>
      <c r="C1853" s="1" t="n">
        <v>45989</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52447-2022</t>
        </is>
      </c>
      <c r="B1854" s="1" t="n">
        <v>44874</v>
      </c>
      <c r="C1854" s="1" t="n">
        <v>45989</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6013-2024</t>
        </is>
      </c>
      <c r="B1855" s="1" t="n">
        <v>45336.60763888889</v>
      </c>
      <c r="C1855" s="1" t="n">
        <v>45989</v>
      </c>
      <c r="D1855" t="inlineStr">
        <is>
          <t>VÄRMLANDS LÄN</t>
        </is>
      </c>
      <c r="E1855" t="inlineStr">
        <is>
          <t>TORSBY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34256-2024</t>
        </is>
      </c>
      <c r="B1856" s="1" t="n">
        <v>45524.59434027778</v>
      </c>
      <c r="C1856" s="1" t="n">
        <v>45989</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43301-2024</t>
        </is>
      </c>
      <c r="B1857" s="1" t="n">
        <v>45568</v>
      </c>
      <c r="C1857" s="1" t="n">
        <v>45989</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20737-2023</t>
        </is>
      </c>
      <c r="B1858" s="1" t="n">
        <v>45058</v>
      </c>
      <c r="C1858" s="1" t="n">
        <v>45989</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22158-2022</t>
        </is>
      </c>
      <c r="B1859" s="1" t="n">
        <v>44708</v>
      </c>
      <c r="C1859" s="1" t="n">
        <v>45989</v>
      </c>
      <c r="D1859" t="inlineStr">
        <is>
          <t>VÄRMLANDS LÄN</t>
        </is>
      </c>
      <c r="E1859" t="inlineStr">
        <is>
          <t>TORSBY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56281-2022</t>
        </is>
      </c>
      <c r="B1860" s="1" t="n">
        <v>44890</v>
      </c>
      <c r="C1860" s="1" t="n">
        <v>45989</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20130-2023</t>
        </is>
      </c>
      <c r="B1861" s="1" t="n">
        <v>45055.38503472223</v>
      </c>
      <c r="C1861" s="1" t="n">
        <v>45989</v>
      </c>
      <c r="D1861" t="inlineStr">
        <is>
          <t>VÄRMLANDS LÄN</t>
        </is>
      </c>
      <c r="E1861" t="inlineStr">
        <is>
          <t>TORSBY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65713-2021</t>
        </is>
      </c>
      <c r="B1862" s="1" t="n">
        <v>44516</v>
      </c>
      <c r="C1862" s="1" t="n">
        <v>45989</v>
      </c>
      <c r="D1862" t="inlineStr">
        <is>
          <t>VÄRMLANDS LÄN</t>
        </is>
      </c>
      <c r="E1862" t="inlineStr">
        <is>
          <t>TORSBY</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17548-2023</t>
        </is>
      </c>
      <c r="B1863" s="1" t="n">
        <v>45036</v>
      </c>
      <c r="C1863" s="1" t="n">
        <v>45989</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69241-2020</t>
        </is>
      </c>
      <c r="B1864" s="1" t="n">
        <v>44192.85814814815</v>
      </c>
      <c r="C1864" s="1" t="n">
        <v>45989</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8447-2023</t>
        </is>
      </c>
      <c r="B1865" s="1" t="n">
        <v>44977</v>
      </c>
      <c r="C1865" s="1" t="n">
        <v>45989</v>
      </c>
      <c r="D1865" t="inlineStr">
        <is>
          <t>VÄRMLANDS LÄN</t>
        </is>
      </c>
      <c r="E1865" t="inlineStr">
        <is>
          <t>TORSBY</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4236-2023</t>
        </is>
      </c>
      <c r="B1866" s="1" t="n">
        <v>44953.48950231481</v>
      </c>
      <c r="C1866" s="1" t="n">
        <v>45989</v>
      </c>
      <c r="D1866" t="inlineStr">
        <is>
          <t>VÄRMLANDS LÄN</t>
        </is>
      </c>
      <c r="E1866" t="inlineStr">
        <is>
          <t>TORSBY</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4250-2023</t>
        </is>
      </c>
      <c r="B1867" s="1" t="n">
        <v>44953.51747685186</v>
      </c>
      <c r="C1867" s="1" t="n">
        <v>45989</v>
      </c>
      <c r="D1867" t="inlineStr">
        <is>
          <t>VÄRMLANDS LÄN</t>
        </is>
      </c>
      <c r="E1867" t="inlineStr">
        <is>
          <t>TORSBY</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46917-2024</t>
        </is>
      </c>
      <c r="B1868" s="1" t="n">
        <v>45583</v>
      </c>
      <c r="C1868" s="1" t="n">
        <v>45989</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7133-2023</t>
        </is>
      </c>
      <c r="B1869" s="1" t="n">
        <v>44970.43622685185</v>
      </c>
      <c r="C1869" s="1" t="n">
        <v>45989</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39390-2023</t>
        </is>
      </c>
      <c r="B1870" s="1" t="n">
        <v>45166.65104166666</v>
      </c>
      <c r="C1870" s="1" t="n">
        <v>45989</v>
      </c>
      <c r="D1870" t="inlineStr">
        <is>
          <t>VÄRMLANDS LÄN</t>
        </is>
      </c>
      <c r="E1870" t="inlineStr">
        <is>
          <t>TORSBY</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65301-2021</t>
        </is>
      </c>
      <c r="B1871" s="1" t="n">
        <v>44515</v>
      </c>
      <c r="C1871" s="1" t="n">
        <v>45989</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11153-2024</t>
        </is>
      </c>
      <c r="B1872" s="1" t="n">
        <v>45371.4759837963</v>
      </c>
      <c r="C1872" s="1" t="n">
        <v>45989</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6438-2022</t>
        </is>
      </c>
      <c r="B1873" s="1" t="n">
        <v>44601.32209490741</v>
      </c>
      <c r="C1873" s="1" t="n">
        <v>45989</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16592-2024</t>
        </is>
      </c>
      <c r="B1874" s="1" t="n">
        <v>45408.49623842593</v>
      </c>
      <c r="C1874" s="1" t="n">
        <v>45989</v>
      </c>
      <c r="D1874" t="inlineStr">
        <is>
          <t>VÄRMLANDS LÄN</t>
        </is>
      </c>
      <c r="E1874" t="inlineStr">
        <is>
          <t>TORSBY</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19307-2022</t>
        </is>
      </c>
      <c r="B1875" s="1" t="n">
        <v>44692.55497685185</v>
      </c>
      <c r="C1875" s="1" t="n">
        <v>45989</v>
      </c>
      <c r="D1875" t="inlineStr">
        <is>
          <t>VÄRMLANDS LÄN</t>
        </is>
      </c>
      <c r="E1875" t="inlineStr">
        <is>
          <t>TORSBY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52314-2024</t>
        </is>
      </c>
      <c r="B1876" s="1" t="n">
        <v>45608.87075231481</v>
      </c>
      <c r="C1876" s="1" t="n">
        <v>45989</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30531-2023</t>
        </is>
      </c>
      <c r="B1877" s="1" t="n">
        <v>45111.68223379629</v>
      </c>
      <c r="C1877" s="1" t="n">
        <v>45989</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3667-2023</t>
        </is>
      </c>
      <c r="B1878" s="1" t="n">
        <v>44950</v>
      </c>
      <c r="C1878" s="1" t="n">
        <v>45989</v>
      </c>
      <c r="D1878" t="inlineStr">
        <is>
          <t>VÄRMLANDS LÄN</t>
        </is>
      </c>
      <c r="E1878" t="inlineStr">
        <is>
          <t>TORSBY</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6121-2021</t>
        </is>
      </c>
      <c r="B1879" s="1" t="n">
        <v>44232</v>
      </c>
      <c r="C1879" s="1" t="n">
        <v>45989</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52669-2024</t>
        </is>
      </c>
      <c r="B1880" s="1" t="n">
        <v>45610</v>
      </c>
      <c r="C1880" s="1" t="n">
        <v>45989</v>
      </c>
      <c r="D1880" t="inlineStr">
        <is>
          <t>VÄRMLANDS LÄN</t>
        </is>
      </c>
      <c r="E1880" t="inlineStr">
        <is>
          <t>TORSBY</t>
        </is>
      </c>
      <c r="F1880" t="inlineStr">
        <is>
          <t>Kyrkan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48874-2024</t>
        </is>
      </c>
      <c r="B1881" s="1" t="n">
        <v>45594</v>
      </c>
      <c r="C1881" s="1" t="n">
        <v>45989</v>
      </c>
      <c r="D1881" t="inlineStr">
        <is>
          <t>VÄRMLANDS LÄN</t>
        </is>
      </c>
      <c r="E1881" t="inlineStr">
        <is>
          <t>TORSBY</t>
        </is>
      </c>
      <c r="F1881" t="inlineStr">
        <is>
          <t>Bergvik skog väst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6063-2021</t>
        </is>
      </c>
      <c r="B1882" s="1" t="n">
        <v>44232</v>
      </c>
      <c r="C1882" s="1" t="n">
        <v>45989</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56880-2023</t>
        </is>
      </c>
      <c r="B1883" s="1" t="n">
        <v>45244</v>
      </c>
      <c r="C1883" s="1" t="n">
        <v>45989</v>
      </c>
      <c r="D1883" t="inlineStr">
        <is>
          <t>VÄRMLANDS LÄN</t>
        </is>
      </c>
      <c r="E1883" t="inlineStr">
        <is>
          <t>TORSBY</t>
        </is>
      </c>
      <c r="F1883" t="inlineStr">
        <is>
          <t>Övriga Aktiebolag</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56170-2023</t>
        </is>
      </c>
      <c r="B1884" s="1" t="n">
        <v>45240.62975694444</v>
      </c>
      <c r="C1884" s="1" t="n">
        <v>45989</v>
      </c>
      <c r="D1884" t="inlineStr">
        <is>
          <t>VÄRMLANDS LÄN</t>
        </is>
      </c>
      <c r="E1884" t="inlineStr">
        <is>
          <t>TORSBY</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6646-2024</t>
        </is>
      </c>
      <c r="B1885" s="1" t="n">
        <v>45341.66643518519</v>
      </c>
      <c r="C1885" s="1" t="n">
        <v>45989</v>
      </c>
      <c r="D1885" t="inlineStr">
        <is>
          <t>VÄRMLANDS LÄN</t>
        </is>
      </c>
      <c r="E1885" t="inlineStr">
        <is>
          <t>TORSBY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6648-2024</t>
        </is>
      </c>
      <c r="B1886" s="1" t="n">
        <v>45341</v>
      </c>
      <c r="C1886" s="1" t="n">
        <v>45989</v>
      </c>
      <c r="D1886" t="inlineStr">
        <is>
          <t>VÄRMLANDS LÄN</t>
        </is>
      </c>
      <c r="E1886" t="inlineStr">
        <is>
          <t>TORSBY</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18337-2024</t>
        </is>
      </c>
      <c r="B1887" s="1" t="n">
        <v>45422</v>
      </c>
      <c r="C1887" s="1" t="n">
        <v>45989</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34968-2024</t>
        </is>
      </c>
      <c r="B1888" s="1" t="n">
        <v>45527.49986111111</v>
      </c>
      <c r="C1888" s="1" t="n">
        <v>45989</v>
      </c>
      <c r="D1888" t="inlineStr">
        <is>
          <t>VÄRMLANDS LÄN</t>
        </is>
      </c>
      <c r="E1888" t="inlineStr">
        <is>
          <t>TORSBY</t>
        </is>
      </c>
      <c r="F1888" t="inlineStr">
        <is>
          <t>Bergvik skog väst AB</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64664-2023</t>
        </is>
      </c>
      <c r="B1889" s="1" t="n">
        <v>45281.60710648148</v>
      </c>
      <c r="C1889" s="1" t="n">
        <v>45989</v>
      </c>
      <c r="D1889" t="inlineStr">
        <is>
          <t>VÄRMLANDS LÄN</t>
        </is>
      </c>
      <c r="E1889" t="inlineStr">
        <is>
          <t>TORSBY</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55428-2022</t>
        </is>
      </c>
      <c r="B1890" s="1" t="n">
        <v>44887.60894675926</v>
      </c>
      <c r="C1890" s="1" t="n">
        <v>45989</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22702-2023</t>
        </is>
      </c>
      <c r="B1891" s="1" t="n">
        <v>45071</v>
      </c>
      <c r="C1891" s="1" t="n">
        <v>45989</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17941-2021</t>
        </is>
      </c>
      <c r="B1892" s="1" t="n">
        <v>44301</v>
      </c>
      <c r="C1892" s="1" t="n">
        <v>45989</v>
      </c>
      <c r="D1892" t="inlineStr">
        <is>
          <t>VÄRMLANDS LÄN</t>
        </is>
      </c>
      <c r="E1892" t="inlineStr">
        <is>
          <t>TORSBY</t>
        </is>
      </c>
      <c r="F1892" t="inlineStr">
        <is>
          <t>Kommuner</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52901-2022</t>
        </is>
      </c>
      <c r="B1893" s="1" t="n">
        <v>44872</v>
      </c>
      <c r="C1893" s="1" t="n">
        <v>45989</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57452-2022</t>
        </is>
      </c>
      <c r="B1894" s="1" t="n">
        <v>44896.55787037037</v>
      </c>
      <c r="C1894" s="1" t="n">
        <v>45989</v>
      </c>
      <c r="D1894" t="inlineStr">
        <is>
          <t>VÄRMLANDS LÄN</t>
        </is>
      </c>
      <c r="E1894" t="inlineStr">
        <is>
          <t>TORSBY</t>
        </is>
      </c>
      <c r="F1894" t="inlineStr">
        <is>
          <t>Bergvik skog väst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32747-2021</t>
        </is>
      </c>
      <c r="B1895" s="1" t="n">
        <v>44375</v>
      </c>
      <c r="C1895" s="1" t="n">
        <v>45989</v>
      </c>
      <c r="D1895" t="inlineStr">
        <is>
          <t>VÄRMLANDS LÄN</t>
        </is>
      </c>
      <c r="E1895" t="inlineStr">
        <is>
          <t>TORSBY</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39069-2022</t>
        </is>
      </c>
      <c r="B1896" s="1" t="n">
        <v>44816</v>
      </c>
      <c r="C1896" s="1" t="n">
        <v>45989</v>
      </c>
      <c r="D1896" t="inlineStr">
        <is>
          <t>VÄRMLANDS LÄN</t>
        </is>
      </c>
      <c r="E1896" t="inlineStr">
        <is>
          <t>TORSBY</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10584-2023</t>
        </is>
      </c>
      <c r="B1897" s="1" t="n">
        <v>44988.36736111111</v>
      </c>
      <c r="C1897" s="1" t="n">
        <v>45989</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1979-2023</t>
        </is>
      </c>
      <c r="B1898" s="1" t="n">
        <v>44939</v>
      </c>
      <c r="C1898" s="1" t="n">
        <v>45989</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16591-2024</t>
        </is>
      </c>
      <c r="B1899" s="1" t="n">
        <v>45408.49420138889</v>
      </c>
      <c r="C1899" s="1" t="n">
        <v>45989</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52581-2024</t>
        </is>
      </c>
      <c r="B1900" s="1" t="n">
        <v>45609</v>
      </c>
      <c r="C1900" s="1" t="n">
        <v>45989</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60148-2024</t>
        </is>
      </c>
      <c r="B1901" s="1" t="n">
        <v>45642</v>
      </c>
      <c r="C1901" s="1" t="n">
        <v>45989</v>
      </c>
      <c r="D1901" t="inlineStr">
        <is>
          <t>VÄRMLANDS LÄN</t>
        </is>
      </c>
      <c r="E1901" t="inlineStr">
        <is>
          <t>TORSBY</t>
        </is>
      </c>
      <c r="G1901" t="n">
        <v>12.4</v>
      </c>
      <c r="H1901" t="n">
        <v>0</v>
      </c>
      <c r="I1901" t="n">
        <v>0</v>
      </c>
      <c r="J1901" t="n">
        <v>0</v>
      </c>
      <c r="K1901" t="n">
        <v>0</v>
      </c>
      <c r="L1901" t="n">
        <v>0</v>
      </c>
      <c r="M1901" t="n">
        <v>0</v>
      </c>
      <c r="N1901" t="n">
        <v>0</v>
      </c>
      <c r="O1901" t="n">
        <v>0</v>
      </c>
      <c r="P1901" t="n">
        <v>0</v>
      </c>
      <c r="Q1901" t="n">
        <v>0</v>
      </c>
      <c r="R1901" s="2" t="inlineStr"/>
    </row>
    <row r="1902" ht="15" customHeight="1">
      <c r="A1902" t="inlineStr">
        <is>
          <t>A 27101-2024</t>
        </is>
      </c>
      <c r="B1902" s="1" t="n">
        <v>45471</v>
      </c>
      <c r="C1902" s="1" t="n">
        <v>45989</v>
      </c>
      <c r="D1902" t="inlineStr">
        <is>
          <t>VÄRMLANDS LÄN</t>
        </is>
      </c>
      <c r="E1902" t="inlineStr">
        <is>
          <t>TORSBY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27116-2024</t>
        </is>
      </c>
      <c r="B1903" s="1" t="n">
        <v>45471.5056712963</v>
      </c>
      <c r="C1903" s="1" t="n">
        <v>45989</v>
      </c>
      <c r="D1903" t="inlineStr">
        <is>
          <t>VÄRMLANDS LÄN</t>
        </is>
      </c>
      <c r="E1903" t="inlineStr">
        <is>
          <t>TORSBY</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41160-2023</t>
        </is>
      </c>
      <c r="B1904" s="1" t="n">
        <v>45174</v>
      </c>
      <c r="C1904" s="1" t="n">
        <v>45989</v>
      </c>
      <c r="D1904" t="inlineStr">
        <is>
          <t>VÄRMLANDS LÄN</t>
        </is>
      </c>
      <c r="E1904" t="inlineStr">
        <is>
          <t>TORSBY</t>
        </is>
      </c>
      <c r="F1904" t="inlineStr">
        <is>
          <t>Kyrkan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61138-2022</t>
        </is>
      </c>
      <c r="B1905" s="1" t="n">
        <v>44915</v>
      </c>
      <c r="C1905" s="1" t="n">
        <v>45989</v>
      </c>
      <c r="D1905" t="inlineStr">
        <is>
          <t>VÄRMLANDS LÄN</t>
        </is>
      </c>
      <c r="E1905" t="inlineStr">
        <is>
          <t>TORSBY</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64902-2021</t>
        </is>
      </c>
      <c r="B1906" s="1" t="n">
        <v>44512.64336805556</v>
      </c>
      <c r="C1906" s="1" t="n">
        <v>45989</v>
      </c>
      <c r="D1906" t="inlineStr">
        <is>
          <t>VÄRMLANDS LÄN</t>
        </is>
      </c>
      <c r="E1906" t="inlineStr">
        <is>
          <t>TORSBY</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22662-2022</t>
        </is>
      </c>
      <c r="B1907" s="1" t="n">
        <v>44714</v>
      </c>
      <c r="C1907" s="1" t="n">
        <v>45989</v>
      </c>
      <c r="D1907" t="inlineStr">
        <is>
          <t>VÄRMLANDS LÄN</t>
        </is>
      </c>
      <c r="E1907" t="inlineStr">
        <is>
          <t>TORSBY</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51661-2024</t>
        </is>
      </c>
      <c r="B1908" s="1" t="n">
        <v>45606.74392361111</v>
      </c>
      <c r="C1908" s="1" t="n">
        <v>45989</v>
      </c>
      <c r="D1908" t="inlineStr">
        <is>
          <t>VÄRMLANDS LÄN</t>
        </is>
      </c>
      <c r="E1908" t="inlineStr">
        <is>
          <t>TORSBY</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51663-2024</t>
        </is>
      </c>
      <c r="B1909" s="1" t="n">
        <v>45606.76396990741</v>
      </c>
      <c r="C1909" s="1" t="n">
        <v>45989</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14292-2023</t>
        </is>
      </c>
      <c r="B1910" s="1" t="n">
        <v>45011</v>
      </c>
      <c r="C1910" s="1" t="n">
        <v>45989</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14293-2023</t>
        </is>
      </c>
      <c r="B1911" s="1" t="n">
        <v>45011</v>
      </c>
      <c r="C1911" s="1" t="n">
        <v>45989</v>
      </c>
      <c r="D1911" t="inlineStr">
        <is>
          <t>VÄRMLANDS LÄN</t>
        </is>
      </c>
      <c r="E1911" t="inlineStr">
        <is>
          <t>TORSBY</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26887-2024</t>
        </is>
      </c>
      <c r="B1912" s="1" t="n">
        <v>45470.64864583333</v>
      </c>
      <c r="C1912" s="1" t="n">
        <v>45989</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21280-2024</t>
        </is>
      </c>
      <c r="B1913" s="1" t="n">
        <v>45440</v>
      </c>
      <c r="C1913" s="1" t="n">
        <v>45989</v>
      </c>
      <c r="D1913" t="inlineStr">
        <is>
          <t>VÄRMLANDS LÄN</t>
        </is>
      </c>
      <c r="E1913" t="inlineStr">
        <is>
          <t>TORSBY</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47271-2021</t>
        </is>
      </c>
      <c r="B1914" s="1" t="n">
        <v>44447</v>
      </c>
      <c r="C1914" s="1" t="n">
        <v>45989</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53988-2022</t>
        </is>
      </c>
      <c r="B1915" s="1" t="n">
        <v>44876</v>
      </c>
      <c r="C1915" s="1" t="n">
        <v>45989</v>
      </c>
      <c r="D1915" t="inlineStr">
        <is>
          <t>VÄRMLANDS LÄN</t>
        </is>
      </c>
      <c r="E1915" t="inlineStr">
        <is>
          <t>TORSBY</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47465-2024</t>
        </is>
      </c>
      <c r="B1916" s="1" t="n">
        <v>45587</v>
      </c>
      <c r="C1916" s="1" t="n">
        <v>45989</v>
      </c>
      <c r="D1916" t="inlineStr">
        <is>
          <t>VÄRMLANDS LÄN</t>
        </is>
      </c>
      <c r="E1916" t="inlineStr">
        <is>
          <t>TORSBY</t>
        </is>
      </c>
      <c r="F1916" t="inlineStr">
        <is>
          <t>Övriga Aktiebolag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4707-2023</t>
        </is>
      </c>
      <c r="B1917" s="1" t="n">
        <v>44957</v>
      </c>
      <c r="C1917" s="1" t="n">
        <v>45989</v>
      </c>
      <c r="D1917" t="inlineStr">
        <is>
          <t>VÄRMLANDS LÄN</t>
        </is>
      </c>
      <c r="E1917" t="inlineStr">
        <is>
          <t>TORSBY</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29256-2023</t>
        </is>
      </c>
      <c r="B1918" s="1" t="n">
        <v>45105.65310185185</v>
      </c>
      <c r="C1918" s="1" t="n">
        <v>45989</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13723-2023</t>
        </is>
      </c>
      <c r="B1919" s="1" t="n">
        <v>45007</v>
      </c>
      <c r="C1919" s="1" t="n">
        <v>45989</v>
      </c>
      <c r="D1919" t="inlineStr">
        <is>
          <t>VÄRMLANDS LÄN</t>
        </is>
      </c>
      <c r="E1919" t="inlineStr">
        <is>
          <t>TORSBY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1104-2025</t>
        </is>
      </c>
      <c r="B1920" s="1" t="n">
        <v>45666</v>
      </c>
      <c r="C1920" s="1" t="n">
        <v>45989</v>
      </c>
      <c r="D1920" t="inlineStr">
        <is>
          <t>VÄRMLANDS LÄN</t>
        </is>
      </c>
      <c r="E1920" t="inlineStr">
        <is>
          <t>TORSBY</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16433-2023</t>
        </is>
      </c>
      <c r="B1921" s="1" t="n">
        <v>45022</v>
      </c>
      <c r="C1921" s="1" t="n">
        <v>45989</v>
      </c>
      <c r="D1921" t="inlineStr">
        <is>
          <t>VÄRMLANDS LÄN</t>
        </is>
      </c>
      <c r="E1921" t="inlineStr">
        <is>
          <t>TORSBY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21411-2023</t>
        </is>
      </c>
      <c r="B1922" s="1" t="n">
        <v>45063.38505787037</v>
      </c>
      <c r="C1922" s="1" t="n">
        <v>45989</v>
      </c>
      <c r="D1922" t="inlineStr">
        <is>
          <t>VÄRMLANDS LÄN</t>
        </is>
      </c>
      <c r="E1922" t="inlineStr">
        <is>
          <t>TORSBY</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35057-2023</t>
        </is>
      </c>
      <c r="B1923" s="1" t="n">
        <v>45145.3909375</v>
      </c>
      <c r="C1923" s="1" t="n">
        <v>45989</v>
      </c>
      <c r="D1923" t="inlineStr">
        <is>
          <t>VÄRMLANDS LÄN</t>
        </is>
      </c>
      <c r="E1923" t="inlineStr">
        <is>
          <t>TORSBY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485-2025</t>
        </is>
      </c>
      <c r="B1924" s="1" t="n">
        <v>45664</v>
      </c>
      <c r="C1924" s="1" t="n">
        <v>45989</v>
      </c>
      <c r="D1924" t="inlineStr">
        <is>
          <t>VÄRMLANDS LÄN</t>
        </is>
      </c>
      <c r="E1924" t="inlineStr">
        <is>
          <t>TORSBY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3442-2025</t>
        </is>
      </c>
      <c r="B1925" s="1" t="n">
        <v>45680.45114583334</v>
      </c>
      <c r="C1925" s="1" t="n">
        <v>45989</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3409-2025</t>
        </is>
      </c>
      <c r="B1926" s="1" t="n">
        <v>45680.39391203703</v>
      </c>
      <c r="C1926" s="1" t="n">
        <v>45989</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48239-2022</t>
        </is>
      </c>
      <c r="B1927" s="1" t="n">
        <v>44858.45881944444</v>
      </c>
      <c r="C1927" s="1" t="n">
        <v>45989</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22124-2022</t>
        </is>
      </c>
      <c r="B1928" s="1" t="n">
        <v>44712</v>
      </c>
      <c r="C1928" s="1" t="n">
        <v>45989</v>
      </c>
      <c r="D1928" t="inlineStr">
        <is>
          <t>VÄRMLANDS LÄN</t>
        </is>
      </c>
      <c r="E1928" t="inlineStr">
        <is>
          <t>TORSBY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6708-2023</t>
        </is>
      </c>
      <c r="B1929" s="1" t="n">
        <v>44960</v>
      </c>
      <c r="C1929" s="1" t="n">
        <v>45989</v>
      </c>
      <c r="D1929" t="inlineStr">
        <is>
          <t>VÄRMLANDS LÄN</t>
        </is>
      </c>
      <c r="E1929" t="inlineStr">
        <is>
          <t>TORSBY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53744-2024</t>
        </is>
      </c>
      <c r="B1930" s="1" t="n">
        <v>45615</v>
      </c>
      <c r="C1930" s="1" t="n">
        <v>45989</v>
      </c>
      <c r="D1930" t="inlineStr">
        <is>
          <t>VÄRMLANDS LÄN</t>
        </is>
      </c>
      <c r="E1930" t="inlineStr">
        <is>
          <t>TORSBY</t>
        </is>
      </c>
      <c r="G1930" t="n">
        <v>16.9</v>
      </c>
      <c r="H1930" t="n">
        <v>0</v>
      </c>
      <c r="I1930" t="n">
        <v>0</v>
      </c>
      <c r="J1930" t="n">
        <v>0</v>
      </c>
      <c r="K1930" t="n">
        <v>0</v>
      </c>
      <c r="L1930" t="n">
        <v>0</v>
      </c>
      <c r="M1930" t="n">
        <v>0</v>
      </c>
      <c r="N1930" t="n">
        <v>0</v>
      </c>
      <c r="O1930" t="n">
        <v>0</v>
      </c>
      <c r="P1930" t="n">
        <v>0</v>
      </c>
      <c r="Q1930" t="n">
        <v>0</v>
      </c>
      <c r="R1930" s="2" t="inlineStr"/>
    </row>
    <row r="1931" ht="15" customHeight="1">
      <c r="A1931" t="inlineStr">
        <is>
          <t>A 1100-2025</t>
        </is>
      </c>
      <c r="B1931" s="1" t="n">
        <v>45666.64099537037</v>
      </c>
      <c r="C1931" s="1" t="n">
        <v>45989</v>
      </c>
      <c r="D1931" t="inlineStr">
        <is>
          <t>VÄRMLANDS LÄN</t>
        </is>
      </c>
      <c r="E1931" t="inlineStr">
        <is>
          <t>TORSBY</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10895-2024</t>
        </is>
      </c>
      <c r="B1932" s="1" t="n">
        <v>45370.34901620371</v>
      </c>
      <c r="C1932" s="1" t="n">
        <v>45989</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58728-2021</t>
        </is>
      </c>
      <c r="B1933" s="1" t="n">
        <v>44489</v>
      </c>
      <c r="C1933" s="1" t="n">
        <v>45989</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62445-2023</t>
        </is>
      </c>
      <c r="B1934" s="1" t="n">
        <v>45268.47487268518</v>
      </c>
      <c r="C1934" s="1" t="n">
        <v>45989</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28624-2024</t>
        </is>
      </c>
      <c r="B1935" s="1" t="n">
        <v>45478.44297453704</v>
      </c>
      <c r="C1935" s="1" t="n">
        <v>45989</v>
      </c>
      <c r="D1935" t="inlineStr">
        <is>
          <t>VÄRMLANDS LÄN</t>
        </is>
      </c>
      <c r="E1935" t="inlineStr">
        <is>
          <t>TORSBY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34655-2022</t>
        </is>
      </c>
      <c r="B1936" s="1" t="n">
        <v>44795</v>
      </c>
      <c r="C1936" s="1" t="n">
        <v>45989</v>
      </c>
      <c r="D1936" t="inlineStr">
        <is>
          <t>VÄRMLANDS LÄN</t>
        </is>
      </c>
      <c r="E1936" t="inlineStr">
        <is>
          <t>TORSBY</t>
        </is>
      </c>
      <c r="G1936" t="n">
        <v>12.8</v>
      </c>
      <c r="H1936" t="n">
        <v>0</v>
      </c>
      <c r="I1936" t="n">
        <v>0</v>
      </c>
      <c r="J1936" t="n">
        <v>0</v>
      </c>
      <c r="K1936" t="n">
        <v>0</v>
      </c>
      <c r="L1936" t="n">
        <v>0</v>
      </c>
      <c r="M1936" t="n">
        <v>0</v>
      </c>
      <c r="N1936" t="n">
        <v>0</v>
      </c>
      <c r="O1936" t="n">
        <v>0</v>
      </c>
      <c r="P1936" t="n">
        <v>0</v>
      </c>
      <c r="Q1936" t="n">
        <v>0</v>
      </c>
      <c r="R1936" s="2" t="inlineStr"/>
    </row>
    <row r="1937" ht="15" customHeight="1">
      <c r="A1937" t="inlineStr">
        <is>
          <t>A 345-2023</t>
        </is>
      </c>
      <c r="B1937" s="1" t="n">
        <v>44923</v>
      </c>
      <c r="C1937" s="1" t="n">
        <v>45989</v>
      </c>
      <c r="D1937" t="inlineStr">
        <is>
          <t>VÄRMLANDS LÄN</t>
        </is>
      </c>
      <c r="E1937" t="inlineStr">
        <is>
          <t>TORSBY</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522-2023</t>
        </is>
      </c>
      <c r="B1938" s="1" t="n">
        <v>44930</v>
      </c>
      <c r="C1938" s="1" t="n">
        <v>45989</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36758-2024</t>
        </is>
      </c>
      <c r="B1939" s="1" t="n">
        <v>45538.35525462963</v>
      </c>
      <c r="C1939" s="1" t="n">
        <v>45989</v>
      </c>
      <c r="D1939" t="inlineStr">
        <is>
          <t>VÄRMLANDS LÄN</t>
        </is>
      </c>
      <c r="E1939" t="inlineStr">
        <is>
          <t>TORSBY</t>
        </is>
      </c>
      <c r="F1939" t="inlineStr">
        <is>
          <t>Kyrkan</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43943-2022</t>
        </is>
      </c>
      <c r="B1940" s="1" t="n">
        <v>44838</v>
      </c>
      <c r="C1940" s="1" t="n">
        <v>45989</v>
      </c>
      <c r="D1940" t="inlineStr">
        <is>
          <t>VÄRMLANDS LÄN</t>
        </is>
      </c>
      <c r="E1940" t="inlineStr">
        <is>
          <t>TORSBY</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21089-2022</t>
        </is>
      </c>
      <c r="B1941" s="1" t="n">
        <v>44704</v>
      </c>
      <c r="C1941" s="1" t="n">
        <v>45989</v>
      </c>
      <c r="D1941" t="inlineStr">
        <is>
          <t>VÄRMLANDS LÄN</t>
        </is>
      </c>
      <c r="E1941" t="inlineStr">
        <is>
          <t>TORSBY</t>
        </is>
      </c>
      <c r="G1941" t="n">
        <v>13.4</v>
      </c>
      <c r="H1941" t="n">
        <v>0</v>
      </c>
      <c r="I1941" t="n">
        <v>0</v>
      </c>
      <c r="J1941" t="n">
        <v>0</v>
      </c>
      <c r="K1941" t="n">
        <v>0</v>
      </c>
      <c r="L1941" t="n">
        <v>0</v>
      </c>
      <c r="M1941" t="n">
        <v>0</v>
      </c>
      <c r="N1941" t="n">
        <v>0</v>
      </c>
      <c r="O1941" t="n">
        <v>0</v>
      </c>
      <c r="P1941" t="n">
        <v>0</v>
      </c>
      <c r="Q1941" t="n">
        <v>0</v>
      </c>
      <c r="R1941" s="2" t="inlineStr"/>
    </row>
    <row r="1942" ht="15" customHeight="1">
      <c r="A1942" t="inlineStr">
        <is>
          <t>A 2807-2025</t>
        </is>
      </c>
      <c r="B1942" s="1" t="n">
        <v>45677</v>
      </c>
      <c r="C1942" s="1" t="n">
        <v>45989</v>
      </c>
      <c r="D1942" t="inlineStr">
        <is>
          <t>VÄRMLANDS LÄN</t>
        </is>
      </c>
      <c r="E1942" t="inlineStr">
        <is>
          <t>TORSBY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34667-2022</t>
        </is>
      </c>
      <c r="B1943" s="1" t="n">
        <v>44795</v>
      </c>
      <c r="C1943" s="1" t="n">
        <v>45989</v>
      </c>
      <c r="D1943" t="inlineStr">
        <is>
          <t>VÄRMLANDS LÄN</t>
        </is>
      </c>
      <c r="E1943" t="inlineStr">
        <is>
          <t>TORSBY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26124-2024</t>
        </is>
      </c>
      <c r="B1944" s="1" t="n">
        <v>45468</v>
      </c>
      <c r="C1944" s="1" t="n">
        <v>45989</v>
      </c>
      <c r="D1944" t="inlineStr">
        <is>
          <t>VÄRMLANDS LÄN</t>
        </is>
      </c>
      <c r="E1944" t="inlineStr">
        <is>
          <t>TORSBY</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13006-2025</t>
        </is>
      </c>
      <c r="B1945" s="1" t="n">
        <v>45734.51652777778</v>
      </c>
      <c r="C1945" s="1" t="n">
        <v>45989</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37340-2022</t>
        </is>
      </c>
      <c r="B1946" s="1" t="n">
        <v>44809</v>
      </c>
      <c r="C1946" s="1" t="n">
        <v>45989</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61428-2022</t>
        </is>
      </c>
      <c r="B1947" s="1" t="n">
        <v>44910</v>
      </c>
      <c r="C1947" s="1" t="n">
        <v>45989</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61432-2022</t>
        </is>
      </c>
      <c r="B1948" s="1" t="n">
        <v>44910</v>
      </c>
      <c r="C1948" s="1" t="n">
        <v>45989</v>
      </c>
      <c r="D1948" t="inlineStr">
        <is>
          <t>VÄRMLANDS LÄN</t>
        </is>
      </c>
      <c r="E1948" t="inlineStr">
        <is>
          <t>TORSBY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14581-2023</t>
        </is>
      </c>
      <c r="B1949" s="1" t="n">
        <v>45013.52122685185</v>
      </c>
      <c r="C1949" s="1" t="n">
        <v>45989</v>
      </c>
      <c r="D1949" t="inlineStr">
        <is>
          <t>VÄRMLANDS LÄN</t>
        </is>
      </c>
      <c r="E1949" t="inlineStr">
        <is>
          <t>TORSBY</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3387-2025</t>
        </is>
      </c>
      <c r="B1950" s="1" t="n">
        <v>45680</v>
      </c>
      <c r="C1950" s="1" t="n">
        <v>45989</v>
      </c>
      <c r="D1950" t="inlineStr">
        <is>
          <t>VÄRMLANDS LÄN</t>
        </is>
      </c>
      <c r="E1950" t="inlineStr">
        <is>
          <t>TORSBY</t>
        </is>
      </c>
      <c r="F1950" t="inlineStr">
        <is>
          <t>Kommuner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2390-2025</t>
        </is>
      </c>
      <c r="B1951" s="1" t="n">
        <v>45674.32071759259</v>
      </c>
      <c r="C1951" s="1" t="n">
        <v>45989</v>
      </c>
      <c r="D1951" t="inlineStr">
        <is>
          <t>VÄRMLANDS LÄN</t>
        </is>
      </c>
      <c r="E1951" t="inlineStr">
        <is>
          <t>TORSBY</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68136-2021</t>
        </is>
      </c>
      <c r="B1952" s="1" t="n">
        <v>44526.40984953703</v>
      </c>
      <c r="C1952" s="1" t="n">
        <v>45989</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11214-2024</t>
        </is>
      </c>
      <c r="B1953" s="1" t="n">
        <v>45371</v>
      </c>
      <c r="C1953" s="1" t="n">
        <v>45989</v>
      </c>
      <c r="D1953" t="inlineStr">
        <is>
          <t>VÄRMLANDS LÄN</t>
        </is>
      </c>
      <c r="E1953" t="inlineStr">
        <is>
          <t>TORSBY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3951-2025</t>
        </is>
      </c>
      <c r="B1954" s="1" t="n">
        <v>45684.49333333333</v>
      </c>
      <c r="C1954" s="1" t="n">
        <v>45989</v>
      </c>
      <c r="D1954" t="inlineStr">
        <is>
          <t>VÄRMLANDS LÄN</t>
        </is>
      </c>
      <c r="E1954" t="inlineStr">
        <is>
          <t>TORSBY</t>
        </is>
      </c>
      <c r="F1954" t="inlineStr">
        <is>
          <t>Bergvik skog väst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34430-2023</t>
        </is>
      </c>
      <c r="B1955" s="1" t="n">
        <v>45139.62216435185</v>
      </c>
      <c r="C1955" s="1" t="n">
        <v>45989</v>
      </c>
      <c r="D1955" t="inlineStr">
        <is>
          <t>VÄRMLANDS LÄN</t>
        </is>
      </c>
      <c r="E1955" t="inlineStr">
        <is>
          <t>TORSBY</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36327-2021</t>
        </is>
      </c>
      <c r="B1956" s="1" t="n">
        <v>44390</v>
      </c>
      <c r="C1956" s="1" t="n">
        <v>45989</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52483-2022</t>
        </is>
      </c>
      <c r="B1957" s="1" t="n">
        <v>44874.48637731482</v>
      </c>
      <c r="C1957" s="1" t="n">
        <v>45989</v>
      </c>
      <c r="D1957" t="inlineStr">
        <is>
          <t>VÄRMLANDS LÄN</t>
        </is>
      </c>
      <c r="E1957" t="inlineStr">
        <is>
          <t>TORSBY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49073-2022</t>
        </is>
      </c>
      <c r="B1958" s="1" t="n">
        <v>44860</v>
      </c>
      <c r="C1958" s="1" t="n">
        <v>45989</v>
      </c>
      <c r="D1958" t="inlineStr">
        <is>
          <t>VÄRMLANDS LÄN</t>
        </is>
      </c>
      <c r="E1958" t="inlineStr">
        <is>
          <t>TORSBY</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54452-2022</t>
        </is>
      </c>
      <c r="B1959" s="1" t="n">
        <v>44880</v>
      </c>
      <c r="C1959" s="1" t="n">
        <v>45989</v>
      </c>
      <c r="D1959" t="inlineStr">
        <is>
          <t>VÄRMLANDS LÄN</t>
        </is>
      </c>
      <c r="E1959" t="inlineStr">
        <is>
          <t>TORSBY</t>
        </is>
      </c>
      <c r="F1959" t="inlineStr">
        <is>
          <t>Kyrkan</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54556-2023</t>
        </is>
      </c>
      <c r="B1960" s="1" t="n">
        <v>45233.63445601852</v>
      </c>
      <c r="C1960" s="1" t="n">
        <v>45989</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34405-2023</t>
        </is>
      </c>
      <c r="B1961" s="1" t="n">
        <v>45139.55131944444</v>
      </c>
      <c r="C1961" s="1" t="n">
        <v>45989</v>
      </c>
      <c r="D1961" t="inlineStr">
        <is>
          <t>VÄRMLANDS LÄN</t>
        </is>
      </c>
      <c r="E1961" t="inlineStr">
        <is>
          <t>TORSBY</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44340-2022</t>
        </is>
      </c>
      <c r="B1962" s="1" t="n">
        <v>44838</v>
      </c>
      <c r="C1962" s="1" t="n">
        <v>45989</v>
      </c>
      <c r="D1962" t="inlineStr">
        <is>
          <t>VÄRMLANDS LÄN</t>
        </is>
      </c>
      <c r="E1962" t="inlineStr">
        <is>
          <t>TORSBY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30104-2023</t>
        </is>
      </c>
      <c r="B1963" s="1" t="n">
        <v>45110</v>
      </c>
      <c r="C1963" s="1" t="n">
        <v>45989</v>
      </c>
      <c r="D1963" t="inlineStr">
        <is>
          <t>VÄRMLANDS LÄN</t>
        </is>
      </c>
      <c r="E1963" t="inlineStr">
        <is>
          <t>TORSBY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52239-2024</t>
        </is>
      </c>
      <c r="B1964" s="1" t="n">
        <v>45608.61837962963</v>
      </c>
      <c r="C1964" s="1" t="n">
        <v>45989</v>
      </c>
      <c r="D1964" t="inlineStr">
        <is>
          <t>VÄRMLANDS LÄN</t>
        </is>
      </c>
      <c r="E1964" t="inlineStr">
        <is>
          <t>TORSBY</t>
        </is>
      </c>
      <c r="F1964" t="inlineStr">
        <is>
          <t>Bergvik skog väst AB</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56473-2022</t>
        </is>
      </c>
      <c r="B1965" s="1" t="n">
        <v>44893</v>
      </c>
      <c r="C1965" s="1" t="n">
        <v>45989</v>
      </c>
      <c r="D1965" t="inlineStr">
        <is>
          <t>VÄRMLANDS LÄN</t>
        </is>
      </c>
      <c r="E1965" t="inlineStr">
        <is>
          <t>TORSBY</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45328-2022</t>
        </is>
      </c>
      <c r="B1966" s="1" t="n">
        <v>44844</v>
      </c>
      <c r="C1966" s="1" t="n">
        <v>45989</v>
      </c>
      <c r="D1966" t="inlineStr">
        <is>
          <t>VÄRMLANDS LÄN</t>
        </is>
      </c>
      <c r="E1966" t="inlineStr">
        <is>
          <t>TORSBY</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25355-2024</t>
        </is>
      </c>
      <c r="B1967" s="1" t="n">
        <v>45462.92868055555</v>
      </c>
      <c r="C1967" s="1" t="n">
        <v>45989</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30074-2024</t>
        </is>
      </c>
      <c r="B1968" s="1" t="n">
        <v>45489</v>
      </c>
      <c r="C1968" s="1" t="n">
        <v>45989</v>
      </c>
      <c r="D1968" t="inlineStr">
        <is>
          <t>VÄRMLANDS LÄN</t>
        </is>
      </c>
      <c r="E1968" t="inlineStr">
        <is>
          <t>TORSBY</t>
        </is>
      </c>
      <c r="F1968" t="inlineStr">
        <is>
          <t>Kyrkan</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21258-2023</t>
        </is>
      </c>
      <c r="B1969" s="1" t="n">
        <v>45058</v>
      </c>
      <c r="C1969" s="1" t="n">
        <v>45989</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19743-2025</t>
        </is>
      </c>
      <c r="B1970" s="1" t="n">
        <v>45771.37554398148</v>
      </c>
      <c r="C1970" s="1" t="n">
        <v>45989</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38086-2023</t>
        </is>
      </c>
      <c r="B1971" s="1" t="n">
        <v>45160</v>
      </c>
      <c r="C1971" s="1" t="n">
        <v>45989</v>
      </c>
      <c r="D1971" t="inlineStr">
        <is>
          <t>VÄRMLANDS LÄN</t>
        </is>
      </c>
      <c r="E1971" t="inlineStr">
        <is>
          <t>TORSBY</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48629-2024</t>
        </is>
      </c>
      <c r="B1972" s="1" t="n">
        <v>45593.46605324074</v>
      </c>
      <c r="C1972" s="1" t="n">
        <v>45989</v>
      </c>
      <c r="D1972" t="inlineStr">
        <is>
          <t>VÄRMLANDS LÄN</t>
        </is>
      </c>
      <c r="E1972" t="inlineStr">
        <is>
          <t>TORSBY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20721-2023</t>
        </is>
      </c>
      <c r="B1973" s="1" t="n">
        <v>45058</v>
      </c>
      <c r="C1973" s="1" t="n">
        <v>45989</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18314-2025</t>
        </is>
      </c>
      <c r="B1974" s="1" t="n">
        <v>45762.44986111111</v>
      </c>
      <c r="C1974" s="1" t="n">
        <v>45989</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235-2024</t>
        </is>
      </c>
      <c r="B1975" s="1" t="n">
        <v>45294.85100694445</v>
      </c>
      <c r="C1975" s="1" t="n">
        <v>45989</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18308-2024</t>
        </is>
      </c>
      <c r="B1976" s="1" t="n">
        <v>45422</v>
      </c>
      <c r="C1976" s="1" t="n">
        <v>45989</v>
      </c>
      <c r="D1976" t="inlineStr">
        <is>
          <t>VÄRMLANDS LÄN</t>
        </is>
      </c>
      <c r="E1976" t="inlineStr">
        <is>
          <t>TORSBY</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34105-2023</t>
        </is>
      </c>
      <c r="B1977" s="1" t="n">
        <v>45126</v>
      </c>
      <c r="C1977" s="1" t="n">
        <v>45989</v>
      </c>
      <c r="D1977" t="inlineStr">
        <is>
          <t>VÄRMLANDS LÄN</t>
        </is>
      </c>
      <c r="E1977" t="inlineStr">
        <is>
          <t>TORSBY</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58707-2024</t>
        </is>
      </c>
      <c r="B1978" s="1" t="n">
        <v>45635</v>
      </c>
      <c r="C1978" s="1" t="n">
        <v>45989</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56634-2024</t>
        </is>
      </c>
      <c r="B1979" s="1" t="n">
        <v>45625.68491898148</v>
      </c>
      <c r="C1979" s="1" t="n">
        <v>45989</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49717-2023</t>
        </is>
      </c>
      <c r="B1980" s="1" t="n">
        <v>45208</v>
      </c>
      <c r="C1980" s="1" t="n">
        <v>45989</v>
      </c>
      <c r="D1980" t="inlineStr">
        <is>
          <t>VÄRMLANDS LÄN</t>
        </is>
      </c>
      <c r="E1980" t="inlineStr">
        <is>
          <t>TORSBY</t>
        </is>
      </c>
      <c r="G1980" t="n">
        <v>5.9</v>
      </c>
      <c r="H1980" t="n">
        <v>0</v>
      </c>
      <c r="I1980" t="n">
        <v>0</v>
      </c>
      <c r="J1980" t="n">
        <v>0</v>
      </c>
      <c r="K1980" t="n">
        <v>0</v>
      </c>
      <c r="L1980" t="n">
        <v>0</v>
      </c>
      <c r="M1980" t="n">
        <v>0</v>
      </c>
      <c r="N1980" t="n">
        <v>0</v>
      </c>
      <c r="O1980" t="n">
        <v>0</v>
      </c>
      <c r="P1980" t="n">
        <v>0</v>
      </c>
      <c r="Q1980" t="n">
        <v>0</v>
      </c>
      <c r="R1980" s="2" t="inlineStr"/>
    </row>
    <row r="1981" ht="15" customHeight="1">
      <c r="A1981" t="inlineStr">
        <is>
          <t>A 54011-2024</t>
        </is>
      </c>
      <c r="B1981" s="1" t="n">
        <v>45616.37576388889</v>
      </c>
      <c r="C1981" s="1" t="n">
        <v>45989</v>
      </c>
      <c r="D1981" t="inlineStr">
        <is>
          <t>VÄRMLANDS LÄN</t>
        </is>
      </c>
      <c r="E1981" t="inlineStr">
        <is>
          <t>TORSBY</t>
        </is>
      </c>
      <c r="F1981" t="inlineStr">
        <is>
          <t>Kommuner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54026-2024</t>
        </is>
      </c>
      <c r="B1982" s="1" t="n">
        <v>45616</v>
      </c>
      <c r="C1982" s="1" t="n">
        <v>45989</v>
      </c>
      <c r="D1982" t="inlineStr">
        <is>
          <t>VÄRMLANDS LÄN</t>
        </is>
      </c>
      <c r="E1982" t="inlineStr">
        <is>
          <t>TORSBY</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61251-2024</t>
        </is>
      </c>
      <c r="B1983" s="1" t="n">
        <v>45645</v>
      </c>
      <c r="C1983" s="1" t="n">
        <v>45989</v>
      </c>
      <c r="D1983" t="inlineStr">
        <is>
          <t>VÄRMLANDS LÄN</t>
        </is>
      </c>
      <c r="E1983" t="inlineStr">
        <is>
          <t>TORSBY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61259-2024</t>
        </is>
      </c>
      <c r="B1984" s="1" t="n">
        <v>45645.71188657408</v>
      </c>
      <c r="C1984" s="1" t="n">
        <v>45989</v>
      </c>
      <c r="D1984" t="inlineStr">
        <is>
          <t>VÄRMLANDS LÄN</t>
        </is>
      </c>
      <c r="E1984" t="inlineStr">
        <is>
          <t>TORSBY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22826-2022</t>
        </is>
      </c>
      <c r="B1985" s="1" t="n">
        <v>44714</v>
      </c>
      <c r="C1985" s="1" t="n">
        <v>45989</v>
      </c>
      <c r="D1985" t="inlineStr">
        <is>
          <t>VÄRMLANDS LÄN</t>
        </is>
      </c>
      <c r="E1985" t="inlineStr">
        <is>
          <t>TORSBY</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2616-2025</t>
        </is>
      </c>
      <c r="B1986" s="1" t="n">
        <v>45675</v>
      </c>
      <c r="C1986" s="1" t="n">
        <v>45989</v>
      </c>
      <c r="D1986" t="inlineStr">
        <is>
          <t>VÄRMLANDS LÄN</t>
        </is>
      </c>
      <c r="E1986" t="inlineStr">
        <is>
          <t>TORSBY</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17018-2025</t>
        </is>
      </c>
      <c r="B1987" s="1" t="n">
        <v>45755</v>
      </c>
      <c r="C1987" s="1" t="n">
        <v>45989</v>
      </c>
      <c r="D1987" t="inlineStr">
        <is>
          <t>VÄRMLANDS LÄN</t>
        </is>
      </c>
      <c r="E1987" t="inlineStr">
        <is>
          <t>TORSBY</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54777-2023</t>
        </is>
      </c>
      <c r="B1988" s="1" t="n">
        <v>45236</v>
      </c>
      <c r="C1988" s="1" t="n">
        <v>45989</v>
      </c>
      <c r="D1988" t="inlineStr">
        <is>
          <t>VÄRMLANDS LÄN</t>
        </is>
      </c>
      <c r="E1988" t="inlineStr">
        <is>
          <t>TORSBY</t>
        </is>
      </c>
      <c r="F1988" t="inlineStr">
        <is>
          <t>Bergvik skog väst AB</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3904-2025</t>
        </is>
      </c>
      <c r="B1989" s="1" t="n">
        <v>45684</v>
      </c>
      <c r="C1989" s="1" t="n">
        <v>45989</v>
      </c>
      <c r="D1989" t="inlineStr">
        <is>
          <t>VÄRMLANDS LÄN</t>
        </is>
      </c>
      <c r="E1989" t="inlineStr">
        <is>
          <t>TORSBY</t>
        </is>
      </c>
      <c r="F1989" t="inlineStr">
        <is>
          <t>Övriga statliga verk och myndigheter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56098-2024</t>
        </is>
      </c>
      <c r="B1990" s="1" t="n">
        <v>45624.42371527778</v>
      </c>
      <c r="C1990" s="1" t="n">
        <v>45989</v>
      </c>
      <c r="D1990" t="inlineStr">
        <is>
          <t>VÄRMLANDS LÄN</t>
        </is>
      </c>
      <c r="E1990" t="inlineStr">
        <is>
          <t>TORSBY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14301-2025</t>
        </is>
      </c>
      <c r="B1991" s="1" t="n">
        <v>45740</v>
      </c>
      <c r="C1991" s="1" t="n">
        <v>45989</v>
      </c>
      <c r="D1991" t="inlineStr">
        <is>
          <t>VÄRMLANDS LÄN</t>
        </is>
      </c>
      <c r="E1991" t="inlineStr">
        <is>
          <t>TORSBY</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19787-2025</t>
        </is>
      </c>
      <c r="B1992" s="1" t="n">
        <v>45771.4408912037</v>
      </c>
      <c r="C1992" s="1" t="n">
        <v>45989</v>
      </c>
      <c r="D1992" t="inlineStr">
        <is>
          <t>VÄRMLANDS LÄN</t>
        </is>
      </c>
      <c r="E1992" t="inlineStr">
        <is>
          <t>TORSBY</t>
        </is>
      </c>
      <c r="F1992" t="inlineStr">
        <is>
          <t>Bergvik skog väst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3326-2024</t>
        </is>
      </c>
      <c r="B1993" s="1" t="n">
        <v>45317</v>
      </c>
      <c r="C1993" s="1" t="n">
        <v>45989</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55808-2024</t>
        </is>
      </c>
      <c r="B1994" s="1" t="n">
        <v>45622</v>
      </c>
      <c r="C1994" s="1" t="n">
        <v>45989</v>
      </c>
      <c r="D1994" t="inlineStr">
        <is>
          <t>VÄRMLANDS LÄN</t>
        </is>
      </c>
      <c r="E1994" t="inlineStr">
        <is>
          <t>TORSBY</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39567-2024</t>
        </is>
      </c>
      <c r="B1995" s="1" t="n">
        <v>45552.3584375</v>
      </c>
      <c r="C1995" s="1" t="n">
        <v>45989</v>
      </c>
      <c r="D1995" t="inlineStr">
        <is>
          <t>VÄRMLANDS LÄN</t>
        </is>
      </c>
      <c r="E1995" t="inlineStr">
        <is>
          <t>TORSBY</t>
        </is>
      </c>
      <c r="F1995" t="inlineStr">
        <is>
          <t>Bergvik skog väst AB</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18344-2021</t>
        </is>
      </c>
      <c r="B1996" s="1" t="n">
        <v>44305</v>
      </c>
      <c r="C1996" s="1" t="n">
        <v>45989</v>
      </c>
      <c r="D1996" t="inlineStr">
        <is>
          <t>VÄRMLANDS LÄN</t>
        </is>
      </c>
      <c r="E1996" t="inlineStr">
        <is>
          <t>TORSBY</t>
        </is>
      </c>
      <c r="F1996" t="inlineStr">
        <is>
          <t>Kommuner</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54306-2024</t>
        </is>
      </c>
      <c r="B1997" s="1" t="n">
        <v>45617</v>
      </c>
      <c r="C1997" s="1" t="n">
        <v>45989</v>
      </c>
      <c r="D1997" t="inlineStr">
        <is>
          <t>VÄRMLANDS LÄN</t>
        </is>
      </c>
      <c r="E1997" t="inlineStr">
        <is>
          <t>TORSBY</t>
        </is>
      </c>
      <c r="F1997" t="inlineStr">
        <is>
          <t>Bergvik skog väst AB</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21587-2024</t>
        </is>
      </c>
      <c r="B1998" s="1" t="n">
        <v>45441</v>
      </c>
      <c r="C1998" s="1" t="n">
        <v>45989</v>
      </c>
      <c r="D1998" t="inlineStr">
        <is>
          <t>VÄRMLANDS LÄN</t>
        </is>
      </c>
      <c r="E1998" t="inlineStr">
        <is>
          <t>TORSBY</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9578-2023</t>
        </is>
      </c>
      <c r="B1999" s="1" t="n">
        <v>44982.69790509259</v>
      </c>
      <c r="C1999" s="1" t="n">
        <v>45989</v>
      </c>
      <c r="D1999" t="inlineStr">
        <is>
          <t>VÄRMLANDS LÄN</t>
        </is>
      </c>
      <c r="E1999" t="inlineStr">
        <is>
          <t>TORSBY</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20120-2023</t>
        </is>
      </c>
      <c r="B2000" s="1" t="n">
        <v>45055</v>
      </c>
      <c r="C2000" s="1" t="n">
        <v>45989</v>
      </c>
      <c r="D2000" t="inlineStr">
        <is>
          <t>VÄRMLANDS LÄN</t>
        </is>
      </c>
      <c r="E2000" t="inlineStr">
        <is>
          <t>TORSBY</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54265-2024</t>
        </is>
      </c>
      <c r="B2001" s="1" t="n">
        <v>45616</v>
      </c>
      <c r="C2001" s="1" t="n">
        <v>45989</v>
      </c>
      <c r="D2001" t="inlineStr">
        <is>
          <t>VÄRMLANDS LÄN</t>
        </is>
      </c>
      <c r="E2001" t="inlineStr">
        <is>
          <t>TORSBY</t>
        </is>
      </c>
      <c r="F2001" t="inlineStr">
        <is>
          <t>Kommuner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6534-2025</t>
        </is>
      </c>
      <c r="B2002" s="1" t="n">
        <v>45699</v>
      </c>
      <c r="C2002" s="1" t="n">
        <v>45989</v>
      </c>
      <c r="D2002" t="inlineStr">
        <is>
          <t>VÄRMLANDS LÄN</t>
        </is>
      </c>
      <c r="E2002" t="inlineStr">
        <is>
          <t>TORSBY</t>
        </is>
      </c>
      <c r="F2002" t="inlineStr">
        <is>
          <t>Kommuner</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20321-2023</t>
        </is>
      </c>
      <c r="B2003" s="1" t="n">
        <v>45056.45232638889</v>
      </c>
      <c r="C2003" s="1" t="n">
        <v>45989</v>
      </c>
      <c r="D2003" t="inlineStr">
        <is>
          <t>VÄRMLANDS LÄN</t>
        </is>
      </c>
      <c r="E2003" t="inlineStr">
        <is>
          <t>TORSBY</t>
        </is>
      </c>
      <c r="F2003" t="inlineStr">
        <is>
          <t>Kyrkan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17944-2021</t>
        </is>
      </c>
      <c r="B2004" s="1" t="n">
        <v>44301</v>
      </c>
      <c r="C2004" s="1" t="n">
        <v>45989</v>
      </c>
      <c r="D2004" t="inlineStr">
        <is>
          <t>VÄRMLANDS LÄN</t>
        </is>
      </c>
      <c r="E2004" t="inlineStr">
        <is>
          <t>TORSBY</t>
        </is>
      </c>
      <c r="F2004" t="inlineStr">
        <is>
          <t>Kommuner</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57642-2023</t>
        </is>
      </c>
      <c r="B2005" s="1" t="n">
        <v>45246.5915625</v>
      </c>
      <c r="C2005" s="1" t="n">
        <v>45989</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8033-2022</t>
        </is>
      </c>
      <c r="B2006" s="1" t="n">
        <v>44609.43644675926</v>
      </c>
      <c r="C2006" s="1" t="n">
        <v>45989</v>
      </c>
      <c r="D2006" t="inlineStr">
        <is>
          <t>VÄRMLANDS LÄN</t>
        </is>
      </c>
      <c r="E2006" t="inlineStr">
        <is>
          <t>TORSBY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22973-2024</t>
        </is>
      </c>
      <c r="B2007" s="1" t="n">
        <v>45449</v>
      </c>
      <c r="C2007" s="1" t="n">
        <v>45989</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34378-2022</t>
        </is>
      </c>
      <c r="B2008" s="1" t="n">
        <v>44792.48787037037</v>
      </c>
      <c r="C2008" s="1" t="n">
        <v>45989</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17024-2024</t>
        </is>
      </c>
      <c r="B2009" s="1" t="n">
        <v>45412.38322916667</v>
      </c>
      <c r="C2009" s="1" t="n">
        <v>45989</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15052-2024</t>
        </is>
      </c>
      <c r="B2010" s="1" t="n">
        <v>45399.52613425926</v>
      </c>
      <c r="C2010" s="1" t="n">
        <v>45989</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38467-2021</t>
        </is>
      </c>
      <c r="B2011" s="1" t="n">
        <v>44405</v>
      </c>
      <c r="C2011" s="1" t="n">
        <v>45989</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11135-2024</t>
        </is>
      </c>
      <c r="B2012" s="1" t="n">
        <v>45371</v>
      </c>
      <c r="C2012" s="1" t="n">
        <v>45989</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23423-2024</t>
        </is>
      </c>
      <c r="B2013" s="1" t="n">
        <v>45453.60787037037</v>
      </c>
      <c r="C2013" s="1" t="n">
        <v>45989</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18365-2025</t>
        </is>
      </c>
      <c r="B2014" s="1" t="n">
        <v>45762</v>
      </c>
      <c r="C2014" s="1" t="n">
        <v>45989</v>
      </c>
      <c r="D2014" t="inlineStr">
        <is>
          <t>VÄRMLANDS LÄN</t>
        </is>
      </c>
      <c r="E2014" t="inlineStr">
        <is>
          <t>TORSBY</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40997-2022</t>
        </is>
      </c>
      <c r="B2015" s="1" t="n">
        <v>44825.50576388889</v>
      </c>
      <c r="C2015" s="1" t="n">
        <v>45989</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4172-2022</t>
        </is>
      </c>
      <c r="B2016" s="1" t="n">
        <v>44588</v>
      </c>
      <c r="C2016" s="1" t="n">
        <v>45989</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21825-2024</t>
        </is>
      </c>
      <c r="B2017" s="1" t="n">
        <v>45442</v>
      </c>
      <c r="C2017" s="1" t="n">
        <v>45989</v>
      </c>
      <c r="D2017" t="inlineStr">
        <is>
          <t>VÄRMLANDS LÄN</t>
        </is>
      </c>
      <c r="E2017" t="inlineStr">
        <is>
          <t>TORSBY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15019-2025</t>
        </is>
      </c>
      <c r="B2018" s="1" t="n">
        <v>45743.63811342593</v>
      </c>
      <c r="C2018" s="1" t="n">
        <v>45989</v>
      </c>
      <c r="D2018" t="inlineStr">
        <is>
          <t>VÄRMLANDS LÄN</t>
        </is>
      </c>
      <c r="E2018" t="inlineStr">
        <is>
          <t>TORSBY</t>
        </is>
      </c>
      <c r="F2018" t="inlineStr">
        <is>
          <t>Övriga statliga verk och myndigheter</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57536-2024</t>
        </is>
      </c>
      <c r="B2019" s="1" t="n">
        <v>45630.43023148148</v>
      </c>
      <c r="C2019" s="1" t="n">
        <v>45989</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40858-2023</t>
        </is>
      </c>
      <c r="B2020" s="1" t="n">
        <v>45173.34709490741</v>
      </c>
      <c r="C2020" s="1" t="n">
        <v>45989</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21076-2023</t>
        </is>
      </c>
      <c r="B2021" s="1" t="n">
        <v>45061</v>
      </c>
      <c r="C2021" s="1" t="n">
        <v>45989</v>
      </c>
      <c r="D2021" t="inlineStr">
        <is>
          <t>VÄRMLANDS LÄN</t>
        </is>
      </c>
      <c r="E2021" t="inlineStr">
        <is>
          <t>TORSBY</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11235-2024</t>
        </is>
      </c>
      <c r="B2022" s="1" t="n">
        <v>45371</v>
      </c>
      <c r="C2022" s="1" t="n">
        <v>45989</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11253-2024</t>
        </is>
      </c>
      <c r="B2023" s="1" t="n">
        <v>45371</v>
      </c>
      <c r="C2023" s="1" t="n">
        <v>45989</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47241-2023</t>
        </is>
      </c>
      <c r="B2024" s="1" t="n">
        <v>45202.39821759259</v>
      </c>
      <c r="C2024" s="1" t="n">
        <v>45989</v>
      </c>
      <c r="D2024" t="inlineStr">
        <is>
          <t>VÄRMLANDS LÄN</t>
        </is>
      </c>
      <c r="E2024" t="inlineStr">
        <is>
          <t>TORSBY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11211-2024</t>
        </is>
      </c>
      <c r="B2025" s="1" t="n">
        <v>45371</v>
      </c>
      <c r="C2025" s="1" t="n">
        <v>45989</v>
      </c>
      <c r="D2025" t="inlineStr">
        <is>
          <t>VÄRMLANDS LÄN</t>
        </is>
      </c>
      <c r="E2025" t="inlineStr">
        <is>
          <t>TORSBY</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5830-2023</t>
        </is>
      </c>
      <c r="B2026" s="1" t="n">
        <v>44963</v>
      </c>
      <c r="C2026" s="1" t="n">
        <v>45989</v>
      </c>
      <c r="D2026" t="inlineStr">
        <is>
          <t>VÄRMLANDS LÄN</t>
        </is>
      </c>
      <c r="E2026" t="inlineStr">
        <is>
          <t>TORSBY</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57721-2022</t>
        </is>
      </c>
      <c r="B2027" s="1" t="n">
        <v>44897.55278935185</v>
      </c>
      <c r="C2027" s="1" t="n">
        <v>45989</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19887-2024</t>
        </is>
      </c>
      <c r="B2028" s="1" t="n">
        <v>45433</v>
      </c>
      <c r="C2028" s="1" t="n">
        <v>45989</v>
      </c>
      <c r="D2028" t="inlineStr">
        <is>
          <t>VÄRMLANDS LÄN</t>
        </is>
      </c>
      <c r="E2028" t="inlineStr">
        <is>
          <t>TORSBY</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4640-2022</t>
        </is>
      </c>
      <c r="B2029" s="1" t="n">
        <v>44592</v>
      </c>
      <c r="C2029" s="1" t="n">
        <v>45989</v>
      </c>
      <c r="D2029" t="inlineStr">
        <is>
          <t>VÄRMLANDS LÄN</t>
        </is>
      </c>
      <c r="E2029" t="inlineStr">
        <is>
          <t>TORSBY</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18876-2023</t>
        </is>
      </c>
      <c r="B2030" s="1" t="n">
        <v>45044.50101851852</v>
      </c>
      <c r="C2030" s="1" t="n">
        <v>45989</v>
      </c>
      <c r="D2030" t="inlineStr">
        <is>
          <t>VÄRMLANDS LÄN</t>
        </is>
      </c>
      <c r="E2030" t="inlineStr">
        <is>
          <t>TORSBY</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27347-2024</t>
        </is>
      </c>
      <c r="B2031" s="1" t="n">
        <v>45473.59798611111</v>
      </c>
      <c r="C2031" s="1" t="n">
        <v>45989</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16210-2025</t>
        </is>
      </c>
      <c r="B2032" s="1" t="n">
        <v>45750</v>
      </c>
      <c r="C2032" s="1" t="n">
        <v>45989</v>
      </c>
      <c r="D2032" t="inlineStr">
        <is>
          <t>VÄRMLANDS LÄN</t>
        </is>
      </c>
      <c r="E2032" t="inlineStr">
        <is>
          <t>TORSBY</t>
        </is>
      </c>
      <c r="F2032" t="inlineStr">
        <is>
          <t>Bergvik skog väst AB</t>
        </is>
      </c>
      <c r="G2032" t="n">
        <v>10.7</v>
      </c>
      <c r="H2032" t="n">
        <v>0</v>
      </c>
      <c r="I2032" t="n">
        <v>0</v>
      </c>
      <c r="J2032" t="n">
        <v>0</v>
      </c>
      <c r="K2032" t="n">
        <v>0</v>
      </c>
      <c r="L2032" t="n">
        <v>0</v>
      </c>
      <c r="M2032" t="n">
        <v>0</v>
      </c>
      <c r="N2032" t="n">
        <v>0</v>
      </c>
      <c r="O2032" t="n">
        <v>0</v>
      </c>
      <c r="P2032" t="n">
        <v>0</v>
      </c>
      <c r="Q2032" t="n">
        <v>0</v>
      </c>
      <c r="R2032" s="2" t="inlineStr"/>
    </row>
    <row r="2033" ht="15" customHeight="1">
      <c r="A2033" t="inlineStr">
        <is>
          <t>A 9056-2023</t>
        </is>
      </c>
      <c r="B2033" s="1" t="n">
        <v>44979</v>
      </c>
      <c r="C2033" s="1" t="n">
        <v>45989</v>
      </c>
      <c r="D2033" t="inlineStr">
        <is>
          <t>VÄRMLANDS LÄN</t>
        </is>
      </c>
      <c r="E2033" t="inlineStr">
        <is>
          <t>TORSBY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58869-2022</t>
        </is>
      </c>
      <c r="B2034" s="1" t="n">
        <v>44903</v>
      </c>
      <c r="C2034" s="1" t="n">
        <v>45989</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1275-2024</t>
        </is>
      </c>
      <c r="B2035" s="1" t="n">
        <v>45302</v>
      </c>
      <c r="C2035" s="1" t="n">
        <v>45989</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44838-2024</t>
        </is>
      </c>
      <c r="B2036" s="1" t="n">
        <v>45574.7069675926</v>
      </c>
      <c r="C2036" s="1" t="n">
        <v>45989</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41156-2023</t>
        </is>
      </c>
      <c r="B2037" s="1" t="n">
        <v>45174</v>
      </c>
      <c r="C2037" s="1" t="n">
        <v>45989</v>
      </c>
      <c r="D2037" t="inlineStr">
        <is>
          <t>VÄRMLANDS LÄN</t>
        </is>
      </c>
      <c r="E2037" t="inlineStr">
        <is>
          <t>TORSBY</t>
        </is>
      </c>
      <c r="F2037" t="inlineStr">
        <is>
          <t>Kyrkan</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60796-2024</t>
        </is>
      </c>
      <c r="B2038" s="1" t="n">
        <v>45642</v>
      </c>
      <c r="C2038" s="1" t="n">
        <v>45989</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11575-2024</t>
        </is>
      </c>
      <c r="B2039" s="1" t="n">
        <v>45373</v>
      </c>
      <c r="C2039" s="1" t="n">
        <v>45989</v>
      </c>
      <c r="D2039" t="inlineStr">
        <is>
          <t>VÄRMLANDS LÄN</t>
        </is>
      </c>
      <c r="E2039" t="inlineStr">
        <is>
          <t>TORSBY</t>
        </is>
      </c>
      <c r="G2039" t="n">
        <v>14.2</v>
      </c>
      <c r="H2039" t="n">
        <v>0</v>
      </c>
      <c r="I2039" t="n">
        <v>0</v>
      </c>
      <c r="J2039" t="n">
        <v>0</v>
      </c>
      <c r="K2039" t="n">
        <v>0</v>
      </c>
      <c r="L2039" t="n">
        <v>0</v>
      </c>
      <c r="M2039" t="n">
        <v>0</v>
      </c>
      <c r="N2039" t="n">
        <v>0</v>
      </c>
      <c r="O2039" t="n">
        <v>0</v>
      </c>
      <c r="P2039" t="n">
        <v>0</v>
      </c>
      <c r="Q2039" t="n">
        <v>0</v>
      </c>
      <c r="R2039" s="2" t="inlineStr"/>
    </row>
    <row r="2040" ht="15" customHeight="1">
      <c r="A2040" t="inlineStr">
        <is>
          <t>A 57726-2022</t>
        </is>
      </c>
      <c r="B2040" s="1" t="n">
        <v>44897.56420138889</v>
      </c>
      <c r="C2040" s="1" t="n">
        <v>45989</v>
      </c>
      <c r="D2040" t="inlineStr">
        <is>
          <t>VÄRMLANDS LÄN</t>
        </is>
      </c>
      <c r="E2040" t="inlineStr">
        <is>
          <t>TORSBY</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36879-2024</t>
        </is>
      </c>
      <c r="B2041" s="1" t="n">
        <v>45538</v>
      </c>
      <c r="C2041" s="1" t="n">
        <v>45989</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51386-2023</t>
        </is>
      </c>
      <c r="B2042" s="1" t="n">
        <v>45219.65394675926</v>
      </c>
      <c r="C2042" s="1" t="n">
        <v>45989</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38914-2022</t>
        </is>
      </c>
      <c r="B2043" s="1" t="n">
        <v>44816.61194444444</v>
      </c>
      <c r="C2043" s="1" t="n">
        <v>45989</v>
      </c>
      <c r="D2043" t="inlineStr">
        <is>
          <t>VÄRMLANDS LÄN</t>
        </is>
      </c>
      <c r="E2043" t="inlineStr">
        <is>
          <t>TORSBY</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1997-2025</t>
        </is>
      </c>
      <c r="B2044" s="1" t="n">
        <v>45672.44431712963</v>
      </c>
      <c r="C2044" s="1" t="n">
        <v>45989</v>
      </c>
      <c r="D2044" t="inlineStr">
        <is>
          <t>VÄRMLANDS LÄN</t>
        </is>
      </c>
      <c r="E2044" t="inlineStr">
        <is>
          <t>TORSBY</t>
        </is>
      </c>
      <c r="G2044" t="n">
        <v>20.1</v>
      </c>
      <c r="H2044" t="n">
        <v>0</v>
      </c>
      <c r="I2044" t="n">
        <v>0</v>
      </c>
      <c r="J2044" t="n">
        <v>0</v>
      </c>
      <c r="K2044" t="n">
        <v>0</v>
      </c>
      <c r="L2044" t="n">
        <v>0</v>
      </c>
      <c r="M2044" t="n">
        <v>0</v>
      </c>
      <c r="N2044" t="n">
        <v>0</v>
      </c>
      <c r="O2044" t="n">
        <v>0</v>
      </c>
      <c r="P2044" t="n">
        <v>0</v>
      </c>
      <c r="Q2044" t="n">
        <v>0</v>
      </c>
      <c r="R2044" s="2" t="inlineStr"/>
    </row>
    <row r="2045" ht="15" customHeight="1">
      <c r="A2045" t="inlineStr">
        <is>
          <t>A 1947-2023</t>
        </is>
      </c>
      <c r="B2045" s="1" t="n">
        <v>44939</v>
      </c>
      <c r="C2045" s="1" t="n">
        <v>45989</v>
      </c>
      <c r="D2045" t="inlineStr">
        <is>
          <t>VÄRMLANDS LÄN</t>
        </is>
      </c>
      <c r="E2045" t="inlineStr">
        <is>
          <t>TORSBY</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14026-2025</t>
        </is>
      </c>
      <c r="B2046" s="1" t="n">
        <v>45740.35003472222</v>
      </c>
      <c r="C2046" s="1" t="n">
        <v>45989</v>
      </c>
      <c r="D2046" t="inlineStr">
        <is>
          <t>VÄRMLANDS LÄN</t>
        </is>
      </c>
      <c r="E2046" t="inlineStr">
        <is>
          <t>TORSBY</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42615-2021</t>
        </is>
      </c>
      <c r="B2047" s="1" t="n">
        <v>44428</v>
      </c>
      <c r="C2047" s="1" t="n">
        <v>45989</v>
      </c>
      <c r="D2047" t="inlineStr">
        <is>
          <t>VÄRMLANDS LÄN</t>
        </is>
      </c>
      <c r="E2047" t="inlineStr">
        <is>
          <t>TORSBY</t>
        </is>
      </c>
      <c r="F2047" t="inlineStr">
        <is>
          <t>Bergvik skog väst AB</t>
        </is>
      </c>
      <c r="G2047" t="n">
        <v>37.2</v>
      </c>
      <c r="H2047" t="n">
        <v>0</v>
      </c>
      <c r="I2047" t="n">
        <v>0</v>
      </c>
      <c r="J2047" t="n">
        <v>0</v>
      </c>
      <c r="K2047" t="n">
        <v>0</v>
      </c>
      <c r="L2047" t="n">
        <v>0</v>
      </c>
      <c r="M2047" t="n">
        <v>0</v>
      </c>
      <c r="N2047" t="n">
        <v>0</v>
      </c>
      <c r="O2047" t="n">
        <v>0</v>
      </c>
      <c r="P2047" t="n">
        <v>0</v>
      </c>
      <c r="Q2047" t="n">
        <v>0</v>
      </c>
      <c r="R2047" s="2" t="inlineStr"/>
    </row>
    <row r="2048" ht="15" customHeight="1">
      <c r="A2048" t="inlineStr">
        <is>
          <t>A 54489-2024</t>
        </is>
      </c>
      <c r="B2048" s="1" t="n">
        <v>45617.56674768519</v>
      </c>
      <c r="C2048" s="1" t="n">
        <v>45989</v>
      </c>
      <c r="D2048" t="inlineStr">
        <is>
          <t>VÄRMLANDS LÄN</t>
        </is>
      </c>
      <c r="E2048" t="inlineStr">
        <is>
          <t>TORSBY</t>
        </is>
      </c>
      <c r="F2048" t="inlineStr">
        <is>
          <t>Bergvik skog väst AB</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44670-2023</t>
        </is>
      </c>
      <c r="B2049" s="1" t="n">
        <v>45189</v>
      </c>
      <c r="C2049" s="1" t="n">
        <v>45989</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53652-2023</t>
        </is>
      </c>
      <c r="B2050" s="1" t="n">
        <v>45224</v>
      </c>
      <c r="C2050" s="1" t="n">
        <v>45989</v>
      </c>
      <c r="D2050" t="inlineStr">
        <is>
          <t>VÄRMLANDS LÄN</t>
        </is>
      </c>
      <c r="E2050" t="inlineStr">
        <is>
          <t>TORSBY</t>
        </is>
      </c>
      <c r="F2050" t="inlineStr">
        <is>
          <t>Övriga statliga verk och myndigheter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40971-2023</t>
        </is>
      </c>
      <c r="B2051" s="1" t="n">
        <v>45173</v>
      </c>
      <c r="C2051" s="1" t="n">
        <v>45989</v>
      </c>
      <c r="D2051" t="inlineStr">
        <is>
          <t>VÄRMLANDS LÄN</t>
        </is>
      </c>
      <c r="E2051" t="inlineStr">
        <is>
          <t>TORSBY</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8728-2024</t>
        </is>
      </c>
      <c r="B2052" s="1" t="n">
        <v>45356.42799768518</v>
      </c>
      <c r="C2052" s="1" t="n">
        <v>45989</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9704-2025</t>
        </is>
      </c>
      <c r="B2053" s="1" t="n">
        <v>45716.38378472222</v>
      </c>
      <c r="C2053" s="1" t="n">
        <v>45989</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60477-2024</t>
        </is>
      </c>
      <c r="B2054" s="1" t="n">
        <v>45643</v>
      </c>
      <c r="C2054" s="1" t="n">
        <v>45989</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58727-2021</t>
        </is>
      </c>
      <c r="B2055" s="1" t="n">
        <v>44489.49052083334</v>
      </c>
      <c r="C2055" s="1" t="n">
        <v>45989</v>
      </c>
      <c r="D2055" t="inlineStr">
        <is>
          <t>VÄRMLANDS LÄN</t>
        </is>
      </c>
      <c r="E2055" t="inlineStr">
        <is>
          <t>TORSBY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9286-2025</t>
        </is>
      </c>
      <c r="B2056" s="1" t="n">
        <v>45714</v>
      </c>
      <c r="C2056" s="1" t="n">
        <v>45989</v>
      </c>
      <c r="D2056" t="inlineStr">
        <is>
          <t>VÄRMLANDS LÄN</t>
        </is>
      </c>
      <c r="E2056" t="inlineStr">
        <is>
          <t>TORSBY</t>
        </is>
      </c>
      <c r="F2056" t="inlineStr">
        <is>
          <t>Kommuner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13785-2023</t>
        </is>
      </c>
      <c r="B2057" s="1" t="n">
        <v>45007</v>
      </c>
      <c r="C2057" s="1" t="n">
        <v>45989</v>
      </c>
      <c r="D2057" t="inlineStr">
        <is>
          <t>VÄRMLANDS LÄN</t>
        </is>
      </c>
      <c r="E2057" t="inlineStr">
        <is>
          <t>TORSBY</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44423-2024</t>
        </is>
      </c>
      <c r="B2058" s="1" t="n">
        <v>45573</v>
      </c>
      <c r="C2058" s="1" t="n">
        <v>45989</v>
      </c>
      <c r="D2058" t="inlineStr">
        <is>
          <t>VÄRMLANDS LÄN</t>
        </is>
      </c>
      <c r="E2058" t="inlineStr">
        <is>
          <t>TORSBY</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15154-2025</t>
        </is>
      </c>
      <c r="B2059" s="1" t="n">
        <v>45744.46157407408</v>
      </c>
      <c r="C2059" s="1" t="n">
        <v>45989</v>
      </c>
      <c r="D2059" t="inlineStr">
        <is>
          <t>VÄRMLANDS LÄN</t>
        </is>
      </c>
      <c r="E2059" t="inlineStr">
        <is>
          <t>TORSBY</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35777-2024</t>
        </is>
      </c>
      <c r="B2060" s="1" t="n">
        <v>45532</v>
      </c>
      <c r="C2060" s="1" t="n">
        <v>45989</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8979-2025</t>
        </is>
      </c>
      <c r="B2061" s="1" t="n">
        <v>45713</v>
      </c>
      <c r="C2061" s="1" t="n">
        <v>45989</v>
      </c>
      <c r="D2061" t="inlineStr">
        <is>
          <t>VÄRMLANDS LÄN</t>
        </is>
      </c>
      <c r="E2061" t="inlineStr">
        <is>
          <t>TORSBY</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62210-2023</t>
        </is>
      </c>
      <c r="B2062" s="1" t="n">
        <v>45267.49430555556</v>
      </c>
      <c r="C2062" s="1" t="n">
        <v>45989</v>
      </c>
      <c r="D2062" t="inlineStr">
        <is>
          <t>VÄRMLANDS LÄN</t>
        </is>
      </c>
      <c r="E2062" t="inlineStr">
        <is>
          <t>TORSBY</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56811-2023</t>
        </is>
      </c>
      <c r="B2063" s="1" t="n">
        <v>45244</v>
      </c>
      <c r="C2063" s="1" t="n">
        <v>45989</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16949-2025</t>
        </is>
      </c>
      <c r="B2064" s="1" t="n">
        <v>45755</v>
      </c>
      <c r="C2064" s="1" t="n">
        <v>45989</v>
      </c>
      <c r="D2064" t="inlineStr">
        <is>
          <t>VÄRMLANDS LÄN</t>
        </is>
      </c>
      <c r="E2064" t="inlineStr">
        <is>
          <t>TORSBY</t>
        </is>
      </c>
      <c r="F2064" t="inlineStr">
        <is>
          <t>Bergvik skog väst AB</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27346-2024</t>
        </is>
      </c>
      <c r="B2065" s="1" t="n">
        <v>45473.58984953703</v>
      </c>
      <c r="C2065" s="1" t="n">
        <v>45989</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27349-2024</t>
        </is>
      </c>
      <c r="B2066" s="1" t="n">
        <v>45473.65679398148</v>
      </c>
      <c r="C2066" s="1" t="n">
        <v>45989</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45548-2024</t>
        </is>
      </c>
      <c r="B2067" s="1" t="n">
        <v>45579</v>
      </c>
      <c r="C2067" s="1" t="n">
        <v>45989</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17554-2023</t>
        </is>
      </c>
      <c r="B2068" s="1" t="n">
        <v>45034</v>
      </c>
      <c r="C2068" s="1" t="n">
        <v>45989</v>
      </c>
      <c r="D2068" t="inlineStr">
        <is>
          <t>VÄRMLANDS LÄN</t>
        </is>
      </c>
      <c r="E2068" t="inlineStr">
        <is>
          <t>TORSBY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13262-2024</t>
        </is>
      </c>
      <c r="B2069" s="1" t="n">
        <v>45386.59236111111</v>
      </c>
      <c r="C2069" s="1" t="n">
        <v>45989</v>
      </c>
      <c r="D2069" t="inlineStr">
        <is>
          <t>VÄRMLANDS LÄN</t>
        </is>
      </c>
      <c r="E2069" t="inlineStr">
        <is>
          <t>TORSBY</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9793-2024</t>
        </is>
      </c>
      <c r="B2070" s="1" t="n">
        <v>45362.71013888889</v>
      </c>
      <c r="C2070" s="1" t="n">
        <v>45989</v>
      </c>
      <c r="D2070" t="inlineStr">
        <is>
          <t>VÄRMLANDS LÄN</t>
        </is>
      </c>
      <c r="E2070" t="inlineStr">
        <is>
          <t>TORSBY</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200-2025</t>
        </is>
      </c>
      <c r="B2071" s="1" t="n">
        <v>45659.93418981481</v>
      </c>
      <c r="C2071" s="1" t="n">
        <v>45989</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2009-2025</t>
        </is>
      </c>
      <c r="B2072" s="1" t="n">
        <v>45672</v>
      </c>
      <c r="C2072" s="1" t="n">
        <v>45989</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13191-2025</t>
        </is>
      </c>
      <c r="B2073" s="1" t="n">
        <v>45735.40501157408</v>
      </c>
      <c r="C2073" s="1" t="n">
        <v>45989</v>
      </c>
      <c r="D2073" t="inlineStr">
        <is>
          <t>VÄRMLANDS LÄN</t>
        </is>
      </c>
      <c r="E2073" t="inlineStr">
        <is>
          <t>TORSBY</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38100-2024</t>
        </is>
      </c>
      <c r="B2074" s="1" t="n">
        <v>45545</v>
      </c>
      <c r="C2074" s="1" t="n">
        <v>45989</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4231-2024</t>
        </is>
      </c>
      <c r="B2075" s="1" t="n">
        <v>45324.42771990741</v>
      </c>
      <c r="C2075" s="1" t="n">
        <v>45989</v>
      </c>
      <c r="D2075" t="inlineStr">
        <is>
          <t>VÄRMLANDS LÄN</t>
        </is>
      </c>
      <c r="E2075" t="inlineStr">
        <is>
          <t>TORSBY</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18883-2024</t>
        </is>
      </c>
      <c r="B2076" s="1" t="n">
        <v>45426</v>
      </c>
      <c r="C2076" s="1" t="n">
        <v>45989</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7643-2025</t>
        </is>
      </c>
      <c r="B2077" s="1" t="n">
        <v>45705.78703703704</v>
      </c>
      <c r="C2077" s="1" t="n">
        <v>45989</v>
      </c>
      <c r="D2077" t="inlineStr">
        <is>
          <t>VÄRMLANDS LÄN</t>
        </is>
      </c>
      <c r="E2077" t="inlineStr">
        <is>
          <t>TORSBY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53331-2024</t>
        </is>
      </c>
      <c r="B2078" s="1" t="n">
        <v>45614</v>
      </c>
      <c r="C2078" s="1" t="n">
        <v>45989</v>
      </c>
      <c r="D2078" t="inlineStr">
        <is>
          <t>VÄRMLANDS LÄN</t>
        </is>
      </c>
      <c r="E2078" t="inlineStr">
        <is>
          <t>TORSBY</t>
        </is>
      </c>
      <c r="F2078" t="inlineStr">
        <is>
          <t>Bergvik skog väst AB</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18480-2025</t>
        </is>
      </c>
      <c r="B2079" s="1" t="n">
        <v>45762.9171412037</v>
      </c>
      <c r="C2079" s="1" t="n">
        <v>45989</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492-2025</t>
        </is>
      </c>
      <c r="B2080" s="1" t="n">
        <v>45664.46337962963</v>
      </c>
      <c r="C2080" s="1" t="n">
        <v>45989</v>
      </c>
      <c r="D2080" t="inlineStr">
        <is>
          <t>VÄRMLANDS LÄN</t>
        </is>
      </c>
      <c r="E2080" t="inlineStr">
        <is>
          <t>TORSBY</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36775-2024</t>
        </is>
      </c>
      <c r="B2081" s="1" t="n">
        <v>45538</v>
      </c>
      <c r="C2081" s="1" t="n">
        <v>45989</v>
      </c>
      <c r="D2081" t="inlineStr">
        <is>
          <t>VÄRMLANDS LÄN</t>
        </is>
      </c>
      <c r="E2081" t="inlineStr">
        <is>
          <t>TORSBY</t>
        </is>
      </c>
      <c r="F2081" t="inlineStr">
        <is>
          <t>Kyrkan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53499-2023</t>
        </is>
      </c>
      <c r="B2082" s="1" t="n">
        <v>45223</v>
      </c>
      <c r="C2082" s="1" t="n">
        <v>45989</v>
      </c>
      <c r="D2082" t="inlineStr">
        <is>
          <t>VÄRMLANDS LÄN</t>
        </is>
      </c>
      <c r="E2082" t="inlineStr">
        <is>
          <t>TORSBY</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38257-2023</t>
        </is>
      </c>
      <c r="B2083" s="1" t="n">
        <v>45161.58917824074</v>
      </c>
      <c r="C2083" s="1" t="n">
        <v>45989</v>
      </c>
      <c r="D2083" t="inlineStr">
        <is>
          <t>VÄRMLANDS LÄN</t>
        </is>
      </c>
      <c r="E2083" t="inlineStr">
        <is>
          <t>TORSBY</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60525-2023</t>
        </is>
      </c>
      <c r="B2084" s="1" t="n">
        <v>45259</v>
      </c>
      <c r="C2084" s="1" t="n">
        <v>45989</v>
      </c>
      <c r="D2084" t="inlineStr">
        <is>
          <t>VÄRMLANDS LÄN</t>
        </is>
      </c>
      <c r="E2084" t="inlineStr">
        <is>
          <t>TORSBY</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4342-2025</t>
        </is>
      </c>
      <c r="B2085" s="1" t="n">
        <v>45685</v>
      </c>
      <c r="C2085" s="1" t="n">
        <v>45989</v>
      </c>
      <c r="D2085" t="inlineStr">
        <is>
          <t>VÄRMLANDS LÄN</t>
        </is>
      </c>
      <c r="E2085" t="inlineStr">
        <is>
          <t>TORSBY</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8025-2025</t>
        </is>
      </c>
      <c r="B2086" s="1" t="n">
        <v>45707</v>
      </c>
      <c r="C2086" s="1" t="n">
        <v>45989</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20740-2025</t>
        </is>
      </c>
      <c r="B2087" s="1" t="n">
        <v>45776.54284722222</v>
      </c>
      <c r="C2087" s="1" t="n">
        <v>45989</v>
      </c>
      <c r="D2087" t="inlineStr">
        <is>
          <t>VÄRMLANDS LÄN</t>
        </is>
      </c>
      <c r="E2087" t="inlineStr">
        <is>
          <t>TORSBY</t>
        </is>
      </c>
      <c r="F2087" t="inlineStr">
        <is>
          <t>Bergvik skog väst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20816-2025</t>
        </is>
      </c>
      <c r="B2088" s="1" t="n">
        <v>45776</v>
      </c>
      <c r="C2088" s="1" t="n">
        <v>45989</v>
      </c>
      <c r="D2088" t="inlineStr">
        <is>
          <t>VÄRMLANDS LÄN</t>
        </is>
      </c>
      <c r="E2088" t="inlineStr">
        <is>
          <t>TORSBY</t>
        </is>
      </c>
      <c r="F2088" t="inlineStr">
        <is>
          <t>Bergvik skog väst AB</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20773-2025</t>
        </is>
      </c>
      <c r="B2089" s="1" t="n">
        <v>45776.59321759259</v>
      </c>
      <c r="C2089" s="1" t="n">
        <v>45989</v>
      </c>
      <c r="D2089" t="inlineStr">
        <is>
          <t>VÄRMLANDS LÄN</t>
        </is>
      </c>
      <c r="E2089" t="inlineStr">
        <is>
          <t>TORSBY</t>
        </is>
      </c>
      <c r="F2089" t="inlineStr">
        <is>
          <t>Bergvik skog väst AB</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20843-2025</t>
        </is>
      </c>
      <c r="B2090" s="1" t="n">
        <v>45776.9233912037</v>
      </c>
      <c r="C2090" s="1" t="n">
        <v>45989</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20914-2025</t>
        </is>
      </c>
      <c r="B2091" s="1" t="n">
        <v>45777</v>
      </c>
      <c r="C2091" s="1" t="n">
        <v>45989</v>
      </c>
      <c r="D2091" t="inlineStr">
        <is>
          <t>VÄRMLANDS LÄN</t>
        </is>
      </c>
      <c r="E2091" t="inlineStr">
        <is>
          <t>TORSBY</t>
        </is>
      </c>
      <c r="F2091" t="inlineStr">
        <is>
          <t>Bergvik skog väst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21462-2025</t>
        </is>
      </c>
      <c r="B2092" s="1" t="n">
        <v>45782.56770833334</v>
      </c>
      <c r="C2092" s="1" t="n">
        <v>45989</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21274-2025</t>
        </is>
      </c>
      <c r="B2093" s="1" t="n">
        <v>45779.62877314815</v>
      </c>
      <c r="C2093" s="1" t="n">
        <v>45989</v>
      </c>
      <c r="D2093" t="inlineStr">
        <is>
          <t>VÄRMLANDS LÄN</t>
        </is>
      </c>
      <c r="E2093" t="inlineStr">
        <is>
          <t>TORSBY</t>
        </is>
      </c>
      <c r="F2093" t="inlineStr">
        <is>
          <t>Bergvik skog väst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41633-2021</t>
        </is>
      </c>
      <c r="B2094" s="1" t="n">
        <v>44425</v>
      </c>
      <c r="C2094" s="1" t="n">
        <v>45989</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21324-2025</t>
        </is>
      </c>
      <c r="B2095" s="1" t="n">
        <v>45782.34947916667</v>
      </c>
      <c r="C2095" s="1" t="n">
        <v>45989</v>
      </c>
      <c r="D2095" t="inlineStr">
        <is>
          <t>VÄRMLANDS LÄN</t>
        </is>
      </c>
      <c r="E2095" t="inlineStr">
        <is>
          <t>TORSBY</t>
        </is>
      </c>
      <c r="F2095" t="inlineStr">
        <is>
          <t>Bergvik skog väst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25313-2024</t>
        </is>
      </c>
      <c r="B2096" s="1" t="n">
        <v>45462</v>
      </c>
      <c r="C2096" s="1" t="n">
        <v>45989</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21858-2025</t>
        </is>
      </c>
      <c r="B2097" s="1" t="n">
        <v>45784.36265046296</v>
      </c>
      <c r="C2097" s="1" t="n">
        <v>45989</v>
      </c>
      <c r="D2097" t="inlineStr">
        <is>
          <t>VÄRMLANDS LÄN</t>
        </is>
      </c>
      <c r="E2097" t="inlineStr">
        <is>
          <t>TORSBY</t>
        </is>
      </c>
      <c r="F2097" t="inlineStr">
        <is>
          <t>Bergvik skog väst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21974-2025</t>
        </is>
      </c>
      <c r="B2098" s="1" t="n">
        <v>45784.63689814815</v>
      </c>
      <c r="C2098" s="1" t="n">
        <v>45989</v>
      </c>
      <c r="D2098" t="inlineStr">
        <is>
          <t>VÄRMLANDS LÄN</t>
        </is>
      </c>
      <c r="E2098" t="inlineStr">
        <is>
          <t>TORSBY</t>
        </is>
      </c>
      <c r="F2098" t="inlineStr">
        <is>
          <t>Bergvik skog väst AB</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21963-2025</t>
        </is>
      </c>
      <c r="B2099" s="1" t="n">
        <v>45784</v>
      </c>
      <c r="C2099" s="1" t="n">
        <v>45989</v>
      </c>
      <c r="D2099" t="inlineStr">
        <is>
          <t>VÄRMLANDS LÄN</t>
        </is>
      </c>
      <c r="E2099" t="inlineStr">
        <is>
          <t>TORSBY</t>
        </is>
      </c>
      <c r="F2099" t="inlineStr">
        <is>
          <t>Bergvik skog väst AB</t>
        </is>
      </c>
      <c r="G2099" t="n">
        <v>12.3</v>
      </c>
      <c r="H2099" t="n">
        <v>0</v>
      </c>
      <c r="I2099" t="n">
        <v>0</v>
      </c>
      <c r="J2099" t="n">
        <v>0</v>
      </c>
      <c r="K2099" t="n">
        <v>0</v>
      </c>
      <c r="L2099" t="n">
        <v>0</v>
      </c>
      <c r="M2099" t="n">
        <v>0</v>
      </c>
      <c r="N2099" t="n">
        <v>0</v>
      </c>
      <c r="O2099" t="n">
        <v>0</v>
      </c>
      <c r="P2099" t="n">
        <v>0</v>
      </c>
      <c r="Q2099" t="n">
        <v>0</v>
      </c>
      <c r="R2099" s="2" t="inlineStr"/>
    </row>
    <row r="2100" ht="15" customHeight="1">
      <c r="A2100" t="inlineStr">
        <is>
          <t>A 52057-2024</t>
        </is>
      </c>
      <c r="B2100" s="1" t="n">
        <v>45608</v>
      </c>
      <c r="C2100" s="1" t="n">
        <v>45989</v>
      </c>
      <c r="D2100" t="inlineStr">
        <is>
          <t>VÄRMLANDS LÄN</t>
        </is>
      </c>
      <c r="E2100" t="inlineStr">
        <is>
          <t>TORSBY</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21808-2025</t>
        </is>
      </c>
      <c r="B2101" s="1" t="n">
        <v>45783.70846064815</v>
      </c>
      <c r="C2101" s="1" t="n">
        <v>45989</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21576-2025</t>
        </is>
      </c>
      <c r="B2102" s="1" t="n">
        <v>45782.86440972222</v>
      </c>
      <c r="C2102" s="1" t="n">
        <v>45989</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21759-2025</t>
        </is>
      </c>
      <c r="B2103" s="1" t="n">
        <v>45783</v>
      </c>
      <c r="C2103" s="1" t="n">
        <v>45989</v>
      </c>
      <c r="D2103" t="inlineStr">
        <is>
          <t>VÄRMLANDS LÄN</t>
        </is>
      </c>
      <c r="E2103" t="inlineStr">
        <is>
          <t>TORSBY</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33088-2024</t>
        </is>
      </c>
      <c r="B2104" s="1" t="n">
        <v>45517</v>
      </c>
      <c r="C2104" s="1" t="n">
        <v>45989</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22269-2025</t>
        </is>
      </c>
      <c r="B2105" s="1" t="n">
        <v>45785</v>
      </c>
      <c r="C2105" s="1" t="n">
        <v>45989</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22331-2025</t>
        </is>
      </c>
      <c r="B2106" s="1" t="n">
        <v>45786</v>
      </c>
      <c r="C2106" s="1" t="n">
        <v>45989</v>
      </c>
      <c r="D2106" t="inlineStr">
        <is>
          <t>VÄRMLANDS LÄN</t>
        </is>
      </c>
      <c r="E2106" t="inlineStr">
        <is>
          <t>TORSBY</t>
        </is>
      </c>
      <c r="F2106" t="inlineStr">
        <is>
          <t>Bergvik skog väst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21744-2024</t>
        </is>
      </c>
      <c r="B2107" s="1" t="n">
        <v>45442</v>
      </c>
      <c r="C2107" s="1" t="n">
        <v>45989</v>
      </c>
      <c r="D2107" t="inlineStr">
        <is>
          <t>VÄRMLANDS LÄN</t>
        </is>
      </c>
      <c r="E2107" t="inlineStr">
        <is>
          <t>TORSBY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73874-2021</t>
        </is>
      </c>
      <c r="B2108" s="1" t="n">
        <v>44553.39755787037</v>
      </c>
      <c r="C2108" s="1" t="n">
        <v>45989</v>
      </c>
      <c r="D2108" t="inlineStr">
        <is>
          <t>VÄRMLANDS LÄN</t>
        </is>
      </c>
      <c r="E2108" t="inlineStr">
        <is>
          <t>TORSBY</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19031-2021</t>
        </is>
      </c>
      <c r="B2109" s="1" t="n">
        <v>44308.51076388889</v>
      </c>
      <c r="C2109" s="1" t="n">
        <v>45989</v>
      </c>
      <c r="D2109" t="inlineStr">
        <is>
          <t>VÄRMLANDS LÄN</t>
        </is>
      </c>
      <c r="E2109" t="inlineStr">
        <is>
          <t>TORSBY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22278-2025</t>
        </is>
      </c>
      <c r="B2110" s="1" t="n">
        <v>45786.33332175926</v>
      </c>
      <c r="C2110" s="1" t="n">
        <v>45989</v>
      </c>
      <c r="D2110" t="inlineStr">
        <is>
          <t>VÄRMLANDS LÄN</t>
        </is>
      </c>
      <c r="E2110" t="inlineStr">
        <is>
          <t>TORSBY</t>
        </is>
      </c>
      <c r="F2110" t="inlineStr">
        <is>
          <t>Bergvik skog väst AB</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22320-2025</t>
        </is>
      </c>
      <c r="B2111" s="1" t="n">
        <v>45786.40542824074</v>
      </c>
      <c r="C2111" s="1" t="n">
        <v>45989</v>
      </c>
      <c r="D2111" t="inlineStr">
        <is>
          <t>VÄRMLANDS LÄN</t>
        </is>
      </c>
      <c r="E2111" t="inlineStr">
        <is>
          <t>TORSBY</t>
        </is>
      </c>
      <c r="F2111" t="inlineStr">
        <is>
          <t>Bergvik skog väst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22339-2025</t>
        </is>
      </c>
      <c r="B2112" s="1" t="n">
        <v>45786</v>
      </c>
      <c r="C2112" s="1" t="n">
        <v>45989</v>
      </c>
      <c r="D2112" t="inlineStr">
        <is>
          <t>VÄRMLANDS LÄN</t>
        </is>
      </c>
      <c r="E2112" t="inlineStr">
        <is>
          <t>TORSBY</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20170-2021</t>
        </is>
      </c>
      <c r="B2113" s="1" t="n">
        <v>44312</v>
      </c>
      <c r="C2113" s="1" t="n">
        <v>45989</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55036-2024</t>
        </is>
      </c>
      <c r="B2114" s="1" t="n">
        <v>45621.38342592592</v>
      </c>
      <c r="C2114" s="1" t="n">
        <v>45989</v>
      </c>
      <c r="D2114" t="inlineStr">
        <is>
          <t>VÄRMLANDS LÄN</t>
        </is>
      </c>
      <c r="E2114" t="inlineStr">
        <is>
          <t>TORSBY</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6448-2025</t>
        </is>
      </c>
      <c r="B2115" s="1" t="n">
        <v>45699</v>
      </c>
      <c r="C2115" s="1" t="n">
        <v>45989</v>
      </c>
      <c r="D2115" t="inlineStr">
        <is>
          <t>VÄRMLANDS LÄN</t>
        </is>
      </c>
      <c r="E2115" t="inlineStr">
        <is>
          <t>TORSBY</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15014-2025</t>
        </is>
      </c>
      <c r="B2116" s="1" t="n">
        <v>45743</v>
      </c>
      <c r="C2116" s="1" t="n">
        <v>45989</v>
      </c>
      <c r="D2116" t="inlineStr">
        <is>
          <t>VÄRMLANDS LÄN</t>
        </is>
      </c>
      <c r="E2116" t="inlineStr">
        <is>
          <t>TORSBY</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22076-2025</t>
        </is>
      </c>
      <c r="B2117" s="1" t="n">
        <v>45785.41473379629</v>
      </c>
      <c r="C2117" s="1" t="n">
        <v>45989</v>
      </c>
      <c r="D2117" t="inlineStr">
        <is>
          <t>VÄRMLANDS LÄN</t>
        </is>
      </c>
      <c r="E2117" t="inlineStr">
        <is>
          <t>TORSBY</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22178-2025</t>
        </is>
      </c>
      <c r="B2118" s="1" t="n">
        <v>45785</v>
      </c>
      <c r="C2118" s="1" t="n">
        <v>45989</v>
      </c>
      <c r="D2118" t="inlineStr">
        <is>
          <t>VÄRMLANDS LÄN</t>
        </is>
      </c>
      <c r="E2118" t="inlineStr">
        <is>
          <t>TORSBY</t>
        </is>
      </c>
      <c r="G2118" t="n">
        <v>25.5</v>
      </c>
      <c r="H2118" t="n">
        <v>0</v>
      </c>
      <c r="I2118" t="n">
        <v>0</v>
      </c>
      <c r="J2118" t="n">
        <v>0</v>
      </c>
      <c r="K2118" t="n">
        <v>0</v>
      </c>
      <c r="L2118" t="n">
        <v>0</v>
      </c>
      <c r="M2118" t="n">
        <v>0</v>
      </c>
      <c r="N2118" t="n">
        <v>0</v>
      </c>
      <c r="O2118" t="n">
        <v>0</v>
      </c>
      <c r="P2118" t="n">
        <v>0</v>
      </c>
      <c r="Q2118" t="n">
        <v>0</v>
      </c>
      <c r="R2118" s="2" t="inlineStr"/>
    </row>
    <row r="2119" ht="15" customHeight="1">
      <c r="A2119" t="inlineStr">
        <is>
          <t>A 33085-2024</t>
        </is>
      </c>
      <c r="B2119" s="1" t="n">
        <v>45517.67784722222</v>
      </c>
      <c r="C2119" s="1" t="n">
        <v>45989</v>
      </c>
      <c r="D2119" t="inlineStr">
        <is>
          <t>VÄRMLANDS LÄN</t>
        </is>
      </c>
      <c r="E2119" t="inlineStr">
        <is>
          <t>TORSBY</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33495-2024</t>
        </is>
      </c>
      <c r="B2120" s="1" t="n">
        <v>45519</v>
      </c>
      <c r="C2120" s="1" t="n">
        <v>45989</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29897-2024</t>
        </is>
      </c>
      <c r="B2121" s="1" t="n">
        <v>45487.51834490741</v>
      </c>
      <c r="C2121" s="1" t="n">
        <v>45989</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24113-2024</t>
        </is>
      </c>
      <c r="B2122" s="1" t="n">
        <v>45456.61590277778</v>
      </c>
      <c r="C2122" s="1" t="n">
        <v>45989</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60626-2024</t>
        </is>
      </c>
      <c r="B2123" s="1" t="n">
        <v>45642</v>
      </c>
      <c r="C2123" s="1" t="n">
        <v>45989</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60207-2024</t>
        </is>
      </c>
      <c r="B2124" s="1" t="n">
        <v>45642.67428240741</v>
      </c>
      <c r="C2124" s="1" t="n">
        <v>45989</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22090-2025</t>
        </is>
      </c>
      <c r="B2125" s="1" t="n">
        <v>45785.45212962963</v>
      </c>
      <c r="C2125" s="1" t="n">
        <v>45989</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22715-2025</t>
        </is>
      </c>
      <c r="B2126" s="1" t="n">
        <v>45789.56496527778</v>
      </c>
      <c r="C2126" s="1" t="n">
        <v>45989</v>
      </c>
      <c r="D2126" t="inlineStr">
        <is>
          <t>VÄRMLANDS LÄN</t>
        </is>
      </c>
      <c r="E2126" t="inlineStr">
        <is>
          <t>TORSBY</t>
        </is>
      </c>
      <c r="F2126" t="inlineStr">
        <is>
          <t>Kyrkan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22593-2025</t>
        </is>
      </c>
      <c r="B2127" s="1" t="n">
        <v>45789.41113425926</v>
      </c>
      <c r="C2127" s="1" t="n">
        <v>45989</v>
      </c>
      <c r="D2127" t="inlineStr">
        <is>
          <t>VÄRMLANDS LÄN</t>
        </is>
      </c>
      <c r="E2127" t="inlineStr">
        <is>
          <t>TORSBY</t>
        </is>
      </c>
      <c r="F2127" t="inlineStr">
        <is>
          <t>Bergvik skog väst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7101-2025</t>
        </is>
      </c>
      <c r="B2128" s="1" t="n">
        <v>45701</v>
      </c>
      <c r="C2128" s="1" t="n">
        <v>45989</v>
      </c>
      <c r="D2128" t="inlineStr">
        <is>
          <t>VÄRMLANDS LÄN</t>
        </is>
      </c>
      <c r="E2128" t="inlineStr">
        <is>
          <t>TORSBY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22845-2025</t>
        </is>
      </c>
      <c r="B2129" s="1" t="n">
        <v>45790</v>
      </c>
      <c r="C2129" s="1" t="n">
        <v>45989</v>
      </c>
      <c r="D2129" t="inlineStr">
        <is>
          <t>VÄRMLANDS LÄN</t>
        </is>
      </c>
      <c r="E2129" t="inlineStr">
        <is>
          <t>TORSBY</t>
        </is>
      </c>
      <c r="F2129" t="inlineStr">
        <is>
          <t>Bergvik skog väst AB</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22708-2025</t>
        </is>
      </c>
      <c r="B2130" s="1" t="n">
        <v>45789.55561342592</v>
      </c>
      <c r="C2130" s="1" t="n">
        <v>45989</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22757-2025</t>
        </is>
      </c>
      <c r="B2131" s="1" t="n">
        <v>45789.61908564815</v>
      </c>
      <c r="C2131" s="1" t="n">
        <v>45989</v>
      </c>
      <c r="D2131" t="inlineStr">
        <is>
          <t>VÄRMLANDS LÄN</t>
        </is>
      </c>
      <c r="E2131" t="inlineStr">
        <is>
          <t>TORSBY</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4070-2024</t>
        </is>
      </c>
      <c r="B2132" s="1" t="n">
        <v>45323</v>
      </c>
      <c r="C2132" s="1" t="n">
        <v>45989</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22316-2025</t>
        </is>
      </c>
      <c r="B2133" s="1" t="n">
        <v>45786.39013888889</v>
      </c>
      <c r="C2133" s="1" t="n">
        <v>45989</v>
      </c>
      <c r="D2133" t="inlineStr">
        <is>
          <t>VÄRMLANDS LÄN</t>
        </is>
      </c>
      <c r="E2133" t="inlineStr">
        <is>
          <t>TORSBY</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22596-2025</t>
        </is>
      </c>
      <c r="B2134" s="1" t="n">
        <v>45789.41362268518</v>
      </c>
      <c r="C2134" s="1" t="n">
        <v>45989</v>
      </c>
      <c r="D2134" t="inlineStr">
        <is>
          <t>VÄRMLANDS LÄN</t>
        </is>
      </c>
      <c r="E2134" t="inlineStr">
        <is>
          <t>TORSBY</t>
        </is>
      </c>
      <c r="F2134" t="inlineStr">
        <is>
          <t>Bergvik skog väst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19253-2025</t>
        </is>
      </c>
      <c r="B2135" s="1" t="n">
        <v>45769</v>
      </c>
      <c r="C2135" s="1" t="n">
        <v>45989</v>
      </c>
      <c r="D2135" t="inlineStr">
        <is>
          <t>VÄRMLANDS LÄN</t>
        </is>
      </c>
      <c r="E2135" t="inlineStr">
        <is>
          <t>TORSBY</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22954-2025</t>
        </is>
      </c>
      <c r="B2136" s="1" t="n">
        <v>45790.5184375</v>
      </c>
      <c r="C2136" s="1" t="n">
        <v>45989</v>
      </c>
      <c r="D2136" t="inlineStr">
        <is>
          <t>VÄRMLANDS LÄN</t>
        </is>
      </c>
      <c r="E2136" t="inlineStr">
        <is>
          <t>TORSBY</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22760-2025</t>
        </is>
      </c>
      <c r="B2137" s="1" t="n">
        <v>45789</v>
      </c>
      <c r="C2137" s="1" t="n">
        <v>45989</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2471-2023</t>
        </is>
      </c>
      <c r="B2138" s="1" t="n">
        <v>44943.48373842592</v>
      </c>
      <c r="C2138" s="1" t="n">
        <v>45989</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30370-2023</t>
        </is>
      </c>
      <c r="B2139" s="1" t="n">
        <v>45111</v>
      </c>
      <c r="C2139" s="1" t="n">
        <v>45989</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23367-2025</t>
        </is>
      </c>
      <c r="B2140" s="1" t="n">
        <v>45791.69582175926</v>
      </c>
      <c r="C2140" s="1" t="n">
        <v>45989</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34906-2024</t>
        </is>
      </c>
      <c r="B2141" s="1" t="n">
        <v>45527</v>
      </c>
      <c r="C2141" s="1" t="n">
        <v>45989</v>
      </c>
      <c r="D2141" t="inlineStr">
        <is>
          <t>VÄRMLANDS LÄN</t>
        </is>
      </c>
      <c r="E2141" t="inlineStr">
        <is>
          <t>TORSBY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54790-2024</t>
        </is>
      </c>
      <c r="B2142" s="1" t="n">
        <v>45618</v>
      </c>
      <c r="C2142" s="1" t="n">
        <v>45989</v>
      </c>
      <c r="D2142" t="inlineStr">
        <is>
          <t>VÄRMLANDS LÄN</t>
        </is>
      </c>
      <c r="E2142" t="inlineStr">
        <is>
          <t>TORSBY</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62957-2023</t>
        </is>
      </c>
      <c r="B2143" s="1" t="n">
        <v>45271</v>
      </c>
      <c r="C2143" s="1" t="n">
        <v>45989</v>
      </c>
      <c r="D2143" t="inlineStr">
        <is>
          <t>VÄRMLANDS LÄN</t>
        </is>
      </c>
      <c r="E2143" t="inlineStr">
        <is>
          <t>TORSBY</t>
        </is>
      </c>
      <c r="F2143" t="inlineStr">
        <is>
          <t>Övriga statliga verk och myndigheter</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14575-2025</t>
        </is>
      </c>
      <c r="B2144" s="1" t="n">
        <v>45742.29048611111</v>
      </c>
      <c r="C2144" s="1" t="n">
        <v>45989</v>
      </c>
      <c r="D2144" t="inlineStr">
        <is>
          <t>VÄRMLANDS LÄN</t>
        </is>
      </c>
      <c r="E2144" t="inlineStr">
        <is>
          <t>TORSBY</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23455-2025</t>
        </is>
      </c>
      <c r="B2145" s="1" t="n">
        <v>45792.42520833333</v>
      </c>
      <c r="C2145" s="1" t="n">
        <v>45989</v>
      </c>
      <c r="D2145" t="inlineStr">
        <is>
          <t>VÄRMLANDS LÄN</t>
        </is>
      </c>
      <c r="E2145" t="inlineStr">
        <is>
          <t>TORSBY</t>
        </is>
      </c>
      <c r="F2145" t="inlineStr">
        <is>
          <t>Kyrkan</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31945-2024</t>
        </is>
      </c>
      <c r="B2146" s="1" t="n">
        <v>45510</v>
      </c>
      <c r="C2146" s="1" t="n">
        <v>45989</v>
      </c>
      <c r="D2146" t="inlineStr">
        <is>
          <t>VÄRMLANDS LÄN</t>
        </is>
      </c>
      <c r="E2146" t="inlineStr">
        <is>
          <t>TORSBY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42403-2023</t>
        </is>
      </c>
      <c r="B2147" s="1" t="n">
        <v>45180.59174768518</v>
      </c>
      <c r="C2147" s="1" t="n">
        <v>45989</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23280-2025</t>
        </is>
      </c>
      <c r="B2148" s="1" t="n">
        <v>45791.57217592592</v>
      </c>
      <c r="C2148" s="1" t="n">
        <v>45989</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58259-2024</t>
        </is>
      </c>
      <c r="B2149" s="1" t="n">
        <v>45632.56155092592</v>
      </c>
      <c r="C2149" s="1" t="n">
        <v>45989</v>
      </c>
      <c r="D2149" t="inlineStr">
        <is>
          <t>VÄRMLANDS LÄN</t>
        </is>
      </c>
      <c r="E2149" t="inlineStr">
        <is>
          <t>TORSBY</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34568-2024</t>
        </is>
      </c>
      <c r="B2150" s="1" t="n">
        <v>45526</v>
      </c>
      <c r="C2150" s="1" t="n">
        <v>45989</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23557-2025</t>
        </is>
      </c>
      <c r="B2151" s="1" t="n">
        <v>45792.58086805556</v>
      </c>
      <c r="C2151" s="1" t="n">
        <v>45989</v>
      </c>
      <c r="D2151" t="inlineStr">
        <is>
          <t>VÄRMLANDS LÄN</t>
        </is>
      </c>
      <c r="E2151" t="inlineStr">
        <is>
          <t>TORSBY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23287-2025</t>
        </is>
      </c>
      <c r="B2152" s="1" t="n">
        <v>45791.5816087963</v>
      </c>
      <c r="C2152" s="1" t="n">
        <v>45989</v>
      </c>
      <c r="D2152" t="inlineStr">
        <is>
          <t>VÄRMLANDS LÄN</t>
        </is>
      </c>
      <c r="E2152" t="inlineStr">
        <is>
          <t>TORSBY</t>
        </is>
      </c>
      <c r="F2152" t="inlineStr">
        <is>
          <t>Bergvik skog väst AB</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4078-2024</t>
        </is>
      </c>
      <c r="B2153" s="1" t="n">
        <v>45323</v>
      </c>
      <c r="C2153" s="1" t="n">
        <v>45989</v>
      </c>
      <c r="D2153" t="inlineStr">
        <is>
          <t>VÄRMLANDS LÄN</t>
        </is>
      </c>
      <c r="E2153" t="inlineStr">
        <is>
          <t>TORSBY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42656-2023</t>
        </is>
      </c>
      <c r="B2154" s="1" t="n">
        <v>45181.53928240741</v>
      </c>
      <c r="C2154" s="1" t="n">
        <v>45989</v>
      </c>
      <c r="D2154" t="inlineStr">
        <is>
          <t>VÄRMLANDS LÄN</t>
        </is>
      </c>
      <c r="E2154" t="inlineStr">
        <is>
          <t>TORSBY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24069-2025</t>
        </is>
      </c>
      <c r="B2155" s="1" t="n">
        <v>45796.53997685185</v>
      </c>
      <c r="C2155" s="1" t="n">
        <v>45989</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24112-2025</t>
        </is>
      </c>
      <c r="B2156" s="1" t="n">
        <v>45796</v>
      </c>
      <c r="C2156" s="1" t="n">
        <v>45989</v>
      </c>
      <c r="D2156" t="inlineStr">
        <is>
          <t>VÄRMLANDS LÄN</t>
        </is>
      </c>
      <c r="E2156" t="inlineStr">
        <is>
          <t>TORSBY</t>
        </is>
      </c>
      <c r="F2156" t="inlineStr">
        <is>
          <t>Bergvik skog väst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37985-2022</t>
        </is>
      </c>
      <c r="B2157" s="1" t="n">
        <v>44811</v>
      </c>
      <c r="C2157" s="1" t="n">
        <v>45989</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11427-2025</t>
        </is>
      </c>
      <c r="B2158" s="1" t="n">
        <v>45726</v>
      </c>
      <c r="C2158" s="1" t="n">
        <v>45989</v>
      </c>
      <c r="D2158" t="inlineStr">
        <is>
          <t>VÄRMLANDS LÄN</t>
        </is>
      </c>
      <c r="E2158" t="inlineStr">
        <is>
          <t>TORSBY</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14624-2023</t>
        </is>
      </c>
      <c r="B2159" s="1" t="n">
        <v>45013</v>
      </c>
      <c r="C2159" s="1" t="n">
        <v>45989</v>
      </c>
      <c r="D2159" t="inlineStr">
        <is>
          <t>VÄRMLANDS LÄN</t>
        </is>
      </c>
      <c r="E2159" t="inlineStr">
        <is>
          <t>TORSBY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11868-2025</t>
        </is>
      </c>
      <c r="B2160" s="1" t="n">
        <v>45728.4225</v>
      </c>
      <c r="C2160" s="1" t="n">
        <v>45989</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23741-2025</t>
        </is>
      </c>
      <c r="B2161" s="1" t="n">
        <v>45793</v>
      </c>
      <c r="C2161" s="1" t="n">
        <v>45989</v>
      </c>
      <c r="D2161" t="inlineStr">
        <is>
          <t>VÄRMLANDS LÄN</t>
        </is>
      </c>
      <c r="E2161" t="inlineStr">
        <is>
          <t>TORSBY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24026-2025</t>
        </is>
      </c>
      <c r="B2162" s="1" t="n">
        <v>45796.46841435185</v>
      </c>
      <c r="C2162" s="1" t="n">
        <v>45989</v>
      </c>
      <c r="D2162" t="inlineStr">
        <is>
          <t>VÄRMLANDS LÄN</t>
        </is>
      </c>
      <c r="E2162" t="inlineStr">
        <is>
          <t>TORSBY</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33069-2022</t>
        </is>
      </c>
      <c r="B2163" s="1" t="n">
        <v>44785</v>
      </c>
      <c r="C2163" s="1" t="n">
        <v>45989</v>
      </c>
      <c r="D2163" t="inlineStr">
        <is>
          <t>VÄRMLANDS LÄN</t>
        </is>
      </c>
      <c r="E2163" t="inlineStr">
        <is>
          <t>TORSBY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23677-2025</t>
        </is>
      </c>
      <c r="B2164" s="1" t="n">
        <v>45793.31969907408</v>
      </c>
      <c r="C2164" s="1" t="n">
        <v>45989</v>
      </c>
      <c r="D2164" t="inlineStr">
        <is>
          <t>VÄRMLANDS LÄN</t>
        </is>
      </c>
      <c r="E2164" t="inlineStr">
        <is>
          <t>TORSBY</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24607-2025</t>
        </is>
      </c>
      <c r="B2165" s="1" t="n">
        <v>45798.57608796296</v>
      </c>
      <c r="C2165" s="1" t="n">
        <v>45989</v>
      </c>
      <c r="D2165" t="inlineStr">
        <is>
          <t>VÄRMLANDS LÄN</t>
        </is>
      </c>
      <c r="E2165" t="inlineStr">
        <is>
          <t>TORSBY</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24425-2025</t>
        </is>
      </c>
      <c r="B2166" s="1" t="n">
        <v>45797</v>
      </c>
      <c r="C2166" s="1" t="n">
        <v>45989</v>
      </c>
      <c r="D2166" t="inlineStr">
        <is>
          <t>VÄRMLANDS LÄN</t>
        </is>
      </c>
      <c r="E2166" t="inlineStr">
        <is>
          <t>TORSBY</t>
        </is>
      </c>
      <c r="G2166" t="n">
        <v>1.7</v>
      </c>
      <c r="H2166" t="n">
        <v>0</v>
      </c>
      <c r="I2166" t="n">
        <v>0</v>
      </c>
      <c r="J2166" t="n">
        <v>0</v>
      </c>
      <c r="K2166" t="n">
        <v>0</v>
      </c>
      <c r="L2166" t="n">
        <v>0</v>
      </c>
      <c r="M2166" t="n">
        <v>0</v>
      </c>
      <c r="N2166" t="n">
        <v>0</v>
      </c>
      <c r="O2166" t="n">
        <v>0</v>
      </c>
      <c r="P2166" t="n">
        <v>0</v>
      </c>
      <c r="Q2166" t="n">
        <v>0</v>
      </c>
      <c r="R2166" s="2" t="inlineStr"/>
    </row>
    <row r="2167">
      <c r="A2167" t="inlineStr">
        <is>
          <t>A 42473-2023</t>
        </is>
      </c>
      <c r="B2167" s="1" t="n">
        <v>45180</v>
      </c>
      <c r="C2167" s="1" t="n">
        <v>45989</v>
      </c>
      <c r="D2167" t="inlineStr">
        <is>
          <t>VÄRMLANDS LÄN</t>
        </is>
      </c>
      <c r="E2167" t="inlineStr">
        <is>
          <t>TORSBY</t>
        </is>
      </c>
      <c r="F2167" t="inlineStr">
        <is>
          <t>Bergvik skog väst AB</t>
        </is>
      </c>
      <c r="G2167" t="n">
        <v>3.1</v>
      </c>
      <c r="H2167" t="n">
        <v>0</v>
      </c>
      <c r="I2167" t="n">
        <v>0</v>
      </c>
      <c r="J2167" t="n">
        <v>0</v>
      </c>
      <c r="K2167" t="n">
        <v>0</v>
      </c>
      <c r="L2167" t="n">
        <v>0</v>
      </c>
      <c r="M2167" t="n">
        <v>0</v>
      </c>
      <c r="N2167" t="n">
        <v>0</v>
      </c>
      <c r="O2167" t="n">
        <v>0</v>
      </c>
      <c r="P2167" t="n">
        <v>0</v>
      </c>
      <c r="Q2167" t="n">
        <v>0</v>
      </c>
      <c r="R2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2025-11-28T10:20:43Z</dcterms:created>
  <dcterms:modified xmlns:dcterms="http://purl.org/dc/terms/" xmlns:xsi="http://www.w3.org/2001/XMLSchema-instance" xsi:type="dcterms:W3CDTF">2025-11-28T10:20:45Z</dcterms:modified>
</cp:coreProperties>
</file>