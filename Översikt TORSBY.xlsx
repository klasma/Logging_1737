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2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45291</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45291</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45291</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45291</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45291</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45291</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45291</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45291</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45291</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45291</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45291</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45291</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45291</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45291</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45291</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45291</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45291</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45291</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45291</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45291</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45291</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45291</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45291</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45291</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45291</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45291</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45291</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45291</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45291</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45291</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45291</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45291</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45291</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45291</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45291</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45291</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45291</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45291</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45291</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45291</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45291</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45291</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45291</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45291</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45291</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45291</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45291</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45291</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45291</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45291</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45291</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45291</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45291</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45291</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45291</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45291</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45291</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45291</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45291</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45291</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45291</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45291</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45291</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45291</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45291</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45291</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45291</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45291</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45291</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45291</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45291</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45291</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45291</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45291</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62955-2023</t>
        </is>
      </c>
      <c r="B76" s="1" t="n">
        <v>45271</v>
      </c>
      <c r="C76" s="1" t="n">
        <v>45291</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56529-2018</t>
        </is>
      </c>
      <c r="B77" s="1" t="n">
        <v>43401</v>
      </c>
      <c r="C77" s="1" t="n">
        <v>45291</v>
      </c>
      <c r="D77" t="inlineStr">
        <is>
          <t>VÄRMLANDS LÄN</t>
        </is>
      </c>
      <c r="E77" t="inlineStr">
        <is>
          <t>TORSBY</t>
        </is>
      </c>
      <c r="G77" t="n">
        <v>2.5</v>
      </c>
      <c r="H77" t="n">
        <v>0</v>
      </c>
      <c r="I77" t="n">
        <v>0</v>
      </c>
      <c r="J77" t="n">
        <v>1</v>
      </c>
      <c r="K77" t="n">
        <v>0</v>
      </c>
      <c r="L77" t="n">
        <v>0</v>
      </c>
      <c r="M77" t="n">
        <v>0</v>
      </c>
      <c r="N77" t="n">
        <v>0</v>
      </c>
      <c r="O77" t="n">
        <v>1</v>
      </c>
      <c r="P77" t="n">
        <v>0</v>
      </c>
      <c r="Q77" t="n">
        <v>1</v>
      </c>
      <c r="R77" s="2" t="inlineStr">
        <is>
          <t>Vedskivlav</t>
        </is>
      </c>
      <c r="S77">
        <f>HYPERLINK("https://klasma.github.io/Logging_1737/artfynd/A 56529-2018 artfynd.xlsx", "A 56529-2018")</f>
        <v/>
      </c>
      <c r="T77">
        <f>HYPERLINK("https://klasma.github.io/Logging_1737/kartor/A 56529-2018 karta.png", "A 56529-2018")</f>
        <v/>
      </c>
      <c r="V77">
        <f>HYPERLINK("https://klasma.github.io/Logging_1737/klagomål/A 56529-2018 FSC-klagomål.docx", "A 56529-2018")</f>
        <v/>
      </c>
      <c r="W77">
        <f>HYPERLINK("https://klasma.github.io/Logging_1737/klagomålsmail/A 56529-2018 FSC-klagomål mail.docx", "A 56529-2018")</f>
        <v/>
      </c>
      <c r="X77">
        <f>HYPERLINK("https://klasma.github.io/Logging_1737/tillsyn/A 56529-2018 tillsynsbegäran.docx", "A 56529-2018")</f>
        <v/>
      </c>
      <c r="Y77">
        <f>HYPERLINK("https://klasma.github.io/Logging_1737/tillsynsmail/A 56529-2018 tillsynsbegäran mail.docx", "A 56529-2018")</f>
        <v/>
      </c>
    </row>
    <row r="78" ht="15" customHeight="1">
      <c r="A78" t="inlineStr">
        <is>
          <t>A 56530-2018</t>
        </is>
      </c>
      <c r="B78" s="1" t="n">
        <v>43401</v>
      </c>
      <c r="C78" s="1" t="n">
        <v>45291</v>
      </c>
      <c r="D78" t="inlineStr">
        <is>
          <t>VÄRMLANDS LÄN</t>
        </is>
      </c>
      <c r="E78" t="inlineStr">
        <is>
          <t>TORSBY</t>
        </is>
      </c>
      <c r="G78" t="n">
        <v>4.6</v>
      </c>
      <c r="H78" t="n">
        <v>0</v>
      </c>
      <c r="I78" t="n">
        <v>0</v>
      </c>
      <c r="J78" t="n">
        <v>1</v>
      </c>
      <c r="K78" t="n">
        <v>0</v>
      </c>
      <c r="L78" t="n">
        <v>0</v>
      </c>
      <c r="M78" t="n">
        <v>0</v>
      </c>
      <c r="N78" t="n">
        <v>0</v>
      </c>
      <c r="O78" t="n">
        <v>1</v>
      </c>
      <c r="P78" t="n">
        <v>0</v>
      </c>
      <c r="Q78" t="n">
        <v>1</v>
      </c>
      <c r="R78" s="2" t="inlineStr">
        <is>
          <t>Garnlav</t>
        </is>
      </c>
      <c r="S78">
        <f>HYPERLINK("https://klasma.github.io/Logging_1737/artfynd/A 56530-2018 artfynd.xlsx", "A 56530-2018")</f>
        <v/>
      </c>
      <c r="T78">
        <f>HYPERLINK("https://klasma.github.io/Logging_1737/kartor/A 56530-2018 karta.png", "A 56530-2018")</f>
        <v/>
      </c>
      <c r="V78">
        <f>HYPERLINK("https://klasma.github.io/Logging_1737/klagomål/A 56530-2018 FSC-klagomål.docx", "A 56530-2018")</f>
        <v/>
      </c>
      <c r="W78">
        <f>HYPERLINK("https://klasma.github.io/Logging_1737/klagomålsmail/A 56530-2018 FSC-klagomål mail.docx", "A 56530-2018")</f>
        <v/>
      </c>
      <c r="X78">
        <f>HYPERLINK("https://klasma.github.io/Logging_1737/tillsyn/A 56530-2018 tillsynsbegäran.docx", "A 56530-2018")</f>
        <v/>
      </c>
      <c r="Y78">
        <f>HYPERLINK("https://klasma.github.io/Logging_1737/tillsynsmail/A 56530-2018 tillsynsbegäran mail.docx", "A 56530-2018")</f>
        <v/>
      </c>
    </row>
    <row r="79" ht="15" customHeight="1">
      <c r="A79" t="inlineStr">
        <is>
          <t>A 7311-2019</t>
        </is>
      </c>
      <c r="B79" s="1" t="n">
        <v>43496</v>
      </c>
      <c r="C79" s="1" t="n">
        <v>45291</v>
      </c>
      <c r="D79" t="inlineStr">
        <is>
          <t>VÄRMLANDS LÄN</t>
        </is>
      </c>
      <c r="E79" t="inlineStr">
        <is>
          <t>TORSBY</t>
        </is>
      </c>
      <c r="G79" t="n">
        <v>1.2</v>
      </c>
      <c r="H79" t="n">
        <v>0</v>
      </c>
      <c r="I79" t="n">
        <v>0</v>
      </c>
      <c r="J79" t="n">
        <v>1</v>
      </c>
      <c r="K79" t="n">
        <v>0</v>
      </c>
      <c r="L79" t="n">
        <v>0</v>
      </c>
      <c r="M79" t="n">
        <v>0</v>
      </c>
      <c r="N79" t="n">
        <v>0</v>
      </c>
      <c r="O79" t="n">
        <v>1</v>
      </c>
      <c r="P79" t="n">
        <v>0</v>
      </c>
      <c r="Q79" t="n">
        <v>1</v>
      </c>
      <c r="R79" s="2" t="inlineStr">
        <is>
          <t>Garnlav</t>
        </is>
      </c>
      <c r="S79">
        <f>HYPERLINK("https://klasma.github.io/Logging_1737/artfynd/A 7311-2019 artfynd.xlsx", "A 7311-2019")</f>
        <v/>
      </c>
      <c r="T79">
        <f>HYPERLINK("https://klasma.github.io/Logging_1737/kartor/A 7311-2019 karta.png", "A 7311-2019")</f>
        <v/>
      </c>
      <c r="V79">
        <f>HYPERLINK("https://klasma.github.io/Logging_1737/klagomål/A 7311-2019 FSC-klagomål.docx", "A 7311-2019")</f>
        <v/>
      </c>
      <c r="W79">
        <f>HYPERLINK("https://klasma.github.io/Logging_1737/klagomålsmail/A 7311-2019 FSC-klagomål mail.docx", "A 7311-2019")</f>
        <v/>
      </c>
      <c r="X79">
        <f>HYPERLINK("https://klasma.github.io/Logging_1737/tillsyn/A 7311-2019 tillsynsbegäran.docx", "A 7311-2019")</f>
        <v/>
      </c>
      <c r="Y79">
        <f>HYPERLINK("https://klasma.github.io/Logging_1737/tillsynsmail/A 7311-2019 tillsynsbegäran mail.docx", "A 7311-2019")</f>
        <v/>
      </c>
    </row>
    <row r="80" ht="15" customHeight="1">
      <c r="A80" t="inlineStr">
        <is>
          <t>A 18499-2019</t>
        </is>
      </c>
      <c r="B80" s="1" t="n">
        <v>43559</v>
      </c>
      <c r="C80" s="1" t="n">
        <v>45291</v>
      </c>
      <c r="D80" t="inlineStr">
        <is>
          <t>VÄRMLANDS LÄN</t>
        </is>
      </c>
      <c r="E80" t="inlineStr">
        <is>
          <t>TORSBY</t>
        </is>
      </c>
      <c r="G80" t="n">
        <v>4.8</v>
      </c>
      <c r="H80" t="n">
        <v>0</v>
      </c>
      <c r="I80" t="n">
        <v>0</v>
      </c>
      <c r="J80" t="n">
        <v>0</v>
      </c>
      <c r="K80" t="n">
        <v>1</v>
      </c>
      <c r="L80" t="n">
        <v>0</v>
      </c>
      <c r="M80" t="n">
        <v>0</v>
      </c>
      <c r="N80" t="n">
        <v>0</v>
      </c>
      <c r="O80" t="n">
        <v>1</v>
      </c>
      <c r="P80" t="n">
        <v>1</v>
      </c>
      <c r="Q80" t="n">
        <v>1</v>
      </c>
      <c r="R80" s="2" t="inlineStr">
        <is>
          <t>Raggbock</t>
        </is>
      </c>
      <c r="S80">
        <f>HYPERLINK("https://klasma.github.io/Logging_1737/artfynd/A 18499-2019 artfynd.xlsx", "A 18499-2019")</f>
        <v/>
      </c>
      <c r="T80">
        <f>HYPERLINK("https://klasma.github.io/Logging_1737/kartor/A 18499-2019 karta.png", "A 18499-2019")</f>
        <v/>
      </c>
      <c r="V80">
        <f>HYPERLINK("https://klasma.github.io/Logging_1737/klagomål/A 18499-2019 FSC-klagomål.docx", "A 18499-2019")</f>
        <v/>
      </c>
      <c r="W80">
        <f>HYPERLINK("https://klasma.github.io/Logging_1737/klagomålsmail/A 18499-2019 FSC-klagomål mail.docx", "A 18499-2019")</f>
        <v/>
      </c>
      <c r="X80">
        <f>HYPERLINK("https://klasma.github.io/Logging_1737/tillsyn/A 18499-2019 tillsynsbegäran.docx", "A 18499-2019")</f>
        <v/>
      </c>
      <c r="Y80">
        <f>HYPERLINK("https://klasma.github.io/Logging_1737/tillsynsmail/A 18499-2019 tillsynsbegäran mail.docx", "A 18499-2019")</f>
        <v/>
      </c>
    </row>
    <row r="81" ht="15" customHeight="1">
      <c r="A81" t="inlineStr">
        <is>
          <t>A 31848-2019</t>
        </is>
      </c>
      <c r="B81" s="1" t="n">
        <v>43642</v>
      </c>
      <c r="C81" s="1" t="n">
        <v>45291</v>
      </c>
      <c r="D81" t="inlineStr">
        <is>
          <t>VÄRMLANDS LÄN</t>
        </is>
      </c>
      <c r="E81" t="inlineStr">
        <is>
          <t>TORSBY</t>
        </is>
      </c>
      <c r="G81" t="n">
        <v>6.1</v>
      </c>
      <c r="H81" t="n">
        <v>1</v>
      </c>
      <c r="I81" t="n">
        <v>0</v>
      </c>
      <c r="J81" t="n">
        <v>0</v>
      </c>
      <c r="K81" t="n">
        <v>1</v>
      </c>
      <c r="L81" t="n">
        <v>0</v>
      </c>
      <c r="M81" t="n">
        <v>0</v>
      </c>
      <c r="N81" t="n">
        <v>0</v>
      </c>
      <c r="O81" t="n">
        <v>1</v>
      </c>
      <c r="P81" t="n">
        <v>1</v>
      </c>
      <c r="Q81" t="n">
        <v>1</v>
      </c>
      <c r="R81" s="2" t="inlineStr">
        <is>
          <t>Knärot</t>
        </is>
      </c>
      <c r="S81">
        <f>HYPERLINK("https://klasma.github.io/Logging_1737/artfynd/A 31848-2019 artfynd.xlsx", "A 31848-2019")</f>
        <v/>
      </c>
      <c r="T81">
        <f>HYPERLINK("https://klasma.github.io/Logging_1737/kartor/A 31848-2019 karta.png", "A 31848-2019")</f>
        <v/>
      </c>
      <c r="U81">
        <f>HYPERLINK("https://klasma.github.io/Logging_1737/knärot/A 31848-2019 karta knärot.png", "A 31848-2019")</f>
        <v/>
      </c>
      <c r="V81">
        <f>HYPERLINK("https://klasma.github.io/Logging_1737/klagomål/A 31848-2019 FSC-klagomål.docx", "A 31848-2019")</f>
        <v/>
      </c>
      <c r="W81">
        <f>HYPERLINK("https://klasma.github.io/Logging_1737/klagomålsmail/A 31848-2019 FSC-klagomål mail.docx", "A 31848-2019")</f>
        <v/>
      </c>
      <c r="X81">
        <f>HYPERLINK("https://klasma.github.io/Logging_1737/tillsyn/A 31848-2019 tillsynsbegäran.docx", "A 31848-2019")</f>
        <v/>
      </c>
      <c r="Y81">
        <f>HYPERLINK("https://klasma.github.io/Logging_1737/tillsynsmail/A 31848-2019 tillsynsbegäran mail.docx", "A 31848-2019")</f>
        <v/>
      </c>
    </row>
    <row r="82" ht="15" customHeight="1">
      <c r="A82" t="inlineStr">
        <is>
          <t>A 45844-2019</t>
        </is>
      </c>
      <c r="B82" s="1" t="n">
        <v>43717</v>
      </c>
      <c r="C82" s="1" t="n">
        <v>45291</v>
      </c>
      <c r="D82" t="inlineStr">
        <is>
          <t>VÄRMLANDS LÄN</t>
        </is>
      </c>
      <c r="E82" t="inlineStr">
        <is>
          <t>TORSBY</t>
        </is>
      </c>
      <c r="G82" t="n">
        <v>4.1</v>
      </c>
      <c r="H82" t="n">
        <v>1</v>
      </c>
      <c r="I82" t="n">
        <v>0</v>
      </c>
      <c r="J82" t="n">
        <v>1</v>
      </c>
      <c r="K82" t="n">
        <v>0</v>
      </c>
      <c r="L82" t="n">
        <v>0</v>
      </c>
      <c r="M82" t="n">
        <v>0</v>
      </c>
      <c r="N82" t="n">
        <v>0</v>
      </c>
      <c r="O82" t="n">
        <v>1</v>
      </c>
      <c r="P82" t="n">
        <v>0</v>
      </c>
      <c r="Q82" t="n">
        <v>1</v>
      </c>
      <c r="R82" s="2" t="inlineStr">
        <is>
          <t>Talltita</t>
        </is>
      </c>
      <c r="S82">
        <f>HYPERLINK("https://klasma.github.io/Logging_1737/artfynd/A 45844-2019 artfynd.xlsx", "A 45844-2019")</f>
        <v/>
      </c>
      <c r="T82">
        <f>HYPERLINK("https://klasma.github.io/Logging_1737/kartor/A 45844-2019 karta.png", "A 45844-2019")</f>
        <v/>
      </c>
      <c r="V82">
        <f>HYPERLINK("https://klasma.github.io/Logging_1737/klagomål/A 45844-2019 FSC-klagomål.docx", "A 45844-2019")</f>
        <v/>
      </c>
      <c r="W82">
        <f>HYPERLINK("https://klasma.github.io/Logging_1737/klagomålsmail/A 45844-2019 FSC-klagomål mail.docx", "A 45844-2019")</f>
        <v/>
      </c>
      <c r="X82">
        <f>HYPERLINK("https://klasma.github.io/Logging_1737/tillsyn/A 45844-2019 tillsynsbegäran.docx", "A 45844-2019")</f>
        <v/>
      </c>
      <c r="Y82">
        <f>HYPERLINK("https://klasma.github.io/Logging_1737/tillsynsmail/A 45844-2019 tillsynsbegäran mail.docx", "A 45844-2019")</f>
        <v/>
      </c>
    </row>
    <row r="83" ht="15" customHeight="1">
      <c r="A83" t="inlineStr">
        <is>
          <t>A 47423-2019</t>
        </is>
      </c>
      <c r="B83" s="1" t="n">
        <v>43723</v>
      </c>
      <c r="C83" s="1" t="n">
        <v>45291</v>
      </c>
      <c r="D83" t="inlineStr">
        <is>
          <t>VÄRMLANDS LÄN</t>
        </is>
      </c>
      <c r="E83" t="inlineStr">
        <is>
          <t>TORSBY</t>
        </is>
      </c>
      <c r="G83" t="n">
        <v>5.1</v>
      </c>
      <c r="H83" t="n">
        <v>0</v>
      </c>
      <c r="I83" t="n">
        <v>0</v>
      </c>
      <c r="J83" t="n">
        <v>1</v>
      </c>
      <c r="K83" t="n">
        <v>0</v>
      </c>
      <c r="L83" t="n">
        <v>0</v>
      </c>
      <c r="M83" t="n">
        <v>0</v>
      </c>
      <c r="N83" t="n">
        <v>0</v>
      </c>
      <c r="O83" t="n">
        <v>1</v>
      </c>
      <c r="P83" t="n">
        <v>0</v>
      </c>
      <c r="Q83" t="n">
        <v>1</v>
      </c>
      <c r="R83" s="2" t="inlineStr">
        <is>
          <t>Gammelgransskål</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47731-2019</t>
        </is>
      </c>
      <c r="B84" s="1" t="n">
        <v>43724</v>
      </c>
      <c r="C84" s="1" t="n">
        <v>45291</v>
      </c>
      <c r="D84" t="inlineStr">
        <is>
          <t>VÄRMLANDS LÄN</t>
        </is>
      </c>
      <c r="E84" t="inlineStr">
        <is>
          <t>TORSBY</t>
        </is>
      </c>
      <c r="G84" t="n">
        <v>3.5</v>
      </c>
      <c r="H84" t="n">
        <v>1</v>
      </c>
      <c r="I84" t="n">
        <v>0</v>
      </c>
      <c r="J84" t="n">
        <v>1</v>
      </c>
      <c r="K84" t="n">
        <v>0</v>
      </c>
      <c r="L84" t="n">
        <v>0</v>
      </c>
      <c r="M84" t="n">
        <v>0</v>
      </c>
      <c r="N84" t="n">
        <v>0</v>
      </c>
      <c r="O84" t="n">
        <v>1</v>
      </c>
      <c r="P84" t="n">
        <v>0</v>
      </c>
      <c r="Q84" t="n">
        <v>1</v>
      </c>
      <c r="R84" s="2" t="inlineStr">
        <is>
          <t>Gulsparv</t>
        </is>
      </c>
      <c r="S84">
        <f>HYPERLINK("https://klasma.github.io/Logging_1737/artfynd/A 47731-2019 artfynd.xlsx", "A 47731-2019")</f>
        <v/>
      </c>
      <c r="T84">
        <f>HYPERLINK("https://klasma.github.io/Logging_1737/kartor/A 47731-2019 karta.png", "A 47731-2019")</f>
        <v/>
      </c>
      <c r="V84">
        <f>HYPERLINK("https://klasma.github.io/Logging_1737/klagomål/A 47731-2019 FSC-klagomål.docx", "A 47731-2019")</f>
        <v/>
      </c>
      <c r="W84">
        <f>HYPERLINK("https://klasma.github.io/Logging_1737/klagomålsmail/A 47731-2019 FSC-klagomål mail.docx", "A 47731-2019")</f>
        <v/>
      </c>
      <c r="X84">
        <f>HYPERLINK("https://klasma.github.io/Logging_1737/tillsyn/A 47731-2019 tillsynsbegäran.docx", "A 47731-2019")</f>
        <v/>
      </c>
      <c r="Y84">
        <f>HYPERLINK("https://klasma.github.io/Logging_1737/tillsynsmail/A 47731-2019 tillsynsbegäran mail.docx", "A 47731-2019")</f>
        <v/>
      </c>
    </row>
    <row r="85" ht="15" customHeight="1">
      <c r="A85" t="inlineStr">
        <is>
          <t>A 53924-2019</t>
        </is>
      </c>
      <c r="B85" s="1" t="n">
        <v>43742</v>
      </c>
      <c r="C85" s="1" t="n">
        <v>45291</v>
      </c>
      <c r="D85" t="inlineStr">
        <is>
          <t>VÄRMLANDS LÄN</t>
        </is>
      </c>
      <c r="E85" t="inlineStr">
        <is>
          <t>TORSBY</t>
        </is>
      </c>
      <c r="G85" t="n">
        <v>7.1</v>
      </c>
      <c r="H85" t="n">
        <v>1</v>
      </c>
      <c r="I85" t="n">
        <v>0</v>
      </c>
      <c r="J85" t="n">
        <v>0</v>
      </c>
      <c r="K85" t="n">
        <v>0</v>
      </c>
      <c r="L85" t="n">
        <v>0</v>
      </c>
      <c r="M85" t="n">
        <v>0</v>
      </c>
      <c r="N85" t="n">
        <v>0</v>
      </c>
      <c r="O85" t="n">
        <v>0</v>
      </c>
      <c r="P85" t="n">
        <v>0</v>
      </c>
      <c r="Q85" t="n">
        <v>1</v>
      </c>
      <c r="R85" s="2" t="inlineStr">
        <is>
          <t>Fläcknycklar</t>
        </is>
      </c>
      <c r="S85">
        <f>HYPERLINK("https://klasma.github.io/Logging_1737/artfynd/A 53924-2019 artfynd.xlsx", "A 53924-2019")</f>
        <v/>
      </c>
      <c r="T85">
        <f>HYPERLINK("https://klasma.github.io/Logging_1737/kartor/A 53924-2019 karta.png", "A 53924-2019")</f>
        <v/>
      </c>
      <c r="V85">
        <f>HYPERLINK("https://klasma.github.io/Logging_1737/klagomål/A 53924-2019 FSC-klagomål.docx", "A 53924-2019")</f>
        <v/>
      </c>
      <c r="W85">
        <f>HYPERLINK("https://klasma.github.io/Logging_1737/klagomålsmail/A 53924-2019 FSC-klagomål mail.docx", "A 53924-2019")</f>
        <v/>
      </c>
      <c r="X85">
        <f>HYPERLINK("https://klasma.github.io/Logging_1737/tillsyn/A 53924-2019 tillsynsbegäran.docx", "A 53924-2019")</f>
        <v/>
      </c>
      <c r="Y85">
        <f>HYPERLINK("https://klasma.github.io/Logging_1737/tillsynsmail/A 53924-2019 tillsynsbegäran mail.docx", "A 53924-2019")</f>
        <v/>
      </c>
    </row>
    <row r="86" ht="15" customHeight="1">
      <c r="A86" t="inlineStr">
        <is>
          <t>A 63767-2019</t>
        </is>
      </c>
      <c r="B86" s="1" t="n">
        <v>43795</v>
      </c>
      <c r="C86" s="1" t="n">
        <v>45291</v>
      </c>
      <c r="D86" t="inlineStr">
        <is>
          <t>VÄRMLANDS LÄN</t>
        </is>
      </c>
      <c r="E86" t="inlineStr">
        <is>
          <t>TORSBY</t>
        </is>
      </c>
      <c r="G86" t="n">
        <v>1.4</v>
      </c>
      <c r="H86" t="n">
        <v>0</v>
      </c>
      <c r="I86" t="n">
        <v>0</v>
      </c>
      <c r="J86" t="n">
        <v>1</v>
      </c>
      <c r="K86" t="n">
        <v>0</v>
      </c>
      <c r="L86" t="n">
        <v>0</v>
      </c>
      <c r="M86" t="n">
        <v>0</v>
      </c>
      <c r="N86" t="n">
        <v>0</v>
      </c>
      <c r="O86" t="n">
        <v>1</v>
      </c>
      <c r="P86" t="n">
        <v>0</v>
      </c>
      <c r="Q86" t="n">
        <v>1</v>
      </c>
      <c r="R86" s="2" t="inlineStr">
        <is>
          <t>Garnlav</t>
        </is>
      </c>
      <c r="S86">
        <f>HYPERLINK("https://klasma.github.io/Logging_1737/artfynd/A 63767-2019 artfynd.xlsx", "A 63767-2019")</f>
        <v/>
      </c>
      <c r="T86">
        <f>HYPERLINK("https://klasma.github.io/Logging_1737/kartor/A 63767-2019 karta.png", "A 63767-2019")</f>
        <v/>
      </c>
      <c r="V86">
        <f>HYPERLINK("https://klasma.github.io/Logging_1737/klagomål/A 63767-2019 FSC-klagomål.docx", "A 63767-2019")</f>
        <v/>
      </c>
      <c r="W86">
        <f>HYPERLINK("https://klasma.github.io/Logging_1737/klagomålsmail/A 63767-2019 FSC-klagomål mail.docx", "A 63767-2019")</f>
        <v/>
      </c>
      <c r="X86">
        <f>HYPERLINK("https://klasma.github.io/Logging_1737/tillsyn/A 63767-2019 tillsynsbegäran.docx", "A 63767-2019")</f>
        <v/>
      </c>
      <c r="Y86">
        <f>HYPERLINK("https://klasma.github.io/Logging_1737/tillsynsmail/A 63767-2019 tillsynsbegäran mail.docx", "A 63767-2019")</f>
        <v/>
      </c>
    </row>
    <row r="87" ht="15" customHeight="1">
      <c r="A87" t="inlineStr">
        <is>
          <t>A 65129-2019</t>
        </is>
      </c>
      <c r="B87" s="1" t="n">
        <v>43802</v>
      </c>
      <c r="C87" s="1" t="n">
        <v>45291</v>
      </c>
      <c r="D87" t="inlineStr">
        <is>
          <t>VÄRMLANDS LÄN</t>
        </is>
      </c>
      <c r="E87" t="inlineStr">
        <is>
          <t>TORSBY</t>
        </is>
      </c>
      <c r="G87" t="n">
        <v>3.3</v>
      </c>
      <c r="H87" t="n">
        <v>0</v>
      </c>
      <c r="I87" t="n">
        <v>0</v>
      </c>
      <c r="J87" t="n">
        <v>1</v>
      </c>
      <c r="K87" t="n">
        <v>0</v>
      </c>
      <c r="L87" t="n">
        <v>0</v>
      </c>
      <c r="M87" t="n">
        <v>0</v>
      </c>
      <c r="N87" t="n">
        <v>0</v>
      </c>
      <c r="O87" t="n">
        <v>1</v>
      </c>
      <c r="P87" t="n">
        <v>0</v>
      </c>
      <c r="Q87" t="n">
        <v>1</v>
      </c>
      <c r="R87" s="2" t="inlineStr">
        <is>
          <t>Garnlav</t>
        </is>
      </c>
      <c r="S87">
        <f>HYPERLINK("https://klasma.github.io/Logging_1737/artfynd/A 65129-2019 artfynd.xlsx", "A 65129-2019")</f>
        <v/>
      </c>
      <c r="T87">
        <f>HYPERLINK("https://klasma.github.io/Logging_1737/kartor/A 65129-2019 karta.png", "A 65129-2019")</f>
        <v/>
      </c>
      <c r="V87">
        <f>HYPERLINK("https://klasma.github.io/Logging_1737/klagomål/A 65129-2019 FSC-klagomål.docx", "A 65129-2019")</f>
        <v/>
      </c>
      <c r="W87">
        <f>HYPERLINK("https://klasma.github.io/Logging_1737/klagomålsmail/A 65129-2019 FSC-klagomål mail.docx", "A 65129-2019")</f>
        <v/>
      </c>
      <c r="X87">
        <f>HYPERLINK("https://klasma.github.io/Logging_1737/tillsyn/A 65129-2019 tillsynsbegäran.docx", "A 65129-2019")</f>
        <v/>
      </c>
      <c r="Y87">
        <f>HYPERLINK("https://klasma.github.io/Logging_1737/tillsynsmail/A 65129-2019 tillsynsbegäran mail.docx", "A 65129-2019")</f>
        <v/>
      </c>
    </row>
    <row r="88" ht="15" customHeight="1">
      <c r="A88" t="inlineStr">
        <is>
          <t>A 37035-2020</t>
        </is>
      </c>
      <c r="B88" s="1" t="n">
        <v>44054</v>
      </c>
      <c r="C88" s="1" t="n">
        <v>45291</v>
      </c>
      <c r="D88" t="inlineStr">
        <is>
          <t>VÄRMLANDS LÄN</t>
        </is>
      </c>
      <c r="E88" t="inlineStr">
        <is>
          <t>TORSBY</t>
        </is>
      </c>
      <c r="G88" t="n">
        <v>2.7</v>
      </c>
      <c r="H88" t="n">
        <v>0</v>
      </c>
      <c r="I88" t="n">
        <v>0</v>
      </c>
      <c r="J88" t="n">
        <v>0</v>
      </c>
      <c r="K88" t="n">
        <v>1</v>
      </c>
      <c r="L88" t="n">
        <v>0</v>
      </c>
      <c r="M88" t="n">
        <v>0</v>
      </c>
      <c r="N88" t="n">
        <v>0</v>
      </c>
      <c r="O88" t="n">
        <v>1</v>
      </c>
      <c r="P88" t="n">
        <v>1</v>
      </c>
      <c r="Q88" t="n">
        <v>1</v>
      </c>
      <c r="R88" s="2" t="inlineStr">
        <is>
          <t>Raggbock</t>
        </is>
      </c>
      <c r="S88">
        <f>HYPERLINK("https://klasma.github.io/Logging_1737/artfynd/A 37035-2020 artfynd.xlsx", "A 37035-2020")</f>
        <v/>
      </c>
      <c r="T88">
        <f>HYPERLINK("https://klasma.github.io/Logging_1737/kartor/A 37035-2020 karta.png", "A 37035-2020")</f>
        <v/>
      </c>
      <c r="V88">
        <f>HYPERLINK("https://klasma.github.io/Logging_1737/klagomål/A 37035-2020 FSC-klagomål.docx", "A 37035-2020")</f>
        <v/>
      </c>
      <c r="W88">
        <f>HYPERLINK("https://klasma.github.io/Logging_1737/klagomålsmail/A 37035-2020 FSC-klagomål mail.docx", "A 37035-2020")</f>
        <v/>
      </c>
      <c r="X88">
        <f>HYPERLINK("https://klasma.github.io/Logging_1737/tillsyn/A 37035-2020 tillsynsbegäran.docx", "A 37035-2020")</f>
        <v/>
      </c>
      <c r="Y88">
        <f>HYPERLINK("https://klasma.github.io/Logging_1737/tillsynsmail/A 37035-2020 tillsynsbegäran mail.docx", "A 37035-2020")</f>
        <v/>
      </c>
    </row>
    <row r="89" ht="15" customHeight="1">
      <c r="A89" t="inlineStr">
        <is>
          <t>A 50854-2020</t>
        </is>
      </c>
      <c r="B89" s="1" t="n">
        <v>44105</v>
      </c>
      <c r="C89" s="1" t="n">
        <v>45291</v>
      </c>
      <c r="D89" t="inlineStr">
        <is>
          <t>VÄRMLANDS LÄN</t>
        </is>
      </c>
      <c r="E89" t="inlineStr">
        <is>
          <t>TORSBY</t>
        </is>
      </c>
      <c r="G89" t="n">
        <v>6.5</v>
      </c>
      <c r="H89" t="n">
        <v>1</v>
      </c>
      <c r="I89" t="n">
        <v>0</v>
      </c>
      <c r="J89" t="n">
        <v>0</v>
      </c>
      <c r="K89" t="n">
        <v>1</v>
      </c>
      <c r="L89" t="n">
        <v>0</v>
      </c>
      <c r="M89" t="n">
        <v>0</v>
      </c>
      <c r="N89" t="n">
        <v>0</v>
      </c>
      <c r="O89" t="n">
        <v>1</v>
      </c>
      <c r="P89" t="n">
        <v>1</v>
      </c>
      <c r="Q89" t="n">
        <v>1</v>
      </c>
      <c r="R89" s="2" t="inlineStr">
        <is>
          <t>Knärot</t>
        </is>
      </c>
      <c r="S89">
        <f>HYPERLINK("https://klasma.github.io/Logging_1737/artfynd/A 50854-2020 artfynd.xlsx", "A 50854-2020")</f>
        <v/>
      </c>
      <c r="T89">
        <f>HYPERLINK("https://klasma.github.io/Logging_1737/kartor/A 50854-2020 karta.png", "A 50854-2020")</f>
        <v/>
      </c>
      <c r="U89">
        <f>HYPERLINK("https://klasma.github.io/Logging_1737/knärot/A 50854-2020 karta knärot.png", "A 50854-2020")</f>
        <v/>
      </c>
      <c r="V89">
        <f>HYPERLINK("https://klasma.github.io/Logging_1737/klagomål/A 50854-2020 FSC-klagomål.docx", "A 50854-2020")</f>
        <v/>
      </c>
      <c r="W89">
        <f>HYPERLINK("https://klasma.github.io/Logging_1737/klagomålsmail/A 50854-2020 FSC-klagomål mail.docx", "A 50854-2020")</f>
        <v/>
      </c>
      <c r="X89">
        <f>HYPERLINK("https://klasma.github.io/Logging_1737/tillsyn/A 50854-2020 tillsynsbegäran.docx", "A 50854-2020")</f>
        <v/>
      </c>
      <c r="Y89">
        <f>HYPERLINK("https://klasma.github.io/Logging_1737/tillsynsmail/A 50854-2020 tillsynsbegäran mail.docx", "A 50854-2020")</f>
        <v/>
      </c>
    </row>
    <row r="90" ht="15" customHeight="1">
      <c r="A90" t="inlineStr">
        <is>
          <t>A 50089-2020</t>
        </is>
      </c>
      <c r="B90" s="1" t="n">
        <v>44109</v>
      </c>
      <c r="C90" s="1" t="n">
        <v>45291</v>
      </c>
      <c r="D90" t="inlineStr">
        <is>
          <t>VÄRMLANDS LÄN</t>
        </is>
      </c>
      <c r="E90" t="inlineStr">
        <is>
          <t>TORSBY</t>
        </is>
      </c>
      <c r="G90" t="n">
        <v>0.9</v>
      </c>
      <c r="H90" t="n">
        <v>1</v>
      </c>
      <c r="I90" t="n">
        <v>0</v>
      </c>
      <c r="J90" t="n">
        <v>1</v>
      </c>
      <c r="K90" t="n">
        <v>0</v>
      </c>
      <c r="L90" t="n">
        <v>0</v>
      </c>
      <c r="M90" t="n">
        <v>0</v>
      </c>
      <c r="N90" t="n">
        <v>0</v>
      </c>
      <c r="O90" t="n">
        <v>1</v>
      </c>
      <c r="P90" t="n">
        <v>0</v>
      </c>
      <c r="Q90" t="n">
        <v>1</v>
      </c>
      <c r="R90" s="2" t="inlineStr">
        <is>
          <t>Spillkråka</t>
        </is>
      </c>
      <c r="S90">
        <f>HYPERLINK("https://klasma.github.io/Logging_1737/artfynd/A 50089-2020 artfynd.xlsx", "A 50089-2020")</f>
        <v/>
      </c>
      <c r="T90">
        <f>HYPERLINK("https://klasma.github.io/Logging_1737/kartor/A 50089-2020 karta.png", "A 50089-2020")</f>
        <v/>
      </c>
      <c r="V90">
        <f>HYPERLINK("https://klasma.github.io/Logging_1737/klagomål/A 50089-2020 FSC-klagomål.docx", "A 50089-2020")</f>
        <v/>
      </c>
      <c r="W90">
        <f>HYPERLINK("https://klasma.github.io/Logging_1737/klagomålsmail/A 50089-2020 FSC-klagomål mail.docx", "A 50089-2020")</f>
        <v/>
      </c>
      <c r="X90">
        <f>HYPERLINK("https://klasma.github.io/Logging_1737/tillsyn/A 50089-2020 tillsynsbegäran.docx", "A 50089-2020")</f>
        <v/>
      </c>
      <c r="Y90">
        <f>HYPERLINK("https://klasma.github.io/Logging_1737/tillsynsmail/A 50089-2020 tillsynsbegäran mail.docx", "A 50089-2020")</f>
        <v/>
      </c>
    </row>
    <row r="91" ht="15" customHeight="1">
      <c r="A91" t="inlineStr">
        <is>
          <t>A 53491-2020</t>
        </is>
      </c>
      <c r="B91" s="1" t="n">
        <v>44123</v>
      </c>
      <c r="C91" s="1" t="n">
        <v>45291</v>
      </c>
      <c r="D91" t="inlineStr">
        <is>
          <t>VÄRMLANDS LÄN</t>
        </is>
      </c>
      <c r="E91" t="inlineStr">
        <is>
          <t>TORSBY</t>
        </is>
      </c>
      <c r="G91" t="n">
        <v>1.5</v>
      </c>
      <c r="H91" t="n">
        <v>0</v>
      </c>
      <c r="I91" t="n">
        <v>0</v>
      </c>
      <c r="J91" t="n">
        <v>1</v>
      </c>
      <c r="K91" t="n">
        <v>0</v>
      </c>
      <c r="L91" t="n">
        <v>0</v>
      </c>
      <c r="M91" t="n">
        <v>0</v>
      </c>
      <c r="N91" t="n">
        <v>0</v>
      </c>
      <c r="O91" t="n">
        <v>1</v>
      </c>
      <c r="P91" t="n">
        <v>0</v>
      </c>
      <c r="Q91" t="n">
        <v>1</v>
      </c>
      <c r="R91" s="2" t="inlineStr">
        <is>
          <t>Garnlav</t>
        </is>
      </c>
      <c r="S91">
        <f>HYPERLINK("https://klasma.github.io/Logging_1737/artfynd/A 53491-2020 artfynd.xlsx", "A 53491-2020")</f>
        <v/>
      </c>
      <c r="T91">
        <f>HYPERLINK("https://klasma.github.io/Logging_1737/kartor/A 53491-2020 karta.png", "A 53491-2020")</f>
        <v/>
      </c>
      <c r="V91">
        <f>HYPERLINK("https://klasma.github.io/Logging_1737/klagomål/A 53491-2020 FSC-klagomål.docx", "A 53491-2020")</f>
        <v/>
      </c>
      <c r="W91">
        <f>HYPERLINK("https://klasma.github.io/Logging_1737/klagomålsmail/A 53491-2020 FSC-klagomål mail.docx", "A 53491-2020")</f>
        <v/>
      </c>
      <c r="X91">
        <f>HYPERLINK("https://klasma.github.io/Logging_1737/tillsyn/A 53491-2020 tillsynsbegäran.docx", "A 53491-2020")</f>
        <v/>
      </c>
      <c r="Y91">
        <f>HYPERLINK("https://klasma.github.io/Logging_1737/tillsynsmail/A 53491-2020 tillsynsbegäran mail.docx", "A 53491-2020")</f>
        <v/>
      </c>
    </row>
    <row r="92" ht="15" customHeight="1">
      <c r="A92" t="inlineStr">
        <is>
          <t>A 8747-2021</t>
        </is>
      </c>
      <c r="B92" s="1" t="n">
        <v>44246</v>
      </c>
      <c r="C92" s="1" t="n">
        <v>45291</v>
      </c>
      <c r="D92" t="inlineStr">
        <is>
          <t>VÄRMLANDS LÄN</t>
        </is>
      </c>
      <c r="E92" t="inlineStr">
        <is>
          <t>TORSBY</t>
        </is>
      </c>
      <c r="G92" t="n">
        <v>8.5</v>
      </c>
      <c r="H92" t="n">
        <v>0</v>
      </c>
      <c r="I92" t="n">
        <v>0</v>
      </c>
      <c r="J92" t="n">
        <v>1</v>
      </c>
      <c r="K92" t="n">
        <v>0</v>
      </c>
      <c r="L92" t="n">
        <v>0</v>
      </c>
      <c r="M92" t="n">
        <v>0</v>
      </c>
      <c r="N92" t="n">
        <v>0</v>
      </c>
      <c r="O92" t="n">
        <v>1</v>
      </c>
      <c r="P92" t="n">
        <v>0</v>
      </c>
      <c r="Q92" t="n">
        <v>1</v>
      </c>
      <c r="R92" s="2" t="inlineStr">
        <is>
          <t>Garnlav</t>
        </is>
      </c>
      <c r="S92">
        <f>HYPERLINK("https://klasma.github.io/Logging_1737/artfynd/A 8747-2021 artfynd.xlsx", "A 8747-2021")</f>
        <v/>
      </c>
      <c r="T92">
        <f>HYPERLINK("https://klasma.github.io/Logging_1737/kartor/A 8747-2021 karta.png", "A 8747-2021")</f>
        <v/>
      </c>
      <c r="V92">
        <f>HYPERLINK("https://klasma.github.io/Logging_1737/klagomål/A 8747-2021 FSC-klagomål.docx", "A 8747-2021")</f>
        <v/>
      </c>
      <c r="W92">
        <f>HYPERLINK("https://klasma.github.io/Logging_1737/klagomålsmail/A 8747-2021 FSC-klagomål mail.docx", "A 8747-2021")</f>
        <v/>
      </c>
      <c r="X92">
        <f>HYPERLINK("https://klasma.github.io/Logging_1737/tillsyn/A 8747-2021 tillsynsbegäran.docx", "A 8747-2021")</f>
        <v/>
      </c>
      <c r="Y92">
        <f>HYPERLINK("https://klasma.github.io/Logging_1737/tillsynsmail/A 8747-2021 tillsynsbegäran mail.docx", "A 8747-2021")</f>
        <v/>
      </c>
    </row>
    <row r="93" ht="15" customHeight="1">
      <c r="A93" t="inlineStr">
        <is>
          <t>A 24042-2021</t>
        </is>
      </c>
      <c r="B93" s="1" t="n">
        <v>44336</v>
      </c>
      <c r="C93" s="1" t="n">
        <v>45291</v>
      </c>
      <c r="D93" t="inlineStr">
        <is>
          <t>VÄRMLANDS LÄN</t>
        </is>
      </c>
      <c r="E93" t="inlineStr">
        <is>
          <t>TORSBY</t>
        </is>
      </c>
      <c r="G93" t="n">
        <v>4.5</v>
      </c>
      <c r="H93" t="n">
        <v>0</v>
      </c>
      <c r="I93" t="n">
        <v>1</v>
      </c>
      <c r="J93" t="n">
        <v>0</v>
      </c>
      <c r="K93" t="n">
        <v>0</v>
      </c>
      <c r="L93" t="n">
        <v>0</v>
      </c>
      <c r="M93" t="n">
        <v>0</v>
      </c>
      <c r="N93" t="n">
        <v>0</v>
      </c>
      <c r="O93" t="n">
        <v>0</v>
      </c>
      <c r="P93" t="n">
        <v>0</v>
      </c>
      <c r="Q93" t="n">
        <v>1</v>
      </c>
      <c r="R93" s="2" t="inlineStr">
        <is>
          <t>Stuplav</t>
        </is>
      </c>
      <c r="S93">
        <f>HYPERLINK("https://klasma.github.io/Logging_1737/artfynd/A 24042-2021 artfynd.xlsx", "A 24042-2021")</f>
        <v/>
      </c>
      <c r="T93">
        <f>HYPERLINK("https://klasma.github.io/Logging_1737/kartor/A 24042-2021 karta.png", "A 24042-2021")</f>
        <v/>
      </c>
      <c r="V93">
        <f>HYPERLINK("https://klasma.github.io/Logging_1737/klagomål/A 24042-2021 FSC-klagomål.docx", "A 24042-2021")</f>
        <v/>
      </c>
      <c r="W93">
        <f>HYPERLINK("https://klasma.github.io/Logging_1737/klagomålsmail/A 24042-2021 FSC-klagomål mail.docx", "A 24042-2021")</f>
        <v/>
      </c>
      <c r="X93">
        <f>HYPERLINK("https://klasma.github.io/Logging_1737/tillsyn/A 24042-2021 tillsynsbegäran.docx", "A 24042-2021")</f>
        <v/>
      </c>
      <c r="Y93">
        <f>HYPERLINK("https://klasma.github.io/Logging_1737/tillsynsmail/A 24042-2021 tillsynsbegäran mail.docx", "A 24042-2021")</f>
        <v/>
      </c>
    </row>
    <row r="94" ht="15" customHeight="1">
      <c r="A94" t="inlineStr">
        <is>
          <t>A 34876-2021</t>
        </is>
      </c>
      <c r="B94" s="1" t="n">
        <v>44383</v>
      </c>
      <c r="C94" s="1" t="n">
        <v>45291</v>
      </c>
      <c r="D94" t="inlineStr">
        <is>
          <t>VÄRMLANDS LÄN</t>
        </is>
      </c>
      <c r="E94" t="inlineStr">
        <is>
          <t>TORSBY</t>
        </is>
      </c>
      <c r="G94" t="n">
        <v>4.7</v>
      </c>
      <c r="H94" t="n">
        <v>0</v>
      </c>
      <c r="I94" t="n">
        <v>0</v>
      </c>
      <c r="J94" t="n">
        <v>1</v>
      </c>
      <c r="K94" t="n">
        <v>0</v>
      </c>
      <c r="L94" t="n">
        <v>0</v>
      </c>
      <c r="M94" t="n">
        <v>0</v>
      </c>
      <c r="N94" t="n">
        <v>0</v>
      </c>
      <c r="O94" t="n">
        <v>1</v>
      </c>
      <c r="P94" t="n">
        <v>0</v>
      </c>
      <c r="Q94" t="n">
        <v>1</v>
      </c>
      <c r="R94" s="2" t="inlineStr">
        <is>
          <t>Doftskinn</t>
        </is>
      </c>
      <c r="S94">
        <f>HYPERLINK("https://klasma.github.io/Logging_1737/artfynd/A 34876-2021 artfynd.xlsx", "A 34876-2021")</f>
        <v/>
      </c>
      <c r="T94">
        <f>HYPERLINK("https://klasma.github.io/Logging_1737/kartor/A 34876-2021 karta.png", "A 34876-2021")</f>
        <v/>
      </c>
      <c r="V94">
        <f>HYPERLINK("https://klasma.github.io/Logging_1737/klagomål/A 34876-2021 FSC-klagomål.docx", "A 34876-2021")</f>
        <v/>
      </c>
      <c r="W94">
        <f>HYPERLINK("https://klasma.github.io/Logging_1737/klagomålsmail/A 34876-2021 FSC-klagomål mail.docx", "A 34876-2021")</f>
        <v/>
      </c>
      <c r="X94">
        <f>HYPERLINK("https://klasma.github.io/Logging_1737/tillsyn/A 34876-2021 tillsynsbegäran.docx", "A 34876-2021")</f>
        <v/>
      </c>
      <c r="Y94">
        <f>HYPERLINK("https://klasma.github.io/Logging_1737/tillsynsmail/A 34876-2021 tillsynsbegäran mail.docx", "A 34876-2021")</f>
        <v/>
      </c>
    </row>
    <row r="95" ht="15" customHeight="1">
      <c r="A95" t="inlineStr">
        <is>
          <t>A 34853-2021</t>
        </is>
      </c>
      <c r="B95" s="1" t="n">
        <v>44383</v>
      </c>
      <c r="C95" s="1" t="n">
        <v>45291</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row>
    <row r="96" ht="15" customHeight="1">
      <c r="A96" t="inlineStr">
        <is>
          <t>A 40265-2021</t>
        </is>
      </c>
      <c r="B96" s="1" t="n">
        <v>44419</v>
      </c>
      <c r="C96" s="1" t="n">
        <v>45291</v>
      </c>
      <c r="D96" t="inlineStr">
        <is>
          <t>VÄRMLANDS LÄN</t>
        </is>
      </c>
      <c r="E96" t="inlineStr">
        <is>
          <t>TORSBY</t>
        </is>
      </c>
      <c r="F96" t="inlineStr">
        <is>
          <t>Bergvik skog väst AB</t>
        </is>
      </c>
      <c r="G96" t="n">
        <v>5.7</v>
      </c>
      <c r="H96" t="n">
        <v>1</v>
      </c>
      <c r="I96" t="n">
        <v>0</v>
      </c>
      <c r="J96" t="n">
        <v>1</v>
      </c>
      <c r="K96" t="n">
        <v>0</v>
      </c>
      <c r="L96" t="n">
        <v>0</v>
      </c>
      <c r="M96" t="n">
        <v>0</v>
      </c>
      <c r="N96" t="n">
        <v>0</v>
      </c>
      <c r="O96" t="n">
        <v>1</v>
      </c>
      <c r="P96" t="n">
        <v>0</v>
      </c>
      <c r="Q96" t="n">
        <v>1</v>
      </c>
      <c r="R96" s="2" t="inlineStr">
        <is>
          <t>Nordfladdermus</t>
        </is>
      </c>
      <c r="S96">
        <f>HYPERLINK("https://klasma.github.io/Logging_1737/artfynd/A 40265-2021 artfynd.xlsx", "A 40265-2021")</f>
        <v/>
      </c>
      <c r="T96">
        <f>HYPERLINK("https://klasma.github.io/Logging_1737/kartor/A 40265-2021 karta.png", "A 40265-2021")</f>
        <v/>
      </c>
      <c r="V96">
        <f>HYPERLINK("https://klasma.github.io/Logging_1737/klagomål/A 40265-2021 FSC-klagomål.docx", "A 40265-2021")</f>
        <v/>
      </c>
      <c r="W96">
        <f>HYPERLINK("https://klasma.github.io/Logging_1737/klagomålsmail/A 40265-2021 FSC-klagomål mail.docx", "A 40265-2021")</f>
        <v/>
      </c>
      <c r="X96">
        <f>HYPERLINK("https://klasma.github.io/Logging_1737/tillsyn/A 40265-2021 tillsynsbegäran.docx", "A 40265-2021")</f>
        <v/>
      </c>
      <c r="Y96">
        <f>HYPERLINK("https://klasma.github.io/Logging_1737/tillsynsmail/A 40265-2021 tillsynsbegäran mail.docx", "A 40265-2021")</f>
        <v/>
      </c>
    </row>
    <row r="97" ht="15" customHeight="1">
      <c r="A97" t="inlineStr">
        <is>
          <t>A 49110-2021</t>
        </is>
      </c>
      <c r="B97" s="1" t="n">
        <v>44453</v>
      </c>
      <c r="C97" s="1" t="n">
        <v>45291</v>
      </c>
      <c r="D97" t="inlineStr">
        <is>
          <t>VÄRMLANDS LÄN</t>
        </is>
      </c>
      <c r="E97" t="inlineStr">
        <is>
          <t>TORSBY</t>
        </is>
      </c>
      <c r="G97" t="n">
        <v>33.8</v>
      </c>
      <c r="H97" t="n">
        <v>0</v>
      </c>
      <c r="I97" t="n">
        <v>1</v>
      </c>
      <c r="J97" t="n">
        <v>0</v>
      </c>
      <c r="K97" t="n">
        <v>0</v>
      </c>
      <c r="L97" t="n">
        <v>0</v>
      </c>
      <c r="M97" t="n">
        <v>0</v>
      </c>
      <c r="N97" t="n">
        <v>0</v>
      </c>
      <c r="O97" t="n">
        <v>0</v>
      </c>
      <c r="P97" t="n">
        <v>0</v>
      </c>
      <c r="Q97" t="n">
        <v>1</v>
      </c>
      <c r="R97" s="2" t="inlineStr">
        <is>
          <t>Vedticka</t>
        </is>
      </c>
      <c r="S97">
        <f>HYPERLINK("https://klasma.github.io/Logging_1737/artfynd/A 49110-2021 artfynd.xlsx", "A 49110-2021")</f>
        <v/>
      </c>
      <c r="T97">
        <f>HYPERLINK("https://klasma.github.io/Logging_1737/kartor/A 49110-2021 karta.png", "A 49110-2021")</f>
        <v/>
      </c>
      <c r="V97">
        <f>HYPERLINK("https://klasma.github.io/Logging_1737/klagomål/A 49110-2021 FSC-klagomål.docx", "A 49110-2021")</f>
        <v/>
      </c>
      <c r="W97">
        <f>HYPERLINK("https://klasma.github.io/Logging_1737/klagomålsmail/A 49110-2021 FSC-klagomål mail.docx", "A 49110-2021")</f>
        <v/>
      </c>
      <c r="X97">
        <f>HYPERLINK("https://klasma.github.io/Logging_1737/tillsyn/A 49110-2021 tillsynsbegäran.docx", "A 49110-2021")</f>
        <v/>
      </c>
      <c r="Y97">
        <f>HYPERLINK("https://klasma.github.io/Logging_1737/tillsynsmail/A 49110-2021 tillsynsbegäran mail.docx", "A 49110-2021")</f>
        <v/>
      </c>
    </row>
    <row r="98" ht="15" customHeight="1">
      <c r="A98" t="inlineStr">
        <is>
          <t>A 54982-2021</t>
        </is>
      </c>
      <c r="B98" s="1" t="n">
        <v>44469</v>
      </c>
      <c r="C98" s="1" t="n">
        <v>45291</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58471-2021</t>
        </is>
      </c>
      <c r="B99" s="1" t="n">
        <v>44488</v>
      </c>
      <c r="C99" s="1" t="n">
        <v>45291</v>
      </c>
      <c r="D99" t="inlineStr">
        <is>
          <t>VÄRMLANDS LÄN</t>
        </is>
      </c>
      <c r="E99" t="inlineStr">
        <is>
          <t>TORSBY</t>
        </is>
      </c>
      <c r="G99" t="n">
        <v>2.5</v>
      </c>
      <c r="H99" t="n">
        <v>0</v>
      </c>
      <c r="I99" t="n">
        <v>1</v>
      </c>
      <c r="J99" t="n">
        <v>0</v>
      </c>
      <c r="K99" t="n">
        <v>0</v>
      </c>
      <c r="L99" t="n">
        <v>0</v>
      </c>
      <c r="M99" t="n">
        <v>0</v>
      </c>
      <c r="N99" t="n">
        <v>0</v>
      </c>
      <c r="O99" t="n">
        <v>0</v>
      </c>
      <c r="P99" t="n">
        <v>0</v>
      </c>
      <c r="Q99" t="n">
        <v>1</v>
      </c>
      <c r="R99" s="2" t="inlineStr">
        <is>
          <t>Korallblylav</t>
        </is>
      </c>
      <c r="S99">
        <f>HYPERLINK("https://klasma.github.io/Logging_1737/artfynd/A 58471-2021 artfynd.xlsx", "A 58471-2021")</f>
        <v/>
      </c>
      <c r="T99">
        <f>HYPERLINK("https://klasma.github.io/Logging_1737/kartor/A 58471-2021 karta.png", "A 58471-2021")</f>
        <v/>
      </c>
      <c r="V99">
        <f>HYPERLINK("https://klasma.github.io/Logging_1737/klagomål/A 58471-2021 FSC-klagomål.docx", "A 58471-2021")</f>
        <v/>
      </c>
      <c r="W99">
        <f>HYPERLINK("https://klasma.github.io/Logging_1737/klagomålsmail/A 58471-2021 FSC-klagomål mail.docx", "A 58471-2021")</f>
        <v/>
      </c>
      <c r="X99">
        <f>HYPERLINK("https://klasma.github.io/Logging_1737/tillsyn/A 58471-2021 tillsynsbegäran.docx", "A 58471-2021")</f>
        <v/>
      </c>
      <c r="Y99">
        <f>HYPERLINK("https://klasma.github.io/Logging_1737/tillsynsmail/A 58471-2021 tillsynsbegäran mail.docx", "A 58471-2021")</f>
        <v/>
      </c>
    </row>
    <row r="100" ht="15" customHeight="1">
      <c r="A100" t="inlineStr">
        <is>
          <t>A 61813-2021</t>
        </is>
      </c>
      <c r="B100" s="1" t="n">
        <v>44501</v>
      </c>
      <c r="C100" s="1" t="n">
        <v>45291</v>
      </c>
      <c r="D100" t="inlineStr">
        <is>
          <t>VÄRMLANDS LÄN</t>
        </is>
      </c>
      <c r="E100" t="inlineStr">
        <is>
          <t>TORSBY</t>
        </is>
      </c>
      <c r="G100" t="n">
        <v>4.9</v>
      </c>
      <c r="H100" t="n">
        <v>0</v>
      </c>
      <c r="I100" t="n">
        <v>0</v>
      </c>
      <c r="J100" t="n">
        <v>1</v>
      </c>
      <c r="K100" t="n">
        <v>0</v>
      </c>
      <c r="L100" t="n">
        <v>0</v>
      </c>
      <c r="M100" t="n">
        <v>0</v>
      </c>
      <c r="N100" t="n">
        <v>0</v>
      </c>
      <c r="O100" t="n">
        <v>1</v>
      </c>
      <c r="P100" t="n">
        <v>0</v>
      </c>
      <c r="Q100" t="n">
        <v>1</v>
      </c>
      <c r="R100" s="2" t="inlineStr">
        <is>
          <t>Tallticka</t>
        </is>
      </c>
      <c r="S100">
        <f>HYPERLINK("https://klasma.github.io/Logging_1737/artfynd/A 61813-2021 artfynd.xlsx", "A 61813-2021")</f>
        <v/>
      </c>
      <c r="T100">
        <f>HYPERLINK("https://klasma.github.io/Logging_1737/kartor/A 61813-2021 karta.png", "A 61813-2021")</f>
        <v/>
      </c>
      <c r="V100">
        <f>HYPERLINK("https://klasma.github.io/Logging_1737/klagomål/A 61813-2021 FSC-klagomål.docx", "A 61813-2021")</f>
        <v/>
      </c>
      <c r="W100">
        <f>HYPERLINK("https://klasma.github.io/Logging_1737/klagomålsmail/A 61813-2021 FSC-klagomål mail.docx", "A 61813-2021")</f>
        <v/>
      </c>
      <c r="X100">
        <f>HYPERLINK("https://klasma.github.io/Logging_1737/tillsyn/A 61813-2021 tillsynsbegäran.docx", "A 61813-2021")</f>
        <v/>
      </c>
      <c r="Y100">
        <f>HYPERLINK("https://klasma.github.io/Logging_1737/tillsynsmail/A 61813-2021 tillsynsbegäran mail.docx", "A 61813-2021")</f>
        <v/>
      </c>
    </row>
    <row r="101" ht="15" customHeight="1">
      <c r="A101" t="inlineStr">
        <is>
          <t>A 65767-2021</t>
        </is>
      </c>
      <c r="B101" s="1" t="n">
        <v>44516</v>
      </c>
      <c r="C101" s="1" t="n">
        <v>45291</v>
      </c>
      <c r="D101" t="inlineStr">
        <is>
          <t>VÄRMLANDS LÄN</t>
        </is>
      </c>
      <c r="E101" t="inlineStr">
        <is>
          <t>TORSBY</t>
        </is>
      </c>
      <c r="G101" t="n">
        <v>7.5</v>
      </c>
      <c r="H101" t="n">
        <v>0</v>
      </c>
      <c r="I101" t="n">
        <v>1</v>
      </c>
      <c r="J101" t="n">
        <v>0</v>
      </c>
      <c r="K101" t="n">
        <v>0</v>
      </c>
      <c r="L101" t="n">
        <v>0</v>
      </c>
      <c r="M101" t="n">
        <v>0</v>
      </c>
      <c r="N101" t="n">
        <v>0</v>
      </c>
      <c r="O101" t="n">
        <v>0</v>
      </c>
      <c r="P101" t="n">
        <v>0</v>
      </c>
      <c r="Q101" t="n">
        <v>1</v>
      </c>
      <c r="R101" s="2" t="inlineStr">
        <is>
          <t>Mörk husmossa</t>
        </is>
      </c>
      <c r="S101">
        <f>HYPERLINK("https://klasma.github.io/Logging_1737/artfynd/A 65767-2021 artfynd.xlsx", "A 65767-2021")</f>
        <v/>
      </c>
      <c r="T101">
        <f>HYPERLINK("https://klasma.github.io/Logging_1737/kartor/A 65767-2021 karta.png", "A 65767-2021")</f>
        <v/>
      </c>
      <c r="V101">
        <f>HYPERLINK("https://klasma.github.io/Logging_1737/klagomål/A 65767-2021 FSC-klagomål.docx", "A 65767-2021")</f>
        <v/>
      </c>
      <c r="W101">
        <f>HYPERLINK("https://klasma.github.io/Logging_1737/klagomålsmail/A 65767-2021 FSC-klagomål mail.docx", "A 65767-2021")</f>
        <v/>
      </c>
      <c r="X101">
        <f>HYPERLINK("https://klasma.github.io/Logging_1737/tillsyn/A 65767-2021 tillsynsbegäran.docx", "A 65767-2021")</f>
        <v/>
      </c>
      <c r="Y101">
        <f>HYPERLINK("https://klasma.github.io/Logging_1737/tillsynsmail/A 65767-2021 tillsynsbegäran mail.docx", "A 65767-2021")</f>
        <v/>
      </c>
    </row>
    <row r="102" ht="15" customHeight="1">
      <c r="A102" t="inlineStr">
        <is>
          <t>A 71594-2021</t>
        </is>
      </c>
      <c r="B102" s="1" t="n">
        <v>44541</v>
      </c>
      <c r="C102" s="1" t="n">
        <v>45291</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3404-2022</t>
        </is>
      </c>
      <c r="B103" s="1" t="n">
        <v>44585</v>
      </c>
      <c r="C103" s="1" t="n">
        <v>45291</v>
      </c>
      <c r="D103" t="inlineStr">
        <is>
          <t>VÄRMLANDS LÄN</t>
        </is>
      </c>
      <c r="E103" t="inlineStr">
        <is>
          <t>TORSBY</t>
        </is>
      </c>
      <c r="G103" t="n">
        <v>1</v>
      </c>
      <c r="H103" t="n">
        <v>0</v>
      </c>
      <c r="I103" t="n">
        <v>0</v>
      </c>
      <c r="J103" t="n">
        <v>1</v>
      </c>
      <c r="K103" t="n">
        <v>0</v>
      </c>
      <c r="L103" t="n">
        <v>0</v>
      </c>
      <c r="M103" t="n">
        <v>0</v>
      </c>
      <c r="N103" t="n">
        <v>0</v>
      </c>
      <c r="O103" t="n">
        <v>1</v>
      </c>
      <c r="P103" t="n">
        <v>0</v>
      </c>
      <c r="Q103" t="n">
        <v>1</v>
      </c>
      <c r="R103" s="2" t="inlineStr">
        <is>
          <t>Vedtrappmossa</t>
        </is>
      </c>
      <c r="S103">
        <f>HYPERLINK("https://klasma.github.io/Logging_1737/artfynd/A 3404-2022 artfynd.xlsx", "A 3404-2022")</f>
        <v/>
      </c>
      <c r="T103">
        <f>HYPERLINK("https://klasma.github.io/Logging_1737/kartor/A 3404-2022 karta.png", "A 3404-2022")</f>
        <v/>
      </c>
      <c r="V103">
        <f>HYPERLINK("https://klasma.github.io/Logging_1737/klagomål/A 3404-2022 FSC-klagomål.docx", "A 3404-2022")</f>
        <v/>
      </c>
      <c r="W103">
        <f>HYPERLINK("https://klasma.github.io/Logging_1737/klagomålsmail/A 3404-2022 FSC-klagomål mail.docx", "A 3404-2022")</f>
        <v/>
      </c>
      <c r="X103">
        <f>HYPERLINK("https://klasma.github.io/Logging_1737/tillsyn/A 3404-2022 tillsynsbegäran.docx", "A 3404-2022")</f>
        <v/>
      </c>
      <c r="Y103">
        <f>HYPERLINK("https://klasma.github.io/Logging_1737/tillsynsmail/A 3404-2022 tillsynsbegäran mail.docx", "A 3404-2022")</f>
        <v/>
      </c>
    </row>
    <row r="104" ht="15" customHeight="1">
      <c r="A104" t="inlineStr">
        <is>
          <t>A 22174-2022</t>
        </is>
      </c>
      <c r="B104" s="1" t="n">
        <v>44712</v>
      </c>
      <c r="C104" s="1" t="n">
        <v>45291</v>
      </c>
      <c r="D104" t="inlineStr">
        <is>
          <t>VÄRMLANDS LÄN</t>
        </is>
      </c>
      <c r="E104" t="inlineStr">
        <is>
          <t>TORSBY</t>
        </is>
      </c>
      <c r="G104" t="n">
        <v>11</v>
      </c>
      <c r="H104" t="n">
        <v>1</v>
      </c>
      <c r="I104" t="n">
        <v>0</v>
      </c>
      <c r="J104" t="n">
        <v>0</v>
      </c>
      <c r="K104" t="n">
        <v>0</v>
      </c>
      <c r="L104" t="n">
        <v>0</v>
      </c>
      <c r="M104" t="n">
        <v>0</v>
      </c>
      <c r="N104" t="n">
        <v>0</v>
      </c>
      <c r="O104" t="n">
        <v>0</v>
      </c>
      <c r="P104" t="n">
        <v>0</v>
      </c>
      <c r="Q104" t="n">
        <v>1</v>
      </c>
      <c r="R104" s="2" t="inlineStr">
        <is>
          <t>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25999-2022</t>
        </is>
      </c>
      <c r="B105" s="1" t="n">
        <v>44734</v>
      </c>
      <c r="C105" s="1" t="n">
        <v>45291</v>
      </c>
      <c r="D105" t="inlineStr">
        <is>
          <t>VÄRMLANDS LÄN</t>
        </is>
      </c>
      <c r="E105" t="inlineStr">
        <is>
          <t>TORSBY</t>
        </is>
      </c>
      <c r="G105" t="n">
        <v>0.6</v>
      </c>
      <c r="H105" t="n">
        <v>0</v>
      </c>
      <c r="I105" t="n">
        <v>1</v>
      </c>
      <c r="J105" t="n">
        <v>0</v>
      </c>
      <c r="K105" t="n">
        <v>0</v>
      </c>
      <c r="L105" t="n">
        <v>0</v>
      </c>
      <c r="M105" t="n">
        <v>0</v>
      </c>
      <c r="N105" t="n">
        <v>0</v>
      </c>
      <c r="O105" t="n">
        <v>0</v>
      </c>
      <c r="P105" t="n">
        <v>0</v>
      </c>
      <c r="Q105" t="n">
        <v>1</v>
      </c>
      <c r="R105" s="2" t="inlineStr">
        <is>
          <t>Korallblylav</t>
        </is>
      </c>
      <c r="S105">
        <f>HYPERLINK("https://klasma.github.io/Logging_1737/artfynd/A 25999-2022 artfynd.xlsx", "A 25999-2022")</f>
        <v/>
      </c>
      <c r="T105">
        <f>HYPERLINK("https://klasma.github.io/Logging_1737/kartor/A 25999-2022 karta.png", "A 25999-2022")</f>
        <v/>
      </c>
      <c r="V105">
        <f>HYPERLINK("https://klasma.github.io/Logging_1737/klagomål/A 25999-2022 FSC-klagomål.docx", "A 25999-2022")</f>
        <v/>
      </c>
      <c r="W105">
        <f>HYPERLINK("https://klasma.github.io/Logging_1737/klagomålsmail/A 25999-2022 FSC-klagomål mail.docx", "A 25999-2022")</f>
        <v/>
      </c>
      <c r="X105">
        <f>HYPERLINK("https://klasma.github.io/Logging_1737/tillsyn/A 25999-2022 tillsynsbegäran.docx", "A 25999-2022")</f>
        <v/>
      </c>
      <c r="Y105">
        <f>HYPERLINK("https://klasma.github.io/Logging_1737/tillsynsmail/A 25999-2022 tillsynsbegäran mail.docx", "A 25999-2022")</f>
        <v/>
      </c>
    </row>
    <row r="106" ht="15" customHeight="1">
      <c r="A106" t="inlineStr">
        <is>
          <t>A 35709-2022</t>
        </is>
      </c>
      <c r="B106" s="1" t="n">
        <v>44799</v>
      </c>
      <c r="C106" s="1" t="n">
        <v>45291</v>
      </c>
      <c r="D106" t="inlineStr">
        <is>
          <t>VÄRMLANDS LÄN</t>
        </is>
      </c>
      <c r="E106" t="inlineStr">
        <is>
          <t>TORSBY</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HYPERLINK("https://klasma.github.io/Logging_1737/artfynd/A 35709-2022 artfynd.xlsx", "A 35709-2022")</f>
        <v/>
      </c>
      <c r="T106">
        <f>HYPERLINK("https://klasma.github.io/Logging_1737/kartor/A 35709-2022 karta.png", "A 35709-2022")</f>
        <v/>
      </c>
      <c r="V106">
        <f>HYPERLINK("https://klasma.github.io/Logging_1737/klagomål/A 35709-2022 FSC-klagomål.docx", "A 35709-2022")</f>
        <v/>
      </c>
      <c r="W106">
        <f>HYPERLINK("https://klasma.github.io/Logging_1737/klagomålsmail/A 35709-2022 FSC-klagomål mail.docx", "A 35709-2022")</f>
        <v/>
      </c>
      <c r="X106">
        <f>HYPERLINK("https://klasma.github.io/Logging_1737/tillsyn/A 35709-2022 tillsynsbegäran.docx", "A 35709-2022")</f>
        <v/>
      </c>
      <c r="Y106">
        <f>HYPERLINK("https://klasma.github.io/Logging_1737/tillsynsmail/A 35709-2022 tillsynsbegäran mail.docx", "A 35709-2022")</f>
        <v/>
      </c>
    </row>
    <row r="107" ht="15" customHeight="1">
      <c r="A107" t="inlineStr">
        <is>
          <t>A 42500-2022</t>
        </is>
      </c>
      <c r="B107" s="1" t="n">
        <v>44831</v>
      </c>
      <c r="C107" s="1" t="n">
        <v>45291</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44007-2022</t>
        </is>
      </c>
      <c r="B108" s="1" t="n">
        <v>44838</v>
      </c>
      <c r="C108" s="1" t="n">
        <v>45291</v>
      </c>
      <c r="D108" t="inlineStr">
        <is>
          <t>VÄRMLANDS LÄN</t>
        </is>
      </c>
      <c r="E108" t="inlineStr">
        <is>
          <t>TORSBY</t>
        </is>
      </c>
      <c r="F108" t="inlineStr">
        <is>
          <t>Bergvik skog väst AB</t>
        </is>
      </c>
      <c r="G108" t="n">
        <v>8</v>
      </c>
      <c r="H108" t="n">
        <v>1</v>
      </c>
      <c r="I108" t="n">
        <v>0</v>
      </c>
      <c r="J108" t="n">
        <v>1</v>
      </c>
      <c r="K108" t="n">
        <v>0</v>
      </c>
      <c r="L108" t="n">
        <v>0</v>
      </c>
      <c r="M108" t="n">
        <v>0</v>
      </c>
      <c r="N108" t="n">
        <v>0</v>
      </c>
      <c r="O108" t="n">
        <v>1</v>
      </c>
      <c r="P108" t="n">
        <v>0</v>
      </c>
      <c r="Q108" t="n">
        <v>1</v>
      </c>
      <c r="R108" s="2" t="inlineStr">
        <is>
          <t>Utter</t>
        </is>
      </c>
      <c r="S108">
        <f>HYPERLINK("https://klasma.github.io/Logging_1737/artfynd/A 44007-2022 artfynd.xlsx", "A 44007-2022")</f>
        <v/>
      </c>
      <c r="T108">
        <f>HYPERLINK("https://klasma.github.io/Logging_1737/kartor/A 44007-2022 karta.png", "A 44007-2022")</f>
        <v/>
      </c>
      <c r="V108">
        <f>HYPERLINK("https://klasma.github.io/Logging_1737/klagomål/A 44007-2022 FSC-klagomål.docx", "A 44007-2022")</f>
        <v/>
      </c>
      <c r="W108">
        <f>HYPERLINK("https://klasma.github.io/Logging_1737/klagomålsmail/A 44007-2022 FSC-klagomål mail.docx", "A 44007-2022")</f>
        <v/>
      </c>
      <c r="X108">
        <f>HYPERLINK("https://klasma.github.io/Logging_1737/tillsyn/A 44007-2022 tillsynsbegäran.docx", "A 44007-2022")</f>
        <v/>
      </c>
      <c r="Y108">
        <f>HYPERLINK("https://klasma.github.io/Logging_1737/tillsynsmail/A 44007-2022 tillsynsbegäran mail.docx", "A 44007-2022")</f>
        <v/>
      </c>
    </row>
    <row r="109" ht="15" customHeight="1">
      <c r="A109" t="inlineStr">
        <is>
          <t>A 50236-2022</t>
        </is>
      </c>
      <c r="B109" s="1" t="n">
        <v>44865</v>
      </c>
      <c r="C109" s="1" t="n">
        <v>45291</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Garnlav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51288-2022</t>
        </is>
      </c>
      <c r="B110" s="1" t="n">
        <v>44868</v>
      </c>
      <c r="C110" s="1" t="n">
        <v>45291</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13361-2023</t>
        </is>
      </c>
      <c r="B111" s="1" t="n">
        <v>45005</v>
      </c>
      <c r="C111" s="1" t="n">
        <v>45291</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13359-2023</t>
        </is>
      </c>
      <c r="B112" s="1" t="n">
        <v>45005</v>
      </c>
      <c r="C112" s="1" t="n">
        <v>45291</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15548-2023</t>
        </is>
      </c>
      <c r="B113" s="1" t="n">
        <v>45020</v>
      </c>
      <c r="C113" s="1" t="n">
        <v>45291</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row>
    <row r="114" ht="15" customHeight="1">
      <c r="A114" t="inlineStr">
        <is>
          <t>A 18882-2023</t>
        </is>
      </c>
      <c r="B114" s="1" t="n">
        <v>45044</v>
      </c>
      <c r="C114" s="1" t="n">
        <v>45291</v>
      </c>
      <c r="D114" t="inlineStr">
        <is>
          <t>VÄRMLANDS LÄN</t>
        </is>
      </c>
      <c r="E114" t="inlineStr">
        <is>
          <t>TORSBY</t>
        </is>
      </c>
      <c r="G114" t="n">
        <v>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18882-2023 artfynd.xlsx", "A 18882-2023")</f>
        <v/>
      </c>
      <c r="T114">
        <f>HYPERLINK("https://klasma.github.io/Logging_1737/kartor/A 18882-2023 karta.png", "A 18882-2023")</f>
        <v/>
      </c>
      <c r="V114">
        <f>HYPERLINK("https://klasma.github.io/Logging_1737/klagomål/A 18882-2023 FSC-klagomål.docx", "A 18882-2023")</f>
        <v/>
      </c>
      <c r="W114">
        <f>HYPERLINK("https://klasma.github.io/Logging_1737/klagomålsmail/A 18882-2023 FSC-klagomål mail.docx", "A 18882-2023")</f>
        <v/>
      </c>
      <c r="X114">
        <f>HYPERLINK("https://klasma.github.io/Logging_1737/tillsyn/A 18882-2023 tillsynsbegäran.docx", "A 18882-2023")</f>
        <v/>
      </c>
      <c r="Y114">
        <f>HYPERLINK("https://klasma.github.io/Logging_1737/tillsynsmail/A 18882-2023 tillsynsbegäran mail.docx", "A 18882-2023")</f>
        <v/>
      </c>
    </row>
    <row r="115" ht="15" customHeight="1">
      <c r="A115" t="inlineStr">
        <is>
          <t>A 19669-2023</t>
        </is>
      </c>
      <c r="B115" s="1" t="n">
        <v>45051</v>
      </c>
      <c r="C115" s="1" t="n">
        <v>45291</v>
      </c>
      <c r="D115" t="inlineStr">
        <is>
          <t>VÄRMLANDS LÄN</t>
        </is>
      </c>
      <c r="E115" t="inlineStr">
        <is>
          <t>TORSBY</t>
        </is>
      </c>
      <c r="F115" t="inlineStr">
        <is>
          <t>Kyrkan</t>
        </is>
      </c>
      <c r="G115" t="n">
        <v>5.2</v>
      </c>
      <c r="H115" t="n">
        <v>1</v>
      </c>
      <c r="I115" t="n">
        <v>0</v>
      </c>
      <c r="J115" t="n">
        <v>1</v>
      </c>
      <c r="K115" t="n">
        <v>0</v>
      </c>
      <c r="L115" t="n">
        <v>0</v>
      </c>
      <c r="M115" t="n">
        <v>0</v>
      </c>
      <c r="N115" t="n">
        <v>0</v>
      </c>
      <c r="O115" t="n">
        <v>1</v>
      </c>
      <c r="P115" t="n">
        <v>0</v>
      </c>
      <c r="Q115" t="n">
        <v>1</v>
      </c>
      <c r="R115" s="2" t="inlineStr">
        <is>
          <t>Utter</t>
        </is>
      </c>
      <c r="S115">
        <f>HYPERLINK("https://klasma.github.io/Logging_1737/artfynd/A 19669-2023 artfynd.xlsx", "A 19669-2023")</f>
        <v/>
      </c>
      <c r="T115">
        <f>HYPERLINK("https://klasma.github.io/Logging_1737/kartor/A 19669-2023 karta.png", "A 19669-2023")</f>
        <v/>
      </c>
      <c r="V115">
        <f>HYPERLINK("https://klasma.github.io/Logging_1737/klagomål/A 19669-2023 FSC-klagomål.docx", "A 19669-2023")</f>
        <v/>
      </c>
      <c r="W115">
        <f>HYPERLINK("https://klasma.github.io/Logging_1737/klagomålsmail/A 19669-2023 FSC-klagomål mail.docx", "A 19669-2023")</f>
        <v/>
      </c>
      <c r="X115">
        <f>HYPERLINK("https://klasma.github.io/Logging_1737/tillsyn/A 19669-2023 tillsynsbegäran.docx", "A 19669-2023")</f>
        <v/>
      </c>
      <c r="Y115">
        <f>HYPERLINK("https://klasma.github.io/Logging_1737/tillsynsmail/A 19669-2023 tillsynsbegäran mail.docx", "A 19669-2023")</f>
        <v/>
      </c>
    </row>
    <row r="116" ht="15" customHeight="1">
      <c r="A116" t="inlineStr">
        <is>
          <t>A 26747-2023</t>
        </is>
      </c>
      <c r="B116" s="1" t="n">
        <v>45090</v>
      </c>
      <c r="C116" s="1" t="n">
        <v>45291</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29560-2023</t>
        </is>
      </c>
      <c r="B117" s="1" t="n">
        <v>45106</v>
      </c>
      <c r="C117" s="1" t="n">
        <v>45291</v>
      </c>
      <c r="D117" t="inlineStr">
        <is>
          <t>VÄRMLANDS LÄN</t>
        </is>
      </c>
      <c r="E117" t="inlineStr">
        <is>
          <t>TORSBY</t>
        </is>
      </c>
      <c r="G117" t="n">
        <v>10.3</v>
      </c>
      <c r="H117" t="n">
        <v>1</v>
      </c>
      <c r="I117" t="n">
        <v>0</v>
      </c>
      <c r="J117" t="n">
        <v>1</v>
      </c>
      <c r="K117" t="n">
        <v>0</v>
      </c>
      <c r="L117" t="n">
        <v>0</v>
      </c>
      <c r="M117" t="n">
        <v>0</v>
      </c>
      <c r="N117" t="n">
        <v>0</v>
      </c>
      <c r="O117" t="n">
        <v>1</v>
      </c>
      <c r="P117" t="n">
        <v>0</v>
      </c>
      <c r="Q117" t="n">
        <v>1</v>
      </c>
      <c r="R117" s="2" t="inlineStr">
        <is>
          <t>Spillkråka</t>
        </is>
      </c>
      <c r="S117">
        <f>HYPERLINK("https://klasma.github.io/Logging_1737/artfynd/A 29560-2023 artfynd.xlsx", "A 29560-2023")</f>
        <v/>
      </c>
      <c r="T117">
        <f>HYPERLINK("https://klasma.github.io/Logging_1737/kartor/A 29560-2023 karta.png", "A 29560-2023")</f>
        <v/>
      </c>
      <c r="V117">
        <f>HYPERLINK("https://klasma.github.io/Logging_1737/klagomål/A 29560-2023 FSC-klagomål.docx", "A 29560-2023")</f>
        <v/>
      </c>
      <c r="W117">
        <f>HYPERLINK("https://klasma.github.io/Logging_1737/klagomålsmail/A 29560-2023 FSC-klagomål mail.docx", "A 29560-2023")</f>
        <v/>
      </c>
      <c r="X117">
        <f>HYPERLINK("https://klasma.github.io/Logging_1737/tillsyn/A 29560-2023 tillsynsbegäran.docx", "A 29560-2023")</f>
        <v/>
      </c>
      <c r="Y117">
        <f>HYPERLINK("https://klasma.github.io/Logging_1737/tillsynsmail/A 29560-2023 tillsynsbegäran mail.docx", "A 29560-2023")</f>
        <v/>
      </c>
    </row>
    <row r="118" ht="15" customHeight="1">
      <c r="A118" t="inlineStr">
        <is>
          <t>A 35809-2023</t>
        </is>
      </c>
      <c r="B118" s="1" t="n">
        <v>45147</v>
      </c>
      <c r="C118" s="1" t="n">
        <v>45291</v>
      </c>
      <c r="D118" t="inlineStr">
        <is>
          <t>VÄRMLANDS LÄN</t>
        </is>
      </c>
      <c r="E118" t="inlineStr">
        <is>
          <t>TORSBY</t>
        </is>
      </c>
      <c r="F118" t="inlineStr">
        <is>
          <t>Övriga statliga verk och myndigheter</t>
        </is>
      </c>
      <c r="G118" t="n">
        <v>7.2</v>
      </c>
      <c r="H118" t="n">
        <v>1</v>
      </c>
      <c r="I118" t="n">
        <v>0</v>
      </c>
      <c r="J118" t="n">
        <v>0</v>
      </c>
      <c r="K118" t="n">
        <v>0</v>
      </c>
      <c r="L118" t="n">
        <v>0</v>
      </c>
      <c r="M118" t="n">
        <v>0</v>
      </c>
      <c r="N118" t="n">
        <v>0</v>
      </c>
      <c r="O118" t="n">
        <v>0</v>
      </c>
      <c r="P118" t="n">
        <v>0</v>
      </c>
      <c r="Q118" t="n">
        <v>1</v>
      </c>
      <c r="R118" s="2" t="inlineStr">
        <is>
          <t>Fläcknycklar</t>
        </is>
      </c>
      <c r="S118">
        <f>HYPERLINK("https://klasma.github.io/Logging_1737/artfynd/A 35809-2023 artfynd.xlsx", "A 35809-2023")</f>
        <v/>
      </c>
      <c r="T118">
        <f>HYPERLINK("https://klasma.github.io/Logging_1737/kartor/A 35809-2023 karta.png", "A 35809-2023")</f>
        <v/>
      </c>
      <c r="V118">
        <f>HYPERLINK("https://klasma.github.io/Logging_1737/klagomål/A 35809-2023 FSC-klagomål.docx", "A 35809-2023")</f>
        <v/>
      </c>
      <c r="W118">
        <f>HYPERLINK("https://klasma.github.io/Logging_1737/klagomålsmail/A 35809-2023 FSC-klagomål mail.docx", "A 35809-2023")</f>
        <v/>
      </c>
      <c r="X118">
        <f>HYPERLINK("https://klasma.github.io/Logging_1737/tillsyn/A 35809-2023 tillsynsbegäran.docx", "A 35809-2023")</f>
        <v/>
      </c>
      <c r="Y118">
        <f>HYPERLINK("https://klasma.github.io/Logging_1737/tillsynsmail/A 35809-2023 tillsynsbegäran mail.docx", "A 35809-2023")</f>
        <v/>
      </c>
    </row>
    <row r="119" ht="15" customHeight="1">
      <c r="A119" t="inlineStr">
        <is>
          <t>A 39983-2023</t>
        </is>
      </c>
      <c r="B119" s="1" t="n">
        <v>45168</v>
      </c>
      <c r="C119" s="1" t="n">
        <v>45291</v>
      </c>
      <c r="D119" t="inlineStr">
        <is>
          <t>VÄRMLANDS LÄN</t>
        </is>
      </c>
      <c r="E119" t="inlineStr">
        <is>
          <t>TORSBY</t>
        </is>
      </c>
      <c r="G119" t="n">
        <v>17.2</v>
      </c>
      <c r="H119" t="n">
        <v>1</v>
      </c>
      <c r="I119" t="n">
        <v>0</v>
      </c>
      <c r="J119" t="n">
        <v>1</v>
      </c>
      <c r="K119" t="n">
        <v>0</v>
      </c>
      <c r="L119" t="n">
        <v>0</v>
      </c>
      <c r="M119" t="n">
        <v>0</v>
      </c>
      <c r="N119" t="n">
        <v>0</v>
      </c>
      <c r="O119" t="n">
        <v>1</v>
      </c>
      <c r="P119" t="n">
        <v>0</v>
      </c>
      <c r="Q119" t="n">
        <v>1</v>
      </c>
      <c r="R119" s="2" t="inlineStr">
        <is>
          <t>Kråka</t>
        </is>
      </c>
      <c r="S119">
        <f>HYPERLINK("https://klasma.github.io/Logging_1737/artfynd/A 39983-2023 artfynd.xlsx", "A 39983-2023")</f>
        <v/>
      </c>
      <c r="T119">
        <f>HYPERLINK("https://klasma.github.io/Logging_1737/kartor/A 39983-2023 karta.png", "A 39983-2023")</f>
        <v/>
      </c>
      <c r="V119">
        <f>HYPERLINK("https://klasma.github.io/Logging_1737/klagomål/A 39983-2023 FSC-klagomål.docx", "A 39983-2023")</f>
        <v/>
      </c>
      <c r="W119">
        <f>HYPERLINK("https://klasma.github.io/Logging_1737/klagomålsmail/A 39983-2023 FSC-klagomål mail.docx", "A 39983-2023")</f>
        <v/>
      </c>
      <c r="X119">
        <f>HYPERLINK("https://klasma.github.io/Logging_1737/tillsyn/A 39983-2023 tillsynsbegäran.docx", "A 39983-2023")</f>
        <v/>
      </c>
      <c r="Y119">
        <f>HYPERLINK("https://klasma.github.io/Logging_1737/tillsynsmail/A 39983-2023 tillsynsbegäran mail.docx", "A 39983-2023")</f>
        <v/>
      </c>
    </row>
    <row r="120" ht="15" customHeight="1">
      <c r="A120" t="inlineStr">
        <is>
          <t>A 46099-2023</t>
        </is>
      </c>
      <c r="B120" s="1" t="n">
        <v>45196</v>
      </c>
      <c r="C120" s="1" t="n">
        <v>45291</v>
      </c>
      <c r="D120" t="inlineStr">
        <is>
          <t>VÄRMLANDS LÄN</t>
        </is>
      </c>
      <c r="E120" t="inlineStr">
        <is>
          <t>TORSBY</t>
        </is>
      </c>
      <c r="G120" t="n">
        <v>8.4</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46099-2023 artfynd.xlsx", "A 46099-2023")</f>
        <v/>
      </c>
      <c r="T120">
        <f>HYPERLINK("https://klasma.github.io/Logging_1737/kartor/A 46099-2023 karta.png", "A 46099-2023")</f>
        <v/>
      </c>
      <c r="V120">
        <f>HYPERLINK("https://klasma.github.io/Logging_1737/klagomål/A 46099-2023 FSC-klagomål.docx", "A 46099-2023")</f>
        <v/>
      </c>
      <c r="W120">
        <f>HYPERLINK("https://klasma.github.io/Logging_1737/klagomålsmail/A 46099-2023 FSC-klagomål mail.docx", "A 46099-2023")</f>
        <v/>
      </c>
      <c r="X120">
        <f>HYPERLINK("https://klasma.github.io/Logging_1737/tillsyn/A 46099-2023 tillsynsbegäran.docx", "A 46099-2023")</f>
        <v/>
      </c>
      <c r="Y120">
        <f>HYPERLINK("https://klasma.github.io/Logging_1737/tillsynsmail/A 46099-2023 tillsynsbegäran mail.docx", "A 46099-2023")</f>
        <v/>
      </c>
    </row>
    <row r="121" ht="15" customHeight="1">
      <c r="A121" t="inlineStr">
        <is>
          <t>A 49724-2023</t>
        </is>
      </c>
      <c r="B121" s="1" t="n">
        <v>45208</v>
      </c>
      <c r="C121" s="1" t="n">
        <v>45291</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Garnlav</t>
        </is>
      </c>
      <c r="S121">
        <f>HYPERLINK("https://klasma.github.io/Logging_1737/artfynd/A 49724-2023 artfynd.xlsx", "A 49724-2023")</f>
        <v/>
      </c>
      <c r="T121">
        <f>HYPERLINK("https://klasma.github.io/Logging_1737/kartor/A 49724-2023 karta.png", "A 49724-2023")</f>
        <v/>
      </c>
      <c r="V121">
        <f>HYPERLINK("https://klasma.github.io/Logging_1737/klagomål/A 49724-2023 FSC-klagomål.docx", "A 49724-2023")</f>
        <v/>
      </c>
      <c r="W121">
        <f>HYPERLINK("https://klasma.github.io/Logging_1737/klagomålsmail/A 49724-2023 FSC-klagomål mail.docx", "A 49724-2023")</f>
        <v/>
      </c>
      <c r="X121">
        <f>HYPERLINK("https://klasma.github.io/Logging_1737/tillsyn/A 49724-2023 tillsynsbegäran.docx", "A 49724-2023")</f>
        <v/>
      </c>
      <c r="Y121">
        <f>HYPERLINK("https://klasma.github.io/Logging_1737/tillsynsmail/A 49724-2023 tillsynsbegäran mail.docx", "A 49724-2023")</f>
        <v/>
      </c>
    </row>
    <row r="122" ht="15" customHeight="1">
      <c r="A122" t="inlineStr">
        <is>
          <t>A 57971-2023</t>
        </is>
      </c>
      <c r="B122" s="1" t="n">
        <v>45247</v>
      </c>
      <c r="C122" s="1" t="n">
        <v>45291</v>
      </c>
      <c r="D122" t="inlineStr">
        <is>
          <t>VÄRMLANDS LÄN</t>
        </is>
      </c>
      <c r="E122" t="inlineStr">
        <is>
          <t>TORSBY</t>
        </is>
      </c>
      <c r="G122" t="n">
        <v>12.4</v>
      </c>
      <c r="H122" t="n">
        <v>0</v>
      </c>
      <c r="I122" t="n">
        <v>0</v>
      </c>
      <c r="J122" t="n">
        <v>1</v>
      </c>
      <c r="K122" t="n">
        <v>0</v>
      </c>
      <c r="L122" t="n">
        <v>0</v>
      </c>
      <c r="M122" t="n">
        <v>0</v>
      </c>
      <c r="N122" t="n">
        <v>0</v>
      </c>
      <c r="O122" t="n">
        <v>1</v>
      </c>
      <c r="P122" t="n">
        <v>0</v>
      </c>
      <c r="Q122" t="n">
        <v>1</v>
      </c>
      <c r="R122" s="2" t="inlineStr">
        <is>
          <t>Garnlav</t>
        </is>
      </c>
      <c r="S122">
        <f>HYPERLINK("https://klasma.github.io/Logging_1737/artfynd/A 57971-2023 artfynd.xlsx", "A 57971-2023")</f>
        <v/>
      </c>
      <c r="T122">
        <f>HYPERLINK("https://klasma.github.io/Logging_1737/kartor/A 57971-2023 karta.png", "A 57971-2023")</f>
        <v/>
      </c>
      <c r="V122">
        <f>HYPERLINK("https://klasma.github.io/Logging_1737/klagomål/A 57971-2023 FSC-klagomål.docx", "A 57971-2023")</f>
        <v/>
      </c>
      <c r="W122">
        <f>HYPERLINK("https://klasma.github.io/Logging_1737/klagomålsmail/A 57971-2023 FSC-klagomål mail.docx", "A 57971-2023")</f>
        <v/>
      </c>
      <c r="X122">
        <f>HYPERLINK("https://klasma.github.io/Logging_1737/tillsyn/A 57971-2023 tillsynsbegäran.docx", "A 57971-2023")</f>
        <v/>
      </c>
      <c r="Y122">
        <f>HYPERLINK("https://klasma.github.io/Logging_1737/tillsynsmail/A 57971-2023 tillsynsbegäran mail.docx", "A 57971-2023")</f>
        <v/>
      </c>
    </row>
    <row r="123" ht="15" customHeight="1">
      <c r="A123" t="inlineStr">
        <is>
          <t>A 61911-2023</t>
        </is>
      </c>
      <c r="B123" s="1" t="n">
        <v>45266</v>
      </c>
      <c r="C123" s="1" t="n">
        <v>45291</v>
      </c>
      <c r="D123" t="inlineStr">
        <is>
          <t>VÄRMLANDS LÄN</t>
        </is>
      </c>
      <c r="E123" t="inlineStr">
        <is>
          <t>TORSBY</t>
        </is>
      </c>
      <c r="F123" t="inlineStr">
        <is>
          <t>Kommuner</t>
        </is>
      </c>
      <c r="G123" t="n">
        <v>9.1</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61911-2023 artfynd.xlsx", "A 61911-2023")</f>
        <v/>
      </c>
      <c r="T123">
        <f>HYPERLINK("https://klasma.github.io/Logging_1737/kartor/A 61911-2023 karta.png", "A 61911-2023")</f>
        <v/>
      </c>
      <c r="V123">
        <f>HYPERLINK("https://klasma.github.io/Logging_1737/klagomål/A 61911-2023 FSC-klagomål.docx", "A 61911-2023")</f>
        <v/>
      </c>
      <c r="W123">
        <f>HYPERLINK("https://klasma.github.io/Logging_1737/klagomålsmail/A 61911-2023 FSC-klagomål mail.docx", "A 61911-2023")</f>
        <v/>
      </c>
      <c r="X123">
        <f>HYPERLINK("https://klasma.github.io/Logging_1737/tillsyn/A 61911-2023 tillsynsbegäran.docx", "A 61911-2023")</f>
        <v/>
      </c>
      <c r="Y123">
        <f>HYPERLINK("https://klasma.github.io/Logging_1737/tillsynsmail/A 61911-2023 tillsynsbegäran mail.docx", "A 61911-2023")</f>
        <v/>
      </c>
    </row>
    <row r="124" ht="15" customHeight="1">
      <c r="A124" t="inlineStr">
        <is>
          <t>A 33955-2018</t>
        </is>
      </c>
      <c r="B124" s="1" t="n">
        <v>43314</v>
      </c>
      <c r="C124" s="1" t="n">
        <v>45291</v>
      </c>
      <c r="D124" t="inlineStr">
        <is>
          <t>VÄRMLANDS LÄN</t>
        </is>
      </c>
      <c r="E124" t="inlineStr">
        <is>
          <t>TORSBY</t>
        </is>
      </c>
      <c r="F124" t="inlineStr">
        <is>
          <t>Övriga Aktiebolag</t>
        </is>
      </c>
      <c r="G124" t="n">
        <v>4.6</v>
      </c>
      <c r="H124" t="n">
        <v>0</v>
      </c>
      <c r="I124" t="n">
        <v>0</v>
      </c>
      <c r="J124" t="n">
        <v>0</v>
      </c>
      <c r="K124" t="n">
        <v>0</v>
      </c>
      <c r="L124" t="n">
        <v>0</v>
      </c>
      <c r="M124" t="n">
        <v>0</v>
      </c>
      <c r="N124" t="n">
        <v>0</v>
      </c>
      <c r="O124" t="n">
        <v>0</v>
      </c>
      <c r="P124" t="n">
        <v>0</v>
      </c>
      <c r="Q124" t="n">
        <v>0</v>
      </c>
      <c r="R124" s="2" t="inlineStr"/>
    </row>
    <row r="125" ht="15" customHeight="1">
      <c r="A125" t="inlineStr">
        <is>
          <t>A 34562-2018</t>
        </is>
      </c>
      <c r="B125" s="1" t="n">
        <v>43320</v>
      </c>
      <c r="C125" s="1" t="n">
        <v>45291</v>
      </c>
      <c r="D125" t="inlineStr">
        <is>
          <t>VÄRMLANDS LÄN</t>
        </is>
      </c>
      <c r="E125" t="inlineStr">
        <is>
          <t>TORSBY</t>
        </is>
      </c>
      <c r="F125" t="inlineStr">
        <is>
          <t>Kyrkan</t>
        </is>
      </c>
      <c r="G125" t="n">
        <v>3.2</v>
      </c>
      <c r="H125" t="n">
        <v>0</v>
      </c>
      <c r="I125" t="n">
        <v>0</v>
      </c>
      <c r="J125" t="n">
        <v>0</v>
      </c>
      <c r="K125" t="n">
        <v>0</v>
      </c>
      <c r="L125" t="n">
        <v>0</v>
      </c>
      <c r="M125" t="n">
        <v>0</v>
      </c>
      <c r="N125" t="n">
        <v>0</v>
      </c>
      <c r="O125" t="n">
        <v>0</v>
      </c>
      <c r="P125" t="n">
        <v>0</v>
      </c>
      <c r="Q125" t="n">
        <v>0</v>
      </c>
      <c r="R125" s="2" t="inlineStr"/>
    </row>
    <row r="126" ht="15" customHeight="1">
      <c r="A126" t="inlineStr">
        <is>
          <t>A 35617-2018</t>
        </is>
      </c>
      <c r="B126" s="1" t="n">
        <v>43322</v>
      </c>
      <c r="C126" s="1" t="n">
        <v>45291</v>
      </c>
      <c r="D126" t="inlineStr">
        <is>
          <t>VÄRMLANDS LÄN</t>
        </is>
      </c>
      <c r="E126" t="inlineStr">
        <is>
          <t>TORSBY</t>
        </is>
      </c>
      <c r="G126" t="n">
        <v>1.9</v>
      </c>
      <c r="H126" t="n">
        <v>0</v>
      </c>
      <c r="I126" t="n">
        <v>0</v>
      </c>
      <c r="J126" t="n">
        <v>0</v>
      </c>
      <c r="K126" t="n">
        <v>0</v>
      </c>
      <c r="L126" t="n">
        <v>0</v>
      </c>
      <c r="M126" t="n">
        <v>0</v>
      </c>
      <c r="N126" t="n">
        <v>0</v>
      </c>
      <c r="O126" t="n">
        <v>0</v>
      </c>
      <c r="P126" t="n">
        <v>0</v>
      </c>
      <c r="Q126" t="n">
        <v>0</v>
      </c>
      <c r="R126" s="2" t="inlineStr"/>
    </row>
    <row r="127" ht="15" customHeight="1">
      <c r="A127" t="inlineStr">
        <is>
          <t>A 35622-2018</t>
        </is>
      </c>
      <c r="B127" s="1" t="n">
        <v>43322</v>
      </c>
      <c r="C127" s="1" t="n">
        <v>45291</v>
      </c>
      <c r="D127" t="inlineStr">
        <is>
          <t>VÄRMLANDS LÄN</t>
        </is>
      </c>
      <c r="E127" t="inlineStr">
        <is>
          <t>TORSBY</t>
        </is>
      </c>
      <c r="G127" t="n">
        <v>5</v>
      </c>
      <c r="H127" t="n">
        <v>0</v>
      </c>
      <c r="I127" t="n">
        <v>0</v>
      </c>
      <c r="J127" t="n">
        <v>0</v>
      </c>
      <c r="K127" t="n">
        <v>0</v>
      </c>
      <c r="L127" t="n">
        <v>0</v>
      </c>
      <c r="M127" t="n">
        <v>0</v>
      </c>
      <c r="N127" t="n">
        <v>0</v>
      </c>
      <c r="O127" t="n">
        <v>0</v>
      </c>
      <c r="P127" t="n">
        <v>0</v>
      </c>
      <c r="Q127" t="n">
        <v>0</v>
      </c>
      <c r="R127" s="2" t="inlineStr"/>
    </row>
    <row r="128" ht="15" customHeight="1">
      <c r="A128" t="inlineStr">
        <is>
          <t>A 36166-2018</t>
        </is>
      </c>
      <c r="B128" s="1" t="n">
        <v>43328</v>
      </c>
      <c r="C128" s="1" t="n">
        <v>45291</v>
      </c>
      <c r="D128" t="inlineStr">
        <is>
          <t>VÄRMLANDS LÄN</t>
        </is>
      </c>
      <c r="E128" t="inlineStr">
        <is>
          <t>TORSBY</t>
        </is>
      </c>
      <c r="G128" t="n">
        <v>2.8</v>
      </c>
      <c r="H128" t="n">
        <v>0</v>
      </c>
      <c r="I128" t="n">
        <v>0</v>
      </c>
      <c r="J128" t="n">
        <v>0</v>
      </c>
      <c r="K128" t="n">
        <v>0</v>
      </c>
      <c r="L128" t="n">
        <v>0</v>
      </c>
      <c r="M128" t="n">
        <v>0</v>
      </c>
      <c r="N128" t="n">
        <v>0</v>
      </c>
      <c r="O128" t="n">
        <v>0</v>
      </c>
      <c r="P128" t="n">
        <v>0</v>
      </c>
      <c r="Q128" t="n">
        <v>0</v>
      </c>
      <c r="R128" s="2" t="inlineStr"/>
    </row>
    <row r="129" ht="15" customHeight="1">
      <c r="A129" t="inlineStr">
        <is>
          <t>A 36930-2018</t>
        </is>
      </c>
      <c r="B129" s="1" t="n">
        <v>43332</v>
      </c>
      <c r="C129" s="1" t="n">
        <v>45291</v>
      </c>
      <c r="D129" t="inlineStr">
        <is>
          <t>VÄRMLANDS LÄN</t>
        </is>
      </c>
      <c r="E129" t="inlineStr">
        <is>
          <t>TORSBY</t>
        </is>
      </c>
      <c r="G129" t="n">
        <v>4.7</v>
      </c>
      <c r="H129" t="n">
        <v>0</v>
      </c>
      <c r="I129" t="n">
        <v>0</v>
      </c>
      <c r="J129" t="n">
        <v>0</v>
      </c>
      <c r="K129" t="n">
        <v>0</v>
      </c>
      <c r="L129" t="n">
        <v>0</v>
      </c>
      <c r="M129" t="n">
        <v>0</v>
      </c>
      <c r="N129" t="n">
        <v>0</v>
      </c>
      <c r="O129" t="n">
        <v>0</v>
      </c>
      <c r="P129" t="n">
        <v>0</v>
      </c>
      <c r="Q129" t="n">
        <v>0</v>
      </c>
      <c r="R129" s="2" t="inlineStr"/>
    </row>
    <row r="130" ht="15" customHeight="1">
      <c r="A130" t="inlineStr">
        <is>
          <t>A 37710-2018</t>
        </is>
      </c>
      <c r="B130" s="1" t="n">
        <v>43332</v>
      </c>
      <c r="C130" s="1" t="n">
        <v>45291</v>
      </c>
      <c r="D130" t="inlineStr">
        <is>
          <t>VÄRMLANDS LÄN</t>
        </is>
      </c>
      <c r="E130" t="inlineStr">
        <is>
          <t>TORSBY</t>
        </is>
      </c>
      <c r="G130" t="n">
        <v>2.3</v>
      </c>
      <c r="H130" t="n">
        <v>0</v>
      </c>
      <c r="I130" t="n">
        <v>0</v>
      </c>
      <c r="J130" t="n">
        <v>0</v>
      </c>
      <c r="K130" t="n">
        <v>0</v>
      </c>
      <c r="L130" t="n">
        <v>0</v>
      </c>
      <c r="M130" t="n">
        <v>0</v>
      </c>
      <c r="N130" t="n">
        <v>0</v>
      </c>
      <c r="O130" t="n">
        <v>0</v>
      </c>
      <c r="P130" t="n">
        <v>0</v>
      </c>
      <c r="Q130" t="n">
        <v>0</v>
      </c>
      <c r="R130" s="2" t="inlineStr"/>
    </row>
    <row r="131" ht="15" customHeight="1">
      <c r="A131" t="inlineStr">
        <is>
          <t>A 38737-2018</t>
        </is>
      </c>
      <c r="B131" s="1" t="n">
        <v>43336</v>
      </c>
      <c r="C131" s="1" t="n">
        <v>45291</v>
      </c>
      <c r="D131" t="inlineStr">
        <is>
          <t>VÄRMLANDS LÄN</t>
        </is>
      </c>
      <c r="E131" t="inlineStr">
        <is>
          <t>TORSBY</t>
        </is>
      </c>
      <c r="G131" t="n">
        <v>1.5</v>
      </c>
      <c r="H131" t="n">
        <v>0</v>
      </c>
      <c r="I131" t="n">
        <v>0</v>
      </c>
      <c r="J131" t="n">
        <v>0</v>
      </c>
      <c r="K131" t="n">
        <v>0</v>
      </c>
      <c r="L131" t="n">
        <v>0</v>
      </c>
      <c r="M131" t="n">
        <v>0</v>
      </c>
      <c r="N131" t="n">
        <v>0</v>
      </c>
      <c r="O131" t="n">
        <v>0</v>
      </c>
      <c r="P131" t="n">
        <v>0</v>
      </c>
      <c r="Q131" t="n">
        <v>0</v>
      </c>
      <c r="R131" s="2" t="inlineStr"/>
    </row>
    <row r="132" ht="15" customHeight="1">
      <c r="A132" t="inlineStr">
        <is>
          <t>A 38826-2018</t>
        </is>
      </c>
      <c r="B132" s="1" t="n">
        <v>43340</v>
      </c>
      <c r="C132" s="1" t="n">
        <v>45291</v>
      </c>
      <c r="D132" t="inlineStr">
        <is>
          <t>VÄRMLANDS LÄN</t>
        </is>
      </c>
      <c r="E132" t="inlineStr">
        <is>
          <t>TORSBY</t>
        </is>
      </c>
      <c r="G132" t="n">
        <v>1.6</v>
      </c>
      <c r="H132" t="n">
        <v>0</v>
      </c>
      <c r="I132" t="n">
        <v>0</v>
      </c>
      <c r="J132" t="n">
        <v>0</v>
      </c>
      <c r="K132" t="n">
        <v>0</v>
      </c>
      <c r="L132" t="n">
        <v>0</v>
      </c>
      <c r="M132" t="n">
        <v>0</v>
      </c>
      <c r="N132" t="n">
        <v>0</v>
      </c>
      <c r="O132" t="n">
        <v>0</v>
      </c>
      <c r="P132" t="n">
        <v>0</v>
      </c>
      <c r="Q132" t="n">
        <v>0</v>
      </c>
      <c r="R132" s="2" t="inlineStr"/>
    </row>
    <row r="133" ht="15" customHeight="1">
      <c r="A133" t="inlineStr">
        <is>
          <t>A 39326-2018</t>
        </is>
      </c>
      <c r="B133" s="1" t="n">
        <v>43341</v>
      </c>
      <c r="C133" s="1" t="n">
        <v>45291</v>
      </c>
      <c r="D133" t="inlineStr">
        <is>
          <t>VÄRMLANDS LÄN</t>
        </is>
      </c>
      <c r="E133" t="inlineStr">
        <is>
          <t>TORSBY</t>
        </is>
      </c>
      <c r="G133" t="n">
        <v>4.2</v>
      </c>
      <c r="H133" t="n">
        <v>0</v>
      </c>
      <c r="I133" t="n">
        <v>0</v>
      </c>
      <c r="J133" t="n">
        <v>0</v>
      </c>
      <c r="K133" t="n">
        <v>0</v>
      </c>
      <c r="L133" t="n">
        <v>0</v>
      </c>
      <c r="M133" t="n">
        <v>0</v>
      </c>
      <c r="N133" t="n">
        <v>0</v>
      </c>
      <c r="O133" t="n">
        <v>0</v>
      </c>
      <c r="P133" t="n">
        <v>0</v>
      </c>
      <c r="Q133" t="n">
        <v>0</v>
      </c>
      <c r="R133" s="2" t="inlineStr"/>
    </row>
    <row r="134" ht="15" customHeight="1">
      <c r="A134" t="inlineStr">
        <is>
          <t>A 40815-2018</t>
        </is>
      </c>
      <c r="B134" s="1" t="n">
        <v>43346</v>
      </c>
      <c r="C134" s="1" t="n">
        <v>45291</v>
      </c>
      <c r="D134" t="inlineStr">
        <is>
          <t>VÄRMLANDS LÄN</t>
        </is>
      </c>
      <c r="E134" t="inlineStr">
        <is>
          <t>TORSBY</t>
        </is>
      </c>
      <c r="G134" t="n">
        <v>3.3</v>
      </c>
      <c r="H134" t="n">
        <v>0</v>
      </c>
      <c r="I134" t="n">
        <v>0</v>
      </c>
      <c r="J134" t="n">
        <v>0</v>
      </c>
      <c r="K134" t="n">
        <v>0</v>
      </c>
      <c r="L134" t="n">
        <v>0</v>
      </c>
      <c r="M134" t="n">
        <v>0</v>
      </c>
      <c r="N134" t="n">
        <v>0</v>
      </c>
      <c r="O134" t="n">
        <v>0</v>
      </c>
      <c r="P134" t="n">
        <v>0</v>
      </c>
      <c r="Q134" t="n">
        <v>0</v>
      </c>
      <c r="R134" s="2" t="inlineStr"/>
    </row>
    <row r="135" ht="15" customHeight="1">
      <c r="A135" t="inlineStr">
        <is>
          <t>A 40853-2018</t>
        </is>
      </c>
      <c r="B135" s="1" t="n">
        <v>43346</v>
      </c>
      <c r="C135" s="1" t="n">
        <v>45291</v>
      </c>
      <c r="D135" t="inlineStr">
        <is>
          <t>VÄRMLANDS LÄN</t>
        </is>
      </c>
      <c r="E135" t="inlineStr">
        <is>
          <t>TORSBY</t>
        </is>
      </c>
      <c r="G135" t="n">
        <v>1.5</v>
      </c>
      <c r="H135" t="n">
        <v>0</v>
      </c>
      <c r="I135" t="n">
        <v>0</v>
      </c>
      <c r="J135" t="n">
        <v>0</v>
      </c>
      <c r="K135" t="n">
        <v>0</v>
      </c>
      <c r="L135" t="n">
        <v>0</v>
      </c>
      <c r="M135" t="n">
        <v>0</v>
      </c>
      <c r="N135" t="n">
        <v>0</v>
      </c>
      <c r="O135" t="n">
        <v>0</v>
      </c>
      <c r="P135" t="n">
        <v>0</v>
      </c>
      <c r="Q135" t="n">
        <v>0</v>
      </c>
      <c r="R135" s="2" t="inlineStr"/>
    </row>
    <row r="136" ht="15" customHeight="1">
      <c r="A136" t="inlineStr">
        <is>
          <t>A 40838-2018</t>
        </is>
      </c>
      <c r="B136" s="1" t="n">
        <v>43346</v>
      </c>
      <c r="C136" s="1" t="n">
        <v>45291</v>
      </c>
      <c r="D136" t="inlineStr">
        <is>
          <t>VÄRMLANDS LÄN</t>
        </is>
      </c>
      <c r="E136" t="inlineStr">
        <is>
          <t>TORSBY</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41074-2018</t>
        </is>
      </c>
      <c r="B137" s="1" t="n">
        <v>43348</v>
      </c>
      <c r="C137" s="1" t="n">
        <v>45291</v>
      </c>
      <c r="D137" t="inlineStr">
        <is>
          <t>VÄRMLANDS LÄN</t>
        </is>
      </c>
      <c r="E137" t="inlineStr">
        <is>
          <t>TORSBY</t>
        </is>
      </c>
      <c r="G137" t="n">
        <v>2.5</v>
      </c>
      <c r="H137" t="n">
        <v>0</v>
      </c>
      <c r="I137" t="n">
        <v>0</v>
      </c>
      <c r="J137" t="n">
        <v>0</v>
      </c>
      <c r="K137" t="n">
        <v>0</v>
      </c>
      <c r="L137" t="n">
        <v>0</v>
      </c>
      <c r="M137" t="n">
        <v>0</v>
      </c>
      <c r="N137" t="n">
        <v>0</v>
      </c>
      <c r="O137" t="n">
        <v>0</v>
      </c>
      <c r="P137" t="n">
        <v>0</v>
      </c>
      <c r="Q137" t="n">
        <v>0</v>
      </c>
      <c r="R137" s="2" t="inlineStr"/>
    </row>
    <row r="138" ht="15" customHeight="1">
      <c r="A138" t="inlineStr">
        <is>
          <t>A 42545-2018</t>
        </is>
      </c>
      <c r="B138" s="1" t="n">
        <v>43350</v>
      </c>
      <c r="C138" s="1" t="n">
        <v>45291</v>
      </c>
      <c r="D138" t="inlineStr">
        <is>
          <t>VÄRMLANDS LÄN</t>
        </is>
      </c>
      <c r="E138" t="inlineStr">
        <is>
          <t>TORSBY</t>
        </is>
      </c>
      <c r="G138" t="n">
        <v>3.2</v>
      </c>
      <c r="H138" t="n">
        <v>0</v>
      </c>
      <c r="I138" t="n">
        <v>0</v>
      </c>
      <c r="J138" t="n">
        <v>0</v>
      </c>
      <c r="K138" t="n">
        <v>0</v>
      </c>
      <c r="L138" t="n">
        <v>0</v>
      </c>
      <c r="M138" t="n">
        <v>0</v>
      </c>
      <c r="N138" t="n">
        <v>0</v>
      </c>
      <c r="O138" t="n">
        <v>0</v>
      </c>
      <c r="P138" t="n">
        <v>0</v>
      </c>
      <c r="Q138" t="n">
        <v>0</v>
      </c>
      <c r="R138" s="2" t="inlineStr"/>
    </row>
    <row r="139" ht="15" customHeight="1">
      <c r="A139" t="inlineStr">
        <is>
          <t>A 45097-2018</t>
        </is>
      </c>
      <c r="B139" s="1" t="n">
        <v>43361</v>
      </c>
      <c r="C139" s="1" t="n">
        <v>45291</v>
      </c>
      <c r="D139" t="inlineStr">
        <is>
          <t>VÄRMLANDS LÄN</t>
        </is>
      </c>
      <c r="E139" t="inlineStr">
        <is>
          <t>TORSBY</t>
        </is>
      </c>
      <c r="F139" t="inlineStr">
        <is>
          <t>Kyrkan</t>
        </is>
      </c>
      <c r="G139" t="n">
        <v>15.1</v>
      </c>
      <c r="H139" t="n">
        <v>0</v>
      </c>
      <c r="I139" t="n">
        <v>0</v>
      </c>
      <c r="J139" t="n">
        <v>0</v>
      </c>
      <c r="K139" t="n">
        <v>0</v>
      </c>
      <c r="L139" t="n">
        <v>0</v>
      </c>
      <c r="M139" t="n">
        <v>0</v>
      </c>
      <c r="N139" t="n">
        <v>0</v>
      </c>
      <c r="O139" t="n">
        <v>0</v>
      </c>
      <c r="P139" t="n">
        <v>0</v>
      </c>
      <c r="Q139" t="n">
        <v>0</v>
      </c>
      <c r="R139" s="2" t="inlineStr"/>
    </row>
    <row r="140" ht="15" customHeight="1">
      <c r="A140" t="inlineStr">
        <is>
          <t>A 46575-2018</t>
        </is>
      </c>
      <c r="B140" s="1" t="n">
        <v>43363</v>
      </c>
      <c r="C140" s="1" t="n">
        <v>45291</v>
      </c>
      <c r="D140" t="inlineStr">
        <is>
          <t>VÄRMLANDS LÄN</t>
        </is>
      </c>
      <c r="E140" t="inlineStr">
        <is>
          <t>TORSBY</t>
        </is>
      </c>
      <c r="G140" t="n">
        <v>2.6</v>
      </c>
      <c r="H140" t="n">
        <v>0</v>
      </c>
      <c r="I140" t="n">
        <v>0</v>
      </c>
      <c r="J140" t="n">
        <v>0</v>
      </c>
      <c r="K140" t="n">
        <v>0</v>
      </c>
      <c r="L140" t="n">
        <v>0</v>
      </c>
      <c r="M140" t="n">
        <v>0</v>
      </c>
      <c r="N140" t="n">
        <v>0</v>
      </c>
      <c r="O140" t="n">
        <v>0</v>
      </c>
      <c r="P140" t="n">
        <v>0</v>
      </c>
      <c r="Q140" t="n">
        <v>0</v>
      </c>
      <c r="R140" s="2" t="inlineStr"/>
    </row>
    <row r="141" ht="15" customHeight="1">
      <c r="A141" t="inlineStr">
        <is>
          <t>A 46565-2018</t>
        </is>
      </c>
      <c r="B141" s="1" t="n">
        <v>43363</v>
      </c>
      <c r="C141" s="1" t="n">
        <v>45291</v>
      </c>
      <c r="D141" t="inlineStr">
        <is>
          <t>VÄRMLANDS LÄN</t>
        </is>
      </c>
      <c r="E141" t="inlineStr">
        <is>
          <t>TORSBY</t>
        </is>
      </c>
      <c r="G141" t="n">
        <v>8.6</v>
      </c>
      <c r="H141" t="n">
        <v>0</v>
      </c>
      <c r="I141" t="n">
        <v>0</v>
      </c>
      <c r="J141" t="n">
        <v>0</v>
      </c>
      <c r="K141" t="n">
        <v>0</v>
      </c>
      <c r="L141" t="n">
        <v>0</v>
      </c>
      <c r="M141" t="n">
        <v>0</v>
      </c>
      <c r="N141" t="n">
        <v>0</v>
      </c>
      <c r="O141" t="n">
        <v>0</v>
      </c>
      <c r="P141" t="n">
        <v>0</v>
      </c>
      <c r="Q141" t="n">
        <v>0</v>
      </c>
      <c r="R141" s="2" t="inlineStr"/>
    </row>
    <row r="142" ht="15" customHeight="1">
      <c r="A142" t="inlineStr">
        <is>
          <t>A 46310-2018</t>
        </is>
      </c>
      <c r="B142" s="1" t="n">
        <v>43364</v>
      </c>
      <c r="C142" s="1" t="n">
        <v>45291</v>
      </c>
      <c r="D142" t="inlineStr">
        <is>
          <t>VÄRMLANDS LÄN</t>
        </is>
      </c>
      <c r="E142" t="inlineStr">
        <is>
          <t>TORSBY</t>
        </is>
      </c>
      <c r="G142" t="n">
        <v>0.5</v>
      </c>
      <c r="H142" t="n">
        <v>0</v>
      </c>
      <c r="I142" t="n">
        <v>0</v>
      </c>
      <c r="J142" t="n">
        <v>0</v>
      </c>
      <c r="K142" t="n">
        <v>0</v>
      </c>
      <c r="L142" t="n">
        <v>0</v>
      </c>
      <c r="M142" t="n">
        <v>0</v>
      </c>
      <c r="N142" t="n">
        <v>0</v>
      </c>
      <c r="O142" t="n">
        <v>0</v>
      </c>
      <c r="P142" t="n">
        <v>0</v>
      </c>
      <c r="Q142" t="n">
        <v>0</v>
      </c>
      <c r="R142" s="2" t="inlineStr"/>
    </row>
    <row r="143" ht="15" customHeight="1">
      <c r="A143" t="inlineStr">
        <is>
          <t>A 46261-2018</t>
        </is>
      </c>
      <c r="B143" s="1" t="n">
        <v>43364</v>
      </c>
      <c r="C143" s="1" t="n">
        <v>45291</v>
      </c>
      <c r="D143" t="inlineStr">
        <is>
          <t>VÄRMLANDS LÄN</t>
        </is>
      </c>
      <c r="E143" t="inlineStr">
        <is>
          <t>TORSBY</t>
        </is>
      </c>
      <c r="G143" t="n">
        <v>0.9</v>
      </c>
      <c r="H143" t="n">
        <v>0</v>
      </c>
      <c r="I143" t="n">
        <v>0</v>
      </c>
      <c r="J143" t="n">
        <v>0</v>
      </c>
      <c r="K143" t="n">
        <v>0</v>
      </c>
      <c r="L143" t="n">
        <v>0</v>
      </c>
      <c r="M143" t="n">
        <v>0</v>
      </c>
      <c r="N143" t="n">
        <v>0</v>
      </c>
      <c r="O143" t="n">
        <v>0</v>
      </c>
      <c r="P143" t="n">
        <v>0</v>
      </c>
      <c r="Q143" t="n">
        <v>0</v>
      </c>
      <c r="R143" s="2" t="inlineStr"/>
    </row>
    <row r="144" ht="15" customHeight="1">
      <c r="A144" t="inlineStr">
        <is>
          <t>A 46265-2018</t>
        </is>
      </c>
      <c r="B144" s="1" t="n">
        <v>43364</v>
      </c>
      <c r="C144" s="1" t="n">
        <v>45291</v>
      </c>
      <c r="D144" t="inlineStr">
        <is>
          <t>VÄRMLANDS LÄN</t>
        </is>
      </c>
      <c r="E144" t="inlineStr">
        <is>
          <t>TORSBY</t>
        </is>
      </c>
      <c r="G144" t="n">
        <v>1.4</v>
      </c>
      <c r="H144" t="n">
        <v>0</v>
      </c>
      <c r="I144" t="n">
        <v>0</v>
      </c>
      <c r="J144" t="n">
        <v>0</v>
      </c>
      <c r="K144" t="n">
        <v>0</v>
      </c>
      <c r="L144" t="n">
        <v>0</v>
      </c>
      <c r="M144" t="n">
        <v>0</v>
      </c>
      <c r="N144" t="n">
        <v>0</v>
      </c>
      <c r="O144" t="n">
        <v>0</v>
      </c>
      <c r="P144" t="n">
        <v>0</v>
      </c>
      <c r="Q144" t="n">
        <v>0</v>
      </c>
      <c r="R144" s="2" t="inlineStr"/>
    </row>
    <row r="145" ht="15" customHeight="1">
      <c r="A145" t="inlineStr">
        <is>
          <t>A 46300-2018</t>
        </is>
      </c>
      <c r="B145" s="1" t="n">
        <v>43364</v>
      </c>
      <c r="C145" s="1" t="n">
        <v>45291</v>
      </c>
      <c r="D145" t="inlineStr">
        <is>
          <t>VÄRMLANDS LÄN</t>
        </is>
      </c>
      <c r="E145" t="inlineStr">
        <is>
          <t>TORSBY</t>
        </is>
      </c>
      <c r="G145" t="n">
        <v>2</v>
      </c>
      <c r="H145" t="n">
        <v>0</v>
      </c>
      <c r="I145" t="n">
        <v>0</v>
      </c>
      <c r="J145" t="n">
        <v>0</v>
      </c>
      <c r="K145" t="n">
        <v>0</v>
      </c>
      <c r="L145" t="n">
        <v>0</v>
      </c>
      <c r="M145" t="n">
        <v>0</v>
      </c>
      <c r="N145" t="n">
        <v>0</v>
      </c>
      <c r="O145" t="n">
        <v>0</v>
      </c>
      <c r="P145" t="n">
        <v>0</v>
      </c>
      <c r="Q145" t="n">
        <v>0</v>
      </c>
      <c r="R145" s="2" t="inlineStr"/>
    </row>
    <row r="146" ht="15" customHeight="1">
      <c r="A146" t="inlineStr">
        <is>
          <t>A 46270-2018</t>
        </is>
      </c>
      <c r="B146" s="1" t="n">
        <v>43364</v>
      </c>
      <c r="C146" s="1" t="n">
        <v>45291</v>
      </c>
      <c r="D146" t="inlineStr">
        <is>
          <t>VÄRMLANDS LÄN</t>
        </is>
      </c>
      <c r="E146" t="inlineStr">
        <is>
          <t>TORSBY</t>
        </is>
      </c>
      <c r="G146" t="n">
        <v>3.4</v>
      </c>
      <c r="H146" t="n">
        <v>0</v>
      </c>
      <c r="I146" t="n">
        <v>0</v>
      </c>
      <c r="J146" t="n">
        <v>0</v>
      </c>
      <c r="K146" t="n">
        <v>0</v>
      </c>
      <c r="L146" t="n">
        <v>0</v>
      </c>
      <c r="M146" t="n">
        <v>0</v>
      </c>
      <c r="N146" t="n">
        <v>0</v>
      </c>
      <c r="O146" t="n">
        <v>0</v>
      </c>
      <c r="P146" t="n">
        <v>0</v>
      </c>
      <c r="Q146" t="n">
        <v>0</v>
      </c>
      <c r="R146" s="2" t="inlineStr"/>
    </row>
    <row r="147" ht="15" customHeight="1">
      <c r="A147" t="inlineStr">
        <is>
          <t>A 46319-2018</t>
        </is>
      </c>
      <c r="B147" s="1" t="n">
        <v>43364</v>
      </c>
      <c r="C147" s="1" t="n">
        <v>45291</v>
      </c>
      <c r="D147" t="inlineStr">
        <is>
          <t>VÄRMLANDS LÄN</t>
        </is>
      </c>
      <c r="E147" t="inlineStr">
        <is>
          <t>TORSBY</t>
        </is>
      </c>
      <c r="G147" t="n">
        <v>6.5</v>
      </c>
      <c r="H147" t="n">
        <v>0</v>
      </c>
      <c r="I147" t="n">
        <v>0</v>
      </c>
      <c r="J147" t="n">
        <v>0</v>
      </c>
      <c r="K147" t="n">
        <v>0</v>
      </c>
      <c r="L147" t="n">
        <v>0</v>
      </c>
      <c r="M147" t="n">
        <v>0</v>
      </c>
      <c r="N147" t="n">
        <v>0</v>
      </c>
      <c r="O147" t="n">
        <v>0</v>
      </c>
      <c r="P147" t="n">
        <v>0</v>
      </c>
      <c r="Q147" t="n">
        <v>0</v>
      </c>
      <c r="R147" s="2" t="inlineStr"/>
    </row>
    <row r="148" ht="15" customHeight="1">
      <c r="A148" t="inlineStr">
        <is>
          <t>A 47569-2018</t>
        </is>
      </c>
      <c r="B148" s="1" t="n">
        <v>43368</v>
      </c>
      <c r="C148" s="1" t="n">
        <v>45291</v>
      </c>
      <c r="D148" t="inlineStr">
        <is>
          <t>VÄRMLANDS LÄN</t>
        </is>
      </c>
      <c r="E148" t="inlineStr">
        <is>
          <t>TORSBY</t>
        </is>
      </c>
      <c r="G148" t="n">
        <v>2.7</v>
      </c>
      <c r="H148" t="n">
        <v>0</v>
      </c>
      <c r="I148" t="n">
        <v>0</v>
      </c>
      <c r="J148" t="n">
        <v>0</v>
      </c>
      <c r="K148" t="n">
        <v>0</v>
      </c>
      <c r="L148" t="n">
        <v>0</v>
      </c>
      <c r="M148" t="n">
        <v>0</v>
      </c>
      <c r="N148" t="n">
        <v>0</v>
      </c>
      <c r="O148" t="n">
        <v>0</v>
      </c>
      <c r="P148" t="n">
        <v>0</v>
      </c>
      <c r="Q148" t="n">
        <v>0</v>
      </c>
      <c r="R148" s="2" t="inlineStr"/>
    </row>
    <row r="149" ht="15" customHeight="1">
      <c r="A149" t="inlineStr">
        <is>
          <t>A 48932-2018</t>
        </is>
      </c>
      <c r="B149" s="1" t="n">
        <v>43371</v>
      </c>
      <c r="C149" s="1" t="n">
        <v>45291</v>
      </c>
      <c r="D149" t="inlineStr">
        <is>
          <t>VÄRMLANDS LÄN</t>
        </is>
      </c>
      <c r="E149" t="inlineStr">
        <is>
          <t>TORSBY</t>
        </is>
      </c>
      <c r="G149" t="n">
        <v>1.8</v>
      </c>
      <c r="H149" t="n">
        <v>0</v>
      </c>
      <c r="I149" t="n">
        <v>0</v>
      </c>
      <c r="J149" t="n">
        <v>0</v>
      </c>
      <c r="K149" t="n">
        <v>0</v>
      </c>
      <c r="L149" t="n">
        <v>0</v>
      </c>
      <c r="M149" t="n">
        <v>0</v>
      </c>
      <c r="N149" t="n">
        <v>0</v>
      </c>
      <c r="O149" t="n">
        <v>0</v>
      </c>
      <c r="P149" t="n">
        <v>0</v>
      </c>
      <c r="Q149" t="n">
        <v>0</v>
      </c>
      <c r="R149" s="2" t="inlineStr"/>
    </row>
    <row r="150" ht="15" customHeight="1">
      <c r="A150" t="inlineStr">
        <is>
          <t>A 48773-2018</t>
        </is>
      </c>
      <c r="B150" s="1" t="n">
        <v>43374</v>
      </c>
      <c r="C150" s="1" t="n">
        <v>45291</v>
      </c>
      <c r="D150" t="inlineStr">
        <is>
          <t>VÄRMLANDS LÄN</t>
        </is>
      </c>
      <c r="E150" t="inlineStr">
        <is>
          <t>TORSBY</t>
        </is>
      </c>
      <c r="G150" t="n">
        <v>3.8</v>
      </c>
      <c r="H150" t="n">
        <v>0</v>
      </c>
      <c r="I150" t="n">
        <v>0</v>
      </c>
      <c r="J150" t="n">
        <v>0</v>
      </c>
      <c r="K150" t="n">
        <v>0</v>
      </c>
      <c r="L150" t="n">
        <v>0</v>
      </c>
      <c r="M150" t="n">
        <v>0</v>
      </c>
      <c r="N150" t="n">
        <v>0</v>
      </c>
      <c r="O150" t="n">
        <v>0</v>
      </c>
      <c r="P150" t="n">
        <v>0</v>
      </c>
      <c r="Q150" t="n">
        <v>0</v>
      </c>
      <c r="R150" s="2" t="inlineStr"/>
    </row>
    <row r="151" ht="15" customHeight="1">
      <c r="A151" t="inlineStr">
        <is>
          <t>A 48718-2018</t>
        </is>
      </c>
      <c r="B151" s="1" t="n">
        <v>43374</v>
      </c>
      <c r="C151" s="1" t="n">
        <v>45291</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49075-2018</t>
        </is>
      </c>
      <c r="B152" s="1" t="n">
        <v>43375</v>
      </c>
      <c r="C152" s="1" t="n">
        <v>45291</v>
      </c>
      <c r="D152" t="inlineStr">
        <is>
          <t>VÄRMLANDS LÄN</t>
        </is>
      </c>
      <c r="E152" t="inlineStr">
        <is>
          <t>TORSBY</t>
        </is>
      </c>
      <c r="G152" t="n">
        <v>3.7</v>
      </c>
      <c r="H152" t="n">
        <v>0</v>
      </c>
      <c r="I152" t="n">
        <v>0</v>
      </c>
      <c r="J152" t="n">
        <v>0</v>
      </c>
      <c r="K152" t="n">
        <v>0</v>
      </c>
      <c r="L152" t="n">
        <v>0</v>
      </c>
      <c r="M152" t="n">
        <v>0</v>
      </c>
      <c r="N152" t="n">
        <v>0</v>
      </c>
      <c r="O152" t="n">
        <v>0</v>
      </c>
      <c r="P152" t="n">
        <v>0</v>
      </c>
      <c r="Q152" t="n">
        <v>0</v>
      </c>
      <c r="R152" s="2" t="inlineStr"/>
    </row>
    <row r="153" ht="15" customHeight="1">
      <c r="A153" t="inlineStr">
        <is>
          <t>A 50296-2018</t>
        </is>
      </c>
      <c r="B153" s="1" t="n">
        <v>43376</v>
      </c>
      <c r="C153" s="1" t="n">
        <v>45291</v>
      </c>
      <c r="D153" t="inlineStr">
        <is>
          <t>VÄRMLANDS LÄN</t>
        </is>
      </c>
      <c r="E153" t="inlineStr">
        <is>
          <t>TORSBY</t>
        </is>
      </c>
      <c r="F153" t="inlineStr">
        <is>
          <t>Kyrkan</t>
        </is>
      </c>
      <c r="G153" t="n">
        <v>15</v>
      </c>
      <c r="H153" t="n">
        <v>0</v>
      </c>
      <c r="I153" t="n">
        <v>0</v>
      </c>
      <c r="J153" t="n">
        <v>0</v>
      </c>
      <c r="K153" t="n">
        <v>0</v>
      </c>
      <c r="L153" t="n">
        <v>0</v>
      </c>
      <c r="M153" t="n">
        <v>0</v>
      </c>
      <c r="N153" t="n">
        <v>0</v>
      </c>
      <c r="O153" t="n">
        <v>0</v>
      </c>
      <c r="P153" t="n">
        <v>0</v>
      </c>
      <c r="Q153" t="n">
        <v>0</v>
      </c>
      <c r="R153" s="2" t="inlineStr"/>
    </row>
    <row r="154" ht="15" customHeight="1">
      <c r="A154" t="inlineStr">
        <is>
          <t>A 50817-2018</t>
        </is>
      </c>
      <c r="B154" s="1" t="n">
        <v>43376</v>
      </c>
      <c r="C154" s="1" t="n">
        <v>45291</v>
      </c>
      <c r="D154" t="inlineStr">
        <is>
          <t>VÄRMLANDS LÄN</t>
        </is>
      </c>
      <c r="E154" t="inlineStr">
        <is>
          <t>TORSBY</t>
        </is>
      </c>
      <c r="G154" t="n">
        <v>1</v>
      </c>
      <c r="H154" t="n">
        <v>0</v>
      </c>
      <c r="I154" t="n">
        <v>0</v>
      </c>
      <c r="J154" t="n">
        <v>0</v>
      </c>
      <c r="K154" t="n">
        <v>0</v>
      </c>
      <c r="L154" t="n">
        <v>0</v>
      </c>
      <c r="M154" t="n">
        <v>0</v>
      </c>
      <c r="N154" t="n">
        <v>0</v>
      </c>
      <c r="O154" t="n">
        <v>0</v>
      </c>
      <c r="P154" t="n">
        <v>0</v>
      </c>
      <c r="Q154" t="n">
        <v>0</v>
      </c>
      <c r="R154" s="2" t="inlineStr"/>
    </row>
    <row r="155" ht="15" customHeight="1">
      <c r="A155" t="inlineStr">
        <is>
          <t>A 50824-2018</t>
        </is>
      </c>
      <c r="B155" s="1" t="n">
        <v>43376</v>
      </c>
      <c r="C155" s="1" t="n">
        <v>45291</v>
      </c>
      <c r="D155" t="inlineStr">
        <is>
          <t>VÄRMLANDS LÄN</t>
        </is>
      </c>
      <c r="E155" t="inlineStr">
        <is>
          <t>TORSBY</t>
        </is>
      </c>
      <c r="G155" t="n">
        <v>2.5</v>
      </c>
      <c r="H155" t="n">
        <v>0</v>
      </c>
      <c r="I155" t="n">
        <v>0</v>
      </c>
      <c r="J155" t="n">
        <v>0</v>
      </c>
      <c r="K155" t="n">
        <v>0</v>
      </c>
      <c r="L155" t="n">
        <v>0</v>
      </c>
      <c r="M155" t="n">
        <v>0</v>
      </c>
      <c r="N155" t="n">
        <v>0</v>
      </c>
      <c r="O155" t="n">
        <v>0</v>
      </c>
      <c r="P155" t="n">
        <v>0</v>
      </c>
      <c r="Q155" t="n">
        <v>0</v>
      </c>
      <c r="R155" s="2" t="inlineStr"/>
    </row>
    <row r="156" ht="15" customHeight="1">
      <c r="A156" t="inlineStr">
        <is>
          <t>A 50821-2018</t>
        </is>
      </c>
      <c r="B156" s="1" t="n">
        <v>43376</v>
      </c>
      <c r="C156" s="1" t="n">
        <v>45291</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52661-2018</t>
        </is>
      </c>
      <c r="B157" s="1" t="n">
        <v>43381</v>
      </c>
      <c r="C157" s="1" t="n">
        <v>45291</v>
      </c>
      <c r="D157" t="inlineStr">
        <is>
          <t>VÄRMLANDS LÄN</t>
        </is>
      </c>
      <c r="E157" t="inlineStr">
        <is>
          <t>TORSBY</t>
        </is>
      </c>
      <c r="G157" t="n">
        <v>11.3</v>
      </c>
      <c r="H157" t="n">
        <v>0</v>
      </c>
      <c r="I157" t="n">
        <v>0</v>
      </c>
      <c r="J157" t="n">
        <v>0</v>
      </c>
      <c r="K157" t="n">
        <v>0</v>
      </c>
      <c r="L157" t="n">
        <v>0</v>
      </c>
      <c r="M157" t="n">
        <v>0</v>
      </c>
      <c r="N157" t="n">
        <v>0</v>
      </c>
      <c r="O157" t="n">
        <v>0</v>
      </c>
      <c r="P157" t="n">
        <v>0</v>
      </c>
      <c r="Q157" t="n">
        <v>0</v>
      </c>
      <c r="R157" s="2" t="inlineStr"/>
    </row>
    <row r="158" ht="15" customHeight="1">
      <c r="A158" t="inlineStr">
        <is>
          <t>A 51437-2018</t>
        </is>
      </c>
      <c r="B158" s="1" t="n">
        <v>43383</v>
      </c>
      <c r="C158" s="1" t="n">
        <v>45291</v>
      </c>
      <c r="D158" t="inlineStr">
        <is>
          <t>VÄRMLANDS LÄN</t>
        </is>
      </c>
      <c r="E158" t="inlineStr">
        <is>
          <t>TORSBY</t>
        </is>
      </c>
      <c r="G158" t="n">
        <v>1.2</v>
      </c>
      <c r="H158" t="n">
        <v>0</v>
      </c>
      <c r="I158" t="n">
        <v>0</v>
      </c>
      <c r="J158" t="n">
        <v>0</v>
      </c>
      <c r="K158" t="n">
        <v>0</v>
      </c>
      <c r="L158" t="n">
        <v>0</v>
      </c>
      <c r="M158" t="n">
        <v>0</v>
      </c>
      <c r="N158" t="n">
        <v>0</v>
      </c>
      <c r="O158" t="n">
        <v>0</v>
      </c>
      <c r="P158" t="n">
        <v>0</v>
      </c>
      <c r="Q158" t="n">
        <v>0</v>
      </c>
      <c r="R158" s="2" t="inlineStr"/>
    </row>
    <row r="159" ht="15" customHeight="1">
      <c r="A159" t="inlineStr">
        <is>
          <t>A 53525-2018</t>
        </is>
      </c>
      <c r="B159" s="1" t="n">
        <v>43387</v>
      </c>
      <c r="C159" s="1" t="n">
        <v>45291</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53756-2018</t>
        </is>
      </c>
      <c r="B160" s="1" t="n">
        <v>43388</v>
      </c>
      <c r="C160" s="1" t="n">
        <v>45291</v>
      </c>
      <c r="D160" t="inlineStr">
        <is>
          <t>VÄRMLANDS LÄN</t>
        </is>
      </c>
      <c r="E160" t="inlineStr">
        <is>
          <t>TORSBY</t>
        </is>
      </c>
      <c r="G160" t="n">
        <v>1.2</v>
      </c>
      <c r="H160" t="n">
        <v>0</v>
      </c>
      <c r="I160" t="n">
        <v>0</v>
      </c>
      <c r="J160" t="n">
        <v>0</v>
      </c>
      <c r="K160" t="n">
        <v>0</v>
      </c>
      <c r="L160" t="n">
        <v>0</v>
      </c>
      <c r="M160" t="n">
        <v>0</v>
      </c>
      <c r="N160" t="n">
        <v>0</v>
      </c>
      <c r="O160" t="n">
        <v>0</v>
      </c>
      <c r="P160" t="n">
        <v>0</v>
      </c>
      <c r="Q160" t="n">
        <v>0</v>
      </c>
      <c r="R160" s="2" t="inlineStr"/>
    </row>
    <row r="161" ht="15" customHeight="1">
      <c r="A161" t="inlineStr">
        <is>
          <t>A 52246-2018</t>
        </is>
      </c>
      <c r="B161" s="1" t="n">
        <v>43388</v>
      </c>
      <c r="C161" s="1" t="n">
        <v>45291</v>
      </c>
      <c r="D161" t="inlineStr">
        <is>
          <t>VÄRMLANDS LÄN</t>
        </is>
      </c>
      <c r="E161" t="inlineStr">
        <is>
          <t>TORSBY</t>
        </is>
      </c>
      <c r="G161" t="n">
        <v>3.3</v>
      </c>
      <c r="H161" t="n">
        <v>0</v>
      </c>
      <c r="I161" t="n">
        <v>0</v>
      </c>
      <c r="J161" t="n">
        <v>0</v>
      </c>
      <c r="K161" t="n">
        <v>0</v>
      </c>
      <c r="L161" t="n">
        <v>0</v>
      </c>
      <c r="M161" t="n">
        <v>0</v>
      </c>
      <c r="N161" t="n">
        <v>0</v>
      </c>
      <c r="O161" t="n">
        <v>0</v>
      </c>
      <c r="P161" t="n">
        <v>0</v>
      </c>
      <c r="Q161" t="n">
        <v>0</v>
      </c>
      <c r="R161" s="2" t="inlineStr"/>
    </row>
    <row r="162" ht="15" customHeight="1">
      <c r="A162" t="inlineStr">
        <is>
          <t>A 57511-2018</t>
        </is>
      </c>
      <c r="B162" s="1" t="n">
        <v>43388</v>
      </c>
      <c r="C162" s="1" t="n">
        <v>45291</v>
      </c>
      <c r="D162" t="inlineStr">
        <is>
          <t>VÄRMLANDS LÄN</t>
        </is>
      </c>
      <c r="E162" t="inlineStr">
        <is>
          <t>TORSBY</t>
        </is>
      </c>
      <c r="G162" t="n">
        <v>0.6</v>
      </c>
      <c r="H162" t="n">
        <v>0</v>
      </c>
      <c r="I162" t="n">
        <v>0</v>
      </c>
      <c r="J162" t="n">
        <v>0</v>
      </c>
      <c r="K162" t="n">
        <v>0</v>
      </c>
      <c r="L162" t="n">
        <v>0</v>
      </c>
      <c r="M162" t="n">
        <v>0</v>
      </c>
      <c r="N162" t="n">
        <v>0</v>
      </c>
      <c r="O162" t="n">
        <v>0</v>
      </c>
      <c r="P162" t="n">
        <v>0</v>
      </c>
      <c r="Q162" t="n">
        <v>0</v>
      </c>
      <c r="R162" s="2" t="inlineStr"/>
    </row>
    <row r="163" ht="15" customHeight="1">
      <c r="A163" t="inlineStr">
        <is>
          <t>A 52757-2018</t>
        </is>
      </c>
      <c r="B163" s="1" t="n">
        <v>43389</v>
      </c>
      <c r="C163" s="1" t="n">
        <v>45291</v>
      </c>
      <c r="D163" t="inlineStr">
        <is>
          <t>VÄRMLANDS LÄN</t>
        </is>
      </c>
      <c r="E163" t="inlineStr">
        <is>
          <t>TORSBY</t>
        </is>
      </c>
      <c r="G163" t="n">
        <v>9</v>
      </c>
      <c r="H163" t="n">
        <v>0</v>
      </c>
      <c r="I163" t="n">
        <v>0</v>
      </c>
      <c r="J163" t="n">
        <v>0</v>
      </c>
      <c r="K163" t="n">
        <v>0</v>
      </c>
      <c r="L163" t="n">
        <v>0</v>
      </c>
      <c r="M163" t="n">
        <v>0</v>
      </c>
      <c r="N163" t="n">
        <v>0</v>
      </c>
      <c r="O163" t="n">
        <v>0</v>
      </c>
      <c r="P163" t="n">
        <v>0</v>
      </c>
      <c r="Q163" t="n">
        <v>0</v>
      </c>
      <c r="R163" s="2" t="inlineStr"/>
    </row>
    <row r="164" ht="15" customHeight="1">
      <c r="A164" t="inlineStr">
        <is>
          <t>A 54690-2018</t>
        </is>
      </c>
      <c r="B164" s="1" t="n">
        <v>43389</v>
      </c>
      <c r="C164" s="1" t="n">
        <v>45291</v>
      </c>
      <c r="D164" t="inlineStr">
        <is>
          <t>VÄRMLANDS LÄN</t>
        </is>
      </c>
      <c r="E164" t="inlineStr">
        <is>
          <t>TORSBY</t>
        </is>
      </c>
      <c r="F164" t="inlineStr">
        <is>
          <t>Kyrkan</t>
        </is>
      </c>
      <c r="G164" t="n">
        <v>6.6</v>
      </c>
      <c r="H164" t="n">
        <v>0</v>
      </c>
      <c r="I164" t="n">
        <v>0</v>
      </c>
      <c r="J164" t="n">
        <v>0</v>
      </c>
      <c r="K164" t="n">
        <v>0</v>
      </c>
      <c r="L164" t="n">
        <v>0</v>
      </c>
      <c r="M164" t="n">
        <v>0</v>
      </c>
      <c r="N164" t="n">
        <v>0</v>
      </c>
      <c r="O164" t="n">
        <v>0</v>
      </c>
      <c r="P164" t="n">
        <v>0</v>
      </c>
      <c r="Q164" t="n">
        <v>0</v>
      </c>
      <c r="R164" s="2" t="inlineStr"/>
    </row>
    <row r="165" ht="15" customHeight="1">
      <c r="A165" t="inlineStr">
        <is>
          <t>A 64999-2018</t>
        </is>
      </c>
      <c r="B165" s="1" t="n">
        <v>43395</v>
      </c>
      <c r="C165" s="1" t="n">
        <v>45291</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57018-2018</t>
        </is>
      </c>
      <c r="B166" s="1" t="n">
        <v>43395</v>
      </c>
      <c r="C166" s="1" t="n">
        <v>45291</v>
      </c>
      <c r="D166" t="inlineStr">
        <is>
          <t>VÄRMLANDS LÄN</t>
        </is>
      </c>
      <c r="E166" t="inlineStr">
        <is>
          <t>TORSBY</t>
        </is>
      </c>
      <c r="G166" t="n">
        <v>11.2</v>
      </c>
      <c r="H166" t="n">
        <v>0</v>
      </c>
      <c r="I166" t="n">
        <v>0</v>
      </c>
      <c r="J166" t="n">
        <v>0</v>
      </c>
      <c r="K166" t="n">
        <v>0</v>
      </c>
      <c r="L166" t="n">
        <v>0</v>
      </c>
      <c r="M166" t="n">
        <v>0</v>
      </c>
      <c r="N166" t="n">
        <v>0</v>
      </c>
      <c r="O166" t="n">
        <v>0</v>
      </c>
      <c r="P166" t="n">
        <v>0</v>
      </c>
      <c r="Q166" t="n">
        <v>0</v>
      </c>
      <c r="R166" s="2" t="inlineStr"/>
    </row>
    <row r="167" ht="15" customHeight="1">
      <c r="A167" t="inlineStr">
        <is>
          <t>A 64997-2018</t>
        </is>
      </c>
      <c r="B167" s="1" t="n">
        <v>43395</v>
      </c>
      <c r="C167" s="1" t="n">
        <v>45291</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56421-2018</t>
        </is>
      </c>
      <c r="B168" s="1" t="n">
        <v>43395</v>
      </c>
      <c r="C168" s="1" t="n">
        <v>45291</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56914-2018</t>
        </is>
      </c>
      <c r="B169" s="1" t="n">
        <v>43395</v>
      </c>
      <c r="C169" s="1" t="n">
        <v>45291</v>
      </c>
      <c r="D169" t="inlineStr">
        <is>
          <t>VÄRMLANDS LÄN</t>
        </is>
      </c>
      <c r="E169" t="inlineStr">
        <is>
          <t>TORSBY</t>
        </is>
      </c>
      <c r="G169" t="n">
        <v>11.6</v>
      </c>
      <c r="H169" t="n">
        <v>0</v>
      </c>
      <c r="I169" t="n">
        <v>0</v>
      </c>
      <c r="J169" t="n">
        <v>0</v>
      </c>
      <c r="K169" t="n">
        <v>0</v>
      </c>
      <c r="L169" t="n">
        <v>0</v>
      </c>
      <c r="M169" t="n">
        <v>0</v>
      </c>
      <c r="N169" t="n">
        <v>0</v>
      </c>
      <c r="O169" t="n">
        <v>0</v>
      </c>
      <c r="P169" t="n">
        <v>0</v>
      </c>
      <c r="Q169" t="n">
        <v>0</v>
      </c>
      <c r="R169" s="2" t="inlineStr"/>
    </row>
    <row r="170" ht="15" customHeight="1">
      <c r="A170" t="inlineStr">
        <is>
          <t>A 57776-2018</t>
        </is>
      </c>
      <c r="B170" s="1" t="n">
        <v>43397</v>
      </c>
      <c r="C170" s="1" t="n">
        <v>45291</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57837-2018</t>
        </is>
      </c>
      <c r="B171" s="1" t="n">
        <v>43397</v>
      </c>
      <c r="C171" s="1" t="n">
        <v>45291</v>
      </c>
      <c r="D171" t="inlineStr">
        <is>
          <t>VÄRMLANDS LÄN</t>
        </is>
      </c>
      <c r="E171" t="inlineStr">
        <is>
          <t>TORSBY</t>
        </is>
      </c>
      <c r="G171" t="n">
        <v>1</v>
      </c>
      <c r="H171" t="n">
        <v>0</v>
      </c>
      <c r="I171" t="n">
        <v>0</v>
      </c>
      <c r="J171" t="n">
        <v>0</v>
      </c>
      <c r="K171" t="n">
        <v>0</v>
      </c>
      <c r="L171" t="n">
        <v>0</v>
      </c>
      <c r="M171" t="n">
        <v>0</v>
      </c>
      <c r="N171" t="n">
        <v>0</v>
      </c>
      <c r="O171" t="n">
        <v>0</v>
      </c>
      <c r="P171" t="n">
        <v>0</v>
      </c>
      <c r="Q171" t="n">
        <v>0</v>
      </c>
      <c r="R171" s="2" t="inlineStr"/>
    </row>
    <row r="172" ht="15" customHeight="1">
      <c r="A172" t="inlineStr">
        <is>
          <t>A 57766-2018</t>
        </is>
      </c>
      <c r="B172" s="1" t="n">
        <v>43397</v>
      </c>
      <c r="C172" s="1" t="n">
        <v>45291</v>
      </c>
      <c r="D172" t="inlineStr">
        <is>
          <t>VÄRMLANDS LÄN</t>
        </is>
      </c>
      <c r="E172" t="inlineStr">
        <is>
          <t>TORSBY</t>
        </is>
      </c>
      <c r="G172" t="n">
        <v>2.2</v>
      </c>
      <c r="H172" t="n">
        <v>0</v>
      </c>
      <c r="I172" t="n">
        <v>0</v>
      </c>
      <c r="J172" t="n">
        <v>0</v>
      </c>
      <c r="K172" t="n">
        <v>0</v>
      </c>
      <c r="L172" t="n">
        <v>0</v>
      </c>
      <c r="M172" t="n">
        <v>0</v>
      </c>
      <c r="N172" t="n">
        <v>0</v>
      </c>
      <c r="O172" t="n">
        <v>0</v>
      </c>
      <c r="P172" t="n">
        <v>0</v>
      </c>
      <c r="Q172" t="n">
        <v>0</v>
      </c>
      <c r="R172" s="2" t="inlineStr"/>
    </row>
    <row r="173" ht="15" customHeight="1">
      <c r="A173" t="inlineStr">
        <is>
          <t>A 57775-2018</t>
        </is>
      </c>
      <c r="B173" s="1" t="n">
        <v>43397</v>
      </c>
      <c r="C173" s="1" t="n">
        <v>45291</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58620-2018</t>
        </is>
      </c>
      <c r="B174" s="1" t="n">
        <v>43398</v>
      </c>
      <c r="C174" s="1" t="n">
        <v>45291</v>
      </c>
      <c r="D174" t="inlineStr">
        <is>
          <t>VÄRMLANDS LÄN</t>
        </is>
      </c>
      <c r="E174" t="inlineStr">
        <is>
          <t>TORSBY</t>
        </is>
      </c>
      <c r="G174" t="n">
        <v>5.3</v>
      </c>
      <c r="H174" t="n">
        <v>0</v>
      </c>
      <c r="I174" t="n">
        <v>0</v>
      </c>
      <c r="J174" t="n">
        <v>0</v>
      </c>
      <c r="K174" t="n">
        <v>0</v>
      </c>
      <c r="L174" t="n">
        <v>0</v>
      </c>
      <c r="M174" t="n">
        <v>0</v>
      </c>
      <c r="N174" t="n">
        <v>0</v>
      </c>
      <c r="O174" t="n">
        <v>0</v>
      </c>
      <c r="P174" t="n">
        <v>0</v>
      </c>
      <c r="Q174" t="n">
        <v>0</v>
      </c>
      <c r="R174" s="2" t="inlineStr"/>
    </row>
    <row r="175" ht="15" customHeight="1">
      <c r="A175" t="inlineStr">
        <is>
          <t>A 58601-2018</t>
        </is>
      </c>
      <c r="B175" s="1" t="n">
        <v>43398</v>
      </c>
      <c r="C175" s="1" t="n">
        <v>45291</v>
      </c>
      <c r="D175" t="inlineStr">
        <is>
          <t>VÄRMLANDS LÄN</t>
        </is>
      </c>
      <c r="E175" t="inlineStr">
        <is>
          <t>TORSBY</t>
        </is>
      </c>
      <c r="G175" t="n">
        <v>3.2</v>
      </c>
      <c r="H175" t="n">
        <v>0</v>
      </c>
      <c r="I175" t="n">
        <v>0</v>
      </c>
      <c r="J175" t="n">
        <v>0</v>
      </c>
      <c r="K175" t="n">
        <v>0</v>
      </c>
      <c r="L175" t="n">
        <v>0</v>
      </c>
      <c r="M175" t="n">
        <v>0</v>
      </c>
      <c r="N175" t="n">
        <v>0</v>
      </c>
      <c r="O175" t="n">
        <v>0</v>
      </c>
      <c r="P175" t="n">
        <v>0</v>
      </c>
      <c r="Q175" t="n">
        <v>0</v>
      </c>
      <c r="R175" s="2" t="inlineStr"/>
    </row>
    <row r="176" ht="15" customHeight="1">
      <c r="A176" t="inlineStr">
        <is>
          <t>A 55870-2018</t>
        </is>
      </c>
      <c r="B176" s="1" t="n">
        <v>43398</v>
      </c>
      <c r="C176" s="1" t="n">
        <v>45291</v>
      </c>
      <c r="D176" t="inlineStr">
        <is>
          <t>VÄRMLANDS LÄN</t>
        </is>
      </c>
      <c r="E176" t="inlineStr">
        <is>
          <t>TORSBY</t>
        </is>
      </c>
      <c r="G176" t="n">
        <v>1</v>
      </c>
      <c r="H176" t="n">
        <v>0</v>
      </c>
      <c r="I176" t="n">
        <v>0</v>
      </c>
      <c r="J176" t="n">
        <v>0</v>
      </c>
      <c r="K176" t="n">
        <v>0</v>
      </c>
      <c r="L176" t="n">
        <v>0</v>
      </c>
      <c r="M176" t="n">
        <v>0</v>
      </c>
      <c r="N176" t="n">
        <v>0</v>
      </c>
      <c r="O176" t="n">
        <v>0</v>
      </c>
      <c r="P176" t="n">
        <v>0</v>
      </c>
      <c r="Q176" t="n">
        <v>0</v>
      </c>
      <c r="R176" s="2" t="inlineStr"/>
    </row>
    <row r="177" ht="15" customHeight="1">
      <c r="A177" t="inlineStr">
        <is>
          <t>A 58625-2018</t>
        </is>
      </c>
      <c r="B177" s="1" t="n">
        <v>43398</v>
      </c>
      <c r="C177" s="1" t="n">
        <v>45291</v>
      </c>
      <c r="D177" t="inlineStr">
        <is>
          <t>VÄRMLANDS LÄN</t>
        </is>
      </c>
      <c r="E177" t="inlineStr">
        <is>
          <t>TORSBY</t>
        </is>
      </c>
      <c r="G177" t="n">
        <v>1.2</v>
      </c>
      <c r="H177" t="n">
        <v>0</v>
      </c>
      <c r="I177" t="n">
        <v>0</v>
      </c>
      <c r="J177" t="n">
        <v>0</v>
      </c>
      <c r="K177" t="n">
        <v>0</v>
      </c>
      <c r="L177" t="n">
        <v>0</v>
      </c>
      <c r="M177" t="n">
        <v>0</v>
      </c>
      <c r="N177" t="n">
        <v>0</v>
      </c>
      <c r="O177" t="n">
        <v>0</v>
      </c>
      <c r="P177" t="n">
        <v>0</v>
      </c>
      <c r="Q177" t="n">
        <v>0</v>
      </c>
      <c r="R177" s="2" t="inlineStr"/>
    </row>
    <row r="178" ht="15" customHeight="1">
      <c r="A178" t="inlineStr">
        <is>
          <t>A 56358-2018</t>
        </is>
      </c>
      <c r="B178" s="1" t="n">
        <v>43399</v>
      </c>
      <c r="C178" s="1" t="n">
        <v>45291</v>
      </c>
      <c r="D178" t="inlineStr">
        <is>
          <t>VÄRMLANDS LÄN</t>
        </is>
      </c>
      <c r="E178" t="inlineStr">
        <is>
          <t>TORSBY</t>
        </is>
      </c>
      <c r="G178" t="n">
        <v>6.4</v>
      </c>
      <c r="H178" t="n">
        <v>0</v>
      </c>
      <c r="I178" t="n">
        <v>0</v>
      </c>
      <c r="J178" t="n">
        <v>0</v>
      </c>
      <c r="K178" t="n">
        <v>0</v>
      </c>
      <c r="L178" t="n">
        <v>0</v>
      </c>
      <c r="M178" t="n">
        <v>0</v>
      </c>
      <c r="N178" t="n">
        <v>0</v>
      </c>
      <c r="O178" t="n">
        <v>0</v>
      </c>
      <c r="P178" t="n">
        <v>0</v>
      </c>
      <c r="Q178" t="n">
        <v>0</v>
      </c>
      <c r="R178" s="2" t="inlineStr"/>
    </row>
    <row r="179" ht="15" customHeight="1">
      <c r="A179" t="inlineStr">
        <is>
          <t>A 56528-2018</t>
        </is>
      </c>
      <c r="B179" s="1" t="n">
        <v>43401</v>
      </c>
      <c r="C179" s="1" t="n">
        <v>45291</v>
      </c>
      <c r="D179" t="inlineStr">
        <is>
          <t>VÄRMLANDS LÄN</t>
        </is>
      </c>
      <c r="E179" t="inlineStr">
        <is>
          <t>TORSBY</t>
        </is>
      </c>
      <c r="G179" t="n">
        <v>3.1</v>
      </c>
      <c r="H179" t="n">
        <v>0</v>
      </c>
      <c r="I179" t="n">
        <v>0</v>
      </c>
      <c r="J179" t="n">
        <v>0</v>
      </c>
      <c r="K179" t="n">
        <v>0</v>
      </c>
      <c r="L179" t="n">
        <v>0</v>
      </c>
      <c r="M179" t="n">
        <v>0</v>
      </c>
      <c r="N179" t="n">
        <v>0</v>
      </c>
      <c r="O179" t="n">
        <v>0</v>
      </c>
      <c r="P179" t="n">
        <v>0</v>
      </c>
      <c r="Q179" t="n">
        <v>0</v>
      </c>
      <c r="R179" s="2" t="inlineStr"/>
    </row>
    <row r="180" ht="15" customHeight="1">
      <c r="A180" t="inlineStr">
        <is>
          <t>A 56812-2018</t>
        </is>
      </c>
      <c r="B180" s="1" t="n">
        <v>43402</v>
      </c>
      <c r="C180" s="1" t="n">
        <v>45291</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59040-2018</t>
        </is>
      </c>
      <c r="B181" s="1" t="n">
        <v>43402</v>
      </c>
      <c r="C181" s="1" t="n">
        <v>45291</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59041-2018</t>
        </is>
      </c>
      <c r="B182" s="1" t="n">
        <v>43402</v>
      </c>
      <c r="C182" s="1" t="n">
        <v>45291</v>
      </c>
      <c r="D182" t="inlineStr">
        <is>
          <t>VÄRMLANDS LÄN</t>
        </is>
      </c>
      <c r="E182" t="inlineStr">
        <is>
          <t>TORSBY</t>
        </is>
      </c>
      <c r="G182" t="n">
        <v>2.7</v>
      </c>
      <c r="H182" t="n">
        <v>0</v>
      </c>
      <c r="I182" t="n">
        <v>0</v>
      </c>
      <c r="J182" t="n">
        <v>0</v>
      </c>
      <c r="K182" t="n">
        <v>0</v>
      </c>
      <c r="L182" t="n">
        <v>0</v>
      </c>
      <c r="M182" t="n">
        <v>0</v>
      </c>
      <c r="N182" t="n">
        <v>0</v>
      </c>
      <c r="O182" t="n">
        <v>0</v>
      </c>
      <c r="P182" t="n">
        <v>0</v>
      </c>
      <c r="Q182" t="n">
        <v>0</v>
      </c>
      <c r="R182" s="2" t="inlineStr"/>
    </row>
    <row r="183" ht="15" customHeight="1">
      <c r="A183" t="inlineStr">
        <is>
          <t>A 59059-2018</t>
        </is>
      </c>
      <c r="B183" s="1" t="n">
        <v>43403</v>
      </c>
      <c r="C183" s="1" t="n">
        <v>45291</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59192-2018</t>
        </is>
      </c>
      <c r="B184" s="1" t="n">
        <v>43403</v>
      </c>
      <c r="C184" s="1" t="n">
        <v>45291</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64980-2018</t>
        </is>
      </c>
      <c r="B185" s="1" t="n">
        <v>43404</v>
      </c>
      <c r="C185" s="1" t="n">
        <v>45291</v>
      </c>
      <c r="D185" t="inlineStr">
        <is>
          <t>VÄRMLANDS LÄN</t>
        </is>
      </c>
      <c r="E185" t="inlineStr">
        <is>
          <t>TORSBY</t>
        </is>
      </c>
      <c r="G185" t="n">
        <v>2.3</v>
      </c>
      <c r="H185" t="n">
        <v>0</v>
      </c>
      <c r="I185" t="n">
        <v>0</v>
      </c>
      <c r="J185" t="n">
        <v>0</v>
      </c>
      <c r="K185" t="n">
        <v>0</v>
      </c>
      <c r="L185" t="n">
        <v>0</v>
      </c>
      <c r="M185" t="n">
        <v>0</v>
      </c>
      <c r="N185" t="n">
        <v>0</v>
      </c>
      <c r="O185" t="n">
        <v>0</v>
      </c>
      <c r="P185" t="n">
        <v>0</v>
      </c>
      <c r="Q185" t="n">
        <v>0</v>
      </c>
      <c r="R185" s="2" t="inlineStr"/>
    </row>
    <row r="186" ht="15" customHeight="1">
      <c r="A186" t="inlineStr">
        <is>
          <t>A 60450-2018</t>
        </is>
      </c>
      <c r="B186" s="1" t="n">
        <v>43405</v>
      </c>
      <c r="C186" s="1" t="n">
        <v>45291</v>
      </c>
      <c r="D186" t="inlineStr">
        <is>
          <t>VÄRMLANDS LÄN</t>
        </is>
      </c>
      <c r="E186" t="inlineStr">
        <is>
          <t>TORSBY</t>
        </is>
      </c>
      <c r="G186" t="n">
        <v>8.5</v>
      </c>
      <c r="H186" t="n">
        <v>0</v>
      </c>
      <c r="I186" t="n">
        <v>0</v>
      </c>
      <c r="J186" t="n">
        <v>0</v>
      </c>
      <c r="K186" t="n">
        <v>0</v>
      </c>
      <c r="L186" t="n">
        <v>0</v>
      </c>
      <c r="M186" t="n">
        <v>0</v>
      </c>
      <c r="N186" t="n">
        <v>0</v>
      </c>
      <c r="O186" t="n">
        <v>0</v>
      </c>
      <c r="P186" t="n">
        <v>0</v>
      </c>
      <c r="Q186" t="n">
        <v>0</v>
      </c>
      <c r="R186" s="2" t="inlineStr"/>
    </row>
    <row r="187" ht="15" customHeight="1">
      <c r="A187" t="inlineStr">
        <is>
          <t>A 58096-2018</t>
        </is>
      </c>
      <c r="B187" s="1" t="n">
        <v>43406</v>
      </c>
      <c r="C187" s="1" t="n">
        <v>45291</v>
      </c>
      <c r="D187" t="inlineStr">
        <is>
          <t>VÄRMLANDS LÄN</t>
        </is>
      </c>
      <c r="E187" t="inlineStr">
        <is>
          <t>TORSBY</t>
        </is>
      </c>
      <c r="F187" t="inlineStr">
        <is>
          <t>Bergvik skog väst AB</t>
        </is>
      </c>
      <c r="G187" t="n">
        <v>29.5</v>
      </c>
      <c r="H187" t="n">
        <v>0</v>
      </c>
      <c r="I187" t="n">
        <v>0</v>
      </c>
      <c r="J187" t="n">
        <v>0</v>
      </c>
      <c r="K187" t="n">
        <v>0</v>
      </c>
      <c r="L187" t="n">
        <v>0</v>
      </c>
      <c r="M187" t="n">
        <v>0</v>
      </c>
      <c r="N187" t="n">
        <v>0</v>
      </c>
      <c r="O187" t="n">
        <v>0</v>
      </c>
      <c r="P187" t="n">
        <v>0</v>
      </c>
      <c r="Q187" t="n">
        <v>0</v>
      </c>
      <c r="R187" s="2" t="inlineStr"/>
    </row>
    <row r="188" ht="15" customHeight="1">
      <c r="A188" t="inlineStr">
        <is>
          <t>A 60810-2018</t>
        </is>
      </c>
      <c r="B188" s="1" t="n">
        <v>43410</v>
      </c>
      <c r="C188" s="1" t="n">
        <v>45291</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58745-2018</t>
        </is>
      </c>
      <c r="B189" s="1" t="n">
        <v>43410</v>
      </c>
      <c r="C189" s="1" t="n">
        <v>45291</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60806-2018</t>
        </is>
      </c>
      <c r="B190" s="1" t="n">
        <v>43410</v>
      </c>
      <c r="C190" s="1" t="n">
        <v>45291</v>
      </c>
      <c r="D190" t="inlineStr">
        <is>
          <t>VÄRMLANDS LÄN</t>
        </is>
      </c>
      <c r="E190" t="inlineStr">
        <is>
          <t>TORSBY</t>
        </is>
      </c>
      <c r="G190" t="n">
        <v>7.2</v>
      </c>
      <c r="H190" t="n">
        <v>0</v>
      </c>
      <c r="I190" t="n">
        <v>0</v>
      </c>
      <c r="J190" t="n">
        <v>0</v>
      </c>
      <c r="K190" t="n">
        <v>0</v>
      </c>
      <c r="L190" t="n">
        <v>0</v>
      </c>
      <c r="M190" t="n">
        <v>0</v>
      </c>
      <c r="N190" t="n">
        <v>0</v>
      </c>
      <c r="O190" t="n">
        <v>0</v>
      </c>
      <c r="P190" t="n">
        <v>0</v>
      </c>
      <c r="Q190" t="n">
        <v>0</v>
      </c>
      <c r="R190" s="2" t="inlineStr"/>
    </row>
    <row r="191" ht="15" customHeight="1">
      <c r="A191" t="inlineStr">
        <is>
          <t>A 60137-2018</t>
        </is>
      </c>
      <c r="B191" s="1" t="n">
        <v>43412</v>
      </c>
      <c r="C191" s="1" t="n">
        <v>45291</v>
      </c>
      <c r="D191" t="inlineStr">
        <is>
          <t>VÄRMLANDS LÄN</t>
        </is>
      </c>
      <c r="E191" t="inlineStr">
        <is>
          <t>TORSBY</t>
        </is>
      </c>
      <c r="G191" t="n">
        <v>2.7</v>
      </c>
      <c r="H191" t="n">
        <v>0</v>
      </c>
      <c r="I191" t="n">
        <v>0</v>
      </c>
      <c r="J191" t="n">
        <v>0</v>
      </c>
      <c r="K191" t="n">
        <v>0</v>
      </c>
      <c r="L191" t="n">
        <v>0</v>
      </c>
      <c r="M191" t="n">
        <v>0</v>
      </c>
      <c r="N191" t="n">
        <v>0</v>
      </c>
      <c r="O191" t="n">
        <v>0</v>
      </c>
      <c r="P191" t="n">
        <v>0</v>
      </c>
      <c r="Q191" t="n">
        <v>0</v>
      </c>
      <c r="R191" s="2" t="inlineStr"/>
    </row>
    <row r="192" ht="15" customHeight="1">
      <c r="A192" t="inlineStr">
        <is>
          <t>A 60055-2018</t>
        </is>
      </c>
      <c r="B192" s="1" t="n">
        <v>43412</v>
      </c>
      <c r="C192" s="1" t="n">
        <v>45291</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60059-2018</t>
        </is>
      </c>
      <c r="B193" s="1" t="n">
        <v>43412</v>
      </c>
      <c r="C193" s="1" t="n">
        <v>45291</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62495-2018</t>
        </is>
      </c>
      <c r="B194" s="1" t="n">
        <v>43414</v>
      </c>
      <c r="C194" s="1" t="n">
        <v>45291</v>
      </c>
      <c r="D194" t="inlineStr">
        <is>
          <t>VÄRMLANDS LÄN</t>
        </is>
      </c>
      <c r="E194" t="inlineStr">
        <is>
          <t>TORSBY</t>
        </is>
      </c>
      <c r="G194" t="n">
        <v>3.1</v>
      </c>
      <c r="H194" t="n">
        <v>0</v>
      </c>
      <c r="I194" t="n">
        <v>0</v>
      </c>
      <c r="J194" t="n">
        <v>0</v>
      </c>
      <c r="K194" t="n">
        <v>0</v>
      </c>
      <c r="L194" t="n">
        <v>0</v>
      </c>
      <c r="M194" t="n">
        <v>0</v>
      </c>
      <c r="N194" t="n">
        <v>0</v>
      </c>
      <c r="O194" t="n">
        <v>0</v>
      </c>
      <c r="P194" t="n">
        <v>0</v>
      </c>
      <c r="Q194" t="n">
        <v>0</v>
      </c>
      <c r="R194" s="2" t="inlineStr"/>
    </row>
    <row r="195" ht="15" customHeight="1">
      <c r="A195" t="inlineStr">
        <is>
          <t>A 62492-2018</t>
        </is>
      </c>
      <c r="B195" s="1" t="n">
        <v>43414</v>
      </c>
      <c r="C195" s="1" t="n">
        <v>45291</v>
      </c>
      <c r="D195" t="inlineStr">
        <is>
          <t>VÄRMLANDS LÄN</t>
        </is>
      </c>
      <c r="E195" t="inlineStr">
        <is>
          <t>TORSBY</t>
        </is>
      </c>
      <c r="G195" t="n">
        <v>3.2</v>
      </c>
      <c r="H195" t="n">
        <v>0</v>
      </c>
      <c r="I195" t="n">
        <v>0</v>
      </c>
      <c r="J195" t="n">
        <v>0</v>
      </c>
      <c r="K195" t="n">
        <v>0</v>
      </c>
      <c r="L195" t="n">
        <v>0</v>
      </c>
      <c r="M195" t="n">
        <v>0</v>
      </c>
      <c r="N195" t="n">
        <v>0</v>
      </c>
      <c r="O195" t="n">
        <v>0</v>
      </c>
      <c r="P195" t="n">
        <v>0</v>
      </c>
      <c r="Q195" t="n">
        <v>0</v>
      </c>
      <c r="R195" s="2" t="inlineStr"/>
    </row>
    <row r="196" ht="15" customHeight="1">
      <c r="A196" t="inlineStr">
        <is>
          <t>A 62499-2018</t>
        </is>
      </c>
      <c r="B196" s="1" t="n">
        <v>43414</v>
      </c>
      <c r="C196" s="1" t="n">
        <v>45291</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62345-2018</t>
        </is>
      </c>
      <c r="B197" s="1" t="n">
        <v>43416</v>
      </c>
      <c r="C197" s="1" t="n">
        <v>45291</v>
      </c>
      <c r="D197" t="inlineStr">
        <is>
          <t>VÄRMLANDS LÄN</t>
        </is>
      </c>
      <c r="E197" t="inlineStr">
        <is>
          <t>TORSBY</t>
        </is>
      </c>
      <c r="G197" t="n">
        <v>2</v>
      </c>
      <c r="H197" t="n">
        <v>0</v>
      </c>
      <c r="I197" t="n">
        <v>0</v>
      </c>
      <c r="J197" t="n">
        <v>0</v>
      </c>
      <c r="K197" t="n">
        <v>0</v>
      </c>
      <c r="L197" t="n">
        <v>0</v>
      </c>
      <c r="M197" t="n">
        <v>0</v>
      </c>
      <c r="N197" t="n">
        <v>0</v>
      </c>
      <c r="O197" t="n">
        <v>0</v>
      </c>
      <c r="P197" t="n">
        <v>0</v>
      </c>
      <c r="Q197" t="n">
        <v>0</v>
      </c>
      <c r="R197" s="2" t="inlineStr"/>
    </row>
    <row r="198" ht="15" customHeight="1">
      <c r="A198" t="inlineStr">
        <is>
          <t>A 62407-2018</t>
        </is>
      </c>
      <c r="B198" s="1" t="n">
        <v>43416</v>
      </c>
      <c r="C198" s="1" t="n">
        <v>45291</v>
      </c>
      <c r="D198" t="inlineStr">
        <is>
          <t>VÄRMLANDS LÄN</t>
        </is>
      </c>
      <c r="E198" t="inlineStr">
        <is>
          <t>TORSBY</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63407-2018</t>
        </is>
      </c>
      <c r="B199" s="1" t="n">
        <v>43416</v>
      </c>
      <c r="C199" s="1" t="n">
        <v>45291</v>
      </c>
      <c r="D199" t="inlineStr">
        <is>
          <t>VÄRMLANDS LÄN</t>
        </is>
      </c>
      <c r="E199" t="inlineStr">
        <is>
          <t>TORSBY</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63095-2018</t>
        </is>
      </c>
      <c r="B200" s="1" t="n">
        <v>43418</v>
      </c>
      <c r="C200" s="1" t="n">
        <v>45291</v>
      </c>
      <c r="D200" t="inlineStr">
        <is>
          <t>VÄRMLANDS LÄN</t>
        </is>
      </c>
      <c r="E200" t="inlineStr">
        <is>
          <t>TORSBY</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63172-2018</t>
        </is>
      </c>
      <c r="B201" s="1" t="n">
        <v>43418</v>
      </c>
      <c r="C201" s="1" t="n">
        <v>45291</v>
      </c>
      <c r="D201" t="inlineStr">
        <is>
          <t>VÄRMLANDS LÄN</t>
        </is>
      </c>
      <c r="E201" t="inlineStr">
        <is>
          <t>TORSBY</t>
        </is>
      </c>
      <c r="G201" t="n">
        <v>4.7</v>
      </c>
      <c r="H201" t="n">
        <v>0</v>
      </c>
      <c r="I201" t="n">
        <v>0</v>
      </c>
      <c r="J201" t="n">
        <v>0</v>
      </c>
      <c r="K201" t="n">
        <v>0</v>
      </c>
      <c r="L201" t="n">
        <v>0</v>
      </c>
      <c r="M201" t="n">
        <v>0</v>
      </c>
      <c r="N201" t="n">
        <v>0</v>
      </c>
      <c r="O201" t="n">
        <v>0</v>
      </c>
      <c r="P201" t="n">
        <v>0</v>
      </c>
      <c r="Q201" t="n">
        <v>0</v>
      </c>
      <c r="R201" s="2" t="inlineStr"/>
    </row>
    <row r="202" ht="15" customHeight="1">
      <c r="A202" t="inlineStr">
        <is>
          <t>A 63104-2018</t>
        </is>
      </c>
      <c r="B202" s="1" t="n">
        <v>43418</v>
      </c>
      <c r="C202" s="1" t="n">
        <v>45291</v>
      </c>
      <c r="D202" t="inlineStr">
        <is>
          <t>VÄRMLANDS LÄN</t>
        </is>
      </c>
      <c r="E202" t="inlineStr">
        <is>
          <t>TORSBY</t>
        </is>
      </c>
      <c r="F202" t="inlineStr">
        <is>
          <t>Bergvik skog väst AB</t>
        </is>
      </c>
      <c r="G202" t="n">
        <v>38.3</v>
      </c>
      <c r="H202" t="n">
        <v>0</v>
      </c>
      <c r="I202" t="n">
        <v>0</v>
      </c>
      <c r="J202" t="n">
        <v>0</v>
      </c>
      <c r="K202" t="n">
        <v>0</v>
      </c>
      <c r="L202" t="n">
        <v>0</v>
      </c>
      <c r="M202" t="n">
        <v>0</v>
      </c>
      <c r="N202" t="n">
        <v>0</v>
      </c>
      <c r="O202" t="n">
        <v>0</v>
      </c>
      <c r="P202" t="n">
        <v>0</v>
      </c>
      <c r="Q202" t="n">
        <v>0</v>
      </c>
      <c r="R202" s="2" t="inlineStr"/>
    </row>
    <row r="203" ht="15" customHeight="1">
      <c r="A203" t="inlineStr">
        <is>
          <t>A 63035-2018</t>
        </is>
      </c>
      <c r="B203" s="1" t="n">
        <v>43418</v>
      </c>
      <c r="C203" s="1" t="n">
        <v>45291</v>
      </c>
      <c r="D203" t="inlineStr">
        <is>
          <t>VÄRMLANDS LÄN</t>
        </is>
      </c>
      <c r="E203" t="inlineStr">
        <is>
          <t>TORSBY</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63109-2018</t>
        </is>
      </c>
      <c r="B204" s="1" t="n">
        <v>43418</v>
      </c>
      <c r="C204" s="1" t="n">
        <v>45291</v>
      </c>
      <c r="D204" t="inlineStr">
        <is>
          <t>VÄRMLANDS LÄN</t>
        </is>
      </c>
      <c r="E204" t="inlineStr">
        <is>
          <t>TORSBY</t>
        </is>
      </c>
      <c r="F204" t="inlineStr">
        <is>
          <t>Bergvik skog väst AB</t>
        </is>
      </c>
      <c r="G204" t="n">
        <v>19.7</v>
      </c>
      <c r="H204" t="n">
        <v>0</v>
      </c>
      <c r="I204" t="n">
        <v>0</v>
      </c>
      <c r="J204" t="n">
        <v>0</v>
      </c>
      <c r="K204" t="n">
        <v>0</v>
      </c>
      <c r="L204" t="n">
        <v>0</v>
      </c>
      <c r="M204" t="n">
        <v>0</v>
      </c>
      <c r="N204" t="n">
        <v>0</v>
      </c>
      <c r="O204" t="n">
        <v>0</v>
      </c>
      <c r="P204" t="n">
        <v>0</v>
      </c>
      <c r="Q204" t="n">
        <v>0</v>
      </c>
      <c r="R204" s="2" t="inlineStr"/>
    </row>
    <row r="205" ht="15" customHeight="1">
      <c r="A205" t="inlineStr">
        <is>
          <t>A 63103-2018</t>
        </is>
      </c>
      <c r="B205" s="1" t="n">
        <v>43418</v>
      </c>
      <c r="C205" s="1" t="n">
        <v>45291</v>
      </c>
      <c r="D205" t="inlineStr">
        <is>
          <t>VÄRMLANDS LÄN</t>
        </is>
      </c>
      <c r="E205" t="inlineStr">
        <is>
          <t>TORSBY</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63090-2018</t>
        </is>
      </c>
      <c r="B206" s="1" t="n">
        <v>43418</v>
      </c>
      <c r="C206" s="1" t="n">
        <v>45291</v>
      </c>
      <c r="D206" t="inlineStr">
        <is>
          <t>VÄRMLANDS LÄN</t>
        </is>
      </c>
      <c r="E206" t="inlineStr">
        <is>
          <t>TORSBY</t>
        </is>
      </c>
      <c r="F206" t="inlineStr">
        <is>
          <t>Bergvik skog väst AB</t>
        </is>
      </c>
      <c r="G206" t="n">
        <v>41.8</v>
      </c>
      <c r="H206" t="n">
        <v>0</v>
      </c>
      <c r="I206" t="n">
        <v>0</v>
      </c>
      <c r="J206" t="n">
        <v>0</v>
      </c>
      <c r="K206" t="n">
        <v>0</v>
      </c>
      <c r="L206" t="n">
        <v>0</v>
      </c>
      <c r="M206" t="n">
        <v>0</v>
      </c>
      <c r="N206" t="n">
        <v>0</v>
      </c>
      <c r="O206" t="n">
        <v>0</v>
      </c>
      <c r="P206" t="n">
        <v>0</v>
      </c>
      <c r="Q206" t="n">
        <v>0</v>
      </c>
      <c r="R206" s="2" t="inlineStr"/>
    </row>
    <row r="207" ht="15" customHeight="1">
      <c r="A207" t="inlineStr">
        <is>
          <t>A 59383-2018</t>
        </is>
      </c>
      <c r="B207" s="1" t="n">
        <v>43418</v>
      </c>
      <c r="C207" s="1" t="n">
        <v>45291</v>
      </c>
      <c r="D207" t="inlineStr">
        <is>
          <t>VÄRMLANDS LÄN</t>
        </is>
      </c>
      <c r="E207" t="inlineStr">
        <is>
          <t>TORSBY</t>
        </is>
      </c>
      <c r="G207" t="n">
        <v>7.8</v>
      </c>
      <c r="H207" t="n">
        <v>0</v>
      </c>
      <c r="I207" t="n">
        <v>0</v>
      </c>
      <c r="J207" t="n">
        <v>0</v>
      </c>
      <c r="K207" t="n">
        <v>0</v>
      </c>
      <c r="L207" t="n">
        <v>0</v>
      </c>
      <c r="M207" t="n">
        <v>0</v>
      </c>
      <c r="N207" t="n">
        <v>0</v>
      </c>
      <c r="O207" t="n">
        <v>0</v>
      </c>
      <c r="P207" t="n">
        <v>0</v>
      </c>
      <c r="Q207" t="n">
        <v>0</v>
      </c>
      <c r="R207" s="2" t="inlineStr"/>
    </row>
    <row r="208" ht="15" customHeight="1">
      <c r="A208" t="inlineStr">
        <is>
          <t>A 59969-2018</t>
        </is>
      </c>
      <c r="B208" s="1" t="n">
        <v>43420</v>
      </c>
      <c r="C208" s="1" t="n">
        <v>45291</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60912-2018</t>
        </is>
      </c>
      <c r="B209" s="1" t="n">
        <v>43423</v>
      </c>
      <c r="C209" s="1" t="n">
        <v>45291</v>
      </c>
      <c r="D209" t="inlineStr">
        <is>
          <t>VÄRMLANDS LÄN</t>
        </is>
      </c>
      <c r="E209" t="inlineStr">
        <is>
          <t>TORSBY</t>
        </is>
      </c>
      <c r="G209" t="n">
        <v>1.1</v>
      </c>
      <c r="H209" t="n">
        <v>0</v>
      </c>
      <c r="I209" t="n">
        <v>0</v>
      </c>
      <c r="J209" t="n">
        <v>0</v>
      </c>
      <c r="K209" t="n">
        <v>0</v>
      </c>
      <c r="L209" t="n">
        <v>0</v>
      </c>
      <c r="M209" t="n">
        <v>0</v>
      </c>
      <c r="N209" t="n">
        <v>0</v>
      </c>
      <c r="O209" t="n">
        <v>0</v>
      </c>
      <c r="P209" t="n">
        <v>0</v>
      </c>
      <c r="Q209" t="n">
        <v>0</v>
      </c>
      <c r="R209" s="2" t="inlineStr"/>
    </row>
    <row r="210" ht="15" customHeight="1">
      <c r="A210" t="inlineStr">
        <is>
          <t>A 61392-2018</t>
        </is>
      </c>
      <c r="B210" s="1" t="n">
        <v>43424</v>
      </c>
      <c r="C210" s="1" t="n">
        <v>45291</v>
      </c>
      <c r="D210" t="inlineStr">
        <is>
          <t>VÄRMLANDS LÄN</t>
        </is>
      </c>
      <c r="E210" t="inlineStr">
        <is>
          <t>TORSBY</t>
        </is>
      </c>
      <c r="G210" t="n">
        <v>7</v>
      </c>
      <c r="H210" t="n">
        <v>0</v>
      </c>
      <c r="I210" t="n">
        <v>0</v>
      </c>
      <c r="J210" t="n">
        <v>0</v>
      </c>
      <c r="K210" t="n">
        <v>0</v>
      </c>
      <c r="L210" t="n">
        <v>0</v>
      </c>
      <c r="M210" t="n">
        <v>0</v>
      </c>
      <c r="N210" t="n">
        <v>0</v>
      </c>
      <c r="O210" t="n">
        <v>0</v>
      </c>
      <c r="P210" t="n">
        <v>0</v>
      </c>
      <c r="Q210" t="n">
        <v>0</v>
      </c>
      <c r="R210" s="2" t="inlineStr"/>
    </row>
    <row r="211" ht="15" customHeight="1">
      <c r="A211" t="inlineStr">
        <is>
          <t>A 61388-2018</t>
        </is>
      </c>
      <c r="B211" s="1" t="n">
        <v>43424</v>
      </c>
      <c r="C211" s="1" t="n">
        <v>45291</v>
      </c>
      <c r="D211" t="inlineStr">
        <is>
          <t>VÄRMLANDS LÄN</t>
        </is>
      </c>
      <c r="E211" t="inlineStr">
        <is>
          <t>TORSBY</t>
        </is>
      </c>
      <c r="F211" t="inlineStr">
        <is>
          <t>Kommuner</t>
        </is>
      </c>
      <c r="G211" t="n">
        <v>4.4</v>
      </c>
      <c r="H211" t="n">
        <v>0</v>
      </c>
      <c r="I211" t="n">
        <v>0</v>
      </c>
      <c r="J211" t="n">
        <v>0</v>
      </c>
      <c r="K211" t="n">
        <v>0</v>
      </c>
      <c r="L211" t="n">
        <v>0</v>
      </c>
      <c r="M211" t="n">
        <v>0</v>
      </c>
      <c r="N211" t="n">
        <v>0</v>
      </c>
      <c r="O211" t="n">
        <v>0</v>
      </c>
      <c r="P211" t="n">
        <v>0</v>
      </c>
      <c r="Q211" t="n">
        <v>0</v>
      </c>
      <c r="R211" s="2" t="inlineStr"/>
    </row>
    <row r="212" ht="15" customHeight="1">
      <c r="A212" t="inlineStr">
        <is>
          <t>A 65640-2018</t>
        </is>
      </c>
      <c r="B212" s="1" t="n">
        <v>43425</v>
      </c>
      <c r="C212" s="1" t="n">
        <v>45291</v>
      </c>
      <c r="D212" t="inlineStr">
        <is>
          <t>VÄRMLANDS LÄN</t>
        </is>
      </c>
      <c r="E212" t="inlineStr">
        <is>
          <t>TORSBY</t>
        </is>
      </c>
      <c r="G212" t="n">
        <v>5.4</v>
      </c>
      <c r="H212" t="n">
        <v>0</v>
      </c>
      <c r="I212" t="n">
        <v>0</v>
      </c>
      <c r="J212" t="n">
        <v>0</v>
      </c>
      <c r="K212" t="n">
        <v>0</v>
      </c>
      <c r="L212" t="n">
        <v>0</v>
      </c>
      <c r="M212" t="n">
        <v>0</v>
      </c>
      <c r="N212" t="n">
        <v>0</v>
      </c>
      <c r="O212" t="n">
        <v>0</v>
      </c>
      <c r="P212" t="n">
        <v>0</v>
      </c>
      <c r="Q212" t="n">
        <v>0</v>
      </c>
      <c r="R212" s="2" t="inlineStr"/>
    </row>
    <row r="213" ht="15" customHeight="1">
      <c r="A213" t="inlineStr">
        <is>
          <t>A 65858-2018</t>
        </is>
      </c>
      <c r="B213" s="1" t="n">
        <v>43426</v>
      </c>
      <c r="C213" s="1" t="n">
        <v>45291</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65897-2018</t>
        </is>
      </c>
      <c r="B214" s="1" t="n">
        <v>43426</v>
      </c>
      <c r="C214" s="1" t="n">
        <v>45291</v>
      </c>
      <c r="D214" t="inlineStr">
        <is>
          <t>VÄRMLANDS LÄN</t>
        </is>
      </c>
      <c r="E214" t="inlineStr">
        <is>
          <t>TORSBY</t>
        </is>
      </c>
      <c r="G214" t="n">
        <v>6.6</v>
      </c>
      <c r="H214" t="n">
        <v>0</v>
      </c>
      <c r="I214" t="n">
        <v>0</v>
      </c>
      <c r="J214" t="n">
        <v>0</v>
      </c>
      <c r="K214" t="n">
        <v>0</v>
      </c>
      <c r="L214" t="n">
        <v>0</v>
      </c>
      <c r="M214" t="n">
        <v>0</v>
      </c>
      <c r="N214" t="n">
        <v>0</v>
      </c>
      <c r="O214" t="n">
        <v>0</v>
      </c>
      <c r="P214" t="n">
        <v>0</v>
      </c>
      <c r="Q214" t="n">
        <v>0</v>
      </c>
      <c r="R214" s="2" t="inlineStr"/>
    </row>
    <row r="215" ht="15" customHeight="1">
      <c r="A215" t="inlineStr">
        <is>
          <t>A 65698-2018</t>
        </is>
      </c>
      <c r="B215" s="1" t="n">
        <v>43426</v>
      </c>
      <c r="C215" s="1" t="n">
        <v>45291</v>
      </c>
      <c r="D215" t="inlineStr">
        <is>
          <t>VÄRMLANDS LÄN</t>
        </is>
      </c>
      <c r="E215" t="inlineStr">
        <is>
          <t>TORSBY</t>
        </is>
      </c>
      <c r="G215" t="n">
        <v>2.2</v>
      </c>
      <c r="H215" t="n">
        <v>0</v>
      </c>
      <c r="I215" t="n">
        <v>0</v>
      </c>
      <c r="J215" t="n">
        <v>0</v>
      </c>
      <c r="K215" t="n">
        <v>0</v>
      </c>
      <c r="L215" t="n">
        <v>0</v>
      </c>
      <c r="M215" t="n">
        <v>0</v>
      </c>
      <c r="N215" t="n">
        <v>0</v>
      </c>
      <c r="O215" t="n">
        <v>0</v>
      </c>
      <c r="P215" t="n">
        <v>0</v>
      </c>
      <c r="Q215" t="n">
        <v>0</v>
      </c>
      <c r="R215" s="2" t="inlineStr"/>
    </row>
    <row r="216" ht="15" customHeight="1">
      <c r="A216" t="inlineStr">
        <is>
          <t>A 65691-2018</t>
        </is>
      </c>
      <c r="B216" s="1" t="n">
        <v>43426</v>
      </c>
      <c r="C216" s="1" t="n">
        <v>45291</v>
      </c>
      <c r="D216" t="inlineStr">
        <is>
          <t>VÄRMLANDS LÄN</t>
        </is>
      </c>
      <c r="E216" t="inlineStr">
        <is>
          <t>TORSBY</t>
        </is>
      </c>
      <c r="G216" t="n">
        <v>0.8</v>
      </c>
      <c r="H216" t="n">
        <v>0</v>
      </c>
      <c r="I216" t="n">
        <v>0</v>
      </c>
      <c r="J216" t="n">
        <v>0</v>
      </c>
      <c r="K216" t="n">
        <v>0</v>
      </c>
      <c r="L216" t="n">
        <v>0</v>
      </c>
      <c r="M216" t="n">
        <v>0</v>
      </c>
      <c r="N216" t="n">
        <v>0</v>
      </c>
      <c r="O216" t="n">
        <v>0</v>
      </c>
      <c r="P216" t="n">
        <v>0</v>
      </c>
      <c r="Q216" t="n">
        <v>0</v>
      </c>
      <c r="R216" s="2" t="inlineStr"/>
    </row>
    <row r="217" ht="15" customHeight="1">
      <c r="A217" t="inlineStr">
        <is>
          <t>A 65663-2018</t>
        </is>
      </c>
      <c r="B217" s="1" t="n">
        <v>43426</v>
      </c>
      <c r="C217" s="1" t="n">
        <v>45291</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63228-2018</t>
        </is>
      </c>
      <c r="B218" s="1" t="n">
        <v>43426</v>
      </c>
      <c r="C218" s="1" t="n">
        <v>45291</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65986-2018</t>
        </is>
      </c>
      <c r="B219" s="1" t="n">
        <v>43426</v>
      </c>
      <c r="C219" s="1" t="n">
        <v>45291</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65887-2018</t>
        </is>
      </c>
      <c r="B220" s="1" t="n">
        <v>43426</v>
      </c>
      <c r="C220" s="1" t="n">
        <v>45291</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62587-2018</t>
        </is>
      </c>
      <c r="B221" s="1" t="n">
        <v>43426</v>
      </c>
      <c r="C221" s="1" t="n">
        <v>45291</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66077-2018</t>
        </is>
      </c>
      <c r="B222" s="1" t="n">
        <v>43426</v>
      </c>
      <c r="C222" s="1" t="n">
        <v>45291</v>
      </c>
      <c r="D222" t="inlineStr">
        <is>
          <t>VÄRMLANDS LÄN</t>
        </is>
      </c>
      <c r="E222" t="inlineStr">
        <is>
          <t>TORSBY</t>
        </is>
      </c>
      <c r="G222" t="n">
        <v>3.2</v>
      </c>
      <c r="H222" t="n">
        <v>0</v>
      </c>
      <c r="I222" t="n">
        <v>0</v>
      </c>
      <c r="J222" t="n">
        <v>0</v>
      </c>
      <c r="K222" t="n">
        <v>0</v>
      </c>
      <c r="L222" t="n">
        <v>0</v>
      </c>
      <c r="M222" t="n">
        <v>0</v>
      </c>
      <c r="N222" t="n">
        <v>0</v>
      </c>
      <c r="O222" t="n">
        <v>0</v>
      </c>
      <c r="P222" t="n">
        <v>0</v>
      </c>
      <c r="Q222" t="n">
        <v>0</v>
      </c>
      <c r="R222" s="2" t="inlineStr"/>
    </row>
    <row r="223" ht="15" customHeight="1">
      <c r="A223" t="inlineStr">
        <is>
          <t>A 65696-2018</t>
        </is>
      </c>
      <c r="B223" s="1" t="n">
        <v>43426</v>
      </c>
      <c r="C223" s="1" t="n">
        <v>45291</v>
      </c>
      <c r="D223" t="inlineStr">
        <is>
          <t>VÄRMLANDS LÄN</t>
        </is>
      </c>
      <c r="E223" t="inlineStr">
        <is>
          <t>TORSBY</t>
        </is>
      </c>
      <c r="G223" t="n">
        <v>1.7</v>
      </c>
      <c r="H223" t="n">
        <v>0</v>
      </c>
      <c r="I223" t="n">
        <v>0</v>
      </c>
      <c r="J223" t="n">
        <v>0</v>
      </c>
      <c r="K223" t="n">
        <v>0</v>
      </c>
      <c r="L223" t="n">
        <v>0</v>
      </c>
      <c r="M223" t="n">
        <v>0</v>
      </c>
      <c r="N223" t="n">
        <v>0</v>
      </c>
      <c r="O223" t="n">
        <v>0</v>
      </c>
      <c r="P223" t="n">
        <v>0</v>
      </c>
      <c r="Q223" t="n">
        <v>0</v>
      </c>
      <c r="R223" s="2" t="inlineStr"/>
    </row>
    <row r="224" ht="15" customHeight="1">
      <c r="A224" t="inlineStr">
        <is>
          <t>A 65873-2018</t>
        </is>
      </c>
      <c r="B224" s="1" t="n">
        <v>43426</v>
      </c>
      <c r="C224" s="1" t="n">
        <v>45291</v>
      </c>
      <c r="D224" t="inlineStr">
        <is>
          <t>VÄRMLANDS LÄN</t>
        </is>
      </c>
      <c r="E224" t="inlineStr">
        <is>
          <t>TORSBY</t>
        </is>
      </c>
      <c r="G224" t="n">
        <v>2.2</v>
      </c>
      <c r="H224" t="n">
        <v>0</v>
      </c>
      <c r="I224" t="n">
        <v>0</v>
      </c>
      <c r="J224" t="n">
        <v>0</v>
      </c>
      <c r="K224" t="n">
        <v>0</v>
      </c>
      <c r="L224" t="n">
        <v>0</v>
      </c>
      <c r="M224" t="n">
        <v>0</v>
      </c>
      <c r="N224" t="n">
        <v>0</v>
      </c>
      <c r="O224" t="n">
        <v>0</v>
      </c>
      <c r="P224" t="n">
        <v>0</v>
      </c>
      <c r="Q224" t="n">
        <v>0</v>
      </c>
      <c r="R224" s="2" t="inlineStr"/>
    </row>
    <row r="225" ht="15" customHeight="1">
      <c r="A225" t="inlineStr">
        <is>
          <t>A 64164-2018</t>
        </is>
      </c>
      <c r="B225" s="1" t="n">
        <v>43430</v>
      </c>
      <c r="C225" s="1" t="n">
        <v>45291</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64051-2018</t>
        </is>
      </c>
      <c r="B226" s="1" t="n">
        <v>43430</v>
      </c>
      <c r="C226" s="1" t="n">
        <v>45291</v>
      </c>
      <c r="D226" t="inlineStr">
        <is>
          <t>VÄRMLANDS LÄN</t>
        </is>
      </c>
      <c r="E226" t="inlineStr">
        <is>
          <t>TORSBY</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66987-2018</t>
        </is>
      </c>
      <c r="B227" s="1" t="n">
        <v>43430</v>
      </c>
      <c r="C227" s="1" t="n">
        <v>45291</v>
      </c>
      <c r="D227" t="inlineStr">
        <is>
          <t>VÄRMLANDS LÄN</t>
        </is>
      </c>
      <c r="E227" t="inlineStr">
        <is>
          <t>TORSBY</t>
        </is>
      </c>
      <c r="G227" t="n">
        <v>7.9</v>
      </c>
      <c r="H227" t="n">
        <v>0</v>
      </c>
      <c r="I227" t="n">
        <v>0</v>
      </c>
      <c r="J227" t="n">
        <v>0</v>
      </c>
      <c r="K227" t="n">
        <v>0</v>
      </c>
      <c r="L227" t="n">
        <v>0</v>
      </c>
      <c r="M227" t="n">
        <v>0</v>
      </c>
      <c r="N227" t="n">
        <v>0</v>
      </c>
      <c r="O227" t="n">
        <v>0</v>
      </c>
      <c r="P227" t="n">
        <v>0</v>
      </c>
      <c r="Q227" t="n">
        <v>0</v>
      </c>
      <c r="R227" s="2" t="inlineStr"/>
    </row>
    <row r="228" ht="15" customHeight="1">
      <c r="A228" t="inlineStr">
        <is>
          <t>A 64474-2018</t>
        </is>
      </c>
      <c r="B228" s="1" t="n">
        <v>43431</v>
      </c>
      <c r="C228" s="1" t="n">
        <v>45291</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64511-2018</t>
        </is>
      </c>
      <c r="B229" s="1" t="n">
        <v>43431</v>
      </c>
      <c r="C229" s="1" t="n">
        <v>45291</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64470-2018</t>
        </is>
      </c>
      <c r="B230" s="1" t="n">
        <v>43431</v>
      </c>
      <c r="C230" s="1" t="n">
        <v>45291</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64501-2018</t>
        </is>
      </c>
      <c r="B231" s="1" t="n">
        <v>43431</v>
      </c>
      <c r="C231" s="1" t="n">
        <v>45291</v>
      </c>
      <c r="D231" t="inlineStr">
        <is>
          <t>VÄRMLANDS LÄN</t>
        </is>
      </c>
      <c r="E231" t="inlineStr">
        <is>
          <t>TORSBY</t>
        </is>
      </c>
      <c r="G231" t="n">
        <v>2.9</v>
      </c>
      <c r="H231" t="n">
        <v>0</v>
      </c>
      <c r="I231" t="n">
        <v>0</v>
      </c>
      <c r="J231" t="n">
        <v>0</v>
      </c>
      <c r="K231" t="n">
        <v>0</v>
      </c>
      <c r="L231" t="n">
        <v>0</v>
      </c>
      <c r="M231" t="n">
        <v>0</v>
      </c>
      <c r="N231" t="n">
        <v>0</v>
      </c>
      <c r="O231" t="n">
        <v>0</v>
      </c>
      <c r="P231" t="n">
        <v>0</v>
      </c>
      <c r="Q231" t="n">
        <v>0</v>
      </c>
      <c r="R231" s="2" t="inlineStr"/>
    </row>
    <row r="232" ht="15" customHeight="1">
      <c r="A232" t="inlineStr">
        <is>
          <t>A 67127-2018</t>
        </is>
      </c>
      <c r="B232" s="1" t="n">
        <v>43431</v>
      </c>
      <c r="C232" s="1" t="n">
        <v>45291</v>
      </c>
      <c r="D232" t="inlineStr">
        <is>
          <t>VÄRMLANDS LÄN</t>
        </is>
      </c>
      <c r="E232" t="inlineStr">
        <is>
          <t>TORSBY</t>
        </is>
      </c>
      <c r="G232" t="n">
        <v>2.5</v>
      </c>
      <c r="H232" t="n">
        <v>0</v>
      </c>
      <c r="I232" t="n">
        <v>0</v>
      </c>
      <c r="J232" t="n">
        <v>0</v>
      </c>
      <c r="K232" t="n">
        <v>0</v>
      </c>
      <c r="L232" t="n">
        <v>0</v>
      </c>
      <c r="M232" t="n">
        <v>0</v>
      </c>
      <c r="N232" t="n">
        <v>0</v>
      </c>
      <c r="O232" t="n">
        <v>0</v>
      </c>
      <c r="P232" t="n">
        <v>0</v>
      </c>
      <c r="Q232" t="n">
        <v>0</v>
      </c>
      <c r="R232" s="2" t="inlineStr"/>
    </row>
    <row r="233" ht="15" customHeight="1">
      <c r="A233" t="inlineStr">
        <is>
          <t>A 65705-2018</t>
        </is>
      </c>
      <c r="B233" s="1" t="n">
        <v>43433</v>
      </c>
      <c r="C233" s="1" t="n">
        <v>45291</v>
      </c>
      <c r="D233" t="inlineStr">
        <is>
          <t>VÄRMLANDS LÄN</t>
        </is>
      </c>
      <c r="E233" t="inlineStr">
        <is>
          <t>TORSBY</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65743-2018</t>
        </is>
      </c>
      <c r="B234" s="1" t="n">
        <v>43433</v>
      </c>
      <c r="C234" s="1" t="n">
        <v>45291</v>
      </c>
      <c r="D234" t="inlineStr">
        <is>
          <t>VÄRMLANDS LÄN</t>
        </is>
      </c>
      <c r="E234" t="inlineStr">
        <is>
          <t>TORSBY</t>
        </is>
      </c>
      <c r="G234" t="n">
        <v>5</v>
      </c>
      <c r="H234" t="n">
        <v>0</v>
      </c>
      <c r="I234" t="n">
        <v>0</v>
      </c>
      <c r="J234" t="n">
        <v>0</v>
      </c>
      <c r="K234" t="n">
        <v>0</v>
      </c>
      <c r="L234" t="n">
        <v>0</v>
      </c>
      <c r="M234" t="n">
        <v>0</v>
      </c>
      <c r="N234" t="n">
        <v>0</v>
      </c>
      <c r="O234" t="n">
        <v>0</v>
      </c>
      <c r="P234" t="n">
        <v>0</v>
      </c>
      <c r="Q234" t="n">
        <v>0</v>
      </c>
      <c r="R234" s="2" t="inlineStr"/>
    </row>
    <row r="235" ht="15" customHeight="1">
      <c r="A235" t="inlineStr">
        <is>
          <t>A 65890-2018</t>
        </is>
      </c>
      <c r="B235" s="1" t="n">
        <v>43434</v>
      </c>
      <c r="C235" s="1" t="n">
        <v>45291</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65969-2018</t>
        </is>
      </c>
      <c r="B236" s="1" t="n">
        <v>43434</v>
      </c>
      <c r="C236" s="1" t="n">
        <v>45291</v>
      </c>
      <c r="D236" t="inlineStr">
        <is>
          <t>VÄRMLANDS LÄN</t>
        </is>
      </c>
      <c r="E236" t="inlineStr">
        <is>
          <t>TORSBY</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66153-2018</t>
        </is>
      </c>
      <c r="B237" s="1" t="n">
        <v>43434</v>
      </c>
      <c r="C237" s="1" t="n">
        <v>45291</v>
      </c>
      <c r="D237" t="inlineStr">
        <is>
          <t>VÄRMLANDS LÄN</t>
        </is>
      </c>
      <c r="E237" t="inlineStr">
        <is>
          <t>TORSBY</t>
        </is>
      </c>
      <c r="G237" t="n">
        <v>3.7</v>
      </c>
      <c r="H237" t="n">
        <v>0</v>
      </c>
      <c r="I237" t="n">
        <v>0</v>
      </c>
      <c r="J237" t="n">
        <v>0</v>
      </c>
      <c r="K237" t="n">
        <v>0</v>
      </c>
      <c r="L237" t="n">
        <v>0</v>
      </c>
      <c r="M237" t="n">
        <v>0</v>
      </c>
      <c r="N237" t="n">
        <v>0</v>
      </c>
      <c r="O237" t="n">
        <v>0</v>
      </c>
      <c r="P237" t="n">
        <v>0</v>
      </c>
      <c r="Q237" t="n">
        <v>0</v>
      </c>
      <c r="R237" s="2" t="inlineStr"/>
    </row>
    <row r="238" ht="15" customHeight="1">
      <c r="A238" t="inlineStr">
        <is>
          <t>A 66970-2018</t>
        </is>
      </c>
      <c r="B238" s="1" t="n">
        <v>43438</v>
      </c>
      <c r="C238" s="1" t="n">
        <v>45291</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67095-2018</t>
        </is>
      </c>
      <c r="B239" s="1" t="n">
        <v>43438</v>
      </c>
      <c r="C239" s="1" t="n">
        <v>45291</v>
      </c>
      <c r="D239" t="inlineStr">
        <is>
          <t>VÄRMLANDS LÄN</t>
        </is>
      </c>
      <c r="E239" t="inlineStr">
        <is>
          <t>TORSBY</t>
        </is>
      </c>
      <c r="G239" t="n">
        <v>3.9</v>
      </c>
      <c r="H239" t="n">
        <v>0</v>
      </c>
      <c r="I239" t="n">
        <v>0</v>
      </c>
      <c r="J239" t="n">
        <v>0</v>
      </c>
      <c r="K239" t="n">
        <v>0</v>
      </c>
      <c r="L239" t="n">
        <v>0</v>
      </c>
      <c r="M239" t="n">
        <v>0</v>
      </c>
      <c r="N239" t="n">
        <v>0</v>
      </c>
      <c r="O239" t="n">
        <v>0</v>
      </c>
      <c r="P239" t="n">
        <v>0</v>
      </c>
      <c r="Q239" t="n">
        <v>0</v>
      </c>
      <c r="R239" s="2" t="inlineStr"/>
    </row>
    <row r="240" ht="15" customHeight="1">
      <c r="A240" t="inlineStr">
        <is>
          <t>A 66752-2018</t>
        </is>
      </c>
      <c r="B240" s="1" t="n">
        <v>43438</v>
      </c>
      <c r="C240" s="1" t="n">
        <v>45291</v>
      </c>
      <c r="D240" t="inlineStr">
        <is>
          <t>VÄRMLANDS LÄN</t>
        </is>
      </c>
      <c r="E240" t="inlineStr">
        <is>
          <t>TORSBY</t>
        </is>
      </c>
      <c r="G240" t="n">
        <v>5</v>
      </c>
      <c r="H240" t="n">
        <v>0</v>
      </c>
      <c r="I240" t="n">
        <v>0</v>
      </c>
      <c r="J240" t="n">
        <v>0</v>
      </c>
      <c r="K240" t="n">
        <v>0</v>
      </c>
      <c r="L240" t="n">
        <v>0</v>
      </c>
      <c r="M240" t="n">
        <v>0</v>
      </c>
      <c r="N240" t="n">
        <v>0</v>
      </c>
      <c r="O240" t="n">
        <v>0</v>
      </c>
      <c r="P240" t="n">
        <v>0</v>
      </c>
      <c r="Q240" t="n">
        <v>0</v>
      </c>
      <c r="R240" s="2" t="inlineStr"/>
    </row>
    <row r="241" ht="15" customHeight="1">
      <c r="A241" t="inlineStr">
        <is>
          <t>A 67878-2018</t>
        </is>
      </c>
      <c r="B241" s="1" t="n">
        <v>43440</v>
      </c>
      <c r="C241" s="1" t="n">
        <v>45291</v>
      </c>
      <c r="D241" t="inlineStr">
        <is>
          <t>VÄRMLANDS LÄN</t>
        </is>
      </c>
      <c r="E241" t="inlineStr">
        <is>
          <t>TORSBY</t>
        </is>
      </c>
      <c r="F241" t="inlineStr">
        <is>
          <t>Bergvik skog väst AB</t>
        </is>
      </c>
      <c r="G241" t="n">
        <v>9.6</v>
      </c>
      <c r="H241" t="n">
        <v>0</v>
      </c>
      <c r="I241" t="n">
        <v>0</v>
      </c>
      <c r="J241" t="n">
        <v>0</v>
      </c>
      <c r="K241" t="n">
        <v>0</v>
      </c>
      <c r="L241" t="n">
        <v>0</v>
      </c>
      <c r="M241" t="n">
        <v>0</v>
      </c>
      <c r="N241" t="n">
        <v>0</v>
      </c>
      <c r="O241" t="n">
        <v>0</v>
      </c>
      <c r="P241" t="n">
        <v>0</v>
      </c>
      <c r="Q241" t="n">
        <v>0</v>
      </c>
      <c r="R241" s="2" t="inlineStr"/>
    </row>
    <row r="242" ht="15" customHeight="1">
      <c r="A242" t="inlineStr">
        <is>
          <t>A 67730-2018</t>
        </is>
      </c>
      <c r="B242" s="1" t="n">
        <v>43440</v>
      </c>
      <c r="C242" s="1" t="n">
        <v>45291</v>
      </c>
      <c r="D242" t="inlineStr">
        <is>
          <t>VÄRMLANDS LÄN</t>
        </is>
      </c>
      <c r="E242" t="inlineStr">
        <is>
          <t>TORSBY</t>
        </is>
      </c>
      <c r="F242" t="inlineStr">
        <is>
          <t>Bergvik skog väst AB</t>
        </is>
      </c>
      <c r="G242" t="n">
        <v>9.1</v>
      </c>
      <c r="H242" t="n">
        <v>0</v>
      </c>
      <c r="I242" t="n">
        <v>0</v>
      </c>
      <c r="J242" t="n">
        <v>0</v>
      </c>
      <c r="K242" t="n">
        <v>0</v>
      </c>
      <c r="L242" t="n">
        <v>0</v>
      </c>
      <c r="M242" t="n">
        <v>0</v>
      </c>
      <c r="N242" t="n">
        <v>0</v>
      </c>
      <c r="O242" t="n">
        <v>0</v>
      </c>
      <c r="P242" t="n">
        <v>0</v>
      </c>
      <c r="Q242" t="n">
        <v>0</v>
      </c>
      <c r="R242" s="2" t="inlineStr"/>
    </row>
    <row r="243" ht="15" customHeight="1">
      <c r="A243" t="inlineStr">
        <is>
          <t>A 67784-2018</t>
        </is>
      </c>
      <c r="B243" s="1" t="n">
        <v>43440</v>
      </c>
      <c r="C243" s="1" t="n">
        <v>45291</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69134-2018</t>
        </is>
      </c>
      <c r="B244" s="1" t="n">
        <v>43440</v>
      </c>
      <c r="C244" s="1" t="n">
        <v>45291</v>
      </c>
      <c r="D244" t="inlineStr">
        <is>
          <t>VÄRMLANDS LÄN</t>
        </is>
      </c>
      <c r="E244" t="inlineStr">
        <is>
          <t>TORSBY</t>
        </is>
      </c>
      <c r="F244" t="inlineStr">
        <is>
          <t>Kyrkan</t>
        </is>
      </c>
      <c r="G244" t="n">
        <v>2.9</v>
      </c>
      <c r="H244" t="n">
        <v>0</v>
      </c>
      <c r="I244" t="n">
        <v>0</v>
      </c>
      <c r="J244" t="n">
        <v>0</v>
      </c>
      <c r="K244" t="n">
        <v>0</v>
      </c>
      <c r="L244" t="n">
        <v>0</v>
      </c>
      <c r="M244" t="n">
        <v>0</v>
      </c>
      <c r="N244" t="n">
        <v>0</v>
      </c>
      <c r="O244" t="n">
        <v>0</v>
      </c>
      <c r="P244" t="n">
        <v>0</v>
      </c>
      <c r="Q244" t="n">
        <v>0</v>
      </c>
      <c r="R244" s="2" t="inlineStr"/>
    </row>
    <row r="245" ht="15" customHeight="1">
      <c r="A245" t="inlineStr">
        <is>
          <t>A 68647-2018</t>
        </is>
      </c>
      <c r="B245" s="1" t="n">
        <v>43444</v>
      </c>
      <c r="C245" s="1" t="n">
        <v>45291</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68720-2018</t>
        </is>
      </c>
      <c r="B246" s="1" t="n">
        <v>43444</v>
      </c>
      <c r="C246" s="1" t="n">
        <v>45291</v>
      </c>
      <c r="D246" t="inlineStr">
        <is>
          <t>VÄRMLANDS LÄN</t>
        </is>
      </c>
      <c r="E246" t="inlineStr">
        <is>
          <t>TORSBY</t>
        </is>
      </c>
      <c r="F246" t="inlineStr">
        <is>
          <t>Bergvik skog väst AB</t>
        </is>
      </c>
      <c r="G246" t="n">
        <v>35.1</v>
      </c>
      <c r="H246" t="n">
        <v>0</v>
      </c>
      <c r="I246" t="n">
        <v>0</v>
      </c>
      <c r="J246" t="n">
        <v>0</v>
      </c>
      <c r="K246" t="n">
        <v>0</v>
      </c>
      <c r="L246" t="n">
        <v>0</v>
      </c>
      <c r="M246" t="n">
        <v>0</v>
      </c>
      <c r="N246" t="n">
        <v>0</v>
      </c>
      <c r="O246" t="n">
        <v>0</v>
      </c>
      <c r="P246" t="n">
        <v>0</v>
      </c>
      <c r="Q246" t="n">
        <v>0</v>
      </c>
      <c r="R246" s="2" t="inlineStr"/>
    </row>
    <row r="247" ht="15" customHeight="1">
      <c r="A247" t="inlineStr">
        <is>
          <t>A 68791-2018</t>
        </is>
      </c>
      <c r="B247" s="1" t="n">
        <v>43444</v>
      </c>
      <c r="C247" s="1" t="n">
        <v>45291</v>
      </c>
      <c r="D247" t="inlineStr">
        <is>
          <t>VÄRMLANDS LÄN</t>
        </is>
      </c>
      <c r="E247" t="inlineStr">
        <is>
          <t>TORSBY</t>
        </is>
      </c>
      <c r="G247" t="n">
        <v>3.4</v>
      </c>
      <c r="H247" t="n">
        <v>0</v>
      </c>
      <c r="I247" t="n">
        <v>0</v>
      </c>
      <c r="J247" t="n">
        <v>0</v>
      </c>
      <c r="K247" t="n">
        <v>0</v>
      </c>
      <c r="L247" t="n">
        <v>0</v>
      </c>
      <c r="M247" t="n">
        <v>0</v>
      </c>
      <c r="N247" t="n">
        <v>0</v>
      </c>
      <c r="O247" t="n">
        <v>0</v>
      </c>
      <c r="P247" t="n">
        <v>0</v>
      </c>
      <c r="Q247" t="n">
        <v>0</v>
      </c>
      <c r="R247" s="2" t="inlineStr"/>
    </row>
    <row r="248" ht="15" customHeight="1">
      <c r="A248" t="inlineStr">
        <is>
          <t>A 69135-2018</t>
        </is>
      </c>
      <c r="B248" s="1" t="n">
        <v>43445</v>
      </c>
      <c r="C248" s="1" t="n">
        <v>45291</v>
      </c>
      <c r="D248" t="inlineStr">
        <is>
          <t>VÄRMLANDS LÄN</t>
        </is>
      </c>
      <c r="E248" t="inlineStr">
        <is>
          <t>TORSBY</t>
        </is>
      </c>
      <c r="F248" t="inlineStr">
        <is>
          <t>Bergvik skog väst AB</t>
        </is>
      </c>
      <c r="G248" t="n">
        <v>19.6</v>
      </c>
      <c r="H248" t="n">
        <v>0</v>
      </c>
      <c r="I248" t="n">
        <v>0</v>
      </c>
      <c r="J248" t="n">
        <v>0</v>
      </c>
      <c r="K248" t="n">
        <v>0</v>
      </c>
      <c r="L248" t="n">
        <v>0</v>
      </c>
      <c r="M248" t="n">
        <v>0</v>
      </c>
      <c r="N248" t="n">
        <v>0</v>
      </c>
      <c r="O248" t="n">
        <v>0</v>
      </c>
      <c r="P248" t="n">
        <v>0</v>
      </c>
      <c r="Q248" t="n">
        <v>0</v>
      </c>
      <c r="R248" s="2" t="inlineStr"/>
    </row>
    <row r="249" ht="15" customHeight="1">
      <c r="A249" t="inlineStr">
        <is>
          <t>A 69293-2018</t>
        </is>
      </c>
      <c r="B249" s="1" t="n">
        <v>43446</v>
      </c>
      <c r="C249" s="1" t="n">
        <v>45291</v>
      </c>
      <c r="D249" t="inlineStr">
        <is>
          <t>VÄRMLANDS LÄN</t>
        </is>
      </c>
      <c r="E249" t="inlineStr">
        <is>
          <t>TORSBY</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69297-2018</t>
        </is>
      </c>
      <c r="B250" s="1" t="n">
        <v>43446</v>
      </c>
      <c r="C250" s="1" t="n">
        <v>45291</v>
      </c>
      <c r="D250" t="inlineStr">
        <is>
          <t>VÄRMLANDS LÄN</t>
        </is>
      </c>
      <c r="E250" t="inlineStr">
        <is>
          <t>TORSBY</t>
        </is>
      </c>
      <c r="F250" t="inlineStr">
        <is>
          <t>Bergvik skog väst AB</t>
        </is>
      </c>
      <c r="G250" t="n">
        <v>10.8</v>
      </c>
      <c r="H250" t="n">
        <v>0</v>
      </c>
      <c r="I250" t="n">
        <v>0</v>
      </c>
      <c r="J250" t="n">
        <v>0</v>
      </c>
      <c r="K250" t="n">
        <v>0</v>
      </c>
      <c r="L250" t="n">
        <v>0</v>
      </c>
      <c r="M250" t="n">
        <v>0</v>
      </c>
      <c r="N250" t="n">
        <v>0</v>
      </c>
      <c r="O250" t="n">
        <v>0</v>
      </c>
      <c r="P250" t="n">
        <v>0</v>
      </c>
      <c r="Q250" t="n">
        <v>0</v>
      </c>
      <c r="R250" s="2" t="inlineStr"/>
    </row>
    <row r="251" ht="15" customHeight="1">
      <c r="A251" t="inlineStr">
        <is>
          <t>A 69552-2018</t>
        </is>
      </c>
      <c r="B251" s="1" t="n">
        <v>43446</v>
      </c>
      <c r="C251" s="1" t="n">
        <v>45291</v>
      </c>
      <c r="D251" t="inlineStr">
        <is>
          <t>VÄRMLANDS LÄN</t>
        </is>
      </c>
      <c r="E251" t="inlineStr">
        <is>
          <t>TORSBY</t>
        </is>
      </c>
      <c r="G251" t="n">
        <v>1.5</v>
      </c>
      <c r="H251" t="n">
        <v>0</v>
      </c>
      <c r="I251" t="n">
        <v>0</v>
      </c>
      <c r="J251" t="n">
        <v>0</v>
      </c>
      <c r="K251" t="n">
        <v>0</v>
      </c>
      <c r="L251" t="n">
        <v>0</v>
      </c>
      <c r="M251" t="n">
        <v>0</v>
      </c>
      <c r="N251" t="n">
        <v>0</v>
      </c>
      <c r="O251" t="n">
        <v>0</v>
      </c>
      <c r="P251" t="n">
        <v>0</v>
      </c>
      <c r="Q251" t="n">
        <v>0</v>
      </c>
      <c r="R251" s="2" t="inlineStr"/>
    </row>
    <row r="252" ht="15" customHeight="1">
      <c r="A252" t="inlineStr">
        <is>
          <t>A 69817-2018</t>
        </is>
      </c>
      <c r="B252" s="1" t="n">
        <v>43447</v>
      </c>
      <c r="C252" s="1" t="n">
        <v>45291</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70225-2018</t>
        </is>
      </c>
      <c r="B253" s="1" t="n">
        <v>43448</v>
      </c>
      <c r="C253" s="1" t="n">
        <v>45291</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70226-2018</t>
        </is>
      </c>
      <c r="B254" s="1" t="n">
        <v>43448</v>
      </c>
      <c r="C254" s="1" t="n">
        <v>45291</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71262-2018</t>
        </is>
      </c>
      <c r="B255" s="1" t="n">
        <v>43453</v>
      </c>
      <c r="C255" s="1" t="n">
        <v>45291</v>
      </c>
      <c r="D255" t="inlineStr">
        <is>
          <t>VÄRMLANDS LÄN</t>
        </is>
      </c>
      <c r="E255" t="inlineStr">
        <is>
          <t>TORSBY</t>
        </is>
      </c>
      <c r="F255" t="inlineStr">
        <is>
          <t>Övriga statliga verk och myndigheter</t>
        </is>
      </c>
      <c r="G255" t="n">
        <v>4</v>
      </c>
      <c r="H255" t="n">
        <v>0</v>
      </c>
      <c r="I255" t="n">
        <v>0</v>
      </c>
      <c r="J255" t="n">
        <v>0</v>
      </c>
      <c r="K255" t="n">
        <v>0</v>
      </c>
      <c r="L255" t="n">
        <v>0</v>
      </c>
      <c r="M255" t="n">
        <v>0</v>
      </c>
      <c r="N255" t="n">
        <v>0</v>
      </c>
      <c r="O255" t="n">
        <v>0</v>
      </c>
      <c r="P255" t="n">
        <v>0</v>
      </c>
      <c r="Q255" t="n">
        <v>0</v>
      </c>
      <c r="R255" s="2" t="inlineStr"/>
    </row>
    <row r="256" ht="15" customHeight="1">
      <c r="A256" t="inlineStr">
        <is>
          <t>A 71959-2018</t>
        </is>
      </c>
      <c r="B256" s="1" t="n">
        <v>43453</v>
      </c>
      <c r="C256" s="1" t="n">
        <v>45291</v>
      </c>
      <c r="D256" t="inlineStr">
        <is>
          <t>VÄRMLANDS LÄN</t>
        </is>
      </c>
      <c r="E256" t="inlineStr">
        <is>
          <t>TORSBY</t>
        </is>
      </c>
      <c r="F256" t="inlineStr">
        <is>
          <t>Kyrkan</t>
        </is>
      </c>
      <c r="G256" t="n">
        <v>2.8</v>
      </c>
      <c r="H256" t="n">
        <v>0</v>
      </c>
      <c r="I256" t="n">
        <v>0</v>
      </c>
      <c r="J256" t="n">
        <v>0</v>
      </c>
      <c r="K256" t="n">
        <v>0</v>
      </c>
      <c r="L256" t="n">
        <v>0</v>
      </c>
      <c r="M256" t="n">
        <v>0</v>
      </c>
      <c r="N256" t="n">
        <v>0</v>
      </c>
      <c r="O256" t="n">
        <v>0</v>
      </c>
      <c r="P256" t="n">
        <v>0</v>
      </c>
      <c r="Q256" t="n">
        <v>0</v>
      </c>
      <c r="R256" s="2" t="inlineStr"/>
    </row>
    <row r="257" ht="15" customHeight="1">
      <c r="A257" t="inlineStr">
        <is>
          <t>A 71368-2018</t>
        </is>
      </c>
      <c r="B257" s="1" t="n">
        <v>43453</v>
      </c>
      <c r="C257" s="1" t="n">
        <v>45291</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71217-2018</t>
        </is>
      </c>
      <c r="B258" s="1" t="n">
        <v>43453</v>
      </c>
      <c r="C258" s="1" t="n">
        <v>45291</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71376-2018</t>
        </is>
      </c>
      <c r="B259" s="1" t="n">
        <v>43453</v>
      </c>
      <c r="C259" s="1" t="n">
        <v>45291</v>
      </c>
      <c r="D259" t="inlineStr">
        <is>
          <t>VÄRMLANDS LÄN</t>
        </is>
      </c>
      <c r="E259" t="inlineStr">
        <is>
          <t>TORSBY</t>
        </is>
      </c>
      <c r="G259" t="n">
        <v>7.6</v>
      </c>
      <c r="H259" t="n">
        <v>0</v>
      </c>
      <c r="I259" t="n">
        <v>0</v>
      </c>
      <c r="J259" t="n">
        <v>0</v>
      </c>
      <c r="K259" t="n">
        <v>0</v>
      </c>
      <c r="L259" t="n">
        <v>0</v>
      </c>
      <c r="M259" t="n">
        <v>0</v>
      </c>
      <c r="N259" t="n">
        <v>0</v>
      </c>
      <c r="O259" t="n">
        <v>0</v>
      </c>
      <c r="P259" t="n">
        <v>0</v>
      </c>
      <c r="Q259" t="n">
        <v>0</v>
      </c>
      <c r="R259" s="2" t="inlineStr"/>
    </row>
    <row r="260" ht="15" customHeight="1">
      <c r="A260" t="inlineStr">
        <is>
          <t>A 71381-2018</t>
        </is>
      </c>
      <c r="B260" s="1" t="n">
        <v>43453</v>
      </c>
      <c r="C260" s="1" t="n">
        <v>45291</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71632-2018</t>
        </is>
      </c>
      <c r="B261" s="1" t="n">
        <v>43454</v>
      </c>
      <c r="C261" s="1" t="n">
        <v>45291</v>
      </c>
      <c r="D261" t="inlineStr">
        <is>
          <t>VÄRMLANDS LÄN</t>
        </is>
      </c>
      <c r="E261" t="inlineStr">
        <is>
          <t>TORSBY</t>
        </is>
      </c>
      <c r="F261" t="inlineStr">
        <is>
          <t>Naturvårdsverket</t>
        </is>
      </c>
      <c r="G261" t="n">
        <v>5.3</v>
      </c>
      <c r="H261" t="n">
        <v>0</v>
      </c>
      <c r="I261" t="n">
        <v>0</v>
      </c>
      <c r="J261" t="n">
        <v>0</v>
      </c>
      <c r="K261" t="n">
        <v>0</v>
      </c>
      <c r="L261" t="n">
        <v>0</v>
      </c>
      <c r="M261" t="n">
        <v>0</v>
      </c>
      <c r="N261" t="n">
        <v>0</v>
      </c>
      <c r="O261" t="n">
        <v>0</v>
      </c>
      <c r="P261" t="n">
        <v>0</v>
      </c>
      <c r="Q261" t="n">
        <v>0</v>
      </c>
      <c r="R261" s="2" t="inlineStr"/>
    </row>
    <row r="262" ht="15" customHeight="1">
      <c r="A262" t="inlineStr">
        <is>
          <t>A 71917-2018</t>
        </is>
      </c>
      <c r="B262" s="1" t="n">
        <v>43455</v>
      </c>
      <c r="C262" s="1" t="n">
        <v>45291</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71954-2018</t>
        </is>
      </c>
      <c r="B263" s="1" t="n">
        <v>43455</v>
      </c>
      <c r="C263" s="1" t="n">
        <v>45291</v>
      </c>
      <c r="D263" t="inlineStr">
        <is>
          <t>VÄRMLANDS LÄN</t>
        </is>
      </c>
      <c r="E263" t="inlineStr">
        <is>
          <t>TORSBY</t>
        </is>
      </c>
      <c r="F263" t="inlineStr">
        <is>
          <t>Bergvik skog väst AB</t>
        </is>
      </c>
      <c r="G263" t="n">
        <v>48.7</v>
      </c>
      <c r="H263" t="n">
        <v>0</v>
      </c>
      <c r="I263" t="n">
        <v>0</v>
      </c>
      <c r="J263" t="n">
        <v>0</v>
      </c>
      <c r="K263" t="n">
        <v>0</v>
      </c>
      <c r="L263" t="n">
        <v>0</v>
      </c>
      <c r="M263" t="n">
        <v>0</v>
      </c>
      <c r="N263" t="n">
        <v>0</v>
      </c>
      <c r="O263" t="n">
        <v>0</v>
      </c>
      <c r="P263" t="n">
        <v>0</v>
      </c>
      <c r="Q263" t="n">
        <v>0</v>
      </c>
      <c r="R263" s="2" t="inlineStr"/>
    </row>
    <row r="264" ht="15" customHeight="1">
      <c r="A264" t="inlineStr">
        <is>
          <t>A 72401-2018</t>
        </is>
      </c>
      <c r="B264" s="1" t="n">
        <v>43461</v>
      </c>
      <c r="C264" s="1" t="n">
        <v>45291</v>
      </c>
      <c r="D264" t="inlineStr">
        <is>
          <t>VÄRMLANDS LÄN</t>
        </is>
      </c>
      <c r="E264" t="inlineStr">
        <is>
          <t>TORSBY</t>
        </is>
      </c>
      <c r="G264" t="n">
        <v>4.7</v>
      </c>
      <c r="H264" t="n">
        <v>0</v>
      </c>
      <c r="I264" t="n">
        <v>0</v>
      </c>
      <c r="J264" t="n">
        <v>0</v>
      </c>
      <c r="K264" t="n">
        <v>0</v>
      </c>
      <c r="L264" t="n">
        <v>0</v>
      </c>
      <c r="M264" t="n">
        <v>0</v>
      </c>
      <c r="N264" t="n">
        <v>0</v>
      </c>
      <c r="O264" t="n">
        <v>0</v>
      </c>
      <c r="P264" t="n">
        <v>0</v>
      </c>
      <c r="Q264" t="n">
        <v>0</v>
      </c>
      <c r="R264" s="2" t="inlineStr"/>
    </row>
    <row r="265" ht="15" customHeight="1">
      <c r="A265" t="inlineStr">
        <is>
          <t>A 72531-2018</t>
        </is>
      </c>
      <c r="B265" s="1" t="n">
        <v>43462</v>
      </c>
      <c r="C265" s="1" t="n">
        <v>45291</v>
      </c>
      <c r="D265" t="inlineStr">
        <is>
          <t>VÄRMLANDS LÄN</t>
        </is>
      </c>
      <c r="E265" t="inlineStr">
        <is>
          <t>TORSBY</t>
        </is>
      </c>
      <c r="G265" t="n">
        <v>3.2</v>
      </c>
      <c r="H265" t="n">
        <v>0</v>
      </c>
      <c r="I265" t="n">
        <v>0</v>
      </c>
      <c r="J265" t="n">
        <v>0</v>
      </c>
      <c r="K265" t="n">
        <v>0</v>
      </c>
      <c r="L265" t="n">
        <v>0</v>
      </c>
      <c r="M265" t="n">
        <v>0</v>
      </c>
      <c r="N265" t="n">
        <v>0</v>
      </c>
      <c r="O265" t="n">
        <v>0</v>
      </c>
      <c r="P265" t="n">
        <v>0</v>
      </c>
      <c r="Q265" t="n">
        <v>0</v>
      </c>
      <c r="R265" s="2" t="inlineStr"/>
    </row>
    <row r="266" ht="15" customHeight="1">
      <c r="A266" t="inlineStr">
        <is>
          <t>A 72533-2018</t>
        </is>
      </c>
      <c r="B266" s="1" t="n">
        <v>43462</v>
      </c>
      <c r="C266" s="1" t="n">
        <v>45291</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72606-2018</t>
        </is>
      </c>
      <c r="B267" s="1" t="n">
        <v>43463</v>
      </c>
      <c r="C267" s="1" t="n">
        <v>45291</v>
      </c>
      <c r="D267" t="inlineStr">
        <is>
          <t>VÄRMLANDS LÄN</t>
        </is>
      </c>
      <c r="E267" t="inlineStr">
        <is>
          <t>TORSBY</t>
        </is>
      </c>
      <c r="G267" t="n">
        <v>1.4</v>
      </c>
      <c r="H267" t="n">
        <v>0</v>
      </c>
      <c r="I267" t="n">
        <v>0</v>
      </c>
      <c r="J267" t="n">
        <v>0</v>
      </c>
      <c r="K267" t="n">
        <v>0</v>
      </c>
      <c r="L267" t="n">
        <v>0</v>
      </c>
      <c r="M267" t="n">
        <v>0</v>
      </c>
      <c r="N267" t="n">
        <v>0</v>
      </c>
      <c r="O267" t="n">
        <v>0</v>
      </c>
      <c r="P267" t="n">
        <v>0</v>
      </c>
      <c r="Q267" t="n">
        <v>0</v>
      </c>
      <c r="R267" s="2" t="inlineStr"/>
    </row>
    <row r="268" ht="15" customHeight="1">
      <c r="A268" t="inlineStr">
        <is>
          <t>A 72648-2018</t>
        </is>
      </c>
      <c r="B268" s="1" t="n">
        <v>43465</v>
      </c>
      <c r="C268" s="1" t="n">
        <v>45291</v>
      </c>
      <c r="D268" t="inlineStr">
        <is>
          <t>VÄRMLANDS LÄN</t>
        </is>
      </c>
      <c r="E268" t="inlineStr">
        <is>
          <t>TORSBY</t>
        </is>
      </c>
      <c r="G268" t="n">
        <v>4.9</v>
      </c>
      <c r="H268" t="n">
        <v>0</v>
      </c>
      <c r="I268" t="n">
        <v>0</v>
      </c>
      <c r="J268" t="n">
        <v>0</v>
      </c>
      <c r="K268" t="n">
        <v>0</v>
      </c>
      <c r="L268" t="n">
        <v>0</v>
      </c>
      <c r="M268" t="n">
        <v>0</v>
      </c>
      <c r="N268" t="n">
        <v>0</v>
      </c>
      <c r="O268" t="n">
        <v>0</v>
      </c>
      <c r="P268" t="n">
        <v>0</v>
      </c>
      <c r="Q268" t="n">
        <v>0</v>
      </c>
      <c r="R268" s="2" t="inlineStr"/>
    </row>
    <row r="269" ht="15" customHeight="1">
      <c r="A269" t="inlineStr">
        <is>
          <t>A 22-2019</t>
        </is>
      </c>
      <c r="B269" s="1" t="n">
        <v>43466</v>
      </c>
      <c r="C269" s="1" t="n">
        <v>45291</v>
      </c>
      <c r="D269" t="inlineStr">
        <is>
          <t>VÄRMLANDS LÄN</t>
        </is>
      </c>
      <c r="E269" t="inlineStr">
        <is>
          <t>TORSBY</t>
        </is>
      </c>
      <c r="G269" t="n">
        <v>3.2</v>
      </c>
      <c r="H269" t="n">
        <v>0</v>
      </c>
      <c r="I269" t="n">
        <v>0</v>
      </c>
      <c r="J269" t="n">
        <v>0</v>
      </c>
      <c r="K269" t="n">
        <v>0</v>
      </c>
      <c r="L269" t="n">
        <v>0</v>
      </c>
      <c r="M269" t="n">
        <v>0</v>
      </c>
      <c r="N269" t="n">
        <v>0</v>
      </c>
      <c r="O269" t="n">
        <v>0</v>
      </c>
      <c r="P269" t="n">
        <v>0</v>
      </c>
      <c r="Q269" t="n">
        <v>0</v>
      </c>
      <c r="R269" s="2" t="inlineStr"/>
    </row>
    <row r="270" ht="15" customHeight="1">
      <c r="A270" t="inlineStr">
        <is>
          <t>A 152-2019</t>
        </is>
      </c>
      <c r="B270" s="1" t="n">
        <v>43467</v>
      </c>
      <c r="C270" s="1" t="n">
        <v>45291</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227-2019</t>
        </is>
      </c>
      <c r="B271" s="1" t="n">
        <v>43467</v>
      </c>
      <c r="C271" s="1" t="n">
        <v>45291</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223-2019</t>
        </is>
      </c>
      <c r="B272" s="1" t="n">
        <v>43467</v>
      </c>
      <c r="C272" s="1" t="n">
        <v>45291</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226-2019</t>
        </is>
      </c>
      <c r="B273" s="1" t="n">
        <v>43467</v>
      </c>
      <c r="C273" s="1" t="n">
        <v>45291</v>
      </c>
      <c r="D273" t="inlineStr">
        <is>
          <t>VÄRMLANDS LÄN</t>
        </is>
      </c>
      <c r="E273" t="inlineStr">
        <is>
          <t>TORSBY</t>
        </is>
      </c>
      <c r="G273" t="n">
        <v>1.8</v>
      </c>
      <c r="H273" t="n">
        <v>0</v>
      </c>
      <c r="I273" t="n">
        <v>0</v>
      </c>
      <c r="J273" t="n">
        <v>0</v>
      </c>
      <c r="K273" t="n">
        <v>0</v>
      </c>
      <c r="L273" t="n">
        <v>0</v>
      </c>
      <c r="M273" t="n">
        <v>0</v>
      </c>
      <c r="N273" t="n">
        <v>0</v>
      </c>
      <c r="O273" t="n">
        <v>0</v>
      </c>
      <c r="P273" t="n">
        <v>0</v>
      </c>
      <c r="Q273" t="n">
        <v>0</v>
      </c>
      <c r="R273" s="2" t="inlineStr"/>
    </row>
    <row r="274" ht="15" customHeight="1">
      <c r="A274" t="inlineStr">
        <is>
          <t>A 319-2019</t>
        </is>
      </c>
      <c r="B274" s="1" t="n">
        <v>43468</v>
      </c>
      <c r="C274" s="1" t="n">
        <v>45291</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2161-2019</t>
        </is>
      </c>
      <c r="B275" s="1" t="n">
        <v>43468</v>
      </c>
      <c r="C275" s="1" t="n">
        <v>45291</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323-2019</t>
        </is>
      </c>
      <c r="B276" s="1" t="n">
        <v>43468</v>
      </c>
      <c r="C276" s="1" t="n">
        <v>45291</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666-2019</t>
        </is>
      </c>
      <c r="B277" s="1" t="n">
        <v>43469</v>
      </c>
      <c r="C277" s="1" t="n">
        <v>45291</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1047-2019</t>
        </is>
      </c>
      <c r="B278" s="1" t="n">
        <v>43472</v>
      </c>
      <c r="C278" s="1" t="n">
        <v>45291</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830-2019</t>
        </is>
      </c>
      <c r="B279" s="1" t="n">
        <v>43472</v>
      </c>
      <c r="C279" s="1" t="n">
        <v>45291</v>
      </c>
      <c r="D279" t="inlineStr">
        <is>
          <t>VÄRMLANDS LÄN</t>
        </is>
      </c>
      <c r="E279" t="inlineStr">
        <is>
          <t>TORSBY</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1372-2019</t>
        </is>
      </c>
      <c r="B280" s="1" t="n">
        <v>43473</v>
      </c>
      <c r="C280" s="1" t="n">
        <v>45291</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1482-2019</t>
        </is>
      </c>
      <c r="B281" s="1" t="n">
        <v>43473</v>
      </c>
      <c r="C281" s="1" t="n">
        <v>45291</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1979-2019</t>
        </is>
      </c>
      <c r="B282" s="1" t="n">
        <v>43475</v>
      </c>
      <c r="C282" s="1" t="n">
        <v>45291</v>
      </c>
      <c r="D282" t="inlineStr">
        <is>
          <t>VÄRMLANDS LÄN</t>
        </is>
      </c>
      <c r="E282" t="inlineStr">
        <is>
          <t>TORSBY</t>
        </is>
      </c>
      <c r="G282" t="n">
        <v>10.7</v>
      </c>
      <c r="H282" t="n">
        <v>0</v>
      </c>
      <c r="I282" t="n">
        <v>0</v>
      </c>
      <c r="J282" t="n">
        <v>0</v>
      </c>
      <c r="K282" t="n">
        <v>0</v>
      </c>
      <c r="L282" t="n">
        <v>0</v>
      </c>
      <c r="M282" t="n">
        <v>0</v>
      </c>
      <c r="N282" t="n">
        <v>0</v>
      </c>
      <c r="O282" t="n">
        <v>0</v>
      </c>
      <c r="P282" t="n">
        <v>0</v>
      </c>
      <c r="Q282" t="n">
        <v>0</v>
      </c>
      <c r="R282" s="2" t="inlineStr"/>
    </row>
    <row r="283" ht="15" customHeight="1">
      <c r="A283" t="inlineStr">
        <is>
          <t>A 2560-2019</t>
        </is>
      </c>
      <c r="B283" s="1" t="n">
        <v>43476</v>
      </c>
      <c r="C283" s="1" t="n">
        <v>45291</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4317-2019</t>
        </is>
      </c>
      <c r="B284" s="1" t="n">
        <v>43476</v>
      </c>
      <c r="C284" s="1" t="n">
        <v>45291</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4173-2019</t>
        </is>
      </c>
      <c r="B285" s="1" t="n">
        <v>43476</v>
      </c>
      <c r="C285" s="1" t="n">
        <v>45291</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4305-2019</t>
        </is>
      </c>
      <c r="B286" s="1" t="n">
        <v>43476</v>
      </c>
      <c r="C286" s="1" t="n">
        <v>45291</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4319-2019</t>
        </is>
      </c>
      <c r="B287" s="1" t="n">
        <v>43476</v>
      </c>
      <c r="C287" s="1" t="n">
        <v>45291</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4304-2019</t>
        </is>
      </c>
      <c r="B288" s="1" t="n">
        <v>43476</v>
      </c>
      <c r="C288" s="1" t="n">
        <v>45291</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4300-2019</t>
        </is>
      </c>
      <c r="B289" s="1" t="n">
        <v>43476</v>
      </c>
      <c r="C289" s="1" t="n">
        <v>45291</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2950-2019</t>
        </is>
      </c>
      <c r="B290" s="1" t="n">
        <v>43479</v>
      </c>
      <c r="C290" s="1" t="n">
        <v>45291</v>
      </c>
      <c r="D290" t="inlineStr">
        <is>
          <t>VÄRMLANDS LÄN</t>
        </is>
      </c>
      <c r="E290" t="inlineStr">
        <is>
          <t>TORSBY</t>
        </is>
      </c>
      <c r="G290" t="n">
        <v>4.4</v>
      </c>
      <c r="H290" t="n">
        <v>0</v>
      </c>
      <c r="I290" t="n">
        <v>0</v>
      </c>
      <c r="J290" t="n">
        <v>0</v>
      </c>
      <c r="K290" t="n">
        <v>0</v>
      </c>
      <c r="L290" t="n">
        <v>0</v>
      </c>
      <c r="M290" t="n">
        <v>0</v>
      </c>
      <c r="N290" t="n">
        <v>0</v>
      </c>
      <c r="O290" t="n">
        <v>0</v>
      </c>
      <c r="P290" t="n">
        <v>0</v>
      </c>
      <c r="Q290" t="n">
        <v>0</v>
      </c>
      <c r="R290" s="2" t="inlineStr"/>
    </row>
    <row r="291" ht="15" customHeight="1">
      <c r="A291" t="inlineStr">
        <is>
          <t>A 2922-2019</t>
        </is>
      </c>
      <c r="B291" s="1" t="n">
        <v>43479</v>
      </c>
      <c r="C291" s="1" t="n">
        <v>45291</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2945-2019</t>
        </is>
      </c>
      <c r="B292" s="1" t="n">
        <v>43479</v>
      </c>
      <c r="C292" s="1" t="n">
        <v>45291</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3060-2019</t>
        </is>
      </c>
      <c r="B293" s="1" t="n">
        <v>43479</v>
      </c>
      <c r="C293" s="1" t="n">
        <v>45291</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5048-2019</t>
        </is>
      </c>
      <c r="B294" s="1" t="n">
        <v>43480</v>
      </c>
      <c r="C294" s="1" t="n">
        <v>45291</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3500-2019</t>
        </is>
      </c>
      <c r="B295" s="1" t="n">
        <v>43481</v>
      </c>
      <c r="C295" s="1" t="n">
        <v>45291</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3709-2019</t>
        </is>
      </c>
      <c r="B296" s="1" t="n">
        <v>43481</v>
      </c>
      <c r="C296" s="1" t="n">
        <v>45291</v>
      </c>
      <c r="D296" t="inlineStr">
        <is>
          <t>VÄRMLANDS LÄN</t>
        </is>
      </c>
      <c r="E296" t="inlineStr">
        <is>
          <t>TORSBY</t>
        </is>
      </c>
      <c r="G296" t="n">
        <v>0.2</v>
      </c>
      <c r="H296" t="n">
        <v>0</v>
      </c>
      <c r="I296" t="n">
        <v>0</v>
      </c>
      <c r="J296" t="n">
        <v>0</v>
      </c>
      <c r="K296" t="n">
        <v>0</v>
      </c>
      <c r="L296" t="n">
        <v>0</v>
      </c>
      <c r="M296" t="n">
        <v>0</v>
      </c>
      <c r="N296" t="n">
        <v>0</v>
      </c>
      <c r="O296" t="n">
        <v>0</v>
      </c>
      <c r="P296" t="n">
        <v>0</v>
      </c>
      <c r="Q296" t="n">
        <v>0</v>
      </c>
      <c r="R296" s="2" t="inlineStr"/>
    </row>
    <row r="297" ht="15" customHeight="1">
      <c r="A297" t="inlineStr">
        <is>
          <t>A 3506-2019</t>
        </is>
      </c>
      <c r="B297" s="1" t="n">
        <v>43481</v>
      </c>
      <c r="C297" s="1" t="n">
        <v>45291</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3891-2019</t>
        </is>
      </c>
      <c r="B298" s="1" t="n">
        <v>43482</v>
      </c>
      <c r="C298" s="1" t="n">
        <v>45291</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3817-2019</t>
        </is>
      </c>
      <c r="B299" s="1" t="n">
        <v>43482</v>
      </c>
      <c r="C299" s="1" t="n">
        <v>45291</v>
      </c>
      <c r="D299" t="inlineStr">
        <is>
          <t>VÄRMLANDS LÄN</t>
        </is>
      </c>
      <c r="E299" t="inlineStr">
        <is>
          <t>TORSBY</t>
        </is>
      </c>
      <c r="G299" t="n">
        <v>4.8</v>
      </c>
      <c r="H299" t="n">
        <v>0</v>
      </c>
      <c r="I299" t="n">
        <v>0</v>
      </c>
      <c r="J299" t="n">
        <v>0</v>
      </c>
      <c r="K299" t="n">
        <v>0</v>
      </c>
      <c r="L299" t="n">
        <v>0</v>
      </c>
      <c r="M299" t="n">
        <v>0</v>
      </c>
      <c r="N299" t="n">
        <v>0</v>
      </c>
      <c r="O299" t="n">
        <v>0</v>
      </c>
      <c r="P299" t="n">
        <v>0</v>
      </c>
      <c r="Q299" t="n">
        <v>0</v>
      </c>
      <c r="R299" s="2" t="inlineStr"/>
    </row>
    <row r="300" ht="15" customHeight="1">
      <c r="A300" t="inlineStr">
        <is>
          <t>A 4284-2019</t>
        </is>
      </c>
      <c r="B300" s="1" t="n">
        <v>43483</v>
      </c>
      <c r="C300" s="1" t="n">
        <v>45291</v>
      </c>
      <c r="D300" t="inlineStr">
        <is>
          <t>VÄRMLANDS LÄN</t>
        </is>
      </c>
      <c r="E300" t="inlineStr">
        <is>
          <t>TORSBY</t>
        </is>
      </c>
      <c r="F300" t="inlineStr">
        <is>
          <t>Bergvik skog väst AB</t>
        </is>
      </c>
      <c r="G300" t="n">
        <v>9</v>
      </c>
      <c r="H300" t="n">
        <v>0</v>
      </c>
      <c r="I300" t="n">
        <v>0</v>
      </c>
      <c r="J300" t="n">
        <v>0</v>
      </c>
      <c r="K300" t="n">
        <v>0</v>
      </c>
      <c r="L300" t="n">
        <v>0</v>
      </c>
      <c r="M300" t="n">
        <v>0</v>
      </c>
      <c r="N300" t="n">
        <v>0</v>
      </c>
      <c r="O300" t="n">
        <v>0</v>
      </c>
      <c r="P300" t="n">
        <v>0</v>
      </c>
      <c r="Q300" t="n">
        <v>0</v>
      </c>
      <c r="R300" s="2" t="inlineStr"/>
    </row>
    <row r="301" ht="15" customHeight="1">
      <c r="A301" t="inlineStr">
        <is>
          <t>A 4892-2019</t>
        </is>
      </c>
      <c r="B301" s="1" t="n">
        <v>43487</v>
      </c>
      <c r="C301" s="1" t="n">
        <v>45291</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5734-2019</t>
        </is>
      </c>
      <c r="B302" s="1" t="n">
        <v>43490</v>
      </c>
      <c r="C302" s="1" t="n">
        <v>45291</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9347-2019</t>
        </is>
      </c>
      <c r="B303" s="1" t="n">
        <v>43507</v>
      </c>
      <c r="C303" s="1" t="n">
        <v>45291</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9583-2019</t>
        </is>
      </c>
      <c r="B304" s="1" t="n">
        <v>43508</v>
      </c>
      <c r="C304" s="1" t="n">
        <v>45291</v>
      </c>
      <c r="D304" t="inlineStr">
        <is>
          <t>VÄRMLANDS LÄN</t>
        </is>
      </c>
      <c r="E304" t="inlineStr">
        <is>
          <t>TORSBY</t>
        </is>
      </c>
      <c r="G304" t="n">
        <v>1.4</v>
      </c>
      <c r="H304" t="n">
        <v>0</v>
      </c>
      <c r="I304" t="n">
        <v>0</v>
      </c>
      <c r="J304" t="n">
        <v>0</v>
      </c>
      <c r="K304" t="n">
        <v>0</v>
      </c>
      <c r="L304" t="n">
        <v>0</v>
      </c>
      <c r="M304" t="n">
        <v>0</v>
      </c>
      <c r="N304" t="n">
        <v>0</v>
      </c>
      <c r="O304" t="n">
        <v>0</v>
      </c>
      <c r="P304" t="n">
        <v>0</v>
      </c>
      <c r="Q304" t="n">
        <v>0</v>
      </c>
      <c r="R304" s="2" t="inlineStr"/>
    </row>
    <row r="305" ht="15" customHeight="1">
      <c r="A305" t="inlineStr">
        <is>
          <t>A 9542-2019</t>
        </is>
      </c>
      <c r="B305" s="1" t="n">
        <v>43508</v>
      </c>
      <c r="C305" s="1" t="n">
        <v>45291</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9906-2019</t>
        </is>
      </c>
      <c r="B306" s="1" t="n">
        <v>43509</v>
      </c>
      <c r="C306" s="1" t="n">
        <v>45291</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10031-2019</t>
        </is>
      </c>
      <c r="B307" s="1" t="n">
        <v>43510</v>
      </c>
      <c r="C307" s="1" t="n">
        <v>45291</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10089-2019</t>
        </is>
      </c>
      <c r="B308" s="1" t="n">
        <v>43510</v>
      </c>
      <c r="C308" s="1" t="n">
        <v>45291</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10389-2019</t>
        </is>
      </c>
      <c r="B309" s="1" t="n">
        <v>43511</v>
      </c>
      <c r="C309" s="1" t="n">
        <v>45291</v>
      </c>
      <c r="D309" t="inlineStr">
        <is>
          <t>VÄRMLANDS LÄN</t>
        </is>
      </c>
      <c r="E309" t="inlineStr">
        <is>
          <t>TORSBY</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10334-2019</t>
        </is>
      </c>
      <c r="B310" s="1" t="n">
        <v>43511</v>
      </c>
      <c r="C310" s="1" t="n">
        <v>45291</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11730-2019</t>
        </is>
      </c>
      <c r="B311" s="1" t="n">
        <v>43518</v>
      </c>
      <c r="C311" s="1" t="n">
        <v>45291</v>
      </c>
      <c r="D311" t="inlineStr">
        <is>
          <t>VÄRMLANDS LÄN</t>
        </is>
      </c>
      <c r="E311" t="inlineStr">
        <is>
          <t>TORSBY</t>
        </is>
      </c>
      <c r="G311" t="n">
        <v>4.4</v>
      </c>
      <c r="H311" t="n">
        <v>0</v>
      </c>
      <c r="I311" t="n">
        <v>0</v>
      </c>
      <c r="J311" t="n">
        <v>0</v>
      </c>
      <c r="K311" t="n">
        <v>0</v>
      </c>
      <c r="L311" t="n">
        <v>0</v>
      </c>
      <c r="M311" t="n">
        <v>0</v>
      </c>
      <c r="N311" t="n">
        <v>0</v>
      </c>
      <c r="O311" t="n">
        <v>0</v>
      </c>
      <c r="P311" t="n">
        <v>0</v>
      </c>
      <c r="Q311" t="n">
        <v>0</v>
      </c>
      <c r="R311" s="2" t="inlineStr"/>
    </row>
    <row r="312" ht="15" customHeight="1">
      <c r="A312" t="inlineStr">
        <is>
          <t>A 11754-2019</t>
        </is>
      </c>
      <c r="B312" s="1" t="n">
        <v>43520</v>
      </c>
      <c r="C312" s="1" t="n">
        <v>45291</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11761-2019</t>
        </is>
      </c>
      <c r="B313" s="1" t="n">
        <v>43520</v>
      </c>
      <c r="C313" s="1" t="n">
        <v>45291</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11762-2019</t>
        </is>
      </c>
      <c r="B314" s="1" t="n">
        <v>43520</v>
      </c>
      <c r="C314" s="1" t="n">
        <v>45291</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11765-2019</t>
        </is>
      </c>
      <c r="B315" s="1" t="n">
        <v>43520</v>
      </c>
      <c r="C315" s="1" t="n">
        <v>45291</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11764-2019</t>
        </is>
      </c>
      <c r="B316" s="1" t="n">
        <v>43520</v>
      </c>
      <c r="C316" s="1" t="n">
        <v>45291</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12794-2019</t>
        </is>
      </c>
      <c r="B317" s="1" t="n">
        <v>43523</v>
      </c>
      <c r="C317" s="1" t="n">
        <v>45291</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12661-2019</t>
        </is>
      </c>
      <c r="B318" s="1" t="n">
        <v>43524</v>
      </c>
      <c r="C318" s="1" t="n">
        <v>45291</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12663-2019</t>
        </is>
      </c>
      <c r="B319" s="1" t="n">
        <v>43524</v>
      </c>
      <c r="C319" s="1" t="n">
        <v>45291</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12710-2019</t>
        </is>
      </c>
      <c r="B320" s="1" t="n">
        <v>43524</v>
      </c>
      <c r="C320" s="1" t="n">
        <v>45291</v>
      </c>
      <c r="D320" t="inlineStr">
        <is>
          <t>VÄRMLANDS LÄN</t>
        </is>
      </c>
      <c r="E320" t="inlineStr">
        <is>
          <t>TORSBY</t>
        </is>
      </c>
      <c r="G320" t="n">
        <v>5.7</v>
      </c>
      <c r="H320" t="n">
        <v>0</v>
      </c>
      <c r="I320" t="n">
        <v>0</v>
      </c>
      <c r="J320" t="n">
        <v>0</v>
      </c>
      <c r="K320" t="n">
        <v>0</v>
      </c>
      <c r="L320" t="n">
        <v>0</v>
      </c>
      <c r="M320" t="n">
        <v>0</v>
      </c>
      <c r="N320" t="n">
        <v>0</v>
      </c>
      <c r="O320" t="n">
        <v>0</v>
      </c>
      <c r="P320" t="n">
        <v>0</v>
      </c>
      <c r="Q320" t="n">
        <v>0</v>
      </c>
      <c r="R320" s="2" t="inlineStr"/>
    </row>
    <row r="321" ht="15" customHeight="1">
      <c r="A321" t="inlineStr">
        <is>
          <t>A 12827-2019</t>
        </is>
      </c>
      <c r="B321" s="1" t="n">
        <v>43525</v>
      </c>
      <c r="C321" s="1" t="n">
        <v>45291</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13754-2019</t>
        </is>
      </c>
      <c r="B322" s="1" t="n">
        <v>43531</v>
      </c>
      <c r="C322" s="1" t="n">
        <v>45291</v>
      </c>
      <c r="D322" t="inlineStr">
        <is>
          <t>VÄRMLANDS LÄN</t>
        </is>
      </c>
      <c r="E322" t="inlineStr">
        <is>
          <t>TORSBY</t>
        </is>
      </c>
      <c r="G322" t="n">
        <v>2.9</v>
      </c>
      <c r="H322" t="n">
        <v>0</v>
      </c>
      <c r="I322" t="n">
        <v>0</v>
      </c>
      <c r="J322" t="n">
        <v>0</v>
      </c>
      <c r="K322" t="n">
        <v>0</v>
      </c>
      <c r="L322" t="n">
        <v>0</v>
      </c>
      <c r="M322" t="n">
        <v>0</v>
      </c>
      <c r="N322" t="n">
        <v>0</v>
      </c>
      <c r="O322" t="n">
        <v>0</v>
      </c>
      <c r="P322" t="n">
        <v>0</v>
      </c>
      <c r="Q322" t="n">
        <v>0</v>
      </c>
      <c r="R322" s="2" t="inlineStr"/>
    </row>
    <row r="323" ht="15" customHeight="1">
      <c r="A323" t="inlineStr">
        <is>
          <t>A 13838-2019</t>
        </is>
      </c>
      <c r="B323" s="1" t="n">
        <v>43531</v>
      </c>
      <c r="C323" s="1" t="n">
        <v>45291</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15459-2019</t>
        </is>
      </c>
      <c r="B324" s="1" t="n">
        <v>43538</v>
      </c>
      <c r="C324" s="1" t="n">
        <v>45291</v>
      </c>
      <c r="D324" t="inlineStr">
        <is>
          <t>VÄRMLANDS LÄN</t>
        </is>
      </c>
      <c r="E324" t="inlineStr">
        <is>
          <t>TORSBY</t>
        </is>
      </c>
      <c r="G324" t="n">
        <v>6.5</v>
      </c>
      <c r="H324" t="n">
        <v>0</v>
      </c>
      <c r="I324" t="n">
        <v>0</v>
      </c>
      <c r="J324" t="n">
        <v>0</v>
      </c>
      <c r="K324" t="n">
        <v>0</v>
      </c>
      <c r="L324" t="n">
        <v>0</v>
      </c>
      <c r="M324" t="n">
        <v>0</v>
      </c>
      <c r="N324" t="n">
        <v>0</v>
      </c>
      <c r="O324" t="n">
        <v>0</v>
      </c>
      <c r="P324" t="n">
        <v>0</v>
      </c>
      <c r="Q324" t="n">
        <v>0</v>
      </c>
      <c r="R324" s="2" t="inlineStr"/>
    </row>
    <row r="325" ht="15" customHeight="1">
      <c r="A325" t="inlineStr">
        <is>
          <t>A 15251-2019</t>
        </is>
      </c>
      <c r="B325" s="1" t="n">
        <v>43542</v>
      </c>
      <c r="C325" s="1" t="n">
        <v>45291</v>
      </c>
      <c r="D325" t="inlineStr">
        <is>
          <t>VÄRMLANDS LÄN</t>
        </is>
      </c>
      <c r="E325" t="inlineStr">
        <is>
          <t>TORSBY</t>
        </is>
      </c>
      <c r="G325" t="n">
        <v>8.1</v>
      </c>
      <c r="H325" t="n">
        <v>0</v>
      </c>
      <c r="I325" t="n">
        <v>0</v>
      </c>
      <c r="J325" t="n">
        <v>0</v>
      </c>
      <c r="K325" t="n">
        <v>0</v>
      </c>
      <c r="L325" t="n">
        <v>0</v>
      </c>
      <c r="M325" t="n">
        <v>0</v>
      </c>
      <c r="N325" t="n">
        <v>0</v>
      </c>
      <c r="O325" t="n">
        <v>0</v>
      </c>
      <c r="P325" t="n">
        <v>0</v>
      </c>
      <c r="Q325" t="n">
        <v>0</v>
      </c>
      <c r="R325" s="2" t="inlineStr"/>
    </row>
    <row r="326" ht="15" customHeight="1">
      <c r="A326" t="inlineStr">
        <is>
          <t>A 16529-2019</t>
        </is>
      </c>
      <c r="B326" s="1" t="n">
        <v>43546</v>
      </c>
      <c r="C326" s="1" t="n">
        <v>45291</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16480-2019</t>
        </is>
      </c>
      <c r="B327" s="1" t="n">
        <v>43546</v>
      </c>
      <c r="C327" s="1" t="n">
        <v>45291</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16528-2019</t>
        </is>
      </c>
      <c r="B328" s="1" t="n">
        <v>43546</v>
      </c>
      <c r="C328" s="1" t="n">
        <v>45291</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16610-2019</t>
        </is>
      </c>
      <c r="B329" s="1" t="n">
        <v>43546</v>
      </c>
      <c r="C329" s="1" t="n">
        <v>45291</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16525-2019</t>
        </is>
      </c>
      <c r="B330" s="1" t="n">
        <v>43546</v>
      </c>
      <c r="C330" s="1" t="n">
        <v>45291</v>
      </c>
      <c r="D330" t="inlineStr">
        <is>
          <t>VÄRMLANDS LÄN</t>
        </is>
      </c>
      <c r="E330" t="inlineStr">
        <is>
          <t>TORSBY</t>
        </is>
      </c>
      <c r="G330" t="n">
        <v>1.9</v>
      </c>
      <c r="H330" t="n">
        <v>0</v>
      </c>
      <c r="I330" t="n">
        <v>0</v>
      </c>
      <c r="J330" t="n">
        <v>0</v>
      </c>
      <c r="K330" t="n">
        <v>0</v>
      </c>
      <c r="L330" t="n">
        <v>0</v>
      </c>
      <c r="M330" t="n">
        <v>0</v>
      </c>
      <c r="N330" t="n">
        <v>0</v>
      </c>
      <c r="O330" t="n">
        <v>0</v>
      </c>
      <c r="P330" t="n">
        <v>0</v>
      </c>
      <c r="Q330" t="n">
        <v>0</v>
      </c>
      <c r="R330" s="2" t="inlineStr"/>
    </row>
    <row r="331" ht="15" customHeight="1">
      <c r="A331" t="inlineStr">
        <is>
          <t>A 16527-2019</t>
        </is>
      </c>
      <c r="B331" s="1" t="n">
        <v>43546</v>
      </c>
      <c r="C331" s="1" t="n">
        <v>45291</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17016-2019</t>
        </is>
      </c>
      <c r="B332" s="1" t="n">
        <v>43550</v>
      </c>
      <c r="C332" s="1" t="n">
        <v>45291</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17545-2019</t>
        </is>
      </c>
      <c r="B333" s="1" t="n">
        <v>43553</v>
      </c>
      <c r="C333" s="1" t="n">
        <v>45291</v>
      </c>
      <c r="D333" t="inlineStr">
        <is>
          <t>VÄRMLANDS LÄN</t>
        </is>
      </c>
      <c r="E333" t="inlineStr">
        <is>
          <t>TORSBY</t>
        </is>
      </c>
      <c r="G333" t="n">
        <v>5</v>
      </c>
      <c r="H333" t="n">
        <v>0</v>
      </c>
      <c r="I333" t="n">
        <v>0</v>
      </c>
      <c r="J333" t="n">
        <v>0</v>
      </c>
      <c r="K333" t="n">
        <v>0</v>
      </c>
      <c r="L333" t="n">
        <v>0</v>
      </c>
      <c r="M333" t="n">
        <v>0</v>
      </c>
      <c r="N333" t="n">
        <v>0</v>
      </c>
      <c r="O333" t="n">
        <v>0</v>
      </c>
      <c r="P333" t="n">
        <v>0</v>
      </c>
      <c r="Q333" t="n">
        <v>0</v>
      </c>
      <c r="R333" s="2" t="inlineStr"/>
    </row>
    <row r="334" ht="15" customHeight="1">
      <c r="A334" t="inlineStr">
        <is>
          <t>A 17484-2019</t>
        </is>
      </c>
      <c r="B334" s="1" t="n">
        <v>43553</v>
      </c>
      <c r="C334" s="1" t="n">
        <v>45291</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17474-2019</t>
        </is>
      </c>
      <c r="B335" s="1" t="n">
        <v>43553</v>
      </c>
      <c r="C335" s="1" t="n">
        <v>45291</v>
      </c>
      <c r="D335" t="inlineStr">
        <is>
          <t>VÄRMLANDS LÄN</t>
        </is>
      </c>
      <c r="E335" t="inlineStr">
        <is>
          <t>TORSBY</t>
        </is>
      </c>
      <c r="G335" t="n">
        <v>4.1</v>
      </c>
      <c r="H335" t="n">
        <v>0</v>
      </c>
      <c r="I335" t="n">
        <v>0</v>
      </c>
      <c r="J335" t="n">
        <v>0</v>
      </c>
      <c r="K335" t="n">
        <v>0</v>
      </c>
      <c r="L335" t="n">
        <v>0</v>
      </c>
      <c r="M335" t="n">
        <v>0</v>
      </c>
      <c r="N335" t="n">
        <v>0</v>
      </c>
      <c r="O335" t="n">
        <v>0</v>
      </c>
      <c r="P335" t="n">
        <v>0</v>
      </c>
      <c r="Q335" t="n">
        <v>0</v>
      </c>
      <c r="R335" s="2" t="inlineStr"/>
    </row>
    <row r="336" ht="15" customHeight="1">
      <c r="A336" t="inlineStr">
        <is>
          <t>A 17616-2019</t>
        </is>
      </c>
      <c r="B336" s="1" t="n">
        <v>43555</v>
      </c>
      <c r="C336" s="1" t="n">
        <v>45291</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17808-2019</t>
        </is>
      </c>
      <c r="B337" s="1" t="n">
        <v>43556</v>
      </c>
      <c r="C337" s="1" t="n">
        <v>45291</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17788-2019</t>
        </is>
      </c>
      <c r="B338" s="1" t="n">
        <v>43556</v>
      </c>
      <c r="C338" s="1" t="n">
        <v>45291</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17957-2019</t>
        </is>
      </c>
      <c r="B339" s="1" t="n">
        <v>43557</v>
      </c>
      <c r="C339" s="1" t="n">
        <v>45291</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17864-2019</t>
        </is>
      </c>
      <c r="B340" s="1" t="n">
        <v>43557</v>
      </c>
      <c r="C340" s="1" t="n">
        <v>45291</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18551-2019</t>
        </is>
      </c>
      <c r="B341" s="1" t="n">
        <v>43559</v>
      </c>
      <c r="C341" s="1" t="n">
        <v>45291</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18947-2019</t>
        </is>
      </c>
      <c r="B342" s="1" t="n">
        <v>43563</v>
      </c>
      <c r="C342" s="1" t="n">
        <v>45291</v>
      </c>
      <c r="D342" t="inlineStr">
        <is>
          <t>VÄRMLANDS LÄN</t>
        </is>
      </c>
      <c r="E342" t="inlineStr">
        <is>
          <t>TORSBY</t>
        </is>
      </c>
      <c r="G342" t="n">
        <v>7.6</v>
      </c>
      <c r="H342" t="n">
        <v>0</v>
      </c>
      <c r="I342" t="n">
        <v>0</v>
      </c>
      <c r="J342" t="n">
        <v>0</v>
      </c>
      <c r="K342" t="n">
        <v>0</v>
      </c>
      <c r="L342" t="n">
        <v>0</v>
      </c>
      <c r="M342" t="n">
        <v>0</v>
      </c>
      <c r="N342" t="n">
        <v>0</v>
      </c>
      <c r="O342" t="n">
        <v>0</v>
      </c>
      <c r="P342" t="n">
        <v>0</v>
      </c>
      <c r="Q342" t="n">
        <v>0</v>
      </c>
      <c r="R342" s="2" t="inlineStr"/>
    </row>
    <row r="343" ht="15" customHeight="1">
      <c r="A343" t="inlineStr">
        <is>
          <t>A 19974-2019</t>
        </is>
      </c>
      <c r="B343" s="1" t="n">
        <v>43564</v>
      </c>
      <c r="C343" s="1" t="n">
        <v>45291</v>
      </c>
      <c r="D343" t="inlineStr">
        <is>
          <t>VÄRMLANDS LÄN</t>
        </is>
      </c>
      <c r="E343" t="inlineStr">
        <is>
          <t>TORSBY</t>
        </is>
      </c>
      <c r="G343" t="n">
        <v>5.1</v>
      </c>
      <c r="H343" t="n">
        <v>0</v>
      </c>
      <c r="I343" t="n">
        <v>0</v>
      </c>
      <c r="J343" t="n">
        <v>0</v>
      </c>
      <c r="K343" t="n">
        <v>0</v>
      </c>
      <c r="L343" t="n">
        <v>0</v>
      </c>
      <c r="M343" t="n">
        <v>0</v>
      </c>
      <c r="N343" t="n">
        <v>0</v>
      </c>
      <c r="O343" t="n">
        <v>0</v>
      </c>
      <c r="P343" t="n">
        <v>0</v>
      </c>
      <c r="Q343" t="n">
        <v>0</v>
      </c>
      <c r="R343" s="2" t="inlineStr"/>
    </row>
    <row r="344" ht="15" customHeight="1">
      <c r="A344" t="inlineStr">
        <is>
          <t>A 19125-2019</t>
        </is>
      </c>
      <c r="B344" s="1" t="n">
        <v>43564</v>
      </c>
      <c r="C344" s="1" t="n">
        <v>45291</v>
      </c>
      <c r="D344" t="inlineStr">
        <is>
          <t>VÄRMLANDS LÄN</t>
        </is>
      </c>
      <c r="E344" t="inlineStr">
        <is>
          <t>TORSBY</t>
        </is>
      </c>
      <c r="G344" t="n">
        <v>18.3</v>
      </c>
      <c r="H344" t="n">
        <v>0</v>
      </c>
      <c r="I344" t="n">
        <v>0</v>
      </c>
      <c r="J344" t="n">
        <v>0</v>
      </c>
      <c r="K344" t="n">
        <v>0</v>
      </c>
      <c r="L344" t="n">
        <v>0</v>
      </c>
      <c r="M344" t="n">
        <v>0</v>
      </c>
      <c r="N344" t="n">
        <v>0</v>
      </c>
      <c r="O344" t="n">
        <v>0</v>
      </c>
      <c r="P344" t="n">
        <v>0</v>
      </c>
      <c r="Q344" t="n">
        <v>0</v>
      </c>
      <c r="R344" s="2" t="inlineStr"/>
    </row>
    <row r="345" ht="15" customHeight="1">
      <c r="A345" t="inlineStr">
        <is>
          <t>A 19591-2019</t>
        </is>
      </c>
      <c r="B345" s="1" t="n">
        <v>43566</v>
      </c>
      <c r="C345" s="1" t="n">
        <v>45291</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20167-2019</t>
        </is>
      </c>
      <c r="B346" s="1" t="n">
        <v>43570</v>
      </c>
      <c r="C346" s="1" t="n">
        <v>45291</v>
      </c>
      <c r="D346" t="inlineStr">
        <is>
          <t>VÄRMLANDS LÄN</t>
        </is>
      </c>
      <c r="E346" t="inlineStr">
        <is>
          <t>TORSBY</t>
        </is>
      </c>
      <c r="G346" t="n">
        <v>5</v>
      </c>
      <c r="H346" t="n">
        <v>0</v>
      </c>
      <c r="I346" t="n">
        <v>0</v>
      </c>
      <c r="J346" t="n">
        <v>0</v>
      </c>
      <c r="K346" t="n">
        <v>0</v>
      </c>
      <c r="L346" t="n">
        <v>0</v>
      </c>
      <c r="M346" t="n">
        <v>0</v>
      </c>
      <c r="N346" t="n">
        <v>0</v>
      </c>
      <c r="O346" t="n">
        <v>0</v>
      </c>
      <c r="P346" t="n">
        <v>0</v>
      </c>
      <c r="Q346" t="n">
        <v>0</v>
      </c>
      <c r="R346" s="2" t="inlineStr"/>
    </row>
    <row r="347" ht="15" customHeight="1">
      <c r="A347" t="inlineStr">
        <is>
          <t>A 20190-2019</t>
        </is>
      </c>
      <c r="B347" s="1" t="n">
        <v>43570</v>
      </c>
      <c r="C347" s="1" t="n">
        <v>45291</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20244-2019</t>
        </is>
      </c>
      <c r="B348" s="1" t="n">
        <v>43571</v>
      </c>
      <c r="C348" s="1" t="n">
        <v>45291</v>
      </c>
      <c r="D348" t="inlineStr">
        <is>
          <t>VÄRMLANDS LÄN</t>
        </is>
      </c>
      <c r="E348" t="inlineStr">
        <is>
          <t>TORSBY</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20616-2019</t>
        </is>
      </c>
      <c r="B349" s="1" t="n">
        <v>43572</v>
      </c>
      <c r="C349" s="1" t="n">
        <v>45291</v>
      </c>
      <c r="D349" t="inlineStr">
        <is>
          <t>VÄRMLANDS LÄN</t>
        </is>
      </c>
      <c r="E349" t="inlineStr">
        <is>
          <t>TORSBY</t>
        </is>
      </c>
      <c r="G349" t="n">
        <v>0.4</v>
      </c>
      <c r="H349" t="n">
        <v>0</v>
      </c>
      <c r="I349" t="n">
        <v>0</v>
      </c>
      <c r="J349" t="n">
        <v>0</v>
      </c>
      <c r="K349" t="n">
        <v>0</v>
      </c>
      <c r="L349" t="n">
        <v>0</v>
      </c>
      <c r="M349" t="n">
        <v>0</v>
      </c>
      <c r="N349" t="n">
        <v>0</v>
      </c>
      <c r="O349" t="n">
        <v>0</v>
      </c>
      <c r="P349" t="n">
        <v>0</v>
      </c>
      <c r="Q349" t="n">
        <v>0</v>
      </c>
      <c r="R349" s="2" t="inlineStr"/>
    </row>
    <row r="350" ht="15" customHeight="1">
      <c r="A350" t="inlineStr">
        <is>
          <t>A 20468-2019</t>
        </is>
      </c>
      <c r="B350" s="1" t="n">
        <v>43572</v>
      </c>
      <c r="C350" s="1" t="n">
        <v>45291</v>
      </c>
      <c r="D350" t="inlineStr">
        <is>
          <t>VÄRMLANDS LÄN</t>
        </is>
      </c>
      <c r="E350" t="inlineStr">
        <is>
          <t>TORSBY</t>
        </is>
      </c>
      <c r="G350" t="n">
        <v>2.9</v>
      </c>
      <c r="H350" t="n">
        <v>0</v>
      </c>
      <c r="I350" t="n">
        <v>0</v>
      </c>
      <c r="J350" t="n">
        <v>0</v>
      </c>
      <c r="K350" t="n">
        <v>0</v>
      </c>
      <c r="L350" t="n">
        <v>0</v>
      </c>
      <c r="M350" t="n">
        <v>0</v>
      </c>
      <c r="N350" t="n">
        <v>0</v>
      </c>
      <c r="O350" t="n">
        <v>0</v>
      </c>
      <c r="P350" t="n">
        <v>0</v>
      </c>
      <c r="Q350" t="n">
        <v>0</v>
      </c>
      <c r="R350" s="2" t="inlineStr"/>
    </row>
    <row r="351" ht="15" customHeight="1">
      <c r="A351" t="inlineStr">
        <is>
          <t>A 21166-2019</t>
        </is>
      </c>
      <c r="B351" s="1" t="n">
        <v>43578</v>
      </c>
      <c r="C351" s="1" t="n">
        <v>45291</v>
      </c>
      <c r="D351" t="inlineStr">
        <is>
          <t>VÄRMLANDS LÄN</t>
        </is>
      </c>
      <c r="E351" t="inlineStr">
        <is>
          <t>TORSBY</t>
        </is>
      </c>
      <c r="G351" t="n">
        <v>3.4</v>
      </c>
      <c r="H351" t="n">
        <v>0</v>
      </c>
      <c r="I351" t="n">
        <v>0</v>
      </c>
      <c r="J351" t="n">
        <v>0</v>
      </c>
      <c r="K351" t="n">
        <v>0</v>
      </c>
      <c r="L351" t="n">
        <v>0</v>
      </c>
      <c r="M351" t="n">
        <v>0</v>
      </c>
      <c r="N351" t="n">
        <v>0</v>
      </c>
      <c r="O351" t="n">
        <v>0</v>
      </c>
      <c r="P351" t="n">
        <v>0</v>
      </c>
      <c r="Q351" t="n">
        <v>0</v>
      </c>
      <c r="R351" s="2" t="inlineStr"/>
    </row>
    <row r="352" ht="15" customHeight="1">
      <c r="A352" t="inlineStr">
        <is>
          <t>A 21387-2019</t>
        </is>
      </c>
      <c r="B352" s="1" t="n">
        <v>43580</v>
      </c>
      <c r="C352" s="1" t="n">
        <v>45291</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21958-2019</t>
        </is>
      </c>
      <c r="B353" s="1" t="n">
        <v>43584</v>
      </c>
      <c r="C353" s="1" t="n">
        <v>45291</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22252-2019</t>
        </is>
      </c>
      <c r="B354" s="1" t="n">
        <v>43585</v>
      </c>
      <c r="C354" s="1" t="n">
        <v>45291</v>
      </c>
      <c r="D354" t="inlineStr">
        <is>
          <t>VÄRMLANDS LÄN</t>
        </is>
      </c>
      <c r="E354" t="inlineStr">
        <is>
          <t>TORSBY</t>
        </is>
      </c>
      <c r="G354" t="n">
        <v>3.7</v>
      </c>
      <c r="H354" t="n">
        <v>0</v>
      </c>
      <c r="I354" t="n">
        <v>0</v>
      </c>
      <c r="J354" t="n">
        <v>0</v>
      </c>
      <c r="K354" t="n">
        <v>0</v>
      </c>
      <c r="L354" t="n">
        <v>0</v>
      </c>
      <c r="M354" t="n">
        <v>0</v>
      </c>
      <c r="N354" t="n">
        <v>0</v>
      </c>
      <c r="O354" t="n">
        <v>0</v>
      </c>
      <c r="P354" t="n">
        <v>0</v>
      </c>
      <c r="Q354" t="n">
        <v>0</v>
      </c>
      <c r="R354" s="2" t="inlineStr"/>
    </row>
    <row r="355" ht="15" customHeight="1">
      <c r="A355" t="inlineStr">
        <is>
          <t>A 22158-2019</t>
        </is>
      </c>
      <c r="B355" s="1" t="n">
        <v>43585</v>
      </c>
      <c r="C355" s="1" t="n">
        <v>45291</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22416-2019</t>
        </is>
      </c>
      <c r="B356" s="1" t="n">
        <v>43587</v>
      </c>
      <c r="C356" s="1" t="n">
        <v>45291</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22351-2019</t>
        </is>
      </c>
      <c r="B357" s="1" t="n">
        <v>43587</v>
      </c>
      <c r="C357" s="1" t="n">
        <v>45291</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22692-2019</t>
        </is>
      </c>
      <c r="B358" s="1" t="n">
        <v>43588</v>
      </c>
      <c r="C358" s="1" t="n">
        <v>45291</v>
      </c>
      <c r="D358" t="inlineStr">
        <is>
          <t>VÄRMLANDS LÄN</t>
        </is>
      </c>
      <c r="E358" t="inlineStr">
        <is>
          <t>TORSBY</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22717-2019</t>
        </is>
      </c>
      <c r="B359" s="1" t="n">
        <v>43588</v>
      </c>
      <c r="C359" s="1" t="n">
        <v>45291</v>
      </c>
      <c r="D359" t="inlineStr">
        <is>
          <t>VÄRMLANDS LÄN</t>
        </is>
      </c>
      <c r="E359" t="inlineStr">
        <is>
          <t>TORSBY</t>
        </is>
      </c>
      <c r="G359" t="n">
        <v>8</v>
      </c>
      <c r="H359" t="n">
        <v>0</v>
      </c>
      <c r="I359" t="n">
        <v>0</v>
      </c>
      <c r="J359" t="n">
        <v>0</v>
      </c>
      <c r="K359" t="n">
        <v>0</v>
      </c>
      <c r="L359" t="n">
        <v>0</v>
      </c>
      <c r="M359" t="n">
        <v>0</v>
      </c>
      <c r="N359" t="n">
        <v>0</v>
      </c>
      <c r="O359" t="n">
        <v>0</v>
      </c>
      <c r="P359" t="n">
        <v>0</v>
      </c>
      <c r="Q359" t="n">
        <v>0</v>
      </c>
      <c r="R359" s="2" t="inlineStr"/>
    </row>
    <row r="360" ht="15" customHeight="1">
      <c r="A360" t="inlineStr">
        <is>
          <t>A 23412-2019</t>
        </is>
      </c>
      <c r="B360" s="1" t="n">
        <v>43593</v>
      </c>
      <c r="C360" s="1" t="n">
        <v>45291</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23892-2019</t>
        </is>
      </c>
      <c r="B361" s="1" t="n">
        <v>43595</v>
      </c>
      <c r="C361" s="1" t="n">
        <v>45291</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23771-2019</t>
        </is>
      </c>
      <c r="B362" s="1" t="n">
        <v>43595</v>
      </c>
      <c r="C362" s="1" t="n">
        <v>45291</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24667-2019</t>
        </is>
      </c>
      <c r="B363" s="1" t="n">
        <v>43599</v>
      </c>
      <c r="C363" s="1" t="n">
        <v>45291</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24703-2019</t>
        </is>
      </c>
      <c r="B364" s="1" t="n">
        <v>43601</v>
      </c>
      <c r="C364" s="1" t="n">
        <v>45291</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26493-2019</t>
        </is>
      </c>
      <c r="B365" s="1" t="n">
        <v>43612</v>
      </c>
      <c r="C365" s="1" t="n">
        <v>45291</v>
      </c>
      <c r="D365" t="inlineStr">
        <is>
          <t>VÄRMLANDS LÄN</t>
        </is>
      </c>
      <c r="E365" t="inlineStr">
        <is>
          <t>TORSBY</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27907-2019</t>
        </is>
      </c>
      <c r="B366" s="1" t="n">
        <v>43612</v>
      </c>
      <c r="C366" s="1" t="n">
        <v>45291</v>
      </c>
      <c r="D366" t="inlineStr">
        <is>
          <t>VÄRMLANDS LÄN</t>
        </is>
      </c>
      <c r="E366" t="inlineStr">
        <is>
          <t>TORSBY</t>
        </is>
      </c>
      <c r="G366" t="n">
        <v>7.5</v>
      </c>
      <c r="H366" t="n">
        <v>0</v>
      </c>
      <c r="I366" t="n">
        <v>0</v>
      </c>
      <c r="J366" t="n">
        <v>0</v>
      </c>
      <c r="K366" t="n">
        <v>0</v>
      </c>
      <c r="L366" t="n">
        <v>0</v>
      </c>
      <c r="M366" t="n">
        <v>0</v>
      </c>
      <c r="N366" t="n">
        <v>0</v>
      </c>
      <c r="O366" t="n">
        <v>0</v>
      </c>
      <c r="P366" t="n">
        <v>0</v>
      </c>
      <c r="Q366" t="n">
        <v>0</v>
      </c>
      <c r="R366" s="2" t="inlineStr"/>
    </row>
    <row r="367" ht="15" customHeight="1">
      <c r="A367" t="inlineStr">
        <is>
          <t>A 26783-2019</t>
        </is>
      </c>
      <c r="B367" s="1" t="n">
        <v>43613</v>
      </c>
      <c r="C367" s="1" t="n">
        <v>45291</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27711-2019</t>
        </is>
      </c>
      <c r="B368" s="1" t="n">
        <v>43619</v>
      </c>
      <c r="C368" s="1" t="n">
        <v>45291</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27682-2019</t>
        </is>
      </c>
      <c r="B369" s="1" t="n">
        <v>43619</v>
      </c>
      <c r="C369" s="1" t="n">
        <v>45291</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28975-2019</t>
        </is>
      </c>
      <c r="B370" s="1" t="n">
        <v>43619</v>
      </c>
      <c r="C370" s="1" t="n">
        <v>45291</v>
      </c>
      <c r="D370" t="inlineStr">
        <is>
          <t>VÄRMLANDS LÄN</t>
        </is>
      </c>
      <c r="E370" t="inlineStr">
        <is>
          <t>TORSBY</t>
        </is>
      </c>
      <c r="G370" t="n">
        <v>6.5</v>
      </c>
      <c r="H370" t="n">
        <v>0</v>
      </c>
      <c r="I370" t="n">
        <v>0</v>
      </c>
      <c r="J370" t="n">
        <v>0</v>
      </c>
      <c r="K370" t="n">
        <v>0</v>
      </c>
      <c r="L370" t="n">
        <v>0</v>
      </c>
      <c r="M370" t="n">
        <v>0</v>
      </c>
      <c r="N370" t="n">
        <v>0</v>
      </c>
      <c r="O370" t="n">
        <v>0</v>
      </c>
      <c r="P370" t="n">
        <v>0</v>
      </c>
      <c r="Q370" t="n">
        <v>0</v>
      </c>
      <c r="R370" s="2" t="inlineStr"/>
    </row>
    <row r="371" ht="15" customHeight="1">
      <c r="A371" t="inlineStr">
        <is>
          <t>A 28487-2019</t>
        </is>
      </c>
      <c r="B371" s="1" t="n">
        <v>43621</v>
      </c>
      <c r="C371" s="1" t="n">
        <v>45291</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28653-2019</t>
        </is>
      </c>
      <c r="B372" s="1" t="n">
        <v>43627</v>
      </c>
      <c r="C372" s="1" t="n">
        <v>45291</v>
      </c>
      <c r="D372" t="inlineStr">
        <is>
          <t>VÄRMLANDS LÄN</t>
        </is>
      </c>
      <c r="E372" t="inlineStr">
        <is>
          <t>TORSBY</t>
        </is>
      </c>
      <c r="G372" t="n">
        <v>5.2</v>
      </c>
      <c r="H372" t="n">
        <v>0</v>
      </c>
      <c r="I372" t="n">
        <v>0</v>
      </c>
      <c r="J372" t="n">
        <v>0</v>
      </c>
      <c r="K372" t="n">
        <v>0</v>
      </c>
      <c r="L372" t="n">
        <v>0</v>
      </c>
      <c r="M372" t="n">
        <v>0</v>
      </c>
      <c r="N372" t="n">
        <v>0</v>
      </c>
      <c r="O372" t="n">
        <v>0</v>
      </c>
      <c r="P372" t="n">
        <v>0</v>
      </c>
      <c r="Q372" t="n">
        <v>0</v>
      </c>
      <c r="R372" s="2" t="inlineStr"/>
    </row>
    <row r="373" ht="15" customHeight="1">
      <c r="A373" t="inlineStr">
        <is>
          <t>A 28818-2019</t>
        </is>
      </c>
      <c r="B373" s="1" t="n">
        <v>43627</v>
      </c>
      <c r="C373" s="1" t="n">
        <v>45291</v>
      </c>
      <c r="D373" t="inlineStr">
        <is>
          <t>VÄRMLANDS LÄN</t>
        </is>
      </c>
      <c r="E373" t="inlineStr">
        <is>
          <t>TORSBY</t>
        </is>
      </c>
      <c r="F373" t="inlineStr">
        <is>
          <t>Bergvik skog väst AB</t>
        </is>
      </c>
      <c r="G373" t="n">
        <v>58.6</v>
      </c>
      <c r="H373" t="n">
        <v>0</v>
      </c>
      <c r="I373" t="n">
        <v>0</v>
      </c>
      <c r="J373" t="n">
        <v>0</v>
      </c>
      <c r="K373" t="n">
        <v>0</v>
      </c>
      <c r="L373" t="n">
        <v>0</v>
      </c>
      <c r="M373" t="n">
        <v>0</v>
      </c>
      <c r="N373" t="n">
        <v>0</v>
      </c>
      <c r="O373" t="n">
        <v>0</v>
      </c>
      <c r="P373" t="n">
        <v>0</v>
      </c>
      <c r="Q373" t="n">
        <v>0</v>
      </c>
      <c r="R373" s="2" t="inlineStr"/>
    </row>
    <row r="374" ht="15" customHeight="1">
      <c r="A374" t="inlineStr">
        <is>
          <t>A 28889-2019</t>
        </is>
      </c>
      <c r="B374" s="1" t="n">
        <v>43628</v>
      </c>
      <c r="C374" s="1" t="n">
        <v>45291</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29436-2019</t>
        </is>
      </c>
      <c r="B375" s="1" t="n">
        <v>43629</v>
      </c>
      <c r="C375" s="1" t="n">
        <v>45291</v>
      </c>
      <c r="D375" t="inlineStr">
        <is>
          <t>VÄRMLANDS LÄN</t>
        </is>
      </c>
      <c r="E375" t="inlineStr">
        <is>
          <t>TORSBY</t>
        </is>
      </c>
      <c r="F375" t="inlineStr">
        <is>
          <t>Bergvik skog väst AB</t>
        </is>
      </c>
      <c r="G375" t="n">
        <v>33.7</v>
      </c>
      <c r="H375" t="n">
        <v>0</v>
      </c>
      <c r="I375" t="n">
        <v>0</v>
      </c>
      <c r="J375" t="n">
        <v>0</v>
      </c>
      <c r="K375" t="n">
        <v>0</v>
      </c>
      <c r="L375" t="n">
        <v>0</v>
      </c>
      <c r="M375" t="n">
        <v>0</v>
      </c>
      <c r="N375" t="n">
        <v>0</v>
      </c>
      <c r="O375" t="n">
        <v>0</v>
      </c>
      <c r="P375" t="n">
        <v>0</v>
      </c>
      <c r="Q375" t="n">
        <v>0</v>
      </c>
      <c r="R375" s="2" t="inlineStr"/>
    </row>
    <row r="376" ht="15" customHeight="1">
      <c r="A376" t="inlineStr">
        <is>
          <t>A 30031-2019</t>
        </is>
      </c>
      <c r="B376" s="1" t="n">
        <v>43633</v>
      </c>
      <c r="C376" s="1" t="n">
        <v>45291</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30049-2019</t>
        </is>
      </c>
      <c r="B377" s="1" t="n">
        <v>43633</v>
      </c>
      <c r="C377" s="1" t="n">
        <v>45291</v>
      </c>
      <c r="D377" t="inlineStr">
        <is>
          <t>VÄRMLANDS LÄN</t>
        </is>
      </c>
      <c r="E377" t="inlineStr">
        <is>
          <t>TORSBY</t>
        </is>
      </c>
      <c r="G377" t="n">
        <v>7.1</v>
      </c>
      <c r="H377" t="n">
        <v>0</v>
      </c>
      <c r="I377" t="n">
        <v>0</v>
      </c>
      <c r="J377" t="n">
        <v>0</v>
      </c>
      <c r="K377" t="n">
        <v>0</v>
      </c>
      <c r="L377" t="n">
        <v>0</v>
      </c>
      <c r="M377" t="n">
        <v>0</v>
      </c>
      <c r="N377" t="n">
        <v>0</v>
      </c>
      <c r="O377" t="n">
        <v>0</v>
      </c>
      <c r="P377" t="n">
        <v>0</v>
      </c>
      <c r="Q377" t="n">
        <v>0</v>
      </c>
      <c r="R377" s="2" t="inlineStr"/>
    </row>
    <row r="378" ht="15" customHeight="1">
      <c r="A378" t="inlineStr">
        <is>
          <t>A 29984-2019</t>
        </is>
      </c>
      <c r="B378" s="1" t="n">
        <v>43633</v>
      </c>
      <c r="C378" s="1" t="n">
        <v>45291</v>
      </c>
      <c r="D378" t="inlineStr">
        <is>
          <t>VÄRMLANDS LÄN</t>
        </is>
      </c>
      <c r="E378" t="inlineStr">
        <is>
          <t>TORSBY</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30158-2019</t>
        </is>
      </c>
      <c r="B379" s="1" t="n">
        <v>43634</v>
      </c>
      <c r="C379" s="1" t="n">
        <v>45291</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30596-2019</t>
        </is>
      </c>
      <c r="B380" s="1" t="n">
        <v>43635</v>
      </c>
      <c r="C380" s="1" t="n">
        <v>45291</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30860-2019</t>
        </is>
      </c>
      <c r="B381" s="1" t="n">
        <v>43636</v>
      </c>
      <c r="C381" s="1" t="n">
        <v>45291</v>
      </c>
      <c r="D381" t="inlineStr">
        <is>
          <t>VÄRMLANDS LÄN</t>
        </is>
      </c>
      <c r="E381" t="inlineStr">
        <is>
          <t>TORSBY</t>
        </is>
      </c>
      <c r="G381" t="n">
        <v>11.7</v>
      </c>
      <c r="H381" t="n">
        <v>0</v>
      </c>
      <c r="I381" t="n">
        <v>0</v>
      </c>
      <c r="J381" t="n">
        <v>0</v>
      </c>
      <c r="K381" t="n">
        <v>0</v>
      </c>
      <c r="L381" t="n">
        <v>0</v>
      </c>
      <c r="M381" t="n">
        <v>0</v>
      </c>
      <c r="N381" t="n">
        <v>0</v>
      </c>
      <c r="O381" t="n">
        <v>0</v>
      </c>
      <c r="P381" t="n">
        <v>0</v>
      </c>
      <c r="Q381" t="n">
        <v>0</v>
      </c>
      <c r="R381" s="2" t="inlineStr"/>
    </row>
    <row r="382" ht="15" customHeight="1">
      <c r="A382" t="inlineStr">
        <is>
          <t>A 31109-2019</t>
        </is>
      </c>
      <c r="B382" s="1" t="n">
        <v>43640</v>
      </c>
      <c r="C382" s="1" t="n">
        <v>45291</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31010-2019</t>
        </is>
      </c>
      <c r="B383" s="1" t="n">
        <v>43640</v>
      </c>
      <c r="C383" s="1" t="n">
        <v>45291</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31138-2019</t>
        </is>
      </c>
      <c r="B384" s="1" t="n">
        <v>43640</v>
      </c>
      <c r="C384" s="1" t="n">
        <v>45291</v>
      </c>
      <c r="D384" t="inlineStr">
        <is>
          <t>VÄRMLANDS LÄN</t>
        </is>
      </c>
      <c r="E384" t="inlineStr">
        <is>
          <t>TORSBY</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31543-2019</t>
        </is>
      </c>
      <c r="B385" s="1" t="n">
        <v>43641</v>
      </c>
      <c r="C385" s="1" t="n">
        <v>45291</v>
      </c>
      <c r="D385" t="inlineStr">
        <is>
          <t>VÄRMLANDS LÄN</t>
        </is>
      </c>
      <c r="E385" t="inlineStr">
        <is>
          <t>TORSBY</t>
        </is>
      </c>
      <c r="G385" t="n">
        <v>6</v>
      </c>
      <c r="H385" t="n">
        <v>0</v>
      </c>
      <c r="I385" t="n">
        <v>0</v>
      </c>
      <c r="J385" t="n">
        <v>0</v>
      </c>
      <c r="K385" t="n">
        <v>0</v>
      </c>
      <c r="L385" t="n">
        <v>0</v>
      </c>
      <c r="M385" t="n">
        <v>0</v>
      </c>
      <c r="N385" t="n">
        <v>0</v>
      </c>
      <c r="O385" t="n">
        <v>0</v>
      </c>
      <c r="P385" t="n">
        <v>0</v>
      </c>
      <c r="Q385" t="n">
        <v>0</v>
      </c>
      <c r="R385" s="2" t="inlineStr"/>
    </row>
    <row r="386" ht="15" customHeight="1">
      <c r="A386" t="inlineStr">
        <is>
          <t>A 31930-2019</t>
        </is>
      </c>
      <c r="B386" s="1" t="n">
        <v>43642</v>
      </c>
      <c r="C386" s="1" t="n">
        <v>45291</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32170-2019</t>
        </is>
      </c>
      <c r="B387" s="1" t="n">
        <v>43643</v>
      </c>
      <c r="C387" s="1" t="n">
        <v>45291</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32443-2019</t>
        </is>
      </c>
      <c r="B388" s="1" t="n">
        <v>43644</v>
      </c>
      <c r="C388" s="1" t="n">
        <v>45291</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32298-2019</t>
        </is>
      </c>
      <c r="B389" s="1" t="n">
        <v>43644</v>
      </c>
      <c r="C389" s="1" t="n">
        <v>45291</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32468-2019</t>
        </is>
      </c>
      <c r="B390" s="1" t="n">
        <v>43644</v>
      </c>
      <c r="C390" s="1" t="n">
        <v>45291</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32444-2019</t>
        </is>
      </c>
      <c r="B391" s="1" t="n">
        <v>43644</v>
      </c>
      <c r="C391" s="1" t="n">
        <v>45291</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33918-2019</t>
        </is>
      </c>
      <c r="B392" s="1" t="n">
        <v>43654</v>
      </c>
      <c r="C392" s="1" t="n">
        <v>45291</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35505-2019</t>
        </is>
      </c>
      <c r="B393" s="1" t="n">
        <v>43654</v>
      </c>
      <c r="C393" s="1" t="n">
        <v>45291</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35788-2019</t>
        </is>
      </c>
      <c r="B394" s="1" t="n">
        <v>43656</v>
      </c>
      <c r="C394" s="1" t="n">
        <v>45291</v>
      </c>
      <c r="D394" t="inlineStr">
        <is>
          <t>VÄRMLANDS LÄN</t>
        </is>
      </c>
      <c r="E394" t="inlineStr">
        <is>
          <t>TORSBY</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34541-2019</t>
        </is>
      </c>
      <c r="B395" s="1" t="n">
        <v>43657</v>
      </c>
      <c r="C395" s="1" t="n">
        <v>45291</v>
      </c>
      <c r="D395" t="inlineStr">
        <is>
          <t>VÄRMLANDS LÄN</t>
        </is>
      </c>
      <c r="E395" t="inlineStr">
        <is>
          <t>TORSBY</t>
        </is>
      </c>
      <c r="G395" t="n">
        <v>5.7</v>
      </c>
      <c r="H395" t="n">
        <v>0</v>
      </c>
      <c r="I395" t="n">
        <v>0</v>
      </c>
      <c r="J395" t="n">
        <v>0</v>
      </c>
      <c r="K395" t="n">
        <v>0</v>
      </c>
      <c r="L395" t="n">
        <v>0</v>
      </c>
      <c r="M395" t="n">
        <v>0</v>
      </c>
      <c r="N395" t="n">
        <v>0</v>
      </c>
      <c r="O395" t="n">
        <v>0</v>
      </c>
      <c r="P395" t="n">
        <v>0</v>
      </c>
      <c r="Q395" t="n">
        <v>0</v>
      </c>
      <c r="R395" s="2" t="inlineStr"/>
    </row>
    <row r="396" ht="15" customHeight="1">
      <c r="A396" t="inlineStr">
        <is>
          <t>A 36480-2019</t>
        </is>
      </c>
      <c r="B396" s="1" t="n">
        <v>43668</v>
      </c>
      <c r="C396" s="1" t="n">
        <v>45291</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38010-2019</t>
        </is>
      </c>
      <c r="B397" s="1" t="n">
        <v>43669</v>
      </c>
      <c r="C397" s="1" t="n">
        <v>45291</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38003-2019</t>
        </is>
      </c>
      <c r="B398" s="1" t="n">
        <v>43669</v>
      </c>
      <c r="C398" s="1" t="n">
        <v>45291</v>
      </c>
      <c r="D398" t="inlineStr">
        <is>
          <t>VÄRMLANDS LÄN</t>
        </is>
      </c>
      <c r="E398" t="inlineStr">
        <is>
          <t>TORSBY</t>
        </is>
      </c>
      <c r="G398" t="n">
        <v>3.1</v>
      </c>
      <c r="H398" t="n">
        <v>0</v>
      </c>
      <c r="I398" t="n">
        <v>0</v>
      </c>
      <c r="J398" t="n">
        <v>0</v>
      </c>
      <c r="K398" t="n">
        <v>0</v>
      </c>
      <c r="L398" t="n">
        <v>0</v>
      </c>
      <c r="M398" t="n">
        <v>0</v>
      </c>
      <c r="N398" t="n">
        <v>0</v>
      </c>
      <c r="O398" t="n">
        <v>0</v>
      </c>
      <c r="P398" t="n">
        <v>0</v>
      </c>
      <c r="Q398" t="n">
        <v>0</v>
      </c>
      <c r="R398" s="2" t="inlineStr"/>
    </row>
    <row r="399" ht="15" customHeight="1">
      <c r="A399" t="inlineStr">
        <is>
          <t>A 36712-2019</t>
        </is>
      </c>
      <c r="B399" s="1" t="n">
        <v>43669</v>
      </c>
      <c r="C399" s="1" t="n">
        <v>45291</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36682-2019</t>
        </is>
      </c>
      <c r="B400" s="1" t="n">
        <v>43670</v>
      </c>
      <c r="C400" s="1" t="n">
        <v>45291</v>
      </c>
      <c r="D400" t="inlineStr">
        <is>
          <t>VÄRMLANDS LÄN</t>
        </is>
      </c>
      <c r="E400" t="inlineStr">
        <is>
          <t>TORSBY</t>
        </is>
      </c>
      <c r="G400" t="n">
        <v>8.1</v>
      </c>
      <c r="H400" t="n">
        <v>0</v>
      </c>
      <c r="I400" t="n">
        <v>0</v>
      </c>
      <c r="J400" t="n">
        <v>0</v>
      </c>
      <c r="K400" t="n">
        <v>0</v>
      </c>
      <c r="L400" t="n">
        <v>0</v>
      </c>
      <c r="M400" t="n">
        <v>0</v>
      </c>
      <c r="N400" t="n">
        <v>0</v>
      </c>
      <c r="O400" t="n">
        <v>0</v>
      </c>
      <c r="P400" t="n">
        <v>0</v>
      </c>
      <c r="Q400" t="n">
        <v>0</v>
      </c>
      <c r="R400" s="2" t="inlineStr"/>
    </row>
    <row r="401" ht="15" customHeight="1">
      <c r="A401" t="inlineStr">
        <is>
          <t>A 36734-2019</t>
        </is>
      </c>
      <c r="B401" s="1" t="n">
        <v>43672</v>
      </c>
      <c r="C401" s="1" t="n">
        <v>45291</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36820-2019</t>
        </is>
      </c>
      <c r="B402" s="1" t="n">
        <v>43673</v>
      </c>
      <c r="C402" s="1" t="n">
        <v>45291</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37005-2019</t>
        </is>
      </c>
      <c r="B403" s="1" t="n">
        <v>43676</v>
      </c>
      <c r="C403" s="1" t="n">
        <v>45291</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37719-2019</t>
        </is>
      </c>
      <c r="B404" s="1" t="n">
        <v>43682</v>
      </c>
      <c r="C404" s="1" t="n">
        <v>45291</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38068-2019</t>
        </is>
      </c>
      <c r="B405" s="1" t="n">
        <v>43683</v>
      </c>
      <c r="C405" s="1" t="n">
        <v>45291</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38265-2019</t>
        </is>
      </c>
      <c r="B406" s="1" t="n">
        <v>43684</v>
      </c>
      <c r="C406" s="1" t="n">
        <v>45291</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39213-2019</t>
        </is>
      </c>
      <c r="B407" s="1" t="n">
        <v>43690</v>
      </c>
      <c r="C407" s="1" t="n">
        <v>45291</v>
      </c>
      <c r="D407" t="inlineStr">
        <is>
          <t>VÄRMLANDS LÄN</t>
        </is>
      </c>
      <c r="E407" t="inlineStr">
        <is>
          <t>TORSBY</t>
        </is>
      </c>
      <c r="G407" t="n">
        <v>1.8</v>
      </c>
      <c r="H407" t="n">
        <v>0</v>
      </c>
      <c r="I407" t="n">
        <v>0</v>
      </c>
      <c r="J407" t="n">
        <v>0</v>
      </c>
      <c r="K407" t="n">
        <v>0</v>
      </c>
      <c r="L407" t="n">
        <v>0</v>
      </c>
      <c r="M407" t="n">
        <v>0</v>
      </c>
      <c r="N407" t="n">
        <v>0</v>
      </c>
      <c r="O407" t="n">
        <v>0</v>
      </c>
      <c r="P407" t="n">
        <v>0</v>
      </c>
      <c r="Q407" t="n">
        <v>0</v>
      </c>
      <c r="R407" s="2" t="inlineStr"/>
    </row>
    <row r="408" ht="15" customHeight="1">
      <c r="A408" t="inlineStr">
        <is>
          <t>A 40632-2019</t>
        </is>
      </c>
      <c r="B408" s="1" t="n">
        <v>43696</v>
      </c>
      <c r="C408" s="1" t="n">
        <v>45291</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40589-2019</t>
        </is>
      </c>
      <c r="B409" s="1" t="n">
        <v>43696</v>
      </c>
      <c r="C409" s="1" t="n">
        <v>45291</v>
      </c>
      <c r="D409" t="inlineStr">
        <is>
          <t>VÄRMLANDS LÄN</t>
        </is>
      </c>
      <c r="E409" t="inlineStr">
        <is>
          <t>TORSBY</t>
        </is>
      </c>
      <c r="G409" t="n">
        <v>2</v>
      </c>
      <c r="H409" t="n">
        <v>0</v>
      </c>
      <c r="I409" t="n">
        <v>0</v>
      </c>
      <c r="J409" t="n">
        <v>0</v>
      </c>
      <c r="K409" t="n">
        <v>0</v>
      </c>
      <c r="L409" t="n">
        <v>0</v>
      </c>
      <c r="M409" t="n">
        <v>0</v>
      </c>
      <c r="N409" t="n">
        <v>0</v>
      </c>
      <c r="O409" t="n">
        <v>0</v>
      </c>
      <c r="P409" t="n">
        <v>0</v>
      </c>
      <c r="Q409" t="n">
        <v>0</v>
      </c>
      <c r="R409" s="2" t="inlineStr"/>
    </row>
    <row r="410" ht="15" customHeight="1">
      <c r="A410" t="inlineStr">
        <is>
          <t>A 40810-2019</t>
        </is>
      </c>
      <c r="B410" s="1" t="n">
        <v>43697</v>
      </c>
      <c r="C410" s="1" t="n">
        <v>45291</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41698-2019</t>
        </is>
      </c>
      <c r="B411" s="1" t="n">
        <v>43697</v>
      </c>
      <c r="C411" s="1" t="n">
        <v>45291</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42441-2019</t>
        </is>
      </c>
      <c r="B412" s="1" t="n">
        <v>43697</v>
      </c>
      <c r="C412" s="1" t="n">
        <v>45291</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41436-2019</t>
        </is>
      </c>
      <c r="B413" s="1" t="n">
        <v>43698</v>
      </c>
      <c r="C413" s="1" t="n">
        <v>45291</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41435-2019</t>
        </is>
      </c>
      <c r="B414" s="1" t="n">
        <v>43698</v>
      </c>
      <c r="C414" s="1" t="n">
        <v>45291</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41438-2019</t>
        </is>
      </c>
      <c r="B415" s="1" t="n">
        <v>43698</v>
      </c>
      <c r="C415" s="1" t="n">
        <v>45291</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41621-2019</t>
        </is>
      </c>
      <c r="B416" s="1" t="n">
        <v>43699</v>
      </c>
      <c r="C416" s="1" t="n">
        <v>45291</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42230-2019</t>
        </is>
      </c>
      <c r="B417" s="1" t="n">
        <v>43703</v>
      </c>
      <c r="C417" s="1" t="n">
        <v>45291</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43273-2019</t>
        </is>
      </c>
      <c r="B418" s="1" t="n">
        <v>43704</v>
      </c>
      <c r="C418" s="1" t="n">
        <v>45291</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43897-2019</t>
        </is>
      </c>
      <c r="B419" s="1" t="n">
        <v>43707</v>
      </c>
      <c r="C419" s="1" t="n">
        <v>45291</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44832-2019</t>
        </is>
      </c>
      <c r="B420" s="1" t="n">
        <v>43707</v>
      </c>
      <c r="C420" s="1" t="n">
        <v>45291</v>
      </c>
      <c r="D420" t="inlineStr">
        <is>
          <t>VÄRMLANDS LÄN</t>
        </is>
      </c>
      <c r="E420" t="inlineStr">
        <is>
          <t>TORSBY</t>
        </is>
      </c>
      <c r="G420" t="n">
        <v>27.1</v>
      </c>
      <c r="H420" t="n">
        <v>0</v>
      </c>
      <c r="I420" t="n">
        <v>0</v>
      </c>
      <c r="J420" t="n">
        <v>0</v>
      </c>
      <c r="K420" t="n">
        <v>0</v>
      </c>
      <c r="L420" t="n">
        <v>0</v>
      </c>
      <c r="M420" t="n">
        <v>0</v>
      </c>
      <c r="N420" t="n">
        <v>0</v>
      </c>
      <c r="O420" t="n">
        <v>0</v>
      </c>
      <c r="P420" t="n">
        <v>0</v>
      </c>
      <c r="Q420" t="n">
        <v>0</v>
      </c>
      <c r="R420" s="2" t="inlineStr"/>
    </row>
    <row r="421" ht="15" customHeight="1">
      <c r="A421" t="inlineStr">
        <is>
          <t>A 44708-2019</t>
        </is>
      </c>
      <c r="B421" s="1" t="n">
        <v>43712</v>
      </c>
      <c r="C421" s="1" t="n">
        <v>45291</v>
      </c>
      <c r="D421" t="inlineStr">
        <is>
          <t>VÄRMLANDS LÄN</t>
        </is>
      </c>
      <c r="E421" t="inlineStr">
        <is>
          <t>TORSBY</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44706-2019</t>
        </is>
      </c>
      <c r="B422" s="1" t="n">
        <v>43712</v>
      </c>
      <c r="C422" s="1" t="n">
        <v>45291</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45053-2019</t>
        </is>
      </c>
      <c r="B423" s="1" t="n">
        <v>43713</v>
      </c>
      <c r="C423" s="1" t="n">
        <v>45291</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45083-2019</t>
        </is>
      </c>
      <c r="B424" s="1" t="n">
        <v>43713</v>
      </c>
      <c r="C424" s="1" t="n">
        <v>45291</v>
      </c>
      <c r="D424" t="inlineStr">
        <is>
          <t>VÄRMLANDS LÄN</t>
        </is>
      </c>
      <c r="E424" t="inlineStr">
        <is>
          <t>TORSBY</t>
        </is>
      </c>
      <c r="F424" t="inlineStr">
        <is>
          <t>Bergvik skog väst AB</t>
        </is>
      </c>
      <c r="G424" t="n">
        <v>37.8</v>
      </c>
      <c r="H424" t="n">
        <v>0</v>
      </c>
      <c r="I424" t="n">
        <v>0</v>
      </c>
      <c r="J424" t="n">
        <v>0</v>
      </c>
      <c r="K424" t="n">
        <v>0</v>
      </c>
      <c r="L424" t="n">
        <v>0</v>
      </c>
      <c r="M424" t="n">
        <v>0</v>
      </c>
      <c r="N424" t="n">
        <v>0</v>
      </c>
      <c r="O424" t="n">
        <v>0</v>
      </c>
      <c r="P424" t="n">
        <v>0</v>
      </c>
      <c r="Q424" t="n">
        <v>0</v>
      </c>
      <c r="R424" s="2" t="inlineStr"/>
    </row>
    <row r="425" ht="15" customHeight="1">
      <c r="A425" t="inlineStr">
        <is>
          <t>A 45189-2019</t>
        </is>
      </c>
      <c r="B425" s="1" t="n">
        <v>43713</v>
      </c>
      <c r="C425" s="1" t="n">
        <v>45291</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45068-2019</t>
        </is>
      </c>
      <c r="B426" s="1" t="n">
        <v>43713</v>
      </c>
      <c r="C426" s="1" t="n">
        <v>45291</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45891-2019</t>
        </is>
      </c>
      <c r="B427" s="1" t="n">
        <v>43717</v>
      </c>
      <c r="C427" s="1" t="n">
        <v>45291</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46738-2019</t>
        </is>
      </c>
      <c r="B428" s="1" t="n">
        <v>43719</v>
      </c>
      <c r="C428" s="1" t="n">
        <v>45291</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46743-2019</t>
        </is>
      </c>
      <c r="B429" s="1" t="n">
        <v>43719</v>
      </c>
      <c r="C429" s="1" t="n">
        <v>45291</v>
      </c>
      <c r="D429" t="inlineStr">
        <is>
          <t>VÄRMLANDS LÄN</t>
        </is>
      </c>
      <c r="E429" t="inlineStr">
        <is>
          <t>TORSBY</t>
        </is>
      </c>
      <c r="G429" t="n">
        <v>7</v>
      </c>
      <c r="H429" t="n">
        <v>0</v>
      </c>
      <c r="I429" t="n">
        <v>0</v>
      </c>
      <c r="J429" t="n">
        <v>0</v>
      </c>
      <c r="K429" t="n">
        <v>0</v>
      </c>
      <c r="L429" t="n">
        <v>0</v>
      </c>
      <c r="M429" t="n">
        <v>0</v>
      </c>
      <c r="N429" t="n">
        <v>0</v>
      </c>
      <c r="O429" t="n">
        <v>0</v>
      </c>
      <c r="P429" t="n">
        <v>0</v>
      </c>
      <c r="Q429" t="n">
        <v>0</v>
      </c>
      <c r="R429" s="2" t="inlineStr"/>
    </row>
    <row r="430" ht="15" customHeight="1">
      <c r="A430" t="inlineStr">
        <is>
          <t>A 47114-2019</t>
        </is>
      </c>
      <c r="B430" s="1" t="n">
        <v>43720</v>
      </c>
      <c r="C430" s="1" t="n">
        <v>45291</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47214-2019</t>
        </is>
      </c>
      <c r="B431" s="1" t="n">
        <v>43721</v>
      </c>
      <c r="C431" s="1" t="n">
        <v>45291</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47137-2019</t>
        </is>
      </c>
      <c r="B432" s="1" t="n">
        <v>43721</v>
      </c>
      <c r="C432" s="1" t="n">
        <v>45291</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47316-2019</t>
        </is>
      </c>
      <c r="B433" s="1" t="n">
        <v>43721</v>
      </c>
      <c r="C433" s="1" t="n">
        <v>45291</v>
      </c>
      <c r="D433" t="inlineStr">
        <is>
          <t>VÄRMLANDS LÄN</t>
        </is>
      </c>
      <c r="E433" t="inlineStr">
        <is>
          <t>TORSBY</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47608-2019</t>
        </is>
      </c>
      <c r="B434" s="1" t="n">
        <v>43724</v>
      </c>
      <c r="C434" s="1" t="n">
        <v>45291</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47772-2019</t>
        </is>
      </c>
      <c r="B435" s="1" t="n">
        <v>43724</v>
      </c>
      <c r="C435" s="1" t="n">
        <v>45291</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47648-2019</t>
        </is>
      </c>
      <c r="B436" s="1" t="n">
        <v>43724</v>
      </c>
      <c r="C436" s="1" t="n">
        <v>45291</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47502-2019</t>
        </is>
      </c>
      <c r="B437" s="1" t="n">
        <v>43724</v>
      </c>
      <c r="C437" s="1" t="n">
        <v>45291</v>
      </c>
      <c r="D437" t="inlineStr">
        <is>
          <t>VÄRMLANDS LÄN</t>
        </is>
      </c>
      <c r="E437" t="inlineStr">
        <is>
          <t>TORSBY</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47869-2019</t>
        </is>
      </c>
      <c r="B438" s="1" t="n">
        <v>43725</v>
      </c>
      <c r="C438" s="1" t="n">
        <v>45291</v>
      </c>
      <c r="D438" t="inlineStr">
        <is>
          <t>VÄRMLANDS LÄN</t>
        </is>
      </c>
      <c r="E438" t="inlineStr">
        <is>
          <t>TORSBY</t>
        </is>
      </c>
      <c r="G438" t="n">
        <v>4.7</v>
      </c>
      <c r="H438" t="n">
        <v>0</v>
      </c>
      <c r="I438" t="n">
        <v>0</v>
      </c>
      <c r="J438" t="n">
        <v>0</v>
      </c>
      <c r="K438" t="n">
        <v>0</v>
      </c>
      <c r="L438" t="n">
        <v>0</v>
      </c>
      <c r="M438" t="n">
        <v>0</v>
      </c>
      <c r="N438" t="n">
        <v>0</v>
      </c>
      <c r="O438" t="n">
        <v>0</v>
      </c>
      <c r="P438" t="n">
        <v>0</v>
      </c>
      <c r="Q438" t="n">
        <v>0</v>
      </c>
      <c r="R438" s="2" t="inlineStr"/>
    </row>
    <row r="439" ht="15" customHeight="1">
      <c r="A439" t="inlineStr">
        <is>
          <t>A 47979-2019</t>
        </is>
      </c>
      <c r="B439" s="1" t="n">
        <v>43725</v>
      </c>
      <c r="C439" s="1" t="n">
        <v>45291</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48040-2019</t>
        </is>
      </c>
      <c r="B440" s="1" t="n">
        <v>43725</v>
      </c>
      <c r="C440" s="1" t="n">
        <v>45291</v>
      </c>
      <c r="D440" t="inlineStr">
        <is>
          <t>VÄRMLANDS LÄN</t>
        </is>
      </c>
      <c r="E440" t="inlineStr">
        <is>
          <t>TORSBY</t>
        </is>
      </c>
      <c r="G440" t="n">
        <v>2.7</v>
      </c>
      <c r="H440" t="n">
        <v>0</v>
      </c>
      <c r="I440" t="n">
        <v>0</v>
      </c>
      <c r="J440" t="n">
        <v>0</v>
      </c>
      <c r="K440" t="n">
        <v>0</v>
      </c>
      <c r="L440" t="n">
        <v>0</v>
      </c>
      <c r="M440" t="n">
        <v>0</v>
      </c>
      <c r="N440" t="n">
        <v>0</v>
      </c>
      <c r="O440" t="n">
        <v>0</v>
      </c>
      <c r="P440" t="n">
        <v>0</v>
      </c>
      <c r="Q440" t="n">
        <v>0</v>
      </c>
      <c r="R440" s="2" t="inlineStr"/>
    </row>
    <row r="441" ht="15" customHeight="1">
      <c r="A441" t="inlineStr">
        <is>
          <t>A 48346-2019</t>
        </is>
      </c>
      <c r="B441" s="1" t="n">
        <v>43726</v>
      </c>
      <c r="C441" s="1" t="n">
        <v>45291</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48366-2019</t>
        </is>
      </c>
      <c r="B442" s="1" t="n">
        <v>43726</v>
      </c>
      <c r="C442" s="1" t="n">
        <v>45291</v>
      </c>
      <c r="D442" t="inlineStr">
        <is>
          <t>VÄRMLANDS LÄN</t>
        </is>
      </c>
      <c r="E442" t="inlineStr">
        <is>
          <t>TORSBY</t>
        </is>
      </c>
      <c r="G442" t="n">
        <v>2.3</v>
      </c>
      <c r="H442" t="n">
        <v>0</v>
      </c>
      <c r="I442" t="n">
        <v>0</v>
      </c>
      <c r="J442" t="n">
        <v>0</v>
      </c>
      <c r="K442" t="n">
        <v>0</v>
      </c>
      <c r="L442" t="n">
        <v>0</v>
      </c>
      <c r="M442" t="n">
        <v>0</v>
      </c>
      <c r="N442" t="n">
        <v>0</v>
      </c>
      <c r="O442" t="n">
        <v>0</v>
      </c>
      <c r="P442" t="n">
        <v>0</v>
      </c>
      <c r="Q442" t="n">
        <v>0</v>
      </c>
      <c r="R442" s="2" t="inlineStr"/>
    </row>
    <row r="443" ht="15" customHeight="1">
      <c r="A443" t="inlineStr">
        <is>
          <t>A 49550-2019</t>
        </is>
      </c>
      <c r="B443" s="1" t="n">
        <v>43727</v>
      </c>
      <c r="C443" s="1" t="n">
        <v>45291</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51497-2019</t>
        </is>
      </c>
      <c r="B444" s="1" t="n">
        <v>43734</v>
      </c>
      <c r="C444" s="1" t="n">
        <v>45291</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50428-2019</t>
        </is>
      </c>
      <c r="B445" s="1" t="n">
        <v>43735</v>
      </c>
      <c r="C445" s="1" t="n">
        <v>45291</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52319-2019</t>
        </is>
      </c>
      <c r="B446" s="1" t="n">
        <v>43735</v>
      </c>
      <c r="C446" s="1" t="n">
        <v>45291</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52326-2019</t>
        </is>
      </c>
      <c r="B447" s="1" t="n">
        <v>43735</v>
      </c>
      <c r="C447" s="1" t="n">
        <v>45291</v>
      </c>
      <c r="D447" t="inlineStr">
        <is>
          <t>VÄRMLANDS LÄN</t>
        </is>
      </c>
      <c r="E447" t="inlineStr">
        <is>
          <t>TORSBY</t>
        </is>
      </c>
      <c r="G447" t="n">
        <v>6.2</v>
      </c>
      <c r="H447" t="n">
        <v>0</v>
      </c>
      <c r="I447" t="n">
        <v>0</v>
      </c>
      <c r="J447" t="n">
        <v>0</v>
      </c>
      <c r="K447" t="n">
        <v>0</v>
      </c>
      <c r="L447" t="n">
        <v>0</v>
      </c>
      <c r="M447" t="n">
        <v>0</v>
      </c>
      <c r="N447" t="n">
        <v>0</v>
      </c>
      <c r="O447" t="n">
        <v>0</v>
      </c>
      <c r="P447" t="n">
        <v>0</v>
      </c>
      <c r="Q447" t="n">
        <v>0</v>
      </c>
      <c r="R447" s="2" t="inlineStr"/>
    </row>
    <row r="448" ht="15" customHeight="1">
      <c r="A448" t="inlineStr">
        <is>
          <t>A 52317-2019</t>
        </is>
      </c>
      <c r="B448" s="1" t="n">
        <v>43735</v>
      </c>
      <c r="C448" s="1" t="n">
        <v>45291</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51254-2019</t>
        </is>
      </c>
      <c r="B449" s="1" t="n">
        <v>43739</v>
      </c>
      <c r="C449" s="1" t="n">
        <v>45291</v>
      </c>
      <c r="D449" t="inlineStr">
        <is>
          <t>VÄRMLANDS LÄN</t>
        </is>
      </c>
      <c r="E449" t="inlineStr">
        <is>
          <t>TORSBY</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52186-2019</t>
        </is>
      </c>
      <c r="B450" s="1" t="n">
        <v>43742</v>
      </c>
      <c r="C450" s="1" t="n">
        <v>45291</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52311-2019</t>
        </is>
      </c>
      <c r="B451" s="1" t="n">
        <v>43745</v>
      </c>
      <c r="C451" s="1" t="n">
        <v>45291</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52674-2019</t>
        </is>
      </c>
      <c r="B452" s="1" t="n">
        <v>43746</v>
      </c>
      <c r="C452" s="1" t="n">
        <v>45291</v>
      </c>
      <c r="D452" t="inlineStr">
        <is>
          <t>VÄRMLANDS LÄN</t>
        </is>
      </c>
      <c r="E452" t="inlineStr">
        <is>
          <t>TORSBY</t>
        </is>
      </c>
      <c r="F452" t="inlineStr">
        <is>
          <t>Bergvik skog väst AB</t>
        </is>
      </c>
      <c r="G452" t="n">
        <v>26.4</v>
      </c>
      <c r="H452" t="n">
        <v>0</v>
      </c>
      <c r="I452" t="n">
        <v>0</v>
      </c>
      <c r="J452" t="n">
        <v>0</v>
      </c>
      <c r="K452" t="n">
        <v>0</v>
      </c>
      <c r="L452" t="n">
        <v>0</v>
      </c>
      <c r="M452" t="n">
        <v>0</v>
      </c>
      <c r="N452" t="n">
        <v>0</v>
      </c>
      <c r="O452" t="n">
        <v>0</v>
      </c>
      <c r="P452" t="n">
        <v>0</v>
      </c>
      <c r="Q452" t="n">
        <v>0</v>
      </c>
      <c r="R452" s="2" t="inlineStr"/>
    </row>
    <row r="453" ht="15" customHeight="1">
      <c r="A453" t="inlineStr">
        <is>
          <t>A 52885-2019</t>
        </is>
      </c>
      <c r="B453" s="1" t="n">
        <v>43746</v>
      </c>
      <c r="C453" s="1" t="n">
        <v>45291</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53271-2019</t>
        </is>
      </c>
      <c r="B454" s="1" t="n">
        <v>43748</v>
      </c>
      <c r="C454" s="1" t="n">
        <v>45291</v>
      </c>
      <c r="D454" t="inlineStr">
        <is>
          <t>VÄRMLANDS LÄN</t>
        </is>
      </c>
      <c r="E454" t="inlineStr">
        <is>
          <t>TORSBY</t>
        </is>
      </c>
      <c r="G454" t="n">
        <v>2</v>
      </c>
      <c r="H454" t="n">
        <v>0</v>
      </c>
      <c r="I454" t="n">
        <v>0</v>
      </c>
      <c r="J454" t="n">
        <v>0</v>
      </c>
      <c r="K454" t="n">
        <v>0</v>
      </c>
      <c r="L454" t="n">
        <v>0</v>
      </c>
      <c r="M454" t="n">
        <v>0</v>
      </c>
      <c r="N454" t="n">
        <v>0</v>
      </c>
      <c r="O454" t="n">
        <v>0</v>
      </c>
      <c r="P454" t="n">
        <v>0</v>
      </c>
      <c r="Q454" t="n">
        <v>0</v>
      </c>
      <c r="R454" s="2" t="inlineStr"/>
    </row>
    <row r="455" ht="15" customHeight="1">
      <c r="A455" t="inlineStr">
        <is>
          <t>A 54764-2019</t>
        </is>
      </c>
      <c r="B455" s="1" t="n">
        <v>43748</v>
      </c>
      <c r="C455" s="1" t="n">
        <v>45291</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53635-2019</t>
        </is>
      </c>
      <c r="B456" s="1" t="n">
        <v>43749</v>
      </c>
      <c r="C456" s="1" t="n">
        <v>45291</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53746-2019</t>
        </is>
      </c>
      <c r="B457" s="1" t="n">
        <v>43749</v>
      </c>
      <c r="C457" s="1" t="n">
        <v>45291</v>
      </c>
      <c r="D457" t="inlineStr">
        <is>
          <t>VÄRMLANDS LÄN</t>
        </is>
      </c>
      <c r="E457" t="inlineStr">
        <is>
          <t>TORSBY</t>
        </is>
      </c>
      <c r="G457" t="n">
        <v>0.3</v>
      </c>
      <c r="H457" t="n">
        <v>0</v>
      </c>
      <c r="I457" t="n">
        <v>0</v>
      </c>
      <c r="J457" t="n">
        <v>0</v>
      </c>
      <c r="K457" t="n">
        <v>0</v>
      </c>
      <c r="L457" t="n">
        <v>0</v>
      </c>
      <c r="M457" t="n">
        <v>0</v>
      </c>
      <c r="N457" t="n">
        <v>0</v>
      </c>
      <c r="O457" t="n">
        <v>0</v>
      </c>
      <c r="P457" t="n">
        <v>0</v>
      </c>
      <c r="Q457" t="n">
        <v>0</v>
      </c>
      <c r="R457" s="2" t="inlineStr"/>
    </row>
    <row r="458" ht="15" customHeight="1">
      <c r="A458" t="inlineStr">
        <is>
          <t>A 53744-2019</t>
        </is>
      </c>
      <c r="B458" s="1" t="n">
        <v>43749</v>
      </c>
      <c r="C458" s="1" t="n">
        <v>45291</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54437-2019</t>
        </is>
      </c>
      <c r="B459" s="1" t="n">
        <v>43754</v>
      </c>
      <c r="C459" s="1" t="n">
        <v>45291</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56256-2019</t>
        </is>
      </c>
      <c r="B460" s="1" t="n">
        <v>43756</v>
      </c>
      <c r="C460" s="1" t="n">
        <v>45291</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55988-2019</t>
        </is>
      </c>
      <c r="B461" s="1" t="n">
        <v>43759</v>
      </c>
      <c r="C461" s="1" t="n">
        <v>45291</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56704-2019</t>
        </is>
      </c>
      <c r="B462" s="1" t="n">
        <v>43759</v>
      </c>
      <c r="C462" s="1" t="n">
        <v>45291</v>
      </c>
      <c r="D462" t="inlineStr">
        <is>
          <t>VÄRMLANDS LÄN</t>
        </is>
      </c>
      <c r="E462" t="inlineStr">
        <is>
          <t>TORSBY</t>
        </is>
      </c>
      <c r="G462" t="n">
        <v>2.6</v>
      </c>
      <c r="H462" t="n">
        <v>0</v>
      </c>
      <c r="I462" t="n">
        <v>0</v>
      </c>
      <c r="J462" t="n">
        <v>0</v>
      </c>
      <c r="K462" t="n">
        <v>0</v>
      </c>
      <c r="L462" t="n">
        <v>0</v>
      </c>
      <c r="M462" t="n">
        <v>0</v>
      </c>
      <c r="N462" t="n">
        <v>0</v>
      </c>
      <c r="O462" t="n">
        <v>0</v>
      </c>
      <c r="P462" t="n">
        <v>0</v>
      </c>
      <c r="Q462" t="n">
        <v>0</v>
      </c>
      <c r="R462" s="2" t="inlineStr"/>
    </row>
    <row r="463" ht="15" customHeight="1">
      <c r="A463" t="inlineStr">
        <is>
          <t>A 55927-2019</t>
        </is>
      </c>
      <c r="B463" s="1" t="n">
        <v>43761</v>
      </c>
      <c r="C463" s="1" t="n">
        <v>45291</v>
      </c>
      <c r="D463" t="inlineStr">
        <is>
          <t>VÄRMLANDS LÄN</t>
        </is>
      </c>
      <c r="E463" t="inlineStr">
        <is>
          <t>TORSBY</t>
        </is>
      </c>
      <c r="G463" t="n">
        <v>2.8</v>
      </c>
      <c r="H463" t="n">
        <v>0</v>
      </c>
      <c r="I463" t="n">
        <v>0</v>
      </c>
      <c r="J463" t="n">
        <v>0</v>
      </c>
      <c r="K463" t="n">
        <v>0</v>
      </c>
      <c r="L463" t="n">
        <v>0</v>
      </c>
      <c r="M463" t="n">
        <v>0</v>
      </c>
      <c r="N463" t="n">
        <v>0</v>
      </c>
      <c r="O463" t="n">
        <v>0</v>
      </c>
      <c r="P463" t="n">
        <v>0</v>
      </c>
      <c r="Q463" t="n">
        <v>0</v>
      </c>
      <c r="R463" s="2" t="inlineStr"/>
    </row>
    <row r="464" ht="15" customHeight="1">
      <c r="A464" t="inlineStr">
        <is>
          <t>A 56021-2019</t>
        </is>
      </c>
      <c r="B464" s="1" t="n">
        <v>43761</v>
      </c>
      <c r="C464" s="1" t="n">
        <v>45291</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56305-2019</t>
        </is>
      </c>
      <c r="B465" s="1" t="n">
        <v>43762</v>
      </c>
      <c r="C465" s="1" t="n">
        <v>45291</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56594-2019</t>
        </is>
      </c>
      <c r="B466" s="1" t="n">
        <v>43763</v>
      </c>
      <c r="C466" s="1" t="n">
        <v>45291</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56633-2019</t>
        </is>
      </c>
      <c r="B467" s="1" t="n">
        <v>43763</v>
      </c>
      <c r="C467" s="1" t="n">
        <v>45291</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56824-2019</t>
        </is>
      </c>
      <c r="B468" s="1" t="n">
        <v>43764</v>
      </c>
      <c r="C468" s="1" t="n">
        <v>45291</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56935-2019</t>
        </is>
      </c>
      <c r="B469" s="1" t="n">
        <v>43766</v>
      </c>
      <c r="C469" s="1" t="n">
        <v>45291</v>
      </c>
      <c r="D469" t="inlineStr">
        <is>
          <t>VÄRMLANDS LÄN</t>
        </is>
      </c>
      <c r="E469" t="inlineStr">
        <is>
          <t>TORSBY</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57399-2019</t>
        </is>
      </c>
      <c r="B470" s="1" t="n">
        <v>43767</v>
      </c>
      <c r="C470" s="1" t="n">
        <v>45291</v>
      </c>
      <c r="D470" t="inlineStr">
        <is>
          <t>VÄRMLANDS LÄN</t>
        </is>
      </c>
      <c r="E470" t="inlineStr">
        <is>
          <t>TORSBY</t>
        </is>
      </c>
      <c r="F470" t="inlineStr">
        <is>
          <t>Bergvik skog väst AB</t>
        </is>
      </c>
      <c r="G470" t="n">
        <v>18.9</v>
      </c>
      <c r="H470" t="n">
        <v>0</v>
      </c>
      <c r="I470" t="n">
        <v>0</v>
      </c>
      <c r="J470" t="n">
        <v>0</v>
      </c>
      <c r="K470" t="n">
        <v>0</v>
      </c>
      <c r="L470" t="n">
        <v>0</v>
      </c>
      <c r="M470" t="n">
        <v>0</v>
      </c>
      <c r="N470" t="n">
        <v>0</v>
      </c>
      <c r="O470" t="n">
        <v>0</v>
      </c>
      <c r="P470" t="n">
        <v>0</v>
      </c>
      <c r="Q470" t="n">
        <v>0</v>
      </c>
      <c r="R470" s="2" t="inlineStr"/>
    </row>
    <row r="471" ht="15" customHeight="1">
      <c r="A471" t="inlineStr">
        <is>
          <t>A 57251-2019</t>
        </is>
      </c>
      <c r="B471" s="1" t="n">
        <v>43767</v>
      </c>
      <c r="C471" s="1" t="n">
        <v>45291</v>
      </c>
      <c r="D471" t="inlineStr">
        <is>
          <t>VÄRMLANDS LÄN</t>
        </is>
      </c>
      <c r="E471" t="inlineStr">
        <is>
          <t>TORSBY</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57301-2019</t>
        </is>
      </c>
      <c r="B472" s="1" t="n">
        <v>43767</v>
      </c>
      <c r="C472" s="1" t="n">
        <v>45291</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57268-2019</t>
        </is>
      </c>
      <c r="B473" s="1" t="n">
        <v>43767</v>
      </c>
      <c r="C473" s="1" t="n">
        <v>45291</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58530-2019</t>
        </is>
      </c>
      <c r="B474" s="1" t="n">
        <v>43767</v>
      </c>
      <c r="C474" s="1" t="n">
        <v>45291</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57223-2019</t>
        </is>
      </c>
      <c r="B475" s="1" t="n">
        <v>43767</v>
      </c>
      <c r="C475" s="1" t="n">
        <v>45291</v>
      </c>
      <c r="D475" t="inlineStr">
        <is>
          <t>VÄRMLANDS LÄN</t>
        </is>
      </c>
      <c r="E475" t="inlineStr">
        <is>
          <t>TORSBY</t>
        </is>
      </c>
      <c r="F475" t="inlineStr">
        <is>
          <t>Bergvik skog väst AB</t>
        </is>
      </c>
      <c r="G475" t="n">
        <v>2.4</v>
      </c>
      <c r="H475" t="n">
        <v>0</v>
      </c>
      <c r="I475" t="n">
        <v>0</v>
      </c>
      <c r="J475" t="n">
        <v>0</v>
      </c>
      <c r="K475" t="n">
        <v>0</v>
      </c>
      <c r="L475" t="n">
        <v>0</v>
      </c>
      <c r="M475" t="n">
        <v>0</v>
      </c>
      <c r="N475" t="n">
        <v>0</v>
      </c>
      <c r="O475" t="n">
        <v>0</v>
      </c>
      <c r="P475" t="n">
        <v>0</v>
      </c>
      <c r="Q475" t="n">
        <v>0</v>
      </c>
      <c r="R475" s="2" t="inlineStr"/>
    </row>
    <row r="476" ht="15" customHeight="1">
      <c r="A476" t="inlineStr">
        <is>
          <t>A 57566-2019</t>
        </is>
      </c>
      <c r="B476" s="1" t="n">
        <v>43768</v>
      </c>
      <c r="C476" s="1" t="n">
        <v>45291</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57704-2019</t>
        </is>
      </c>
      <c r="B477" s="1" t="n">
        <v>43768</v>
      </c>
      <c r="C477" s="1" t="n">
        <v>45291</v>
      </c>
      <c r="D477" t="inlineStr">
        <is>
          <t>VÄRMLANDS LÄN</t>
        </is>
      </c>
      <c r="E477" t="inlineStr">
        <is>
          <t>TORSBY</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57565-2019</t>
        </is>
      </c>
      <c r="B478" s="1" t="n">
        <v>43768</v>
      </c>
      <c r="C478" s="1" t="n">
        <v>45291</v>
      </c>
      <c r="D478" t="inlineStr">
        <is>
          <t>VÄRMLANDS LÄN</t>
        </is>
      </c>
      <c r="E478" t="inlineStr">
        <is>
          <t>TORSBY</t>
        </is>
      </c>
      <c r="G478" t="n">
        <v>2</v>
      </c>
      <c r="H478" t="n">
        <v>0</v>
      </c>
      <c r="I478" t="n">
        <v>0</v>
      </c>
      <c r="J478" t="n">
        <v>0</v>
      </c>
      <c r="K478" t="n">
        <v>0</v>
      </c>
      <c r="L478" t="n">
        <v>0</v>
      </c>
      <c r="M478" t="n">
        <v>0</v>
      </c>
      <c r="N478" t="n">
        <v>0</v>
      </c>
      <c r="O478" t="n">
        <v>0</v>
      </c>
      <c r="P478" t="n">
        <v>0</v>
      </c>
      <c r="Q478" t="n">
        <v>0</v>
      </c>
      <c r="R478" s="2" t="inlineStr"/>
    </row>
    <row r="479" ht="15" customHeight="1">
      <c r="A479" t="inlineStr">
        <is>
          <t>A 58004-2019</t>
        </is>
      </c>
      <c r="B479" s="1" t="n">
        <v>43769</v>
      </c>
      <c r="C479" s="1" t="n">
        <v>45291</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58678-2019</t>
        </is>
      </c>
      <c r="B480" s="1" t="n">
        <v>43773</v>
      </c>
      <c r="C480" s="1" t="n">
        <v>45291</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59127-2019</t>
        </is>
      </c>
      <c r="B481" s="1" t="n">
        <v>43775</v>
      </c>
      <c r="C481" s="1" t="n">
        <v>45291</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59593-2019</t>
        </is>
      </c>
      <c r="B482" s="1" t="n">
        <v>43776</v>
      </c>
      <c r="C482" s="1" t="n">
        <v>45291</v>
      </c>
      <c r="D482" t="inlineStr">
        <is>
          <t>VÄRMLANDS LÄN</t>
        </is>
      </c>
      <c r="E482" t="inlineStr">
        <is>
          <t>TORSBY</t>
        </is>
      </c>
      <c r="F482" t="inlineStr">
        <is>
          <t>Bergvik skog väst AB</t>
        </is>
      </c>
      <c r="G482" t="n">
        <v>6.8</v>
      </c>
      <c r="H482" t="n">
        <v>0</v>
      </c>
      <c r="I482" t="n">
        <v>0</v>
      </c>
      <c r="J482" t="n">
        <v>0</v>
      </c>
      <c r="K482" t="n">
        <v>0</v>
      </c>
      <c r="L482" t="n">
        <v>0</v>
      </c>
      <c r="M482" t="n">
        <v>0</v>
      </c>
      <c r="N482" t="n">
        <v>0</v>
      </c>
      <c r="O482" t="n">
        <v>0</v>
      </c>
      <c r="P482" t="n">
        <v>0</v>
      </c>
      <c r="Q482" t="n">
        <v>0</v>
      </c>
      <c r="R482" s="2" t="inlineStr"/>
    </row>
    <row r="483" ht="15" customHeight="1">
      <c r="A483" t="inlineStr">
        <is>
          <t>A 60545-2019</t>
        </is>
      </c>
      <c r="B483" s="1" t="n">
        <v>43781</v>
      </c>
      <c r="C483" s="1" t="n">
        <v>45291</v>
      </c>
      <c r="D483" t="inlineStr">
        <is>
          <t>VÄRMLANDS LÄN</t>
        </is>
      </c>
      <c r="E483" t="inlineStr">
        <is>
          <t>TORSBY</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61074-2019</t>
        </is>
      </c>
      <c r="B484" s="1" t="n">
        <v>43782</v>
      </c>
      <c r="C484" s="1" t="n">
        <v>45291</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62050-2019</t>
        </is>
      </c>
      <c r="B485" s="1" t="n">
        <v>43787</v>
      </c>
      <c r="C485" s="1" t="n">
        <v>45291</v>
      </c>
      <c r="D485" t="inlineStr">
        <is>
          <t>VÄRMLANDS LÄN</t>
        </is>
      </c>
      <c r="E485" t="inlineStr">
        <is>
          <t>TORSBY</t>
        </is>
      </c>
      <c r="F485" t="inlineStr">
        <is>
          <t>Bergvik skog väst AB</t>
        </is>
      </c>
      <c r="G485" t="n">
        <v>4.3</v>
      </c>
      <c r="H485" t="n">
        <v>0</v>
      </c>
      <c r="I485" t="n">
        <v>0</v>
      </c>
      <c r="J485" t="n">
        <v>0</v>
      </c>
      <c r="K485" t="n">
        <v>0</v>
      </c>
      <c r="L485" t="n">
        <v>0</v>
      </c>
      <c r="M485" t="n">
        <v>0</v>
      </c>
      <c r="N485" t="n">
        <v>0</v>
      </c>
      <c r="O485" t="n">
        <v>0</v>
      </c>
      <c r="P485" t="n">
        <v>0</v>
      </c>
      <c r="Q485" t="n">
        <v>0</v>
      </c>
      <c r="R485" s="2" t="inlineStr"/>
    </row>
    <row r="486" ht="15" customHeight="1">
      <c r="A486" t="inlineStr">
        <is>
          <t>A 61958-2019</t>
        </is>
      </c>
      <c r="B486" s="1" t="n">
        <v>43787</v>
      </c>
      <c r="C486" s="1" t="n">
        <v>45291</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62255-2019</t>
        </is>
      </c>
      <c r="B487" s="1" t="n">
        <v>43788</v>
      </c>
      <c r="C487" s="1" t="n">
        <v>45291</v>
      </c>
      <c r="D487" t="inlineStr">
        <is>
          <t>VÄRMLANDS LÄN</t>
        </is>
      </c>
      <c r="E487" t="inlineStr">
        <is>
          <t>TORSBY</t>
        </is>
      </c>
      <c r="F487" t="inlineStr">
        <is>
          <t>Bergvik skog väst AB</t>
        </is>
      </c>
      <c r="G487" t="n">
        <v>1</v>
      </c>
      <c r="H487" t="n">
        <v>0</v>
      </c>
      <c r="I487" t="n">
        <v>0</v>
      </c>
      <c r="J487" t="n">
        <v>0</v>
      </c>
      <c r="K487" t="n">
        <v>0</v>
      </c>
      <c r="L487" t="n">
        <v>0</v>
      </c>
      <c r="M487" t="n">
        <v>0</v>
      </c>
      <c r="N487" t="n">
        <v>0</v>
      </c>
      <c r="O487" t="n">
        <v>0</v>
      </c>
      <c r="P487" t="n">
        <v>0</v>
      </c>
      <c r="Q487" t="n">
        <v>0</v>
      </c>
      <c r="R487" s="2" t="inlineStr"/>
    </row>
    <row r="488" ht="15" customHeight="1">
      <c r="A488" t="inlineStr">
        <is>
          <t>A 62286-2019</t>
        </is>
      </c>
      <c r="B488" s="1" t="n">
        <v>43788</v>
      </c>
      <c r="C488" s="1" t="n">
        <v>45291</v>
      </c>
      <c r="D488" t="inlineStr">
        <is>
          <t>VÄRMLANDS LÄN</t>
        </is>
      </c>
      <c r="E488" t="inlineStr">
        <is>
          <t>TORSBY</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63743-2019</t>
        </is>
      </c>
      <c r="B489" s="1" t="n">
        <v>43795</v>
      </c>
      <c r="C489" s="1" t="n">
        <v>45291</v>
      </c>
      <c r="D489" t="inlineStr">
        <is>
          <t>VÄRMLANDS LÄN</t>
        </is>
      </c>
      <c r="E489" t="inlineStr">
        <is>
          <t>TORSBY</t>
        </is>
      </c>
      <c r="F489" t="inlineStr">
        <is>
          <t>Bergvik skog väst AB</t>
        </is>
      </c>
      <c r="G489" t="n">
        <v>6.3</v>
      </c>
      <c r="H489" t="n">
        <v>0</v>
      </c>
      <c r="I489" t="n">
        <v>0</v>
      </c>
      <c r="J489" t="n">
        <v>0</v>
      </c>
      <c r="K489" t="n">
        <v>0</v>
      </c>
      <c r="L489" t="n">
        <v>0</v>
      </c>
      <c r="M489" t="n">
        <v>0</v>
      </c>
      <c r="N489" t="n">
        <v>0</v>
      </c>
      <c r="O489" t="n">
        <v>0</v>
      </c>
      <c r="P489" t="n">
        <v>0</v>
      </c>
      <c r="Q489" t="n">
        <v>0</v>
      </c>
      <c r="R489" s="2" t="inlineStr"/>
    </row>
    <row r="490" ht="15" customHeight="1">
      <c r="A490" t="inlineStr">
        <is>
          <t>A 64114-2019</t>
        </is>
      </c>
      <c r="B490" s="1" t="n">
        <v>43796</v>
      </c>
      <c r="C490" s="1" t="n">
        <v>45291</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64444-2019</t>
        </is>
      </c>
      <c r="B491" s="1" t="n">
        <v>43797</v>
      </c>
      <c r="C491" s="1" t="n">
        <v>45291</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65187-2019</t>
        </is>
      </c>
      <c r="B492" s="1" t="n">
        <v>43797</v>
      </c>
      <c r="C492" s="1" t="n">
        <v>45291</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65243-2019</t>
        </is>
      </c>
      <c r="B493" s="1" t="n">
        <v>43797</v>
      </c>
      <c r="C493" s="1" t="n">
        <v>45291</v>
      </c>
      <c r="D493" t="inlineStr">
        <is>
          <t>VÄRMLANDS LÄN</t>
        </is>
      </c>
      <c r="E493" t="inlineStr">
        <is>
          <t>TORSBY</t>
        </is>
      </c>
      <c r="F493" t="inlineStr">
        <is>
          <t>Övriga statliga verk och myndigheter</t>
        </is>
      </c>
      <c r="G493" t="n">
        <v>20.3</v>
      </c>
      <c r="H493" t="n">
        <v>0</v>
      </c>
      <c r="I493" t="n">
        <v>0</v>
      </c>
      <c r="J493" t="n">
        <v>0</v>
      </c>
      <c r="K493" t="n">
        <v>0</v>
      </c>
      <c r="L493" t="n">
        <v>0</v>
      </c>
      <c r="M493" t="n">
        <v>0</v>
      </c>
      <c r="N493" t="n">
        <v>0</v>
      </c>
      <c r="O493" t="n">
        <v>0</v>
      </c>
      <c r="P493" t="n">
        <v>0</v>
      </c>
      <c r="Q493" t="n">
        <v>0</v>
      </c>
      <c r="R493" s="2" t="inlineStr"/>
    </row>
    <row r="494" ht="15" customHeight="1">
      <c r="A494" t="inlineStr">
        <is>
          <t>A 64803-2019</t>
        </is>
      </c>
      <c r="B494" s="1" t="n">
        <v>43801</v>
      </c>
      <c r="C494" s="1" t="n">
        <v>45291</v>
      </c>
      <c r="D494" t="inlineStr">
        <is>
          <t>VÄRMLANDS LÄN</t>
        </is>
      </c>
      <c r="E494" t="inlineStr">
        <is>
          <t>TORSBY</t>
        </is>
      </c>
      <c r="G494" t="n">
        <v>0.5</v>
      </c>
      <c r="H494" t="n">
        <v>0</v>
      </c>
      <c r="I494" t="n">
        <v>0</v>
      </c>
      <c r="J494" t="n">
        <v>0</v>
      </c>
      <c r="K494" t="n">
        <v>0</v>
      </c>
      <c r="L494" t="n">
        <v>0</v>
      </c>
      <c r="M494" t="n">
        <v>0</v>
      </c>
      <c r="N494" t="n">
        <v>0</v>
      </c>
      <c r="O494" t="n">
        <v>0</v>
      </c>
      <c r="P494" t="n">
        <v>0</v>
      </c>
      <c r="Q494" t="n">
        <v>0</v>
      </c>
      <c r="R494" s="2" t="inlineStr"/>
    </row>
    <row r="495" ht="15" customHeight="1">
      <c r="A495" t="inlineStr">
        <is>
          <t>A 65132-2019</t>
        </is>
      </c>
      <c r="B495" s="1" t="n">
        <v>43802</v>
      </c>
      <c r="C495" s="1" t="n">
        <v>45291</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65076-2019</t>
        </is>
      </c>
      <c r="B496" s="1" t="n">
        <v>43802</v>
      </c>
      <c r="C496" s="1" t="n">
        <v>45291</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65465-2019</t>
        </is>
      </c>
      <c r="B497" s="1" t="n">
        <v>43803</v>
      </c>
      <c r="C497" s="1" t="n">
        <v>45291</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65914-2019</t>
        </is>
      </c>
      <c r="B498" s="1" t="n">
        <v>43805</v>
      </c>
      <c r="C498" s="1" t="n">
        <v>45291</v>
      </c>
      <c r="D498" t="inlineStr">
        <is>
          <t>VÄRMLANDS LÄN</t>
        </is>
      </c>
      <c r="E498" t="inlineStr">
        <is>
          <t>TORSBY</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67527-2019</t>
        </is>
      </c>
      <c r="B499" s="1" t="n">
        <v>43808</v>
      </c>
      <c r="C499" s="1" t="n">
        <v>45291</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66690-2019</t>
        </is>
      </c>
      <c r="B500" s="1" t="n">
        <v>43809</v>
      </c>
      <c r="C500" s="1" t="n">
        <v>45291</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66689-2019</t>
        </is>
      </c>
      <c r="B501" s="1" t="n">
        <v>43809</v>
      </c>
      <c r="C501" s="1" t="n">
        <v>45291</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67686-2019</t>
        </is>
      </c>
      <c r="B502" s="1" t="n">
        <v>43809</v>
      </c>
      <c r="C502" s="1" t="n">
        <v>45291</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66688-2019</t>
        </is>
      </c>
      <c r="B503" s="1" t="n">
        <v>43809</v>
      </c>
      <c r="C503" s="1" t="n">
        <v>45291</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67690-2019</t>
        </is>
      </c>
      <c r="B504" s="1" t="n">
        <v>43809</v>
      </c>
      <c r="C504" s="1" t="n">
        <v>45291</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67671-2019</t>
        </is>
      </c>
      <c r="B505" s="1" t="n">
        <v>43810</v>
      </c>
      <c r="C505" s="1" t="n">
        <v>45291</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67728-2019</t>
        </is>
      </c>
      <c r="B506" s="1" t="n">
        <v>43815</v>
      </c>
      <c r="C506" s="1" t="n">
        <v>45291</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68354-2019</t>
        </is>
      </c>
      <c r="B507" s="1" t="n">
        <v>43818</v>
      </c>
      <c r="C507" s="1" t="n">
        <v>45291</v>
      </c>
      <c r="D507" t="inlineStr">
        <is>
          <t>VÄRMLANDS LÄN</t>
        </is>
      </c>
      <c r="E507" t="inlineStr">
        <is>
          <t>TORSBY</t>
        </is>
      </c>
      <c r="G507" t="n">
        <v>61.1</v>
      </c>
      <c r="H507" t="n">
        <v>0</v>
      </c>
      <c r="I507" t="n">
        <v>0</v>
      </c>
      <c r="J507" t="n">
        <v>0</v>
      </c>
      <c r="K507" t="n">
        <v>0</v>
      </c>
      <c r="L507" t="n">
        <v>0</v>
      </c>
      <c r="M507" t="n">
        <v>0</v>
      </c>
      <c r="N507" t="n">
        <v>0</v>
      </c>
      <c r="O507" t="n">
        <v>0</v>
      </c>
      <c r="P507" t="n">
        <v>0</v>
      </c>
      <c r="Q507" t="n">
        <v>0</v>
      </c>
      <c r="R507" s="2" t="inlineStr"/>
    </row>
    <row r="508" ht="15" customHeight="1">
      <c r="A508" t="inlineStr">
        <is>
          <t>A 68360-2019</t>
        </is>
      </c>
      <c r="B508" s="1" t="n">
        <v>43818</v>
      </c>
      <c r="C508" s="1" t="n">
        <v>45291</v>
      </c>
      <c r="D508" t="inlineStr">
        <is>
          <t>VÄRMLANDS LÄN</t>
        </is>
      </c>
      <c r="E508" t="inlineStr">
        <is>
          <t>TORSBY</t>
        </is>
      </c>
      <c r="G508" t="n">
        <v>9</v>
      </c>
      <c r="H508" t="n">
        <v>0</v>
      </c>
      <c r="I508" t="n">
        <v>0</v>
      </c>
      <c r="J508" t="n">
        <v>0</v>
      </c>
      <c r="K508" t="n">
        <v>0</v>
      </c>
      <c r="L508" t="n">
        <v>0</v>
      </c>
      <c r="M508" t="n">
        <v>0</v>
      </c>
      <c r="N508" t="n">
        <v>0</v>
      </c>
      <c r="O508" t="n">
        <v>0</v>
      </c>
      <c r="P508" t="n">
        <v>0</v>
      </c>
      <c r="Q508" t="n">
        <v>0</v>
      </c>
      <c r="R508" s="2" t="inlineStr"/>
    </row>
    <row r="509" ht="15" customHeight="1">
      <c r="A509" t="inlineStr">
        <is>
          <t>A 68553-2019</t>
        </is>
      </c>
      <c r="B509" s="1" t="n">
        <v>43818</v>
      </c>
      <c r="C509" s="1" t="n">
        <v>45291</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140-2020</t>
        </is>
      </c>
      <c r="B510" s="1" t="n">
        <v>43833</v>
      </c>
      <c r="C510" s="1" t="n">
        <v>45291</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338-2020</t>
        </is>
      </c>
      <c r="B511" s="1" t="n">
        <v>43837</v>
      </c>
      <c r="C511" s="1" t="n">
        <v>45291</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388-2020</t>
        </is>
      </c>
      <c r="B512" s="1" t="n">
        <v>43837</v>
      </c>
      <c r="C512" s="1" t="n">
        <v>45291</v>
      </c>
      <c r="D512" t="inlineStr">
        <is>
          <t>VÄRMLANDS LÄN</t>
        </is>
      </c>
      <c r="E512" t="inlineStr">
        <is>
          <t>TORSBY</t>
        </is>
      </c>
      <c r="G512" t="n">
        <v>0.8</v>
      </c>
      <c r="H512" t="n">
        <v>0</v>
      </c>
      <c r="I512" t="n">
        <v>0</v>
      </c>
      <c r="J512" t="n">
        <v>0</v>
      </c>
      <c r="K512" t="n">
        <v>0</v>
      </c>
      <c r="L512" t="n">
        <v>0</v>
      </c>
      <c r="M512" t="n">
        <v>0</v>
      </c>
      <c r="N512" t="n">
        <v>0</v>
      </c>
      <c r="O512" t="n">
        <v>0</v>
      </c>
      <c r="P512" t="n">
        <v>0</v>
      </c>
      <c r="Q512" t="n">
        <v>0</v>
      </c>
      <c r="R512" s="2" t="inlineStr"/>
    </row>
    <row r="513" ht="15" customHeight="1">
      <c r="A513" t="inlineStr">
        <is>
          <t>A 3263-2020</t>
        </is>
      </c>
      <c r="B513" s="1" t="n">
        <v>43844</v>
      </c>
      <c r="C513" s="1" t="n">
        <v>45291</v>
      </c>
      <c r="D513" t="inlineStr">
        <is>
          <t>VÄRMLANDS LÄN</t>
        </is>
      </c>
      <c r="E513" t="inlineStr">
        <is>
          <t>TORSBY</t>
        </is>
      </c>
      <c r="G513" t="n">
        <v>14.7</v>
      </c>
      <c r="H513" t="n">
        <v>0</v>
      </c>
      <c r="I513" t="n">
        <v>0</v>
      </c>
      <c r="J513" t="n">
        <v>0</v>
      </c>
      <c r="K513" t="n">
        <v>0</v>
      </c>
      <c r="L513" t="n">
        <v>0</v>
      </c>
      <c r="M513" t="n">
        <v>0</v>
      </c>
      <c r="N513" t="n">
        <v>0</v>
      </c>
      <c r="O513" t="n">
        <v>0</v>
      </c>
      <c r="P513" t="n">
        <v>0</v>
      </c>
      <c r="Q513" t="n">
        <v>0</v>
      </c>
      <c r="R513" s="2" t="inlineStr"/>
    </row>
    <row r="514" ht="15" customHeight="1">
      <c r="A514" t="inlineStr">
        <is>
          <t>A 3172-2020</t>
        </is>
      </c>
      <c r="B514" s="1" t="n">
        <v>43844</v>
      </c>
      <c r="C514" s="1" t="n">
        <v>45291</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2082-2020</t>
        </is>
      </c>
      <c r="B515" s="1" t="n">
        <v>43845</v>
      </c>
      <c r="C515" s="1" t="n">
        <v>45291</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1875-2020</t>
        </is>
      </c>
      <c r="B516" s="1" t="n">
        <v>43845</v>
      </c>
      <c r="C516" s="1" t="n">
        <v>45291</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2068-2020</t>
        </is>
      </c>
      <c r="B517" s="1" t="n">
        <v>43845</v>
      </c>
      <c r="C517" s="1" t="n">
        <v>45291</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4017-2020</t>
        </is>
      </c>
      <c r="B518" s="1" t="n">
        <v>43846</v>
      </c>
      <c r="C518" s="1" t="n">
        <v>45291</v>
      </c>
      <c r="D518" t="inlineStr">
        <is>
          <t>VÄRMLANDS LÄN</t>
        </is>
      </c>
      <c r="E518" t="inlineStr">
        <is>
          <t>TORSBY</t>
        </is>
      </c>
      <c r="G518" t="n">
        <v>2.7</v>
      </c>
      <c r="H518" t="n">
        <v>0</v>
      </c>
      <c r="I518" t="n">
        <v>0</v>
      </c>
      <c r="J518" t="n">
        <v>0</v>
      </c>
      <c r="K518" t="n">
        <v>0</v>
      </c>
      <c r="L518" t="n">
        <v>0</v>
      </c>
      <c r="M518" t="n">
        <v>0</v>
      </c>
      <c r="N518" t="n">
        <v>0</v>
      </c>
      <c r="O518" t="n">
        <v>0</v>
      </c>
      <c r="P518" t="n">
        <v>0</v>
      </c>
      <c r="Q518" t="n">
        <v>0</v>
      </c>
      <c r="R518" s="2" t="inlineStr"/>
    </row>
    <row r="519" ht="15" customHeight="1">
      <c r="A519" t="inlineStr">
        <is>
          <t>A 4753-2020</t>
        </is>
      </c>
      <c r="B519" s="1" t="n">
        <v>43859</v>
      </c>
      <c r="C519" s="1" t="n">
        <v>45291</v>
      </c>
      <c r="D519" t="inlineStr">
        <is>
          <t>VÄRMLANDS LÄN</t>
        </is>
      </c>
      <c r="E519" t="inlineStr">
        <is>
          <t>TORSBY</t>
        </is>
      </c>
      <c r="G519" t="n">
        <v>4.5</v>
      </c>
      <c r="H519" t="n">
        <v>0</v>
      </c>
      <c r="I519" t="n">
        <v>0</v>
      </c>
      <c r="J519" t="n">
        <v>0</v>
      </c>
      <c r="K519" t="n">
        <v>0</v>
      </c>
      <c r="L519" t="n">
        <v>0</v>
      </c>
      <c r="M519" t="n">
        <v>0</v>
      </c>
      <c r="N519" t="n">
        <v>0</v>
      </c>
      <c r="O519" t="n">
        <v>0</v>
      </c>
      <c r="P519" t="n">
        <v>0</v>
      </c>
      <c r="Q519" t="n">
        <v>0</v>
      </c>
      <c r="R519" s="2" t="inlineStr"/>
    </row>
    <row r="520" ht="15" customHeight="1">
      <c r="A520" t="inlineStr">
        <is>
          <t>A 5180-2020</t>
        </is>
      </c>
      <c r="B520" s="1" t="n">
        <v>43860</v>
      </c>
      <c r="C520" s="1" t="n">
        <v>45291</v>
      </c>
      <c r="D520" t="inlineStr">
        <is>
          <t>VÄRMLANDS LÄN</t>
        </is>
      </c>
      <c r="E520" t="inlineStr">
        <is>
          <t>TORSBY</t>
        </is>
      </c>
      <c r="G520" t="n">
        <v>2.3</v>
      </c>
      <c r="H520" t="n">
        <v>0</v>
      </c>
      <c r="I520" t="n">
        <v>0</v>
      </c>
      <c r="J520" t="n">
        <v>0</v>
      </c>
      <c r="K520" t="n">
        <v>0</v>
      </c>
      <c r="L520" t="n">
        <v>0</v>
      </c>
      <c r="M520" t="n">
        <v>0</v>
      </c>
      <c r="N520" t="n">
        <v>0</v>
      </c>
      <c r="O520" t="n">
        <v>0</v>
      </c>
      <c r="P520" t="n">
        <v>0</v>
      </c>
      <c r="Q520" t="n">
        <v>0</v>
      </c>
      <c r="R520" s="2" t="inlineStr"/>
    </row>
    <row r="521" ht="15" customHeight="1">
      <c r="A521" t="inlineStr">
        <is>
          <t>A 5426-2020</t>
        </is>
      </c>
      <c r="B521" s="1" t="n">
        <v>43861</v>
      </c>
      <c r="C521" s="1" t="n">
        <v>45291</v>
      </c>
      <c r="D521" t="inlineStr">
        <is>
          <t>VÄRMLANDS LÄN</t>
        </is>
      </c>
      <c r="E521" t="inlineStr">
        <is>
          <t>TORSBY</t>
        </is>
      </c>
      <c r="G521" t="n">
        <v>7.2</v>
      </c>
      <c r="H521" t="n">
        <v>0</v>
      </c>
      <c r="I521" t="n">
        <v>0</v>
      </c>
      <c r="J521" t="n">
        <v>0</v>
      </c>
      <c r="K521" t="n">
        <v>0</v>
      </c>
      <c r="L521" t="n">
        <v>0</v>
      </c>
      <c r="M521" t="n">
        <v>0</v>
      </c>
      <c r="N521" t="n">
        <v>0</v>
      </c>
      <c r="O521" t="n">
        <v>0</v>
      </c>
      <c r="P521" t="n">
        <v>0</v>
      </c>
      <c r="Q521" t="n">
        <v>0</v>
      </c>
      <c r="R521" s="2" t="inlineStr"/>
    </row>
    <row r="522" ht="15" customHeight="1">
      <c r="A522" t="inlineStr">
        <is>
          <t>A 5425-2020</t>
        </is>
      </c>
      <c r="B522" s="1" t="n">
        <v>43861</v>
      </c>
      <c r="C522" s="1" t="n">
        <v>45291</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5427-2020</t>
        </is>
      </c>
      <c r="B523" s="1" t="n">
        <v>43861</v>
      </c>
      <c r="C523" s="1" t="n">
        <v>45291</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7000-2020</t>
        </is>
      </c>
      <c r="B524" s="1" t="n">
        <v>43868</v>
      </c>
      <c r="C524" s="1" t="n">
        <v>45291</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6862-2020</t>
        </is>
      </c>
      <c r="B525" s="1" t="n">
        <v>43868</v>
      </c>
      <c r="C525" s="1" t="n">
        <v>45291</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7153-2020</t>
        </is>
      </c>
      <c r="B526" s="1" t="n">
        <v>43870</v>
      </c>
      <c r="C526" s="1" t="n">
        <v>45291</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7279-2020</t>
        </is>
      </c>
      <c r="B527" s="1" t="n">
        <v>43871</v>
      </c>
      <c r="C527" s="1" t="n">
        <v>45291</v>
      </c>
      <c r="D527" t="inlineStr">
        <is>
          <t>VÄRMLANDS LÄN</t>
        </is>
      </c>
      <c r="E527" t="inlineStr">
        <is>
          <t>TORSBY</t>
        </is>
      </c>
      <c r="G527" t="n">
        <v>6.7</v>
      </c>
      <c r="H527" t="n">
        <v>0</v>
      </c>
      <c r="I527" t="n">
        <v>0</v>
      </c>
      <c r="J527" t="n">
        <v>0</v>
      </c>
      <c r="K527" t="n">
        <v>0</v>
      </c>
      <c r="L527" t="n">
        <v>0</v>
      </c>
      <c r="M527" t="n">
        <v>0</v>
      </c>
      <c r="N527" t="n">
        <v>0</v>
      </c>
      <c r="O527" t="n">
        <v>0</v>
      </c>
      <c r="P527" t="n">
        <v>0</v>
      </c>
      <c r="Q527" t="n">
        <v>0</v>
      </c>
      <c r="R527" s="2" t="inlineStr"/>
    </row>
    <row r="528" ht="15" customHeight="1">
      <c r="A528" t="inlineStr">
        <is>
          <t>A 7526-2020</t>
        </is>
      </c>
      <c r="B528" s="1" t="n">
        <v>43871</v>
      </c>
      <c r="C528" s="1" t="n">
        <v>45291</v>
      </c>
      <c r="D528" t="inlineStr">
        <is>
          <t>VÄRMLANDS LÄN</t>
        </is>
      </c>
      <c r="E528" t="inlineStr">
        <is>
          <t>TORSBY</t>
        </is>
      </c>
      <c r="G528" t="n">
        <v>11.8</v>
      </c>
      <c r="H528" t="n">
        <v>0</v>
      </c>
      <c r="I528" t="n">
        <v>0</v>
      </c>
      <c r="J528" t="n">
        <v>0</v>
      </c>
      <c r="K528" t="n">
        <v>0</v>
      </c>
      <c r="L528" t="n">
        <v>0</v>
      </c>
      <c r="M528" t="n">
        <v>0</v>
      </c>
      <c r="N528" t="n">
        <v>0</v>
      </c>
      <c r="O528" t="n">
        <v>0</v>
      </c>
      <c r="P528" t="n">
        <v>0</v>
      </c>
      <c r="Q528" t="n">
        <v>0</v>
      </c>
      <c r="R528" s="2" t="inlineStr"/>
    </row>
    <row r="529" ht="15" customHeight="1">
      <c r="A529" t="inlineStr">
        <is>
          <t>A 7582-2020</t>
        </is>
      </c>
      <c r="B529" s="1" t="n">
        <v>43871</v>
      </c>
      <c r="C529" s="1" t="n">
        <v>45291</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7749-2020</t>
        </is>
      </c>
      <c r="B530" s="1" t="n">
        <v>43872</v>
      </c>
      <c r="C530" s="1" t="n">
        <v>45291</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7856-2020</t>
        </is>
      </c>
      <c r="B531" s="1" t="n">
        <v>43873</v>
      </c>
      <c r="C531" s="1" t="n">
        <v>45291</v>
      </c>
      <c r="D531" t="inlineStr">
        <is>
          <t>VÄRMLANDS LÄN</t>
        </is>
      </c>
      <c r="E531" t="inlineStr">
        <is>
          <t>TORSBY</t>
        </is>
      </c>
      <c r="G531" t="n">
        <v>4.5</v>
      </c>
      <c r="H531" t="n">
        <v>0</v>
      </c>
      <c r="I531" t="n">
        <v>0</v>
      </c>
      <c r="J531" t="n">
        <v>0</v>
      </c>
      <c r="K531" t="n">
        <v>0</v>
      </c>
      <c r="L531" t="n">
        <v>0</v>
      </c>
      <c r="M531" t="n">
        <v>0</v>
      </c>
      <c r="N531" t="n">
        <v>0</v>
      </c>
      <c r="O531" t="n">
        <v>0</v>
      </c>
      <c r="P531" t="n">
        <v>0</v>
      </c>
      <c r="Q531" t="n">
        <v>0</v>
      </c>
      <c r="R531" s="2" t="inlineStr"/>
    </row>
    <row r="532" ht="15" customHeight="1">
      <c r="A532" t="inlineStr">
        <is>
          <t>A 8631-2020</t>
        </is>
      </c>
      <c r="B532" s="1" t="n">
        <v>43874</v>
      </c>
      <c r="C532" s="1" t="n">
        <v>45291</v>
      </c>
      <c r="D532" t="inlineStr">
        <is>
          <t>VÄRMLANDS LÄN</t>
        </is>
      </c>
      <c r="E532" t="inlineStr">
        <is>
          <t>TORSBY</t>
        </is>
      </c>
      <c r="G532" t="n">
        <v>3.3</v>
      </c>
      <c r="H532" t="n">
        <v>0</v>
      </c>
      <c r="I532" t="n">
        <v>0</v>
      </c>
      <c r="J532" t="n">
        <v>0</v>
      </c>
      <c r="K532" t="n">
        <v>0</v>
      </c>
      <c r="L532" t="n">
        <v>0</v>
      </c>
      <c r="M532" t="n">
        <v>0</v>
      </c>
      <c r="N532" t="n">
        <v>0</v>
      </c>
      <c r="O532" t="n">
        <v>0</v>
      </c>
      <c r="P532" t="n">
        <v>0</v>
      </c>
      <c r="Q532" t="n">
        <v>0</v>
      </c>
      <c r="R532" s="2" t="inlineStr"/>
    </row>
    <row r="533" ht="15" customHeight="1">
      <c r="A533" t="inlineStr">
        <is>
          <t>A 8899-2020</t>
        </is>
      </c>
      <c r="B533" s="1" t="n">
        <v>43878</v>
      </c>
      <c r="C533" s="1" t="n">
        <v>45291</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9192-2020</t>
        </is>
      </c>
      <c r="B534" s="1" t="n">
        <v>43879</v>
      </c>
      <c r="C534" s="1" t="n">
        <v>45291</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9766-2020</t>
        </is>
      </c>
      <c r="B535" s="1" t="n">
        <v>43879</v>
      </c>
      <c r="C535" s="1" t="n">
        <v>45291</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9760-2020</t>
        </is>
      </c>
      <c r="B536" s="1" t="n">
        <v>43879</v>
      </c>
      <c r="C536" s="1" t="n">
        <v>45291</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9600-2020</t>
        </is>
      </c>
      <c r="B537" s="1" t="n">
        <v>43881</v>
      </c>
      <c r="C537" s="1" t="n">
        <v>45291</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10899-2020</t>
        </is>
      </c>
      <c r="B538" s="1" t="n">
        <v>43885</v>
      </c>
      <c r="C538" s="1" t="n">
        <v>45291</v>
      </c>
      <c r="D538" t="inlineStr">
        <is>
          <t>VÄRMLANDS LÄN</t>
        </is>
      </c>
      <c r="E538" t="inlineStr">
        <is>
          <t>TORSBY</t>
        </is>
      </c>
      <c r="G538" t="n">
        <v>7.4</v>
      </c>
      <c r="H538" t="n">
        <v>0</v>
      </c>
      <c r="I538" t="n">
        <v>0</v>
      </c>
      <c r="J538" t="n">
        <v>0</v>
      </c>
      <c r="K538" t="n">
        <v>0</v>
      </c>
      <c r="L538" t="n">
        <v>0</v>
      </c>
      <c r="M538" t="n">
        <v>0</v>
      </c>
      <c r="N538" t="n">
        <v>0</v>
      </c>
      <c r="O538" t="n">
        <v>0</v>
      </c>
      <c r="P538" t="n">
        <v>0</v>
      </c>
      <c r="Q538" t="n">
        <v>0</v>
      </c>
      <c r="R538" s="2" t="inlineStr"/>
    </row>
    <row r="539" ht="15" customHeight="1">
      <c r="A539" t="inlineStr">
        <is>
          <t>A 10422-2020</t>
        </is>
      </c>
      <c r="B539" s="1" t="n">
        <v>43886</v>
      </c>
      <c r="C539" s="1" t="n">
        <v>45291</v>
      </c>
      <c r="D539" t="inlineStr">
        <is>
          <t>VÄRMLANDS LÄN</t>
        </is>
      </c>
      <c r="E539" t="inlineStr">
        <is>
          <t>TORSBY</t>
        </is>
      </c>
      <c r="G539" t="n">
        <v>3.4</v>
      </c>
      <c r="H539" t="n">
        <v>0</v>
      </c>
      <c r="I539" t="n">
        <v>0</v>
      </c>
      <c r="J539" t="n">
        <v>0</v>
      </c>
      <c r="K539" t="n">
        <v>0</v>
      </c>
      <c r="L539" t="n">
        <v>0</v>
      </c>
      <c r="M539" t="n">
        <v>0</v>
      </c>
      <c r="N539" t="n">
        <v>0</v>
      </c>
      <c r="O539" t="n">
        <v>0</v>
      </c>
      <c r="P539" t="n">
        <v>0</v>
      </c>
      <c r="Q539" t="n">
        <v>0</v>
      </c>
      <c r="R539" s="2" t="inlineStr"/>
    </row>
    <row r="540" ht="15" customHeight="1">
      <c r="A540" t="inlineStr">
        <is>
          <t>A 10449-2020</t>
        </is>
      </c>
      <c r="B540" s="1" t="n">
        <v>43886</v>
      </c>
      <c r="C540" s="1" t="n">
        <v>45291</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11213-2020</t>
        </is>
      </c>
      <c r="B541" s="1" t="n">
        <v>43892</v>
      </c>
      <c r="C541" s="1" t="n">
        <v>45291</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12428-2020</t>
        </is>
      </c>
      <c r="B542" s="1" t="n">
        <v>43896</v>
      </c>
      <c r="C542" s="1" t="n">
        <v>45291</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12855-2020</t>
        </is>
      </c>
      <c r="B543" s="1" t="n">
        <v>43899</v>
      </c>
      <c r="C543" s="1" t="n">
        <v>45291</v>
      </c>
      <c r="D543" t="inlineStr">
        <is>
          <t>VÄRMLANDS LÄN</t>
        </is>
      </c>
      <c r="E543" t="inlineStr">
        <is>
          <t>TORSBY</t>
        </is>
      </c>
      <c r="G543" t="n">
        <v>5.9</v>
      </c>
      <c r="H543" t="n">
        <v>0</v>
      </c>
      <c r="I543" t="n">
        <v>0</v>
      </c>
      <c r="J543" t="n">
        <v>0</v>
      </c>
      <c r="K543" t="n">
        <v>0</v>
      </c>
      <c r="L543" t="n">
        <v>0</v>
      </c>
      <c r="M543" t="n">
        <v>0</v>
      </c>
      <c r="N543" t="n">
        <v>0</v>
      </c>
      <c r="O543" t="n">
        <v>0</v>
      </c>
      <c r="P543" t="n">
        <v>0</v>
      </c>
      <c r="Q543" t="n">
        <v>0</v>
      </c>
      <c r="R543" s="2" t="inlineStr"/>
    </row>
    <row r="544" ht="15" customHeight="1">
      <c r="A544" t="inlineStr">
        <is>
          <t>A 12881-2020</t>
        </is>
      </c>
      <c r="B544" s="1" t="n">
        <v>43900</v>
      </c>
      <c r="C544" s="1" t="n">
        <v>45291</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14246-2020</t>
        </is>
      </c>
      <c r="B545" s="1" t="n">
        <v>43900</v>
      </c>
      <c r="C545" s="1" t="n">
        <v>45291</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13153-2020</t>
        </is>
      </c>
      <c r="B546" s="1" t="n">
        <v>43901</v>
      </c>
      <c r="C546" s="1" t="n">
        <v>45291</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13250-2020</t>
        </is>
      </c>
      <c r="B547" s="1" t="n">
        <v>43901</v>
      </c>
      <c r="C547" s="1" t="n">
        <v>45291</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14695-2020</t>
        </is>
      </c>
      <c r="B548" s="1" t="n">
        <v>43903</v>
      </c>
      <c r="C548" s="1" t="n">
        <v>45291</v>
      </c>
      <c r="D548" t="inlineStr">
        <is>
          <t>VÄRMLANDS LÄN</t>
        </is>
      </c>
      <c r="E548" t="inlineStr">
        <is>
          <t>TORSBY</t>
        </is>
      </c>
      <c r="G548" t="n">
        <v>8</v>
      </c>
      <c r="H548" t="n">
        <v>0</v>
      </c>
      <c r="I548" t="n">
        <v>0</v>
      </c>
      <c r="J548" t="n">
        <v>0</v>
      </c>
      <c r="K548" t="n">
        <v>0</v>
      </c>
      <c r="L548" t="n">
        <v>0</v>
      </c>
      <c r="M548" t="n">
        <v>0</v>
      </c>
      <c r="N548" t="n">
        <v>0</v>
      </c>
      <c r="O548" t="n">
        <v>0</v>
      </c>
      <c r="P548" t="n">
        <v>0</v>
      </c>
      <c r="Q548" t="n">
        <v>0</v>
      </c>
      <c r="R548" s="2" t="inlineStr"/>
    </row>
    <row r="549" ht="15" customHeight="1">
      <c r="A549" t="inlineStr">
        <is>
          <t>A 14693-2020</t>
        </is>
      </c>
      <c r="B549" s="1" t="n">
        <v>43903</v>
      </c>
      <c r="C549" s="1" t="n">
        <v>45291</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14962-2020</t>
        </is>
      </c>
      <c r="B550" s="1" t="n">
        <v>43907</v>
      </c>
      <c r="C550" s="1" t="n">
        <v>45291</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14968-2020</t>
        </is>
      </c>
      <c r="B551" s="1" t="n">
        <v>43907</v>
      </c>
      <c r="C551" s="1" t="n">
        <v>45291</v>
      </c>
      <c r="D551" t="inlineStr">
        <is>
          <t>VÄRMLANDS LÄN</t>
        </is>
      </c>
      <c r="E551" t="inlineStr">
        <is>
          <t>TORSBY</t>
        </is>
      </c>
      <c r="G551" t="n">
        <v>3.2</v>
      </c>
      <c r="H551" t="n">
        <v>0</v>
      </c>
      <c r="I551" t="n">
        <v>0</v>
      </c>
      <c r="J551" t="n">
        <v>0</v>
      </c>
      <c r="K551" t="n">
        <v>0</v>
      </c>
      <c r="L551" t="n">
        <v>0</v>
      </c>
      <c r="M551" t="n">
        <v>0</v>
      </c>
      <c r="N551" t="n">
        <v>0</v>
      </c>
      <c r="O551" t="n">
        <v>0</v>
      </c>
      <c r="P551" t="n">
        <v>0</v>
      </c>
      <c r="Q551" t="n">
        <v>0</v>
      </c>
      <c r="R551" s="2" t="inlineStr"/>
    </row>
    <row r="552" ht="15" customHeight="1">
      <c r="A552" t="inlineStr">
        <is>
          <t>A 14702-2020</t>
        </is>
      </c>
      <c r="B552" s="1" t="n">
        <v>43909</v>
      </c>
      <c r="C552" s="1" t="n">
        <v>45291</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14694-2020</t>
        </is>
      </c>
      <c r="B553" s="1" t="n">
        <v>43909</v>
      </c>
      <c r="C553" s="1" t="n">
        <v>45291</v>
      </c>
      <c r="D553" t="inlineStr">
        <is>
          <t>VÄRMLANDS LÄN</t>
        </is>
      </c>
      <c r="E553" t="inlineStr">
        <is>
          <t>TORSBY</t>
        </is>
      </c>
      <c r="G553" t="n">
        <v>1.8</v>
      </c>
      <c r="H553" t="n">
        <v>0</v>
      </c>
      <c r="I553" t="n">
        <v>0</v>
      </c>
      <c r="J553" t="n">
        <v>0</v>
      </c>
      <c r="K553" t="n">
        <v>0</v>
      </c>
      <c r="L553" t="n">
        <v>0</v>
      </c>
      <c r="M553" t="n">
        <v>0</v>
      </c>
      <c r="N553" t="n">
        <v>0</v>
      </c>
      <c r="O553" t="n">
        <v>0</v>
      </c>
      <c r="P553" t="n">
        <v>0</v>
      </c>
      <c r="Q553" t="n">
        <v>0</v>
      </c>
      <c r="R553" s="2" t="inlineStr"/>
    </row>
    <row r="554" ht="15" customHeight="1">
      <c r="A554" t="inlineStr">
        <is>
          <t>A 14851-2020</t>
        </is>
      </c>
      <c r="B554" s="1" t="n">
        <v>43909</v>
      </c>
      <c r="C554" s="1" t="n">
        <v>45291</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15161-2020</t>
        </is>
      </c>
      <c r="B555" s="1" t="n">
        <v>43912</v>
      </c>
      <c r="C555" s="1" t="n">
        <v>45291</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15280-2020</t>
        </is>
      </c>
      <c r="B556" s="1" t="n">
        <v>43913</v>
      </c>
      <c r="C556" s="1" t="n">
        <v>45291</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15589-2020</t>
        </is>
      </c>
      <c r="B557" s="1" t="n">
        <v>43914</v>
      </c>
      <c r="C557" s="1" t="n">
        <v>45291</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15701-2020</t>
        </is>
      </c>
      <c r="B558" s="1" t="n">
        <v>43915</v>
      </c>
      <c r="C558" s="1" t="n">
        <v>45291</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15768-2020</t>
        </is>
      </c>
      <c r="B559" s="1" t="n">
        <v>43915</v>
      </c>
      <c r="C559" s="1" t="n">
        <v>45291</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16101-2020</t>
        </is>
      </c>
      <c r="B560" s="1" t="n">
        <v>43916</v>
      </c>
      <c r="C560" s="1" t="n">
        <v>45291</v>
      </c>
      <c r="D560" t="inlineStr">
        <is>
          <t>VÄRMLANDS LÄN</t>
        </is>
      </c>
      <c r="E560" t="inlineStr">
        <is>
          <t>TORSBY</t>
        </is>
      </c>
      <c r="G560" t="n">
        <v>14.6</v>
      </c>
      <c r="H560" t="n">
        <v>0</v>
      </c>
      <c r="I560" t="n">
        <v>0</v>
      </c>
      <c r="J560" t="n">
        <v>0</v>
      </c>
      <c r="K560" t="n">
        <v>0</v>
      </c>
      <c r="L560" t="n">
        <v>0</v>
      </c>
      <c r="M560" t="n">
        <v>0</v>
      </c>
      <c r="N560" t="n">
        <v>0</v>
      </c>
      <c r="O560" t="n">
        <v>0</v>
      </c>
      <c r="P560" t="n">
        <v>0</v>
      </c>
      <c r="Q560" t="n">
        <v>0</v>
      </c>
      <c r="R560" s="2" t="inlineStr"/>
    </row>
    <row r="561" ht="15" customHeight="1">
      <c r="A561" t="inlineStr">
        <is>
          <t>A 16364-2020</t>
        </is>
      </c>
      <c r="B561" s="1" t="n">
        <v>43917</v>
      </c>
      <c r="C561" s="1" t="n">
        <v>45291</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16437-2020</t>
        </is>
      </c>
      <c r="B562" s="1" t="n">
        <v>43919</v>
      </c>
      <c r="C562" s="1" t="n">
        <v>45291</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17021-2020</t>
        </is>
      </c>
      <c r="B563" s="1" t="n">
        <v>43921</v>
      </c>
      <c r="C563" s="1" t="n">
        <v>45291</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16999-2020</t>
        </is>
      </c>
      <c r="B564" s="1" t="n">
        <v>43921</v>
      </c>
      <c r="C564" s="1" t="n">
        <v>45291</v>
      </c>
      <c r="D564" t="inlineStr">
        <is>
          <t>VÄRMLANDS LÄN</t>
        </is>
      </c>
      <c r="E564" t="inlineStr">
        <is>
          <t>TORSBY</t>
        </is>
      </c>
      <c r="G564" t="n">
        <v>6.6</v>
      </c>
      <c r="H564" t="n">
        <v>0</v>
      </c>
      <c r="I564" t="n">
        <v>0</v>
      </c>
      <c r="J564" t="n">
        <v>0</v>
      </c>
      <c r="K564" t="n">
        <v>0</v>
      </c>
      <c r="L564" t="n">
        <v>0</v>
      </c>
      <c r="M564" t="n">
        <v>0</v>
      </c>
      <c r="N564" t="n">
        <v>0</v>
      </c>
      <c r="O564" t="n">
        <v>0</v>
      </c>
      <c r="P564" t="n">
        <v>0</v>
      </c>
      <c r="Q564" t="n">
        <v>0</v>
      </c>
      <c r="R564" s="2" t="inlineStr"/>
    </row>
    <row r="565" ht="15" customHeight="1">
      <c r="A565" t="inlineStr">
        <is>
          <t>A 17009-2020</t>
        </is>
      </c>
      <c r="B565" s="1" t="n">
        <v>43921</v>
      </c>
      <c r="C565" s="1" t="n">
        <v>45291</v>
      </c>
      <c r="D565" t="inlineStr">
        <is>
          <t>VÄRMLANDS LÄN</t>
        </is>
      </c>
      <c r="E565" t="inlineStr">
        <is>
          <t>TORSBY</t>
        </is>
      </c>
      <c r="G565" t="n">
        <v>3.3</v>
      </c>
      <c r="H565" t="n">
        <v>0</v>
      </c>
      <c r="I565" t="n">
        <v>0</v>
      </c>
      <c r="J565" t="n">
        <v>0</v>
      </c>
      <c r="K565" t="n">
        <v>0</v>
      </c>
      <c r="L565" t="n">
        <v>0</v>
      </c>
      <c r="M565" t="n">
        <v>0</v>
      </c>
      <c r="N565" t="n">
        <v>0</v>
      </c>
      <c r="O565" t="n">
        <v>0</v>
      </c>
      <c r="P565" t="n">
        <v>0</v>
      </c>
      <c r="Q565" t="n">
        <v>0</v>
      </c>
      <c r="R565" s="2" t="inlineStr"/>
    </row>
    <row r="566" ht="15" customHeight="1">
      <c r="A566" t="inlineStr">
        <is>
          <t>A 18155-2020</t>
        </is>
      </c>
      <c r="B566" s="1" t="n">
        <v>43927</v>
      </c>
      <c r="C566" s="1" t="n">
        <v>45291</v>
      </c>
      <c r="D566" t="inlineStr">
        <is>
          <t>VÄRMLANDS LÄN</t>
        </is>
      </c>
      <c r="E566" t="inlineStr">
        <is>
          <t>TORSBY</t>
        </is>
      </c>
      <c r="G566" t="n">
        <v>0.8</v>
      </c>
      <c r="H566" t="n">
        <v>0</v>
      </c>
      <c r="I566" t="n">
        <v>0</v>
      </c>
      <c r="J566" t="n">
        <v>0</v>
      </c>
      <c r="K566" t="n">
        <v>0</v>
      </c>
      <c r="L566" t="n">
        <v>0</v>
      </c>
      <c r="M566" t="n">
        <v>0</v>
      </c>
      <c r="N566" t="n">
        <v>0</v>
      </c>
      <c r="O566" t="n">
        <v>0</v>
      </c>
      <c r="P566" t="n">
        <v>0</v>
      </c>
      <c r="Q566" t="n">
        <v>0</v>
      </c>
      <c r="R566" s="2" t="inlineStr"/>
    </row>
    <row r="567" ht="15" customHeight="1">
      <c r="A567" t="inlineStr">
        <is>
          <t>A 18641-2020</t>
        </is>
      </c>
      <c r="B567" s="1" t="n">
        <v>43928</v>
      </c>
      <c r="C567" s="1" t="n">
        <v>45291</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18769-2020</t>
        </is>
      </c>
      <c r="B568" s="1" t="n">
        <v>43930</v>
      </c>
      <c r="C568" s="1" t="n">
        <v>45291</v>
      </c>
      <c r="D568" t="inlineStr">
        <is>
          <t>VÄRMLANDS LÄN</t>
        </is>
      </c>
      <c r="E568" t="inlineStr">
        <is>
          <t>TORSBY</t>
        </is>
      </c>
      <c r="G568" t="n">
        <v>5.2</v>
      </c>
      <c r="H568" t="n">
        <v>0</v>
      </c>
      <c r="I568" t="n">
        <v>0</v>
      </c>
      <c r="J568" t="n">
        <v>0</v>
      </c>
      <c r="K568" t="n">
        <v>0</v>
      </c>
      <c r="L568" t="n">
        <v>0</v>
      </c>
      <c r="M568" t="n">
        <v>0</v>
      </c>
      <c r="N568" t="n">
        <v>0</v>
      </c>
      <c r="O568" t="n">
        <v>0</v>
      </c>
      <c r="P568" t="n">
        <v>0</v>
      </c>
      <c r="Q568" t="n">
        <v>0</v>
      </c>
      <c r="R568" s="2" t="inlineStr"/>
    </row>
    <row r="569" ht="15" customHeight="1">
      <c r="A569" t="inlineStr">
        <is>
          <t>A 18770-2020</t>
        </is>
      </c>
      <c r="B569" s="1" t="n">
        <v>43930</v>
      </c>
      <c r="C569" s="1" t="n">
        <v>45291</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18972-2020</t>
        </is>
      </c>
      <c r="B570" s="1" t="n">
        <v>43935</v>
      </c>
      <c r="C570" s="1" t="n">
        <v>45291</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19032-2020</t>
        </is>
      </c>
      <c r="B571" s="1" t="n">
        <v>43936</v>
      </c>
      <c r="C571" s="1" t="n">
        <v>45291</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19181-2020</t>
        </is>
      </c>
      <c r="B572" s="1" t="n">
        <v>43937</v>
      </c>
      <c r="C572" s="1" t="n">
        <v>45291</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19384-2020</t>
        </is>
      </c>
      <c r="B573" s="1" t="n">
        <v>43938</v>
      </c>
      <c r="C573" s="1" t="n">
        <v>45291</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19963-2020</t>
        </is>
      </c>
      <c r="B574" s="1" t="n">
        <v>43941</v>
      </c>
      <c r="C574" s="1" t="n">
        <v>45291</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20025-2020</t>
        </is>
      </c>
      <c r="B575" s="1" t="n">
        <v>43943</v>
      </c>
      <c r="C575" s="1" t="n">
        <v>45291</v>
      </c>
      <c r="D575" t="inlineStr">
        <is>
          <t>VÄRMLANDS LÄN</t>
        </is>
      </c>
      <c r="E575" t="inlineStr">
        <is>
          <t>TORSBY</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20280-2020</t>
        </is>
      </c>
      <c r="B576" s="1" t="n">
        <v>43945</v>
      </c>
      <c r="C576" s="1" t="n">
        <v>45291</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20464-2020</t>
        </is>
      </c>
      <c r="B577" s="1" t="n">
        <v>43948</v>
      </c>
      <c r="C577" s="1" t="n">
        <v>45291</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21099-2020</t>
        </is>
      </c>
      <c r="B578" s="1" t="n">
        <v>43951</v>
      </c>
      <c r="C578" s="1" t="n">
        <v>45291</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21335-2020</t>
        </is>
      </c>
      <c r="B579" s="1" t="n">
        <v>43951</v>
      </c>
      <c r="C579" s="1" t="n">
        <v>45291</v>
      </c>
      <c r="D579" t="inlineStr">
        <is>
          <t>VÄRMLANDS LÄN</t>
        </is>
      </c>
      <c r="E579" t="inlineStr">
        <is>
          <t>TORSBY</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21369-2020</t>
        </is>
      </c>
      <c r="B580" s="1" t="n">
        <v>43951</v>
      </c>
      <c r="C580" s="1" t="n">
        <v>45291</v>
      </c>
      <c r="D580" t="inlineStr">
        <is>
          <t>VÄRMLANDS LÄN</t>
        </is>
      </c>
      <c r="E580" t="inlineStr">
        <is>
          <t>TORSBY</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21045-2020</t>
        </is>
      </c>
      <c r="B581" s="1" t="n">
        <v>43951</v>
      </c>
      <c r="C581" s="1" t="n">
        <v>45291</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21347-2020</t>
        </is>
      </c>
      <c r="B582" s="1" t="n">
        <v>43951</v>
      </c>
      <c r="C582" s="1" t="n">
        <v>45291</v>
      </c>
      <c r="D582" t="inlineStr">
        <is>
          <t>VÄRMLANDS LÄN</t>
        </is>
      </c>
      <c r="E582" t="inlineStr">
        <is>
          <t>TORSBY</t>
        </is>
      </c>
      <c r="F582" t="inlineStr">
        <is>
          <t>Övriga Aktiebolag</t>
        </is>
      </c>
      <c r="G582" t="n">
        <v>0.8</v>
      </c>
      <c r="H582" t="n">
        <v>0</v>
      </c>
      <c r="I582" t="n">
        <v>0</v>
      </c>
      <c r="J582" t="n">
        <v>0</v>
      </c>
      <c r="K582" t="n">
        <v>0</v>
      </c>
      <c r="L582" t="n">
        <v>0</v>
      </c>
      <c r="M582" t="n">
        <v>0</v>
      </c>
      <c r="N582" t="n">
        <v>0</v>
      </c>
      <c r="O582" t="n">
        <v>0</v>
      </c>
      <c r="P582" t="n">
        <v>0</v>
      </c>
      <c r="Q582" t="n">
        <v>0</v>
      </c>
      <c r="R582" s="2" t="inlineStr"/>
    </row>
    <row r="583" ht="15" customHeight="1">
      <c r="A583" t="inlineStr">
        <is>
          <t>A 21900-2020</t>
        </is>
      </c>
      <c r="B583" s="1" t="n">
        <v>43955</v>
      </c>
      <c r="C583" s="1" t="n">
        <v>45291</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21672-2020</t>
        </is>
      </c>
      <c r="B584" s="1" t="n">
        <v>43957</v>
      </c>
      <c r="C584" s="1" t="n">
        <v>45291</v>
      </c>
      <c r="D584" t="inlineStr">
        <is>
          <t>VÄRMLANDS LÄN</t>
        </is>
      </c>
      <c r="E584" t="inlineStr">
        <is>
          <t>TORSBY</t>
        </is>
      </c>
      <c r="F584" t="inlineStr">
        <is>
          <t>Bergvik skog väst AB</t>
        </is>
      </c>
      <c r="G584" t="n">
        <v>44.1</v>
      </c>
      <c r="H584" t="n">
        <v>0</v>
      </c>
      <c r="I584" t="n">
        <v>0</v>
      </c>
      <c r="J584" t="n">
        <v>0</v>
      </c>
      <c r="K584" t="n">
        <v>0</v>
      </c>
      <c r="L584" t="n">
        <v>0</v>
      </c>
      <c r="M584" t="n">
        <v>0</v>
      </c>
      <c r="N584" t="n">
        <v>0</v>
      </c>
      <c r="O584" t="n">
        <v>0</v>
      </c>
      <c r="P584" t="n">
        <v>0</v>
      </c>
      <c r="Q584" t="n">
        <v>0</v>
      </c>
      <c r="R584" s="2" t="inlineStr"/>
    </row>
    <row r="585" ht="15" customHeight="1">
      <c r="A585" t="inlineStr">
        <is>
          <t>A 22194-2020</t>
        </is>
      </c>
      <c r="B585" s="1" t="n">
        <v>43962</v>
      </c>
      <c r="C585" s="1" t="n">
        <v>45291</v>
      </c>
      <c r="D585" t="inlineStr">
        <is>
          <t>VÄRMLANDS LÄN</t>
        </is>
      </c>
      <c r="E585" t="inlineStr">
        <is>
          <t>TORSBY</t>
        </is>
      </c>
      <c r="G585" t="n">
        <v>3.2</v>
      </c>
      <c r="H585" t="n">
        <v>0</v>
      </c>
      <c r="I585" t="n">
        <v>0</v>
      </c>
      <c r="J585" t="n">
        <v>0</v>
      </c>
      <c r="K585" t="n">
        <v>0</v>
      </c>
      <c r="L585" t="n">
        <v>0</v>
      </c>
      <c r="M585" t="n">
        <v>0</v>
      </c>
      <c r="N585" t="n">
        <v>0</v>
      </c>
      <c r="O585" t="n">
        <v>0</v>
      </c>
      <c r="P585" t="n">
        <v>0</v>
      </c>
      <c r="Q585" t="n">
        <v>0</v>
      </c>
      <c r="R585" s="2" t="inlineStr"/>
    </row>
    <row r="586" ht="15" customHeight="1">
      <c r="A586" t="inlineStr">
        <is>
          <t>A 22209-2020</t>
        </is>
      </c>
      <c r="B586" s="1" t="n">
        <v>43962</v>
      </c>
      <c r="C586" s="1" t="n">
        <v>45291</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25518-2020</t>
        </is>
      </c>
      <c r="B587" s="1" t="n">
        <v>43983</v>
      </c>
      <c r="C587" s="1" t="n">
        <v>45291</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26915-2020</t>
        </is>
      </c>
      <c r="B588" s="1" t="n">
        <v>43986</v>
      </c>
      <c r="C588" s="1" t="n">
        <v>45291</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26926-2020</t>
        </is>
      </c>
      <c r="B589" s="1" t="n">
        <v>43986</v>
      </c>
      <c r="C589" s="1" t="n">
        <v>45291</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26919-2020</t>
        </is>
      </c>
      <c r="B590" s="1" t="n">
        <v>43986</v>
      </c>
      <c r="C590" s="1" t="n">
        <v>45291</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26666-2020</t>
        </is>
      </c>
      <c r="B591" s="1" t="n">
        <v>43989</v>
      </c>
      <c r="C591" s="1" t="n">
        <v>45291</v>
      </c>
      <c r="D591" t="inlineStr">
        <is>
          <t>VÄRMLANDS LÄN</t>
        </is>
      </c>
      <c r="E591" t="inlineStr">
        <is>
          <t>TORSBY</t>
        </is>
      </c>
      <c r="G591" t="n">
        <v>8.4</v>
      </c>
      <c r="H591" t="n">
        <v>0</v>
      </c>
      <c r="I591" t="n">
        <v>0</v>
      </c>
      <c r="J591" t="n">
        <v>0</v>
      </c>
      <c r="K591" t="n">
        <v>0</v>
      </c>
      <c r="L591" t="n">
        <v>0</v>
      </c>
      <c r="M591" t="n">
        <v>0</v>
      </c>
      <c r="N591" t="n">
        <v>0</v>
      </c>
      <c r="O591" t="n">
        <v>0</v>
      </c>
      <c r="P591" t="n">
        <v>0</v>
      </c>
      <c r="Q591" t="n">
        <v>0</v>
      </c>
      <c r="R591" s="2" t="inlineStr"/>
    </row>
    <row r="592" ht="15" customHeight="1">
      <c r="A592" t="inlineStr">
        <is>
          <t>A 27339-2020</t>
        </is>
      </c>
      <c r="B592" s="1" t="n">
        <v>43990</v>
      </c>
      <c r="C592" s="1" t="n">
        <v>45291</v>
      </c>
      <c r="D592" t="inlineStr">
        <is>
          <t>VÄRMLANDS LÄN</t>
        </is>
      </c>
      <c r="E592" t="inlineStr">
        <is>
          <t>TORSBY</t>
        </is>
      </c>
      <c r="G592" t="n">
        <v>4.2</v>
      </c>
      <c r="H592" t="n">
        <v>0</v>
      </c>
      <c r="I592" t="n">
        <v>0</v>
      </c>
      <c r="J592" t="n">
        <v>0</v>
      </c>
      <c r="K592" t="n">
        <v>0</v>
      </c>
      <c r="L592" t="n">
        <v>0</v>
      </c>
      <c r="M592" t="n">
        <v>0</v>
      </c>
      <c r="N592" t="n">
        <v>0</v>
      </c>
      <c r="O592" t="n">
        <v>0</v>
      </c>
      <c r="P592" t="n">
        <v>0</v>
      </c>
      <c r="Q592" t="n">
        <v>0</v>
      </c>
      <c r="R592" s="2" t="inlineStr"/>
    </row>
    <row r="593" ht="15" customHeight="1">
      <c r="A593" t="inlineStr">
        <is>
          <t>A 27009-2020</t>
        </is>
      </c>
      <c r="B593" s="1" t="n">
        <v>43991</v>
      </c>
      <c r="C593" s="1" t="n">
        <v>45291</v>
      </c>
      <c r="D593" t="inlineStr">
        <is>
          <t>VÄRMLANDS LÄN</t>
        </is>
      </c>
      <c r="E593" t="inlineStr">
        <is>
          <t>TORSBY</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28397-2020</t>
        </is>
      </c>
      <c r="B594" s="1" t="n">
        <v>43998</v>
      </c>
      <c r="C594" s="1" t="n">
        <v>45291</v>
      </c>
      <c r="D594" t="inlineStr">
        <is>
          <t>VÄRMLANDS LÄN</t>
        </is>
      </c>
      <c r="E594" t="inlineStr">
        <is>
          <t>TORSBY</t>
        </is>
      </c>
      <c r="G594" t="n">
        <v>7.3</v>
      </c>
      <c r="H594" t="n">
        <v>0</v>
      </c>
      <c r="I594" t="n">
        <v>0</v>
      </c>
      <c r="J594" t="n">
        <v>0</v>
      </c>
      <c r="K594" t="n">
        <v>0</v>
      </c>
      <c r="L594" t="n">
        <v>0</v>
      </c>
      <c r="M594" t="n">
        <v>0</v>
      </c>
      <c r="N594" t="n">
        <v>0</v>
      </c>
      <c r="O594" t="n">
        <v>0</v>
      </c>
      <c r="P594" t="n">
        <v>0</v>
      </c>
      <c r="Q594" t="n">
        <v>0</v>
      </c>
      <c r="R594" s="2" t="inlineStr"/>
    </row>
    <row r="595" ht="15" customHeight="1">
      <c r="A595" t="inlineStr">
        <is>
          <t>A 28416-2020</t>
        </is>
      </c>
      <c r="B595" s="1" t="n">
        <v>43998</v>
      </c>
      <c r="C595" s="1" t="n">
        <v>45291</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28703-2020</t>
        </is>
      </c>
      <c r="B596" s="1" t="n">
        <v>43999</v>
      </c>
      <c r="C596" s="1" t="n">
        <v>45291</v>
      </c>
      <c r="D596" t="inlineStr">
        <is>
          <t>VÄRMLANDS LÄN</t>
        </is>
      </c>
      <c r="E596" t="inlineStr">
        <is>
          <t>TORSBY</t>
        </is>
      </c>
      <c r="G596" t="n">
        <v>4.3</v>
      </c>
      <c r="H596" t="n">
        <v>0</v>
      </c>
      <c r="I596" t="n">
        <v>0</v>
      </c>
      <c r="J596" t="n">
        <v>0</v>
      </c>
      <c r="K596" t="n">
        <v>0</v>
      </c>
      <c r="L596" t="n">
        <v>0</v>
      </c>
      <c r="M596" t="n">
        <v>0</v>
      </c>
      <c r="N596" t="n">
        <v>0</v>
      </c>
      <c r="O596" t="n">
        <v>0</v>
      </c>
      <c r="P596" t="n">
        <v>0</v>
      </c>
      <c r="Q596" t="n">
        <v>0</v>
      </c>
      <c r="R596" s="2" t="inlineStr"/>
    </row>
    <row r="597" ht="15" customHeight="1">
      <c r="A597" t="inlineStr">
        <is>
          <t>A 28849-2020</t>
        </is>
      </c>
      <c r="B597" s="1" t="n">
        <v>44000</v>
      </c>
      <c r="C597" s="1" t="n">
        <v>45291</v>
      </c>
      <c r="D597" t="inlineStr">
        <is>
          <t>VÄRMLANDS LÄN</t>
        </is>
      </c>
      <c r="E597" t="inlineStr">
        <is>
          <t>TORSBY</t>
        </is>
      </c>
      <c r="G597" t="n">
        <v>10.9</v>
      </c>
      <c r="H597" t="n">
        <v>0</v>
      </c>
      <c r="I597" t="n">
        <v>0</v>
      </c>
      <c r="J597" t="n">
        <v>0</v>
      </c>
      <c r="K597" t="n">
        <v>0</v>
      </c>
      <c r="L597" t="n">
        <v>0</v>
      </c>
      <c r="M597" t="n">
        <v>0</v>
      </c>
      <c r="N597" t="n">
        <v>0</v>
      </c>
      <c r="O597" t="n">
        <v>0</v>
      </c>
      <c r="P597" t="n">
        <v>0</v>
      </c>
      <c r="Q597" t="n">
        <v>0</v>
      </c>
      <c r="R597" s="2" t="inlineStr"/>
    </row>
    <row r="598" ht="15" customHeight="1">
      <c r="A598" t="inlineStr">
        <is>
          <t>A 28897-2020</t>
        </is>
      </c>
      <c r="B598" s="1" t="n">
        <v>44000</v>
      </c>
      <c r="C598" s="1" t="n">
        <v>45291</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28911-2020</t>
        </is>
      </c>
      <c r="B599" s="1" t="n">
        <v>44000</v>
      </c>
      <c r="C599" s="1" t="n">
        <v>45291</v>
      </c>
      <c r="D599" t="inlineStr">
        <is>
          <t>VÄRMLANDS LÄN</t>
        </is>
      </c>
      <c r="E599" t="inlineStr">
        <is>
          <t>TORSBY</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28976-2020</t>
        </is>
      </c>
      <c r="B600" s="1" t="n">
        <v>44000</v>
      </c>
      <c r="C600" s="1" t="n">
        <v>45291</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28987-2020</t>
        </is>
      </c>
      <c r="B601" s="1" t="n">
        <v>44000</v>
      </c>
      <c r="C601" s="1" t="n">
        <v>45291</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29970-2020</t>
        </is>
      </c>
      <c r="B602" s="1" t="n">
        <v>44006</v>
      </c>
      <c r="C602" s="1" t="n">
        <v>45291</v>
      </c>
      <c r="D602" t="inlineStr">
        <is>
          <t>VÄRMLANDS LÄN</t>
        </is>
      </c>
      <c r="E602" t="inlineStr">
        <is>
          <t>TORSBY</t>
        </is>
      </c>
      <c r="F602" t="inlineStr">
        <is>
          <t>Bergvik skog väst AB</t>
        </is>
      </c>
      <c r="G602" t="n">
        <v>7.4</v>
      </c>
      <c r="H602" t="n">
        <v>0</v>
      </c>
      <c r="I602" t="n">
        <v>0</v>
      </c>
      <c r="J602" t="n">
        <v>0</v>
      </c>
      <c r="K602" t="n">
        <v>0</v>
      </c>
      <c r="L602" t="n">
        <v>0</v>
      </c>
      <c r="M602" t="n">
        <v>0</v>
      </c>
      <c r="N602" t="n">
        <v>0</v>
      </c>
      <c r="O602" t="n">
        <v>0</v>
      </c>
      <c r="P602" t="n">
        <v>0</v>
      </c>
      <c r="Q602" t="n">
        <v>0</v>
      </c>
      <c r="R602" s="2" t="inlineStr"/>
    </row>
    <row r="603" ht="15" customHeight="1">
      <c r="A603" t="inlineStr">
        <is>
          <t>A 30572-2020</t>
        </is>
      </c>
      <c r="B603" s="1" t="n">
        <v>44008</v>
      </c>
      <c r="C603" s="1" t="n">
        <v>45291</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30996-2020</t>
        </is>
      </c>
      <c r="B604" s="1" t="n">
        <v>44011</v>
      </c>
      <c r="C604" s="1" t="n">
        <v>45291</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30930-2020</t>
        </is>
      </c>
      <c r="B605" s="1" t="n">
        <v>44011</v>
      </c>
      <c r="C605" s="1" t="n">
        <v>45291</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31298-2020</t>
        </is>
      </c>
      <c r="B606" s="1" t="n">
        <v>44012</v>
      </c>
      <c r="C606" s="1" t="n">
        <v>45291</v>
      </c>
      <c r="D606" t="inlineStr">
        <is>
          <t>VÄRMLANDS LÄN</t>
        </is>
      </c>
      <c r="E606" t="inlineStr">
        <is>
          <t>TORSBY</t>
        </is>
      </c>
      <c r="G606" t="n">
        <v>4.3</v>
      </c>
      <c r="H606" t="n">
        <v>0</v>
      </c>
      <c r="I606" t="n">
        <v>0</v>
      </c>
      <c r="J606" t="n">
        <v>0</v>
      </c>
      <c r="K606" t="n">
        <v>0</v>
      </c>
      <c r="L606" t="n">
        <v>0</v>
      </c>
      <c r="M606" t="n">
        <v>0</v>
      </c>
      <c r="N606" t="n">
        <v>0</v>
      </c>
      <c r="O606" t="n">
        <v>0</v>
      </c>
      <c r="P606" t="n">
        <v>0</v>
      </c>
      <c r="Q606" t="n">
        <v>0</v>
      </c>
      <c r="R606" s="2" t="inlineStr"/>
    </row>
    <row r="607" ht="15" customHeight="1">
      <c r="A607" t="inlineStr">
        <is>
          <t>A 31436-2020</t>
        </is>
      </c>
      <c r="B607" s="1" t="n">
        <v>44013</v>
      </c>
      <c r="C607" s="1" t="n">
        <v>45291</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31577-2020</t>
        </is>
      </c>
      <c r="B608" s="1" t="n">
        <v>44013</v>
      </c>
      <c r="C608" s="1" t="n">
        <v>45291</v>
      </c>
      <c r="D608" t="inlineStr">
        <is>
          <t>VÄRMLANDS LÄN</t>
        </is>
      </c>
      <c r="E608" t="inlineStr">
        <is>
          <t>TORSBY</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31759-2020</t>
        </is>
      </c>
      <c r="B609" s="1" t="n">
        <v>44014</v>
      </c>
      <c r="C609" s="1" t="n">
        <v>45291</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32122-2020</t>
        </is>
      </c>
      <c r="B610" s="1" t="n">
        <v>44015</v>
      </c>
      <c r="C610" s="1" t="n">
        <v>45291</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32623-2020</t>
        </is>
      </c>
      <c r="B611" s="1" t="n">
        <v>44019</v>
      </c>
      <c r="C611" s="1" t="n">
        <v>45291</v>
      </c>
      <c r="D611" t="inlineStr">
        <is>
          <t>VÄRMLANDS LÄN</t>
        </is>
      </c>
      <c r="E611" t="inlineStr">
        <is>
          <t>TORSBY</t>
        </is>
      </c>
      <c r="F611" t="inlineStr">
        <is>
          <t>Kommuner</t>
        </is>
      </c>
      <c r="G611" t="n">
        <v>13.9</v>
      </c>
      <c r="H611" t="n">
        <v>0</v>
      </c>
      <c r="I611" t="n">
        <v>0</v>
      </c>
      <c r="J611" t="n">
        <v>0</v>
      </c>
      <c r="K611" t="n">
        <v>0</v>
      </c>
      <c r="L611" t="n">
        <v>0</v>
      </c>
      <c r="M611" t="n">
        <v>0</v>
      </c>
      <c r="N611" t="n">
        <v>0</v>
      </c>
      <c r="O611" t="n">
        <v>0</v>
      </c>
      <c r="P611" t="n">
        <v>0</v>
      </c>
      <c r="Q611" t="n">
        <v>0</v>
      </c>
      <c r="R611" s="2" t="inlineStr"/>
    </row>
    <row r="612" ht="15" customHeight="1">
      <c r="A612" t="inlineStr">
        <is>
          <t>A 32651-2020</t>
        </is>
      </c>
      <c r="B612" s="1" t="n">
        <v>44019</v>
      </c>
      <c r="C612" s="1" t="n">
        <v>45291</v>
      </c>
      <c r="D612" t="inlineStr">
        <is>
          <t>VÄRMLANDS LÄN</t>
        </is>
      </c>
      <c r="E612" t="inlineStr">
        <is>
          <t>TORSBY</t>
        </is>
      </c>
      <c r="F612" t="inlineStr">
        <is>
          <t>Kommuner</t>
        </is>
      </c>
      <c r="G612" t="n">
        <v>8.6</v>
      </c>
      <c r="H612" t="n">
        <v>0</v>
      </c>
      <c r="I612" t="n">
        <v>0</v>
      </c>
      <c r="J612" t="n">
        <v>0</v>
      </c>
      <c r="K612" t="n">
        <v>0</v>
      </c>
      <c r="L612" t="n">
        <v>0</v>
      </c>
      <c r="M612" t="n">
        <v>0</v>
      </c>
      <c r="N612" t="n">
        <v>0</v>
      </c>
      <c r="O612" t="n">
        <v>0</v>
      </c>
      <c r="P612" t="n">
        <v>0</v>
      </c>
      <c r="Q612" t="n">
        <v>0</v>
      </c>
      <c r="R612" s="2" t="inlineStr"/>
    </row>
    <row r="613" ht="15" customHeight="1">
      <c r="A613" t="inlineStr">
        <is>
          <t>A 33124-2020</t>
        </is>
      </c>
      <c r="B613" s="1" t="n">
        <v>44021</v>
      </c>
      <c r="C613" s="1" t="n">
        <v>45291</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33095-2020</t>
        </is>
      </c>
      <c r="B614" s="1" t="n">
        <v>44021</v>
      </c>
      <c r="C614" s="1" t="n">
        <v>45291</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33126-2020</t>
        </is>
      </c>
      <c r="B615" s="1" t="n">
        <v>44021</v>
      </c>
      <c r="C615" s="1" t="n">
        <v>45291</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33691-2020</t>
        </is>
      </c>
      <c r="B616" s="1" t="n">
        <v>44022</v>
      </c>
      <c r="C616" s="1" t="n">
        <v>45291</v>
      </c>
      <c r="D616" t="inlineStr">
        <is>
          <t>VÄRMLANDS LÄN</t>
        </is>
      </c>
      <c r="E616" t="inlineStr">
        <is>
          <t>TORSBY</t>
        </is>
      </c>
      <c r="F616" t="inlineStr">
        <is>
          <t>Övriga Aktiebolag</t>
        </is>
      </c>
      <c r="G616" t="n">
        <v>3.8</v>
      </c>
      <c r="H616" t="n">
        <v>0</v>
      </c>
      <c r="I616" t="n">
        <v>0</v>
      </c>
      <c r="J616" t="n">
        <v>0</v>
      </c>
      <c r="K616" t="n">
        <v>0</v>
      </c>
      <c r="L616" t="n">
        <v>0</v>
      </c>
      <c r="M616" t="n">
        <v>0</v>
      </c>
      <c r="N616" t="n">
        <v>0</v>
      </c>
      <c r="O616" t="n">
        <v>0</v>
      </c>
      <c r="P616" t="n">
        <v>0</v>
      </c>
      <c r="Q616" t="n">
        <v>0</v>
      </c>
      <c r="R616" s="2" t="inlineStr"/>
    </row>
    <row r="617" ht="15" customHeight="1">
      <c r="A617" t="inlineStr">
        <is>
          <t>A 34901-2020</t>
        </is>
      </c>
      <c r="B617" s="1" t="n">
        <v>44022</v>
      </c>
      <c r="C617" s="1" t="n">
        <v>45291</v>
      </c>
      <c r="D617" t="inlineStr">
        <is>
          <t>VÄRMLANDS LÄN</t>
        </is>
      </c>
      <c r="E617" t="inlineStr">
        <is>
          <t>TORSBY</t>
        </is>
      </c>
      <c r="F617" t="inlineStr">
        <is>
          <t>Övriga Aktiebolag</t>
        </is>
      </c>
      <c r="G617" t="n">
        <v>0.4</v>
      </c>
      <c r="H617" t="n">
        <v>0</v>
      </c>
      <c r="I617" t="n">
        <v>0</v>
      </c>
      <c r="J617" t="n">
        <v>0</v>
      </c>
      <c r="K617" t="n">
        <v>0</v>
      </c>
      <c r="L617" t="n">
        <v>0</v>
      </c>
      <c r="M617" t="n">
        <v>0</v>
      </c>
      <c r="N617" t="n">
        <v>0</v>
      </c>
      <c r="O617" t="n">
        <v>0</v>
      </c>
      <c r="P617" t="n">
        <v>0</v>
      </c>
      <c r="Q617" t="n">
        <v>0</v>
      </c>
      <c r="R617" s="2" t="inlineStr"/>
    </row>
    <row r="618" ht="15" customHeight="1">
      <c r="A618" t="inlineStr">
        <is>
          <t>A 33908-2020</t>
        </is>
      </c>
      <c r="B618" s="1" t="n">
        <v>44027</v>
      </c>
      <c r="C618" s="1" t="n">
        <v>45291</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33864-2020</t>
        </is>
      </c>
      <c r="B619" s="1" t="n">
        <v>44027</v>
      </c>
      <c r="C619" s="1" t="n">
        <v>45291</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34118-2020</t>
        </is>
      </c>
      <c r="B620" s="1" t="n">
        <v>44028</v>
      </c>
      <c r="C620" s="1" t="n">
        <v>45291</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34247-2020</t>
        </is>
      </c>
      <c r="B621" s="1" t="n">
        <v>44029</v>
      </c>
      <c r="C621" s="1" t="n">
        <v>45291</v>
      </c>
      <c r="D621" t="inlineStr">
        <is>
          <t>VÄRMLANDS LÄN</t>
        </is>
      </c>
      <c r="E621" t="inlineStr">
        <is>
          <t>TORSBY</t>
        </is>
      </c>
      <c r="F621" t="inlineStr">
        <is>
          <t>Kommuner</t>
        </is>
      </c>
      <c r="G621" t="n">
        <v>3.3</v>
      </c>
      <c r="H621" t="n">
        <v>0</v>
      </c>
      <c r="I621" t="n">
        <v>0</v>
      </c>
      <c r="J621" t="n">
        <v>0</v>
      </c>
      <c r="K621" t="n">
        <v>0</v>
      </c>
      <c r="L621" t="n">
        <v>0</v>
      </c>
      <c r="M621" t="n">
        <v>0</v>
      </c>
      <c r="N621" t="n">
        <v>0</v>
      </c>
      <c r="O621" t="n">
        <v>0</v>
      </c>
      <c r="P621" t="n">
        <v>0</v>
      </c>
      <c r="Q621" t="n">
        <v>0</v>
      </c>
      <c r="R621" s="2" t="inlineStr"/>
    </row>
    <row r="622" ht="15" customHeight="1">
      <c r="A622" t="inlineStr">
        <is>
          <t>A 35132-2020</t>
        </is>
      </c>
      <c r="B622" s="1" t="n">
        <v>44040</v>
      </c>
      <c r="C622" s="1" t="n">
        <v>45291</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35174-2020</t>
        </is>
      </c>
      <c r="B623" s="1" t="n">
        <v>44040</v>
      </c>
      <c r="C623" s="1" t="n">
        <v>45291</v>
      </c>
      <c r="D623" t="inlineStr">
        <is>
          <t>VÄRMLANDS LÄN</t>
        </is>
      </c>
      <c r="E623" t="inlineStr">
        <is>
          <t>TORSBY</t>
        </is>
      </c>
      <c r="F623" t="inlineStr">
        <is>
          <t>Kommuner</t>
        </is>
      </c>
      <c r="G623" t="n">
        <v>5.3</v>
      </c>
      <c r="H623" t="n">
        <v>0</v>
      </c>
      <c r="I623" t="n">
        <v>0</v>
      </c>
      <c r="J623" t="n">
        <v>0</v>
      </c>
      <c r="K623" t="n">
        <v>0</v>
      </c>
      <c r="L623" t="n">
        <v>0</v>
      </c>
      <c r="M623" t="n">
        <v>0</v>
      </c>
      <c r="N623" t="n">
        <v>0</v>
      </c>
      <c r="O623" t="n">
        <v>0</v>
      </c>
      <c r="P623" t="n">
        <v>0</v>
      </c>
      <c r="Q623" t="n">
        <v>0</v>
      </c>
      <c r="R623" s="2" t="inlineStr"/>
    </row>
    <row r="624" ht="15" customHeight="1">
      <c r="A624" t="inlineStr">
        <is>
          <t>A 35500-2020</t>
        </is>
      </c>
      <c r="B624" s="1" t="n">
        <v>44043</v>
      </c>
      <c r="C624" s="1" t="n">
        <v>45291</v>
      </c>
      <c r="D624" t="inlineStr">
        <is>
          <t>VÄRMLANDS LÄN</t>
        </is>
      </c>
      <c r="E624" t="inlineStr">
        <is>
          <t>TORSBY</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35778-2020</t>
        </is>
      </c>
      <c r="B625" s="1" t="n">
        <v>44046</v>
      </c>
      <c r="C625" s="1" t="n">
        <v>45291</v>
      </c>
      <c r="D625" t="inlineStr">
        <is>
          <t>VÄRMLANDS LÄN</t>
        </is>
      </c>
      <c r="E625" t="inlineStr">
        <is>
          <t>TORSBY</t>
        </is>
      </c>
      <c r="G625" t="n">
        <v>10.2</v>
      </c>
      <c r="H625" t="n">
        <v>0</v>
      </c>
      <c r="I625" t="n">
        <v>0</v>
      </c>
      <c r="J625" t="n">
        <v>0</v>
      </c>
      <c r="K625" t="n">
        <v>0</v>
      </c>
      <c r="L625" t="n">
        <v>0</v>
      </c>
      <c r="M625" t="n">
        <v>0</v>
      </c>
      <c r="N625" t="n">
        <v>0</v>
      </c>
      <c r="O625" t="n">
        <v>0</v>
      </c>
      <c r="P625" t="n">
        <v>0</v>
      </c>
      <c r="Q625" t="n">
        <v>0</v>
      </c>
      <c r="R625" s="2" t="inlineStr"/>
    </row>
    <row r="626" ht="15" customHeight="1">
      <c r="A626" t="inlineStr">
        <is>
          <t>A 35900-2020</t>
        </is>
      </c>
      <c r="B626" s="1" t="n">
        <v>44047</v>
      </c>
      <c r="C626" s="1" t="n">
        <v>45291</v>
      </c>
      <c r="D626" t="inlineStr">
        <is>
          <t>VÄRMLANDS LÄN</t>
        </is>
      </c>
      <c r="E626" t="inlineStr">
        <is>
          <t>TORSBY</t>
        </is>
      </c>
      <c r="G626" t="n">
        <v>7.2</v>
      </c>
      <c r="H626" t="n">
        <v>0</v>
      </c>
      <c r="I626" t="n">
        <v>0</v>
      </c>
      <c r="J626" t="n">
        <v>0</v>
      </c>
      <c r="K626" t="n">
        <v>0</v>
      </c>
      <c r="L626" t="n">
        <v>0</v>
      </c>
      <c r="M626" t="n">
        <v>0</v>
      </c>
      <c r="N626" t="n">
        <v>0</v>
      </c>
      <c r="O626" t="n">
        <v>0</v>
      </c>
      <c r="P626" t="n">
        <v>0</v>
      </c>
      <c r="Q626" t="n">
        <v>0</v>
      </c>
      <c r="R626" s="2" t="inlineStr"/>
    </row>
    <row r="627" ht="15" customHeight="1">
      <c r="A627" t="inlineStr">
        <is>
          <t>A 35955-2020</t>
        </is>
      </c>
      <c r="B627" s="1" t="n">
        <v>44047</v>
      </c>
      <c r="C627" s="1" t="n">
        <v>45291</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35826-2020</t>
        </is>
      </c>
      <c r="B628" s="1" t="n">
        <v>44047</v>
      </c>
      <c r="C628" s="1" t="n">
        <v>45291</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35905-2020</t>
        </is>
      </c>
      <c r="B629" s="1" t="n">
        <v>44047</v>
      </c>
      <c r="C629" s="1" t="n">
        <v>45291</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36482-2020</t>
        </is>
      </c>
      <c r="B630" s="1" t="n">
        <v>44048</v>
      </c>
      <c r="C630" s="1" t="n">
        <v>45291</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36104-2020</t>
        </is>
      </c>
      <c r="B631" s="1" t="n">
        <v>44048</v>
      </c>
      <c r="C631" s="1" t="n">
        <v>45291</v>
      </c>
      <c r="D631" t="inlineStr">
        <is>
          <t>VÄRMLANDS LÄN</t>
        </is>
      </c>
      <c r="E631" t="inlineStr">
        <is>
          <t>TORSBY</t>
        </is>
      </c>
      <c r="G631" t="n">
        <v>3.1</v>
      </c>
      <c r="H631" t="n">
        <v>0</v>
      </c>
      <c r="I631" t="n">
        <v>0</v>
      </c>
      <c r="J631" t="n">
        <v>0</v>
      </c>
      <c r="K631" t="n">
        <v>0</v>
      </c>
      <c r="L631" t="n">
        <v>0</v>
      </c>
      <c r="M631" t="n">
        <v>0</v>
      </c>
      <c r="N631" t="n">
        <v>0</v>
      </c>
      <c r="O631" t="n">
        <v>0</v>
      </c>
      <c r="P631" t="n">
        <v>0</v>
      </c>
      <c r="Q631" t="n">
        <v>0</v>
      </c>
      <c r="R631" s="2" t="inlineStr"/>
    </row>
    <row r="632" ht="15" customHeight="1">
      <c r="A632" t="inlineStr">
        <is>
          <t>A 36265-2020</t>
        </is>
      </c>
      <c r="B632" s="1" t="n">
        <v>44049</v>
      </c>
      <c r="C632" s="1" t="n">
        <v>45291</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36396-2020</t>
        </is>
      </c>
      <c r="B633" s="1" t="n">
        <v>44049</v>
      </c>
      <c r="C633" s="1" t="n">
        <v>45291</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36394-2020</t>
        </is>
      </c>
      <c r="B634" s="1" t="n">
        <v>44049</v>
      </c>
      <c r="C634" s="1" t="n">
        <v>45291</v>
      </c>
      <c r="D634" t="inlineStr">
        <is>
          <t>VÄRMLANDS LÄN</t>
        </is>
      </c>
      <c r="E634" t="inlineStr">
        <is>
          <t>TORSBY</t>
        </is>
      </c>
      <c r="G634" t="n">
        <v>7</v>
      </c>
      <c r="H634" t="n">
        <v>0</v>
      </c>
      <c r="I634" t="n">
        <v>0</v>
      </c>
      <c r="J634" t="n">
        <v>0</v>
      </c>
      <c r="K634" t="n">
        <v>0</v>
      </c>
      <c r="L634" t="n">
        <v>0</v>
      </c>
      <c r="M634" t="n">
        <v>0</v>
      </c>
      <c r="N634" t="n">
        <v>0</v>
      </c>
      <c r="O634" t="n">
        <v>0</v>
      </c>
      <c r="P634" t="n">
        <v>0</v>
      </c>
      <c r="Q634" t="n">
        <v>0</v>
      </c>
      <c r="R634" s="2" t="inlineStr"/>
    </row>
    <row r="635" ht="15" customHeight="1">
      <c r="A635" t="inlineStr">
        <is>
          <t>A 36847-2020</t>
        </is>
      </c>
      <c r="B635" s="1" t="n">
        <v>44053</v>
      </c>
      <c r="C635" s="1" t="n">
        <v>45291</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36901-2020</t>
        </is>
      </c>
      <c r="B636" s="1" t="n">
        <v>44053</v>
      </c>
      <c r="C636" s="1" t="n">
        <v>45291</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37305-2020</t>
        </is>
      </c>
      <c r="B637" s="1" t="n">
        <v>44055</v>
      </c>
      <c r="C637" s="1" t="n">
        <v>45291</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37302-2020</t>
        </is>
      </c>
      <c r="B638" s="1" t="n">
        <v>44055</v>
      </c>
      <c r="C638" s="1" t="n">
        <v>45291</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37307-2020</t>
        </is>
      </c>
      <c r="B639" s="1" t="n">
        <v>44055</v>
      </c>
      <c r="C639" s="1" t="n">
        <v>45291</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37303-2020</t>
        </is>
      </c>
      <c r="B640" s="1" t="n">
        <v>44055</v>
      </c>
      <c r="C640" s="1" t="n">
        <v>45291</v>
      </c>
      <c r="D640" t="inlineStr">
        <is>
          <t>VÄRMLANDS LÄN</t>
        </is>
      </c>
      <c r="E640" t="inlineStr">
        <is>
          <t>TORSBY</t>
        </is>
      </c>
      <c r="G640" t="n">
        <v>1.9</v>
      </c>
      <c r="H640" t="n">
        <v>0</v>
      </c>
      <c r="I640" t="n">
        <v>0</v>
      </c>
      <c r="J640" t="n">
        <v>0</v>
      </c>
      <c r="K640" t="n">
        <v>0</v>
      </c>
      <c r="L640" t="n">
        <v>0</v>
      </c>
      <c r="M640" t="n">
        <v>0</v>
      </c>
      <c r="N640" t="n">
        <v>0</v>
      </c>
      <c r="O640" t="n">
        <v>0</v>
      </c>
      <c r="P640" t="n">
        <v>0</v>
      </c>
      <c r="Q640" t="n">
        <v>0</v>
      </c>
      <c r="R640" s="2" t="inlineStr"/>
    </row>
    <row r="641" ht="15" customHeight="1">
      <c r="A641" t="inlineStr">
        <is>
          <t>A 38506-2020</t>
        </is>
      </c>
      <c r="B641" s="1" t="n">
        <v>44061</v>
      </c>
      <c r="C641" s="1" t="n">
        <v>45291</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38978-2020</t>
        </is>
      </c>
      <c r="B642" s="1" t="n">
        <v>44062</v>
      </c>
      <c r="C642" s="1" t="n">
        <v>45291</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40218-2020</t>
        </is>
      </c>
      <c r="B643" s="1" t="n">
        <v>44064</v>
      </c>
      <c r="C643" s="1" t="n">
        <v>45291</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40015-2020</t>
        </is>
      </c>
      <c r="B644" s="1" t="n">
        <v>44067</v>
      </c>
      <c r="C644" s="1" t="n">
        <v>45291</v>
      </c>
      <c r="D644" t="inlineStr">
        <is>
          <t>VÄRMLANDS LÄN</t>
        </is>
      </c>
      <c r="E644" t="inlineStr">
        <is>
          <t>TORSBY</t>
        </is>
      </c>
      <c r="G644" t="n">
        <v>5.7</v>
      </c>
      <c r="H644" t="n">
        <v>0</v>
      </c>
      <c r="I644" t="n">
        <v>0</v>
      </c>
      <c r="J644" t="n">
        <v>0</v>
      </c>
      <c r="K644" t="n">
        <v>0</v>
      </c>
      <c r="L644" t="n">
        <v>0</v>
      </c>
      <c r="M644" t="n">
        <v>0</v>
      </c>
      <c r="N644" t="n">
        <v>0</v>
      </c>
      <c r="O644" t="n">
        <v>0</v>
      </c>
      <c r="P644" t="n">
        <v>0</v>
      </c>
      <c r="Q644" t="n">
        <v>0</v>
      </c>
      <c r="R644" s="2" t="inlineStr"/>
    </row>
    <row r="645" ht="15" customHeight="1">
      <c r="A645" t="inlineStr">
        <is>
          <t>A 40550-2020</t>
        </is>
      </c>
      <c r="B645" s="1" t="n">
        <v>44069</v>
      </c>
      <c r="C645" s="1" t="n">
        <v>45291</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40594-2020</t>
        </is>
      </c>
      <c r="B646" s="1" t="n">
        <v>44069</v>
      </c>
      <c r="C646" s="1" t="n">
        <v>45291</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40509-2020</t>
        </is>
      </c>
      <c r="B647" s="1" t="n">
        <v>44069</v>
      </c>
      <c r="C647" s="1" t="n">
        <v>45291</v>
      </c>
      <c r="D647" t="inlineStr">
        <is>
          <t>VÄRMLANDS LÄN</t>
        </is>
      </c>
      <c r="E647" t="inlineStr">
        <is>
          <t>TORSBY</t>
        </is>
      </c>
      <c r="F647" t="inlineStr">
        <is>
          <t>Naturvårdsverket</t>
        </is>
      </c>
      <c r="G647" t="n">
        <v>57</v>
      </c>
      <c r="H647" t="n">
        <v>0</v>
      </c>
      <c r="I647" t="n">
        <v>0</v>
      </c>
      <c r="J647" t="n">
        <v>0</v>
      </c>
      <c r="K647" t="n">
        <v>0</v>
      </c>
      <c r="L647" t="n">
        <v>0</v>
      </c>
      <c r="M647" t="n">
        <v>0</v>
      </c>
      <c r="N647" t="n">
        <v>0</v>
      </c>
      <c r="O647" t="n">
        <v>0</v>
      </c>
      <c r="P647" t="n">
        <v>0</v>
      </c>
      <c r="Q647" t="n">
        <v>0</v>
      </c>
      <c r="R647" s="2" t="inlineStr"/>
    </row>
    <row r="648" ht="15" customHeight="1">
      <c r="A648" t="inlineStr">
        <is>
          <t>A 40601-2020</t>
        </is>
      </c>
      <c r="B648" s="1" t="n">
        <v>44069</v>
      </c>
      <c r="C648" s="1" t="n">
        <v>45291</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40994-2020</t>
        </is>
      </c>
      <c r="B649" s="1" t="n">
        <v>44070</v>
      </c>
      <c r="C649" s="1" t="n">
        <v>45291</v>
      </c>
      <c r="D649" t="inlineStr">
        <is>
          <t>VÄRMLANDS LÄN</t>
        </is>
      </c>
      <c r="E649" t="inlineStr">
        <is>
          <t>TORSBY</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40987-2020</t>
        </is>
      </c>
      <c r="B650" s="1" t="n">
        <v>44070</v>
      </c>
      <c r="C650" s="1" t="n">
        <v>45291</v>
      </c>
      <c r="D650" t="inlineStr">
        <is>
          <t>VÄRMLANDS LÄN</t>
        </is>
      </c>
      <c r="E650" t="inlineStr">
        <is>
          <t>TORSBY</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40993-2020</t>
        </is>
      </c>
      <c r="B651" s="1" t="n">
        <v>44070</v>
      </c>
      <c r="C651" s="1" t="n">
        <v>45291</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41469-2020</t>
        </is>
      </c>
      <c r="B652" s="1" t="n">
        <v>44074</v>
      </c>
      <c r="C652" s="1" t="n">
        <v>45291</v>
      </c>
      <c r="D652" t="inlineStr">
        <is>
          <t>VÄRMLANDS LÄN</t>
        </is>
      </c>
      <c r="E652" t="inlineStr">
        <is>
          <t>TORSBY</t>
        </is>
      </c>
      <c r="F652" t="inlineStr">
        <is>
          <t>Bergvik skog väst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42391-2020</t>
        </is>
      </c>
      <c r="B653" s="1" t="n">
        <v>44076</v>
      </c>
      <c r="C653" s="1" t="n">
        <v>45291</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42566-2020</t>
        </is>
      </c>
      <c r="B654" s="1" t="n">
        <v>44077</v>
      </c>
      <c r="C654" s="1" t="n">
        <v>45291</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42982-2020</t>
        </is>
      </c>
      <c r="B655" s="1" t="n">
        <v>44078</v>
      </c>
      <c r="C655" s="1" t="n">
        <v>45291</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44722-2020</t>
        </is>
      </c>
      <c r="B656" s="1" t="n">
        <v>44078</v>
      </c>
      <c r="C656" s="1" t="n">
        <v>45291</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43547-2020</t>
        </is>
      </c>
      <c r="B657" s="1" t="n">
        <v>44078</v>
      </c>
      <c r="C657" s="1" t="n">
        <v>45291</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44715-2020</t>
        </is>
      </c>
      <c r="B658" s="1" t="n">
        <v>44078</v>
      </c>
      <c r="C658" s="1" t="n">
        <v>45291</v>
      </c>
      <c r="D658" t="inlineStr">
        <is>
          <t>VÄRMLANDS LÄN</t>
        </is>
      </c>
      <c r="E658" t="inlineStr">
        <is>
          <t>TORSBY</t>
        </is>
      </c>
      <c r="G658" t="n">
        <v>1.9</v>
      </c>
      <c r="H658" t="n">
        <v>0</v>
      </c>
      <c r="I658" t="n">
        <v>0</v>
      </c>
      <c r="J658" t="n">
        <v>0</v>
      </c>
      <c r="K658" t="n">
        <v>0</v>
      </c>
      <c r="L658" t="n">
        <v>0</v>
      </c>
      <c r="M658" t="n">
        <v>0</v>
      </c>
      <c r="N658" t="n">
        <v>0</v>
      </c>
      <c r="O658" t="n">
        <v>0</v>
      </c>
      <c r="P658" t="n">
        <v>0</v>
      </c>
      <c r="Q658" t="n">
        <v>0</v>
      </c>
      <c r="R658" s="2" t="inlineStr"/>
    </row>
    <row r="659" ht="15" customHeight="1">
      <c r="A659" t="inlineStr">
        <is>
          <t>A 44720-2020</t>
        </is>
      </c>
      <c r="B659" s="1" t="n">
        <v>44078</v>
      </c>
      <c r="C659" s="1" t="n">
        <v>45291</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43725-2020</t>
        </is>
      </c>
      <c r="B660" s="1" t="n">
        <v>44082</v>
      </c>
      <c r="C660" s="1" t="n">
        <v>45291</v>
      </c>
      <c r="D660" t="inlineStr">
        <is>
          <t>VÄRMLANDS LÄN</t>
        </is>
      </c>
      <c r="E660" t="inlineStr">
        <is>
          <t>TORSBY</t>
        </is>
      </c>
      <c r="G660" t="n">
        <v>1</v>
      </c>
      <c r="H660" t="n">
        <v>0</v>
      </c>
      <c r="I660" t="n">
        <v>0</v>
      </c>
      <c r="J660" t="n">
        <v>0</v>
      </c>
      <c r="K660" t="n">
        <v>0</v>
      </c>
      <c r="L660" t="n">
        <v>0</v>
      </c>
      <c r="M660" t="n">
        <v>0</v>
      </c>
      <c r="N660" t="n">
        <v>0</v>
      </c>
      <c r="O660" t="n">
        <v>0</v>
      </c>
      <c r="P660" t="n">
        <v>0</v>
      </c>
      <c r="Q660" t="n">
        <v>0</v>
      </c>
      <c r="R660" s="2" t="inlineStr"/>
    </row>
    <row r="661" ht="15" customHeight="1">
      <c r="A661" t="inlineStr">
        <is>
          <t>A 44666-2020</t>
        </is>
      </c>
      <c r="B661" s="1" t="n">
        <v>44085</v>
      </c>
      <c r="C661" s="1" t="n">
        <v>45291</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46482-2020</t>
        </is>
      </c>
      <c r="B662" s="1" t="n">
        <v>44089</v>
      </c>
      <c r="C662" s="1" t="n">
        <v>45291</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45404-2020</t>
        </is>
      </c>
      <c r="B663" s="1" t="n">
        <v>44089</v>
      </c>
      <c r="C663" s="1" t="n">
        <v>45291</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45872-2020</t>
        </is>
      </c>
      <c r="B664" s="1" t="n">
        <v>44091</v>
      </c>
      <c r="C664" s="1" t="n">
        <v>45291</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45898-2020</t>
        </is>
      </c>
      <c r="B665" s="1" t="n">
        <v>44091</v>
      </c>
      <c r="C665" s="1" t="n">
        <v>45291</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46271-2020</t>
        </is>
      </c>
      <c r="B666" s="1" t="n">
        <v>44092</v>
      </c>
      <c r="C666" s="1" t="n">
        <v>45291</v>
      </c>
      <c r="D666" t="inlineStr">
        <is>
          <t>VÄRMLANDS LÄN</t>
        </is>
      </c>
      <c r="E666" t="inlineStr">
        <is>
          <t>TORSBY</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47707-2020</t>
        </is>
      </c>
      <c r="B667" s="1" t="n">
        <v>44096</v>
      </c>
      <c r="C667" s="1" t="n">
        <v>45291</v>
      </c>
      <c r="D667" t="inlineStr">
        <is>
          <t>VÄRMLANDS LÄN</t>
        </is>
      </c>
      <c r="E667" t="inlineStr">
        <is>
          <t>TORSBY</t>
        </is>
      </c>
      <c r="F667" t="inlineStr">
        <is>
          <t>Kyrkan</t>
        </is>
      </c>
      <c r="G667" t="n">
        <v>1.2</v>
      </c>
      <c r="H667" t="n">
        <v>0</v>
      </c>
      <c r="I667" t="n">
        <v>0</v>
      </c>
      <c r="J667" t="n">
        <v>0</v>
      </c>
      <c r="K667" t="n">
        <v>0</v>
      </c>
      <c r="L667" t="n">
        <v>0</v>
      </c>
      <c r="M667" t="n">
        <v>0</v>
      </c>
      <c r="N667" t="n">
        <v>0</v>
      </c>
      <c r="O667" t="n">
        <v>0</v>
      </c>
      <c r="P667" t="n">
        <v>0</v>
      </c>
      <c r="Q667" t="n">
        <v>0</v>
      </c>
      <c r="R667" s="2" t="inlineStr"/>
    </row>
    <row r="668" ht="15" customHeight="1">
      <c r="A668" t="inlineStr">
        <is>
          <t>A 47709-2020</t>
        </is>
      </c>
      <c r="B668" s="1" t="n">
        <v>44096</v>
      </c>
      <c r="C668" s="1" t="n">
        <v>45291</v>
      </c>
      <c r="D668" t="inlineStr">
        <is>
          <t>VÄRMLANDS LÄN</t>
        </is>
      </c>
      <c r="E668" t="inlineStr">
        <is>
          <t>TORSBY</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47490-2020</t>
        </is>
      </c>
      <c r="B669" s="1" t="n">
        <v>44098</v>
      </c>
      <c r="C669" s="1" t="n">
        <v>45291</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48231-2020</t>
        </is>
      </c>
      <c r="B670" s="1" t="n">
        <v>44102</v>
      </c>
      <c r="C670" s="1" t="n">
        <v>45291</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48383-2020</t>
        </is>
      </c>
      <c r="B671" s="1" t="n">
        <v>44102</v>
      </c>
      <c r="C671" s="1" t="n">
        <v>45291</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48488-2020</t>
        </is>
      </c>
      <c r="B672" s="1" t="n">
        <v>44103</v>
      </c>
      <c r="C672" s="1" t="n">
        <v>45291</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53557-2020</t>
        </is>
      </c>
      <c r="B673" s="1" t="n">
        <v>44104</v>
      </c>
      <c r="C673" s="1" t="n">
        <v>45291</v>
      </c>
      <c r="D673" t="inlineStr">
        <is>
          <t>VÄRMLANDS LÄN</t>
        </is>
      </c>
      <c r="E673" t="inlineStr">
        <is>
          <t>TORSBY</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50084-2020</t>
        </is>
      </c>
      <c r="B674" s="1" t="n">
        <v>44109</v>
      </c>
      <c r="C674" s="1" t="n">
        <v>45291</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50092-2020</t>
        </is>
      </c>
      <c r="B675" s="1" t="n">
        <v>44109</v>
      </c>
      <c r="C675" s="1" t="n">
        <v>45291</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50103-2020</t>
        </is>
      </c>
      <c r="B676" s="1" t="n">
        <v>44109</v>
      </c>
      <c r="C676" s="1" t="n">
        <v>45291</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50096-2020</t>
        </is>
      </c>
      <c r="B677" s="1" t="n">
        <v>44109</v>
      </c>
      <c r="C677" s="1" t="n">
        <v>45291</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50486-2020</t>
        </is>
      </c>
      <c r="B678" s="1" t="n">
        <v>44110</v>
      </c>
      <c r="C678" s="1" t="n">
        <v>45291</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50943-2020</t>
        </is>
      </c>
      <c r="B679" s="1" t="n">
        <v>44111</v>
      </c>
      <c r="C679" s="1" t="n">
        <v>45291</v>
      </c>
      <c r="D679" t="inlineStr">
        <is>
          <t>VÄRMLANDS LÄN</t>
        </is>
      </c>
      <c r="E679" t="inlineStr">
        <is>
          <t>TORSBY</t>
        </is>
      </c>
      <c r="F679" t="inlineStr">
        <is>
          <t>Bergvik skog väst AB</t>
        </is>
      </c>
      <c r="G679" t="n">
        <v>18.4</v>
      </c>
      <c r="H679" t="n">
        <v>0</v>
      </c>
      <c r="I679" t="n">
        <v>0</v>
      </c>
      <c r="J679" t="n">
        <v>0</v>
      </c>
      <c r="K679" t="n">
        <v>0</v>
      </c>
      <c r="L679" t="n">
        <v>0</v>
      </c>
      <c r="M679" t="n">
        <v>0</v>
      </c>
      <c r="N679" t="n">
        <v>0</v>
      </c>
      <c r="O679" t="n">
        <v>0</v>
      </c>
      <c r="P679" t="n">
        <v>0</v>
      </c>
      <c r="Q679" t="n">
        <v>0</v>
      </c>
      <c r="R679" s="2" t="inlineStr"/>
    </row>
    <row r="680" ht="15" customHeight="1">
      <c r="A680" t="inlineStr">
        <is>
          <t>A 51380-2020</t>
        </is>
      </c>
      <c r="B680" s="1" t="n">
        <v>44113</v>
      </c>
      <c r="C680" s="1" t="n">
        <v>45291</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51385-2020</t>
        </is>
      </c>
      <c r="B681" s="1" t="n">
        <v>44113</v>
      </c>
      <c r="C681" s="1" t="n">
        <v>45291</v>
      </c>
      <c r="D681" t="inlineStr">
        <is>
          <t>VÄRMLANDS LÄN</t>
        </is>
      </c>
      <c r="E681" t="inlineStr">
        <is>
          <t>TORSBY</t>
        </is>
      </c>
      <c r="G681" t="n">
        <v>6.8</v>
      </c>
      <c r="H681" t="n">
        <v>0</v>
      </c>
      <c r="I681" t="n">
        <v>0</v>
      </c>
      <c r="J681" t="n">
        <v>0</v>
      </c>
      <c r="K681" t="n">
        <v>0</v>
      </c>
      <c r="L681" t="n">
        <v>0</v>
      </c>
      <c r="M681" t="n">
        <v>0</v>
      </c>
      <c r="N681" t="n">
        <v>0</v>
      </c>
      <c r="O681" t="n">
        <v>0</v>
      </c>
      <c r="P681" t="n">
        <v>0</v>
      </c>
      <c r="Q681" t="n">
        <v>0</v>
      </c>
      <c r="R681" s="2" t="inlineStr"/>
    </row>
    <row r="682" ht="15" customHeight="1">
      <c r="A682" t="inlineStr">
        <is>
          <t>A 51389-2020</t>
        </is>
      </c>
      <c r="B682" s="1" t="n">
        <v>44113</v>
      </c>
      <c r="C682" s="1" t="n">
        <v>45291</v>
      </c>
      <c r="D682" t="inlineStr">
        <is>
          <t>VÄRMLANDS LÄN</t>
        </is>
      </c>
      <c r="E682" t="inlineStr">
        <is>
          <t>TORSBY</t>
        </is>
      </c>
      <c r="G682" t="n">
        <v>15.4</v>
      </c>
      <c r="H682" t="n">
        <v>0</v>
      </c>
      <c r="I682" t="n">
        <v>0</v>
      </c>
      <c r="J682" t="n">
        <v>0</v>
      </c>
      <c r="K682" t="n">
        <v>0</v>
      </c>
      <c r="L682" t="n">
        <v>0</v>
      </c>
      <c r="M682" t="n">
        <v>0</v>
      </c>
      <c r="N682" t="n">
        <v>0</v>
      </c>
      <c r="O682" t="n">
        <v>0</v>
      </c>
      <c r="P682" t="n">
        <v>0</v>
      </c>
      <c r="Q682" t="n">
        <v>0</v>
      </c>
      <c r="R682" s="2" t="inlineStr"/>
    </row>
    <row r="683" ht="15" customHeight="1">
      <c r="A683" t="inlineStr">
        <is>
          <t>A 51382-2020</t>
        </is>
      </c>
      <c r="B683" s="1" t="n">
        <v>44113</v>
      </c>
      <c r="C683" s="1" t="n">
        <v>45291</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51381-2020</t>
        </is>
      </c>
      <c r="B684" s="1" t="n">
        <v>44113</v>
      </c>
      <c r="C684" s="1" t="n">
        <v>45291</v>
      </c>
      <c r="D684" t="inlineStr">
        <is>
          <t>VÄRMLANDS LÄN</t>
        </is>
      </c>
      <c r="E684" t="inlineStr">
        <is>
          <t>TORSBY</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51386-2020</t>
        </is>
      </c>
      <c r="B685" s="1" t="n">
        <v>44113</v>
      </c>
      <c r="C685" s="1" t="n">
        <v>45291</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51635-2020</t>
        </is>
      </c>
      <c r="B686" s="1" t="n">
        <v>44113</v>
      </c>
      <c r="C686" s="1" t="n">
        <v>45291</v>
      </c>
      <c r="D686" t="inlineStr">
        <is>
          <t>VÄRMLANDS LÄN</t>
        </is>
      </c>
      <c r="E686" t="inlineStr">
        <is>
          <t>TORSBY</t>
        </is>
      </c>
      <c r="F686" t="inlineStr">
        <is>
          <t>Bergvik skog väst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51383-2020</t>
        </is>
      </c>
      <c r="B687" s="1" t="n">
        <v>44113</v>
      </c>
      <c r="C687" s="1" t="n">
        <v>45291</v>
      </c>
      <c r="D687" t="inlineStr">
        <is>
          <t>VÄRMLANDS LÄN</t>
        </is>
      </c>
      <c r="E687" t="inlineStr">
        <is>
          <t>TORSBY</t>
        </is>
      </c>
      <c r="G687" t="n">
        <v>3.8</v>
      </c>
      <c r="H687" t="n">
        <v>0</v>
      </c>
      <c r="I687" t="n">
        <v>0</v>
      </c>
      <c r="J687" t="n">
        <v>0</v>
      </c>
      <c r="K687" t="n">
        <v>0</v>
      </c>
      <c r="L687" t="n">
        <v>0</v>
      </c>
      <c r="M687" t="n">
        <v>0</v>
      </c>
      <c r="N687" t="n">
        <v>0</v>
      </c>
      <c r="O687" t="n">
        <v>0</v>
      </c>
      <c r="P687" t="n">
        <v>0</v>
      </c>
      <c r="Q687" t="n">
        <v>0</v>
      </c>
      <c r="R687" s="2" t="inlineStr"/>
    </row>
    <row r="688" ht="15" customHeight="1">
      <c r="A688" t="inlineStr">
        <is>
          <t>A 51838-2020</t>
        </is>
      </c>
      <c r="B688" s="1" t="n">
        <v>44116</v>
      </c>
      <c r="C688" s="1" t="n">
        <v>45291</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52460-2020</t>
        </is>
      </c>
      <c r="B689" s="1" t="n">
        <v>44116</v>
      </c>
      <c r="C689" s="1" t="n">
        <v>45291</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51837-2020</t>
        </is>
      </c>
      <c r="B690" s="1" t="n">
        <v>44116</v>
      </c>
      <c r="C690" s="1" t="n">
        <v>45291</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52141-2020</t>
        </is>
      </c>
      <c r="B691" s="1" t="n">
        <v>44117</v>
      </c>
      <c r="C691" s="1" t="n">
        <v>45291</v>
      </c>
      <c r="D691" t="inlineStr">
        <is>
          <t>VÄRMLANDS LÄN</t>
        </is>
      </c>
      <c r="E691" t="inlineStr">
        <is>
          <t>TORSBY</t>
        </is>
      </c>
      <c r="G691" t="n">
        <v>4.1</v>
      </c>
      <c r="H691" t="n">
        <v>0</v>
      </c>
      <c r="I691" t="n">
        <v>0</v>
      </c>
      <c r="J691" t="n">
        <v>0</v>
      </c>
      <c r="K691" t="n">
        <v>0</v>
      </c>
      <c r="L691" t="n">
        <v>0</v>
      </c>
      <c r="M691" t="n">
        <v>0</v>
      </c>
      <c r="N691" t="n">
        <v>0</v>
      </c>
      <c r="O691" t="n">
        <v>0</v>
      </c>
      <c r="P691" t="n">
        <v>0</v>
      </c>
      <c r="Q691" t="n">
        <v>0</v>
      </c>
      <c r="R691" s="2" t="inlineStr"/>
    </row>
    <row r="692" ht="15" customHeight="1">
      <c r="A692" t="inlineStr">
        <is>
          <t>A 52799-2020</t>
        </is>
      </c>
      <c r="B692" s="1" t="n">
        <v>44119</v>
      </c>
      <c r="C692" s="1" t="n">
        <v>45291</v>
      </c>
      <c r="D692" t="inlineStr">
        <is>
          <t>VÄRMLANDS LÄN</t>
        </is>
      </c>
      <c r="E692" t="inlineStr">
        <is>
          <t>TORSBY</t>
        </is>
      </c>
      <c r="G692" t="n">
        <v>6.2</v>
      </c>
      <c r="H692" t="n">
        <v>0</v>
      </c>
      <c r="I692" t="n">
        <v>0</v>
      </c>
      <c r="J692" t="n">
        <v>0</v>
      </c>
      <c r="K692" t="n">
        <v>0</v>
      </c>
      <c r="L692" t="n">
        <v>0</v>
      </c>
      <c r="M692" t="n">
        <v>0</v>
      </c>
      <c r="N692" t="n">
        <v>0</v>
      </c>
      <c r="O692" t="n">
        <v>0</v>
      </c>
      <c r="P692" t="n">
        <v>0</v>
      </c>
      <c r="Q692" t="n">
        <v>0</v>
      </c>
      <c r="R692" s="2" t="inlineStr"/>
    </row>
    <row r="693" ht="15" customHeight="1">
      <c r="A693" t="inlineStr">
        <is>
          <t>A 52979-2020</t>
        </is>
      </c>
      <c r="B693" s="1" t="n">
        <v>44120</v>
      </c>
      <c r="C693" s="1" t="n">
        <v>45291</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53111-2020</t>
        </is>
      </c>
      <c r="B694" s="1" t="n">
        <v>44120</v>
      </c>
      <c r="C694" s="1" t="n">
        <v>45291</v>
      </c>
      <c r="D694" t="inlineStr">
        <is>
          <t>VÄRMLANDS LÄN</t>
        </is>
      </c>
      <c r="E694" t="inlineStr">
        <is>
          <t>TORSBY</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53771-2020</t>
        </is>
      </c>
      <c r="B695" s="1" t="n">
        <v>44124</v>
      </c>
      <c r="C695" s="1" t="n">
        <v>45291</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53733-2020</t>
        </is>
      </c>
      <c r="B696" s="1" t="n">
        <v>44124</v>
      </c>
      <c r="C696" s="1" t="n">
        <v>45291</v>
      </c>
      <c r="D696" t="inlineStr">
        <is>
          <t>VÄRMLANDS LÄN</t>
        </is>
      </c>
      <c r="E696" t="inlineStr">
        <is>
          <t>TORSBY</t>
        </is>
      </c>
      <c r="G696" t="n">
        <v>2.7</v>
      </c>
      <c r="H696" t="n">
        <v>0</v>
      </c>
      <c r="I696" t="n">
        <v>0</v>
      </c>
      <c r="J696" t="n">
        <v>0</v>
      </c>
      <c r="K696" t="n">
        <v>0</v>
      </c>
      <c r="L696" t="n">
        <v>0</v>
      </c>
      <c r="M696" t="n">
        <v>0</v>
      </c>
      <c r="N696" t="n">
        <v>0</v>
      </c>
      <c r="O696" t="n">
        <v>0</v>
      </c>
      <c r="P696" t="n">
        <v>0</v>
      </c>
      <c r="Q696" t="n">
        <v>0</v>
      </c>
      <c r="R696" s="2" t="inlineStr"/>
    </row>
    <row r="697" ht="15" customHeight="1">
      <c r="A697" t="inlineStr">
        <is>
          <t>A 54331-2020</t>
        </is>
      </c>
      <c r="B697" s="1" t="n">
        <v>44124</v>
      </c>
      <c r="C697" s="1" t="n">
        <v>45291</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54060-2020</t>
        </is>
      </c>
      <c r="B698" s="1" t="n">
        <v>44125</v>
      </c>
      <c r="C698" s="1" t="n">
        <v>45291</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54072-2020</t>
        </is>
      </c>
      <c r="B699" s="1" t="n">
        <v>44125</v>
      </c>
      <c r="C699" s="1" t="n">
        <v>45291</v>
      </c>
      <c r="D699" t="inlineStr">
        <is>
          <t>VÄRMLANDS LÄN</t>
        </is>
      </c>
      <c r="E699" t="inlineStr">
        <is>
          <t>TORSBY</t>
        </is>
      </c>
      <c r="G699" t="n">
        <v>5</v>
      </c>
      <c r="H699" t="n">
        <v>0</v>
      </c>
      <c r="I699" t="n">
        <v>0</v>
      </c>
      <c r="J699" t="n">
        <v>0</v>
      </c>
      <c r="K699" t="n">
        <v>0</v>
      </c>
      <c r="L699" t="n">
        <v>0</v>
      </c>
      <c r="M699" t="n">
        <v>0</v>
      </c>
      <c r="N699" t="n">
        <v>0</v>
      </c>
      <c r="O699" t="n">
        <v>0</v>
      </c>
      <c r="P699" t="n">
        <v>0</v>
      </c>
      <c r="Q699" t="n">
        <v>0</v>
      </c>
      <c r="R699" s="2" t="inlineStr"/>
    </row>
    <row r="700" ht="15" customHeight="1">
      <c r="A700" t="inlineStr">
        <is>
          <t>A 54916-2020</t>
        </is>
      </c>
      <c r="B700" s="1" t="n">
        <v>44127</v>
      </c>
      <c r="C700" s="1" t="n">
        <v>45291</v>
      </c>
      <c r="D700" t="inlineStr">
        <is>
          <t>VÄRMLANDS LÄN</t>
        </is>
      </c>
      <c r="E700" t="inlineStr">
        <is>
          <t>TORSBY</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54924-2020</t>
        </is>
      </c>
      <c r="B701" s="1" t="n">
        <v>44127</v>
      </c>
      <c r="C701" s="1" t="n">
        <v>45291</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55058-2020</t>
        </is>
      </c>
      <c r="B702" s="1" t="n">
        <v>44130</v>
      </c>
      <c r="C702" s="1" t="n">
        <v>45291</v>
      </c>
      <c r="D702" t="inlineStr">
        <is>
          <t>VÄRMLANDS LÄN</t>
        </is>
      </c>
      <c r="E702" t="inlineStr">
        <is>
          <t>TORSBY</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55217-2020</t>
        </is>
      </c>
      <c r="B703" s="1" t="n">
        <v>44130</v>
      </c>
      <c r="C703" s="1" t="n">
        <v>45291</v>
      </c>
      <c r="D703" t="inlineStr">
        <is>
          <t>VÄRMLANDS LÄN</t>
        </is>
      </c>
      <c r="E703" t="inlineStr">
        <is>
          <t>TORSBY</t>
        </is>
      </c>
      <c r="G703" t="n">
        <v>4.2</v>
      </c>
      <c r="H703" t="n">
        <v>0</v>
      </c>
      <c r="I703" t="n">
        <v>0</v>
      </c>
      <c r="J703" t="n">
        <v>0</v>
      </c>
      <c r="K703" t="n">
        <v>0</v>
      </c>
      <c r="L703" t="n">
        <v>0</v>
      </c>
      <c r="M703" t="n">
        <v>0</v>
      </c>
      <c r="N703" t="n">
        <v>0</v>
      </c>
      <c r="O703" t="n">
        <v>0</v>
      </c>
      <c r="P703" t="n">
        <v>0</v>
      </c>
      <c r="Q703" t="n">
        <v>0</v>
      </c>
      <c r="R703" s="2" t="inlineStr"/>
    </row>
    <row r="704" ht="15" customHeight="1">
      <c r="A704" t="inlineStr">
        <is>
          <t>A 55401-2020</t>
        </is>
      </c>
      <c r="B704" s="1" t="n">
        <v>44131</v>
      </c>
      <c r="C704" s="1" t="n">
        <v>45291</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56979-2020</t>
        </is>
      </c>
      <c r="B705" s="1" t="n">
        <v>44138</v>
      </c>
      <c r="C705" s="1" t="n">
        <v>45291</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57119-2020</t>
        </is>
      </c>
      <c r="B706" s="1" t="n">
        <v>44139</v>
      </c>
      <c r="C706" s="1" t="n">
        <v>45291</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57896-2020</t>
        </is>
      </c>
      <c r="B707" s="1" t="n">
        <v>44141</v>
      </c>
      <c r="C707" s="1" t="n">
        <v>45291</v>
      </c>
      <c r="D707" t="inlineStr">
        <is>
          <t>VÄRMLANDS LÄN</t>
        </is>
      </c>
      <c r="E707" t="inlineStr">
        <is>
          <t>TORSBY</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57980-2020</t>
        </is>
      </c>
      <c r="B708" s="1" t="n">
        <v>44143</v>
      </c>
      <c r="C708" s="1" t="n">
        <v>45291</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58078-2020</t>
        </is>
      </c>
      <c r="B709" s="1" t="n">
        <v>44144</v>
      </c>
      <c r="C709" s="1" t="n">
        <v>45291</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58599-2020</t>
        </is>
      </c>
      <c r="B710" s="1" t="n">
        <v>44145</v>
      </c>
      <c r="C710" s="1" t="n">
        <v>45291</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58574-2020</t>
        </is>
      </c>
      <c r="B711" s="1" t="n">
        <v>44145</v>
      </c>
      <c r="C711" s="1" t="n">
        <v>45291</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58643-2020</t>
        </is>
      </c>
      <c r="B712" s="1" t="n">
        <v>44145</v>
      </c>
      <c r="C712" s="1" t="n">
        <v>45291</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58680-2020</t>
        </is>
      </c>
      <c r="B713" s="1" t="n">
        <v>44146</v>
      </c>
      <c r="C713" s="1" t="n">
        <v>45291</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58877-2020</t>
        </is>
      </c>
      <c r="B714" s="1" t="n">
        <v>44146</v>
      </c>
      <c r="C714" s="1" t="n">
        <v>45291</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58930-2020</t>
        </is>
      </c>
      <c r="B715" s="1" t="n">
        <v>44146</v>
      </c>
      <c r="C715" s="1" t="n">
        <v>45291</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59800-2020</t>
        </is>
      </c>
      <c r="B716" s="1" t="n">
        <v>44151</v>
      </c>
      <c r="C716" s="1" t="n">
        <v>45291</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60167-2020</t>
        </is>
      </c>
      <c r="B717" s="1" t="n">
        <v>44152</v>
      </c>
      <c r="C717" s="1" t="n">
        <v>45291</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60533-2020</t>
        </is>
      </c>
      <c r="B718" s="1" t="n">
        <v>44153</v>
      </c>
      <c r="C718" s="1" t="n">
        <v>45291</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60719-2020</t>
        </is>
      </c>
      <c r="B719" s="1" t="n">
        <v>44153</v>
      </c>
      <c r="C719" s="1" t="n">
        <v>45291</v>
      </c>
      <c r="D719" t="inlineStr">
        <is>
          <t>VÄRMLANDS LÄN</t>
        </is>
      </c>
      <c r="E719" t="inlineStr">
        <is>
          <t>TORSBY</t>
        </is>
      </c>
      <c r="G719" t="n">
        <v>2.6</v>
      </c>
      <c r="H719" t="n">
        <v>0</v>
      </c>
      <c r="I719" t="n">
        <v>0</v>
      </c>
      <c r="J719" t="n">
        <v>0</v>
      </c>
      <c r="K719" t="n">
        <v>0</v>
      </c>
      <c r="L719" t="n">
        <v>0</v>
      </c>
      <c r="M719" t="n">
        <v>0</v>
      </c>
      <c r="N719" t="n">
        <v>0</v>
      </c>
      <c r="O719" t="n">
        <v>0</v>
      </c>
      <c r="P719" t="n">
        <v>0</v>
      </c>
      <c r="Q719" t="n">
        <v>0</v>
      </c>
      <c r="R719" s="2" t="inlineStr"/>
    </row>
    <row r="720" ht="15" customHeight="1">
      <c r="A720" t="inlineStr">
        <is>
          <t>A 60823-2020</t>
        </is>
      </c>
      <c r="B720" s="1" t="n">
        <v>44153</v>
      </c>
      <c r="C720" s="1" t="n">
        <v>45291</v>
      </c>
      <c r="D720" t="inlineStr">
        <is>
          <t>VÄRMLANDS LÄN</t>
        </is>
      </c>
      <c r="E720" t="inlineStr">
        <is>
          <t>TORSBY</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60941-2020</t>
        </is>
      </c>
      <c r="B721" s="1" t="n">
        <v>44154</v>
      </c>
      <c r="C721" s="1" t="n">
        <v>45291</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61009-2020</t>
        </is>
      </c>
      <c r="B722" s="1" t="n">
        <v>44154</v>
      </c>
      <c r="C722" s="1" t="n">
        <v>45291</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61594-2020</t>
        </is>
      </c>
      <c r="B723" s="1" t="n">
        <v>44154</v>
      </c>
      <c r="C723" s="1" t="n">
        <v>45291</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45291</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61738-2020</t>
        </is>
      </c>
      <c r="B725" s="1" t="n">
        <v>44158</v>
      </c>
      <c r="C725" s="1" t="n">
        <v>45291</v>
      </c>
      <c r="D725" t="inlineStr">
        <is>
          <t>VÄRMLANDS LÄN</t>
        </is>
      </c>
      <c r="E725" t="inlineStr">
        <is>
          <t>TORSBY</t>
        </is>
      </c>
      <c r="F725" t="inlineStr">
        <is>
          <t>Kommuner</t>
        </is>
      </c>
      <c r="G725" t="n">
        <v>5.8</v>
      </c>
      <c r="H725" t="n">
        <v>0</v>
      </c>
      <c r="I725" t="n">
        <v>0</v>
      </c>
      <c r="J725" t="n">
        <v>0</v>
      </c>
      <c r="K725" t="n">
        <v>0</v>
      </c>
      <c r="L725" t="n">
        <v>0</v>
      </c>
      <c r="M725" t="n">
        <v>0</v>
      </c>
      <c r="N725" t="n">
        <v>0</v>
      </c>
      <c r="O725" t="n">
        <v>0</v>
      </c>
      <c r="P725" t="n">
        <v>0</v>
      </c>
      <c r="Q725" t="n">
        <v>0</v>
      </c>
      <c r="R725" s="2" t="inlineStr"/>
    </row>
    <row r="726" ht="15" customHeight="1">
      <c r="A726" t="inlineStr">
        <is>
          <t>A 61753-2020</t>
        </is>
      </c>
      <c r="B726" s="1" t="n">
        <v>44158</v>
      </c>
      <c r="C726" s="1" t="n">
        <v>45291</v>
      </c>
      <c r="D726" t="inlineStr">
        <is>
          <t>VÄRMLANDS LÄN</t>
        </is>
      </c>
      <c r="E726" t="inlineStr">
        <is>
          <t>TORSBY</t>
        </is>
      </c>
      <c r="G726" t="n">
        <v>2.2</v>
      </c>
      <c r="H726" t="n">
        <v>0</v>
      </c>
      <c r="I726" t="n">
        <v>0</v>
      </c>
      <c r="J726" t="n">
        <v>0</v>
      </c>
      <c r="K726" t="n">
        <v>0</v>
      </c>
      <c r="L726" t="n">
        <v>0</v>
      </c>
      <c r="M726" t="n">
        <v>0</v>
      </c>
      <c r="N726" t="n">
        <v>0</v>
      </c>
      <c r="O726" t="n">
        <v>0</v>
      </c>
      <c r="P726" t="n">
        <v>0</v>
      </c>
      <c r="Q726" t="n">
        <v>0</v>
      </c>
      <c r="R726" s="2" t="inlineStr"/>
    </row>
    <row r="727" ht="15" customHeight="1">
      <c r="A727" t="inlineStr">
        <is>
          <t>A 61998-2020</t>
        </is>
      </c>
      <c r="B727" s="1" t="n">
        <v>44158</v>
      </c>
      <c r="C727" s="1" t="n">
        <v>45291</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61910-2020</t>
        </is>
      </c>
      <c r="B728" s="1" t="n">
        <v>44159</v>
      </c>
      <c r="C728" s="1" t="n">
        <v>45291</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61956-2020</t>
        </is>
      </c>
      <c r="B729" s="1" t="n">
        <v>44159</v>
      </c>
      <c r="C729" s="1" t="n">
        <v>45291</v>
      </c>
      <c r="D729" t="inlineStr">
        <is>
          <t>VÄRMLANDS LÄN</t>
        </is>
      </c>
      <c r="E729" t="inlineStr">
        <is>
          <t>TORSBY</t>
        </is>
      </c>
      <c r="F729" t="inlineStr">
        <is>
          <t>Kommuner</t>
        </is>
      </c>
      <c r="G729" t="n">
        <v>7.5</v>
      </c>
      <c r="H729" t="n">
        <v>0</v>
      </c>
      <c r="I729" t="n">
        <v>0</v>
      </c>
      <c r="J729" t="n">
        <v>0</v>
      </c>
      <c r="K729" t="n">
        <v>0</v>
      </c>
      <c r="L729" t="n">
        <v>0</v>
      </c>
      <c r="M729" t="n">
        <v>0</v>
      </c>
      <c r="N729" t="n">
        <v>0</v>
      </c>
      <c r="O729" t="n">
        <v>0</v>
      </c>
      <c r="P729" t="n">
        <v>0</v>
      </c>
      <c r="Q729" t="n">
        <v>0</v>
      </c>
      <c r="R729" s="2" t="inlineStr"/>
    </row>
    <row r="730" ht="15" customHeight="1">
      <c r="A730" t="inlineStr">
        <is>
          <t>A 62209-2020</t>
        </is>
      </c>
      <c r="B730" s="1" t="n">
        <v>44159</v>
      </c>
      <c r="C730" s="1" t="n">
        <v>45291</v>
      </c>
      <c r="D730" t="inlineStr">
        <is>
          <t>VÄRMLANDS LÄN</t>
        </is>
      </c>
      <c r="E730" t="inlineStr">
        <is>
          <t>TORSBY</t>
        </is>
      </c>
      <c r="F730" t="inlineStr">
        <is>
          <t>Kommuner</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62211-2020</t>
        </is>
      </c>
      <c r="B731" s="1" t="n">
        <v>44159</v>
      </c>
      <c r="C731" s="1" t="n">
        <v>45291</v>
      </c>
      <c r="D731" t="inlineStr">
        <is>
          <t>VÄRMLANDS LÄN</t>
        </is>
      </c>
      <c r="E731" t="inlineStr">
        <is>
          <t>TORSBY</t>
        </is>
      </c>
      <c r="F731" t="inlineStr">
        <is>
          <t>Kommuner</t>
        </is>
      </c>
      <c r="G731" t="n">
        <v>3.2</v>
      </c>
      <c r="H731" t="n">
        <v>0</v>
      </c>
      <c r="I731" t="n">
        <v>0</v>
      </c>
      <c r="J731" t="n">
        <v>0</v>
      </c>
      <c r="K731" t="n">
        <v>0</v>
      </c>
      <c r="L731" t="n">
        <v>0</v>
      </c>
      <c r="M731" t="n">
        <v>0</v>
      </c>
      <c r="N731" t="n">
        <v>0</v>
      </c>
      <c r="O731" t="n">
        <v>0</v>
      </c>
      <c r="P731" t="n">
        <v>0</v>
      </c>
      <c r="Q731" t="n">
        <v>0</v>
      </c>
      <c r="R731" s="2" t="inlineStr"/>
    </row>
    <row r="732" ht="15" customHeight="1">
      <c r="A732" t="inlineStr">
        <is>
          <t>A 62915-2020</t>
        </is>
      </c>
      <c r="B732" s="1" t="n">
        <v>44162</v>
      </c>
      <c r="C732" s="1" t="n">
        <v>45291</v>
      </c>
      <c r="D732" t="inlineStr">
        <is>
          <t>VÄRMLANDS LÄN</t>
        </is>
      </c>
      <c r="E732" t="inlineStr">
        <is>
          <t>TORSBY</t>
        </is>
      </c>
      <c r="G732" t="n">
        <v>4.6</v>
      </c>
      <c r="H732" t="n">
        <v>0</v>
      </c>
      <c r="I732" t="n">
        <v>0</v>
      </c>
      <c r="J732" t="n">
        <v>0</v>
      </c>
      <c r="K732" t="n">
        <v>0</v>
      </c>
      <c r="L732" t="n">
        <v>0</v>
      </c>
      <c r="M732" t="n">
        <v>0</v>
      </c>
      <c r="N732" t="n">
        <v>0</v>
      </c>
      <c r="O732" t="n">
        <v>0</v>
      </c>
      <c r="P732" t="n">
        <v>0</v>
      </c>
      <c r="Q732" t="n">
        <v>0</v>
      </c>
      <c r="R732" s="2" t="inlineStr"/>
    </row>
    <row r="733" ht="15" customHeight="1">
      <c r="A733" t="inlineStr">
        <is>
          <t>A 63565-2020</t>
        </is>
      </c>
      <c r="B733" s="1" t="n">
        <v>44165</v>
      </c>
      <c r="C733" s="1" t="n">
        <v>45291</v>
      </c>
      <c r="D733" t="inlineStr">
        <is>
          <t>VÄRMLANDS LÄN</t>
        </is>
      </c>
      <c r="E733" t="inlineStr">
        <is>
          <t>TORSBY</t>
        </is>
      </c>
      <c r="G733" t="n">
        <v>10.3</v>
      </c>
      <c r="H733" t="n">
        <v>0</v>
      </c>
      <c r="I733" t="n">
        <v>0</v>
      </c>
      <c r="J733" t="n">
        <v>0</v>
      </c>
      <c r="K733" t="n">
        <v>0</v>
      </c>
      <c r="L733" t="n">
        <v>0</v>
      </c>
      <c r="M733" t="n">
        <v>0</v>
      </c>
      <c r="N733" t="n">
        <v>0</v>
      </c>
      <c r="O733" t="n">
        <v>0</v>
      </c>
      <c r="P733" t="n">
        <v>0</v>
      </c>
      <c r="Q733" t="n">
        <v>0</v>
      </c>
      <c r="R733" s="2" t="inlineStr"/>
    </row>
    <row r="734" ht="15" customHeight="1">
      <c r="A734" t="inlineStr">
        <is>
          <t>A 64396-2020</t>
        </is>
      </c>
      <c r="B734" s="1" t="n">
        <v>44168</v>
      </c>
      <c r="C734" s="1" t="n">
        <v>45291</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64434-2020</t>
        </is>
      </c>
      <c r="B735" s="1" t="n">
        <v>44168</v>
      </c>
      <c r="C735" s="1" t="n">
        <v>45291</v>
      </c>
      <c r="D735" t="inlineStr">
        <is>
          <t>VÄRMLANDS LÄN</t>
        </is>
      </c>
      <c r="E735" t="inlineStr">
        <is>
          <t>TORSBY</t>
        </is>
      </c>
      <c r="G735" t="n">
        <v>7.7</v>
      </c>
      <c r="H735" t="n">
        <v>0</v>
      </c>
      <c r="I735" t="n">
        <v>0</v>
      </c>
      <c r="J735" t="n">
        <v>0</v>
      </c>
      <c r="K735" t="n">
        <v>0</v>
      </c>
      <c r="L735" t="n">
        <v>0</v>
      </c>
      <c r="M735" t="n">
        <v>0</v>
      </c>
      <c r="N735" t="n">
        <v>0</v>
      </c>
      <c r="O735" t="n">
        <v>0</v>
      </c>
      <c r="P735" t="n">
        <v>0</v>
      </c>
      <c r="Q735" t="n">
        <v>0</v>
      </c>
      <c r="R735" s="2" t="inlineStr"/>
    </row>
    <row r="736" ht="15" customHeight="1">
      <c r="A736" t="inlineStr">
        <is>
          <t>A 65369-2020</t>
        </is>
      </c>
      <c r="B736" s="1" t="n">
        <v>44169</v>
      </c>
      <c r="C736" s="1" t="n">
        <v>45291</v>
      </c>
      <c r="D736" t="inlineStr">
        <is>
          <t>VÄRMLANDS LÄN</t>
        </is>
      </c>
      <c r="E736" t="inlineStr">
        <is>
          <t>TORSBY</t>
        </is>
      </c>
      <c r="G736" t="n">
        <v>32.5</v>
      </c>
      <c r="H736" t="n">
        <v>0</v>
      </c>
      <c r="I736" t="n">
        <v>0</v>
      </c>
      <c r="J736" t="n">
        <v>0</v>
      </c>
      <c r="K736" t="n">
        <v>0</v>
      </c>
      <c r="L736" t="n">
        <v>0</v>
      </c>
      <c r="M736" t="n">
        <v>0</v>
      </c>
      <c r="N736" t="n">
        <v>0</v>
      </c>
      <c r="O736" t="n">
        <v>0</v>
      </c>
      <c r="P736" t="n">
        <v>0</v>
      </c>
      <c r="Q736" t="n">
        <v>0</v>
      </c>
      <c r="R736" s="2" t="inlineStr"/>
    </row>
    <row r="737" ht="15" customHeight="1">
      <c r="A737" t="inlineStr">
        <is>
          <t>A 65482-2020</t>
        </is>
      </c>
      <c r="B737" s="1" t="n">
        <v>44169</v>
      </c>
      <c r="C737" s="1" t="n">
        <v>45291</v>
      </c>
      <c r="D737" t="inlineStr">
        <is>
          <t>VÄRMLANDS LÄN</t>
        </is>
      </c>
      <c r="E737" t="inlineStr">
        <is>
          <t>TORSBY</t>
        </is>
      </c>
      <c r="F737" t="inlineStr">
        <is>
          <t>Kyrkan</t>
        </is>
      </c>
      <c r="G737" t="n">
        <v>21.6</v>
      </c>
      <c r="H737" t="n">
        <v>0</v>
      </c>
      <c r="I737" t="n">
        <v>0</v>
      </c>
      <c r="J737" t="n">
        <v>0</v>
      </c>
      <c r="K737" t="n">
        <v>0</v>
      </c>
      <c r="L737" t="n">
        <v>0</v>
      </c>
      <c r="M737" t="n">
        <v>0</v>
      </c>
      <c r="N737" t="n">
        <v>0</v>
      </c>
      <c r="O737" t="n">
        <v>0</v>
      </c>
      <c r="P737" t="n">
        <v>0</v>
      </c>
      <c r="Q737" t="n">
        <v>0</v>
      </c>
      <c r="R737" s="2" t="inlineStr"/>
    </row>
    <row r="738" ht="15" customHeight="1">
      <c r="A738" t="inlineStr">
        <is>
          <t>A 65398-2020</t>
        </is>
      </c>
      <c r="B738" s="1" t="n">
        <v>44169</v>
      </c>
      <c r="C738" s="1" t="n">
        <v>45291</v>
      </c>
      <c r="D738" t="inlineStr">
        <is>
          <t>VÄRMLANDS LÄN</t>
        </is>
      </c>
      <c r="E738" t="inlineStr">
        <is>
          <t>TORSBY</t>
        </is>
      </c>
      <c r="G738" t="n">
        <v>3.6</v>
      </c>
      <c r="H738" t="n">
        <v>0</v>
      </c>
      <c r="I738" t="n">
        <v>0</v>
      </c>
      <c r="J738" t="n">
        <v>0</v>
      </c>
      <c r="K738" t="n">
        <v>0</v>
      </c>
      <c r="L738" t="n">
        <v>0</v>
      </c>
      <c r="M738" t="n">
        <v>0</v>
      </c>
      <c r="N738" t="n">
        <v>0</v>
      </c>
      <c r="O738" t="n">
        <v>0</v>
      </c>
      <c r="P738" t="n">
        <v>0</v>
      </c>
      <c r="Q738" t="n">
        <v>0</v>
      </c>
      <c r="R738" s="2" t="inlineStr"/>
    </row>
    <row r="739" ht="15" customHeight="1">
      <c r="A739" t="inlineStr">
        <is>
          <t>A 65678-2020</t>
        </is>
      </c>
      <c r="B739" s="1" t="n">
        <v>44172</v>
      </c>
      <c r="C739" s="1" t="n">
        <v>45291</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65827-2020</t>
        </is>
      </c>
      <c r="B740" s="1" t="n">
        <v>44173</v>
      </c>
      <c r="C740" s="1" t="n">
        <v>45291</v>
      </c>
      <c r="D740" t="inlineStr">
        <is>
          <t>VÄRMLANDS LÄN</t>
        </is>
      </c>
      <c r="E740" t="inlineStr">
        <is>
          <t>TORSBY</t>
        </is>
      </c>
      <c r="G740" t="n">
        <v>6.7</v>
      </c>
      <c r="H740" t="n">
        <v>0</v>
      </c>
      <c r="I740" t="n">
        <v>0</v>
      </c>
      <c r="J740" t="n">
        <v>0</v>
      </c>
      <c r="K740" t="n">
        <v>0</v>
      </c>
      <c r="L740" t="n">
        <v>0</v>
      </c>
      <c r="M740" t="n">
        <v>0</v>
      </c>
      <c r="N740" t="n">
        <v>0</v>
      </c>
      <c r="O740" t="n">
        <v>0</v>
      </c>
      <c r="P740" t="n">
        <v>0</v>
      </c>
      <c r="Q740" t="n">
        <v>0</v>
      </c>
      <c r="R740" s="2" t="inlineStr"/>
    </row>
    <row r="741" ht="15" customHeight="1">
      <c r="A741" t="inlineStr">
        <is>
          <t>A 66703-2020</t>
        </is>
      </c>
      <c r="B741" s="1" t="n">
        <v>44174</v>
      </c>
      <c r="C741" s="1" t="n">
        <v>45291</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66194-2020</t>
        </is>
      </c>
      <c r="B742" s="1" t="n">
        <v>44175</v>
      </c>
      <c r="C742" s="1" t="n">
        <v>45291</v>
      </c>
      <c r="D742" t="inlineStr">
        <is>
          <t>VÄRMLANDS LÄN</t>
        </is>
      </c>
      <c r="E742" t="inlineStr">
        <is>
          <t>TORSBY</t>
        </is>
      </c>
      <c r="F742" t="inlineStr">
        <is>
          <t>Bergvik skog väst AB</t>
        </is>
      </c>
      <c r="G742" t="n">
        <v>18.4</v>
      </c>
      <c r="H742" t="n">
        <v>0</v>
      </c>
      <c r="I742" t="n">
        <v>0</v>
      </c>
      <c r="J742" t="n">
        <v>0</v>
      </c>
      <c r="K742" t="n">
        <v>0</v>
      </c>
      <c r="L742" t="n">
        <v>0</v>
      </c>
      <c r="M742" t="n">
        <v>0</v>
      </c>
      <c r="N742" t="n">
        <v>0</v>
      </c>
      <c r="O742" t="n">
        <v>0</v>
      </c>
      <c r="P742" t="n">
        <v>0</v>
      </c>
      <c r="Q742" t="n">
        <v>0</v>
      </c>
      <c r="R742" s="2" t="inlineStr"/>
    </row>
    <row r="743" ht="15" customHeight="1">
      <c r="A743" t="inlineStr">
        <is>
          <t>A 66326-2020</t>
        </is>
      </c>
      <c r="B743" s="1" t="n">
        <v>44176</v>
      </c>
      <c r="C743" s="1" t="n">
        <v>45291</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67084-2020</t>
        </is>
      </c>
      <c r="B744" s="1" t="n">
        <v>44179</v>
      </c>
      <c r="C744" s="1" t="n">
        <v>45291</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67547-2020</t>
        </is>
      </c>
      <c r="B745" s="1" t="n">
        <v>44181</v>
      </c>
      <c r="C745" s="1" t="n">
        <v>45291</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67464-2020</t>
        </is>
      </c>
      <c r="B746" s="1" t="n">
        <v>44181</v>
      </c>
      <c r="C746" s="1" t="n">
        <v>45291</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67734-2020</t>
        </is>
      </c>
      <c r="B747" s="1" t="n">
        <v>44182</v>
      </c>
      <c r="C747" s="1" t="n">
        <v>45291</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68220-2020</t>
        </is>
      </c>
      <c r="B748" s="1" t="n">
        <v>44183</v>
      </c>
      <c r="C748" s="1" t="n">
        <v>45291</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68238-2020</t>
        </is>
      </c>
      <c r="B749" s="1" t="n">
        <v>44183</v>
      </c>
      <c r="C749" s="1" t="n">
        <v>45291</v>
      </c>
      <c r="D749" t="inlineStr">
        <is>
          <t>VÄRMLANDS LÄN</t>
        </is>
      </c>
      <c r="E749" t="inlineStr">
        <is>
          <t>TORSBY</t>
        </is>
      </c>
      <c r="F749" t="inlineStr">
        <is>
          <t>Bergvik skog väst AB</t>
        </is>
      </c>
      <c r="G749" t="n">
        <v>6.7</v>
      </c>
      <c r="H749" t="n">
        <v>0</v>
      </c>
      <c r="I749" t="n">
        <v>0</v>
      </c>
      <c r="J749" t="n">
        <v>0</v>
      </c>
      <c r="K749" t="n">
        <v>0</v>
      </c>
      <c r="L749" t="n">
        <v>0</v>
      </c>
      <c r="M749" t="n">
        <v>0</v>
      </c>
      <c r="N749" t="n">
        <v>0</v>
      </c>
      <c r="O749" t="n">
        <v>0</v>
      </c>
      <c r="P749" t="n">
        <v>0</v>
      </c>
      <c r="Q749" t="n">
        <v>0</v>
      </c>
      <c r="R749" s="2" t="inlineStr"/>
    </row>
    <row r="750" ht="15" customHeight="1">
      <c r="A750" t="inlineStr">
        <is>
          <t>A 68246-2020</t>
        </is>
      </c>
      <c r="B750" s="1" t="n">
        <v>44183</v>
      </c>
      <c r="C750" s="1" t="n">
        <v>45291</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68603-2020</t>
        </is>
      </c>
      <c r="B751" s="1" t="n">
        <v>44186</v>
      </c>
      <c r="C751" s="1" t="n">
        <v>45291</v>
      </c>
      <c r="D751" t="inlineStr">
        <is>
          <t>VÄRMLANDS LÄN</t>
        </is>
      </c>
      <c r="E751" t="inlineStr">
        <is>
          <t>TORSBY</t>
        </is>
      </c>
      <c r="G751" t="n">
        <v>11.2</v>
      </c>
      <c r="H751" t="n">
        <v>0</v>
      </c>
      <c r="I751" t="n">
        <v>0</v>
      </c>
      <c r="J751" t="n">
        <v>0</v>
      </c>
      <c r="K751" t="n">
        <v>0</v>
      </c>
      <c r="L751" t="n">
        <v>0</v>
      </c>
      <c r="M751" t="n">
        <v>0</v>
      </c>
      <c r="N751" t="n">
        <v>0</v>
      </c>
      <c r="O751" t="n">
        <v>0</v>
      </c>
      <c r="P751" t="n">
        <v>0</v>
      </c>
      <c r="Q751" t="n">
        <v>0</v>
      </c>
      <c r="R751" s="2" t="inlineStr"/>
    </row>
    <row r="752" ht="15" customHeight="1">
      <c r="A752" t="inlineStr">
        <is>
          <t>A 69245-2020</t>
        </is>
      </c>
      <c r="B752" s="1" t="n">
        <v>44192</v>
      </c>
      <c r="C752" s="1" t="n">
        <v>45291</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69250-2020</t>
        </is>
      </c>
      <c r="B753" s="1" t="n">
        <v>44192</v>
      </c>
      <c r="C753" s="1" t="n">
        <v>45291</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69242-2020</t>
        </is>
      </c>
      <c r="B754" s="1" t="n">
        <v>44192</v>
      </c>
      <c r="C754" s="1" t="n">
        <v>45291</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69247-2020</t>
        </is>
      </c>
      <c r="B755" s="1" t="n">
        <v>44192</v>
      </c>
      <c r="C755" s="1" t="n">
        <v>45291</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69244-2020</t>
        </is>
      </c>
      <c r="B756" s="1" t="n">
        <v>44192</v>
      </c>
      <c r="C756" s="1" t="n">
        <v>45291</v>
      </c>
      <c r="D756" t="inlineStr">
        <is>
          <t>VÄRMLANDS LÄN</t>
        </is>
      </c>
      <c r="E756" t="inlineStr">
        <is>
          <t>TORSBY</t>
        </is>
      </c>
      <c r="G756" t="n">
        <v>2.6</v>
      </c>
      <c r="H756" t="n">
        <v>0</v>
      </c>
      <c r="I756" t="n">
        <v>0</v>
      </c>
      <c r="J756" t="n">
        <v>0</v>
      </c>
      <c r="K756" t="n">
        <v>0</v>
      </c>
      <c r="L756" t="n">
        <v>0</v>
      </c>
      <c r="M756" t="n">
        <v>0</v>
      </c>
      <c r="N756" t="n">
        <v>0</v>
      </c>
      <c r="O756" t="n">
        <v>0</v>
      </c>
      <c r="P756" t="n">
        <v>0</v>
      </c>
      <c r="Q756" t="n">
        <v>0</v>
      </c>
      <c r="R756" s="2" t="inlineStr"/>
    </row>
    <row r="757" ht="15" customHeight="1">
      <c r="A757" t="inlineStr">
        <is>
          <t>A 69248-2020</t>
        </is>
      </c>
      <c r="B757" s="1" t="n">
        <v>44192</v>
      </c>
      <c r="C757" s="1" t="n">
        <v>45291</v>
      </c>
      <c r="D757" t="inlineStr">
        <is>
          <t>VÄRMLANDS LÄN</t>
        </is>
      </c>
      <c r="E757" t="inlineStr">
        <is>
          <t>TORSBY</t>
        </is>
      </c>
      <c r="G757" t="n">
        <v>0.4</v>
      </c>
      <c r="H757" t="n">
        <v>0</v>
      </c>
      <c r="I757" t="n">
        <v>0</v>
      </c>
      <c r="J757" t="n">
        <v>0</v>
      </c>
      <c r="K757" t="n">
        <v>0</v>
      </c>
      <c r="L757" t="n">
        <v>0</v>
      </c>
      <c r="M757" t="n">
        <v>0</v>
      </c>
      <c r="N757" t="n">
        <v>0</v>
      </c>
      <c r="O757" t="n">
        <v>0</v>
      </c>
      <c r="P757" t="n">
        <v>0</v>
      </c>
      <c r="Q757" t="n">
        <v>0</v>
      </c>
      <c r="R757" s="2" t="inlineStr"/>
    </row>
    <row r="758" ht="15" customHeight="1">
      <c r="A758" t="inlineStr">
        <is>
          <t>A 69241-2020</t>
        </is>
      </c>
      <c r="B758" s="1" t="n">
        <v>44192</v>
      </c>
      <c r="C758" s="1" t="n">
        <v>45291</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69246-2020</t>
        </is>
      </c>
      <c r="B759" s="1" t="n">
        <v>44192</v>
      </c>
      <c r="C759" s="1" t="n">
        <v>45291</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69434-2020</t>
        </is>
      </c>
      <c r="B760" s="1" t="n">
        <v>44194</v>
      </c>
      <c r="C760" s="1" t="n">
        <v>45291</v>
      </c>
      <c r="D760" t="inlineStr">
        <is>
          <t>VÄRMLANDS LÄN</t>
        </is>
      </c>
      <c r="E760" t="inlineStr">
        <is>
          <t>TORSBY</t>
        </is>
      </c>
      <c r="G760" t="n">
        <v>6.3</v>
      </c>
      <c r="H760" t="n">
        <v>0</v>
      </c>
      <c r="I760" t="n">
        <v>0</v>
      </c>
      <c r="J760" t="n">
        <v>0</v>
      </c>
      <c r="K760" t="n">
        <v>0</v>
      </c>
      <c r="L760" t="n">
        <v>0</v>
      </c>
      <c r="M760" t="n">
        <v>0</v>
      </c>
      <c r="N760" t="n">
        <v>0</v>
      </c>
      <c r="O760" t="n">
        <v>0</v>
      </c>
      <c r="P760" t="n">
        <v>0</v>
      </c>
      <c r="Q760" t="n">
        <v>0</v>
      </c>
      <c r="R760" s="2" t="inlineStr"/>
    </row>
    <row r="761" ht="15" customHeight="1">
      <c r="A761" t="inlineStr">
        <is>
          <t>A 69448-2020</t>
        </is>
      </c>
      <c r="B761" s="1" t="n">
        <v>44194</v>
      </c>
      <c r="C761" s="1" t="n">
        <v>45291</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69628-2020</t>
        </is>
      </c>
      <c r="B762" s="1" t="n">
        <v>44195</v>
      </c>
      <c r="C762" s="1" t="n">
        <v>45291</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339-2021</t>
        </is>
      </c>
      <c r="B763" s="1" t="n">
        <v>44201</v>
      </c>
      <c r="C763" s="1" t="n">
        <v>45291</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1516-2021</t>
        </is>
      </c>
      <c r="B764" s="1" t="n">
        <v>44209</v>
      </c>
      <c r="C764" s="1" t="n">
        <v>45291</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1526-2021</t>
        </is>
      </c>
      <c r="B765" s="1" t="n">
        <v>44209</v>
      </c>
      <c r="C765" s="1" t="n">
        <v>45291</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1535-2021</t>
        </is>
      </c>
      <c r="B766" s="1" t="n">
        <v>44209</v>
      </c>
      <c r="C766" s="1" t="n">
        <v>45291</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1544-2021</t>
        </is>
      </c>
      <c r="B767" s="1" t="n">
        <v>44209</v>
      </c>
      <c r="C767" s="1" t="n">
        <v>45291</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2321-2021</t>
        </is>
      </c>
      <c r="B768" s="1" t="n">
        <v>44214</v>
      </c>
      <c r="C768" s="1" t="n">
        <v>45291</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2576-2021</t>
        </is>
      </c>
      <c r="B769" s="1" t="n">
        <v>44214</v>
      </c>
      <c r="C769" s="1" t="n">
        <v>45291</v>
      </c>
      <c r="D769" t="inlineStr">
        <is>
          <t>VÄRMLANDS LÄN</t>
        </is>
      </c>
      <c r="E769" t="inlineStr">
        <is>
          <t>TORSBY</t>
        </is>
      </c>
      <c r="F769" t="inlineStr">
        <is>
          <t>Kommuner</t>
        </is>
      </c>
      <c r="G769" t="n">
        <v>0.6</v>
      </c>
      <c r="H769" t="n">
        <v>0</v>
      </c>
      <c r="I769" t="n">
        <v>0</v>
      </c>
      <c r="J769" t="n">
        <v>0</v>
      </c>
      <c r="K769" t="n">
        <v>0</v>
      </c>
      <c r="L769" t="n">
        <v>0</v>
      </c>
      <c r="M769" t="n">
        <v>0</v>
      </c>
      <c r="N769" t="n">
        <v>0</v>
      </c>
      <c r="O769" t="n">
        <v>0</v>
      </c>
      <c r="P769" t="n">
        <v>0</v>
      </c>
      <c r="Q769" t="n">
        <v>0</v>
      </c>
      <c r="R769" s="2" t="inlineStr"/>
    </row>
    <row r="770" ht="15" customHeight="1">
      <c r="A770" t="inlineStr">
        <is>
          <t>A 2758-2021</t>
        </is>
      </c>
      <c r="B770" s="1" t="n">
        <v>44215</v>
      </c>
      <c r="C770" s="1" t="n">
        <v>45291</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3160-2021</t>
        </is>
      </c>
      <c r="B771" s="1" t="n">
        <v>44217</v>
      </c>
      <c r="C771" s="1" t="n">
        <v>45291</v>
      </c>
      <c r="D771" t="inlineStr">
        <is>
          <t>VÄRMLANDS LÄN</t>
        </is>
      </c>
      <c r="E771" t="inlineStr">
        <is>
          <t>TORSBY</t>
        </is>
      </c>
      <c r="G771" t="n">
        <v>4.4</v>
      </c>
      <c r="H771" t="n">
        <v>0</v>
      </c>
      <c r="I771" t="n">
        <v>0</v>
      </c>
      <c r="J771" t="n">
        <v>0</v>
      </c>
      <c r="K771" t="n">
        <v>0</v>
      </c>
      <c r="L771" t="n">
        <v>0</v>
      </c>
      <c r="M771" t="n">
        <v>0</v>
      </c>
      <c r="N771" t="n">
        <v>0</v>
      </c>
      <c r="O771" t="n">
        <v>0</v>
      </c>
      <c r="P771" t="n">
        <v>0</v>
      </c>
      <c r="Q771" t="n">
        <v>0</v>
      </c>
      <c r="R771" s="2" t="inlineStr"/>
    </row>
    <row r="772" ht="15" customHeight="1">
      <c r="A772" t="inlineStr">
        <is>
          <t>A 3336-2021</t>
        </is>
      </c>
      <c r="B772" s="1" t="n">
        <v>44217</v>
      </c>
      <c r="C772" s="1" t="n">
        <v>45291</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4392-2021</t>
        </is>
      </c>
      <c r="B773" s="1" t="n">
        <v>44223</v>
      </c>
      <c r="C773" s="1" t="n">
        <v>45291</v>
      </c>
      <c r="D773" t="inlineStr">
        <is>
          <t>VÄRMLANDS LÄN</t>
        </is>
      </c>
      <c r="E773" t="inlineStr">
        <is>
          <t>TORSBY</t>
        </is>
      </c>
      <c r="G773" t="n">
        <v>3.8</v>
      </c>
      <c r="H773" t="n">
        <v>0</v>
      </c>
      <c r="I773" t="n">
        <v>0</v>
      </c>
      <c r="J773" t="n">
        <v>0</v>
      </c>
      <c r="K773" t="n">
        <v>0</v>
      </c>
      <c r="L773" t="n">
        <v>0</v>
      </c>
      <c r="M773" t="n">
        <v>0</v>
      </c>
      <c r="N773" t="n">
        <v>0</v>
      </c>
      <c r="O773" t="n">
        <v>0</v>
      </c>
      <c r="P773" t="n">
        <v>0</v>
      </c>
      <c r="Q773" t="n">
        <v>0</v>
      </c>
      <c r="R773" s="2" t="inlineStr"/>
    </row>
    <row r="774" ht="15" customHeight="1">
      <c r="A774" t="inlineStr">
        <is>
          <t>A 4558-2021</t>
        </is>
      </c>
      <c r="B774" s="1" t="n">
        <v>44223</v>
      </c>
      <c r="C774" s="1" t="n">
        <v>45291</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4393-2021</t>
        </is>
      </c>
      <c r="B775" s="1" t="n">
        <v>44223</v>
      </c>
      <c r="C775" s="1" t="n">
        <v>45291</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4564-2021</t>
        </is>
      </c>
      <c r="B776" s="1" t="n">
        <v>44223</v>
      </c>
      <c r="C776" s="1" t="n">
        <v>45291</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4479-2021</t>
        </is>
      </c>
      <c r="B777" s="1" t="n">
        <v>44224</v>
      </c>
      <c r="C777" s="1" t="n">
        <v>45291</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4711-2021</t>
        </is>
      </c>
      <c r="B778" s="1" t="n">
        <v>44225</v>
      </c>
      <c r="C778" s="1" t="n">
        <v>45291</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5050-2021</t>
        </is>
      </c>
      <c r="B779" s="1" t="n">
        <v>44228</v>
      </c>
      <c r="C779" s="1" t="n">
        <v>45291</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5105-2021</t>
        </is>
      </c>
      <c r="B780" s="1" t="n">
        <v>44228</v>
      </c>
      <c r="C780" s="1" t="n">
        <v>45291</v>
      </c>
      <c r="D780" t="inlineStr">
        <is>
          <t>VÄRMLANDS LÄN</t>
        </is>
      </c>
      <c r="E780" t="inlineStr">
        <is>
          <t>TORSBY</t>
        </is>
      </c>
      <c r="G780" t="n">
        <v>5.6</v>
      </c>
      <c r="H780" t="n">
        <v>0</v>
      </c>
      <c r="I780" t="n">
        <v>0</v>
      </c>
      <c r="J780" t="n">
        <v>0</v>
      </c>
      <c r="K780" t="n">
        <v>0</v>
      </c>
      <c r="L780" t="n">
        <v>0</v>
      </c>
      <c r="M780" t="n">
        <v>0</v>
      </c>
      <c r="N780" t="n">
        <v>0</v>
      </c>
      <c r="O780" t="n">
        <v>0</v>
      </c>
      <c r="P780" t="n">
        <v>0</v>
      </c>
      <c r="Q780" t="n">
        <v>0</v>
      </c>
      <c r="R780" s="2" t="inlineStr"/>
    </row>
    <row r="781" ht="15" customHeight="1">
      <c r="A781" t="inlineStr">
        <is>
          <t>A 5365-2021</t>
        </is>
      </c>
      <c r="B781" s="1" t="n">
        <v>44229</v>
      </c>
      <c r="C781" s="1" t="n">
        <v>45291</v>
      </c>
      <c r="D781" t="inlineStr">
        <is>
          <t>VÄRMLANDS LÄN</t>
        </is>
      </c>
      <c r="E781" t="inlineStr">
        <is>
          <t>TORSBY</t>
        </is>
      </c>
      <c r="G781" t="n">
        <v>8.1</v>
      </c>
      <c r="H781" t="n">
        <v>0</v>
      </c>
      <c r="I781" t="n">
        <v>0</v>
      </c>
      <c r="J781" t="n">
        <v>0</v>
      </c>
      <c r="K781" t="n">
        <v>0</v>
      </c>
      <c r="L781" t="n">
        <v>0</v>
      </c>
      <c r="M781" t="n">
        <v>0</v>
      </c>
      <c r="N781" t="n">
        <v>0</v>
      </c>
      <c r="O781" t="n">
        <v>0</v>
      </c>
      <c r="P781" t="n">
        <v>0</v>
      </c>
      <c r="Q781" t="n">
        <v>0</v>
      </c>
      <c r="R781" s="2" t="inlineStr"/>
    </row>
    <row r="782" ht="15" customHeight="1">
      <c r="A782" t="inlineStr">
        <is>
          <t>A 5572-2021</t>
        </is>
      </c>
      <c r="B782" s="1" t="n">
        <v>44230</v>
      </c>
      <c r="C782" s="1" t="n">
        <v>45291</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5839-2021</t>
        </is>
      </c>
      <c r="B783" s="1" t="n">
        <v>44231</v>
      </c>
      <c r="C783" s="1" t="n">
        <v>45291</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6063-2021</t>
        </is>
      </c>
      <c r="B784" s="1" t="n">
        <v>44232</v>
      </c>
      <c r="C784" s="1" t="n">
        <v>45291</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6111-2021</t>
        </is>
      </c>
      <c r="B785" s="1" t="n">
        <v>44232</v>
      </c>
      <c r="C785" s="1" t="n">
        <v>45291</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6121-2021</t>
        </is>
      </c>
      <c r="B786" s="1" t="n">
        <v>44232</v>
      </c>
      <c r="C786" s="1" t="n">
        <v>45291</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6068-2021</t>
        </is>
      </c>
      <c r="B787" s="1" t="n">
        <v>44232</v>
      </c>
      <c r="C787" s="1" t="n">
        <v>45291</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6102-2021</t>
        </is>
      </c>
      <c r="B788" s="1" t="n">
        <v>44232</v>
      </c>
      <c r="C788" s="1" t="n">
        <v>45291</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6656-2021</t>
        </is>
      </c>
      <c r="B789" s="1" t="n">
        <v>44236</v>
      </c>
      <c r="C789" s="1" t="n">
        <v>45291</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7661-2021</t>
        </is>
      </c>
      <c r="B790" s="1" t="n">
        <v>44242</v>
      </c>
      <c r="C790" s="1" t="n">
        <v>45291</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8034-2021</t>
        </is>
      </c>
      <c r="B791" s="1" t="n">
        <v>44243</v>
      </c>
      <c r="C791" s="1" t="n">
        <v>45291</v>
      </c>
      <c r="D791" t="inlineStr">
        <is>
          <t>VÄRMLANDS LÄN</t>
        </is>
      </c>
      <c r="E791" t="inlineStr">
        <is>
          <t>TORSBY</t>
        </is>
      </c>
      <c r="G791" t="n">
        <v>15.4</v>
      </c>
      <c r="H791" t="n">
        <v>0</v>
      </c>
      <c r="I791" t="n">
        <v>0</v>
      </c>
      <c r="J791" t="n">
        <v>0</v>
      </c>
      <c r="K791" t="n">
        <v>0</v>
      </c>
      <c r="L791" t="n">
        <v>0</v>
      </c>
      <c r="M791" t="n">
        <v>0</v>
      </c>
      <c r="N791" t="n">
        <v>0</v>
      </c>
      <c r="O791" t="n">
        <v>0</v>
      </c>
      <c r="P791" t="n">
        <v>0</v>
      </c>
      <c r="Q791" t="n">
        <v>0</v>
      </c>
      <c r="R791" s="2" t="inlineStr"/>
    </row>
    <row r="792" ht="15" customHeight="1">
      <c r="A792" t="inlineStr">
        <is>
          <t>A 7898-2021</t>
        </is>
      </c>
      <c r="B792" s="1" t="n">
        <v>44243</v>
      </c>
      <c r="C792" s="1" t="n">
        <v>45291</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8910-2021</t>
        </is>
      </c>
      <c r="B793" s="1" t="n">
        <v>44246</v>
      </c>
      <c r="C793" s="1" t="n">
        <v>45291</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9775-2021</t>
        </is>
      </c>
      <c r="B794" s="1" t="n">
        <v>44252</v>
      </c>
      <c r="C794" s="1" t="n">
        <v>45291</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45291</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10118-2021</t>
        </is>
      </c>
      <c r="B796" s="1" t="n">
        <v>44256</v>
      </c>
      <c r="C796" s="1" t="n">
        <v>45291</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10579-2021</t>
        </is>
      </c>
      <c r="B797" s="1" t="n">
        <v>44257</v>
      </c>
      <c r="C797" s="1" t="n">
        <v>45291</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10778-2021</t>
        </is>
      </c>
      <c r="B798" s="1" t="n">
        <v>44259</v>
      </c>
      <c r="C798" s="1" t="n">
        <v>45291</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11695-2021</t>
        </is>
      </c>
      <c r="B799" s="1" t="n">
        <v>44264</v>
      </c>
      <c r="C799" s="1" t="n">
        <v>45291</v>
      </c>
      <c r="D799" t="inlineStr">
        <is>
          <t>VÄRMLANDS LÄN</t>
        </is>
      </c>
      <c r="E799" t="inlineStr">
        <is>
          <t>TORSBY</t>
        </is>
      </c>
      <c r="G799" t="n">
        <v>3</v>
      </c>
      <c r="H799" t="n">
        <v>0</v>
      </c>
      <c r="I799" t="n">
        <v>0</v>
      </c>
      <c r="J799" t="n">
        <v>0</v>
      </c>
      <c r="K799" t="n">
        <v>0</v>
      </c>
      <c r="L799" t="n">
        <v>0</v>
      </c>
      <c r="M799" t="n">
        <v>0</v>
      </c>
      <c r="N799" t="n">
        <v>0</v>
      </c>
      <c r="O799" t="n">
        <v>0</v>
      </c>
      <c r="P799" t="n">
        <v>0</v>
      </c>
      <c r="Q799" t="n">
        <v>0</v>
      </c>
      <c r="R799" s="2" t="inlineStr"/>
    </row>
    <row r="800" ht="15" customHeight="1">
      <c r="A800" t="inlineStr">
        <is>
          <t>A 11947-2021</t>
        </is>
      </c>
      <c r="B800" s="1" t="n">
        <v>44265</v>
      </c>
      <c r="C800" s="1" t="n">
        <v>45291</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13013-2021</t>
        </is>
      </c>
      <c r="B801" s="1" t="n">
        <v>44271</v>
      </c>
      <c r="C801" s="1" t="n">
        <v>45291</v>
      </c>
      <c r="D801" t="inlineStr">
        <is>
          <t>VÄRMLANDS LÄN</t>
        </is>
      </c>
      <c r="E801" t="inlineStr">
        <is>
          <t>TORSBY</t>
        </is>
      </c>
      <c r="G801" t="n">
        <v>7.7</v>
      </c>
      <c r="H801" t="n">
        <v>0</v>
      </c>
      <c r="I801" t="n">
        <v>0</v>
      </c>
      <c r="J801" t="n">
        <v>0</v>
      </c>
      <c r="K801" t="n">
        <v>0</v>
      </c>
      <c r="L801" t="n">
        <v>0</v>
      </c>
      <c r="M801" t="n">
        <v>0</v>
      </c>
      <c r="N801" t="n">
        <v>0</v>
      </c>
      <c r="O801" t="n">
        <v>0</v>
      </c>
      <c r="P801" t="n">
        <v>0</v>
      </c>
      <c r="Q801" t="n">
        <v>0</v>
      </c>
      <c r="R801" s="2" t="inlineStr"/>
    </row>
    <row r="802" ht="15" customHeight="1">
      <c r="A802" t="inlineStr">
        <is>
          <t>A 14942-2021</t>
        </is>
      </c>
      <c r="B802" s="1" t="n">
        <v>44281</v>
      </c>
      <c r="C802" s="1" t="n">
        <v>45291</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15279-2021</t>
        </is>
      </c>
      <c r="B803" s="1" t="n">
        <v>44284</v>
      </c>
      <c r="C803" s="1" t="n">
        <v>45291</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16191-2021</t>
        </is>
      </c>
      <c r="B804" s="1" t="n">
        <v>44285</v>
      </c>
      <c r="C804" s="1" t="n">
        <v>45291</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15854-2021</t>
        </is>
      </c>
      <c r="B805" s="1" t="n">
        <v>44286</v>
      </c>
      <c r="C805" s="1" t="n">
        <v>45291</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45291</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15945-2021</t>
        </is>
      </c>
      <c r="B807" s="1" t="n">
        <v>44287</v>
      </c>
      <c r="C807" s="1" t="n">
        <v>45291</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15939-2021</t>
        </is>
      </c>
      <c r="B808" s="1" t="n">
        <v>44287</v>
      </c>
      <c r="C808" s="1" t="n">
        <v>45291</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16303-2021</t>
        </is>
      </c>
      <c r="B809" s="1" t="n">
        <v>44292</v>
      </c>
      <c r="C809" s="1" t="n">
        <v>45291</v>
      </c>
      <c r="D809" t="inlineStr">
        <is>
          <t>VÄRMLANDS LÄN</t>
        </is>
      </c>
      <c r="E809" t="inlineStr">
        <is>
          <t>TORSBY</t>
        </is>
      </c>
      <c r="G809" t="n">
        <v>3.5</v>
      </c>
      <c r="H809" t="n">
        <v>0</v>
      </c>
      <c r="I809" t="n">
        <v>0</v>
      </c>
      <c r="J809" t="n">
        <v>0</v>
      </c>
      <c r="K809" t="n">
        <v>0</v>
      </c>
      <c r="L809" t="n">
        <v>0</v>
      </c>
      <c r="M809" t="n">
        <v>0</v>
      </c>
      <c r="N809" t="n">
        <v>0</v>
      </c>
      <c r="O809" t="n">
        <v>0</v>
      </c>
      <c r="P809" t="n">
        <v>0</v>
      </c>
      <c r="Q809" t="n">
        <v>0</v>
      </c>
      <c r="R809" s="2" t="inlineStr"/>
    </row>
    <row r="810" ht="15" customHeight="1">
      <c r="A810" t="inlineStr">
        <is>
          <t>A 16299-2021</t>
        </is>
      </c>
      <c r="B810" s="1" t="n">
        <v>44292</v>
      </c>
      <c r="C810" s="1" t="n">
        <v>45291</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16375-2021</t>
        </is>
      </c>
      <c r="B811" s="1" t="n">
        <v>44292</v>
      </c>
      <c r="C811" s="1" t="n">
        <v>45291</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17249-2021</t>
        </is>
      </c>
      <c r="B812" s="1" t="n">
        <v>44298</v>
      </c>
      <c r="C812" s="1" t="n">
        <v>45291</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17941-2021</t>
        </is>
      </c>
      <c r="B813" s="1" t="n">
        <v>44301</v>
      </c>
      <c r="C813" s="1" t="n">
        <v>45291</v>
      </c>
      <c r="D813" t="inlineStr">
        <is>
          <t>VÄRMLANDS LÄN</t>
        </is>
      </c>
      <c r="E813" t="inlineStr">
        <is>
          <t>TORSBY</t>
        </is>
      </c>
      <c r="F813" t="inlineStr">
        <is>
          <t>Kommuner</t>
        </is>
      </c>
      <c r="G813" t="n">
        <v>8</v>
      </c>
      <c r="H813" t="n">
        <v>0</v>
      </c>
      <c r="I813" t="n">
        <v>0</v>
      </c>
      <c r="J813" t="n">
        <v>0</v>
      </c>
      <c r="K813" t="n">
        <v>0</v>
      </c>
      <c r="L813" t="n">
        <v>0</v>
      </c>
      <c r="M813" t="n">
        <v>0</v>
      </c>
      <c r="N813" t="n">
        <v>0</v>
      </c>
      <c r="O813" t="n">
        <v>0</v>
      </c>
      <c r="P813" t="n">
        <v>0</v>
      </c>
      <c r="Q813" t="n">
        <v>0</v>
      </c>
      <c r="R813" s="2" t="inlineStr"/>
    </row>
    <row r="814" ht="15" customHeight="1">
      <c r="A814" t="inlineStr">
        <is>
          <t>A 17962-2021</t>
        </is>
      </c>
      <c r="B814" s="1" t="n">
        <v>44301</v>
      </c>
      <c r="C814" s="1" t="n">
        <v>45291</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17944-2021</t>
        </is>
      </c>
      <c r="B815" s="1" t="n">
        <v>44301</v>
      </c>
      <c r="C815" s="1" t="n">
        <v>45291</v>
      </c>
      <c r="D815" t="inlineStr">
        <is>
          <t>VÄRMLANDS LÄN</t>
        </is>
      </c>
      <c r="E815" t="inlineStr">
        <is>
          <t>TORSBY</t>
        </is>
      </c>
      <c r="F815" t="inlineStr">
        <is>
          <t>Kommuner</t>
        </is>
      </c>
      <c r="G815" t="n">
        <v>0.9</v>
      </c>
      <c r="H815" t="n">
        <v>0</v>
      </c>
      <c r="I815" t="n">
        <v>0</v>
      </c>
      <c r="J815" t="n">
        <v>0</v>
      </c>
      <c r="K815" t="n">
        <v>0</v>
      </c>
      <c r="L815" t="n">
        <v>0</v>
      </c>
      <c r="M815" t="n">
        <v>0</v>
      </c>
      <c r="N815" t="n">
        <v>0</v>
      </c>
      <c r="O815" t="n">
        <v>0</v>
      </c>
      <c r="P815" t="n">
        <v>0</v>
      </c>
      <c r="Q815" t="n">
        <v>0</v>
      </c>
      <c r="R815" s="2" t="inlineStr"/>
    </row>
    <row r="816" ht="15" customHeight="1">
      <c r="A816" t="inlineStr">
        <is>
          <t>A 23524-2021</t>
        </is>
      </c>
      <c r="B816" s="1" t="n">
        <v>44301</v>
      </c>
      <c r="C816" s="1" t="n">
        <v>45291</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18174-2021</t>
        </is>
      </c>
      <c r="B817" s="1" t="n">
        <v>44302</v>
      </c>
      <c r="C817" s="1" t="n">
        <v>45291</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18033-2021</t>
        </is>
      </c>
      <c r="B818" s="1" t="n">
        <v>44302</v>
      </c>
      <c r="C818" s="1" t="n">
        <v>45291</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18354-2021</t>
        </is>
      </c>
      <c r="B819" s="1" t="n">
        <v>44305</v>
      </c>
      <c r="C819" s="1" t="n">
        <v>45291</v>
      </c>
      <c r="D819" t="inlineStr">
        <is>
          <t>VÄRMLANDS LÄN</t>
        </is>
      </c>
      <c r="E819" t="inlineStr">
        <is>
          <t>TORSBY</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18344-2021</t>
        </is>
      </c>
      <c r="B820" s="1" t="n">
        <v>44305</v>
      </c>
      <c r="C820" s="1" t="n">
        <v>45291</v>
      </c>
      <c r="D820" t="inlineStr">
        <is>
          <t>VÄRMLANDS LÄN</t>
        </is>
      </c>
      <c r="E820" t="inlineStr">
        <is>
          <t>TORSBY</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18349-2021</t>
        </is>
      </c>
      <c r="B821" s="1" t="n">
        <v>44305</v>
      </c>
      <c r="C821" s="1" t="n">
        <v>45291</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18560-2021</t>
        </is>
      </c>
      <c r="B822" s="1" t="n">
        <v>44306</v>
      </c>
      <c r="C822" s="1" t="n">
        <v>45291</v>
      </c>
      <c r="D822" t="inlineStr">
        <is>
          <t>VÄRMLANDS LÄN</t>
        </is>
      </c>
      <c r="E822" t="inlineStr">
        <is>
          <t>TORSBY</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19031-2021</t>
        </is>
      </c>
      <c r="B823" s="1" t="n">
        <v>44308</v>
      </c>
      <c r="C823" s="1" t="n">
        <v>45291</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19338-2021</t>
        </is>
      </c>
      <c r="B824" s="1" t="n">
        <v>44309</v>
      </c>
      <c r="C824" s="1" t="n">
        <v>45291</v>
      </c>
      <c r="D824" t="inlineStr">
        <is>
          <t>VÄRMLANDS LÄN</t>
        </is>
      </c>
      <c r="E824" t="inlineStr">
        <is>
          <t>TORSBY</t>
        </is>
      </c>
      <c r="F824" t="inlineStr">
        <is>
          <t>Bergvik skog väst AB</t>
        </is>
      </c>
      <c r="G824" t="n">
        <v>3.7</v>
      </c>
      <c r="H824" t="n">
        <v>0</v>
      </c>
      <c r="I824" t="n">
        <v>0</v>
      </c>
      <c r="J824" t="n">
        <v>0</v>
      </c>
      <c r="K824" t="n">
        <v>0</v>
      </c>
      <c r="L824" t="n">
        <v>0</v>
      </c>
      <c r="M824" t="n">
        <v>0</v>
      </c>
      <c r="N824" t="n">
        <v>0</v>
      </c>
      <c r="O824" t="n">
        <v>0</v>
      </c>
      <c r="P824" t="n">
        <v>0</v>
      </c>
      <c r="Q824" t="n">
        <v>0</v>
      </c>
      <c r="R824" s="2" t="inlineStr"/>
    </row>
    <row r="825" ht="15" customHeight="1">
      <c r="A825" t="inlineStr">
        <is>
          <t>A 19375-2021</t>
        </is>
      </c>
      <c r="B825" s="1" t="n">
        <v>44309</v>
      </c>
      <c r="C825" s="1" t="n">
        <v>45291</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20182-2021</t>
        </is>
      </c>
      <c r="B826" s="1" t="n">
        <v>44312</v>
      </c>
      <c r="C826" s="1" t="n">
        <v>45291</v>
      </c>
      <c r="D826" t="inlineStr">
        <is>
          <t>VÄRMLANDS LÄN</t>
        </is>
      </c>
      <c r="E826" t="inlineStr">
        <is>
          <t>TORSBY</t>
        </is>
      </c>
      <c r="G826" t="n">
        <v>14.4</v>
      </c>
      <c r="H826" t="n">
        <v>0</v>
      </c>
      <c r="I826" t="n">
        <v>0</v>
      </c>
      <c r="J826" t="n">
        <v>0</v>
      </c>
      <c r="K826" t="n">
        <v>0</v>
      </c>
      <c r="L826" t="n">
        <v>0</v>
      </c>
      <c r="M826" t="n">
        <v>0</v>
      </c>
      <c r="N826" t="n">
        <v>0</v>
      </c>
      <c r="O826" t="n">
        <v>0</v>
      </c>
      <c r="P826" t="n">
        <v>0</v>
      </c>
      <c r="Q826" t="n">
        <v>0</v>
      </c>
      <c r="R826" s="2" t="inlineStr"/>
    </row>
    <row r="827" ht="15" customHeight="1">
      <c r="A827" t="inlineStr">
        <is>
          <t>A 20199-2021</t>
        </is>
      </c>
      <c r="B827" s="1" t="n">
        <v>44312</v>
      </c>
      <c r="C827" s="1" t="n">
        <v>45291</v>
      </c>
      <c r="D827" t="inlineStr">
        <is>
          <t>VÄRMLANDS LÄN</t>
        </is>
      </c>
      <c r="E827" t="inlineStr">
        <is>
          <t>TORSBY</t>
        </is>
      </c>
      <c r="G827" t="n">
        <v>11.4</v>
      </c>
      <c r="H827" t="n">
        <v>0</v>
      </c>
      <c r="I827" t="n">
        <v>0</v>
      </c>
      <c r="J827" t="n">
        <v>0</v>
      </c>
      <c r="K827" t="n">
        <v>0</v>
      </c>
      <c r="L827" t="n">
        <v>0</v>
      </c>
      <c r="M827" t="n">
        <v>0</v>
      </c>
      <c r="N827" t="n">
        <v>0</v>
      </c>
      <c r="O827" t="n">
        <v>0</v>
      </c>
      <c r="P827" t="n">
        <v>0</v>
      </c>
      <c r="Q827" t="n">
        <v>0</v>
      </c>
      <c r="R827" s="2" t="inlineStr"/>
    </row>
    <row r="828" ht="15" customHeight="1">
      <c r="A828" t="inlineStr">
        <is>
          <t>A 20170-2021</t>
        </is>
      </c>
      <c r="B828" s="1" t="n">
        <v>44312</v>
      </c>
      <c r="C828" s="1" t="n">
        <v>45291</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19877-2021</t>
        </is>
      </c>
      <c r="B829" s="1" t="n">
        <v>44313</v>
      </c>
      <c r="C829" s="1" t="n">
        <v>45291</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19974-2021</t>
        </is>
      </c>
      <c r="B830" s="1" t="n">
        <v>44313</v>
      </c>
      <c r="C830" s="1" t="n">
        <v>45291</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20122-2021</t>
        </is>
      </c>
      <c r="B831" s="1" t="n">
        <v>44314</v>
      </c>
      <c r="C831" s="1" t="n">
        <v>45291</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20895-2021</t>
        </is>
      </c>
      <c r="B832" s="1" t="n">
        <v>44319</v>
      </c>
      <c r="C832" s="1" t="n">
        <v>45291</v>
      </c>
      <c r="D832" t="inlineStr">
        <is>
          <t>VÄRMLANDS LÄN</t>
        </is>
      </c>
      <c r="E832" t="inlineStr">
        <is>
          <t>TORSBY</t>
        </is>
      </c>
      <c r="G832" t="n">
        <v>16.6</v>
      </c>
      <c r="H832" t="n">
        <v>0</v>
      </c>
      <c r="I832" t="n">
        <v>0</v>
      </c>
      <c r="J832" t="n">
        <v>0</v>
      </c>
      <c r="K832" t="n">
        <v>0</v>
      </c>
      <c r="L832" t="n">
        <v>0</v>
      </c>
      <c r="M832" t="n">
        <v>0</v>
      </c>
      <c r="N832" t="n">
        <v>0</v>
      </c>
      <c r="O832" t="n">
        <v>0</v>
      </c>
      <c r="P832" t="n">
        <v>0</v>
      </c>
      <c r="Q832" t="n">
        <v>0</v>
      </c>
      <c r="R832" s="2" t="inlineStr"/>
    </row>
    <row r="833" ht="15" customHeight="1">
      <c r="A833" t="inlineStr">
        <is>
          <t>A 21031-2021</t>
        </is>
      </c>
      <c r="B833" s="1" t="n">
        <v>44319</v>
      </c>
      <c r="C833" s="1" t="n">
        <v>45291</v>
      </c>
      <c r="D833" t="inlineStr">
        <is>
          <t>VÄRMLANDS LÄN</t>
        </is>
      </c>
      <c r="E833" t="inlineStr">
        <is>
          <t>TORSBY</t>
        </is>
      </c>
      <c r="G833" t="n">
        <v>1.2</v>
      </c>
      <c r="H833" t="n">
        <v>0</v>
      </c>
      <c r="I833" t="n">
        <v>0</v>
      </c>
      <c r="J833" t="n">
        <v>0</v>
      </c>
      <c r="K833" t="n">
        <v>0</v>
      </c>
      <c r="L833" t="n">
        <v>0</v>
      </c>
      <c r="M833" t="n">
        <v>0</v>
      </c>
      <c r="N833" t="n">
        <v>0</v>
      </c>
      <c r="O833" t="n">
        <v>0</v>
      </c>
      <c r="P833" t="n">
        <v>0</v>
      </c>
      <c r="Q833" t="n">
        <v>0</v>
      </c>
      <c r="R833" s="2" t="inlineStr"/>
    </row>
    <row r="834" ht="15" customHeight="1">
      <c r="A834" t="inlineStr">
        <is>
          <t>A 21206-2021</t>
        </is>
      </c>
      <c r="B834" s="1" t="n">
        <v>44320</v>
      </c>
      <c r="C834" s="1" t="n">
        <v>45291</v>
      </c>
      <c r="D834" t="inlineStr">
        <is>
          <t>VÄRMLANDS LÄN</t>
        </is>
      </c>
      <c r="E834" t="inlineStr">
        <is>
          <t>TORSBY</t>
        </is>
      </c>
      <c r="G834" t="n">
        <v>2.6</v>
      </c>
      <c r="H834" t="n">
        <v>0</v>
      </c>
      <c r="I834" t="n">
        <v>0</v>
      </c>
      <c r="J834" t="n">
        <v>0</v>
      </c>
      <c r="K834" t="n">
        <v>0</v>
      </c>
      <c r="L834" t="n">
        <v>0</v>
      </c>
      <c r="M834" t="n">
        <v>0</v>
      </c>
      <c r="N834" t="n">
        <v>0</v>
      </c>
      <c r="O834" t="n">
        <v>0</v>
      </c>
      <c r="P834" t="n">
        <v>0</v>
      </c>
      <c r="Q834" t="n">
        <v>0</v>
      </c>
      <c r="R834" s="2" t="inlineStr"/>
    </row>
    <row r="835" ht="15" customHeight="1">
      <c r="A835" t="inlineStr">
        <is>
          <t>A 22038-2021</t>
        </is>
      </c>
      <c r="B835" s="1" t="n">
        <v>44323</v>
      </c>
      <c r="C835" s="1" t="n">
        <v>45291</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22113-2021</t>
        </is>
      </c>
      <c r="B836" s="1" t="n">
        <v>44323</v>
      </c>
      <c r="C836" s="1" t="n">
        <v>45291</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22464-2021</t>
        </is>
      </c>
      <c r="B837" s="1" t="n">
        <v>44326</v>
      </c>
      <c r="C837" s="1" t="n">
        <v>45291</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22463-2021</t>
        </is>
      </c>
      <c r="B838" s="1" t="n">
        <v>44326</v>
      </c>
      <c r="C838" s="1" t="n">
        <v>45291</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22671-2021</t>
        </is>
      </c>
      <c r="B839" s="1" t="n">
        <v>44327</v>
      </c>
      <c r="C839" s="1" t="n">
        <v>45291</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22638-2021</t>
        </is>
      </c>
      <c r="B840" s="1" t="n">
        <v>44327</v>
      </c>
      <c r="C840" s="1" t="n">
        <v>45291</v>
      </c>
      <c r="D840" t="inlineStr">
        <is>
          <t>VÄRMLANDS LÄN</t>
        </is>
      </c>
      <c r="E840" t="inlineStr">
        <is>
          <t>TORSBY</t>
        </is>
      </c>
      <c r="G840" t="n">
        <v>1.8</v>
      </c>
      <c r="H840" t="n">
        <v>0</v>
      </c>
      <c r="I840" t="n">
        <v>0</v>
      </c>
      <c r="J840" t="n">
        <v>0</v>
      </c>
      <c r="K840" t="n">
        <v>0</v>
      </c>
      <c r="L840" t="n">
        <v>0</v>
      </c>
      <c r="M840" t="n">
        <v>0</v>
      </c>
      <c r="N840" t="n">
        <v>0</v>
      </c>
      <c r="O840" t="n">
        <v>0</v>
      </c>
      <c r="P840" t="n">
        <v>0</v>
      </c>
      <c r="Q840" t="n">
        <v>0</v>
      </c>
      <c r="R840" s="2" t="inlineStr"/>
    </row>
    <row r="841" ht="15" customHeight="1">
      <c r="A841" t="inlineStr">
        <is>
          <t>A 23191-2021</t>
        </is>
      </c>
      <c r="B841" s="1" t="n">
        <v>44328</v>
      </c>
      <c r="C841" s="1" t="n">
        <v>45291</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23194-2021</t>
        </is>
      </c>
      <c r="B842" s="1" t="n">
        <v>44328</v>
      </c>
      <c r="C842" s="1" t="n">
        <v>45291</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23435-2021</t>
        </is>
      </c>
      <c r="B843" s="1" t="n">
        <v>44333</v>
      </c>
      <c r="C843" s="1" t="n">
        <v>45291</v>
      </c>
      <c r="D843" t="inlineStr">
        <is>
          <t>VÄRMLANDS LÄN</t>
        </is>
      </c>
      <c r="E843" t="inlineStr">
        <is>
          <t>TORSBY</t>
        </is>
      </c>
      <c r="G843" t="n">
        <v>4.9</v>
      </c>
      <c r="H843" t="n">
        <v>0</v>
      </c>
      <c r="I843" t="n">
        <v>0</v>
      </c>
      <c r="J843" t="n">
        <v>0</v>
      </c>
      <c r="K843" t="n">
        <v>0</v>
      </c>
      <c r="L843" t="n">
        <v>0</v>
      </c>
      <c r="M843" t="n">
        <v>0</v>
      </c>
      <c r="N843" t="n">
        <v>0</v>
      </c>
      <c r="O843" t="n">
        <v>0</v>
      </c>
      <c r="P843" t="n">
        <v>0</v>
      </c>
      <c r="Q843" t="n">
        <v>0</v>
      </c>
      <c r="R843" s="2" t="inlineStr"/>
    </row>
    <row r="844" ht="15" customHeight="1">
      <c r="A844" t="inlineStr">
        <is>
          <t>A 23548-2021</t>
        </is>
      </c>
      <c r="B844" s="1" t="n">
        <v>44333</v>
      </c>
      <c r="C844" s="1" t="n">
        <v>45291</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45291</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23823-2021</t>
        </is>
      </c>
      <c r="B846" s="1" t="n">
        <v>44335</v>
      </c>
      <c r="C846" s="1" t="n">
        <v>45291</v>
      </c>
      <c r="D846" t="inlineStr">
        <is>
          <t>VÄRMLANDS LÄN</t>
        </is>
      </c>
      <c r="E846" t="inlineStr">
        <is>
          <t>TORSBY</t>
        </is>
      </c>
      <c r="G846" t="n">
        <v>3.1</v>
      </c>
      <c r="H846" t="n">
        <v>0</v>
      </c>
      <c r="I846" t="n">
        <v>0</v>
      </c>
      <c r="J846" t="n">
        <v>0</v>
      </c>
      <c r="K846" t="n">
        <v>0</v>
      </c>
      <c r="L846" t="n">
        <v>0</v>
      </c>
      <c r="M846" t="n">
        <v>0</v>
      </c>
      <c r="N846" t="n">
        <v>0</v>
      </c>
      <c r="O846" t="n">
        <v>0</v>
      </c>
      <c r="P846" t="n">
        <v>0</v>
      </c>
      <c r="Q846" t="n">
        <v>0</v>
      </c>
      <c r="R846" s="2" t="inlineStr"/>
    </row>
    <row r="847" ht="15" customHeight="1">
      <c r="A847" t="inlineStr">
        <is>
          <t>A 24054-2021</t>
        </is>
      </c>
      <c r="B847" s="1" t="n">
        <v>44336</v>
      </c>
      <c r="C847" s="1" t="n">
        <v>45291</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24150-2021</t>
        </is>
      </c>
      <c r="B848" s="1" t="n">
        <v>44336</v>
      </c>
      <c r="C848" s="1" t="n">
        <v>45291</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24165-2021</t>
        </is>
      </c>
      <c r="B849" s="1" t="n">
        <v>44336</v>
      </c>
      <c r="C849" s="1" t="n">
        <v>45291</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25096-2021</t>
        </is>
      </c>
      <c r="B850" s="1" t="n">
        <v>44341</v>
      </c>
      <c r="C850" s="1" t="n">
        <v>45291</v>
      </c>
      <c r="D850" t="inlineStr">
        <is>
          <t>VÄRMLANDS LÄN</t>
        </is>
      </c>
      <c r="E850" t="inlineStr">
        <is>
          <t>TORSBY</t>
        </is>
      </c>
      <c r="F850" t="inlineStr">
        <is>
          <t>Bergvik skog väst AB</t>
        </is>
      </c>
      <c r="G850" t="n">
        <v>14.7</v>
      </c>
      <c r="H850" t="n">
        <v>0</v>
      </c>
      <c r="I850" t="n">
        <v>0</v>
      </c>
      <c r="J850" t="n">
        <v>0</v>
      </c>
      <c r="K850" t="n">
        <v>0</v>
      </c>
      <c r="L850" t="n">
        <v>0</v>
      </c>
      <c r="M850" t="n">
        <v>0</v>
      </c>
      <c r="N850" t="n">
        <v>0</v>
      </c>
      <c r="O850" t="n">
        <v>0</v>
      </c>
      <c r="P850" t="n">
        <v>0</v>
      </c>
      <c r="Q850" t="n">
        <v>0</v>
      </c>
      <c r="R850" s="2" t="inlineStr"/>
    </row>
    <row r="851" ht="15" customHeight="1">
      <c r="A851" t="inlineStr">
        <is>
          <t>A 25247-2021</t>
        </is>
      </c>
      <c r="B851" s="1" t="n">
        <v>44342</v>
      </c>
      <c r="C851" s="1" t="n">
        <v>45291</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25920-2021</t>
        </is>
      </c>
      <c r="B852" s="1" t="n">
        <v>44344</v>
      </c>
      <c r="C852" s="1" t="n">
        <v>45291</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26082-2021</t>
        </is>
      </c>
      <c r="B853" s="1" t="n">
        <v>44344</v>
      </c>
      <c r="C853" s="1" t="n">
        <v>45291</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26223-2021</t>
        </is>
      </c>
      <c r="B854" s="1" t="n">
        <v>44347</v>
      </c>
      <c r="C854" s="1" t="n">
        <v>45291</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26558-2021</t>
        </is>
      </c>
      <c r="B855" s="1" t="n">
        <v>44348</v>
      </c>
      <c r="C855" s="1" t="n">
        <v>45291</v>
      </c>
      <c r="D855" t="inlineStr">
        <is>
          <t>VÄRMLANDS LÄN</t>
        </is>
      </c>
      <c r="E855" t="inlineStr">
        <is>
          <t>TORSBY</t>
        </is>
      </c>
      <c r="G855" t="n">
        <v>19.7</v>
      </c>
      <c r="H855" t="n">
        <v>0</v>
      </c>
      <c r="I855" t="n">
        <v>0</v>
      </c>
      <c r="J855" t="n">
        <v>0</v>
      </c>
      <c r="K855" t="n">
        <v>0</v>
      </c>
      <c r="L855" t="n">
        <v>0</v>
      </c>
      <c r="M855" t="n">
        <v>0</v>
      </c>
      <c r="N855" t="n">
        <v>0</v>
      </c>
      <c r="O855" t="n">
        <v>0</v>
      </c>
      <c r="P855" t="n">
        <v>0</v>
      </c>
      <c r="Q855" t="n">
        <v>0</v>
      </c>
      <c r="R855" s="2" t="inlineStr"/>
    </row>
    <row r="856" ht="15" customHeight="1">
      <c r="A856" t="inlineStr">
        <is>
          <t>A 27446-2021</t>
        </is>
      </c>
      <c r="B856" s="1" t="n">
        <v>44351</v>
      </c>
      <c r="C856" s="1" t="n">
        <v>45291</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27411-2021</t>
        </is>
      </c>
      <c r="B857" s="1" t="n">
        <v>44351</v>
      </c>
      <c r="C857" s="1" t="n">
        <v>45291</v>
      </c>
      <c r="D857" t="inlineStr">
        <is>
          <t>VÄRMLANDS LÄN</t>
        </is>
      </c>
      <c r="E857" t="inlineStr">
        <is>
          <t>TORSBY</t>
        </is>
      </c>
      <c r="G857" t="n">
        <v>2.5</v>
      </c>
      <c r="H857" t="n">
        <v>0</v>
      </c>
      <c r="I857" t="n">
        <v>0</v>
      </c>
      <c r="J857" t="n">
        <v>0</v>
      </c>
      <c r="K857" t="n">
        <v>0</v>
      </c>
      <c r="L857" t="n">
        <v>0</v>
      </c>
      <c r="M857" t="n">
        <v>0</v>
      </c>
      <c r="N857" t="n">
        <v>0</v>
      </c>
      <c r="O857" t="n">
        <v>0</v>
      </c>
      <c r="P857" t="n">
        <v>0</v>
      </c>
      <c r="Q857" t="n">
        <v>0</v>
      </c>
      <c r="R857" s="2" t="inlineStr"/>
    </row>
    <row r="858" ht="15" customHeight="1">
      <c r="A858" t="inlineStr">
        <is>
          <t>A 27362-2021</t>
        </is>
      </c>
      <c r="B858" s="1" t="n">
        <v>44351</v>
      </c>
      <c r="C858" s="1" t="n">
        <v>45291</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27932-2021</t>
        </is>
      </c>
      <c r="B859" s="1" t="n">
        <v>44354</v>
      </c>
      <c r="C859" s="1" t="n">
        <v>45291</v>
      </c>
      <c r="D859" t="inlineStr">
        <is>
          <t>VÄRMLANDS LÄN</t>
        </is>
      </c>
      <c r="E859" t="inlineStr">
        <is>
          <t>TORSBY</t>
        </is>
      </c>
      <c r="F859" t="inlineStr">
        <is>
          <t>Bergvik skog väst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28559-2021</t>
        </is>
      </c>
      <c r="B860" s="1" t="n">
        <v>44356</v>
      </c>
      <c r="C860" s="1" t="n">
        <v>45291</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28562-2021</t>
        </is>
      </c>
      <c r="B861" s="1" t="n">
        <v>44356</v>
      </c>
      <c r="C861" s="1" t="n">
        <v>45291</v>
      </c>
      <c r="D861" t="inlineStr">
        <is>
          <t>VÄRMLANDS LÄN</t>
        </is>
      </c>
      <c r="E861" t="inlineStr">
        <is>
          <t>TORSBY</t>
        </is>
      </c>
      <c r="G861" t="n">
        <v>4.4</v>
      </c>
      <c r="H861" t="n">
        <v>0</v>
      </c>
      <c r="I861" t="n">
        <v>0</v>
      </c>
      <c r="J861" t="n">
        <v>0</v>
      </c>
      <c r="K861" t="n">
        <v>0</v>
      </c>
      <c r="L861" t="n">
        <v>0</v>
      </c>
      <c r="M861" t="n">
        <v>0</v>
      </c>
      <c r="N861" t="n">
        <v>0</v>
      </c>
      <c r="O861" t="n">
        <v>0</v>
      </c>
      <c r="P861" t="n">
        <v>0</v>
      </c>
      <c r="Q861" t="n">
        <v>0</v>
      </c>
      <c r="R861" s="2" t="inlineStr"/>
    </row>
    <row r="862" ht="15" customHeight="1">
      <c r="A862" t="inlineStr">
        <is>
          <t>A 28940-2021</t>
        </is>
      </c>
      <c r="B862" s="1" t="n">
        <v>44358</v>
      </c>
      <c r="C862" s="1" t="n">
        <v>45291</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29495-2021</t>
        </is>
      </c>
      <c r="B863" s="1" t="n">
        <v>44361</v>
      </c>
      <c r="C863" s="1" t="n">
        <v>45291</v>
      </c>
      <c r="D863" t="inlineStr">
        <is>
          <t>VÄRMLANDS LÄN</t>
        </is>
      </c>
      <c r="E863" t="inlineStr">
        <is>
          <t>TORSBY</t>
        </is>
      </c>
      <c r="F863" t="inlineStr">
        <is>
          <t>Övriga Aktiebolag</t>
        </is>
      </c>
      <c r="G863" t="n">
        <v>38.2</v>
      </c>
      <c r="H863" t="n">
        <v>0</v>
      </c>
      <c r="I863" t="n">
        <v>0</v>
      </c>
      <c r="J863" t="n">
        <v>0</v>
      </c>
      <c r="K863" t="n">
        <v>0</v>
      </c>
      <c r="L863" t="n">
        <v>0</v>
      </c>
      <c r="M863" t="n">
        <v>0</v>
      </c>
      <c r="N863" t="n">
        <v>0</v>
      </c>
      <c r="O863" t="n">
        <v>0</v>
      </c>
      <c r="P863" t="n">
        <v>0</v>
      </c>
      <c r="Q863" t="n">
        <v>0</v>
      </c>
      <c r="R863" s="2" t="inlineStr"/>
    </row>
    <row r="864" ht="15" customHeight="1">
      <c r="A864" t="inlineStr">
        <is>
          <t>A 29457-2021</t>
        </is>
      </c>
      <c r="B864" s="1" t="n">
        <v>44361</v>
      </c>
      <c r="C864" s="1" t="n">
        <v>45291</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29518-2021</t>
        </is>
      </c>
      <c r="B865" s="1" t="n">
        <v>44361</v>
      </c>
      <c r="C865" s="1" t="n">
        <v>45291</v>
      </c>
      <c r="D865" t="inlineStr">
        <is>
          <t>VÄRMLANDS LÄN</t>
        </is>
      </c>
      <c r="E865" t="inlineStr">
        <is>
          <t>TORSBY</t>
        </is>
      </c>
      <c r="F865" t="inlineStr">
        <is>
          <t>Bergvik skog väst AB</t>
        </is>
      </c>
      <c r="G865" t="n">
        <v>16.7</v>
      </c>
      <c r="H865" t="n">
        <v>0</v>
      </c>
      <c r="I865" t="n">
        <v>0</v>
      </c>
      <c r="J865" t="n">
        <v>0</v>
      </c>
      <c r="K865" t="n">
        <v>0</v>
      </c>
      <c r="L865" t="n">
        <v>0</v>
      </c>
      <c r="M865" t="n">
        <v>0</v>
      </c>
      <c r="N865" t="n">
        <v>0</v>
      </c>
      <c r="O865" t="n">
        <v>0</v>
      </c>
      <c r="P865" t="n">
        <v>0</v>
      </c>
      <c r="Q865" t="n">
        <v>0</v>
      </c>
      <c r="R865" s="2" t="inlineStr"/>
    </row>
    <row r="866" ht="15" customHeight="1">
      <c r="A866" t="inlineStr">
        <is>
          <t>A 29746-2021</t>
        </is>
      </c>
      <c r="B866" s="1" t="n">
        <v>44362</v>
      </c>
      <c r="C866" s="1" t="n">
        <v>45291</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30162-2021</t>
        </is>
      </c>
      <c r="B867" s="1" t="n">
        <v>44363</v>
      </c>
      <c r="C867" s="1" t="n">
        <v>45291</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30384-2021</t>
        </is>
      </c>
      <c r="B868" s="1" t="n">
        <v>44364</v>
      </c>
      <c r="C868" s="1" t="n">
        <v>45291</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30802-2021</t>
        </is>
      </c>
      <c r="B869" s="1" t="n">
        <v>44365</v>
      </c>
      <c r="C869" s="1" t="n">
        <v>45291</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31494-2021</t>
        </is>
      </c>
      <c r="B870" s="1" t="n">
        <v>44369</v>
      </c>
      <c r="C870" s="1" t="n">
        <v>45291</v>
      </c>
      <c r="D870" t="inlineStr">
        <is>
          <t>VÄRMLANDS LÄN</t>
        </is>
      </c>
      <c r="E870" t="inlineStr">
        <is>
          <t>TORSBY</t>
        </is>
      </c>
      <c r="G870" t="n">
        <v>3.5</v>
      </c>
      <c r="H870" t="n">
        <v>0</v>
      </c>
      <c r="I870" t="n">
        <v>0</v>
      </c>
      <c r="J870" t="n">
        <v>0</v>
      </c>
      <c r="K870" t="n">
        <v>0</v>
      </c>
      <c r="L870" t="n">
        <v>0</v>
      </c>
      <c r="M870" t="n">
        <v>0</v>
      </c>
      <c r="N870" t="n">
        <v>0</v>
      </c>
      <c r="O870" t="n">
        <v>0</v>
      </c>
      <c r="P870" t="n">
        <v>0</v>
      </c>
      <c r="Q870" t="n">
        <v>0</v>
      </c>
      <c r="R870" s="2" t="inlineStr"/>
    </row>
    <row r="871" ht="15" customHeight="1">
      <c r="A871" t="inlineStr">
        <is>
          <t>A 31493-2021</t>
        </is>
      </c>
      <c r="B871" s="1" t="n">
        <v>44369</v>
      </c>
      <c r="C871" s="1" t="n">
        <v>45291</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31511-2021</t>
        </is>
      </c>
      <c r="B872" s="1" t="n">
        <v>44369</v>
      </c>
      <c r="C872" s="1" t="n">
        <v>45291</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31894-2021</t>
        </is>
      </c>
      <c r="B873" s="1" t="n">
        <v>44370</v>
      </c>
      <c r="C873" s="1" t="n">
        <v>45291</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31911-2021</t>
        </is>
      </c>
      <c r="B874" s="1" t="n">
        <v>44370</v>
      </c>
      <c r="C874" s="1" t="n">
        <v>45291</v>
      </c>
      <c r="D874" t="inlineStr">
        <is>
          <t>VÄRMLANDS LÄN</t>
        </is>
      </c>
      <c r="E874" t="inlineStr">
        <is>
          <t>TORSBY</t>
        </is>
      </c>
      <c r="G874" t="n">
        <v>2.6</v>
      </c>
      <c r="H874" t="n">
        <v>0</v>
      </c>
      <c r="I874" t="n">
        <v>0</v>
      </c>
      <c r="J874" t="n">
        <v>0</v>
      </c>
      <c r="K874" t="n">
        <v>0</v>
      </c>
      <c r="L874" t="n">
        <v>0</v>
      </c>
      <c r="M874" t="n">
        <v>0</v>
      </c>
      <c r="N874" t="n">
        <v>0</v>
      </c>
      <c r="O874" t="n">
        <v>0</v>
      </c>
      <c r="P874" t="n">
        <v>0</v>
      </c>
      <c r="Q874" t="n">
        <v>0</v>
      </c>
      <c r="R874" s="2" t="inlineStr"/>
    </row>
    <row r="875" ht="15" customHeight="1">
      <c r="A875" t="inlineStr">
        <is>
          <t>A 32696-2021</t>
        </is>
      </c>
      <c r="B875" s="1" t="n">
        <v>44375</v>
      </c>
      <c r="C875" s="1" t="n">
        <v>45291</v>
      </c>
      <c r="D875" t="inlineStr">
        <is>
          <t>VÄRMLANDS LÄN</t>
        </is>
      </c>
      <c r="E875" t="inlineStr">
        <is>
          <t>TORSBY</t>
        </is>
      </c>
      <c r="F875" t="inlineStr">
        <is>
          <t>Bergvik skog väst AB</t>
        </is>
      </c>
      <c r="G875" t="n">
        <v>14.8</v>
      </c>
      <c r="H875" t="n">
        <v>0</v>
      </c>
      <c r="I875" t="n">
        <v>0</v>
      </c>
      <c r="J875" t="n">
        <v>0</v>
      </c>
      <c r="K875" t="n">
        <v>0</v>
      </c>
      <c r="L875" t="n">
        <v>0</v>
      </c>
      <c r="M875" t="n">
        <v>0</v>
      </c>
      <c r="N875" t="n">
        <v>0</v>
      </c>
      <c r="O875" t="n">
        <v>0</v>
      </c>
      <c r="P875" t="n">
        <v>0</v>
      </c>
      <c r="Q875" t="n">
        <v>0</v>
      </c>
      <c r="R875" s="2" t="inlineStr"/>
    </row>
    <row r="876" ht="15" customHeight="1">
      <c r="A876" t="inlineStr">
        <is>
          <t>A 32821-2021</t>
        </is>
      </c>
      <c r="B876" s="1" t="n">
        <v>44375</v>
      </c>
      <c r="C876" s="1" t="n">
        <v>45291</v>
      </c>
      <c r="D876" t="inlineStr">
        <is>
          <t>VÄRMLANDS LÄN</t>
        </is>
      </c>
      <c r="E876" t="inlineStr">
        <is>
          <t>TORSBY</t>
        </is>
      </c>
      <c r="G876" t="n">
        <v>3.9</v>
      </c>
      <c r="H876" t="n">
        <v>0</v>
      </c>
      <c r="I876" t="n">
        <v>0</v>
      </c>
      <c r="J876" t="n">
        <v>0</v>
      </c>
      <c r="K876" t="n">
        <v>0</v>
      </c>
      <c r="L876" t="n">
        <v>0</v>
      </c>
      <c r="M876" t="n">
        <v>0</v>
      </c>
      <c r="N876" t="n">
        <v>0</v>
      </c>
      <c r="O876" t="n">
        <v>0</v>
      </c>
      <c r="P876" t="n">
        <v>0</v>
      </c>
      <c r="Q876" t="n">
        <v>0</v>
      </c>
      <c r="R876" s="2" t="inlineStr"/>
    </row>
    <row r="877" ht="15" customHeight="1">
      <c r="A877" t="inlineStr">
        <is>
          <t>A 32747-2021</t>
        </is>
      </c>
      <c r="B877" s="1" t="n">
        <v>44375</v>
      </c>
      <c r="C877" s="1" t="n">
        <v>45291</v>
      </c>
      <c r="D877" t="inlineStr">
        <is>
          <t>VÄRMLANDS LÄN</t>
        </is>
      </c>
      <c r="E877" t="inlineStr">
        <is>
          <t>TORSBY</t>
        </is>
      </c>
      <c r="G877" t="n">
        <v>6.3</v>
      </c>
      <c r="H877" t="n">
        <v>0</v>
      </c>
      <c r="I877" t="n">
        <v>0</v>
      </c>
      <c r="J877" t="n">
        <v>0</v>
      </c>
      <c r="K877" t="n">
        <v>0</v>
      </c>
      <c r="L877" t="n">
        <v>0</v>
      </c>
      <c r="M877" t="n">
        <v>0</v>
      </c>
      <c r="N877" t="n">
        <v>0</v>
      </c>
      <c r="O877" t="n">
        <v>0</v>
      </c>
      <c r="P877" t="n">
        <v>0</v>
      </c>
      <c r="Q877" t="n">
        <v>0</v>
      </c>
      <c r="R877" s="2" t="inlineStr"/>
    </row>
    <row r="878" ht="15" customHeight="1">
      <c r="A878" t="inlineStr">
        <is>
          <t>A 33146-2021</t>
        </is>
      </c>
      <c r="B878" s="1" t="n">
        <v>44376</v>
      </c>
      <c r="C878" s="1" t="n">
        <v>45291</v>
      </c>
      <c r="D878" t="inlineStr">
        <is>
          <t>VÄRMLANDS LÄN</t>
        </is>
      </c>
      <c r="E878" t="inlineStr">
        <is>
          <t>TORSBY</t>
        </is>
      </c>
      <c r="F878" t="inlineStr">
        <is>
          <t>Bergvik skog väst AB</t>
        </is>
      </c>
      <c r="G878" t="n">
        <v>44.5</v>
      </c>
      <c r="H878" t="n">
        <v>0</v>
      </c>
      <c r="I878" t="n">
        <v>0</v>
      </c>
      <c r="J878" t="n">
        <v>0</v>
      </c>
      <c r="K878" t="n">
        <v>0</v>
      </c>
      <c r="L878" t="n">
        <v>0</v>
      </c>
      <c r="M878" t="n">
        <v>0</v>
      </c>
      <c r="N878" t="n">
        <v>0</v>
      </c>
      <c r="O878" t="n">
        <v>0</v>
      </c>
      <c r="P878" t="n">
        <v>0</v>
      </c>
      <c r="Q878" t="n">
        <v>0</v>
      </c>
      <c r="R878" s="2" t="inlineStr"/>
    </row>
    <row r="879" ht="15" customHeight="1">
      <c r="A879" t="inlineStr">
        <is>
          <t>A 33182-2021</t>
        </is>
      </c>
      <c r="B879" s="1" t="n">
        <v>44376</v>
      </c>
      <c r="C879" s="1" t="n">
        <v>45291</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33145-2021</t>
        </is>
      </c>
      <c r="B880" s="1" t="n">
        <v>44376</v>
      </c>
      <c r="C880" s="1" t="n">
        <v>45291</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33149-2021</t>
        </is>
      </c>
      <c r="B881" s="1" t="n">
        <v>44376</v>
      </c>
      <c r="C881" s="1" t="n">
        <v>45291</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33183-2021</t>
        </is>
      </c>
      <c r="B882" s="1" t="n">
        <v>44376</v>
      </c>
      <c r="C882" s="1" t="n">
        <v>45291</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33517-2021</t>
        </is>
      </c>
      <c r="B883" s="1" t="n">
        <v>44377</v>
      </c>
      <c r="C883" s="1" t="n">
        <v>45291</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33515-2021</t>
        </is>
      </c>
      <c r="B884" s="1" t="n">
        <v>44377</v>
      </c>
      <c r="C884" s="1" t="n">
        <v>45291</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33839-2021</t>
        </is>
      </c>
      <c r="B885" s="1" t="n">
        <v>44378</v>
      </c>
      <c r="C885" s="1" t="n">
        <v>45291</v>
      </c>
      <c r="D885" t="inlineStr">
        <is>
          <t>VÄRMLANDS LÄN</t>
        </is>
      </c>
      <c r="E885" t="inlineStr">
        <is>
          <t>TORSBY</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33853-2021</t>
        </is>
      </c>
      <c r="B886" s="1" t="n">
        <v>44378</v>
      </c>
      <c r="C886" s="1" t="n">
        <v>45291</v>
      </c>
      <c r="D886" t="inlineStr">
        <is>
          <t>VÄRMLANDS LÄN</t>
        </is>
      </c>
      <c r="E886" t="inlineStr">
        <is>
          <t>TORSBY</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33937-2021</t>
        </is>
      </c>
      <c r="B887" s="1" t="n">
        <v>44378</v>
      </c>
      <c r="C887" s="1" t="n">
        <v>45291</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34626-2021</t>
        </is>
      </c>
      <c r="B888" s="1" t="n">
        <v>44382</v>
      </c>
      <c r="C888" s="1" t="n">
        <v>45291</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34694-2021</t>
        </is>
      </c>
      <c r="B889" s="1" t="n">
        <v>44382</v>
      </c>
      <c r="C889" s="1" t="n">
        <v>45291</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34885-2021</t>
        </is>
      </c>
      <c r="B890" s="1" t="n">
        <v>44383</v>
      </c>
      <c r="C890" s="1" t="n">
        <v>45291</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35221-2021</t>
        </is>
      </c>
      <c r="B891" s="1" t="n">
        <v>44384</v>
      </c>
      <c r="C891" s="1" t="n">
        <v>45291</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35586-2021</t>
        </is>
      </c>
      <c r="B892" s="1" t="n">
        <v>44386</v>
      </c>
      <c r="C892" s="1" t="n">
        <v>45291</v>
      </c>
      <c r="D892" t="inlineStr">
        <is>
          <t>VÄRMLANDS LÄN</t>
        </is>
      </c>
      <c r="E892" t="inlineStr">
        <is>
          <t>TORSBY</t>
        </is>
      </c>
      <c r="F892" t="inlineStr">
        <is>
          <t>Bergvik skog väst AB</t>
        </is>
      </c>
      <c r="G892" t="n">
        <v>5.1</v>
      </c>
      <c r="H892" t="n">
        <v>0</v>
      </c>
      <c r="I892" t="n">
        <v>0</v>
      </c>
      <c r="J892" t="n">
        <v>0</v>
      </c>
      <c r="K892" t="n">
        <v>0</v>
      </c>
      <c r="L892" t="n">
        <v>0</v>
      </c>
      <c r="M892" t="n">
        <v>0</v>
      </c>
      <c r="N892" t="n">
        <v>0</v>
      </c>
      <c r="O892" t="n">
        <v>0</v>
      </c>
      <c r="P892" t="n">
        <v>0</v>
      </c>
      <c r="Q892" t="n">
        <v>0</v>
      </c>
      <c r="R892" s="2" t="inlineStr"/>
    </row>
    <row r="893" ht="15" customHeight="1">
      <c r="A893" t="inlineStr">
        <is>
          <t>A 35907-2021</t>
        </is>
      </c>
      <c r="B893" s="1" t="n">
        <v>44387</v>
      </c>
      <c r="C893" s="1" t="n">
        <v>45291</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35909-2021</t>
        </is>
      </c>
      <c r="B894" s="1" t="n">
        <v>44387</v>
      </c>
      <c r="C894" s="1" t="n">
        <v>45291</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36189-2021</t>
        </is>
      </c>
      <c r="B895" s="1" t="n">
        <v>44389</v>
      </c>
      <c r="C895" s="1" t="n">
        <v>45291</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36186-2021</t>
        </is>
      </c>
      <c r="B896" s="1" t="n">
        <v>44389</v>
      </c>
      <c r="C896" s="1" t="n">
        <v>45291</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36327-2021</t>
        </is>
      </c>
      <c r="B897" s="1" t="n">
        <v>44390</v>
      </c>
      <c r="C897" s="1" t="n">
        <v>45291</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36589-2021</t>
        </is>
      </c>
      <c r="B898" s="1" t="n">
        <v>44391</v>
      </c>
      <c r="C898" s="1" t="n">
        <v>45291</v>
      </c>
      <c r="D898" t="inlineStr">
        <is>
          <t>VÄRMLANDS LÄN</t>
        </is>
      </c>
      <c r="E898" t="inlineStr">
        <is>
          <t>TORSBY</t>
        </is>
      </c>
      <c r="G898" t="n">
        <v>3.9</v>
      </c>
      <c r="H898" t="n">
        <v>0</v>
      </c>
      <c r="I898" t="n">
        <v>0</v>
      </c>
      <c r="J898" t="n">
        <v>0</v>
      </c>
      <c r="K898" t="n">
        <v>0</v>
      </c>
      <c r="L898" t="n">
        <v>0</v>
      </c>
      <c r="M898" t="n">
        <v>0</v>
      </c>
      <c r="N898" t="n">
        <v>0</v>
      </c>
      <c r="O898" t="n">
        <v>0</v>
      </c>
      <c r="P898" t="n">
        <v>0</v>
      </c>
      <c r="Q898" t="n">
        <v>0</v>
      </c>
      <c r="R898" s="2" t="inlineStr"/>
    </row>
    <row r="899" ht="15" customHeight="1">
      <c r="A899" t="inlineStr">
        <is>
          <t>A 36700-2021</t>
        </is>
      </c>
      <c r="B899" s="1" t="n">
        <v>44392</v>
      </c>
      <c r="C899" s="1" t="n">
        <v>45291</v>
      </c>
      <c r="D899" t="inlineStr">
        <is>
          <t>VÄRMLANDS LÄN</t>
        </is>
      </c>
      <c r="E899" t="inlineStr">
        <is>
          <t>TORSBY</t>
        </is>
      </c>
      <c r="F899" t="inlineStr">
        <is>
          <t>Bergvik skog väst AB</t>
        </is>
      </c>
      <c r="G899" t="n">
        <v>9.9</v>
      </c>
      <c r="H899" t="n">
        <v>0</v>
      </c>
      <c r="I899" t="n">
        <v>0</v>
      </c>
      <c r="J899" t="n">
        <v>0</v>
      </c>
      <c r="K899" t="n">
        <v>0</v>
      </c>
      <c r="L899" t="n">
        <v>0</v>
      </c>
      <c r="M899" t="n">
        <v>0</v>
      </c>
      <c r="N899" t="n">
        <v>0</v>
      </c>
      <c r="O899" t="n">
        <v>0</v>
      </c>
      <c r="P899" t="n">
        <v>0</v>
      </c>
      <c r="Q899" t="n">
        <v>0</v>
      </c>
      <c r="R899" s="2" t="inlineStr"/>
    </row>
    <row r="900" ht="15" customHeight="1">
      <c r="A900" t="inlineStr">
        <is>
          <t>A 37074-2021</t>
        </is>
      </c>
      <c r="B900" s="1" t="n">
        <v>44394</v>
      </c>
      <c r="C900" s="1" t="n">
        <v>45291</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37075-2021</t>
        </is>
      </c>
      <c r="B901" s="1" t="n">
        <v>44394</v>
      </c>
      <c r="C901" s="1" t="n">
        <v>45291</v>
      </c>
      <c r="D901" t="inlineStr">
        <is>
          <t>VÄRMLANDS LÄN</t>
        </is>
      </c>
      <c r="E901" t="inlineStr">
        <is>
          <t>TORSBY</t>
        </is>
      </c>
      <c r="G901" t="n">
        <v>3.2</v>
      </c>
      <c r="H901" t="n">
        <v>0</v>
      </c>
      <c r="I901" t="n">
        <v>0</v>
      </c>
      <c r="J901" t="n">
        <v>0</v>
      </c>
      <c r="K901" t="n">
        <v>0</v>
      </c>
      <c r="L901" t="n">
        <v>0</v>
      </c>
      <c r="M901" t="n">
        <v>0</v>
      </c>
      <c r="N901" t="n">
        <v>0</v>
      </c>
      <c r="O901" t="n">
        <v>0</v>
      </c>
      <c r="P901" t="n">
        <v>0</v>
      </c>
      <c r="Q901" t="n">
        <v>0</v>
      </c>
      <c r="R901" s="2" t="inlineStr"/>
    </row>
    <row r="902" ht="15" customHeight="1">
      <c r="A902" t="inlineStr">
        <is>
          <t>A 37225-2021</t>
        </is>
      </c>
      <c r="B902" s="1" t="n">
        <v>44396</v>
      </c>
      <c r="C902" s="1" t="n">
        <v>45291</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45291</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37608-2021</t>
        </is>
      </c>
      <c r="B904" s="1" t="n">
        <v>44399</v>
      </c>
      <c r="C904" s="1" t="n">
        <v>45291</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38467-2021</t>
        </is>
      </c>
      <c r="B905" s="1" t="n">
        <v>44405</v>
      </c>
      <c r="C905" s="1" t="n">
        <v>45291</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38229-2021</t>
        </is>
      </c>
      <c r="B906" s="1" t="n">
        <v>44405</v>
      </c>
      <c r="C906" s="1" t="n">
        <v>45291</v>
      </c>
      <c r="D906" t="inlineStr">
        <is>
          <t>VÄRMLANDS LÄN</t>
        </is>
      </c>
      <c r="E906" t="inlineStr">
        <is>
          <t>TORSBY</t>
        </is>
      </c>
      <c r="F906" t="inlineStr">
        <is>
          <t>Bergvik skog väst AB</t>
        </is>
      </c>
      <c r="G906" t="n">
        <v>2.7</v>
      </c>
      <c r="H906" t="n">
        <v>0</v>
      </c>
      <c r="I906" t="n">
        <v>0</v>
      </c>
      <c r="J906" t="n">
        <v>0</v>
      </c>
      <c r="K906" t="n">
        <v>0</v>
      </c>
      <c r="L906" t="n">
        <v>0</v>
      </c>
      <c r="M906" t="n">
        <v>0</v>
      </c>
      <c r="N906" t="n">
        <v>0</v>
      </c>
      <c r="O906" t="n">
        <v>0</v>
      </c>
      <c r="P906" t="n">
        <v>0</v>
      </c>
      <c r="Q906" t="n">
        <v>0</v>
      </c>
      <c r="R906" s="2" t="inlineStr"/>
    </row>
    <row r="907" ht="15" customHeight="1">
      <c r="A907" t="inlineStr">
        <is>
          <t>A 38298-2021</t>
        </is>
      </c>
      <c r="B907" s="1" t="n">
        <v>44406</v>
      </c>
      <c r="C907" s="1" t="n">
        <v>45291</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38564-2021</t>
        </is>
      </c>
      <c r="B908" s="1" t="n">
        <v>44407</v>
      </c>
      <c r="C908" s="1" t="n">
        <v>45291</v>
      </c>
      <c r="D908" t="inlineStr">
        <is>
          <t>VÄRMLANDS LÄN</t>
        </is>
      </c>
      <c r="E908" t="inlineStr">
        <is>
          <t>TORSBY</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38528-2021</t>
        </is>
      </c>
      <c r="B909" s="1" t="n">
        <v>44407</v>
      </c>
      <c r="C909" s="1" t="n">
        <v>45291</v>
      </c>
      <c r="D909" t="inlineStr">
        <is>
          <t>VÄRMLANDS LÄN</t>
        </is>
      </c>
      <c r="E909" t="inlineStr">
        <is>
          <t>TORSBY</t>
        </is>
      </c>
      <c r="F909" t="inlineStr">
        <is>
          <t>Bergvik skog väst AB</t>
        </is>
      </c>
      <c r="G909" t="n">
        <v>12.5</v>
      </c>
      <c r="H909" t="n">
        <v>0</v>
      </c>
      <c r="I909" t="n">
        <v>0</v>
      </c>
      <c r="J909" t="n">
        <v>0</v>
      </c>
      <c r="K909" t="n">
        <v>0</v>
      </c>
      <c r="L909" t="n">
        <v>0</v>
      </c>
      <c r="M909" t="n">
        <v>0</v>
      </c>
      <c r="N909" t="n">
        <v>0</v>
      </c>
      <c r="O909" t="n">
        <v>0</v>
      </c>
      <c r="P909" t="n">
        <v>0</v>
      </c>
      <c r="Q909" t="n">
        <v>0</v>
      </c>
      <c r="R909" s="2" t="inlineStr"/>
    </row>
    <row r="910" ht="15" customHeight="1">
      <c r="A910" t="inlineStr">
        <is>
          <t>A 38767-2021</t>
        </is>
      </c>
      <c r="B910" s="1" t="n">
        <v>44410</v>
      </c>
      <c r="C910" s="1" t="n">
        <v>45291</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38841-2021</t>
        </is>
      </c>
      <c r="B911" s="1" t="n">
        <v>44411</v>
      </c>
      <c r="C911" s="1" t="n">
        <v>45291</v>
      </c>
      <c r="D911" t="inlineStr">
        <is>
          <t>VÄRMLANDS LÄN</t>
        </is>
      </c>
      <c r="E911" t="inlineStr">
        <is>
          <t>TORSBY</t>
        </is>
      </c>
      <c r="F911" t="inlineStr">
        <is>
          <t>Bergvik skog väst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39003-2021</t>
        </is>
      </c>
      <c r="B912" s="1" t="n">
        <v>44412</v>
      </c>
      <c r="C912" s="1" t="n">
        <v>45291</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39260-2021</t>
        </is>
      </c>
      <c r="B913" s="1" t="n">
        <v>44413</v>
      </c>
      <c r="C913" s="1" t="n">
        <v>45291</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39642-2021</t>
        </is>
      </c>
      <c r="B914" s="1" t="n">
        <v>44417</v>
      </c>
      <c r="C914" s="1" t="n">
        <v>45291</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39826-2021</t>
        </is>
      </c>
      <c r="B915" s="1" t="n">
        <v>44417</v>
      </c>
      <c r="C915" s="1" t="n">
        <v>45291</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39967-2021</t>
        </is>
      </c>
      <c r="B916" s="1" t="n">
        <v>44418</v>
      </c>
      <c r="C916" s="1" t="n">
        <v>45291</v>
      </c>
      <c r="D916" t="inlineStr">
        <is>
          <t>VÄRMLANDS LÄN</t>
        </is>
      </c>
      <c r="E916" t="inlineStr">
        <is>
          <t>TORSBY</t>
        </is>
      </c>
      <c r="F916" t="inlineStr">
        <is>
          <t>Bergvik skog väst AB</t>
        </is>
      </c>
      <c r="G916" t="n">
        <v>11.8</v>
      </c>
      <c r="H916" t="n">
        <v>0</v>
      </c>
      <c r="I916" t="n">
        <v>0</v>
      </c>
      <c r="J916" t="n">
        <v>0</v>
      </c>
      <c r="K916" t="n">
        <v>0</v>
      </c>
      <c r="L916" t="n">
        <v>0</v>
      </c>
      <c r="M916" t="n">
        <v>0</v>
      </c>
      <c r="N916" t="n">
        <v>0</v>
      </c>
      <c r="O916" t="n">
        <v>0</v>
      </c>
      <c r="P916" t="n">
        <v>0</v>
      </c>
      <c r="Q916" t="n">
        <v>0</v>
      </c>
      <c r="R916" s="2" t="inlineStr"/>
    </row>
    <row r="917" ht="15" customHeight="1">
      <c r="A917" t="inlineStr">
        <is>
          <t>A 40281-2021</t>
        </is>
      </c>
      <c r="B917" s="1" t="n">
        <v>44419</v>
      </c>
      <c r="C917" s="1" t="n">
        <v>45291</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40276-2021</t>
        </is>
      </c>
      <c r="B918" s="1" t="n">
        <v>44419</v>
      </c>
      <c r="C918" s="1" t="n">
        <v>45291</v>
      </c>
      <c r="D918" t="inlineStr">
        <is>
          <t>VÄRMLANDS LÄN</t>
        </is>
      </c>
      <c r="E918" t="inlineStr">
        <is>
          <t>TORSBY</t>
        </is>
      </c>
      <c r="G918" t="n">
        <v>2.2</v>
      </c>
      <c r="H918" t="n">
        <v>0</v>
      </c>
      <c r="I918" t="n">
        <v>0</v>
      </c>
      <c r="J918" t="n">
        <v>0</v>
      </c>
      <c r="K918" t="n">
        <v>0</v>
      </c>
      <c r="L918" t="n">
        <v>0</v>
      </c>
      <c r="M918" t="n">
        <v>0</v>
      </c>
      <c r="N918" t="n">
        <v>0</v>
      </c>
      <c r="O918" t="n">
        <v>0</v>
      </c>
      <c r="P918" t="n">
        <v>0</v>
      </c>
      <c r="Q918" t="n">
        <v>0</v>
      </c>
      <c r="R918" s="2" t="inlineStr"/>
    </row>
    <row r="919" ht="15" customHeight="1">
      <c r="A919" t="inlineStr">
        <is>
          <t>A 40278-2021</t>
        </is>
      </c>
      <c r="B919" s="1" t="n">
        <v>44419</v>
      </c>
      <c r="C919" s="1" t="n">
        <v>45291</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40282-2021</t>
        </is>
      </c>
      <c r="B920" s="1" t="n">
        <v>44419</v>
      </c>
      <c r="C920" s="1" t="n">
        <v>45291</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40590-2021</t>
        </is>
      </c>
      <c r="B921" s="1" t="n">
        <v>44420</v>
      </c>
      <c r="C921" s="1" t="n">
        <v>45291</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40876-2021</t>
        </is>
      </c>
      <c r="B922" s="1" t="n">
        <v>44421</v>
      </c>
      <c r="C922" s="1" t="n">
        <v>45291</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41253-2021</t>
        </is>
      </c>
      <c r="B923" s="1" t="n">
        <v>44424</v>
      </c>
      <c r="C923" s="1" t="n">
        <v>45291</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41377-2021</t>
        </is>
      </c>
      <c r="B924" s="1" t="n">
        <v>44424</v>
      </c>
      <c r="C924" s="1" t="n">
        <v>45291</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41633-2021</t>
        </is>
      </c>
      <c r="B925" s="1" t="n">
        <v>44425</v>
      </c>
      <c r="C925" s="1" t="n">
        <v>45291</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41671-2021</t>
        </is>
      </c>
      <c r="B926" s="1" t="n">
        <v>44425</v>
      </c>
      <c r="C926" s="1" t="n">
        <v>45291</v>
      </c>
      <c r="D926" t="inlineStr">
        <is>
          <t>VÄRMLANDS LÄN</t>
        </is>
      </c>
      <c r="E926" t="inlineStr">
        <is>
          <t>TORSBY</t>
        </is>
      </c>
      <c r="F926" t="inlineStr">
        <is>
          <t>Övriga Aktiebolag</t>
        </is>
      </c>
      <c r="G926" t="n">
        <v>10.1</v>
      </c>
      <c r="H926" t="n">
        <v>0</v>
      </c>
      <c r="I926" t="n">
        <v>0</v>
      </c>
      <c r="J926" t="n">
        <v>0</v>
      </c>
      <c r="K926" t="n">
        <v>0</v>
      </c>
      <c r="L926" t="n">
        <v>0</v>
      </c>
      <c r="M926" t="n">
        <v>0</v>
      </c>
      <c r="N926" t="n">
        <v>0</v>
      </c>
      <c r="O926" t="n">
        <v>0</v>
      </c>
      <c r="P926" t="n">
        <v>0</v>
      </c>
      <c r="Q926" t="n">
        <v>0</v>
      </c>
      <c r="R926" s="2" t="inlineStr"/>
    </row>
    <row r="927" ht="15" customHeight="1">
      <c r="A927" t="inlineStr">
        <is>
          <t>A 41678-2021</t>
        </is>
      </c>
      <c r="B927" s="1" t="n">
        <v>44425</v>
      </c>
      <c r="C927" s="1" t="n">
        <v>45291</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41808-2021</t>
        </is>
      </c>
      <c r="B928" s="1" t="n">
        <v>44425</v>
      </c>
      <c r="C928" s="1" t="n">
        <v>45291</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42347-2021</t>
        </is>
      </c>
      <c r="B929" s="1" t="n">
        <v>44427</v>
      </c>
      <c r="C929" s="1" t="n">
        <v>45291</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42615-2021</t>
        </is>
      </c>
      <c r="B930" s="1" t="n">
        <v>44428</v>
      </c>
      <c r="C930" s="1" t="n">
        <v>45291</v>
      </c>
      <c r="D930" t="inlineStr">
        <is>
          <t>VÄRMLANDS LÄN</t>
        </is>
      </c>
      <c r="E930" t="inlineStr">
        <is>
          <t>TORSBY</t>
        </is>
      </c>
      <c r="F930" t="inlineStr">
        <is>
          <t>Bergvik skog väst AB</t>
        </is>
      </c>
      <c r="G930" t="n">
        <v>37.2</v>
      </c>
      <c r="H930" t="n">
        <v>0</v>
      </c>
      <c r="I930" t="n">
        <v>0</v>
      </c>
      <c r="J930" t="n">
        <v>0</v>
      </c>
      <c r="K930" t="n">
        <v>0</v>
      </c>
      <c r="L930" t="n">
        <v>0</v>
      </c>
      <c r="M930" t="n">
        <v>0</v>
      </c>
      <c r="N930" t="n">
        <v>0</v>
      </c>
      <c r="O930" t="n">
        <v>0</v>
      </c>
      <c r="P930" t="n">
        <v>0</v>
      </c>
      <c r="Q930" t="n">
        <v>0</v>
      </c>
      <c r="R930" s="2" t="inlineStr"/>
    </row>
    <row r="931" ht="15" customHeight="1">
      <c r="A931" t="inlineStr">
        <is>
          <t>A 42646-2021</t>
        </is>
      </c>
      <c r="B931" s="1" t="n">
        <v>44428</v>
      </c>
      <c r="C931" s="1" t="n">
        <v>45291</v>
      </c>
      <c r="D931" t="inlineStr">
        <is>
          <t>VÄRMLANDS LÄN</t>
        </is>
      </c>
      <c r="E931" t="inlineStr">
        <is>
          <t>TORSBY</t>
        </is>
      </c>
      <c r="F931" t="inlineStr">
        <is>
          <t>Bergvik skog väst AB</t>
        </is>
      </c>
      <c r="G931" t="n">
        <v>21.4</v>
      </c>
      <c r="H931" t="n">
        <v>0</v>
      </c>
      <c r="I931" t="n">
        <v>0</v>
      </c>
      <c r="J931" t="n">
        <v>0</v>
      </c>
      <c r="K931" t="n">
        <v>0</v>
      </c>
      <c r="L931" t="n">
        <v>0</v>
      </c>
      <c r="M931" t="n">
        <v>0</v>
      </c>
      <c r="N931" t="n">
        <v>0</v>
      </c>
      <c r="O931" t="n">
        <v>0</v>
      </c>
      <c r="P931" t="n">
        <v>0</v>
      </c>
      <c r="Q931" t="n">
        <v>0</v>
      </c>
      <c r="R931" s="2" t="inlineStr"/>
    </row>
    <row r="932" ht="15" customHeight="1">
      <c r="A932" t="inlineStr">
        <is>
          <t>A 43052-2021</t>
        </is>
      </c>
      <c r="B932" s="1" t="n">
        <v>44431</v>
      </c>
      <c r="C932" s="1" t="n">
        <v>45291</v>
      </c>
      <c r="D932" t="inlineStr">
        <is>
          <t>VÄRMLANDS LÄN</t>
        </is>
      </c>
      <c r="E932" t="inlineStr">
        <is>
          <t>TORSBY</t>
        </is>
      </c>
      <c r="G932" t="n">
        <v>25.1</v>
      </c>
      <c r="H932" t="n">
        <v>0</v>
      </c>
      <c r="I932" t="n">
        <v>0</v>
      </c>
      <c r="J932" t="n">
        <v>0</v>
      </c>
      <c r="K932" t="n">
        <v>0</v>
      </c>
      <c r="L932" t="n">
        <v>0</v>
      </c>
      <c r="M932" t="n">
        <v>0</v>
      </c>
      <c r="N932" t="n">
        <v>0</v>
      </c>
      <c r="O932" t="n">
        <v>0</v>
      </c>
      <c r="P932" t="n">
        <v>0</v>
      </c>
      <c r="Q932" t="n">
        <v>0</v>
      </c>
      <c r="R932" s="2" t="inlineStr"/>
    </row>
    <row r="933" ht="15" customHeight="1">
      <c r="A933" t="inlineStr">
        <is>
          <t>A 43060-2021</t>
        </is>
      </c>
      <c r="B933" s="1" t="n">
        <v>44431</v>
      </c>
      <c r="C933" s="1" t="n">
        <v>45291</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43128-2021</t>
        </is>
      </c>
      <c r="B934" s="1" t="n">
        <v>44431</v>
      </c>
      <c r="C934" s="1" t="n">
        <v>45291</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43136-2021</t>
        </is>
      </c>
      <c r="B935" s="1" t="n">
        <v>44431</v>
      </c>
      <c r="C935" s="1" t="n">
        <v>45291</v>
      </c>
      <c r="D935" t="inlineStr">
        <is>
          <t>VÄRMLANDS LÄN</t>
        </is>
      </c>
      <c r="E935" t="inlineStr">
        <is>
          <t>TORSBY</t>
        </is>
      </c>
      <c r="G935" t="n">
        <v>14.4</v>
      </c>
      <c r="H935" t="n">
        <v>0</v>
      </c>
      <c r="I935" t="n">
        <v>0</v>
      </c>
      <c r="J935" t="n">
        <v>0</v>
      </c>
      <c r="K935" t="n">
        <v>0</v>
      </c>
      <c r="L935" t="n">
        <v>0</v>
      </c>
      <c r="M935" t="n">
        <v>0</v>
      </c>
      <c r="N935" t="n">
        <v>0</v>
      </c>
      <c r="O935" t="n">
        <v>0</v>
      </c>
      <c r="P935" t="n">
        <v>0</v>
      </c>
      <c r="Q935" t="n">
        <v>0</v>
      </c>
      <c r="R935" s="2" t="inlineStr"/>
    </row>
    <row r="936" ht="15" customHeight="1">
      <c r="A936" t="inlineStr">
        <is>
          <t>A 43169-2021</t>
        </is>
      </c>
      <c r="B936" s="1" t="n">
        <v>44431</v>
      </c>
      <c r="C936" s="1" t="n">
        <v>45291</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43095-2021</t>
        </is>
      </c>
      <c r="B937" s="1" t="n">
        <v>44431</v>
      </c>
      <c r="C937" s="1" t="n">
        <v>45291</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43157-2021</t>
        </is>
      </c>
      <c r="B938" s="1" t="n">
        <v>44431</v>
      </c>
      <c r="C938" s="1" t="n">
        <v>45291</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43127-2021</t>
        </is>
      </c>
      <c r="B939" s="1" t="n">
        <v>44431</v>
      </c>
      <c r="C939" s="1" t="n">
        <v>45291</v>
      </c>
      <c r="D939" t="inlineStr">
        <is>
          <t>VÄRMLANDS LÄN</t>
        </is>
      </c>
      <c r="E939" t="inlineStr">
        <is>
          <t>TORSBY</t>
        </is>
      </c>
      <c r="G939" t="n">
        <v>23.3</v>
      </c>
      <c r="H939" t="n">
        <v>0</v>
      </c>
      <c r="I939" t="n">
        <v>0</v>
      </c>
      <c r="J939" t="n">
        <v>0</v>
      </c>
      <c r="K939" t="n">
        <v>0</v>
      </c>
      <c r="L939" t="n">
        <v>0</v>
      </c>
      <c r="M939" t="n">
        <v>0</v>
      </c>
      <c r="N939" t="n">
        <v>0</v>
      </c>
      <c r="O939" t="n">
        <v>0</v>
      </c>
      <c r="P939" t="n">
        <v>0</v>
      </c>
      <c r="Q939" t="n">
        <v>0</v>
      </c>
      <c r="R939" s="2" t="inlineStr"/>
    </row>
    <row r="940" ht="15" customHeight="1">
      <c r="A940" t="inlineStr">
        <is>
          <t>A 43161-2021</t>
        </is>
      </c>
      <c r="B940" s="1" t="n">
        <v>44431</v>
      </c>
      <c r="C940" s="1" t="n">
        <v>45291</v>
      </c>
      <c r="D940" t="inlineStr">
        <is>
          <t>VÄRMLANDS LÄN</t>
        </is>
      </c>
      <c r="E940" t="inlineStr">
        <is>
          <t>TORSBY</t>
        </is>
      </c>
      <c r="G940" t="n">
        <v>3.7</v>
      </c>
      <c r="H940" t="n">
        <v>0</v>
      </c>
      <c r="I940" t="n">
        <v>0</v>
      </c>
      <c r="J940" t="n">
        <v>0</v>
      </c>
      <c r="K940" t="n">
        <v>0</v>
      </c>
      <c r="L940" t="n">
        <v>0</v>
      </c>
      <c r="M940" t="n">
        <v>0</v>
      </c>
      <c r="N940" t="n">
        <v>0</v>
      </c>
      <c r="O940" t="n">
        <v>0</v>
      </c>
      <c r="P940" t="n">
        <v>0</v>
      </c>
      <c r="Q940" t="n">
        <v>0</v>
      </c>
      <c r="R940" s="2" t="inlineStr"/>
    </row>
    <row r="941" ht="15" customHeight="1">
      <c r="A941" t="inlineStr">
        <is>
          <t>A 43784-2021</t>
        </is>
      </c>
      <c r="B941" s="1" t="n">
        <v>44433</v>
      </c>
      <c r="C941" s="1" t="n">
        <v>45291</v>
      </c>
      <c r="D941" t="inlineStr">
        <is>
          <t>VÄRMLANDS LÄN</t>
        </is>
      </c>
      <c r="E941" t="inlineStr">
        <is>
          <t>TORSBY</t>
        </is>
      </c>
      <c r="G941" t="n">
        <v>5.2</v>
      </c>
      <c r="H941" t="n">
        <v>0</v>
      </c>
      <c r="I941" t="n">
        <v>0</v>
      </c>
      <c r="J941" t="n">
        <v>0</v>
      </c>
      <c r="K941" t="n">
        <v>0</v>
      </c>
      <c r="L941" t="n">
        <v>0</v>
      </c>
      <c r="M941" t="n">
        <v>0</v>
      </c>
      <c r="N941" t="n">
        <v>0</v>
      </c>
      <c r="O941" t="n">
        <v>0</v>
      </c>
      <c r="P941" t="n">
        <v>0</v>
      </c>
      <c r="Q941" t="n">
        <v>0</v>
      </c>
      <c r="R941" s="2" t="inlineStr"/>
    </row>
    <row r="942" ht="15" customHeight="1">
      <c r="A942" t="inlineStr">
        <is>
          <t>A 44018-2021</t>
        </is>
      </c>
      <c r="B942" s="1" t="n">
        <v>44434</v>
      </c>
      <c r="C942" s="1" t="n">
        <v>45291</v>
      </c>
      <c r="D942" t="inlineStr">
        <is>
          <t>VÄRMLANDS LÄN</t>
        </is>
      </c>
      <c r="E942" t="inlineStr">
        <is>
          <t>TORSBY</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44418-2021</t>
        </is>
      </c>
      <c r="B943" s="1" t="n">
        <v>44435</v>
      </c>
      <c r="C943" s="1" t="n">
        <v>45291</v>
      </c>
      <c r="D943" t="inlineStr">
        <is>
          <t>VÄRMLANDS LÄN</t>
        </is>
      </c>
      <c r="E943" t="inlineStr">
        <is>
          <t>TORSBY</t>
        </is>
      </c>
      <c r="G943" t="n">
        <v>7.5</v>
      </c>
      <c r="H943" t="n">
        <v>0</v>
      </c>
      <c r="I943" t="n">
        <v>0</v>
      </c>
      <c r="J943" t="n">
        <v>0</v>
      </c>
      <c r="K943" t="n">
        <v>0</v>
      </c>
      <c r="L943" t="n">
        <v>0</v>
      </c>
      <c r="M943" t="n">
        <v>0</v>
      </c>
      <c r="N943" t="n">
        <v>0</v>
      </c>
      <c r="O943" t="n">
        <v>0</v>
      </c>
      <c r="P943" t="n">
        <v>0</v>
      </c>
      <c r="Q943" t="n">
        <v>0</v>
      </c>
      <c r="R943" s="2" t="inlineStr"/>
    </row>
    <row r="944" ht="15" customHeight="1">
      <c r="A944" t="inlineStr">
        <is>
          <t>A 44490-2021</t>
        </is>
      </c>
      <c r="B944" s="1" t="n">
        <v>44435</v>
      </c>
      <c r="C944" s="1" t="n">
        <v>45291</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44761-2021</t>
        </is>
      </c>
      <c r="B945" s="1" t="n">
        <v>44438</v>
      </c>
      <c r="C945" s="1" t="n">
        <v>45291</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44979-2021</t>
        </is>
      </c>
      <c r="B946" s="1" t="n">
        <v>44438</v>
      </c>
      <c r="C946" s="1" t="n">
        <v>45291</v>
      </c>
      <c r="D946" t="inlineStr">
        <is>
          <t>VÄRMLANDS LÄN</t>
        </is>
      </c>
      <c r="E946" t="inlineStr">
        <is>
          <t>TORSBY</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44923-2021</t>
        </is>
      </c>
      <c r="B947" s="1" t="n">
        <v>44438</v>
      </c>
      <c r="C947" s="1" t="n">
        <v>45291</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45445-2021</t>
        </is>
      </c>
      <c r="B948" s="1" t="n">
        <v>44440</v>
      </c>
      <c r="C948" s="1" t="n">
        <v>45291</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45447-2021</t>
        </is>
      </c>
      <c r="B949" s="1" t="n">
        <v>44440</v>
      </c>
      <c r="C949" s="1" t="n">
        <v>45291</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46302-2021</t>
        </is>
      </c>
      <c r="B950" s="1" t="n">
        <v>44442</v>
      </c>
      <c r="C950" s="1" t="n">
        <v>45291</v>
      </c>
      <c r="D950" t="inlineStr">
        <is>
          <t>VÄRMLANDS LÄN</t>
        </is>
      </c>
      <c r="E950" t="inlineStr">
        <is>
          <t>TORSBY</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46503-2021</t>
        </is>
      </c>
      <c r="B951" s="1" t="n">
        <v>44445</v>
      </c>
      <c r="C951" s="1" t="n">
        <v>45291</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46610-2021</t>
        </is>
      </c>
      <c r="B952" s="1" t="n">
        <v>44445</v>
      </c>
      <c r="C952" s="1" t="n">
        <v>45291</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46795-2021</t>
        </is>
      </c>
      <c r="B953" s="1" t="n">
        <v>44446</v>
      </c>
      <c r="C953" s="1" t="n">
        <v>45291</v>
      </c>
      <c r="D953" t="inlineStr">
        <is>
          <t>VÄRMLANDS LÄN</t>
        </is>
      </c>
      <c r="E953" t="inlineStr">
        <is>
          <t>TORSBY</t>
        </is>
      </c>
      <c r="G953" t="n">
        <v>6</v>
      </c>
      <c r="H953" t="n">
        <v>0</v>
      </c>
      <c r="I953" t="n">
        <v>0</v>
      </c>
      <c r="J953" t="n">
        <v>0</v>
      </c>
      <c r="K953" t="n">
        <v>0</v>
      </c>
      <c r="L953" t="n">
        <v>0</v>
      </c>
      <c r="M953" t="n">
        <v>0</v>
      </c>
      <c r="N953" t="n">
        <v>0</v>
      </c>
      <c r="O953" t="n">
        <v>0</v>
      </c>
      <c r="P953" t="n">
        <v>0</v>
      </c>
      <c r="Q953" t="n">
        <v>0</v>
      </c>
      <c r="R953" s="2" t="inlineStr"/>
    </row>
    <row r="954" ht="15" customHeight="1">
      <c r="A954" t="inlineStr">
        <is>
          <t>A 46934-2021</t>
        </is>
      </c>
      <c r="B954" s="1" t="n">
        <v>44446</v>
      </c>
      <c r="C954" s="1" t="n">
        <v>45291</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46880-2021</t>
        </is>
      </c>
      <c r="B955" s="1" t="n">
        <v>44446</v>
      </c>
      <c r="C955" s="1" t="n">
        <v>45291</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47083-2021</t>
        </is>
      </c>
      <c r="B956" s="1" t="n">
        <v>44446</v>
      </c>
      <c r="C956" s="1" t="n">
        <v>45291</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47098-2021</t>
        </is>
      </c>
      <c r="B957" s="1" t="n">
        <v>44446</v>
      </c>
      <c r="C957" s="1" t="n">
        <v>45291</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47271-2021</t>
        </is>
      </c>
      <c r="B958" s="1" t="n">
        <v>44447</v>
      </c>
      <c r="C958" s="1" t="n">
        <v>45291</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47299-2021</t>
        </is>
      </c>
      <c r="B959" s="1" t="n">
        <v>44447</v>
      </c>
      <c r="C959" s="1" t="n">
        <v>45291</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47602-2021</t>
        </is>
      </c>
      <c r="B960" s="1" t="n">
        <v>44448</v>
      </c>
      <c r="C960" s="1" t="n">
        <v>45291</v>
      </c>
      <c r="D960" t="inlineStr">
        <is>
          <t>VÄRMLANDS LÄN</t>
        </is>
      </c>
      <c r="E960" t="inlineStr">
        <is>
          <t>TORSBY</t>
        </is>
      </c>
      <c r="G960" t="n">
        <v>1.2</v>
      </c>
      <c r="H960" t="n">
        <v>0</v>
      </c>
      <c r="I960" t="n">
        <v>0</v>
      </c>
      <c r="J960" t="n">
        <v>0</v>
      </c>
      <c r="K960" t="n">
        <v>0</v>
      </c>
      <c r="L960" t="n">
        <v>0</v>
      </c>
      <c r="M960" t="n">
        <v>0</v>
      </c>
      <c r="N960" t="n">
        <v>0</v>
      </c>
      <c r="O960" t="n">
        <v>0</v>
      </c>
      <c r="P960" t="n">
        <v>0</v>
      </c>
      <c r="Q960" t="n">
        <v>0</v>
      </c>
      <c r="R960" s="2" t="inlineStr"/>
    </row>
    <row r="961" ht="15" customHeight="1">
      <c r="A961" t="inlineStr">
        <is>
          <t>A 48159-2021</t>
        </is>
      </c>
      <c r="B961" s="1" t="n">
        <v>44449</v>
      </c>
      <c r="C961" s="1" t="n">
        <v>45291</v>
      </c>
      <c r="D961" t="inlineStr">
        <is>
          <t>VÄRMLANDS LÄN</t>
        </is>
      </c>
      <c r="E961" t="inlineStr">
        <is>
          <t>TORSBY</t>
        </is>
      </c>
      <c r="F961" t="inlineStr">
        <is>
          <t>Bergvik skog väst AB</t>
        </is>
      </c>
      <c r="G961" t="n">
        <v>3</v>
      </c>
      <c r="H961" t="n">
        <v>0</v>
      </c>
      <c r="I961" t="n">
        <v>0</v>
      </c>
      <c r="J961" t="n">
        <v>0</v>
      </c>
      <c r="K961" t="n">
        <v>0</v>
      </c>
      <c r="L961" t="n">
        <v>0</v>
      </c>
      <c r="M961" t="n">
        <v>0</v>
      </c>
      <c r="N961" t="n">
        <v>0</v>
      </c>
      <c r="O961" t="n">
        <v>0</v>
      </c>
      <c r="P961" t="n">
        <v>0</v>
      </c>
      <c r="Q961" t="n">
        <v>0</v>
      </c>
      <c r="R961" s="2" t="inlineStr"/>
    </row>
    <row r="962" ht="15" customHeight="1">
      <c r="A962" t="inlineStr">
        <is>
          <t>A 48188-2021</t>
        </is>
      </c>
      <c r="B962" s="1" t="n">
        <v>44449</v>
      </c>
      <c r="C962" s="1" t="n">
        <v>45291</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48324-2021</t>
        </is>
      </c>
      <c r="B963" s="1" t="n">
        <v>44450</v>
      </c>
      <c r="C963" s="1" t="n">
        <v>45291</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48657-2021</t>
        </is>
      </c>
      <c r="B964" s="1" t="n">
        <v>44452</v>
      </c>
      <c r="C964" s="1" t="n">
        <v>45291</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48771-2021</t>
        </is>
      </c>
      <c r="B965" s="1" t="n">
        <v>44452</v>
      </c>
      <c r="C965" s="1" t="n">
        <v>45291</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49192-2021</t>
        </is>
      </c>
      <c r="B966" s="1" t="n">
        <v>44454</v>
      </c>
      <c r="C966" s="1" t="n">
        <v>45291</v>
      </c>
      <c r="D966" t="inlineStr">
        <is>
          <t>VÄRMLANDS LÄN</t>
        </is>
      </c>
      <c r="E966" t="inlineStr">
        <is>
          <t>TORSBY</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49900-2021</t>
        </is>
      </c>
      <c r="B967" s="1" t="n">
        <v>44455</v>
      </c>
      <c r="C967" s="1" t="n">
        <v>45291</v>
      </c>
      <c r="D967" t="inlineStr">
        <is>
          <t>VÄRMLANDS LÄN</t>
        </is>
      </c>
      <c r="E967" t="inlineStr">
        <is>
          <t>TORSBY</t>
        </is>
      </c>
      <c r="G967" t="n">
        <v>4.1</v>
      </c>
      <c r="H967" t="n">
        <v>0</v>
      </c>
      <c r="I967" t="n">
        <v>0</v>
      </c>
      <c r="J967" t="n">
        <v>0</v>
      </c>
      <c r="K967" t="n">
        <v>0</v>
      </c>
      <c r="L967" t="n">
        <v>0</v>
      </c>
      <c r="M967" t="n">
        <v>0</v>
      </c>
      <c r="N967" t="n">
        <v>0</v>
      </c>
      <c r="O967" t="n">
        <v>0</v>
      </c>
      <c r="P967" t="n">
        <v>0</v>
      </c>
      <c r="Q967" t="n">
        <v>0</v>
      </c>
      <c r="R967" s="2" t="inlineStr"/>
    </row>
    <row r="968" ht="15" customHeight="1">
      <c r="A968" t="inlineStr">
        <is>
          <t>A 50100-2021</t>
        </is>
      </c>
      <c r="B968" s="1" t="n">
        <v>44456</v>
      </c>
      <c r="C968" s="1" t="n">
        <v>45291</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50596-2021</t>
        </is>
      </c>
      <c r="B969" s="1" t="n">
        <v>44459</v>
      </c>
      <c r="C969" s="1" t="n">
        <v>45291</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50549-2021</t>
        </is>
      </c>
      <c r="B970" s="1" t="n">
        <v>44459</v>
      </c>
      <c r="C970" s="1" t="n">
        <v>45291</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50988-2021</t>
        </is>
      </c>
      <c r="B971" s="1" t="n">
        <v>44460</v>
      </c>
      <c r="C971" s="1" t="n">
        <v>45291</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51505-2021</t>
        </is>
      </c>
      <c r="B972" s="1" t="n">
        <v>44460</v>
      </c>
      <c r="C972" s="1" t="n">
        <v>45291</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51494-2021</t>
        </is>
      </c>
      <c r="B973" s="1" t="n">
        <v>44460</v>
      </c>
      <c r="C973" s="1" t="n">
        <v>45291</v>
      </c>
      <c r="D973" t="inlineStr">
        <is>
          <t>VÄRMLANDS LÄN</t>
        </is>
      </c>
      <c r="E973" t="inlineStr">
        <is>
          <t>TORSBY</t>
        </is>
      </c>
      <c r="G973" t="n">
        <v>2.2</v>
      </c>
      <c r="H973" t="n">
        <v>0</v>
      </c>
      <c r="I973" t="n">
        <v>0</v>
      </c>
      <c r="J973" t="n">
        <v>0</v>
      </c>
      <c r="K973" t="n">
        <v>0</v>
      </c>
      <c r="L973" t="n">
        <v>0</v>
      </c>
      <c r="M973" t="n">
        <v>0</v>
      </c>
      <c r="N973" t="n">
        <v>0</v>
      </c>
      <c r="O973" t="n">
        <v>0</v>
      </c>
      <c r="P973" t="n">
        <v>0</v>
      </c>
      <c r="Q973" t="n">
        <v>0</v>
      </c>
      <c r="R973" s="2" t="inlineStr"/>
    </row>
    <row r="974" ht="15" customHeight="1">
      <c r="A974" t="inlineStr">
        <is>
          <t>A 51510-2021</t>
        </is>
      </c>
      <c r="B974" s="1" t="n">
        <v>44460</v>
      </c>
      <c r="C974" s="1" t="n">
        <v>45291</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51099-2021</t>
        </is>
      </c>
      <c r="B975" s="1" t="n">
        <v>44461</v>
      </c>
      <c r="C975" s="1" t="n">
        <v>45291</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51247-2021</t>
        </is>
      </c>
      <c r="B976" s="1" t="n">
        <v>44461</v>
      </c>
      <c r="C976" s="1" t="n">
        <v>45291</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51372-2021</t>
        </is>
      </c>
      <c r="B977" s="1" t="n">
        <v>44461</v>
      </c>
      <c r="C977" s="1" t="n">
        <v>45291</v>
      </c>
      <c r="D977" t="inlineStr">
        <is>
          <t>VÄRMLANDS LÄN</t>
        </is>
      </c>
      <c r="E977" t="inlineStr">
        <is>
          <t>TORSBY</t>
        </is>
      </c>
      <c r="F977" t="inlineStr">
        <is>
          <t>Bergvik skog väst AB</t>
        </is>
      </c>
      <c r="G977" t="n">
        <v>2.3</v>
      </c>
      <c r="H977" t="n">
        <v>0</v>
      </c>
      <c r="I977" t="n">
        <v>0</v>
      </c>
      <c r="J977" t="n">
        <v>0</v>
      </c>
      <c r="K977" t="n">
        <v>0</v>
      </c>
      <c r="L977" t="n">
        <v>0</v>
      </c>
      <c r="M977" t="n">
        <v>0</v>
      </c>
      <c r="N977" t="n">
        <v>0</v>
      </c>
      <c r="O977" t="n">
        <v>0</v>
      </c>
      <c r="P977" t="n">
        <v>0</v>
      </c>
      <c r="Q977" t="n">
        <v>0</v>
      </c>
      <c r="R977" s="2" t="inlineStr"/>
    </row>
    <row r="978" ht="15" customHeight="1">
      <c r="A978" t="inlineStr">
        <is>
          <t>A 51819-2021</t>
        </is>
      </c>
      <c r="B978" s="1" t="n">
        <v>44462</v>
      </c>
      <c r="C978" s="1" t="n">
        <v>45291</v>
      </c>
      <c r="D978" t="inlineStr">
        <is>
          <t>VÄRMLANDS LÄN</t>
        </is>
      </c>
      <c r="E978" t="inlineStr">
        <is>
          <t>TORSBY</t>
        </is>
      </c>
      <c r="F978" t="inlineStr">
        <is>
          <t>Bergvik skog väst AB</t>
        </is>
      </c>
      <c r="G978" t="n">
        <v>14.7</v>
      </c>
      <c r="H978" t="n">
        <v>0</v>
      </c>
      <c r="I978" t="n">
        <v>0</v>
      </c>
      <c r="J978" t="n">
        <v>0</v>
      </c>
      <c r="K978" t="n">
        <v>0</v>
      </c>
      <c r="L978" t="n">
        <v>0</v>
      </c>
      <c r="M978" t="n">
        <v>0</v>
      </c>
      <c r="N978" t="n">
        <v>0</v>
      </c>
      <c r="O978" t="n">
        <v>0</v>
      </c>
      <c r="P978" t="n">
        <v>0</v>
      </c>
      <c r="Q978" t="n">
        <v>0</v>
      </c>
      <c r="R978" s="2" t="inlineStr"/>
    </row>
    <row r="979" ht="15" customHeight="1">
      <c r="A979" t="inlineStr">
        <is>
          <t>A 51522-2021</t>
        </is>
      </c>
      <c r="B979" s="1" t="n">
        <v>44462</v>
      </c>
      <c r="C979" s="1" t="n">
        <v>45291</v>
      </c>
      <c r="D979" t="inlineStr">
        <is>
          <t>VÄRMLANDS LÄN</t>
        </is>
      </c>
      <c r="E979" t="inlineStr">
        <is>
          <t>TORSBY</t>
        </is>
      </c>
      <c r="G979" t="n">
        <v>0.3</v>
      </c>
      <c r="H979" t="n">
        <v>0</v>
      </c>
      <c r="I979" t="n">
        <v>0</v>
      </c>
      <c r="J979" t="n">
        <v>0</v>
      </c>
      <c r="K979" t="n">
        <v>0</v>
      </c>
      <c r="L979" t="n">
        <v>0</v>
      </c>
      <c r="M979" t="n">
        <v>0</v>
      </c>
      <c r="N979" t="n">
        <v>0</v>
      </c>
      <c r="O979" t="n">
        <v>0</v>
      </c>
      <c r="P979" t="n">
        <v>0</v>
      </c>
      <c r="Q979" t="n">
        <v>0</v>
      </c>
      <c r="R979" s="2" t="inlineStr"/>
    </row>
    <row r="980" ht="15" customHeight="1">
      <c r="A980" t="inlineStr">
        <is>
          <t>A 52121-2021</t>
        </is>
      </c>
      <c r="B980" s="1" t="n">
        <v>44463</v>
      </c>
      <c r="C980" s="1" t="n">
        <v>45291</v>
      </c>
      <c r="D980" t="inlineStr">
        <is>
          <t>VÄRMLANDS LÄN</t>
        </is>
      </c>
      <c r="E980" t="inlineStr">
        <is>
          <t>TORSBY</t>
        </is>
      </c>
      <c r="G980" t="n">
        <v>0</v>
      </c>
      <c r="H980" t="n">
        <v>0</v>
      </c>
      <c r="I980" t="n">
        <v>0</v>
      </c>
      <c r="J980" t="n">
        <v>0</v>
      </c>
      <c r="K980" t="n">
        <v>0</v>
      </c>
      <c r="L980" t="n">
        <v>0</v>
      </c>
      <c r="M980" t="n">
        <v>0</v>
      </c>
      <c r="N980" t="n">
        <v>0</v>
      </c>
      <c r="O980" t="n">
        <v>0</v>
      </c>
      <c r="P980" t="n">
        <v>0</v>
      </c>
      <c r="Q980" t="n">
        <v>0</v>
      </c>
      <c r="R980" s="2" t="inlineStr"/>
    </row>
    <row r="981" ht="15" customHeight="1">
      <c r="A981" t="inlineStr">
        <is>
          <t>A 52520-2021</t>
        </is>
      </c>
      <c r="B981" s="1" t="n">
        <v>44466</v>
      </c>
      <c r="C981" s="1" t="n">
        <v>45291</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52728-2021</t>
        </is>
      </c>
      <c r="B982" s="1" t="n">
        <v>44467</v>
      </c>
      <c r="C982" s="1" t="n">
        <v>45291</v>
      </c>
      <c r="D982" t="inlineStr">
        <is>
          <t>VÄRMLANDS LÄN</t>
        </is>
      </c>
      <c r="E982" t="inlineStr">
        <is>
          <t>TORSBY</t>
        </is>
      </c>
      <c r="G982" t="n">
        <v>0.9</v>
      </c>
      <c r="H982" t="n">
        <v>0</v>
      </c>
      <c r="I982" t="n">
        <v>0</v>
      </c>
      <c r="J982" t="n">
        <v>0</v>
      </c>
      <c r="K982" t="n">
        <v>0</v>
      </c>
      <c r="L982" t="n">
        <v>0</v>
      </c>
      <c r="M982" t="n">
        <v>0</v>
      </c>
      <c r="N982" t="n">
        <v>0</v>
      </c>
      <c r="O982" t="n">
        <v>0</v>
      </c>
      <c r="P982" t="n">
        <v>0</v>
      </c>
      <c r="Q982" t="n">
        <v>0</v>
      </c>
      <c r="R982" s="2" t="inlineStr"/>
    </row>
    <row r="983" ht="15" customHeight="1">
      <c r="A983" t="inlineStr">
        <is>
          <t>A 52900-2021</t>
        </is>
      </c>
      <c r="B983" s="1" t="n">
        <v>44467</v>
      </c>
      <c r="C983" s="1" t="n">
        <v>45291</v>
      </c>
      <c r="D983" t="inlineStr">
        <is>
          <t>VÄRMLANDS LÄN</t>
        </is>
      </c>
      <c r="E983" t="inlineStr">
        <is>
          <t>TORSBY</t>
        </is>
      </c>
      <c r="G983" t="n">
        <v>3.8</v>
      </c>
      <c r="H983" t="n">
        <v>0</v>
      </c>
      <c r="I983" t="n">
        <v>0</v>
      </c>
      <c r="J983" t="n">
        <v>0</v>
      </c>
      <c r="K983" t="n">
        <v>0</v>
      </c>
      <c r="L983" t="n">
        <v>0</v>
      </c>
      <c r="M983" t="n">
        <v>0</v>
      </c>
      <c r="N983" t="n">
        <v>0</v>
      </c>
      <c r="O983" t="n">
        <v>0</v>
      </c>
      <c r="P983" t="n">
        <v>0</v>
      </c>
      <c r="Q983" t="n">
        <v>0</v>
      </c>
      <c r="R983" s="2" t="inlineStr"/>
    </row>
    <row r="984" ht="15" customHeight="1">
      <c r="A984" t="inlineStr">
        <is>
          <t>A 53705-2021</t>
        </is>
      </c>
      <c r="B984" s="1" t="n">
        <v>44469</v>
      </c>
      <c r="C984" s="1" t="n">
        <v>45291</v>
      </c>
      <c r="D984" t="inlineStr">
        <is>
          <t>VÄRMLANDS LÄN</t>
        </is>
      </c>
      <c r="E984" t="inlineStr">
        <is>
          <t>TORSBY</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54029-2021</t>
        </is>
      </c>
      <c r="B985" s="1" t="n">
        <v>44470</v>
      </c>
      <c r="C985" s="1" t="n">
        <v>45291</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54033-2021</t>
        </is>
      </c>
      <c r="B986" s="1" t="n">
        <v>44470</v>
      </c>
      <c r="C986" s="1" t="n">
        <v>45291</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55794-2021</t>
        </is>
      </c>
      <c r="B987" s="1" t="n">
        <v>44476</v>
      </c>
      <c r="C987" s="1" t="n">
        <v>45291</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55811-2021</t>
        </is>
      </c>
      <c r="B988" s="1" t="n">
        <v>44476</v>
      </c>
      <c r="C988" s="1" t="n">
        <v>45291</v>
      </c>
      <c r="D988" t="inlineStr">
        <is>
          <t>VÄRMLANDS LÄN</t>
        </is>
      </c>
      <c r="E988" t="inlineStr">
        <is>
          <t>TORSBY</t>
        </is>
      </c>
      <c r="G988" t="n">
        <v>3.7</v>
      </c>
      <c r="H988" t="n">
        <v>0</v>
      </c>
      <c r="I988" t="n">
        <v>0</v>
      </c>
      <c r="J988" t="n">
        <v>0</v>
      </c>
      <c r="K988" t="n">
        <v>0</v>
      </c>
      <c r="L988" t="n">
        <v>0</v>
      </c>
      <c r="M988" t="n">
        <v>0</v>
      </c>
      <c r="N988" t="n">
        <v>0</v>
      </c>
      <c r="O988" t="n">
        <v>0</v>
      </c>
      <c r="P988" t="n">
        <v>0</v>
      </c>
      <c r="Q988" t="n">
        <v>0</v>
      </c>
      <c r="R988" s="2" t="inlineStr"/>
    </row>
    <row r="989" ht="15" customHeight="1">
      <c r="A989" t="inlineStr">
        <is>
          <t>A 56102-2021</t>
        </is>
      </c>
      <c r="B989" s="1" t="n">
        <v>44477</v>
      </c>
      <c r="C989" s="1" t="n">
        <v>45291</v>
      </c>
      <c r="D989" t="inlineStr">
        <is>
          <t>VÄRMLANDS LÄN</t>
        </is>
      </c>
      <c r="E989" t="inlineStr">
        <is>
          <t>TORSBY</t>
        </is>
      </c>
      <c r="G989" t="n">
        <v>4.6</v>
      </c>
      <c r="H989" t="n">
        <v>0</v>
      </c>
      <c r="I989" t="n">
        <v>0</v>
      </c>
      <c r="J989" t="n">
        <v>0</v>
      </c>
      <c r="K989" t="n">
        <v>0</v>
      </c>
      <c r="L989" t="n">
        <v>0</v>
      </c>
      <c r="M989" t="n">
        <v>0</v>
      </c>
      <c r="N989" t="n">
        <v>0</v>
      </c>
      <c r="O989" t="n">
        <v>0</v>
      </c>
      <c r="P989" t="n">
        <v>0</v>
      </c>
      <c r="Q989" t="n">
        <v>0</v>
      </c>
      <c r="R989" s="2" t="inlineStr"/>
    </row>
    <row r="990" ht="15" customHeight="1">
      <c r="A990" t="inlineStr">
        <is>
          <t>A 56037-2021</t>
        </is>
      </c>
      <c r="B990" s="1" t="n">
        <v>44477</v>
      </c>
      <c r="C990" s="1" t="n">
        <v>45291</v>
      </c>
      <c r="D990" t="inlineStr">
        <is>
          <t>VÄRMLANDS LÄN</t>
        </is>
      </c>
      <c r="E990" t="inlineStr">
        <is>
          <t>TORSBY</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56062-2021</t>
        </is>
      </c>
      <c r="B991" s="1" t="n">
        <v>44477</v>
      </c>
      <c r="C991" s="1" t="n">
        <v>45291</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56981-2021</t>
        </is>
      </c>
      <c r="B992" s="1" t="n">
        <v>44482</v>
      </c>
      <c r="C992" s="1" t="n">
        <v>45291</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57287-2021</t>
        </is>
      </c>
      <c r="B993" s="1" t="n">
        <v>44482</v>
      </c>
      <c r="C993" s="1" t="n">
        <v>45291</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58062-2021</t>
        </is>
      </c>
      <c r="B994" s="1" t="n">
        <v>44487</v>
      </c>
      <c r="C994" s="1" t="n">
        <v>45291</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58479-2021</t>
        </is>
      </c>
      <c r="B995" s="1" t="n">
        <v>44488</v>
      </c>
      <c r="C995" s="1" t="n">
        <v>45291</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58476-2021</t>
        </is>
      </c>
      <c r="B996" s="1" t="n">
        <v>44488</v>
      </c>
      <c r="C996" s="1" t="n">
        <v>45291</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58543-2021</t>
        </is>
      </c>
      <c r="B997" s="1" t="n">
        <v>44488</v>
      </c>
      <c r="C997" s="1" t="n">
        <v>45291</v>
      </c>
      <c r="D997" t="inlineStr">
        <is>
          <t>VÄRMLANDS LÄN</t>
        </is>
      </c>
      <c r="E997" t="inlineStr">
        <is>
          <t>TORSBY</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58728-2021</t>
        </is>
      </c>
      <c r="B998" s="1" t="n">
        <v>44489</v>
      </c>
      <c r="C998" s="1" t="n">
        <v>45291</v>
      </c>
      <c r="D998" t="inlineStr">
        <is>
          <t>VÄRMLANDS LÄN</t>
        </is>
      </c>
      <c r="E998" t="inlineStr">
        <is>
          <t>TORSBY</t>
        </is>
      </c>
      <c r="G998" t="n">
        <v>0.6</v>
      </c>
      <c r="H998" t="n">
        <v>0</v>
      </c>
      <c r="I998" t="n">
        <v>0</v>
      </c>
      <c r="J998" t="n">
        <v>0</v>
      </c>
      <c r="K998" t="n">
        <v>0</v>
      </c>
      <c r="L998" t="n">
        <v>0</v>
      </c>
      <c r="M998" t="n">
        <v>0</v>
      </c>
      <c r="N998" t="n">
        <v>0</v>
      </c>
      <c r="O998" t="n">
        <v>0</v>
      </c>
      <c r="P998" t="n">
        <v>0</v>
      </c>
      <c r="Q998" t="n">
        <v>0</v>
      </c>
      <c r="R998" s="2" t="inlineStr"/>
    </row>
    <row r="999" ht="15" customHeight="1">
      <c r="A999" t="inlineStr">
        <is>
          <t>A 59425-2021</t>
        </is>
      </c>
      <c r="B999" s="1" t="n">
        <v>44491</v>
      </c>
      <c r="C999" s="1" t="n">
        <v>45291</v>
      </c>
      <c r="D999" t="inlineStr">
        <is>
          <t>VÄRMLANDS LÄN</t>
        </is>
      </c>
      <c r="E999" t="inlineStr">
        <is>
          <t>TORSBY</t>
        </is>
      </c>
      <c r="F999" t="inlineStr">
        <is>
          <t>Bergvik skog väst AB</t>
        </is>
      </c>
      <c r="G999" t="n">
        <v>14.9</v>
      </c>
      <c r="H999" t="n">
        <v>0</v>
      </c>
      <c r="I999" t="n">
        <v>0</v>
      </c>
      <c r="J999" t="n">
        <v>0</v>
      </c>
      <c r="K999" t="n">
        <v>0</v>
      </c>
      <c r="L999" t="n">
        <v>0</v>
      </c>
      <c r="M999" t="n">
        <v>0</v>
      </c>
      <c r="N999" t="n">
        <v>0</v>
      </c>
      <c r="O999" t="n">
        <v>0</v>
      </c>
      <c r="P999" t="n">
        <v>0</v>
      </c>
      <c r="Q999" t="n">
        <v>0</v>
      </c>
      <c r="R999" s="2" t="inlineStr"/>
    </row>
    <row r="1000" ht="15" customHeight="1">
      <c r="A1000" t="inlineStr">
        <is>
          <t>A 60428-2021</t>
        </is>
      </c>
      <c r="B1000" s="1" t="n">
        <v>44496</v>
      </c>
      <c r="C1000" s="1" t="n">
        <v>45291</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60430-2021</t>
        </is>
      </c>
      <c r="B1001" s="1" t="n">
        <v>44496</v>
      </c>
      <c r="C1001" s="1" t="n">
        <v>45291</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60698-2021</t>
        </is>
      </c>
      <c r="B1002" s="1" t="n">
        <v>44496</v>
      </c>
      <c r="C1002" s="1" t="n">
        <v>45291</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61231-2021</t>
        </is>
      </c>
      <c r="B1003" s="1" t="n">
        <v>44496</v>
      </c>
      <c r="C1003" s="1" t="n">
        <v>45291</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61812-2021</t>
        </is>
      </c>
      <c r="B1004" s="1" t="n">
        <v>44501</v>
      </c>
      <c r="C1004" s="1" t="n">
        <v>45291</v>
      </c>
      <c r="D1004" t="inlineStr">
        <is>
          <t>VÄRMLANDS LÄN</t>
        </is>
      </c>
      <c r="E1004" t="inlineStr">
        <is>
          <t>TORSBY</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61809-2021</t>
        </is>
      </c>
      <c r="B1005" s="1" t="n">
        <v>44501</v>
      </c>
      <c r="C1005" s="1" t="n">
        <v>45291</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62045-2021</t>
        </is>
      </c>
      <c r="B1006" s="1" t="n">
        <v>44502</v>
      </c>
      <c r="C1006" s="1" t="n">
        <v>45291</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62039-2021</t>
        </is>
      </c>
      <c r="B1007" s="1" t="n">
        <v>44502</v>
      </c>
      <c r="C1007" s="1" t="n">
        <v>45291</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62576-2021</t>
        </is>
      </c>
      <c r="B1008" s="1" t="n">
        <v>44502</v>
      </c>
      <c r="C1008" s="1" t="n">
        <v>45291</v>
      </c>
      <c r="D1008" t="inlineStr">
        <is>
          <t>VÄRMLANDS LÄN</t>
        </is>
      </c>
      <c r="E1008" t="inlineStr">
        <is>
          <t>TORSBY</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62845-2021</t>
        </is>
      </c>
      <c r="B1009" s="1" t="n">
        <v>44504</v>
      </c>
      <c r="C1009" s="1" t="n">
        <v>45291</v>
      </c>
      <c r="D1009" t="inlineStr">
        <is>
          <t>VÄRMLANDS LÄN</t>
        </is>
      </c>
      <c r="E1009" t="inlineStr">
        <is>
          <t>TORSBY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63251-2021</t>
        </is>
      </c>
      <c r="B1010" s="1" t="n">
        <v>44508</v>
      </c>
      <c r="C1010" s="1" t="n">
        <v>45291</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63527-2021</t>
        </is>
      </c>
      <c r="B1011" s="1" t="n">
        <v>44508</v>
      </c>
      <c r="C1011" s="1" t="n">
        <v>45291</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64780-2021</t>
        </is>
      </c>
      <c r="B1012" s="1" t="n">
        <v>44512</v>
      </c>
      <c r="C1012" s="1" t="n">
        <v>45291</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64902-2021</t>
        </is>
      </c>
      <c r="B1013" s="1" t="n">
        <v>44512</v>
      </c>
      <c r="C1013" s="1" t="n">
        <v>45291</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65182-2021</t>
        </is>
      </c>
      <c r="B1014" s="1" t="n">
        <v>44515</v>
      </c>
      <c r="C1014" s="1" t="n">
        <v>45291</v>
      </c>
      <c r="D1014" t="inlineStr">
        <is>
          <t>VÄRMLANDS LÄN</t>
        </is>
      </c>
      <c r="E1014" t="inlineStr">
        <is>
          <t>TORSBY</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65301-2021</t>
        </is>
      </c>
      <c r="B1015" s="1" t="n">
        <v>44515</v>
      </c>
      <c r="C1015" s="1" t="n">
        <v>45291</v>
      </c>
      <c r="D1015" t="inlineStr">
        <is>
          <t>VÄRMLANDS LÄN</t>
        </is>
      </c>
      <c r="E1015" t="inlineStr">
        <is>
          <t>TORSBY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65537-2021</t>
        </is>
      </c>
      <c r="B1016" s="1" t="n">
        <v>44516</v>
      </c>
      <c r="C1016" s="1" t="n">
        <v>45291</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65713-2021</t>
        </is>
      </c>
      <c r="B1017" s="1" t="n">
        <v>44516</v>
      </c>
      <c r="C1017" s="1" t="n">
        <v>45291</v>
      </c>
      <c r="D1017" t="inlineStr">
        <is>
          <t>VÄRMLANDS LÄN</t>
        </is>
      </c>
      <c r="E1017" t="inlineStr">
        <is>
          <t>TORSBY</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65705-2021</t>
        </is>
      </c>
      <c r="B1018" s="1" t="n">
        <v>44516</v>
      </c>
      <c r="C1018" s="1" t="n">
        <v>45291</v>
      </c>
      <c r="D1018" t="inlineStr">
        <is>
          <t>VÄRMLANDS LÄN</t>
        </is>
      </c>
      <c r="E1018" t="inlineStr">
        <is>
          <t>TORSBY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65959-2021</t>
        </is>
      </c>
      <c r="B1019" s="1" t="n">
        <v>44517</v>
      </c>
      <c r="C1019" s="1" t="n">
        <v>45291</v>
      </c>
      <c r="D1019" t="inlineStr">
        <is>
          <t>VÄRMLANDS LÄN</t>
        </is>
      </c>
      <c r="E1019" t="inlineStr">
        <is>
          <t>TORSBY</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65998-2021</t>
        </is>
      </c>
      <c r="B1020" s="1" t="n">
        <v>44517</v>
      </c>
      <c r="C1020" s="1" t="n">
        <v>45291</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66103-2021</t>
        </is>
      </c>
      <c r="B1021" s="1" t="n">
        <v>44517</v>
      </c>
      <c r="C1021" s="1" t="n">
        <v>45291</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66133-2021</t>
        </is>
      </c>
      <c r="B1022" s="1" t="n">
        <v>44517</v>
      </c>
      <c r="C1022" s="1" t="n">
        <v>45291</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66978-2021</t>
        </is>
      </c>
      <c r="B1023" s="1" t="n">
        <v>44522</v>
      </c>
      <c r="C1023" s="1" t="n">
        <v>45291</v>
      </c>
      <c r="D1023" t="inlineStr">
        <is>
          <t>VÄRMLANDS LÄN</t>
        </is>
      </c>
      <c r="E1023" t="inlineStr">
        <is>
          <t>TORSBY</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67006-2021</t>
        </is>
      </c>
      <c r="B1024" s="1" t="n">
        <v>44522</v>
      </c>
      <c r="C1024" s="1" t="n">
        <v>45291</v>
      </c>
      <c r="D1024" t="inlineStr">
        <is>
          <t>VÄRMLANDS LÄN</t>
        </is>
      </c>
      <c r="E1024" t="inlineStr">
        <is>
          <t>TORSBY</t>
        </is>
      </c>
      <c r="F1024" t="inlineStr">
        <is>
          <t>Kommuner</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67147-2021</t>
        </is>
      </c>
      <c r="B1025" s="1" t="n">
        <v>44523</v>
      </c>
      <c r="C1025" s="1" t="n">
        <v>45291</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67172-2021</t>
        </is>
      </c>
      <c r="B1026" s="1" t="n">
        <v>44523</v>
      </c>
      <c r="C1026" s="1" t="n">
        <v>45291</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67567-2021</t>
        </is>
      </c>
      <c r="B1027" s="1" t="n">
        <v>44524</v>
      </c>
      <c r="C1027" s="1" t="n">
        <v>45291</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67457-2021</t>
        </is>
      </c>
      <c r="B1028" s="1" t="n">
        <v>44524</v>
      </c>
      <c r="C1028" s="1" t="n">
        <v>45291</v>
      </c>
      <c r="D1028" t="inlineStr">
        <is>
          <t>VÄRMLANDS LÄN</t>
        </is>
      </c>
      <c r="E1028" t="inlineStr">
        <is>
          <t>TORSBY</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67933-2021</t>
        </is>
      </c>
      <c r="B1029" s="1" t="n">
        <v>44525</v>
      </c>
      <c r="C1029" s="1" t="n">
        <v>45291</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67913-2021</t>
        </is>
      </c>
      <c r="B1030" s="1" t="n">
        <v>44525</v>
      </c>
      <c r="C1030" s="1" t="n">
        <v>45291</v>
      </c>
      <c r="D1030" t="inlineStr">
        <is>
          <t>VÄRMLANDS LÄN</t>
        </is>
      </c>
      <c r="E1030" t="inlineStr">
        <is>
          <t>TORSBY</t>
        </is>
      </c>
      <c r="F1030" t="inlineStr">
        <is>
          <t>Bergvik skog väst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69279-2021</t>
        </is>
      </c>
      <c r="B1031" s="1" t="n">
        <v>44526</v>
      </c>
      <c r="C1031" s="1" t="n">
        <v>45291</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69265-2021</t>
        </is>
      </c>
      <c r="B1032" s="1" t="n">
        <v>44526</v>
      </c>
      <c r="C1032" s="1" t="n">
        <v>45291</v>
      </c>
      <c r="D1032" t="inlineStr">
        <is>
          <t>VÄRMLANDS LÄN</t>
        </is>
      </c>
      <c r="E1032" t="inlineStr">
        <is>
          <t>TORSBY</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69275-2021</t>
        </is>
      </c>
      <c r="B1033" s="1" t="n">
        <v>44526</v>
      </c>
      <c r="C1033" s="1" t="n">
        <v>45291</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68153-2021</t>
        </is>
      </c>
      <c r="B1034" s="1" t="n">
        <v>44526</v>
      </c>
      <c r="C1034" s="1" t="n">
        <v>45291</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69281-2021</t>
        </is>
      </c>
      <c r="B1035" s="1" t="n">
        <v>44526</v>
      </c>
      <c r="C1035" s="1" t="n">
        <v>45291</v>
      </c>
      <c r="D1035" t="inlineStr">
        <is>
          <t>VÄRMLANDS LÄN</t>
        </is>
      </c>
      <c r="E1035" t="inlineStr">
        <is>
          <t>TORSBY</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68266-2021</t>
        </is>
      </c>
      <c r="B1036" s="1" t="n">
        <v>44526</v>
      </c>
      <c r="C1036" s="1" t="n">
        <v>45291</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68136-2021</t>
        </is>
      </c>
      <c r="B1037" s="1" t="n">
        <v>44526</v>
      </c>
      <c r="C1037" s="1" t="n">
        <v>45291</v>
      </c>
      <c r="D1037" t="inlineStr">
        <is>
          <t>VÄRMLANDS LÄN</t>
        </is>
      </c>
      <c r="E1037" t="inlineStr">
        <is>
          <t>TORSBY</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68650-2021</t>
        </is>
      </c>
      <c r="B1038" s="1" t="n">
        <v>44529</v>
      </c>
      <c r="C1038" s="1" t="n">
        <v>45291</v>
      </c>
      <c r="D1038" t="inlineStr">
        <is>
          <t>VÄRMLANDS LÄN</t>
        </is>
      </c>
      <c r="E1038" t="inlineStr">
        <is>
          <t>TORSBY</t>
        </is>
      </c>
      <c r="F1038" t="inlineStr">
        <is>
          <t>Bergvik skog väst AB</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68850-2021</t>
        </is>
      </c>
      <c r="B1039" s="1" t="n">
        <v>44530</v>
      </c>
      <c r="C1039" s="1" t="n">
        <v>45291</v>
      </c>
      <c r="D1039" t="inlineStr">
        <is>
          <t>VÄRMLANDS LÄN</t>
        </is>
      </c>
      <c r="E1039" t="inlineStr">
        <is>
          <t>TORSBY</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68855-2021</t>
        </is>
      </c>
      <c r="B1040" s="1" t="n">
        <v>44530</v>
      </c>
      <c r="C1040" s="1" t="n">
        <v>45291</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69026-2021</t>
        </is>
      </c>
      <c r="B1041" s="1" t="n">
        <v>44530</v>
      </c>
      <c r="C1041" s="1" t="n">
        <v>45291</v>
      </c>
      <c r="D1041" t="inlineStr">
        <is>
          <t>VÄRMLANDS LÄN</t>
        </is>
      </c>
      <c r="E1041" t="inlineStr">
        <is>
          <t>TORSBY</t>
        </is>
      </c>
      <c r="F1041" t="inlineStr">
        <is>
          <t>Bergvik skog väst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69086-2021</t>
        </is>
      </c>
      <c r="B1042" s="1" t="n">
        <v>44530</v>
      </c>
      <c r="C1042" s="1" t="n">
        <v>45291</v>
      </c>
      <c r="D1042" t="inlineStr">
        <is>
          <t>VÄRMLANDS LÄN</t>
        </is>
      </c>
      <c r="E1042" t="inlineStr">
        <is>
          <t>TORSBY</t>
        </is>
      </c>
      <c r="F1042" t="inlineStr">
        <is>
          <t>Bergvik skog väst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69877-2021</t>
        </is>
      </c>
      <c r="B1043" s="1" t="n">
        <v>44532</v>
      </c>
      <c r="C1043" s="1" t="n">
        <v>45291</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69878-2021</t>
        </is>
      </c>
      <c r="B1044" s="1" t="n">
        <v>44532</v>
      </c>
      <c r="C1044" s="1" t="n">
        <v>45291</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70166-2021</t>
        </is>
      </c>
      <c r="B1045" s="1" t="n">
        <v>44533</v>
      </c>
      <c r="C1045" s="1" t="n">
        <v>45291</v>
      </c>
      <c r="D1045" t="inlineStr">
        <is>
          <t>VÄRMLANDS LÄN</t>
        </is>
      </c>
      <c r="E1045" t="inlineStr">
        <is>
          <t>TORSBY</t>
        </is>
      </c>
      <c r="F1045" t="inlineStr">
        <is>
          <t>Kommuner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69974-2021</t>
        </is>
      </c>
      <c r="B1046" s="1" t="n">
        <v>44533</v>
      </c>
      <c r="C1046" s="1" t="n">
        <v>45291</v>
      </c>
      <c r="D1046" t="inlineStr">
        <is>
          <t>VÄRMLANDS LÄN</t>
        </is>
      </c>
      <c r="E1046" t="inlineStr">
        <is>
          <t>TORSBY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70241-2021</t>
        </is>
      </c>
      <c r="B1047" s="1" t="n">
        <v>44536</v>
      </c>
      <c r="C1047" s="1" t="n">
        <v>45291</v>
      </c>
      <c r="D1047" t="inlineStr">
        <is>
          <t>VÄRMLANDS LÄN</t>
        </is>
      </c>
      <c r="E1047" t="inlineStr">
        <is>
          <t>TORSBY</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70253-2021</t>
        </is>
      </c>
      <c r="B1048" s="1" t="n">
        <v>44536</v>
      </c>
      <c r="C1048" s="1" t="n">
        <v>45291</v>
      </c>
      <c r="D1048" t="inlineStr">
        <is>
          <t>VÄRMLANDS LÄN</t>
        </is>
      </c>
      <c r="E1048" t="inlineStr">
        <is>
          <t>TORSBY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70658-2021</t>
        </is>
      </c>
      <c r="B1049" s="1" t="n">
        <v>44537</v>
      </c>
      <c r="C1049" s="1" t="n">
        <v>45291</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70787-2021</t>
        </is>
      </c>
      <c r="B1050" s="1" t="n">
        <v>44537</v>
      </c>
      <c r="C1050" s="1" t="n">
        <v>45291</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70775-2021</t>
        </is>
      </c>
      <c r="B1051" s="1" t="n">
        <v>44537</v>
      </c>
      <c r="C1051" s="1" t="n">
        <v>45291</v>
      </c>
      <c r="D1051" t="inlineStr">
        <is>
          <t>VÄRMLANDS LÄN</t>
        </is>
      </c>
      <c r="E1051" t="inlineStr">
        <is>
          <t>TORSBY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70785-2021</t>
        </is>
      </c>
      <c r="B1052" s="1" t="n">
        <v>44537</v>
      </c>
      <c r="C1052" s="1" t="n">
        <v>45291</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70978-2021</t>
        </is>
      </c>
      <c r="B1053" s="1" t="n">
        <v>44537</v>
      </c>
      <c r="C1053" s="1" t="n">
        <v>45291</v>
      </c>
      <c r="D1053" t="inlineStr">
        <is>
          <t>VÄRMLANDS LÄN</t>
        </is>
      </c>
      <c r="E1053" t="inlineStr">
        <is>
          <t>TORSBY</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70926-2021</t>
        </is>
      </c>
      <c r="B1054" s="1" t="n">
        <v>44538</v>
      </c>
      <c r="C1054" s="1" t="n">
        <v>45291</v>
      </c>
      <c r="D1054" t="inlineStr">
        <is>
          <t>VÄRMLANDS LÄN</t>
        </is>
      </c>
      <c r="E1054" t="inlineStr">
        <is>
          <t>TORSBY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70924-2021</t>
        </is>
      </c>
      <c r="B1055" s="1" t="n">
        <v>44538</v>
      </c>
      <c r="C1055" s="1" t="n">
        <v>45291</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71255-2021</t>
        </is>
      </c>
      <c r="B1056" s="1" t="n">
        <v>44538</v>
      </c>
      <c r="C1056" s="1" t="n">
        <v>45291</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71084-2021</t>
        </is>
      </c>
      <c r="B1057" s="1" t="n">
        <v>44539</v>
      </c>
      <c r="C1057" s="1" t="n">
        <v>45291</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71469-2021</t>
        </is>
      </c>
      <c r="B1058" s="1" t="n">
        <v>44540</v>
      </c>
      <c r="C1058" s="1" t="n">
        <v>45291</v>
      </c>
      <c r="D1058" t="inlineStr">
        <is>
          <t>VÄRMLANDS LÄN</t>
        </is>
      </c>
      <c r="E1058" t="inlineStr">
        <is>
          <t>TORSBY</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71679-2021</t>
        </is>
      </c>
      <c r="B1059" s="1" t="n">
        <v>44543</v>
      </c>
      <c r="C1059" s="1" t="n">
        <v>45291</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71990-2021</t>
        </is>
      </c>
      <c r="B1060" s="1" t="n">
        <v>44544</v>
      </c>
      <c r="C1060" s="1" t="n">
        <v>45291</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72200-2021</t>
        </is>
      </c>
      <c r="B1061" s="1" t="n">
        <v>44544</v>
      </c>
      <c r="C1061" s="1" t="n">
        <v>45291</v>
      </c>
      <c r="D1061" t="inlineStr">
        <is>
          <t>VÄRMLANDS LÄN</t>
        </is>
      </c>
      <c r="E1061" t="inlineStr">
        <is>
          <t>TORSBY</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72250-2021</t>
        </is>
      </c>
      <c r="B1062" s="1" t="n">
        <v>44544</v>
      </c>
      <c r="C1062" s="1" t="n">
        <v>45291</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73055-2021</t>
        </is>
      </c>
      <c r="B1063" s="1" t="n">
        <v>44550</v>
      </c>
      <c r="C1063" s="1" t="n">
        <v>45291</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73324-2021</t>
        </is>
      </c>
      <c r="B1064" s="1" t="n">
        <v>44550</v>
      </c>
      <c r="C1064" s="1" t="n">
        <v>45291</v>
      </c>
      <c r="D1064" t="inlineStr">
        <is>
          <t>VÄRMLANDS LÄN</t>
        </is>
      </c>
      <c r="E1064" t="inlineStr">
        <is>
          <t>TORSBY</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73165-2021</t>
        </is>
      </c>
      <c r="B1065" s="1" t="n">
        <v>44550</v>
      </c>
      <c r="C1065" s="1" t="n">
        <v>45291</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73442-2021</t>
        </is>
      </c>
      <c r="B1066" s="1" t="n">
        <v>44551</v>
      </c>
      <c r="C1066" s="1" t="n">
        <v>45291</v>
      </c>
      <c r="D1066" t="inlineStr">
        <is>
          <t>VÄRMLANDS LÄN</t>
        </is>
      </c>
      <c r="E1066" t="inlineStr">
        <is>
          <t>TORSBY</t>
        </is>
      </c>
      <c r="F1066" t="inlineStr">
        <is>
          <t>Bergvik skog väst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73553-2021</t>
        </is>
      </c>
      <c r="B1067" s="1" t="n">
        <v>44551</v>
      </c>
      <c r="C1067" s="1" t="n">
        <v>45291</v>
      </c>
      <c r="D1067" t="inlineStr">
        <is>
          <t>VÄRMLANDS LÄN</t>
        </is>
      </c>
      <c r="E1067" t="inlineStr">
        <is>
          <t>TORSBY</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73521-2021</t>
        </is>
      </c>
      <c r="B1068" s="1" t="n">
        <v>44551</v>
      </c>
      <c r="C1068" s="1" t="n">
        <v>45291</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73882-2021</t>
        </is>
      </c>
      <c r="B1069" s="1" t="n">
        <v>44553</v>
      </c>
      <c r="C1069" s="1" t="n">
        <v>45291</v>
      </c>
      <c r="D1069" t="inlineStr">
        <is>
          <t>VÄRMLANDS LÄN</t>
        </is>
      </c>
      <c r="E1069" t="inlineStr">
        <is>
          <t>TORSBY</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73874-2021</t>
        </is>
      </c>
      <c r="B1070" s="1" t="n">
        <v>44553</v>
      </c>
      <c r="C1070" s="1" t="n">
        <v>45291</v>
      </c>
      <c r="D1070" t="inlineStr">
        <is>
          <t>VÄRMLANDS LÄN</t>
        </is>
      </c>
      <c r="E1070" t="inlineStr">
        <is>
          <t>TORSBY</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74012-2021</t>
        </is>
      </c>
      <c r="B1071" s="1" t="n">
        <v>44553</v>
      </c>
      <c r="C1071" s="1" t="n">
        <v>45291</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74079-2021</t>
        </is>
      </c>
      <c r="B1072" s="1" t="n">
        <v>44557</v>
      </c>
      <c r="C1072" s="1" t="n">
        <v>45291</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74375-2021</t>
        </is>
      </c>
      <c r="B1073" s="1" t="n">
        <v>44559</v>
      </c>
      <c r="C1073" s="1" t="n">
        <v>45291</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74374-2021</t>
        </is>
      </c>
      <c r="B1074" s="1" t="n">
        <v>44559</v>
      </c>
      <c r="C1074" s="1" t="n">
        <v>45291</v>
      </c>
      <c r="D1074" t="inlineStr">
        <is>
          <t>VÄRMLANDS LÄN</t>
        </is>
      </c>
      <c r="E1074" t="inlineStr">
        <is>
          <t>TORSBY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74351-2021</t>
        </is>
      </c>
      <c r="B1075" s="1" t="n">
        <v>44559</v>
      </c>
      <c r="C1075" s="1" t="n">
        <v>45291</v>
      </c>
      <c r="D1075" t="inlineStr">
        <is>
          <t>VÄRMLANDS LÄN</t>
        </is>
      </c>
      <c r="E1075" t="inlineStr">
        <is>
          <t>TORSBY</t>
        </is>
      </c>
      <c r="F1075" t="inlineStr">
        <is>
          <t>Bergvik skog väst AB</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361-2022</t>
        </is>
      </c>
      <c r="B1076" s="1" t="n">
        <v>44565</v>
      </c>
      <c r="C1076" s="1" t="n">
        <v>45291</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739-2022</t>
        </is>
      </c>
      <c r="B1077" s="1" t="n">
        <v>44568</v>
      </c>
      <c r="C1077" s="1" t="n">
        <v>45291</v>
      </c>
      <c r="D1077" t="inlineStr">
        <is>
          <t>VÄRMLANDS LÄN</t>
        </is>
      </c>
      <c r="E1077" t="inlineStr">
        <is>
          <t>TORSBY</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997-2022</t>
        </is>
      </c>
      <c r="B1078" s="1" t="n">
        <v>44571</v>
      </c>
      <c r="C1078" s="1" t="n">
        <v>45291</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1839-2022</t>
        </is>
      </c>
      <c r="B1079" s="1" t="n">
        <v>44574</v>
      </c>
      <c r="C1079" s="1" t="n">
        <v>45291</v>
      </c>
      <c r="D1079" t="inlineStr">
        <is>
          <t>VÄRMLANDS LÄN</t>
        </is>
      </c>
      <c r="E1079" t="inlineStr">
        <is>
          <t>TORSBY</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1911-2022</t>
        </is>
      </c>
      <c r="B1080" s="1" t="n">
        <v>44575</v>
      </c>
      <c r="C1080" s="1" t="n">
        <v>45291</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2414-2022</t>
        </is>
      </c>
      <c r="B1081" s="1" t="n">
        <v>44579</v>
      </c>
      <c r="C1081" s="1" t="n">
        <v>45291</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2421-2022</t>
        </is>
      </c>
      <c r="B1082" s="1" t="n">
        <v>44579</v>
      </c>
      <c r="C1082" s="1" t="n">
        <v>45291</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2699-2022</t>
        </is>
      </c>
      <c r="B1083" s="1" t="n">
        <v>44580</v>
      </c>
      <c r="C1083" s="1" t="n">
        <v>45291</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3071-2022</t>
        </is>
      </c>
      <c r="B1084" s="1" t="n">
        <v>44582</v>
      </c>
      <c r="C1084" s="1" t="n">
        <v>45291</v>
      </c>
      <c r="D1084" t="inlineStr">
        <is>
          <t>VÄRMLANDS LÄN</t>
        </is>
      </c>
      <c r="E1084" t="inlineStr">
        <is>
          <t>TORSBY</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3369-2022</t>
        </is>
      </c>
      <c r="B1085" s="1" t="n">
        <v>44585</v>
      </c>
      <c r="C1085" s="1" t="n">
        <v>45291</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3385-2022</t>
        </is>
      </c>
      <c r="B1086" s="1" t="n">
        <v>44585</v>
      </c>
      <c r="C1086" s="1" t="n">
        <v>45291</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3397-2022</t>
        </is>
      </c>
      <c r="B1087" s="1" t="n">
        <v>44585</v>
      </c>
      <c r="C1087" s="1" t="n">
        <v>45291</v>
      </c>
      <c r="D1087" t="inlineStr">
        <is>
          <t>VÄRMLANDS LÄN</t>
        </is>
      </c>
      <c r="E1087" t="inlineStr">
        <is>
          <t>TORSBY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3387-2022</t>
        </is>
      </c>
      <c r="B1088" s="1" t="n">
        <v>44585</v>
      </c>
      <c r="C1088" s="1" t="n">
        <v>45291</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3382-2022</t>
        </is>
      </c>
      <c r="B1089" s="1" t="n">
        <v>44585</v>
      </c>
      <c r="C1089" s="1" t="n">
        <v>45291</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3390-2022</t>
        </is>
      </c>
      <c r="B1090" s="1" t="n">
        <v>44585</v>
      </c>
      <c r="C1090" s="1" t="n">
        <v>45291</v>
      </c>
      <c r="D1090" t="inlineStr">
        <is>
          <t>VÄRMLANDS LÄN</t>
        </is>
      </c>
      <c r="E1090" t="inlineStr">
        <is>
          <t>TORSBY</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3393-2022</t>
        </is>
      </c>
      <c r="B1091" s="1" t="n">
        <v>44585</v>
      </c>
      <c r="C1091" s="1" t="n">
        <v>45291</v>
      </c>
      <c r="D1091" t="inlineStr">
        <is>
          <t>VÄRMLANDS LÄN</t>
        </is>
      </c>
      <c r="E1091" t="inlineStr">
        <is>
          <t>TORSBY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3749-2022</t>
        </is>
      </c>
      <c r="B1092" s="1" t="n">
        <v>44586</v>
      </c>
      <c r="C1092" s="1" t="n">
        <v>45291</v>
      </c>
      <c r="D1092" t="inlineStr">
        <is>
          <t>VÄRMLANDS LÄN</t>
        </is>
      </c>
      <c r="E1092" t="inlineStr">
        <is>
          <t>TORSBY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3841-2022</t>
        </is>
      </c>
      <c r="B1093" s="1" t="n">
        <v>44587</v>
      </c>
      <c r="C1093" s="1" t="n">
        <v>45291</v>
      </c>
      <c r="D1093" t="inlineStr">
        <is>
          <t>VÄRMLANDS LÄN</t>
        </is>
      </c>
      <c r="E1093" t="inlineStr">
        <is>
          <t>TORSBY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3887-2022</t>
        </is>
      </c>
      <c r="B1094" s="1" t="n">
        <v>44587</v>
      </c>
      <c r="C1094" s="1" t="n">
        <v>45291</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4172-2022</t>
        </is>
      </c>
      <c r="B1095" s="1" t="n">
        <v>44588</v>
      </c>
      <c r="C1095" s="1" t="n">
        <v>45291</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4557-2022</t>
        </is>
      </c>
      <c r="B1096" s="1" t="n">
        <v>44591</v>
      </c>
      <c r="C1096" s="1" t="n">
        <v>45291</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4640-2022</t>
        </is>
      </c>
      <c r="B1097" s="1" t="n">
        <v>44592</v>
      </c>
      <c r="C1097" s="1" t="n">
        <v>45291</v>
      </c>
      <c r="D1097" t="inlineStr">
        <is>
          <t>VÄRMLANDS LÄN</t>
        </is>
      </c>
      <c r="E1097" t="inlineStr">
        <is>
          <t>TORSBY</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4967-2022</t>
        </is>
      </c>
      <c r="B1098" s="1" t="n">
        <v>44593</v>
      </c>
      <c r="C1098" s="1" t="n">
        <v>45291</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4960-2022</t>
        </is>
      </c>
      <c r="B1099" s="1" t="n">
        <v>44593</v>
      </c>
      <c r="C1099" s="1" t="n">
        <v>45291</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5040-2022</t>
        </is>
      </c>
      <c r="B1100" s="1" t="n">
        <v>44593</v>
      </c>
      <c r="C1100" s="1" t="n">
        <v>45291</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5015-2022</t>
        </is>
      </c>
      <c r="B1101" s="1" t="n">
        <v>44593</v>
      </c>
      <c r="C1101" s="1" t="n">
        <v>45291</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5289-2022</t>
        </is>
      </c>
      <c r="B1102" s="1" t="n">
        <v>44594</v>
      </c>
      <c r="C1102" s="1" t="n">
        <v>45291</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6438-2022</t>
        </is>
      </c>
      <c r="B1103" s="1" t="n">
        <v>44601</v>
      </c>
      <c r="C1103" s="1" t="n">
        <v>45291</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7091-2022</t>
        </is>
      </c>
      <c r="B1104" s="1" t="n">
        <v>44603</v>
      </c>
      <c r="C1104" s="1" t="n">
        <v>45291</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7069-2022</t>
        </is>
      </c>
      <c r="B1105" s="1" t="n">
        <v>44603</v>
      </c>
      <c r="C1105" s="1" t="n">
        <v>45291</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7544-2022</t>
        </is>
      </c>
      <c r="B1106" s="1" t="n">
        <v>44607</v>
      </c>
      <c r="C1106" s="1" t="n">
        <v>45291</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7543-2022</t>
        </is>
      </c>
      <c r="B1107" s="1" t="n">
        <v>44607</v>
      </c>
      <c r="C1107" s="1" t="n">
        <v>45291</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7921-2022</t>
        </is>
      </c>
      <c r="B1108" s="1" t="n">
        <v>44608</v>
      </c>
      <c r="C1108" s="1" t="n">
        <v>45291</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8048-2022</t>
        </is>
      </c>
      <c r="B1109" s="1" t="n">
        <v>44609</v>
      </c>
      <c r="C1109" s="1" t="n">
        <v>45291</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8054-2022</t>
        </is>
      </c>
      <c r="B1110" s="1" t="n">
        <v>44609</v>
      </c>
      <c r="C1110" s="1" t="n">
        <v>45291</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8033-2022</t>
        </is>
      </c>
      <c r="B1111" s="1" t="n">
        <v>44609</v>
      </c>
      <c r="C1111" s="1" t="n">
        <v>45291</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8739-2022</t>
        </is>
      </c>
      <c r="B1112" s="1" t="n">
        <v>44615</v>
      </c>
      <c r="C1112" s="1" t="n">
        <v>45291</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9057-2022</t>
        </is>
      </c>
      <c r="B1113" s="1" t="n">
        <v>44615</v>
      </c>
      <c r="C1113" s="1" t="n">
        <v>45291</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10608-2022</t>
        </is>
      </c>
      <c r="B1114" s="1" t="n">
        <v>44624</v>
      </c>
      <c r="C1114" s="1" t="n">
        <v>45291</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11050-2022</t>
        </is>
      </c>
      <c r="B1115" s="1" t="n">
        <v>44628</v>
      </c>
      <c r="C1115" s="1" t="n">
        <v>45291</v>
      </c>
      <c r="D1115" t="inlineStr">
        <is>
          <t>VÄRMLANDS LÄN</t>
        </is>
      </c>
      <c r="E1115" t="inlineStr">
        <is>
          <t>TORSBY</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11447-2022</t>
        </is>
      </c>
      <c r="B1116" s="1" t="n">
        <v>44630</v>
      </c>
      <c r="C1116" s="1" t="n">
        <v>45291</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11665-2022</t>
        </is>
      </c>
      <c r="B1117" s="1" t="n">
        <v>44632</v>
      </c>
      <c r="C1117" s="1" t="n">
        <v>45291</v>
      </c>
      <c r="D1117" t="inlineStr">
        <is>
          <t>VÄRMLANDS LÄN</t>
        </is>
      </c>
      <c r="E1117" t="inlineStr">
        <is>
          <t>TORSBY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11667-2022</t>
        </is>
      </c>
      <c r="B1118" s="1" t="n">
        <v>44632</v>
      </c>
      <c r="C1118" s="1" t="n">
        <v>45291</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11664-2022</t>
        </is>
      </c>
      <c r="B1119" s="1" t="n">
        <v>44632</v>
      </c>
      <c r="C1119" s="1" t="n">
        <v>45291</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11666-2022</t>
        </is>
      </c>
      <c r="B1120" s="1" t="n">
        <v>44632</v>
      </c>
      <c r="C1120" s="1" t="n">
        <v>45291</v>
      </c>
      <c r="D1120" t="inlineStr">
        <is>
          <t>VÄRMLANDS LÄN</t>
        </is>
      </c>
      <c r="E1120" t="inlineStr">
        <is>
          <t>TORSBY</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45291</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11918-2022</t>
        </is>
      </c>
      <c r="B1122" s="1" t="n">
        <v>44635</v>
      </c>
      <c r="C1122" s="1" t="n">
        <v>45291</v>
      </c>
      <c r="D1122" t="inlineStr">
        <is>
          <t>VÄRMLANDS LÄN</t>
        </is>
      </c>
      <c r="E1122" t="inlineStr">
        <is>
          <t>TORSBY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12310-2022</t>
        </is>
      </c>
      <c r="B1123" s="1" t="n">
        <v>44636</v>
      </c>
      <c r="C1123" s="1" t="n">
        <v>45291</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12365-2022</t>
        </is>
      </c>
      <c r="B1124" s="1" t="n">
        <v>44637</v>
      </c>
      <c r="C1124" s="1" t="n">
        <v>45291</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13207-2022</t>
        </is>
      </c>
      <c r="B1125" s="1" t="n">
        <v>44644</v>
      </c>
      <c r="C1125" s="1" t="n">
        <v>45291</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13698-2022</t>
        </is>
      </c>
      <c r="B1126" s="1" t="n">
        <v>44648</v>
      </c>
      <c r="C1126" s="1" t="n">
        <v>45291</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13896-2022</t>
        </is>
      </c>
      <c r="B1127" s="1" t="n">
        <v>44650</v>
      </c>
      <c r="C1127" s="1" t="n">
        <v>45291</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14145-2022</t>
        </is>
      </c>
      <c r="B1128" s="1" t="n">
        <v>44651</v>
      </c>
      <c r="C1128" s="1" t="n">
        <v>45291</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14168-2022</t>
        </is>
      </c>
      <c r="B1129" s="1" t="n">
        <v>44651</v>
      </c>
      <c r="C1129" s="1" t="n">
        <v>45291</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14320-2022</t>
        </is>
      </c>
      <c r="B1130" s="1" t="n">
        <v>44652</v>
      </c>
      <c r="C1130" s="1" t="n">
        <v>45291</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15461-2022</t>
        </is>
      </c>
      <c r="B1131" s="1" t="n">
        <v>44661</v>
      </c>
      <c r="C1131" s="1" t="n">
        <v>45291</v>
      </c>
      <c r="D1131" t="inlineStr">
        <is>
          <t>VÄRMLANDS LÄN</t>
        </is>
      </c>
      <c r="E1131" t="inlineStr">
        <is>
          <t>TORSBY</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15460-2022</t>
        </is>
      </c>
      <c r="B1132" s="1" t="n">
        <v>44661</v>
      </c>
      <c r="C1132" s="1" t="n">
        <v>45291</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16080-2022</t>
        </is>
      </c>
      <c r="B1133" s="1" t="n">
        <v>44665</v>
      </c>
      <c r="C1133" s="1" t="n">
        <v>45291</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16010-2022</t>
        </is>
      </c>
      <c r="B1134" s="1" t="n">
        <v>44665</v>
      </c>
      <c r="C1134" s="1" t="n">
        <v>45291</v>
      </c>
      <c r="D1134" t="inlineStr">
        <is>
          <t>VÄRMLANDS LÄN</t>
        </is>
      </c>
      <c r="E1134" t="inlineStr">
        <is>
          <t>TORSBY</t>
        </is>
      </c>
      <c r="F1134" t="inlineStr">
        <is>
          <t>Bergvik skog väst AB</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16425-2022</t>
        </is>
      </c>
      <c r="B1135" s="1" t="n">
        <v>44671</v>
      </c>
      <c r="C1135" s="1" t="n">
        <v>45291</v>
      </c>
      <c r="D1135" t="inlineStr">
        <is>
          <t>VÄRMLANDS LÄN</t>
        </is>
      </c>
      <c r="E1135" t="inlineStr">
        <is>
          <t>TORSBY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16498-2022</t>
        </is>
      </c>
      <c r="B1136" s="1" t="n">
        <v>44671</v>
      </c>
      <c r="C1136" s="1" t="n">
        <v>45291</v>
      </c>
      <c r="D1136" t="inlineStr">
        <is>
          <t>VÄRMLANDS LÄN</t>
        </is>
      </c>
      <c r="E1136" t="inlineStr">
        <is>
          <t>TORSBY</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16572-2022</t>
        </is>
      </c>
      <c r="B1137" s="1" t="n">
        <v>44672</v>
      </c>
      <c r="C1137" s="1" t="n">
        <v>45291</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17765-2022</t>
        </is>
      </c>
      <c r="B1138" s="1" t="n">
        <v>44681</v>
      </c>
      <c r="C1138" s="1" t="n">
        <v>45291</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18101-2022</t>
        </is>
      </c>
      <c r="B1139" s="1" t="n">
        <v>44684</v>
      </c>
      <c r="C1139" s="1" t="n">
        <v>45291</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18105-2022</t>
        </is>
      </c>
      <c r="B1140" s="1" t="n">
        <v>44684</v>
      </c>
      <c r="C1140" s="1" t="n">
        <v>45291</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45291</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18347-2022</t>
        </is>
      </c>
      <c r="B1142" s="1" t="n">
        <v>44685</v>
      </c>
      <c r="C1142" s="1" t="n">
        <v>45291</v>
      </c>
      <c r="D1142" t="inlineStr">
        <is>
          <t>VÄRMLANDS LÄN</t>
        </is>
      </c>
      <c r="E1142" t="inlineStr">
        <is>
          <t>TORSBY</t>
        </is>
      </c>
      <c r="F1142" t="inlineStr">
        <is>
          <t>Bergvik skog väst AB</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18628-2022</t>
        </is>
      </c>
      <c r="B1143" s="1" t="n">
        <v>44687</v>
      </c>
      <c r="C1143" s="1" t="n">
        <v>45291</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18779-2022</t>
        </is>
      </c>
      <c r="B1144" s="1" t="n">
        <v>44689</v>
      </c>
      <c r="C1144" s="1" t="n">
        <v>45291</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18897-2022</t>
        </is>
      </c>
      <c r="B1145" s="1" t="n">
        <v>44690</v>
      </c>
      <c r="C1145" s="1" t="n">
        <v>45291</v>
      </c>
      <c r="D1145" t="inlineStr">
        <is>
          <t>VÄRMLANDS LÄN</t>
        </is>
      </c>
      <c r="E1145" t="inlineStr">
        <is>
          <t>TORSBY</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18877-2022</t>
        </is>
      </c>
      <c r="B1146" s="1" t="n">
        <v>44690</v>
      </c>
      <c r="C1146" s="1" t="n">
        <v>45291</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18903-2022</t>
        </is>
      </c>
      <c r="B1147" s="1" t="n">
        <v>44690</v>
      </c>
      <c r="C1147" s="1" t="n">
        <v>45291</v>
      </c>
      <c r="D1147" t="inlineStr">
        <is>
          <t>VÄRMLANDS LÄN</t>
        </is>
      </c>
      <c r="E1147" t="inlineStr">
        <is>
          <t>TORSBY</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19171-2022</t>
        </is>
      </c>
      <c r="B1148" s="1" t="n">
        <v>44691</v>
      </c>
      <c r="C1148" s="1" t="n">
        <v>45291</v>
      </c>
      <c r="D1148" t="inlineStr">
        <is>
          <t>VÄRMLANDS LÄN</t>
        </is>
      </c>
      <c r="E1148" t="inlineStr">
        <is>
          <t>TORSBY</t>
        </is>
      </c>
      <c r="F1148" t="inlineStr">
        <is>
          <t>Bergvik skog väst AB</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19307-2022</t>
        </is>
      </c>
      <c r="B1149" s="1" t="n">
        <v>44692</v>
      </c>
      <c r="C1149" s="1" t="n">
        <v>45291</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19489-2022</t>
        </is>
      </c>
      <c r="B1150" s="1" t="n">
        <v>44693</v>
      </c>
      <c r="C1150" s="1" t="n">
        <v>45291</v>
      </c>
      <c r="D1150" t="inlineStr">
        <is>
          <t>VÄRMLANDS LÄN</t>
        </is>
      </c>
      <c r="E1150" t="inlineStr">
        <is>
          <t>TORSBY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19632-2022</t>
        </is>
      </c>
      <c r="B1151" s="1" t="n">
        <v>44694</v>
      </c>
      <c r="C1151" s="1" t="n">
        <v>45291</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19614-2022</t>
        </is>
      </c>
      <c r="B1152" s="1" t="n">
        <v>44694</v>
      </c>
      <c r="C1152" s="1" t="n">
        <v>45291</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20045-2022</t>
        </is>
      </c>
      <c r="B1153" s="1" t="n">
        <v>44697</v>
      </c>
      <c r="C1153" s="1" t="n">
        <v>45291</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20046-2022</t>
        </is>
      </c>
      <c r="B1154" s="1" t="n">
        <v>44697</v>
      </c>
      <c r="C1154" s="1" t="n">
        <v>45291</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20009-2022</t>
        </is>
      </c>
      <c r="B1155" s="1" t="n">
        <v>44697</v>
      </c>
      <c r="C1155" s="1" t="n">
        <v>45291</v>
      </c>
      <c r="D1155" t="inlineStr">
        <is>
          <t>VÄRMLANDS LÄN</t>
        </is>
      </c>
      <c r="E1155" t="inlineStr">
        <is>
          <t>TORSBY</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20168-2022</t>
        </is>
      </c>
      <c r="B1156" s="1" t="n">
        <v>44698</v>
      </c>
      <c r="C1156" s="1" t="n">
        <v>45291</v>
      </c>
      <c r="D1156" t="inlineStr">
        <is>
          <t>VÄRMLANDS LÄN</t>
        </is>
      </c>
      <c r="E1156" t="inlineStr">
        <is>
          <t>TORSBY</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20175-2022</t>
        </is>
      </c>
      <c r="B1157" s="1" t="n">
        <v>44698</v>
      </c>
      <c r="C1157" s="1" t="n">
        <v>45291</v>
      </c>
      <c r="D1157" t="inlineStr">
        <is>
          <t>VÄRMLANDS LÄN</t>
        </is>
      </c>
      <c r="E1157" t="inlineStr">
        <is>
          <t>TORSBY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20174-2022</t>
        </is>
      </c>
      <c r="B1158" s="1" t="n">
        <v>44698</v>
      </c>
      <c r="C1158" s="1" t="n">
        <v>45291</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20382-2022</t>
        </is>
      </c>
      <c r="B1159" s="1" t="n">
        <v>44699</v>
      </c>
      <c r="C1159" s="1" t="n">
        <v>45291</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20819-2022</t>
        </is>
      </c>
      <c r="B1160" s="1" t="n">
        <v>44699</v>
      </c>
      <c r="C1160" s="1" t="n">
        <v>45291</v>
      </c>
      <c r="D1160" t="inlineStr">
        <is>
          <t>VÄRMLANDS LÄN</t>
        </is>
      </c>
      <c r="E1160" t="inlineStr">
        <is>
          <t>TORSBY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20881-2022</t>
        </is>
      </c>
      <c r="B1161" s="1" t="n">
        <v>44701</v>
      </c>
      <c r="C1161" s="1" t="n">
        <v>45291</v>
      </c>
      <c r="D1161" t="inlineStr">
        <is>
          <t>VÄRMLANDS LÄN</t>
        </is>
      </c>
      <c r="E1161" t="inlineStr">
        <is>
          <t>TORSBY</t>
        </is>
      </c>
      <c r="F1161" t="inlineStr">
        <is>
          <t>Bergvik skog väst AB</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20907-2022</t>
        </is>
      </c>
      <c r="B1162" s="1" t="n">
        <v>44701</v>
      </c>
      <c r="C1162" s="1" t="n">
        <v>45291</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20899-2022</t>
        </is>
      </c>
      <c r="B1163" s="1" t="n">
        <v>44701</v>
      </c>
      <c r="C1163" s="1" t="n">
        <v>45291</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21094-2022</t>
        </is>
      </c>
      <c r="B1164" s="1" t="n">
        <v>44704</v>
      </c>
      <c r="C1164" s="1" t="n">
        <v>45291</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21070-2022</t>
        </is>
      </c>
      <c r="B1165" s="1" t="n">
        <v>44704</v>
      </c>
      <c r="C1165" s="1" t="n">
        <v>45291</v>
      </c>
      <c r="D1165" t="inlineStr">
        <is>
          <t>VÄRMLANDS LÄN</t>
        </is>
      </c>
      <c r="E1165" t="inlineStr">
        <is>
          <t>TORSBY</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21089-2022</t>
        </is>
      </c>
      <c r="B1166" s="1" t="n">
        <v>44704</v>
      </c>
      <c r="C1166" s="1" t="n">
        <v>45291</v>
      </c>
      <c r="D1166" t="inlineStr">
        <is>
          <t>VÄRMLANDS LÄN</t>
        </is>
      </c>
      <c r="E1166" t="inlineStr">
        <is>
          <t>TORSBY</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21516-2022</t>
        </is>
      </c>
      <c r="B1167" s="1" t="n">
        <v>44706</v>
      </c>
      <c r="C1167" s="1" t="n">
        <v>45291</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21465-2022</t>
        </is>
      </c>
      <c r="B1168" s="1" t="n">
        <v>44706</v>
      </c>
      <c r="C1168" s="1" t="n">
        <v>45291</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21521-2022</t>
        </is>
      </c>
      <c r="B1169" s="1" t="n">
        <v>44706</v>
      </c>
      <c r="C1169" s="1" t="n">
        <v>45291</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22158-2022</t>
        </is>
      </c>
      <c r="B1170" s="1" t="n">
        <v>44708</v>
      </c>
      <c r="C1170" s="1" t="n">
        <v>45291</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22124-2022</t>
        </is>
      </c>
      <c r="B1171" s="1" t="n">
        <v>44712</v>
      </c>
      <c r="C1171" s="1" t="n">
        <v>45291</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22635-2022</t>
        </is>
      </c>
      <c r="B1172" s="1" t="n">
        <v>44714</v>
      </c>
      <c r="C1172" s="1" t="n">
        <v>45291</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22662-2022</t>
        </is>
      </c>
      <c r="B1173" s="1" t="n">
        <v>44714</v>
      </c>
      <c r="C1173" s="1" t="n">
        <v>45291</v>
      </c>
      <c r="D1173" t="inlineStr">
        <is>
          <t>VÄRMLANDS LÄN</t>
        </is>
      </c>
      <c r="E1173" t="inlineStr">
        <is>
          <t>TORSBY</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22826-2022</t>
        </is>
      </c>
      <c r="B1174" s="1" t="n">
        <v>44714</v>
      </c>
      <c r="C1174" s="1" t="n">
        <v>45291</v>
      </c>
      <c r="D1174" t="inlineStr">
        <is>
          <t>VÄRMLANDS LÄN</t>
        </is>
      </c>
      <c r="E1174" t="inlineStr">
        <is>
          <t>TORSBY</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22823-2022</t>
        </is>
      </c>
      <c r="B1175" s="1" t="n">
        <v>44714</v>
      </c>
      <c r="C1175" s="1" t="n">
        <v>45291</v>
      </c>
      <c r="D1175" t="inlineStr">
        <is>
          <t>VÄRMLANDS LÄN</t>
        </is>
      </c>
      <c r="E1175" t="inlineStr">
        <is>
          <t>TORSBY</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23185-2022</t>
        </is>
      </c>
      <c r="B1176" s="1" t="n">
        <v>44719</v>
      </c>
      <c r="C1176" s="1" t="n">
        <v>45291</v>
      </c>
      <c r="D1176" t="inlineStr">
        <is>
          <t>VÄRMLANDS LÄN</t>
        </is>
      </c>
      <c r="E1176" t="inlineStr">
        <is>
          <t>TORSBY</t>
        </is>
      </c>
      <c r="F1176" t="inlineStr">
        <is>
          <t>Naturvårdsverket</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23011-2022</t>
        </is>
      </c>
      <c r="B1177" s="1" t="n">
        <v>44719</v>
      </c>
      <c r="C1177" s="1" t="n">
        <v>45291</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23264-2022</t>
        </is>
      </c>
      <c r="B1178" s="1" t="n">
        <v>44720</v>
      </c>
      <c r="C1178" s="1" t="n">
        <v>45291</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23343-2022</t>
        </is>
      </c>
      <c r="B1179" s="1" t="n">
        <v>44720</v>
      </c>
      <c r="C1179" s="1" t="n">
        <v>45291</v>
      </c>
      <c r="D1179" t="inlineStr">
        <is>
          <t>VÄRMLANDS LÄN</t>
        </is>
      </c>
      <c r="E1179" t="inlineStr">
        <is>
          <t>TORSBY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23401-2022</t>
        </is>
      </c>
      <c r="B1180" s="1" t="n">
        <v>44720</v>
      </c>
      <c r="C1180" s="1" t="n">
        <v>45291</v>
      </c>
      <c r="D1180" t="inlineStr">
        <is>
          <t>VÄRMLANDS LÄN</t>
        </is>
      </c>
      <c r="E1180" t="inlineStr">
        <is>
          <t>TORSBY</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23405-2022</t>
        </is>
      </c>
      <c r="B1181" s="1" t="n">
        <v>44720</v>
      </c>
      <c r="C1181" s="1" t="n">
        <v>45291</v>
      </c>
      <c r="D1181" t="inlineStr">
        <is>
          <t>VÄRMLANDS LÄN</t>
        </is>
      </c>
      <c r="E1181" t="inlineStr">
        <is>
          <t>TORSBY</t>
        </is>
      </c>
      <c r="F1181" t="inlineStr">
        <is>
          <t>Bergvik skog väst AB</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23803-2022</t>
        </is>
      </c>
      <c r="B1182" s="1" t="n">
        <v>44720</v>
      </c>
      <c r="C1182" s="1" t="n">
        <v>45291</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23486-2022</t>
        </is>
      </c>
      <c r="B1183" s="1" t="n">
        <v>44721</v>
      </c>
      <c r="C1183" s="1" t="n">
        <v>45291</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23804-2022</t>
        </is>
      </c>
      <c r="B1184" s="1" t="n">
        <v>44722</v>
      </c>
      <c r="C1184" s="1" t="n">
        <v>45291</v>
      </c>
      <c r="D1184" t="inlineStr">
        <is>
          <t>VÄRMLANDS LÄN</t>
        </is>
      </c>
      <c r="E1184" t="inlineStr">
        <is>
          <t>TORSBY</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23823-2022</t>
        </is>
      </c>
      <c r="B1185" s="1" t="n">
        <v>44722</v>
      </c>
      <c r="C1185" s="1" t="n">
        <v>45291</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23735-2022</t>
        </is>
      </c>
      <c r="B1186" s="1" t="n">
        <v>44722</v>
      </c>
      <c r="C1186" s="1" t="n">
        <v>45291</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23818-2022</t>
        </is>
      </c>
      <c r="B1187" s="1" t="n">
        <v>44722</v>
      </c>
      <c r="C1187" s="1" t="n">
        <v>45291</v>
      </c>
      <c r="D1187" t="inlineStr">
        <is>
          <t>VÄRMLANDS LÄN</t>
        </is>
      </c>
      <c r="E1187" t="inlineStr">
        <is>
          <t>TORSBY</t>
        </is>
      </c>
      <c r="G1187" t="n">
        <v>23.5</v>
      </c>
      <c r="H1187" t="n">
        <v>0</v>
      </c>
      <c r="I1187" t="n">
        <v>0</v>
      </c>
      <c r="J1187" t="n">
        <v>0</v>
      </c>
      <c r="K1187" t="n">
        <v>0</v>
      </c>
      <c r="L1187" t="n">
        <v>0</v>
      </c>
      <c r="M1187" t="n">
        <v>0</v>
      </c>
      <c r="N1187" t="n">
        <v>0</v>
      </c>
      <c r="O1187" t="n">
        <v>0</v>
      </c>
      <c r="P1187" t="n">
        <v>0</v>
      </c>
      <c r="Q1187" t="n">
        <v>0</v>
      </c>
      <c r="R1187" s="2" t="inlineStr"/>
    </row>
    <row r="1188" ht="15" customHeight="1">
      <c r="A1188" t="inlineStr">
        <is>
          <t>A 23732-2022</t>
        </is>
      </c>
      <c r="B1188" s="1" t="n">
        <v>44722</v>
      </c>
      <c r="C1188" s="1" t="n">
        <v>45291</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23746-2022</t>
        </is>
      </c>
      <c r="B1189" s="1" t="n">
        <v>44722</v>
      </c>
      <c r="C1189" s="1" t="n">
        <v>45291</v>
      </c>
      <c r="D1189" t="inlineStr">
        <is>
          <t>VÄRMLANDS LÄN</t>
        </is>
      </c>
      <c r="E1189" t="inlineStr">
        <is>
          <t>TORSBY</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23851-2022</t>
        </is>
      </c>
      <c r="B1190" s="1" t="n">
        <v>44722</v>
      </c>
      <c r="C1190" s="1" t="n">
        <v>45291</v>
      </c>
      <c r="D1190" t="inlineStr">
        <is>
          <t>VÄRMLANDS LÄN</t>
        </is>
      </c>
      <c r="E1190" t="inlineStr">
        <is>
          <t>TORSBY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24960-2022</t>
        </is>
      </c>
      <c r="B1191" s="1" t="n">
        <v>44728</v>
      </c>
      <c r="C1191" s="1" t="n">
        <v>45291</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25537-2022</t>
        </is>
      </c>
      <c r="B1192" s="1" t="n">
        <v>44732</v>
      </c>
      <c r="C1192" s="1" t="n">
        <v>45291</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26686-2022</t>
        </is>
      </c>
      <c r="B1193" s="1" t="n">
        <v>44739</v>
      </c>
      <c r="C1193" s="1" t="n">
        <v>45291</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26842-2022</t>
        </is>
      </c>
      <c r="B1194" s="1" t="n">
        <v>44740</v>
      </c>
      <c r="C1194" s="1" t="n">
        <v>45291</v>
      </c>
      <c r="D1194" t="inlineStr">
        <is>
          <t>VÄRMLANDS LÄN</t>
        </is>
      </c>
      <c r="E1194" t="inlineStr">
        <is>
          <t>TORSBY</t>
        </is>
      </c>
      <c r="F1194" t="inlineStr">
        <is>
          <t>Bergvik skog väst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26988-2022</t>
        </is>
      </c>
      <c r="B1195" s="1" t="n">
        <v>44740</v>
      </c>
      <c r="C1195" s="1" t="n">
        <v>45291</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27223-2022</t>
        </is>
      </c>
      <c r="B1196" s="1" t="n">
        <v>44741</v>
      </c>
      <c r="C1196" s="1" t="n">
        <v>45291</v>
      </c>
      <c r="D1196" t="inlineStr">
        <is>
          <t>VÄRMLANDS LÄN</t>
        </is>
      </c>
      <c r="E1196" t="inlineStr">
        <is>
          <t>TORSBY</t>
        </is>
      </c>
      <c r="F1196" t="inlineStr">
        <is>
          <t>Bergvik skog väst AB</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27686-2022</t>
        </is>
      </c>
      <c r="B1197" s="1" t="n">
        <v>44743</v>
      </c>
      <c r="C1197" s="1" t="n">
        <v>45291</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28008-2022</t>
        </is>
      </c>
      <c r="B1198" s="1" t="n">
        <v>44746</v>
      </c>
      <c r="C1198" s="1" t="n">
        <v>45291</v>
      </c>
      <c r="D1198" t="inlineStr">
        <is>
          <t>VÄRMLANDS LÄN</t>
        </is>
      </c>
      <c r="E1198" t="inlineStr">
        <is>
          <t>TORSBY</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28016-2022</t>
        </is>
      </c>
      <c r="B1199" s="1" t="n">
        <v>44746</v>
      </c>
      <c r="C1199" s="1" t="n">
        <v>45291</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28113-2022</t>
        </is>
      </c>
      <c r="B1200" s="1" t="n">
        <v>44746</v>
      </c>
      <c r="C1200" s="1" t="n">
        <v>45291</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28172-2022</t>
        </is>
      </c>
      <c r="B1201" s="1" t="n">
        <v>44746</v>
      </c>
      <c r="C1201" s="1" t="n">
        <v>45291</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28471-2022</t>
        </is>
      </c>
      <c r="B1202" s="1" t="n">
        <v>44747</v>
      </c>
      <c r="C1202" s="1" t="n">
        <v>45291</v>
      </c>
      <c r="D1202" t="inlineStr">
        <is>
          <t>VÄRMLANDS LÄN</t>
        </is>
      </c>
      <c r="E1202" t="inlineStr">
        <is>
          <t>TORSBY</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28955-2022</t>
        </is>
      </c>
      <c r="B1203" s="1" t="n">
        <v>44749</v>
      </c>
      <c r="C1203" s="1" t="n">
        <v>45291</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29142-2022</t>
        </is>
      </c>
      <c r="B1204" s="1" t="n">
        <v>44750</v>
      </c>
      <c r="C1204" s="1" t="n">
        <v>45291</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29509-2022</t>
        </is>
      </c>
      <c r="B1205" s="1" t="n">
        <v>44753</v>
      </c>
      <c r="C1205" s="1" t="n">
        <v>45291</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29596-2022</t>
        </is>
      </c>
      <c r="B1206" s="1" t="n">
        <v>44754</v>
      </c>
      <c r="C1206" s="1" t="n">
        <v>45291</v>
      </c>
      <c r="D1206" t="inlineStr">
        <is>
          <t>VÄRMLANDS LÄN</t>
        </is>
      </c>
      <c r="E1206" t="inlineStr">
        <is>
          <t>TORSBY</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29717-2022</t>
        </is>
      </c>
      <c r="B1207" s="1" t="n">
        <v>44755</v>
      </c>
      <c r="C1207" s="1" t="n">
        <v>45291</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29720-2022</t>
        </is>
      </c>
      <c r="B1208" s="1" t="n">
        <v>44755</v>
      </c>
      <c r="C1208" s="1" t="n">
        <v>45291</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29721-2022</t>
        </is>
      </c>
      <c r="B1209" s="1" t="n">
        <v>44755</v>
      </c>
      <c r="C1209" s="1" t="n">
        <v>45291</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29901-2022</t>
        </is>
      </c>
      <c r="B1210" s="1" t="n">
        <v>44756</v>
      </c>
      <c r="C1210" s="1" t="n">
        <v>45291</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29908-2022</t>
        </is>
      </c>
      <c r="B1211" s="1" t="n">
        <v>44756</v>
      </c>
      <c r="C1211" s="1" t="n">
        <v>45291</v>
      </c>
      <c r="D1211" t="inlineStr">
        <is>
          <t>VÄRMLANDS LÄN</t>
        </is>
      </c>
      <c r="E1211" t="inlineStr">
        <is>
          <t>TORSBY</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29921-2022</t>
        </is>
      </c>
      <c r="B1212" s="1" t="n">
        <v>44756</v>
      </c>
      <c r="C1212" s="1" t="n">
        <v>45291</v>
      </c>
      <c r="D1212" t="inlineStr">
        <is>
          <t>VÄRMLANDS LÄN</t>
        </is>
      </c>
      <c r="E1212" t="inlineStr">
        <is>
          <t>TORSBY</t>
        </is>
      </c>
      <c r="F1212" t="inlineStr">
        <is>
          <t>Kommuner</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29990-2022</t>
        </is>
      </c>
      <c r="B1213" s="1" t="n">
        <v>44756</v>
      </c>
      <c r="C1213" s="1" t="n">
        <v>45291</v>
      </c>
      <c r="D1213" t="inlineStr">
        <is>
          <t>VÄRMLANDS LÄN</t>
        </is>
      </c>
      <c r="E1213" t="inlineStr">
        <is>
          <t>TORSBY</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30326-2022</t>
        </is>
      </c>
      <c r="B1214" s="1" t="n">
        <v>44760</v>
      </c>
      <c r="C1214" s="1" t="n">
        <v>45291</v>
      </c>
      <c r="D1214" t="inlineStr">
        <is>
          <t>VÄRMLANDS LÄN</t>
        </is>
      </c>
      <c r="E1214" t="inlineStr">
        <is>
          <t>TORSBY</t>
        </is>
      </c>
      <c r="F1214" t="inlineStr">
        <is>
          <t>Kommuner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30612-2022</t>
        </is>
      </c>
      <c r="B1215" s="1" t="n">
        <v>44763</v>
      </c>
      <c r="C1215" s="1" t="n">
        <v>45291</v>
      </c>
      <c r="D1215" t="inlineStr">
        <is>
          <t>VÄRMLANDS LÄN</t>
        </is>
      </c>
      <c r="E1215" t="inlineStr">
        <is>
          <t>TORSBY</t>
        </is>
      </c>
      <c r="F1215" t="inlineStr">
        <is>
          <t>Kommuner</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32003-2022</t>
        </is>
      </c>
      <c r="B1216" s="1" t="n">
        <v>44778</v>
      </c>
      <c r="C1216" s="1" t="n">
        <v>45291</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32438-2022</t>
        </is>
      </c>
      <c r="B1217" s="1" t="n">
        <v>44782</v>
      </c>
      <c r="C1217" s="1" t="n">
        <v>45291</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32444-2022</t>
        </is>
      </c>
      <c r="B1218" s="1" t="n">
        <v>44782</v>
      </c>
      <c r="C1218" s="1" t="n">
        <v>45291</v>
      </c>
      <c r="D1218" t="inlineStr">
        <is>
          <t>VÄRMLANDS LÄN</t>
        </is>
      </c>
      <c r="E1218" t="inlineStr">
        <is>
          <t>TORSBY</t>
        </is>
      </c>
      <c r="F1218" t="inlineStr">
        <is>
          <t>Bergvik skog väst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32400-2022</t>
        </is>
      </c>
      <c r="B1219" s="1" t="n">
        <v>44782</v>
      </c>
      <c r="C1219" s="1" t="n">
        <v>45291</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32496-2022</t>
        </is>
      </c>
      <c r="B1220" s="1" t="n">
        <v>44782</v>
      </c>
      <c r="C1220" s="1" t="n">
        <v>45291</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33069-2022</t>
        </is>
      </c>
      <c r="B1221" s="1" t="n">
        <v>44785</v>
      </c>
      <c r="C1221" s="1" t="n">
        <v>45291</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33181-2022</t>
        </is>
      </c>
      <c r="B1222" s="1" t="n">
        <v>44785</v>
      </c>
      <c r="C1222" s="1" t="n">
        <v>45291</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33254-2022</t>
        </is>
      </c>
      <c r="B1223" s="1" t="n">
        <v>44787</v>
      </c>
      <c r="C1223" s="1" t="n">
        <v>45291</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33251-2022</t>
        </is>
      </c>
      <c r="B1224" s="1" t="n">
        <v>44787</v>
      </c>
      <c r="C1224" s="1" t="n">
        <v>45291</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33579-2022</t>
        </is>
      </c>
      <c r="B1225" s="1" t="n">
        <v>44789</v>
      </c>
      <c r="C1225" s="1" t="n">
        <v>45291</v>
      </c>
      <c r="D1225" t="inlineStr">
        <is>
          <t>VÄRMLANDS LÄN</t>
        </is>
      </c>
      <c r="E1225" t="inlineStr">
        <is>
          <t>TORSBY</t>
        </is>
      </c>
      <c r="F1225" t="inlineStr">
        <is>
          <t>Bergvik skog väst AB</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33802-2022</t>
        </is>
      </c>
      <c r="B1226" s="1" t="n">
        <v>44790</v>
      </c>
      <c r="C1226" s="1" t="n">
        <v>45291</v>
      </c>
      <c r="D1226" t="inlineStr">
        <is>
          <t>VÄRMLANDS LÄN</t>
        </is>
      </c>
      <c r="E1226" t="inlineStr">
        <is>
          <t>TORSBY</t>
        </is>
      </c>
      <c r="F1226" t="inlineStr">
        <is>
          <t>Bergvik skog väst AB</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33960-2022</t>
        </is>
      </c>
      <c r="B1227" s="1" t="n">
        <v>44790</v>
      </c>
      <c r="C1227" s="1" t="n">
        <v>45291</v>
      </c>
      <c r="D1227" t="inlineStr">
        <is>
          <t>VÄRMLANDS LÄN</t>
        </is>
      </c>
      <c r="E1227" t="inlineStr">
        <is>
          <t>TORSBY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33958-2022</t>
        </is>
      </c>
      <c r="B1228" s="1" t="n">
        <v>44790</v>
      </c>
      <c r="C1228" s="1" t="n">
        <v>45291</v>
      </c>
      <c r="D1228" t="inlineStr">
        <is>
          <t>VÄRMLANDS LÄN</t>
        </is>
      </c>
      <c r="E1228" t="inlineStr">
        <is>
          <t>TORSBY</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33943-2022</t>
        </is>
      </c>
      <c r="B1229" s="1" t="n">
        <v>44790</v>
      </c>
      <c r="C1229" s="1" t="n">
        <v>45291</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33959-2022</t>
        </is>
      </c>
      <c r="B1230" s="1" t="n">
        <v>44790</v>
      </c>
      <c r="C1230" s="1" t="n">
        <v>45291</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34371-2022</t>
        </is>
      </c>
      <c r="B1231" s="1" t="n">
        <v>44792</v>
      </c>
      <c r="C1231" s="1" t="n">
        <v>45291</v>
      </c>
      <c r="D1231" t="inlineStr">
        <is>
          <t>VÄRMLANDS LÄN</t>
        </is>
      </c>
      <c r="E1231" t="inlineStr">
        <is>
          <t>TORSBY</t>
        </is>
      </c>
      <c r="F1231" t="inlineStr">
        <is>
          <t>Bergvik skog väst AB</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34378-2022</t>
        </is>
      </c>
      <c r="B1232" s="1" t="n">
        <v>44792</v>
      </c>
      <c r="C1232" s="1" t="n">
        <v>45291</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34434-2022</t>
        </is>
      </c>
      <c r="B1233" s="1" t="n">
        <v>44792</v>
      </c>
      <c r="C1233" s="1" t="n">
        <v>45291</v>
      </c>
      <c r="D1233" t="inlineStr">
        <is>
          <t>VÄRMLANDS LÄN</t>
        </is>
      </c>
      <c r="E1233" t="inlineStr">
        <is>
          <t>TORSBY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34440-2022</t>
        </is>
      </c>
      <c r="B1234" s="1" t="n">
        <v>44792</v>
      </c>
      <c r="C1234" s="1" t="n">
        <v>45291</v>
      </c>
      <c r="D1234" t="inlineStr">
        <is>
          <t>VÄRMLANDS LÄN</t>
        </is>
      </c>
      <c r="E1234" t="inlineStr">
        <is>
          <t>TORSBY</t>
        </is>
      </c>
      <c r="F1234" t="inlineStr">
        <is>
          <t>Bergvik skog väst AB</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34581-2022</t>
        </is>
      </c>
      <c r="B1235" s="1" t="n">
        <v>44792</v>
      </c>
      <c r="C1235" s="1" t="n">
        <v>45291</v>
      </c>
      <c r="D1235" t="inlineStr">
        <is>
          <t>VÄRMLANDS LÄN</t>
        </is>
      </c>
      <c r="E1235" t="inlineStr">
        <is>
          <t>TORSBY</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34568-2022</t>
        </is>
      </c>
      <c r="B1236" s="1" t="n">
        <v>44795</v>
      </c>
      <c r="C1236" s="1" t="n">
        <v>45291</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34662-2022</t>
        </is>
      </c>
      <c r="B1237" s="1" t="n">
        <v>44795</v>
      </c>
      <c r="C1237" s="1" t="n">
        <v>45291</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34667-2022</t>
        </is>
      </c>
      <c r="B1238" s="1" t="n">
        <v>44795</v>
      </c>
      <c r="C1238" s="1" t="n">
        <v>45291</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34655-2022</t>
        </is>
      </c>
      <c r="B1239" s="1" t="n">
        <v>44795</v>
      </c>
      <c r="C1239" s="1" t="n">
        <v>45291</v>
      </c>
      <c r="D1239" t="inlineStr">
        <is>
          <t>VÄRMLANDS LÄN</t>
        </is>
      </c>
      <c r="E1239" t="inlineStr">
        <is>
          <t>TORSBY</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34908-2022</t>
        </is>
      </c>
      <c r="B1240" s="1" t="n">
        <v>44796</v>
      </c>
      <c r="C1240" s="1" t="n">
        <v>45291</v>
      </c>
      <c r="D1240" t="inlineStr">
        <is>
          <t>VÄRMLANDS LÄN</t>
        </is>
      </c>
      <c r="E1240" t="inlineStr">
        <is>
          <t>TORSBY</t>
        </is>
      </c>
      <c r="F1240" t="inlineStr">
        <is>
          <t>Bergvik skog väst AB</t>
        </is>
      </c>
      <c r="G1240" t="n">
        <v>33.4</v>
      </c>
      <c r="H1240" t="n">
        <v>0</v>
      </c>
      <c r="I1240" t="n">
        <v>0</v>
      </c>
      <c r="J1240" t="n">
        <v>0</v>
      </c>
      <c r="K1240" t="n">
        <v>0</v>
      </c>
      <c r="L1240" t="n">
        <v>0</v>
      </c>
      <c r="M1240" t="n">
        <v>0</v>
      </c>
      <c r="N1240" t="n">
        <v>0</v>
      </c>
      <c r="O1240" t="n">
        <v>0</v>
      </c>
      <c r="P1240" t="n">
        <v>0</v>
      </c>
      <c r="Q1240" t="n">
        <v>0</v>
      </c>
      <c r="R1240" s="2" t="inlineStr"/>
    </row>
    <row r="1241" ht="15" customHeight="1">
      <c r="A1241" t="inlineStr">
        <is>
          <t>A 35134-2022</t>
        </is>
      </c>
      <c r="B1241" s="1" t="n">
        <v>44797</v>
      </c>
      <c r="C1241" s="1" t="n">
        <v>45291</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35132-2022</t>
        </is>
      </c>
      <c r="B1242" s="1" t="n">
        <v>44797</v>
      </c>
      <c r="C1242" s="1" t="n">
        <v>45291</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35606-2022</t>
        </is>
      </c>
      <c r="B1243" s="1" t="n">
        <v>44799</v>
      </c>
      <c r="C1243" s="1" t="n">
        <v>45291</v>
      </c>
      <c r="D1243" t="inlineStr">
        <is>
          <t>VÄRMLANDS LÄN</t>
        </is>
      </c>
      <c r="E1243" t="inlineStr">
        <is>
          <t>TORSBY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35595-2022</t>
        </is>
      </c>
      <c r="B1244" s="1" t="n">
        <v>44799</v>
      </c>
      <c r="C1244" s="1" t="n">
        <v>45291</v>
      </c>
      <c r="D1244" t="inlineStr">
        <is>
          <t>VÄRMLANDS LÄN</t>
        </is>
      </c>
      <c r="E1244" t="inlineStr">
        <is>
          <t>TORSBY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35724-2022</t>
        </is>
      </c>
      <c r="B1245" s="1" t="n">
        <v>44799</v>
      </c>
      <c r="C1245" s="1" t="n">
        <v>45291</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35711-2022</t>
        </is>
      </c>
      <c r="B1246" s="1" t="n">
        <v>44799</v>
      </c>
      <c r="C1246" s="1" t="n">
        <v>45291</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35851-2022</t>
        </is>
      </c>
      <c r="B1247" s="1" t="n">
        <v>44802</v>
      </c>
      <c r="C1247" s="1" t="n">
        <v>45291</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36290-2022</t>
        </is>
      </c>
      <c r="B1248" s="1" t="n">
        <v>44803</v>
      </c>
      <c r="C1248" s="1" t="n">
        <v>45291</v>
      </c>
      <c r="D1248" t="inlineStr">
        <is>
          <t>VÄRMLANDS LÄN</t>
        </is>
      </c>
      <c r="E1248" t="inlineStr">
        <is>
          <t>TORSBY</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36318-2022</t>
        </is>
      </c>
      <c r="B1249" s="1" t="n">
        <v>44803</v>
      </c>
      <c r="C1249" s="1" t="n">
        <v>45291</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36514-2022</t>
        </is>
      </c>
      <c r="B1250" s="1" t="n">
        <v>44804</v>
      </c>
      <c r="C1250" s="1" t="n">
        <v>45291</v>
      </c>
      <c r="D1250" t="inlineStr">
        <is>
          <t>VÄRMLANDS LÄN</t>
        </is>
      </c>
      <c r="E1250" t="inlineStr">
        <is>
          <t>TORSBY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36547-2022</t>
        </is>
      </c>
      <c r="B1251" s="1" t="n">
        <v>44804</v>
      </c>
      <c r="C1251" s="1" t="n">
        <v>45291</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36545-2022</t>
        </is>
      </c>
      <c r="B1252" s="1" t="n">
        <v>44804</v>
      </c>
      <c r="C1252" s="1" t="n">
        <v>45291</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36527-2022</t>
        </is>
      </c>
      <c r="B1253" s="1" t="n">
        <v>44804</v>
      </c>
      <c r="C1253" s="1" t="n">
        <v>45291</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36537-2022</t>
        </is>
      </c>
      <c r="B1254" s="1" t="n">
        <v>44804</v>
      </c>
      <c r="C1254" s="1" t="n">
        <v>45291</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36582-2022</t>
        </is>
      </c>
      <c r="B1255" s="1" t="n">
        <v>44804</v>
      </c>
      <c r="C1255" s="1" t="n">
        <v>45291</v>
      </c>
      <c r="D1255" t="inlineStr">
        <is>
          <t>VÄRMLANDS LÄN</t>
        </is>
      </c>
      <c r="E1255" t="inlineStr">
        <is>
          <t>TORSBY</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36562-2022</t>
        </is>
      </c>
      <c r="B1256" s="1" t="n">
        <v>44804</v>
      </c>
      <c r="C1256" s="1" t="n">
        <v>45291</v>
      </c>
      <c r="D1256" t="inlineStr">
        <is>
          <t>VÄRMLANDS LÄN</t>
        </is>
      </c>
      <c r="E1256" t="inlineStr">
        <is>
          <t>TORSBY</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36572-2022</t>
        </is>
      </c>
      <c r="B1257" s="1" t="n">
        <v>44804</v>
      </c>
      <c r="C1257" s="1" t="n">
        <v>45291</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36587-2022</t>
        </is>
      </c>
      <c r="B1258" s="1" t="n">
        <v>44804</v>
      </c>
      <c r="C1258" s="1" t="n">
        <v>45291</v>
      </c>
      <c r="D1258" t="inlineStr">
        <is>
          <t>VÄRMLANDS LÄN</t>
        </is>
      </c>
      <c r="E1258" t="inlineStr">
        <is>
          <t>TORSBY</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37148-2022</t>
        </is>
      </c>
      <c r="B1259" s="1" t="n">
        <v>44806</v>
      </c>
      <c r="C1259" s="1" t="n">
        <v>45291</v>
      </c>
      <c r="D1259" t="inlineStr">
        <is>
          <t>VÄRMLANDS LÄN</t>
        </is>
      </c>
      <c r="E1259" t="inlineStr">
        <is>
          <t>TORSBY</t>
        </is>
      </c>
      <c r="F1259" t="inlineStr">
        <is>
          <t>Kommuner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37279-2022</t>
        </is>
      </c>
      <c r="B1260" s="1" t="n">
        <v>44807</v>
      </c>
      <c r="C1260" s="1" t="n">
        <v>45291</v>
      </c>
      <c r="D1260" t="inlineStr">
        <is>
          <t>VÄRMLANDS LÄN</t>
        </is>
      </c>
      <c r="E1260" t="inlineStr">
        <is>
          <t>TORSBY</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37401-2022</t>
        </is>
      </c>
      <c r="B1261" s="1" t="n">
        <v>44809</v>
      </c>
      <c r="C1261" s="1" t="n">
        <v>45291</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37449-2022</t>
        </is>
      </c>
      <c r="B1262" s="1" t="n">
        <v>44809</v>
      </c>
      <c r="C1262" s="1" t="n">
        <v>45291</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37340-2022</t>
        </is>
      </c>
      <c r="B1263" s="1" t="n">
        <v>44809</v>
      </c>
      <c r="C1263" s="1" t="n">
        <v>45291</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37752-2022</t>
        </is>
      </c>
      <c r="B1264" s="1" t="n">
        <v>44810</v>
      </c>
      <c r="C1264" s="1" t="n">
        <v>45291</v>
      </c>
      <c r="D1264" t="inlineStr">
        <is>
          <t>VÄRMLANDS LÄN</t>
        </is>
      </c>
      <c r="E1264" t="inlineStr">
        <is>
          <t>TORSBY</t>
        </is>
      </c>
      <c r="F1264" t="inlineStr">
        <is>
          <t>Kyrkan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37814-2022</t>
        </is>
      </c>
      <c r="B1265" s="1" t="n">
        <v>44810</v>
      </c>
      <c r="C1265" s="1" t="n">
        <v>45291</v>
      </c>
      <c r="D1265" t="inlineStr">
        <is>
          <t>VÄRMLANDS LÄN</t>
        </is>
      </c>
      <c r="E1265" t="inlineStr">
        <is>
          <t>TORSBY</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37754-2022</t>
        </is>
      </c>
      <c r="B1266" s="1" t="n">
        <v>44810</v>
      </c>
      <c r="C1266" s="1" t="n">
        <v>45291</v>
      </c>
      <c r="D1266" t="inlineStr">
        <is>
          <t>VÄRMLANDS LÄN</t>
        </is>
      </c>
      <c r="E1266" t="inlineStr">
        <is>
          <t>TORSBY</t>
        </is>
      </c>
      <c r="F1266" t="inlineStr">
        <is>
          <t>Kyrkan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37913-2022</t>
        </is>
      </c>
      <c r="B1267" s="1" t="n">
        <v>44811</v>
      </c>
      <c r="C1267" s="1" t="n">
        <v>45291</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37929-2022</t>
        </is>
      </c>
      <c r="B1268" s="1" t="n">
        <v>44811</v>
      </c>
      <c r="C1268" s="1" t="n">
        <v>45291</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37917-2022</t>
        </is>
      </c>
      <c r="B1269" s="1" t="n">
        <v>44811</v>
      </c>
      <c r="C1269" s="1" t="n">
        <v>45291</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37937-2022</t>
        </is>
      </c>
      <c r="B1270" s="1" t="n">
        <v>44811</v>
      </c>
      <c r="C1270" s="1" t="n">
        <v>45291</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37985-2022</t>
        </is>
      </c>
      <c r="B1271" s="1" t="n">
        <v>44811</v>
      </c>
      <c r="C1271" s="1" t="n">
        <v>45291</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38033-2022</t>
        </is>
      </c>
      <c r="B1272" s="1" t="n">
        <v>44811</v>
      </c>
      <c r="C1272" s="1" t="n">
        <v>45291</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38200-2022</t>
        </is>
      </c>
      <c r="B1273" s="1" t="n">
        <v>44812</v>
      </c>
      <c r="C1273" s="1" t="n">
        <v>45291</v>
      </c>
      <c r="D1273" t="inlineStr">
        <is>
          <t>VÄRMLANDS LÄN</t>
        </is>
      </c>
      <c r="E1273" t="inlineStr">
        <is>
          <t>TORSBY</t>
        </is>
      </c>
      <c r="F1273" t="inlineStr">
        <is>
          <t>Bergvik skog väst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38179-2022</t>
        </is>
      </c>
      <c r="B1274" s="1" t="n">
        <v>44812</v>
      </c>
      <c r="C1274" s="1" t="n">
        <v>45291</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38378-2022</t>
        </is>
      </c>
      <c r="B1275" s="1" t="n">
        <v>44812</v>
      </c>
      <c r="C1275" s="1" t="n">
        <v>45291</v>
      </c>
      <c r="D1275" t="inlineStr">
        <is>
          <t>VÄRMLANDS LÄN</t>
        </is>
      </c>
      <c r="E1275" t="inlineStr">
        <is>
          <t>TORSBY</t>
        </is>
      </c>
      <c r="F1275" t="inlineStr">
        <is>
          <t>Bergvik skog väst AB</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38486-2022</t>
        </is>
      </c>
      <c r="B1276" s="1" t="n">
        <v>44813</v>
      </c>
      <c r="C1276" s="1" t="n">
        <v>45291</v>
      </c>
      <c r="D1276" t="inlineStr">
        <is>
          <t>VÄRMLANDS LÄN</t>
        </is>
      </c>
      <c r="E1276" t="inlineStr">
        <is>
          <t>TORSBY</t>
        </is>
      </c>
      <c r="F1276" t="inlineStr">
        <is>
          <t>Bergvik skog väst AB</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38699-2022</t>
        </is>
      </c>
      <c r="B1277" s="1" t="n">
        <v>44814</v>
      </c>
      <c r="C1277" s="1" t="n">
        <v>45291</v>
      </c>
      <c r="D1277" t="inlineStr">
        <is>
          <t>VÄRMLANDS LÄN</t>
        </is>
      </c>
      <c r="E1277" t="inlineStr">
        <is>
          <t>TORSBY</t>
        </is>
      </c>
      <c r="F1277" t="inlineStr">
        <is>
          <t>Bergvik skog väst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38882-2022</t>
        </is>
      </c>
      <c r="B1278" s="1" t="n">
        <v>44816</v>
      </c>
      <c r="C1278" s="1" t="n">
        <v>45291</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38914-2022</t>
        </is>
      </c>
      <c r="B1279" s="1" t="n">
        <v>44816</v>
      </c>
      <c r="C1279" s="1" t="n">
        <v>45291</v>
      </c>
      <c r="D1279" t="inlineStr">
        <is>
          <t>VÄRMLANDS LÄN</t>
        </is>
      </c>
      <c r="E1279" t="inlineStr">
        <is>
          <t>TORSBY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39069-2022</t>
        </is>
      </c>
      <c r="B1280" s="1" t="n">
        <v>44816</v>
      </c>
      <c r="C1280" s="1" t="n">
        <v>45291</v>
      </c>
      <c r="D1280" t="inlineStr">
        <is>
          <t>VÄRMLANDS LÄN</t>
        </is>
      </c>
      <c r="E1280" t="inlineStr">
        <is>
          <t>TORSBY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39186-2022</t>
        </is>
      </c>
      <c r="B1281" s="1" t="n">
        <v>44817</v>
      </c>
      <c r="C1281" s="1" t="n">
        <v>45291</v>
      </c>
      <c r="D1281" t="inlineStr">
        <is>
          <t>VÄRMLANDS LÄN</t>
        </is>
      </c>
      <c r="E1281" t="inlineStr">
        <is>
          <t>TORSBY</t>
        </is>
      </c>
      <c r="F1281" t="inlineStr">
        <is>
          <t>Bergvik skog väst AB</t>
        </is>
      </c>
      <c r="G1281" t="n">
        <v>20.3</v>
      </c>
      <c r="H1281" t="n">
        <v>0</v>
      </c>
      <c r="I1281" t="n">
        <v>0</v>
      </c>
      <c r="J1281" t="n">
        <v>0</v>
      </c>
      <c r="K1281" t="n">
        <v>0</v>
      </c>
      <c r="L1281" t="n">
        <v>0</v>
      </c>
      <c r="M1281" t="n">
        <v>0</v>
      </c>
      <c r="N1281" t="n">
        <v>0</v>
      </c>
      <c r="O1281" t="n">
        <v>0</v>
      </c>
      <c r="P1281" t="n">
        <v>0</v>
      </c>
      <c r="Q1281" t="n">
        <v>0</v>
      </c>
      <c r="R1281" s="2" t="inlineStr"/>
    </row>
    <row r="1282" ht="15" customHeight="1">
      <c r="A1282" t="inlineStr">
        <is>
          <t>A 39216-2022</t>
        </is>
      </c>
      <c r="B1282" s="1" t="n">
        <v>44817</v>
      </c>
      <c r="C1282" s="1" t="n">
        <v>45291</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39215-2022</t>
        </is>
      </c>
      <c r="B1283" s="1" t="n">
        <v>44817</v>
      </c>
      <c r="C1283" s="1" t="n">
        <v>45291</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39221-2022</t>
        </is>
      </c>
      <c r="B1284" s="1" t="n">
        <v>44817</v>
      </c>
      <c r="C1284" s="1" t="n">
        <v>45291</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39217-2022</t>
        </is>
      </c>
      <c r="B1285" s="1" t="n">
        <v>44817</v>
      </c>
      <c r="C1285" s="1" t="n">
        <v>45291</v>
      </c>
      <c r="D1285" t="inlineStr">
        <is>
          <t>VÄRMLANDS LÄN</t>
        </is>
      </c>
      <c r="E1285" t="inlineStr">
        <is>
          <t>TORSBY</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39781-2022</t>
        </is>
      </c>
      <c r="B1286" s="1" t="n">
        <v>44819</v>
      </c>
      <c r="C1286" s="1" t="n">
        <v>45291</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39780-2022</t>
        </is>
      </c>
      <c r="B1287" s="1" t="n">
        <v>44819</v>
      </c>
      <c r="C1287" s="1" t="n">
        <v>45291</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40009-2022</t>
        </is>
      </c>
      <c r="B1288" s="1" t="n">
        <v>44820</v>
      </c>
      <c r="C1288" s="1" t="n">
        <v>45291</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40036-2022</t>
        </is>
      </c>
      <c r="B1289" s="1" t="n">
        <v>44820</v>
      </c>
      <c r="C1289" s="1" t="n">
        <v>45291</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40221-2022</t>
        </is>
      </c>
      <c r="B1290" s="1" t="n">
        <v>44820</v>
      </c>
      <c r="C1290" s="1" t="n">
        <v>45291</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40353-2022</t>
        </is>
      </c>
      <c r="B1291" s="1" t="n">
        <v>44823</v>
      </c>
      <c r="C1291" s="1" t="n">
        <v>45291</v>
      </c>
      <c r="D1291" t="inlineStr">
        <is>
          <t>VÄRMLANDS LÄN</t>
        </is>
      </c>
      <c r="E1291" t="inlineStr">
        <is>
          <t>TORSBY</t>
        </is>
      </c>
      <c r="F1291" t="inlineStr">
        <is>
          <t>Bergvik skog väst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41264-2022</t>
        </is>
      </c>
      <c r="B1292" s="1" t="n">
        <v>44823</v>
      </c>
      <c r="C1292" s="1" t="n">
        <v>45291</v>
      </c>
      <c r="D1292" t="inlineStr">
        <is>
          <t>VÄRMLANDS LÄN</t>
        </is>
      </c>
      <c r="E1292" t="inlineStr">
        <is>
          <t>TORSBY</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41295-2022</t>
        </is>
      </c>
      <c r="B1293" s="1" t="n">
        <v>44823</v>
      </c>
      <c r="C1293" s="1" t="n">
        <v>45291</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40718-2022</t>
        </is>
      </c>
      <c r="B1294" s="1" t="n">
        <v>44824</v>
      </c>
      <c r="C1294" s="1" t="n">
        <v>45291</v>
      </c>
      <c r="D1294" t="inlineStr">
        <is>
          <t>VÄRMLANDS LÄN</t>
        </is>
      </c>
      <c r="E1294" t="inlineStr">
        <is>
          <t>TORSBY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40788-2022</t>
        </is>
      </c>
      <c r="B1295" s="1" t="n">
        <v>44824</v>
      </c>
      <c r="C1295" s="1" t="n">
        <v>45291</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40997-2022</t>
        </is>
      </c>
      <c r="B1296" s="1" t="n">
        <v>44825</v>
      </c>
      <c r="C1296" s="1" t="n">
        <v>45291</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41065-2022</t>
        </is>
      </c>
      <c r="B1297" s="1" t="n">
        <v>44825</v>
      </c>
      <c r="C1297" s="1" t="n">
        <v>45291</v>
      </c>
      <c r="D1297" t="inlineStr">
        <is>
          <t>VÄRMLANDS LÄN</t>
        </is>
      </c>
      <c r="E1297" t="inlineStr">
        <is>
          <t>TORSBY</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41130-2022</t>
        </is>
      </c>
      <c r="B1298" s="1" t="n">
        <v>44825</v>
      </c>
      <c r="C1298" s="1" t="n">
        <v>45291</v>
      </c>
      <c r="D1298" t="inlineStr">
        <is>
          <t>VÄRMLANDS LÄN</t>
        </is>
      </c>
      <c r="E1298" t="inlineStr">
        <is>
          <t>TORSBY</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41315-2022</t>
        </is>
      </c>
      <c r="B1299" s="1" t="n">
        <v>44826</v>
      </c>
      <c r="C1299" s="1" t="n">
        <v>45291</v>
      </c>
      <c r="D1299" t="inlineStr">
        <is>
          <t>VÄRMLANDS LÄN</t>
        </is>
      </c>
      <c r="E1299" t="inlineStr">
        <is>
          <t>TORSBY</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41322-2022</t>
        </is>
      </c>
      <c r="B1300" s="1" t="n">
        <v>44826</v>
      </c>
      <c r="C1300" s="1" t="n">
        <v>45291</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41781-2022</t>
        </is>
      </c>
      <c r="B1301" s="1" t="n">
        <v>44827</v>
      </c>
      <c r="C1301" s="1" t="n">
        <v>45291</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41675-2022</t>
        </is>
      </c>
      <c r="B1302" s="1" t="n">
        <v>44827</v>
      </c>
      <c r="C1302" s="1" t="n">
        <v>45291</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41590-2022</t>
        </is>
      </c>
      <c r="B1303" s="1" t="n">
        <v>44827</v>
      </c>
      <c r="C1303" s="1" t="n">
        <v>45291</v>
      </c>
      <c r="D1303" t="inlineStr">
        <is>
          <t>VÄRMLANDS LÄN</t>
        </is>
      </c>
      <c r="E1303" t="inlineStr">
        <is>
          <t>TORSBY</t>
        </is>
      </c>
      <c r="F1303" t="inlineStr">
        <is>
          <t>Bergvik skog väst AB</t>
        </is>
      </c>
      <c r="G1303" t="n">
        <v>42.5</v>
      </c>
      <c r="H1303" t="n">
        <v>0</v>
      </c>
      <c r="I1303" t="n">
        <v>0</v>
      </c>
      <c r="J1303" t="n">
        <v>0</v>
      </c>
      <c r="K1303" t="n">
        <v>0</v>
      </c>
      <c r="L1303" t="n">
        <v>0</v>
      </c>
      <c r="M1303" t="n">
        <v>0</v>
      </c>
      <c r="N1303" t="n">
        <v>0</v>
      </c>
      <c r="O1303" t="n">
        <v>0</v>
      </c>
      <c r="P1303" t="n">
        <v>0</v>
      </c>
      <c r="Q1303" t="n">
        <v>0</v>
      </c>
      <c r="R1303" s="2" t="inlineStr"/>
    </row>
    <row r="1304" ht="15" customHeight="1">
      <c r="A1304" t="inlineStr">
        <is>
          <t>A 41995-2022</t>
        </is>
      </c>
      <c r="B1304" s="1" t="n">
        <v>44830</v>
      </c>
      <c r="C1304" s="1" t="n">
        <v>45291</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42588-2022</t>
        </is>
      </c>
      <c r="B1305" s="1" t="n">
        <v>44831</v>
      </c>
      <c r="C1305" s="1" t="n">
        <v>45291</v>
      </c>
      <c r="D1305" t="inlineStr">
        <is>
          <t>VÄRMLANDS LÄN</t>
        </is>
      </c>
      <c r="E1305" t="inlineStr">
        <is>
          <t>TORSBY</t>
        </is>
      </c>
      <c r="F1305" t="inlineStr">
        <is>
          <t>Bergvik skog väst AB</t>
        </is>
      </c>
      <c r="G1305" t="n">
        <v>41.4</v>
      </c>
      <c r="H1305" t="n">
        <v>0</v>
      </c>
      <c r="I1305" t="n">
        <v>0</v>
      </c>
      <c r="J1305" t="n">
        <v>0</v>
      </c>
      <c r="K1305" t="n">
        <v>0</v>
      </c>
      <c r="L1305" t="n">
        <v>0</v>
      </c>
      <c r="M1305" t="n">
        <v>0</v>
      </c>
      <c r="N1305" t="n">
        <v>0</v>
      </c>
      <c r="O1305" t="n">
        <v>0</v>
      </c>
      <c r="P1305" t="n">
        <v>0</v>
      </c>
      <c r="Q1305" t="n">
        <v>0</v>
      </c>
      <c r="R1305" s="2" t="inlineStr"/>
    </row>
    <row r="1306" ht="15" customHeight="1">
      <c r="A1306" t="inlineStr">
        <is>
          <t>A 42784-2022</t>
        </is>
      </c>
      <c r="B1306" s="1" t="n">
        <v>44832</v>
      </c>
      <c r="C1306" s="1" t="n">
        <v>45291</v>
      </c>
      <c r="D1306" t="inlineStr">
        <is>
          <t>VÄRMLANDS LÄN</t>
        </is>
      </c>
      <c r="E1306" t="inlineStr">
        <is>
          <t>TORSBY</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42701-2022</t>
        </is>
      </c>
      <c r="B1307" s="1" t="n">
        <v>44832</v>
      </c>
      <c r="C1307" s="1" t="n">
        <v>45291</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43022-2022</t>
        </is>
      </c>
      <c r="B1308" s="1" t="n">
        <v>44833</v>
      </c>
      <c r="C1308" s="1" t="n">
        <v>45291</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43111-2022</t>
        </is>
      </c>
      <c r="B1309" s="1" t="n">
        <v>44833</v>
      </c>
      <c r="C1309" s="1" t="n">
        <v>45291</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43248-2022</t>
        </is>
      </c>
      <c r="B1310" s="1" t="n">
        <v>44834</v>
      </c>
      <c r="C1310" s="1" t="n">
        <v>45291</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43289-2022</t>
        </is>
      </c>
      <c r="B1311" s="1" t="n">
        <v>44834</v>
      </c>
      <c r="C1311" s="1" t="n">
        <v>45291</v>
      </c>
      <c r="D1311" t="inlineStr">
        <is>
          <t>VÄRMLANDS LÄN</t>
        </is>
      </c>
      <c r="E1311" t="inlineStr">
        <is>
          <t>TORSBY</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43465-2022</t>
        </is>
      </c>
      <c r="B1312" s="1" t="n">
        <v>44836</v>
      </c>
      <c r="C1312" s="1" t="n">
        <v>45291</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43943-2022</t>
        </is>
      </c>
      <c r="B1313" s="1" t="n">
        <v>44838</v>
      </c>
      <c r="C1313" s="1" t="n">
        <v>45291</v>
      </c>
      <c r="D1313" t="inlineStr">
        <is>
          <t>VÄRMLANDS LÄN</t>
        </is>
      </c>
      <c r="E1313" t="inlineStr">
        <is>
          <t>TORSBY</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43989-2022</t>
        </is>
      </c>
      <c r="B1314" s="1" t="n">
        <v>44838</v>
      </c>
      <c r="C1314" s="1" t="n">
        <v>45291</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44214-2022</t>
        </is>
      </c>
      <c r="B1315" s="1" t="n">
        <v>44838</v>
      </c>
      <c r="C1315" s="1" t="n">
        <v>45291</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44340-2022</t>
        </is>
      </c>
      <c r="B1316" s="1" t="n">
        <v>44838</v>
      </c>
      <c r="C1316" s="1" t="n">
        <v>45291</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44170-2022</t>
        </is>
      </c>
      <c r="B1317" s="1" t="n">
        <v>44838</v>
      </c>
      <c r="C1317" s="1" t="n">
        <v>45291</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44149-2022</t>
        </is>
      </c>
      <c r="B1318" s="1" t="n">
        <v>44839</v>
      </c>
      <c r="C1318" s="1" t="n">
        <v>45291</v>
      </c>
      <c r="D1318" t="inlineStr">
        <is>
          <t>VÄRMLANDS LÄN</t>
        </is>
      </c>
      <c r="E1318" t="inlineStr">
        <is>
          <t>TORSBY</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44196-2022</t>
        </is>
      </c>
      <c r="B1319" s="1" t="n">
        <v>44839</v>
      </c>
      <c r="C1319" s="1" t="n">
        <v>45291</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44327-2022</t>
        </is>
      </c>
      <c r="B1320" s="1" t="n">
        <v>44839</v>
      </c>
      <c r="C1320" s="1" t="n">
        <v>45291</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44841-2022</t>
        </is>
      </c>
      <c r="B1321" s="1" t="n">
        <v>44839</v>
      </c>
      <c r="C1321" s="1" t="n">
        <v>45291</v>
      </c>
      <c r="D1321" t="inlineStr">
        <is>
          <t>VÄRMLANDS LÄN</t>
        </is>
      </c>
      <c r="E1321" t="inlineStr">
        <is>
          <t>TORSBY</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44879-2022</t>
        </is>
      </c>
      <c r="B1322" s="1" t="n">
        <v>44839</v>
      </c>
      <c r="C1322" s="1" t="n">
        <v>45291</v>
      </c>
      <c r="D1322" t="inlineStr">
        <is>
          <t>VÄRMLANDS LÄN</t>
        </is>
      </c>
      <c r="E1322" t="inlineStr">
        <is>
          <t>TORSBY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44498-2022</t>
        </is>
      </c>
      <c r="B1323" s="1" t="n">
        <v>44840</v>
      </c>
      <c r="C1323" s="1" t="n">
        <v>45291</v>
      </c>
      <c r="D1323" t="inlineStr">
        <is>
          <t>VÄRMLANDS LÄN</t>
        </is>
      </c>
      <c r="E1323" t="inlineStr">
        <is>
          <t>TORSBY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44516-2022</t>
        </is>
      </c>
      <c r="B1324" s="1" t="n">
        <v>44840</v>
      </c>
      <c r="C1324" s="1" t="n">
        <v>45291</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44517-2022</t>
        </is>
      </c>
      <c r="B1325" s="1" t="n">
        <v>44840</v>
      </c>
      <c r="C1325" s="1" t="n">
        <v>45291</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44532-2022</t>
        </is>
      </c>
      <c r="B1326" s="1" t="n">
        <v>44840</v>
      </c>
      <c r="C1326" s="1" t="n">
        <v>45291</v>
      </c>
      <c r="D1326" t="inlineStr">
        <is>
          <t>VÄRMLANDS LÄN</t>
        </is>
      </c>
      <c r="E1326" t="inlineStr">
        <is>
          <t>TORSBY</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44708-2022</t>
        </is>
      </c>
      <c r="B1327" s="1" t="n">
        <v>44840</v>
      </c>
      <c r="C1327" s="1" t="n">
        <v>45291</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45056-2022</t>
        </is>
      </c>
      <c r="B1328" s="1" t="n">
        <v>44841</v>
      </c>
      <c r="C1328" s="1" t="n">
        <v>45291</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45303-2022</t>
        </is>
      </c>
      <c r="B1329" s="1" t="n">
        <v>44844</v>
      </c>
      <c r="C1329" s="1" t="n">
        <v>45291</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45368-2022</t>
        </is>
      </c>
      <c r="B1330" s="1" t="n">
        <v>44844</v>
      </c>
      <c r="C1330" s="1" t="n">
        <v>45291</v>
      </c>
      <c r="D1330" t="inlineStr">
        <is>
          <t>VÄRMLANDS LÄN</t>
        </is>
      </c>
      <c r="E1330" t="inlineStr">
        <is>
          <t>TORSBY</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45328-2022</t>
        </is>
      </c>
      <c r="B1331" s="1" t="n">
        <v>44844</v>
      </c>
      <c r="C1331" s="1" t="n">
        <v>45291</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45325-2022</t>
        </is>
      </c>
      <c r="B1332" s="1" t="n">
        <v>44844</v>
      </c>
      <c r="C1332" s="1" t="n">
        <v>45291</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45369-2022</t>
        </is>
      </c>
      <c r="B1333" s="1" t="n">
        <v>44844</v>
      </c>
      <c r="C1333" s="1" t="n">
        <v>45291</v>
      </c>
      <c r="D1333" t="inlineStr">
        <is>
          <t>VÄRMLANDS LÄN</t>
        </is>
      </c>
      <c r="E1333" t="inlineStr">
        <is>
          <t>TORSBY</t>
        </is>
      </c>
      <c r="F1333" t="inlineStr">
        <is>
          <t>Bergvik skog väst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45809-2022</t>
        </is>
      </c>
      <c r="B1334" s="1" t="n">
        <v>44844</v>
      </c>
      <c r="C1334" s="1" t="n">
        <v>45291</v>
      </c>
      <c r="D1334" t="inlineStr">
        <is>
          <t>VÄRMLANDS LÄN</t>
        </is>
      </c>
      <c r="E1334" t="inlineStr">
        <is>
          <t>TORSBY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45666-2022</t>
        </is>
      </c>
      <c r="B1335" s="1" t="n">
        <v>44845</v>
      </c>
      <c r="C1335" s="1" t="n">
        <v>45291</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46551-2022</t>
        </is>
      </c>
      <c r="B1336" s="1" t="n">
        <v>44848</v>
      </c>
      <c r="C1336" s="1" t="n">
        <v>45291</v>
      </c>
      <c r="D1336" t="inlineStr">
        <is>
          <t>VÄRMLANDS LÄN</t>
        </is>
      </c>
      <c r="E1336" t="inlineStr">
        <is>
          <t>TORSBY</t>
        </is>
      </c>
      <c r="F1336" t="inlineStr">
        <is>
          <t>Bergvik skog väst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47167-2022</t>
        </is>
      </c>
      <c r="B1337" s="1" t="n">
        <v>44852</v>
      </c>
      <c r="C1337" s="1" t="n">
        <v>45291</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47141-2022</t>
        </is>
      </c>
      <c r="B1338" s="1" t="n">
        <v>44852</v>
      </c>
      <c r="C1338" s="1" t="n">
        <v>45291</v>
      </c>
      <c r="D1338" t="inlineStr">
        <is>
          <t>VÄRMLANDS LÄN</t>
        </is>
      </c>
      <c r="E1338" t="inlineStr">
        <is>
          <t>TORSBY</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47206-2022</t>
        </is>
      </c>
      <c r="B1339" s="1" t="n">
        <v>44852</v>
      </c>
      <c r="C1339" s="1" t="n">
        <v>45291</v>
      </c>
      <c r="D1339" t="inlineStr">
        <is>
          <t>VÄRMLANDS LÄN</t>
        </is>
      </c>
      <c r="E1339" t="inlineStr">
        <is>
          <t>TORSBY</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47466-2022</t>
        </is>
      </c>
      <c r="B1340" s="1" t="n">
        <v>44852</v>
      </c>
      <c r="C1340" s="1" t="n">
        <v>45291</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48328-2022</t>
        </is>
      </c>
      <c r="B1341" s="1" t="n">
        <v>44853</v>
      </c>
      <c r="C1341" s="1" t="n">
        <v>45291</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48356-2022</t>
        </is>
      </c>
      <c r="B1342" s="1" t="n">
        <v>44853</v>
      </c>
      <c r="C1342" s="1" t="n">
        <v>45291</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48320-2022</t>
        </is>
      </c>
      <c r="B1343" s="1" t="n">
        <v>44853</v>
      </c>
      <c r="C1343" s="1" t="n">
        <v>45291</v>
      </c>
      <c r="D1343" t="inlineStr">
        <is>
          <t>VÄRMLANDS LÄN</t>
        </is>
      </c>
      <c r="E1343" t="inlineStr">
        <is>
          <t>TORSBY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47694-2022</t>
        </is>
      </c>
      <c r="B1344" s="1" t="n">
        <v>44854</v>
      </c>
      <c r="C1344" s="1" t="n">
        <v>45291</v>
      </c>
      <c r="D1344" t="inlineStr">
        <is>
          <t>VÄRMLANDS LÄN</t>
        </is>
      </c>
      <c r="E1344" t="inlineStr">
        <is>
          <t>TORSBY</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48239-2022</t>
        </is>
      </c>
      <c r="B1345" s="1" t="n">
        <v>44858</v>
      </c>
      <c r="C1345" s="1" t="n">
        <v>45291</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48712-2022</t>
        </is>
      </c>
      <c r="B1346" s="1" t="n">
        <v>44859</v>
      </c>
      <c r="C1346" s="1" t="n">
        <v>45291</v>
      </c>
      <c r="D1346" t="inlineStr">
        <is>
          <t>VÄRMLANDS LÄN</t>
        </is>
      </c>
      <c r="E1346" t="inlineStr">
        <is>
          <t>TORSBY</t>
        </is>
      </c>
      <c r="F1346" t="inlineStr">
        <is>
          <t>Bergvik skog väst AB</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49699-2022</t>
        </is>
      </c>
      <c r="B1347" s="1" t="n">
        <v>44859</v>
      </c>
      <c r="C1347" s="1" t="n">
        <v>45291</v>
      </c>
      <c r="D1347" t="inlineStr">
        <is>
          <t>VÄRMLANDS LÄN</t>
        </is>
      </c>
      <c r="E1347" t="inlineStr">
        <is>
          <t>TORSBY</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49814-2022</t>
        </is>
      </c>
      <c r="B1348" s="1" t="n">
        <v>44859</v>
      </c>
      <c r="C1348" s="1" t="n">
        <v>45291</v>
      </c>
      <c r="D1348" t="inlineStr">
        <is>
          <t>VÄRMLANDS LÄN</t>
        </is>
      </c>
      <c r="E1348" t="inlineStr">
        <is>
          <t>TORSBY</t>
        </is>
      </c>
      <c r="F1348" t="inlineStr">
        <is>
          <t>Kyrkan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49608-2022</t>
        </is>
      </c>
      <c r="B1349" s="1" t="n">
        <v>44859</v>
      </c>
      <c r="C1349" s="1" t="n">
        <v>45291</v>
      </c>
      <c r="D1349" t="inlineStr">
        <is>
          <t>VÄRMLANDS LÄN</t>
        </is>
      </c>
      <c r="E1349" t="inlineStr">
        <is>
          <t>TORSBY</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49073-2022</t>
        </is>
      </c>
      <c r="B1350" s="1" t="n">
        <v>44860</v>
      </c>
      <c r="C1350" s="1" t="n">
        <v>45291</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49206-2022</t>
        </is>
      </c>
      <c r="B1351" s="1" t="n">
        <v>44861</v>
      </c>
      <c r="C1351" s="1" t="n">
        <v>45291</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49346-2022</t>
        </is>
      </c>
      <c r="B1352" s="1" t="n">
        <v>44861</v>
      </c>
      <c r="C1352" s="1" t="n">
        <v>45291</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50390-2022</t>
        </is>
      </c>
      <c r="B1353" s="1" t="n">
        <v>44861</v>
      </c>
      <c r="C1353" s="1" t="n">
        <v>45291</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49795-2022</t>
        </is>
      </c>
      <c r="B1354" s="1" t="n">
        <v>44862</v>
      </c>
      <c r="C1354" s="1" t="n">
        <v>45291</v>
      </c>
      <c r="D1354" t="inlineStr">
        <is>
          <t>VÄRMLANDS LÄN</t>
        </is>
      </c>
      <c r="E1354" t="inlineStr">
        <is>
          <t>TORSBY</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49810-2022</t>
        </is>
      </c>
      <c r="B1355" s="1" t="n">
        <v>44862</v>
      </c>
      <c r="C1355" s="1" t="n">
        <v>45291</v>
      </c>
      <c r="D1355" t="inlineStr">
        <is>
          <t>VÄRMLANDS LÄN</t>
        </is>
      </c>
      <c r="E1355" t="inlineStr">
        <is>
          <t>TORSBY</t>
        </is>
      </c>
      <c r="F1355" t="inlineStr">
        <is>
          <t>Bergvik skog väst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49957-2022</t>
        </is>
      </c>
      <c r="B1356" s="1" t="n">
        <v>44865</v>
      </c>
      <c r="C1356" s="1" t="n">
        <v>45291</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49983-2022</t>
        </is>
      </c>
      <c r="B1357" s="1" t="n">
        <v>44865</v>
      </c>
      <c r="C1357" s="1" t="n">
        <v>45291</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49970-2022</t>
        </is>
      </c>
      <c r="B1358" s="1" t="n">
        <v>44865</v>
      </c>
      <c r="C1358" s="1" t="n">
        <v>45291</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49959-2022</t>
        </is>
      </c>
      <c r="B1359" s="1" t="n">
        <v>44865</v>
      </c>
      <c r="C1359" s="1" t="n">
        <v>45291</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50280-2022</t>
        </is>
      </c>
      <c r="B1360" s="1" t="n">
        <v>44865</v>
      </c>
      <c r="C1360" s="1" t="n">
        <v>45291</v>
      </c>
      <c r="D1360" t="inlineStr">
        <is>
          <t>VÄRMLANDS LÄN</t>
        </is>
      </c>
      <c r="E1360" t="inlineStr">
        <is>
          <t>TORSBY</t>
        </is>
      </c>
      <c r="F1360" t="inlineStr">
        <is>
          <t>Bergvik skog väst AB</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50417-2022</t>
        </is>
      </c>
      <c r="B1361" s="1" t="n">
        <v>44866</v>
      </c>
      <c r="C1361" s="1" t="n">
        <v>45291</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50436-2022</t>
        </is>
      </c>
      <c r="B1362" s="1" t="n">
        <v>44866</v>
      </c>
      <c r="C1362" s="1" t="n">
        <v>45291</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50434-2022</t>
        </is>
      </c>
      <c r="B1363" s="1" t="n">
        <v>44866</v>
      </c>
      <c r="C1363" s="1" t="n">
        <v>45291</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50953-2022</t>
        </is>
      </c>
      <c r="B1364" s="1" t="n">
        <v>44866</v>
      </c>
      <c r="C1364" s="1" t="n">
        <v>45291</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50789-2022</t>
        </is>
      </c>
      <c r="B1365" s="1" t="n">
        <v>44867</v>
      </c>
      <c r="C1365" s="1" t="n">
        <v>45291</v>
      </c>
      <c r="D1365" t="inlineStr">
        <is>
          <t>VÄRMLANDS LÄN</t>
        </is>
      </c>
      <c r="E1365" t="inlineStr">
        <is>
          <t>TORSBY</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51124-2022</t>
        </is>
      </c>
      <c r="B1366" s="1" t="n">
        <v>44868</v>
      </c>
      <c r="C1366" s="1" t="n">
        <v>45291</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51439-2022</t>
        </is>
      </c>
      <c r="B1367" s="1" t="n">
        <v>44869</v>
      </c>
      <c r="C1367" s="1" t="n">
        <v>45291</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51490-2022</t>
        </is>
      </c>
      <c r="B1368" s="1" t="n">
        <v>44869</v>
      </c>
      <c r="C1368" s="1" t="n">
        <v>45291</v>
      </c>
      <c r="D1368" t="inlineStr">
        <is>
          <t>VÄRMLANDS LÄN</t>
        </is>
      </c>
      <c r="E1368" t="inlineStr">
        <is>
          <t>TORSBY</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51489-2022</t>
        </is>
      </c>
      <c r="B1369" s="1" t="n">
        <v>44869</v>
      </c>
      <c r="C1369" s="1" t="n">
        <v>45291</v>
      </c>
      <c r="D1369" t="inlineStr">
        <is>
          <t>VÄRMLANDS LÄN</t>
        </is>
      </c>
      <c r="E1369" t="inlineStr">
        <is>
          <t>TORSBY</t>
        </is>
      </c>
      <c r="F1369" t="inlineStr">
        <is>
          <t>Bergvik skog väst AB</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51847-2022</t>
        </is>
      </c>
      <c r="B1370" s="1" t="n">
        <v>44872</v>
      </c>
      <c r="C1370" s="1" t="n">
        <v>45291</v>
      </c>
      <c r="D1370" t="inlineStr">
        <is>
          <t>VÄRMLANDS LÄN</t>
        </is>
      </c>
      <c r="E1370" t="inlineStr">
        <is>
          <t>TORSBY</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51843-2022</t>
        </is>
      </c>
      <c r="B1371" s="1" t="n">
        <v>44872</v>
      </c>
      <c r="C1371" s="1" t="n">
        <v>45291</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51911-2022</t>
        </is>
      </c>
      <c r="B1372" s="1" t="n">
        <v>44872</v>
      </c>
      <c r="C1372" s="1" t="n">
        <v>45291</v>
      </c>
      <c r="D1372" t="inlineStr">
        <is>
          <t>VÄRMLANDS LÄN</t>
        </is>
      </c>
      <c r="E1372" t="inlineStr">
        <is>
          <t>TORSBY</t>
        </is>
      </c>
      <c r="F1372" t="inlineStr">
        <is>
          <t>Bergvik skog väst AB</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52921-2022</t>
        </is>
      </c>
      <c r="B1373" s="1" t="n">
        <v>44872</v>
      </c>
      <c r="C1373" s="1" t="n">
        <v>45291</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52901-2022</t>
        </is>
      </c>
      <c r="B1374" s="1" t="n">
        <v>44872</v>
      </c>
      <c r="C1374" s="1" t="n">
        <v>45291</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52286-2022</t>
        </is>
      </c>
      <c r="B1375" s="1" t="n">
        <v>44873</v>
      </c>
      <c r="C1375" s="1" t="n">
        <v>45291</v>
      </c>
      <c r="D1375" t="inlineStr">
        <is>
          <t>VÄRMLANDS LÄN</t>
        </is>
      </c>
      <c r="E1375" t="inlineStr">
        <is>
          <t>TORSBY</t>
        </is>
      </c>
      <c r="F1375" t="inlineStr">
        <is>
          <t>Bergvik skog väst AB</t>
        </is>
      </c>
      <c r="G1375" t="n">
        <v>51.4</v>
      </c>
      <c r="H1375" t="n">
        <v>0</v>
      </c>
      <c r="I1375" t="n">
        <v>0</v>
      </c>
      <c r="J1375" t="n">
        <v>0</v>
      </c>
      <c r="K1375" t="n">
        <v>0</v>
      </c>
      <c r="L1375" t="n">
        <v>0</v>
      </c>
      <c r="M1375" t="n">
        <v>0</v>
      </c>
      <c r="N1375" t="n">
        <v>0</v>
      </c>
      <c r="O1375" t="n">
        <v>0</v>
      </c>
      <c r="P1375" t="n">
        <v>0</v>
      </c>
      <c r="Q1375" t="n">
        <v>0</v>
      </c>
      <c r="R1375" s="2" t="inlineStr"/>
    </row>
    <row r="1376" ht="15" customHeight="1">
      <c r="A1376" t="inlineStr">
        <is>
          <t>A 52393-2022</t>
        </is>
      </c>
      <c r="B1376" s="1" t="n">
        <v>44874</v>
      </c>
      <c r="C1376" s="1" t="n">
        <v>45291</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52546-2022</t>
        </is>
      </c>
      <c r="B1377" s="1" t="n">
        <v>44874</v>
      </c>
      <c r="C1377" s="1" t="n">
        <v>45291</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52386-2022</t>
        </is>
      </c>
      <c r="B1378" s="1" t="n">
        <v>44874</v>
      </c>
      <c r="C1378" s="1" t="n">
        <v>45291</v>
      </c>
      <c r="D1378" t="inlineStr">
        <is>
          <t>VÄRMLANDS LÄN</t>
        </is>
      </c>
      <c r="E1378" t="inlineStr">
        <is>
          <t>TORSBY</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52543-2022</t>
        </is>
      </c>
      <c r="B1379" s="1" t="n">
        <v>44874</v>
      </c>
      <c r="C1379" s="1" t="n">
        <v>45291</v>
      </c>
      <c r="D1379" t="inlineStr">
        <is>
          <t>VÄRMLANDS LÄN</t>
        </is>
      </c>
      <c r="E1379" t="inlineStr">
        <is>
          <t>TORSBY</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52447-2022</t>
        </is>
      </c>
      <c r="B1380" s="1" t="n">
        <v>44874</v>
      </c>
      <c r="C1380" s="1" t="n">
        <v>45291</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52483-2022</t>
        </is>
      </c>
      <c r="B1381" s="1" t="n">
        <v>44874</v>
      </c>
      <c r="C1381" s="1" t="n">
        <v>45291</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52913-2022</t>
        </is>
      </c>
      <c r="B1382" s="1" t="n">
        <v>44875</v>
      </c>
      <c r="C1382" s="1" t="n">
        <v>45291</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52919-2022</t>
        </is>
      </c>
      <c r="B1383" s="1" t="n">
        <v>44875</v>
      </c>
      <c r="C1383" s="1" t="n">
        <v>45291</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53044-2022</t>
        </is>
      </c>
      <c r="B1384" s="1" t="n">
        <v>44876</v>
      </c>
      <c r="C1384" s="1" t="n">
        <v>45291</v>
      </c>
      <c r="D1384" t="inlineStr">
        <is>
          <t>VÄRMLANDS LÄN</t>
        </is>
      </c>
      <c r="E1384" t="inlineStr">
        <is>
          <t>TORSBY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53076-2022</t>
        </is>
      </c>
      <c r="B1385" s="1" t="n">
        <v>44876</v>
      </c>
      <c r="C1385" s="1" t="n">
        <v>45291</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53988-2022</t>
        </is>
      </c>
      <c r="B1386" s="1" t="n">
        <v>44876</v>
      </c>
      <c r="C1386" s="1" t="n">
        <v>45291</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53381-2022</t>
        </is>
      </c>
      <c r="B1387" s="1" t="n">
        <v>44879</v>
      </c>
      <c r="C1387" s="1" t="n">
        <v>45291</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53492-2022</t>
        </is>
      </c>
      <c r="B1388" s="1" t="n">
        <v>44879</v>
      </c>
      <c r="C1388" s="1" t="n">
        <v>45291</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53781-2022</t>
        </is>
      </c>
      <c r="B1389" s="1" t="n">
        <v>44880</v>
      </c>
      <c r="C1389" s="1" t="n">
        <v>45291</v>
      </c>
      <c r="D1389" t="inlineStr">
        <is>
          <t>VÄRMLANDS LÄN</t>
        </is>
      </c>
      <c r="E1389" t="inlineStr">
        <is>
          <t>TORSBY</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53906-2022</t>
        </is>
      </c>
      <c r="B1390" s="1" t="n">
        <v>44880</v>
      </c>
      <c r="C1390" s="1" t="n">
        <v>45291</v>
      </c>
      <c r="D1390" t="inlineStr">
        <is>
          <t>VÄRMLANDS LÄN</t>
        </is>
      </c>
      <c r="E1390" t="inlineStr">
        <is>
          <t>TORSBY</t>
        </is>
      </c>
      <c r="F1390" t="inlineStr">
        <is>
          <t>Bergvik skog väst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54452-2022</t>
        </is>
      </c>
      <c r="B1391" s="1" t="n">
        <v>44880</v>
      </c>
      <c r="C1391" s="1" t="n">
        <v>45291</v>
      </c>
      <c r="D1391" t="inlineStr">
        <is>
          <t>VÄRMLANDS LÄN</t>
        </is>
      </c>
      <c r="E1391" t="inlineStr">
        <is>
          <t>TORSBY</t>
        </is>
      </c>
      <c r="F1391" t="inlineStr">
        <is>
          <t>Kyrkan</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54028-2022</t>
        </is>
      </c>
      <c r="B1392" s="1" t="n">
        <v>44881</v>
      </c>
      <c r="C1392" s="1" t="n">
        <v>45291</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54143-2022</t>
        </is>
      </c>
      <c r="B1393" s="1" t="n">
        <v>44881</v>
      </c>
      <c r="C1393" s="1" t="n">
        <v>45291</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54160-2022</t>
        </is>
      </c>
      <c r="B1394" s="1" t="n">
        <v>44881</v>
      </c>
      <c r="C1394" s="1" t="n">
        <v>45291</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54811-2022</t>
        </is>
      </c>
      <c r="B1395" s="1" t="n">
        <v>44883</v>
      </c>
      <c r="C1395" s="1" t="n">
        <v>45291</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54865-2022</t>
        </is>
      </c>
      <c r="B1396" s="1" t="n">
        <v>44884</v>
      </c>
      <c r="C1396" s="1" t="n">
        <v>45291</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54885-2022</t>
        </is>
      </c>
      <c r="B1397" s="1" t="n">
        <v>44886</v>
      </c>
      <c r="C1397" s="1" t="n">
        <v>45291</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55068-2022</t>
        </is>
      </c>
      <c r="B1398" s="1" t="n">
        <v>44886</v>
      </c>
      <c r="C1398" s="1" t="n">
        <v>45291</v>
      </c>
      <c r="D1398" t="inlineStr">
        <is>
          <t>VÄRMLANDS LÄN</t>
        </is>
      </c>
      <c r="E1398" t="inlineStr">
        <is>
          <t>TORSBY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55092-2022</t>
        </is>
      </c>
      <c r="B1399" s="1" t="n">
        <v>44886</v>
      </c>
      <c r="C1399" s="1" t="n">
        <v>45291</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55104-2022</t>
        </is>
      </c>
      <c r="B1400" s="1" t="n">
        <v>44886</v>
      </c>
      <c r="C1400" s="1" t="n">
        <v>45291</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55428-2022</t>
        </is>
      </c>
      <c r="B1401" s="1" t="n">
        <v>44887</v>
      </c>
      <c r="C1401" s="1" t="n">
        <v>45291</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55475-2022</t>
        </is>
      </c>
      <c r="B1402" s="1" t="n">
        <v>44887</v>
      </c>
      <c r="C1402" s="1" t="n">
        <v>45291</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55436-2022</t>
        </is>
      </c>
      <c r="B1403" s="1" t="n">
        <v>44887</v>
      </c>
      <c r="C1403" s="1" t="n">
        <v>45291</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55575-2022</t>
        </is>
      </c>
      <c r="B1404" s="1" t="n">
        <v>44888</v>
      </c>
      <c r="C1404" s="1" t="n">
        <v>45291</v>
      </c>
      <c r="D1404" t="inlineStr">
        <is>
          <t>VÄRMLANDS LÄN</t>
        </is>
      </c>
      <c r="E1404" t="inlineStr">
        <is>
          <t>TORSBY</t>
        </is>
      </c>
      <c r="F1404" t="inlineStr">
        <is>
          <t>Bergvik skog väst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55981-2022</t>
        </is>
      </c>
      <c r="B1405" s="1" t="n">
        <v>44889</v>
      </c>
      <c r="C1405" s="1" t="n">
        <v>45291</v>
      </c>
      <c r="D1405" t="inlineStr">
        <is>
          <t>VÄRMLANDS LÄN</t>
        </is>
      </c>
      <c r="E1405" t="inlineStr">
        <is>
          <t>TORSBY</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55939-2022</t>
        </is>
      </c>
      <c r="B1406" s="1" t="n">
        <v>44889</v>
      </c>
      <c r="C1406" s="1" t="n">
        <v>45291</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55947-2022</t>
        </is>
      </c>
      <c r="B1407" s="1" t="n">
        <v>44889</v>
      </c>
      <c r="C1407" s="1" t="n">
        <v>45291</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56281-2022</t>
        </is>
      </c>
      <c r="B1408" s="1" t="n">
        <v>44890</v>
      </c>
      <c r="C1408" s="1" t="n">
        <v>45291</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56361-2022</t>
        </is>
      </c>
      <c r="B1409" s="1" t="n">
        <v>44890</v>
      </c>
      <c r="C1409" s="1" t="n">
        <v>45291</v>
      </c>
      <c r="D1409" t="inlineStr">
        <is>
          <t>VÄRMLANDS LÄN</t>
        </is>
      </c>
      <c r="E1409" t="inlineStr">
        <is>
          <t>TORSBY</t>
        </is>
      </c>
      <c r="F1409" t="inlineStr">
        <is>
          <t>Bergvik skog väst AB</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56432-2022</t>
        </is>
      </c>
      <c r="B1410" s="1" t="n">
        <v>44891</v>
      </c>
      <c r="C1410" s="1" t="n">
        <v>45291</v>
      </c>
      <c r="D1410" t="inlineStr">
        <is>
          <t>VÄRMLANDS LÄN</t>
        </is>
      </c>
      <c r="E1410" t="inlineStr">
        <is>
          <t>TORSBY</t>
        </is>
      </c>
      <c r="F1410" t="inlineStr">
        <is>
          <t>Bergvik skog väst AB</t>
        </is>
      </c>
      <c r="G1410" t="n">
        <v>37.4</v>
      </c>
      <c r="H1410" t="n">
        <v>0</v>
      </c>
      <c r="I1410" t="n">
        <v>0</v>
      </c>
      <c r="J1410" t="n">
        <v>0</v>
      </c>
      <c r="K1410" t="n">
        <v>0</v>
      </c>
      <c r="L1410" t="n">
        <v>0</v>
      </c>
      <c r="M1410" t="n">
        <v>0</v>
      </c>
      <c r="N1410" t="n">
        <v>0</v>
      </c>
      <c r="O1410" t="n">
        <v>0</v>
      </c>
      <c r="P1410" t="n">
        <v>0</v>
      </c>
      <c r="Q1410" t="n">
        <v>0</v>
      </c>
      <c r="R1410" s="2" t="inlineStr"/>
    </row>
    <row r="1411" ht="15" customHeight="1">
      <c r="A1411" t="inlineStr">
        <is>
          <t>A 56434-2022</t>
        </is>
      </c>
      <c r="B1411" s="1" t="n">
        <v>44891</v>
      </c>
      <c r="C1411" s="1" t="n">
        <v>45291</v>
      </c>
      <c r="D1411" t="inlineStr">
        <is>
          <t>VÄRMLANDS LÄN</t>
        </is>
      </c>
      <c r="E1411" t="inlineStr">
        <is>
          <t>TORSBY</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56473-2022</t>
        </is>
      </c>
      <c r="B1412" s="1" t="n">
        <v>44893</v>
      </c>
      <c r="C1412" s="1" t="n">
        <v>45291</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57072-2022</t>
        </is>
      </c>
      <c r="B1413" s="1" t="n">
        <v>44895</v>
      </c>
      <c r="C1413" s="1" t="n">
        <v>45291</v>
      </c>
      <c r="D1413" t="inlineStr">
        <is>
          <t>VÄRMLANDS LÄN</t>
        </is>
      </c>
      <c r="E1413" t="inlineStr">
        <is>
          <t>TORSBY</t>
        </is>
      </c>
      <c r="F1413" t="inlineStr">
        <is>
          <t>Övriga statliga verk och myndigheter</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57176-2022</t>
        </is>
      </c>
      <c r="B1414" s="1" t="n">
        <v>44895</v>
      </c>
      <c r="C1414" s="1" t="n">
        <v>45291</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57071-2022</t>
        </is>
      </c>
      <c r="B1415" s="1" t="n">
        <v>44895</v>
      </c>
      <c r="C1415" s="1" t="n">
        <v>45291</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57172-2022</t>
        </is>
      </c>
      <c r="B1416" s="1" t="n">
        <v>44895</v>
      </c>
      <c r="C1416" s="1" t="n">
        <v>45291</v>
      </c>
      <c r="D1416" t="inlineStr">
        <is>
          <t>VÄRMLANDS LÄN</t>
        </is>
      </c>
      <c r="E1416" t="inlineStr">
        <is>
          <t>TORSBY</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57408-2022</t>
        </is>
      </c>
      <c r="B1417" s="1" t="n">
        <v>44896</v>
      </c>
      <c r="C1417" s="1" t="n">
        <v>45291</v>
      </c>
      <c r="D1417" t="inlineStr">
        <is>
          <t>VÄRMLANDS LÄN</t>
        </is>
      </c>
      <c r="E1417" t="inlineStr">
        <is>
          <t>TORSBY</t>
        </is>
      </c>
      <c r="F1417" t="inlineStr">
        <is>
          <t>Bergvik skog väst AB</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57418-2022</t>
        </is>
      </c>
      <c r="B1418" s="1" t="n">
        <v>44896</v>
      </c>
      <c r="C1418" s="1" t="n">
        <v>45291</v>
      </c>
      <c r="D1418" t="inlineStr">
        <is>
          <t>VÄRMLANDS LÄN</t>
        </is>
      </c>
      <c r="E1418" t="inlineStr">
        <is>
          <t>TORSBY</t>
        </is>
      </c>
      <c r="F1418" t="inlineStr">
        <is>
          <t>Bergvik skog väst AB</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57393-2022</t>
        </is>
      </c>
      <c r="B1419" s="1" t="n">
        <v>44896</v>
      </c>
      <c r="C1419" s="1" t="n">
        <v>45291</v>
      </c>
      <c r="D1419" t="inlineStr">
        <is>
          <t>VÄRMLANDS LÄN</t>
        </is>
      </c>
      <c r="E1419" t="inlineStr">
        <is>
          <t>TORSBY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57452-2022</t>
        </is>
      </c>
      <c r="B1420" s="1" t="n">
        <v>44896</v>
      </c>
      <c r="C1420" s="1" t="n">
        <v>45291</v>
      </c>
      <c r="D1420" t="inlineStr">
        <is>
          <t>VÄRMLANDS LÄN</t>
        </is>
      </c>
      <c r="E1420" t="inlineStr">
        <is>
          <t>TORSBY</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57708-2022</t>
        </is>
      </c>
      <c r="B1421" s="1" t="n">
        <v>44897</v>
      </c>
      <c r="C1421" s="1" t="n">
        <v>45291</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57726-2022</t>
        </is>
      </c>
      <c r="B1422" s="1" t="n">
        <v>44897</v>
      </c>
      <c r="C1422" s="1" t="n">
        <v>45291</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57721-2022</t>
        </is>
      </c>
      <c r="B1423" s="1" t="n">
        <v>44897</v>
      </c>
      <c r="C1423" s="1" t="n">
        <v>45291</v>
      </c>
      <c r="D1423" t="inlineStr">
        <is>
          <t>VÄRMLANDS LÄN</t>
        </is>
      </c>
      <c r="E1423" t="inlineStr">
        <is>
          <t>TORSBY</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57867-2022</t>
        </is>
      </c>
      <c r="B1424" s="1" t="n">
        <v>44899</v>
      </c>
      <c r="C1424" s="1" t="n">
        <v>45291</v>
      </c>
      <c r="D1424" t="inlineStr">
        <is>
          <t>VÄRMLANDS LÄN</t>
        </is>
      </c>
      <c r="E1424" t="inlineStr">
        <is>
          <t>TORSBY</t>
        </is>
      </c>
      <c r="F1424" t="inlineStr">
        <is>
          <t>Bergvik skog väst AB</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57937-2022</t>
        </is>
      </c>
      <c r="B1425" s="1" t="n">
        <v>44900</v>
      </c>
      <c r="C1425" s="1" t="n">
        <v>45291</v>
      </c>
      <c r="D1425" t="inlineStr">
        <is>
          <t>VÄRMLANDS LÄN</t>
        </is>
      </c>
      <c r="E1425" t="inlineStr">
        <is>
          <t>TORSBY</t>
        </is>
      </c>
      <c r="F1425" t="inlineStr">
        <is>
          <t>Bergvik skog väst AB</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58225-2022</t>
        </is>
      </c>
      <c r="B1426" s="1" t="n">
        <v>44901</v>
      </c>
      <c r="C1426" s="1" t="n">
        <v>45291</v>
      </c>
      <c r="D1426" t="inlineStr">
        <is>
          <t>VÄRMLANDS LÄN</t>
        </is>
      </c>
      <c r="E1426" t="inlineStr">
        <is>
          <t>TORSBY</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58276-2022</t>
        </is>
      </c>
      <c r="B1427" s="1" t="n">
        <v>44901</v>
      </c>
      <c r="C1427" s="1" t="n">
        <v>45291</v>
      </c>
      <c r="D1427" t="inlineStr">
        <is>
          <t>VÄRMLANDS LÄN</t>
        </is>
      </c>
      <c r="E1427" t="inlineStr">
        <is>
          <t>TORSBY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58956-2022</t>
        </is>
      </c>
      <c r="B1428" s="1" t="n">
        <v>44903</v>
      </c>
      <c r="C1428" s="1" t="n">
        <v>45291</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58869-2022</t>
        </is>
      </c>
      <c r="B1429" s="1" t="n">
        <v>44903</v>
      </c>
      <c r="C1429" s="1" t="n">
        <v>45291</v>
      </c>
      <c r="D1429" t="inlineStr">
        <is>
          <t>VÄRMLANDS LÄN</t>
        </is>
      </c>
      <c r="E1429" t="inlineStr">
        <is>
          <t>TORSBY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58951-2022</t>
        </is>
      </c>
      <c r="B1430" s="1" t="n">
        <v>44903</v>
      </c>
      <c r="C1430" s="1" t="n">
        <v>45291</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59097-2022</t>
        </is>
      </c>
      <c r="B1431" s="1" t="n">
        <v>44904</v>
      </c>
      <c r="C1431" s="1" t="n">
        <v>45291</v>
      </c>
      <c r="D1431" t="inlineStr">
        <is>
          <t>VÄRMLANDS LÄN</t>
        </is>
      </c>
      <c r="E1431" t="inlineStr">
        <is>
          <t>TORSBY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59096-2022</t>
        </is>
      </c>
      <c r="B1432" s="1" t="n">
        <v>44904</v>
      </c>
      <c r="C1432" s="1" t="n">
        <v>45291</v>
      </c>
      <c r="D1432" t="inlineStr">
        <is>
          <t>VÄRMLANDS LÄN</t>
        </is>
      </c>
      <c r="E1432" t="inlineStr">
        <is>
          <t>TORSBY</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59778-2022</t>
        </is>
      </c>
      <c r="B1433" s="1" t="n">
        <v>44908</v>
      </c>
      <c r="C1433" s="1" t="n">
        <v>45291</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60240-2022</t>
        </is>
      </c>
      <c r="B1434" s="1" t="n">
        <v>44910</v>
      </c>
      <c r="C1434" s="1" t="n">
        <v>45291</v>
      </c>
      <c r="D1434" t="inlineStr">
        <is>
          <t>VÄRMLANDS LÄN</t>
        </is>
      </c>
      <c r="E1434" t="inlineStr">
        <is>
          <t>TORSBY</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61432-2022</t>
        </is>
      </c>
      <c r="B1435" s="1" t="n">
        <v>44910</v>
      </c>
      <c r="C1435" s="1" t="n">
        <v>45291</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61428-2022</t>
        </is>
      </c>
      <c r="B1436" s="1" t="n">
        <v>44910</v>
      </c>
      <c r="C1436" s="1" t="n">
        <v>45291</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v>
      </c>
      <c r="C1437" s="1" t="n">
        <v>45291</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60823-2022</t>
        </is>
      </c>
      <c r="B1438" s="1" t="n">
        <v>44914</v>
      </c>
      <c r="C1438" s="1" t="n">
        <v>45291</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61128-2022</t>
        </is>
      </c>
      <c r="B1439" s="1" t="n">
        <v>44915</v>
      </c>
      <c r="C1439" s="1" t="n">
        <v>45291</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61151-2022</t>
        </is>
      </c>
      <c r="B1440" s="1" t="n">
        <v>44915</v>
      </c>
      <c r="C1440" s="1" t="n">
        <v>45291</v>
      </c>
      <c r="D1440" t="inlineStr">
        <is>
          <t>VÄRMLANDS LÄN</t>
        </is>
      </c>
      <c r="E1440" t="inlineStr">
        <is>
          <t>TORSBY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61286-2022</t>
        </is>
      </c>
      <c r="B1441" s="1" t="n">
        <v>44915</v>
      </c>
      <c r="C1441" s="1" t="n">
        <v>45291</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61321-2022</t>
        </is>
      </c>
      <c r="B1442" s="1" t="n">
        <v>44915</v>
      </c>
      <c r="C1442" s="1" t="n">
        <v>45291</v>
      </c>
      <c r="D1442" t="inlineStr">
        <is>
          <t>VÄRMLANDS LÄN</t>
        </is>
      </c>
      <c r="E1442" t="inlineStr">
        <is>
          <t>TORSBY</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61138-2022</t>
        </is>
      </c>
      <c r="B1443" s="1" t="n">
        <v>44915</v>
      </c>
      <c r="C1443" s="1" t="n">
        <v>45291</v>
      </c>
      <c r="D1443" t="inlineStr">
        <is>
          <t>VÄRMLANDS LÄN</t>
        </is>
      </c>
      <c r="E1443" t="inlineStr">
        <is>
          <t>TORSBY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61143-2022</t>
        </is>
      </c>
      <c r="B1444" s="1" t="n">
        <v>44915</v>
      </c>
      <c r="C1444" s="1" t="n">
        <v>45291</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61290-2022</t>
        </is>
      </c>
      <c r="B1445" s="1" t="n">
        <v>44915</v>
      </c>
      <c r="C1445" s="1" t="n">
        <v>45291</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61367-2022</t>
        </is>
      </c>
      <c r="B1446" s="1" t="n">
        <v>44915</v>
      </c>
      <c r="C1446" s="1" t="n">
        <v>45291</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61135-2022</t>
        </is>
      </c>
      <c r="B1447" s="1" t="n">
        <v>44915</v>
      </c>
      <c r="C1447" s="1" t="n">
        <v>45291</v>
      </c>
      <c r="D1447" t="inlineStr">
        <is>
          <t>VÄRMLANDS LÄN</t>
        </is>
      </c>
      <c r="E1447" t="inlineStr">
        <is>
          <t>TORSBY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61510-2022</t>
        </is>
      </c>
      <c r="B1448" s="1" t="n">
        <v>44916</v>
      </c>
      <c r="C1448" s="1" t="n">
        <v>45291</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62006-2022</t>
        </is>
      </c>
      <c r="B1449" s="1" t="n">
        <v>44918</v>
      </c>
      <c r="C1449" s="1" t="n">
        <v>45291</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80-2023</t>
        </is>
      </c>
      <c r="B1450" s="1" t="n">
        <v>44918</v>
      </c>
      <c r="C1450" s="1" t="n">
        <v>45291</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345-2023</t>
        </is>
      </c>
      <c r="B1451" s="1" t="n">
        <v>44923</v>
      </c>
      <c r="C1451" s="1" t="n">
        <v>45291</v>
      </c>
      <c r="D1451" t="inlineStr">
        <is>
          <t>VÄRMLANDS LÄN</t>
        </is>
      </c>
      <c r="E1451" t="inlineStr">
        <is>
          <t>TORSBY</t>
        </is>
      </c>
      <c r="G1451" t="n">
        <v>9.4</v>
      </c>
      <c r="H1451" t="n">
        <v>0</v>
      </c>
      <c r="I1451" t="n">
        <v>0</v>
      </c>
      <c r="J1451" t="n">
        <v>0</v>
      </c>
      <c r="K1451" t="n">
        <v>0</v>
      </c>
      <c r="L1451" t="n">
        <v>0</v>
      </c>
      <c r="M1451" t="n">
        <v>0</v>
      </c>
      <c r="N1451" t="n">
        <v>0</v>
      </c>
      <c r="O1451" t="n">
        <v>0</v>
      </c>
      <c r="P1451" t="n">
        <v>0</v>
      </c>
      <c r="Q1451" t="n">
        <v>0</v>
      </c>
      <c r="R1451" s="2" t="inlineStr"/>
    </row>
    <row r="1452" ht="15" customHeight="1">
      <c r="A1452" t="inlineStr">
        <is>
          <t>A 363-2023</t>
        </is>
      </c>
      <c r="B1452" s="1" t="n">
        <v>44923</v>
      </c>
      <c r="C1452" s="1" t="n">
        <v>45291</v>
      </c>
      <c r="D1452" t="inlineStr">
        <is>
          <t>VÄRMLANDS LÄN</t>
        </is>
      </c>
      <c r="E1452" t="inlineStr">
        <is>
          <t>TORSBY</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62574-2022</t>
        </is>
      </c>
      <c r="B1453" s="1" t="n">
        <v>44924</v>
      </c>
      <c r="C1453" s="1" t="n">
        <v>45291</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522-2023</t>
        </is>
      </c>
      <c r="B1454" s="1" t="n">
        <v>44930</v>
      </c>
      <c r="C1454" s="1" t="n">
        <v>45291</v>
      </c>
      <c r="D1454" t="inlineStr">
        <is>
          <t>VÄRMLANDS LÄN</t>
        </is>
      </c>
      <c r="E1454" t="inlineStr">
        <is>
          <t>TORSBY</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1003-2023</t>
        </is>
      </c>
      <c r="B1455" s="1" t="n">
        <v>44935</v>
      </c>
      <c r="C1455" s="1" t="n">
        <v>45291</v>
      </c>
      <c r="D1455" t="inlineStr">
        <is>
          <t>VÄRMLANDS LÄN</t>
        </is>
      </c>
      <c r="E1455" t="inlineStr">
        <is>
          <t>TORSBY</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1120-2023</t>
        </is>
      </c>
      <c r="B1456" s="1" t="n">
        <v>44935</v>
      </c>
      <c r="C1456" s="1" t="n">
        <v>45291</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1166-2023</t>
        </is>
      </c>
      <c r="B1457" s="1" t="n">
        <v>44935</v>
      </c>
      <c r="C1457" s="1" t="n">
        <v>45291</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1123-2023</t>
        </is>
      </c>
      <c r="B1458" s="1" t="n">
        <v>44935</v>
      </c>
      <c r="C1458" s="1" t="n">
        <v>45291</v>
      </c>
      <c r="D1458" t="inlineStr">
        <is>
          <t>VÄRMLANDS LÄN</t>
        </is>
      </c>
      <c r="E1458" t="inlineStr">
        <is>
          <t>TORSBY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1386-2023</t>
        </is>
      </c>
      <c r="B1459" s="1" t="n">
        <v>44936</v>
      </c>
      <c r="C1459" s="1" t="n">
        <v>45291</v>
      </c>
      <c r="D1459" t="inlineStr">
        <is>
          <t>VÄRMLANDS LÄN</t>
        </is>
      </c>
      <c r="E1459" t="inlineStr">
        <is>
          <t>TORSBY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1947-2023</t>
        </is>
      </c>
      <c r="B1460" s="1" t="n">
        <v>44939</v>
      </c>
      <c r="C1460" s="1" t="n">
        <v>45291</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1979-2023</t>
        </is>
      </c>
      <c r="B1461" s="1" t="n">
        <v>44939</v>
      </c>
      <c r="C1461" s="1" t="n">
        <v>45291</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2471-2023</t>
        </is>
      </c>
      <c r="B1462" s="1" t="n">
        <v>44943</v>
      </c>
      <c r="C1462" s="1" t="n">
        <v>45291</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2512-2023</t>
        </is>
      </c>
      <c r="B1463" s="1" t="n">
        <v>44943</v>
      </c>
      <c r="C1463" s="1" t="n">
        <v>45291</v>
      </c>
      <c r="D1463" t="inlineStr">
        <is>
          <t>VÄRMLANDS LÄN</t>
        </is>
      </c>
      <c r="E1463" t="inlineStr">
        <is>
          <t>TORSBY</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3098-2023</t>
        </is>
      </c>
      <c r="B1464" s="1" t="n">
        <v>44946</v>
      </c>
      <c r="C1464" s="1" t="n">
        <v>45291</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3103-2023</t>
        </is>
      </c>
      <c r="B1465" s="1" t="n">
        <v>44946</v>
      </c>
      <c r="C1465" s="1" t="n">
        <v>45291</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3256-2023</t>
        </is>
      </c>
      <c r="B1466" s="1" t="n">
        <v>44948</v>
      </c>
      <c r="C1466" s="1" t="n">
        <v>45291</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3421-2023</t>
        </is>
      </c>
      <c r="B1467" s="1" t="n">
        <v>44949</v>
      </c>
      <c r="C1467" s="1" t="n">
        <v>45291</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3489-2023</t>
        </is>
      </c>
      <c r="B1468" s="1" t="n">
        <v>44949</v>
      </c>
      <c r="C1468" s="1" t="n">
        <v>45291</v>
      </c>
      <c r="D1468" t="inlineStr">
        <is>
          <t>VÄRMLANDS LÄN</t>
        </is>
      </c>
      <c r="E1468" t="inlineStr">
        <is>
          <t>TORSBY</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3491-2023</t>
        </is>
      </c>
      <c r="B1469" s="1" t="n">
        <v>44949</v>
      </c>
      <c r="C1469" s="1" t="n">
        <v>45291</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3542-2023</t>
        </is>
      </c>
      <c r="B1470" s="1" t="n">
        <v>44950</v>
      </c>
      <c r="C1470" s="1" t="n">
        <v>45291</v>
      </c>
      <c r="D1470" t="inlineStr">
        <is>
          <t>VÄRMLANDS LÄN</t>
        </is>
      </c>
      <c r="E1470" t="inlineStr">
        <is>
          <t>TORSBY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3666-2023</t>
        </is>
      </c>
      <c r="B1471" s="1" t="n">
        <v>44950</v>
      </c>
      <c r="C1471" s="1" t="n">
        <v>45291</v>
      </c>
      <c r="D1471" t="inlineStr">
        <is>
          <t>VÄRMLANDS LÄN</t>
        </is>
      </c>
      <c r="E1471" t="inlineStr">
        <is>
          <t>TORSBY</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3670-2023</t>
        </is>
      </c>
      <c r="B1472" s="1" t="n">
        <v>44950</v>
      </c>
      <c r="C1472" s="1" t="n">
        <v>45291</v>
      </c>
      <c r="D1472" t="inlineStr">
        <is>
          <t>VÄRMLANDS LÄN</t>
        </is>
      </c>
      <c r="E1472" t="inlineStr">
        <is>
          <t>TORSBY</t>
        </is>
      </c>
      <c r="G1472" t="n">
        <v>15.4</v>
      </c>
      <c r="H1472" t="n">
        <v>0</v>
      </c>
      <c r="I1472" t="n">
        <v>0</v>
      </c>
      <c r="J1472" t="n">
        <v>0</v>
      </c>
      <c r="K1472" t="n">
        <v>0</v>
      </c>
      <c r="L1472" t="n">
        <v>0</v>
      </c>
      <c r="M1472" t="n">
        <v>0</v>
      </c>
      <c r="N1472" t="n">
        <v>0</v>
      </c>
      <c r="O1472" t="n">
        <v>0</v>
      </c>
      <c r="P1472" t="n">
        <v>0</v>
      </c>
      <c r="Q1472" t="n">
        <v>0</v>
      </c>
      <c r="R1472" s="2" t="inlineStr"/>
    </row>
    <row r="1473" ht="15" customHeight="1">
      <c r="A1473" t="inlineStr">
        <is>
          <t>A 3667-2023</t>
        </is>
      </c>
      <c r="B1473" s="1" t="n">
        <v>44950</v>
      </c>
      <c r="C1473" s="1" t="n">
        <v>45291</v>
      </c>
      <c r="D1473" t="inlineStr">
        <is>
          <t>VÄRMLANDS LÄN</t>
        </is>
      </c>
      <c r="E1473" t="inlineStr">
        <is>
          <t>TORSBY</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3672-2023</t>
        </is>
      </c>
      <c r="B1474" s="1" t="n">
        <v>44950</v>
      </c>
      <c r="C1474" s="1" t="n">
        <v>45291</v>
      </c>
      <c r="D1474" t="inlineStr">
        <is>
          <t>VÄRMLANDS LÄN</t>
        </is>
      </c>
      <c r="E1474" t="inlineStr">
        <is>
          <t>TORSBY</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3881-2023</t>
        </is>
      </c>
      <c r="B1475" s="1" t="n">
        <v>44951</v>
      </c>
      <c r="C1475" s="1" t="n">
        <v>45291</v>
      </c>
      <c r="D1475" t="inlineStr">
        <is>
          <t>VÄRMLANDS LÄN</t>
        </is>
      </c>
      <c r="E1475" t="inlineStr">
        <is>
          <t>TORSBY</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4250-2023</t>
        </is>
      </c>
      <c r="B1476" s="1" t="n">
        <v>44953</v>
      </c>
      <c r="C1476" s="1" t="n">
        <v>45291</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4236-2023</t>
        </is>
      </c>
      <c r="B1477" s="1" t="n">
        <v>44953</v>
      </c>
      <c r="C1477" s="1" t="n">
        <v>45291</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4433-2023</t>
        </is>
      </c>
      <c r="B1478" s="1" t="n">
        <v>44956</v>
      </c>
      <c r="C1478" s="1" t="n">
        <v>45291</v>
      </c>
      <c r="D1478" t="inlineStr">
        <is>
          <t>VÄRMLANDS LÄN</t>
        </is>
      </c>
      <c r="E1478" t="inlineStr">
        <is>
          <t>TORSBY</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4510-2023</t>
        </is>
      </c>
      <c r="B1479" s="1" t="n">
        <v>44956</v>
      </c>
      <c r="C1479" s="1" t="n">
        <v>45291</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4568-2023</t>
        </is>
      </c>
      <c r="B1480" s="1" t="n">
        <v>44956</v>
      </c>
      <c r="C1480" s="1" t="n">
        <v>45291</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4585-2023</t>
        </is>
      </c>
      <c r="B1481" s="1" t="n">
        <v>44956</v>
      </c>
      <c r="C1481" s="1" t="n">
        <v>45291</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4707-2023</t>
        </is>
      </c>
      <c r="B1482" s="1" t="n">
        <v>44957</v>
      </c>
      <c r="C1482" s="1" t="n">
        <v>45291</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5216-2023</t>
        </is>
      </c>
      <c r="B1483" s="1" t="n">
        <v>44959</v>
      </c>
      <c r="C1483" s="1" t="n">
        <v>45291</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5492-2023</t>
        </is>
      </c>
      <c r="B1484" s="1" t="n">
        <v>44959</v>
      </c>
      <c r="C1484" s="1" t="n">
        <v>45291</v>
      </c>
      <c r="D1484" t="inlineStr">
        <is>
          <t>VÄRMLANDS LÄN</t>
        </is>
      </c>
      <c r="E1484" t="inlineStr">
        <is>
          <t>TORSBY</t>
        </is>
      </c>
      <c r="F1484" t="inlineStr">
        <is>
          <t>Övriga Aktiebolag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6708-2023</t>
        </is>
      </c>
      <c r="B1485" s="1" t="n">
        <v>44960</v>
      </c>
      <c r="C1485" s="1" t="n">
        <v>45291</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6702-2023</t>
        </is>
      </c>
      <c r="B1486" s="1" t="n">
        <v>44960</v>
      </c>
      <c r="C1486" s="1" t="n">
        <v>45291</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6715-2023</t>
        </is>
      </c>
      <c r="B1487" s="1" t="n">
        <v>44960</v>
      </c>
      <c r="C1487" s="1" t="n">
        <v>45291</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6711-2023</t>
        </is>
      </c>
      <c r="B1488" s="1" t="n">
        <v>44960</v>
      </c>
      <c r="C1488" s="1" t="n">
        <v>45291</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6713-2023</t>
        </is>
      </c>
      <c r="B1489" s="1" t="n">
        <v>44960</v>
      </c>
      <c r="C1489" s="1" t="n">
        <v>45291</v>
      </c>
      <c r="D1489" t="inlineStr">
        <is>
          <t>VÄRMLANDS LÄN</t>
        </is>
      </c>
      <c r="E1489" t="inlineStr">
        <is>
          <t>TORSBY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5830-2023</t>
        </is>
      </c>
      <c r="B1490" s="1" t="n">
        <v>44963</v>
      </c>
      <c r="C1490" s="1" t="n">
        <v>45291</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5763-2023</t>
        </is>
      </c>
      <c r="B1491" s="1" t="n">
        <v>44963</v>
      </c>
      <c r="C1491" s="1" t="n">
        <v>45291</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6863-2023</t>
        </is>
      </c>
      <c r="B1492" s="1" t="n">
        <v>44964</v>
      </c>
      <c r="C1492" s="1" t="n">
        <v>45291</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7283-2023</t>
        </is>
      </c>
      <c r="B1493" s="1" t="n">
        <v>44970</v>
      </c>
      <c r="C1493" s="1" t="n">
        <v>45291</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7127-2023</t>
        </is>
      </c>
      <c r="B1494" s="1" t="n">
        <v>44970</v>
      </c>
      <c r="C1494" s="1" t="n">
        <v>45291</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7133-2023</t>
        </is>
      </c>
      <c r="B1495" s="1" t="n">
        <v>44970</v>
      </c>
      <c r="C1495" s="1" t="n">
        <v>45291</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7405-2023</t>
        </is>
      </c>
      <c r="B1496" s="1" t="n">
        <v>44971</v>
      </c>
      <c r="C1496" s="1" t="n">
        <v>45291</v>
      </c>
      <c r="D1496" t="inlineStr">
        <is>
          <t>VÄRMLANDS LÄN</t>
        </is>
      </c>
      <c r="E1496" t="inlineStr">
        <is>
          <t>TORSBY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8194-2023</t>
        </is>
      </c>
      <c r="B1497" s="1" t="n">
        <v>44971</v>
      </c>
      <c r="C1497" s="1" t="n">
        <v>45291</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8192-2023</t>
        </is>
      </c>
      <c r="B1498" s="1" t="n">
        <v>44971</v>
      </c>
      <c r="C1498" s="1" t="n">
        <v>45291</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7745-2023</t>
        </is>
      </c>
      <c r="B1499" s="1" t="n">
        <v>44973</v>
      </c>
      <c r="C1499" s="1" t="n">
        <v>45291</v>
      </c>
      <c r="D1499" t="inlineStr">
        <is>
          <t>VÄRMLANDS LÄN</t>
        </is>
      </c>
      <c r="E1499" t="inlineStr">
        <is>
          <t>TORSBY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7753-2023</t>
        </is>
      </c>
      <c r="B1500" s="1" t="n">
        <v>44973</v>
      </c>
      <c r="C1500" s="1" t="n">
        <v>45291</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8016-2023</t>
        </is>
      </c>
      <c r="B1501" s="1" t="n">
        <v>44973</v>
      </c>
      <c r="C1501" s="1" t="n">
        <v>45291</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8910-2023</t>
        </is>
      </c>
      <c r="B1502" s="1" t="n">
        <v>44973</v>
      </c>
      <c r="C1502" s="1" t="n">
        <v>45291</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8012-2023</t>
        </is>
      </c>
      <c r="B1503" s="1" t="n">
        <v>44973</v>
      </c>
      <c r="C1503" s="1" t="n">
        <v>45291</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8284-2023</t>
        </is>
      </c>
      <c r="B1504" s="1" t="n">
        <v>44974</v>
      </c>
      <c r="C1504" s="1" t="n">
        <v>45291</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8281-2023</t>
        </is>
      </c>
      <c r="B1505" s="1" t="n">
        <v>44974</v>
      </c>
      <c r="C1505" s="1" t="n">
        <v>45291</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8287-2023</t>
        </is>
      </c>
      <c r="B1506" s="1" t="n">
        <v>44974</v>
      </c>
      <c r="C1506" s="1" t="n">
        <v>45291</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8931-2023</t>
        </is>
      </c>
      <c r="B1507" s="1" t="n">
        <v>44974</v>
      </c>
      <c r="C1507" s="1" t="n">
        <v>45291</v>
      </c>
      <c r="D1507" t="inlineStr">
        <is>
          <t>VÄRMLANDS LÄN</t>
        </is>
      </c>
      <c r="E1507" t="inlineStr">
        <is>
          <t>TORSBY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8928-2023</t>
        </is>
      </c>
      <c r="B1508" s="1" t="n">
        <v>44974</v>
      </c>
      <c r="C1508" s="1" t="n">
        <v>45291</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8447-2023</t>
        </is>
      </c>
      <c r="B1509" s="1" t="n">
        <v>44977</v>
      </c>
      <c r="C1509" s="1" t="n">
        <v>45291</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9453-2023</t>
        </is>
      </c>
      <c r="B1510" s="1" t="n">
        <v>44977</v>
      </c>
      <c r="C1510" s="1" t="n">
        <v>45291</v>
      </c>
      <c r="D1510" t="inlineStr">
        <is>
          <t>VÄRMLANDS LÄN</t>
        </is>
      </c>
      <c r="E1510" t="inlineStr">
        <is>
          <t>TORSBY</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8819-2023</t>
        </is>
      </c>
      <c r="B1511" s="1" t="n">
        <v>44978</v>
      </c>
      <c r="C1511" s="1" t="n">
        <v>45291</v>
      </c>
      <c r="D1511" t="inlineStr">
        <is>
          <t>VÄRMLANDS LÄN</t>
        </is>
      </c>
      <c r="E1511" t="inlineStr">
        <is>
          <t>TORSBY</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9067-2023</t>
        </is>
      </c>
      <c r="B1512" s="1" t="n">
        <v>44979</v>
      </c>
      <c r="C1512" s="1" t="n">
        <v>45291</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9056-2023</t>
        </is>
      </c>
      <c r="B1513" s="1" t="n">
        <v>44979</v>
      </c>
      <c r="C1513" s="1" t="n">
        <v>45291</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10027-2023</t>
        </is>
      </c>
      <c r="B1514" s="1" t="n">
        <v>44979</v>
      </c>
      <c r="C1514" s="1" t="n">
        <v>45291</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10033-2023</t>
        </is>
      </c>
      <c r="B1515" s="1" t="n">
        <v>44979</v>
      </c>
      <c r="C1515" s="1" t="n">
        <v>45291</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10024-2023</t>
        </is>
      </c>
      <c r="B1516" s="1" t="n">
        <v>44979</v>
      </c>
      <c r="C1516" s="1" t="n">
        <v>45291</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9327-2023</t>
        </is>
      </c>
      <c r="B1517" s="1" t="n">
        <v>44980</v>
      </c>
      <c r="C1517" s="1" t="n">
        <v>45291</v>
      </c>
      <c r="D1517" t="inlineStr">
        <is>
          <t>VÄRMLANDS LÄN</t>
        </is>
      </c>
      <c r="E1517" t="inlineStr">
        <is>
          <t>TORSBY</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10479-2023</t>
        </is>
      </c>
      <c r="B1518" s="1" t="n">
        <v>44981</v>
      </c>
      <c r="C1518" s="1" t="n">
        <v>45291</v>
      </c>
      <c r="D1518" t="inlineStr">
        <is>
          <t>VÄRMLANDS LÄN</t>
        </is>
      </c>
      <c r="E1518" t="inlineStr">
        <is>
          <t>TORSBY</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10473-2023</t>
        </is>
      </c>
      <c r="B1519" s="1" t="n">
        <v>44981</v>
      </c>
      <c r="C1519" s="1" t="n">
        <v>45291</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10471-2023</t>
        </is>
      </c>
      <c r="B1520" s="1" t="n">
        <v>44981</v>
      </c>
      <c r="C1520" s="1" t="n">
        <v>45291</v>
      </c>
      <c r="D1520" t="inlineStr">
        <is>
          <t>VÄRMLANDS LÄN</t>
        </is>
      </c>
      <c r="E1520" t="inlineStr">
        <is>
          <t>TORSBY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9575-2023</t>
        </is>
      </c>
      <c r="B1521" s="1" t="n">
        <v>44982</v>
      </c>
      <c r="C1521" s="1" t="n">
        <v>45291</v>
      </c>
      <c r="D1521" t="inlineStr">
        <is>
          <t>VÄRMLANDS LÄN</t>
        </is>
      </c>
      <c r="E1521" t="inlineStr">
        <is>
          <t>TORSBY</t>
        </is>
      </c>
      <c r="F1521" t="inlineStr">
        <is>
          <t>Övriga statliga verk och myndigheter</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9574-2023</t>
        </is>
      </c>
      <c r="B1522" s="1" t="n">
        <v>44982</v>
      </c>
      <c r="C1522" s="1" t="n">
        <v>45291</v>
      </c>
      <c r="D1522" t="inlineStr">
        <is>
          <t>VÄRMLANDS LÄN</t>
        </is>
      </c>
      <c r="E1522" t="inlineStr">
        <is>
          <t>TORSBY</t>
        </is>
      </c>
      <c r="F1522" t="inlineStr">
        <is>
          <t>Övriga statliga verk och myndigheter</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9578-2023</t>
        </is>
      </c>
      <c r="B1523" s="1" t="n">
        <v>44982</v>
      </c>
      <c r="C1523" s="1" t="n">
        <v>45291</v>
      </c>
      <c r="D1523" t="inlineStr">
        <is>
          <t>VÄRMLANDS LÄN</t>
        </is>
      </c>
      <c r="E1523" t="inlineStr">
        <is>
          <t>TORSBY</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10888-2023</t>
        </is>
      </c>
      <c r="B1524" s="1" t="n">
        <v>44985</v>
      </c>
      <c r="C1524" s="1" t="n">
        <v>45291</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10155-2023</t>
        </is>
      </c>
      <c r="B1525" s="1" t="n">
        <v>44986</v>
      </c>
      <c r="C1525" s="1" t="n">
        <v>45291</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10218-2023</t>
        </is>
      </c>
      <c r="B1526" s="1" t="n">
        <v>44986</v>
      </c>
      <c r="C1526" s="1" t="n">
        <v>45291</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10228-2023</t>
        </is>
      </c>
      <c r="B1527" s="1" t="n">
        <v>44986</v>
      </c>
      <c r="C1527" s="1" t="n">
        <v>45291</v>
      </c>
      <c r="D1527" t="inlineStr">
        <is>
          <t>VÄRMLANDS LÄN</t>
        </is>
      </c>
      <c r="E1527" t="inlineStr">
        <is>
          <t>TORSBY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10662-2023</t>
        </is>
      </c>
      <c r="B1528" s="1" t="n">
        <v>44988</v>
      </c>
      <c r="C1528" s="1" t="n">
        <v>45291</v>
      </c>
      <c r="D1528" t="inlineStr">
        <is>
          <t>VÄRMLANDS LÄN</t>
        </is>
      </c>
      <c r="E1528" t="inlineStr">
        <is>
          <t>TORSBY</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10583-2023</t>
        </is>
      </c>
      <c r="B1529" s="1" t="n">
        <v>44988</v>
      </c>
      <c r="C1529" s="1" t="n">
        <v>45291</v>
      </c>
      <c r="D1529" t="inlineStr">
        <is>
          <t>VÄRMLANDS LÄN</t>
        </is>
      </c>
      <c r="E1529" t="inlineStr">
        <is>
          <t>TORSBY</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10666-2023</t>
        </is>
      </c>
      <c r="B1530" s="1" t="n">
        <v>44988</v>
      </c>
      <c r="C1530" s="1" t="n">
        <v>45291</v>
      </c>
      <c r="D1530" t="inlineStr">
        <is>
          <t>VÄRMLANDS LÄN</t>
        </is>
      </c>
      <c r="E1530" t="inlineStr">
        <is>
          <t>TORSBY</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10698-2023</t>
        </is>
      </c>
      <c r="B1531" s="1" t="n">
        <v>44988</v>
      </c>
      <c r="C1531" s="1" t="n">
        <v>45291</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11364-2023</t>
        </is>
      </c>
      <c r="B1532" s="1" t="n">
        <v>44993</v>
      </c>
      <c r="C1532" s="1" t="n">
        <v>45291</v>
      </c>
      <c r="D1532" t="inlineStr">
        <is>
          <t>VÄRMLANDS LÄN</t>
        </is>
      </c>
      <c r="E1532" t="inlineStr">
        <is>
          <t>TORSBY</t>
        </is>
      </c>
      <c r="G1532" t="n">
        <v>31.9</v>
      </c>
      <c r="H1532" t="n">
        <v>0</v>
      </c>
      <c r="I1532" t="n">
        <v>0</v>
      </c>
      <c r="J1532" t="n">
        <v>0</v>
      </c>
      <c r="K1532" t="n">
        <v>0</v>
      </c>
      <c r="L1532" t="n">
        <v>0</v>
      </c>
      <c r="M1532" t="n">
        <v>0</v>
      </c>
      <c r="N1532" t="n">
        <v>0</v>
      </c>
      <c r="O1532" t="n">
        <v>0</v>
      </c>
      <c r="P1532" t="n">
        <v>0</v>
      </c>
      <c r="Q1532" t="n">
        <v>0</v>
      </c>
      <c r="R1532" s="2" t="inlineStr"/>
    </row>
    <row r="1533" ht="15" customHeight="1">
      <c r="A1533" t="inlineStr">
        <is>
          <t>A 11366-2023</t>
        </is>
      </c>
      <c r="B1533" s="1" t="n">
        <v>44993</v>
      </c>
      <c r="C1533" s="1" t="n">
        <v>45291</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12441-2023</t>
        </is>
      </c>
      <c r="B1534" s="1" t="n">
        <v>44999</v>
      </c>
      <c r="C1534" s="1" t="n">
        <v>45291</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12453-2023</t>
        </is>
      </c>
      <c r="B1535" s="1" t="n">
        <v>44999</v>
      </c>
      <c r="C1535" s="1" t="n">
        <v>45291</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12458-2023</t>
        </is>
      </c>
      <c r="B1536" s="1" t="n">
        <v>44999</v>
      </c>
      <c r="C1536" s="1" t="n">
        <v>45291</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12467-2023</t>
        </is>
      </c>
      <c r="B1537" s="1" t="n">
        <v>44999</v>
      </c>
      <c r="C1537" s="1" t="n">
        <v>45291</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12689-2023</t>
        </is>
      </c>
      <c r="B1538" s="1" t="n">
        <v>45000</v>
      </c>
      <c r="C1538" s="1" t="n">
        <v>45291</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12637-2023</t>
        </is>
      </c>
      <c r="B1539" s="1" t="n">
        <v>45000</v>
      </c>
      <c r="C1539" s="1" t="n">
        <v>45291</v>
      </c>
      <c r="D1539" t="inlineStr">
        <is>
          <t>VÄRMLANDS LÄN</t>
        </is>
      </c>
      <c r="E1539" t="inlineStr">
        <is>
          <t>TORSBY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12670-2023</t>
        </is>
      </c>
      <c r="B1540" s="1" t="n">
        <v>45000</v>
      </c>
      <c r="C1540" s="1" t="n">
        <v>45291</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12933-2023</t>
        </is>
      </c>
      <c r="B1541" s="1" t="n">
        <v>45001</v>
      </c>
      <c r="C1541" s="1" t="n">
        <v>45291</v>
      </c>
      <c r="D1541" t="inlineStr">
        <is>
          <t>VÄRMLANDS LÄN</t>
        </is>
      </c>
      <c r="E1541" t="inlineStr">
        <is>
          <t>TORSBY</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13054-2023</t>
        </is>
      </c>
      <c r="B1542" s="1" t="n">
        <v>45001</v>
      </c>
      <c r="C1542" s="1" t="n">
        <v>45291</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13048-2023</t>
        </is>
      </c>
      <c r="B1543" s="1" t="n">
        <v>45001</v>
      </c>
      <c r="C1543" s="1" t="n">
        <v>45291</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12968-2023</t>
        </is>
      </c>
      <c r="B1544" s="1" t="n">
        <v>45001</v>
      </c>
      <c r="C1544" s="1" t="n">
        <v>45291</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13791-2023</t>
        </is>
      </c>
      <c r="B1545" s="1" t="n">
        <v>45005</v>
      </c>
      <c r="C1545" s="1" t="n">
        <v>45291</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13561-2023</t>
        </is>
      </c>
      <c r="B1546" s="1" t="n">
        <v>45006</v>
      </c>
      <c r="C1546" s="1" t="n">
        <v>45291</v>
      </c>
      <c r="D1546" t="inlineStr">
        <is>
          <t>VÄRMLANDS LÄN</t>
        </is>
      </c>
      <c r="E1546" t="inlineStr">
        <is>
          <t>TORSBY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13586-2023</t>
        </is>
      </c>
      <c r="B1547" s="1" t="n">
        <v>45006</v>
      </c>
      <c r="C1547" s="1" t="n">
        <v>45291</v>
      </c>
      <c r="D1547" t="inlineStr">
        <is>
          <t>VÄRMLANDS LÄN</t>
        </is>
      </c>
      <c r="E1547" t="inlineStr">
        <is>
          <t>TORSBY</t>
        </is>
      </c>
      <c r="F1547" t="inlineStr">
        <is>
          <t>Kommuner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13785-2023</t>
        </is>
      </c>
      <c r="B1548" s="1" t="n">
        <v>45007</v>
      </c>
      <c r="C1548" s="1" t="n">
        <v>45291</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13723-2023</t>
        </is>
      </c>
      <c r="B1549" s="1" t="n">
        <v>45007</v>
      </c>
      <c r="C1549" s="1" t="n">
        <v>45291</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14293-2023</t>
        </is>
      </c>
      <c r="B1550" s="1" t="n">
        <v>45011</v>
      </c>
      <c r="C1550" s="1" t="n">
        <v>45291</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14304-2023</t>
        </is>
      </c>
      <c r="B1551" s="1" t="n">
        <v>45011</v>
      </c>
      <c r="C1551" s="1" t="n">
        <v>45291</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14303-2023</t>
        </is>
      </c>
      <c r="B1552" s="1" t="n">
        <v>45011</v>
      </c>
      <c r="C1552" s="1" t="n">
        <v>45291</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14292-2023</t>
        </is>
      </c>
      <c r="B1553" s="1" t="n">
        <v>45011</v>
      </c>
      <c r="C1553" s="1" t="n">
        <v>45291</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14592-2023</t>
        </is>
      </c>
      <c r="B1554" s="1" t="n">
        <v>45013</v>
      </c>
      <c r="C1554" s="1" t="n">
        <v>45291</v>
      </c>
      <c r="D1554" t="inlineStr">
        <is>
          <t>VÄRMLANDS LÄN</t>
        </is>
      </c>
      <c r="E1554" t="inlineStr">
        <is>
          <t>TORSBY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14581-2023</t>
        </is>
      </c>
      <c r="B1555" s="1" t="n">
        <v>45013</v>
      </c>
      <c r="C1555" s="1" t="n">
        <v>45291</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14624-2023</t>
        </is>
      </c>
      <c r="B1556" s="1" t="n">
        <v>45013</v>
      </c>
      <c r="C1556" s="1" t="n">
        <v>45291</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14709-2023</t>
        </is>
      </c>
      <c r="B1557" s="1" t="n">
        <v>45014</v>
      </c>
      <c r="C1557" s="1" t="n">
        <v>45291</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14945-2023</t>
        </is>
      </c>
      <c r="B1558" s="1" t="n">
        <v>45014</v>
      </c>
      <c r="C1558" s="1" t="n">
        <v>45291</v>
      </c>
      <c r="D1558" t="inlineStr">
        <is>
          <t>VÄRMLANDS LÄN</t>
        </is>
      </c>
      <c r="E1558" t="inlineStr">
        <is>
          <t>TORSBY</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14917-2023</t>
        </is>
      </c>
      <c r="B1559" s="1" t="n">
        <v>45015</v>
      </c>
      <c r="C1559" s="1" t="n">
        <v>45291</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15085-2023</t>
        </is>
      </c>
      <c r="B1560" s="1" t="n">
        <v>45016</v>
      </c>
      <c r="C1560" s="1" t="n">
        <v>45291</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15087-2023</t>
        </is>
      </c>
      <c r="B1561" s="1" t="n">
        <v>45016</v>
      </c>
      <c r="C1561" s="1" t="n">
        <v>45291</v>
      </c>
      <c r="D1561" t="inlineStr">
        <is>
          <t>VÄRMLANDS LÄN</t>
        </is>
      </c>
      <c r="E1561" t="inlineStr">
        <is>
          <t>TORSBY</t>
        </is>
      </c>
      <c r="F1561" t="inlineStr">
        <is>
          <t>Bergvik skog väst AB</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15413-2023</t>
        </is>
      </c>
      <c r="B1562" s="1" t="n">
        <v>45019</v>
      </c>
      <c r="C1562" s="1" t="n">
        <v>45291</v>
      </c>
      <c r="D1562" t="inlineStr">
        <is>
          <t>VÄRMLANDS LÄN</t>
        </is>
      </c>
      <c r="E1562" t="inlineStr">
        <is>
          <t>TORSBY</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15450-2023</t>
        </is>
      </c>
      <c r="B1563" s="1" t="n">
        <v>45020</v>
      </c>
      <c r="C1563" s="1" t="n">
        <v>45291</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15488-2023</t>
        </is>
      </c>
      <c r="B1564" s="1" t="n">
        <v>45020</v>
      </c>
      <c r="C1564" s="1" t="n">
        <v>45291</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15773-2023</t>
        </is>
      </c>
      <c r="B1565" s="1" t="n">
        <v>45021</v>
      </c>
      <c r="C1565" s="1" t="n">
        <v>45291</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16093-2023</t>
        </is>
      </c>
      <c r="B1566" s="1" t="n">
        <v>45021</v>
      </c>
      <c r="C1566" s="1" t="n">
        <v>45291</v>
      </c>
      <c r="D1566" t="inlineStr">
        <is>
          <t>VÄRMLANDS LÄN</t>
        </is>
      </c>
      <c r="E1566" t="inlineStr">
        <is>
          <t>TORSBY</t>
        </is>
      </c>
      <c r="F1566" t="inlineStr">
        <is>
          <t>Övriga statliga verk och myndigheter</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16121-2023</t>
        </is>
      </c>
      <c r="B1567" s="1" t="n">
        <v>45022</v>
      </c>
      <c r="C1567" s="1" t="n">
        <v>45291</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16416-2023</t>
        </is>
      </c>
      <c r="B1568" s="1" t="n">
        <v>45022</v>
      </c>
      <c r="C1568" s="1" t="n">
        <v>45291</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16433-2023</t>
        </is>
      </c>
      <c r="B1569" s="1" t="n">
        <v>45022</v>
      </c>
      <c r="C1569" s="1" t="n">
        <v>45291</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16427-2023</t>
        </is>
      </c>
      <c r="B1570" s="1" t="n">
        <v>45022</v>
      </c>
      <c r="C1570" s="1" t="n">
        <v>45291</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15992-2023</t>
        </is>
      </c>
      <c r="B1571" s="1" t="n">
        <v>45023</v>
      </c>
      <c r="C1571" s="1" t="n">
        <v>45291</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16044-2023</t>
        </is>
      </c>
      <c r="B1572" s="1" t="n">
        <v>45027</v>
      </c>
      <c r="C1572" s="1" t="n">
        <v>45291</v>
      </c>
      <c r="D1572" t="inlineStr">
        <is>
          <t>VÄRMLANDS LÄN</t>
        </is>
      </c>
      <c r="E1572" t="inlineStr">
        <is>
          <t>TORSBY</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16309-2023</t>
        </is>
      </c>
      <c r="B1573" s="1" t="n">
        <v>45028</v>
      </c>
      <c r="C1573" s="1" t="n">
        <v>45291</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16313-2023</t>
        </is>
      </c>
      <c r="B1574" s="1" t="n">
        <v>45028</v>
      </c>
      <c r="C1574" s="1" t="n">
        <v>45291</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16317-2023</t>
        </is>
      </c>
      <c r="B1575" s="1" t="n">
        <v>45028</v>
      </c>
      <c r="C1575" s="1" t="n">
        <v>45291</v>
      </c>
      <c r="D1575" t="inlineStr">
        <is>
          <t>VÄRMLANDS LÄN</t>
        </is>
      </c>
      <c r="E1575" t="inlineStr">
        <is>
          <t>TORSBY</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16919-2023</t>
        </is>
      </c>
      <c r="B1576" s="1" t="n">
        <v>45033</v>
      </c>
      <c r="C1576" s="1" t="n">
        <v>45291</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16945-2023</t>
        </is>
      </c>
      <c r="B1577" s="1" t="n">
        <v>45033</v>
      </c>
      <c r="C1577" s="1" t="n">
        <v>45291</v>
      </c>
      <c r="D1577" t="inlineStr">
        <is>
          <t>VÄRMLANDS LÄN</t>
        </is>
      </c>
      <c r="E1577" t="inlineStr">
        <is>
          <t>TORSBY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16943-2023</t>
        </is>
      </c>
      <c r="B1578" s="1" t="n">
        <v>45033</v>
      </c>
      <c r="C1578" s="1" t="n">
        <v>45291</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17184-2023</t>
        </is>
      </c>
      <c r="B1579" s="1" t="n">
        <v>45034</v>
      </c>
      <c r="C1579" s="1" t="n">
        <v>45291</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17188-2023</t>
        </is>
      </c>
      <c r="B1580" s="1" t="n">
        <v>45034</v>
      </c>
      <c r="C1580" s="1" t="n">
        <v>45291</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17554-2023</t>
        </is>
      </c>
      <c r="B1581" s="1" t="n">
        <v>45034</v>
      </c>
      <c r="C1581" s="1" t="n">
        <v>45291</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17300-2023</t>
        </is>
      </c>
      <c r="B1582" s="1" t="n">
        <v>45035</v>
      </c>
      <c r="C1582" s="1" t="n">
        <v>45291</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17322-2023</t>
        </is>
      </c>
      <c r="B1583" s="1" t="n">
        <v>45035</v>
      </c>
      <c r="C1583" s="1" t="n">
        <v>45291</v>
      </c>
      <c r="D1583" t="inlineStr">
        <is>
          <t>VÄRMLANDS LÄN</t>
        </is>
      </c>
      <c r="E1583" t="inlineStr">
        <is>
          <t>TORSBY</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17328-2023</t>
        </is>
      </c>
      <c r="B1584" s="1" t="n">
        <v>45035</v>
      </c>
      <c r="C1584" s="1" t="n">
        <v>45291</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17548-2023</t>
        </is>
      </c>
      <c r="B1585" s="1" t="n">
        <v>45036</v>
      </c>
      <c r="C1585" s="1" t="n">
        <v>45291</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17488-2023</t>
        </is>
      </c>
      <c r="B1586" s="1" t="n">
        <v>45036</v>
      </c>
      <c r="C1586" s="1" t="n">
        <v>45291</v>
      </c>
      <c r="D1586" t="inlineStr">
        <is>
          <t>VÄRMLANDS LÄN</t>
        </is>
      </c>
      <c r="E1586" t="inlineStr">
        <is>
          <t>TORSBY</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17546-2023</t>
        </is>
      </c>
      <c r="B1587" s="1" t="n">
        <v>45036</v>
      </c>
      <c r="C1587" s="1" t="n">
        <v>45291</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17898-2023</t>
        </is>
      </c>
      <c r="B1588" s="1" t="n">
        <v>45039</v>
      </c>
      <c r="C1588" s="1" t="n">
        <v>45291</v>
      </c>
      <c r="D1588" t="inlineStr">
        <is>
          <t>VÄRMLANDS LÄN</t>
        </is>
      </c>
      <c r="E1588" t="inlineStr">
        <is>
          <t>TORSBY</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17897-2023</t>
        </is>
      </c>
      <c r="B1589" s="1" t="n">
        <v>45039</v>
      </c>
      <c r="C1589" s="1" t="n">
        <v>45291</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18244-2023</t>
        </is>
      </c>
      <c r="B1590" s="1" t="n">
        <v>45041</v>
      </c>
      <c r="C1590" s="1" t="n">
        <v>45291</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18338-2023</t>
        </is>
      </c>
      <c r="B1591" s="1" t="n">
        <v>45041</v>
      </c>
      <c r="C1591" s="1" t="n">
        <v>45291</v>
      </c>
      <c r="D1591" t="inlineStr">
        <is>
          <t>VÄRMLANDS LÄN</t>
        </is>
      </c>
      <c r="E1591" t="inlineStr">
        <is>
          <t>TORSBY</t>
        </is>
      </c>
      <c r="F1591" t="inlineStr">
        <is>
          <t>Bergvik skog väst AB</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18544-2023</t>
        </is>
      </c>
      <c r="B1592" s="1" t="n">
        <v>45041</v>
      </c>
      <c r="C1592" s="1" t="n">
        <v>45291</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18411-2023</t>
        </is>
      </c>
      <c r="B1593" s="1" t="n">
        <v>45042</v>
      </c>
      <c r="C1593" s="1" t="n">
        <v>45291</v>
      </c>
      <c r="D1593" t="inlineStr">
        <is>
          <t>VÄRMLANDS LÄN</t>
        </is>
      </c>
      <c r="E1593" t="inlineStr">
        <is>
          <t>TORSBY</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18621-2023</t>
        </is>
      </c>
      <c r="B1594" s="1" t="n">
        <v>45043</v>
      </c>
      <c r="C1594" s="1" t="n">
        <v>45291</v>
      </c>
      <c r="D1594" t="inlineStr">
        <is>
          <t>VÄRMLANDS LÄN</t>
        </is>
      </c>
      <c r="E1594" t="inlineStr">
        <is>
          <t>TORSBY</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18675-2023</t>
        </is>
      </c>
      <c r="B1595" s="1" t="n">
        <v>45043</v>
      </c>
      <c r="C1595" s="1" t="n">
        <v>45291</v>
      </c>
      <c r="D1595" t="inlineStr">
        <is>
          <t>VÄRMLANDS LÄN</t>
        </is>
      </c>
      <c r="E1595" t="inlineStr">
        <is>
          <t>TORSBY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18876-2023</t>
        </is>
      </c>
      <c r="B1596" s="1" t="n">
        <v>45044</v>
      </c>
      <c r="C1596" s="1" t="n">
        <v>45291</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19042-2023</t>
        </is>
      </c>
      <c r="B1597" s="1" t="n">
        <v>45047</v>
      </c>
      <c r="C1597" s="1" t="n">
        <v>45291</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19527-2023</t>
        </is>
      </c>
      <c r="B1598" s="1" t="n">
        <v>45050</v>
      </c>
      <c r="C1598" s="1" t="n">
        <v>45291</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19675-2023</t>
        </is>
      </c>
      <c r="B1599" s="1" t="n">
        <v>45051</v>
      </c>
      <c r="C1599" s="1" t="n">
        <v>45291</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19714-2023</t>
        </is>
      </c>
      <c r="B1600" s="1" t="n">
        <v>45051</v>
      </c>
      <c r="C1600" s="1" t="n">
        <v>45291</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19998-2023</t>
        </is>
      </c>
      <c r="B1601" s="1" t="n">
        <v>45054</v>
      </c>
      <c r="C1601" s="1" t="n">
        <v>45291</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20130-2023</t>
        </is>
      </c>
      <c r="B1602" s="1" t="n">
        <v>45055</v>
      </c>
      <c r="C1602" s="1" t="n">
        <v>45291</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20107-2023</t>
        </is>
      </c>
      <c r="B1603" s="1" t="n">
        <v>45055</v>
      </c>
      <c r="C1603" s="1" t="n">
        <v>45291</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20120-2023</t>
        </is>
      </c>
      <c r="B1604" s="1" t="n">
        <v>45055</v>
      </c>
      <c r="C1604" s="1" t="n">
        <v>45291</v>
      </c>
      <c r="D1604" t="inlineStr">
        <is>
          <t>VÄRMLANDS LÄN</t>
        </is>
      </c>
      <c r="E1604" t="inlineStr">
        <is>
          <t>TORSBY</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20127-2023</t>
        </is>
      </c>
      <c r="B1605" s="1" t="n">
        <v>45055</v>
      </c>
      <c r="C1605" s="1" t="n">
        <v>45291</v>
      </c>
      <c r="D1605" t="inlineStr">
        <is>
          <t>VÄRMLANDS LÄN</t>
        </is>
      </c>
      <c r="E1605" t="inlineStr">
        <is>
          <t>TORSBY</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20805-2023</t>
        </is>
      </c>
      <c r="B1606" s="1" t="n">
        <v>45055</v>
      </c>
      <c r="C1606" s="1" t="n">
        <v>45291</v>
      </c>
      <c r="D1606" t="inlineStr">
        <is>
          <t>VÄRMLANDS LÄN</t>
        </is>
      </c>
      <c r="E1606" t="inlineStr">
        <is>
          <t>TORSBY</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20293-2023</t>
        </is>
      </c>
      <c r="B1607" s="1" t="n">
        <v>45056</v>
      </c>
      <c r="C1607" s="1" t="n">
        <v>45291</v>
      </c>
      <c r="D1607" t="inlineStr">
        <is>
          <t>VÄRMLANDS LÄN</t>
        </is>
      </c>
      <c r="E1607" t="inlineStr">
        <is>
          <t>TORSBY</t>
        </is>
      </c>
      <c r="F1607" t="inlineStr">
        <is>
          <t>Kyrkan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20321-2023</t>
        </is>
      </c>
      <c r="B1608" s="1" t="n">
        <v>45056</v>
      </c>
      <c r="C1608" s="1" t="n">
        <v>45291</v>
      </c>
      <c r="D1608" t="inlineStr">
        <is>
          <t>VÄRMLANDS LÄN</t>
        </is>
      </c>
      <c r="E1608" t="inlineStr">
        <is>
          <t>TORSBY</t>
        </is>
      </c>
      <c r="F1608" t="inlineStr">
        <is>
          <t>Kyrkan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20393-2023</t>
        </is>
      </c>
      <c r="B1609" s="1" t="n">
        <v>45056</v>
      </c>
      <c r="C1609" s="1" t="n">
        <v>45291</v>
      </c>
      <c r="D1609" t="inlineStr">
        <is>
          <t>VÄRMLANDS LÄN</t>
        </is>
      </c>
      <c r="E1609" t="inlineStr">
        <is>
          <t>TORSBY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20298-2023</t>
        </is>
      </c>
      <c r="B1610" s="1" t="n">
        <v>45056</v>
      </c>
      <c r="C1610" s="1" t="n">
        <v>45291</v>
      </c>
      <c r="D1610" t="inlineStr">
        <is>
          <t>VÄRMLANDS LÄN</t>
        </is>
      </c>
      <c r="E1610" t="inlineStr">
        <is>
          <t>TORSBY</t>
        </is>
      </c>
      <c r="F1610" t="inlineStr">
        <is>
          <t>Kyrkan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20847-2023</t>
        </is>
      </c>
      <c r="B1611" s="1" t="n">
        <v>45056</v>
      </c>
      <c r="C1611" s="1" t="n">
        <v>45291</v>
      </c>
      <c r="D1611" t="inlineStr">
        <is>
          <t>VÄRMLANDS LÄN</t>
        </is>
      </c>
      <c r="E1611" t="inlineStr">
        <is>
          <t>TORSBY</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20528-2023</t>
        </is>
      </c>
      <c r="B1612" s="1" t="n">
        <v>45057</v>
      </c>
      <c r="C1612" s="1" t="n">
        <v>45291</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20757-2023</t>
        </is>
      </c>
      <c r="B1613" s="1" t="n">
        <v>45058</v>
      </c>
      <c r="C1613" s="1" t="n">
        <v>45291</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20831-2023</t>
        </is>
      </c>
      <c r="B1614" s="1" t="n">
        <v>45058</v>
      </c>
      <c r="C1614" s="1" t="n">
        <v>45291</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20648-2023</t>
        </is>
      </c>
      <c r="B1615" s="1" t="n">
        <v>45058</v>
      </c>
      <c r="C1615" s="1" t="n">
        <v>45291</v>
      </c>
      <c r="D1615" t="inlineStr">
        <is>
          <t>VÄRMLANDS LÄN</t>
        </is>
      </c>
      <c r="E1615" t="inlineStr">
        <is>
          <t>TORSBY</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20740-2023</t>
        </is>
      </c>
      <c r="B1616" s="1" t="n">
        <v>45058</v>
      </c>
      <c r="C1616" s="1" t="n">
        <v>45291</v>
      </c>
      <c r="D1616" t="inlineStr">
        <is>
          <t>VÄRMLANDS LÄN</t>
        </is>
      </c>
      <c r="E1616" t="inlineStr">
        <is>
          <t>TORSBY</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20737-2023</t>
        </is>
      </c>
      <c r="B1617" s="1" t="n">
        <v>45058</v>
      </c>
      <c r="C1617" s="1" t="n">
        <v>45291</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20829-2023</t>
        </is>
      </c>
      <c r="B1618" s="1" t="n">
        <v>45058</v>
      </c>
      <c r="C1618" s="1" t="n">
        <v>45291</v>
      </c>
      <c r="D1618" t="inlineStr">
        <is>
          <t>VÄRMLANDS LÄN</t>
        </is>
      </c>
      <c r="E1618" t="inlineStr">
        <is>
          <t>TORSBY</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20830-2023</t>
        </is>
      </c>
      <c r="B1619" s="1" t="n">
        <v>45058</v>
      </c>
      <c r="C1619" s="1" t="n">
        <v>45291</v>
      </c>
      <c r="D1619" t="inlineStr">
        <is>
          <t>VÄRMLANDS LÄN</t>
        </is>
      </c>
      <c r="E1619" t="inlineStr">
        <is>
          <t>TORSBY</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20679-2023</t>
        </is>
      </c>
      <c r="B1620" s="1" t="n">
        <v>45058</v>
      </c>
      <c r="C1620" s="1" t="n">
        <v>45291</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20721-2023</t>
        </is>
      </c>
      <c r="B1621" s="1" t="n">
        <v>45058</v>
      </c>
      <c r="C1621" s="1" t="n">
        <v>45291</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20733-2023</t>
        </is>
      </c>
      <c r="B1622" s="1" t="n">
        <v>45058</v>
      </c>
      <c r="C1622" s="1" t="n">
        <v>45291</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20745-2023</t>
        </is>
      </c>
      <c r="B1623" s="1" t="n">
        <v>45058</v>
      </c>
      <c r="C1623" s="1" t="n">
        <v>45291</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21258-2023</t>
        </is>
      </c>
      <c r="B1624" s="1" t="n">
        <v>45058</v>
      </c>
      <c r="C1624" s="1" t="n">
        <v>45291</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21255-2023</t>
        </is>
      </c>
      <c r="B1625" s="1" t="n">
        <v>45058</v>
      </c>
      <c r="C1625" s="1" t="n">
        <v>45291</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20898-2023</t>
        </is>
      </c>
      <c r="B1626" s="1" t="n">
        <v>45059</v>
      </c>
      <c r="C1626" s="1" t="n">
        <v>45291</v>
      </c>
      <c r="D1626" t="inlineStr">
        <is>
          <t>VÄRMLANDS LÄN</t>
        </is>
      </c>
      <c r="E1626" t="inlineStr">
        <is>
          <t>TORSBY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21076-2023</t>
        </is>
      </c>
      <c r="B1627" s="1" t="n">
        <v>45061</v>
      </c>
      <c r="C1627" s="1" t="n">
        <v>45291</v>
      </c>
      <c r="D1627" t="inlineStr">
        <is>
          <t>VÄRMLANDS LÄN</t>
        </is>
      </c>
      <c r="E1627" t="inlineStr">
        <is>
          <t>TORSBY</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21033-2023</t>
        </is>
      </c>
      <c r="B1628" s="1" t="n">
        <v>45061</v>
      </c>
      <c r="C1628" s="1" t="n">
        <v>45291</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21078-2023</t>
        </is>
      </c>
      <c r="B1629" s="1" t="n">
        <v>45061</v>
      </c>
      <c r="C1629" s="1" t="n">
        <v>45291</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21158-2023</t>
        </is>
      </c>
      <c r="B1630" s="1" t="n">
        <v>45062</v>
      </c>
      <c r="C1630" s="1" t="n">
        <v>45291</v>
      </c>
      <c r="D1630" t="inlineStr">
        <is>
          <t>VÄRMLANDS LÄN</t>
        </is>
      </c>
      <c r="E1630" t="inlineStr">
        <is>
          <t>TORSBY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21189-2023</t>
        </is>
      </c>
      <c r="B1631" s="1" t="n">
        <v>45062</v>
      </c>
      <c r="C1631" s="1" t="n">
        <v>45291</v>
      </c>
      <c r="D1631" t="inlineStr">
        <is>
          <t>VÄRMLANDS LÄN</t>
        </is>
      </c>
      <c r="E1631" t="inlineStr">
        <is>
          <t>TORSBY</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21154-2023</t>
        </is>
      </c>
      <c r="B1632" s="1" t="n">
        <v>45062</v>
      </c>
      <c r="C1632" s="1" t="n">
        <v>45291</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21409-2023</t>
        </is>
      </c>
      <c r="B1633" s="1" t="n">
        <v>45063</v>
      </c>
      <c r="C1633" s="1" t="n">
        <v>45291</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21365-2023</t>
        </is>
      </c>
      <c r="B1634" s="1" t="n">
        <v>45063</v>
      </c>
      <c r="C1634" s="1" t="n">
        <v>45291</v>
      </c>
      <c r="D1634" t="inlineStr">
        <is>
          <t>VÄRMLANDS LÄN</t>
        </is>
      </c>
      <c r="E1634" t="inlineStr">
        <is>
          <t>TORSBY</t>
        </is>
      </c>
      <c r="F1634" t="inlineStr">
        <is>
          <t>Kyrkan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21390-2023</t>
        </is>
      </c>
      <c r="B1635" s="1" t="n">
        <v>45063</v>
      </c>
      <c r="C1635" s="1" t="n">
        <v>45291</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21411-2023</t>
        </is>
      </c>
      <c r="B1636" s="1" t="n">
        <v>45063</v>
      </c>
      <c r="C1636" s="1" t="n">
        <v>45291</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21786-2023</t>
        </is>
      </c>
      <c r="B1637" s="1" t="n">
        <v>45066</v>
      </c>
      <c r="C1637" s="1" t="n">
        <v>45291</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21790-2023</t>
        </is>
      </c>
      <c r="B1638" s="1" t="n">
        <v>45067</v>
      </c>
      <c r="C1638" s="1" t="n">
        <v>45291</v>
      </c>
      <c r="D1638" t="inlineStr">
        <is>
          <t>VÄRMLANDS LÄN</t>
        </is>
      </c>
      <c r="E1638" t="inlineStr">
        <is>
          <t>TORSBY</t>
        </is>
      </c>
      <c r="F1638" t="inlineStr">
        <is>
          <t>Övriga statliga verk och myndigheter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21839-2023</t>
        </is>
      </c>
      <c r="B1639" s="1" t="n">
        <v>45068</v>
      </c>
      <c r="C1639" s="1" t="n">
        <v>45291</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21847-2023</t>
        </is>
      </c>
      <c r="B1640" s="1" t="n">
        <v>45068</v>
      </c>
      <c r="C1640" s="1" t="n">
        <v>45291</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21988-2023</t>
        </is>
      </c>
      <c r="B1641" s="1" t="n">
        <v>45068</v>
      </c>
      <c r="C1641" s="1" t="n">
        <v>45291</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21912-2023</t>
        </is>
      </c>
      <c r="B1642" s="1" t="n">
        <v>45068</v>
      </c>
      <c r="C1642" s="1" t="n">
        <v>45291</v>
      </c>
      <c r="D1642" t="inlineStr">
        <is>
          <t>VÄRMLANDS LÄN</t>
        </is>
      </c>
      <c r="E1642" t="inlineStr">
        <is>
          <t>TORSBY</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22089-2023</t>
        </is>
      </c>
      <c r="B1643" s="1" t="n">
        <v>45069</v>
      </c>
      <c r="C1643" s="1" t="n">
        <v>45291</v>
      </c>
      <c r="D1643" t="inlineStr">
        <is>
          <t>VÄRMLANDS LÄN</t>
        </is>
      </c>
      <c r="E1643" t="inlineStr">
        <is>
          <t>TORSBY</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22030-2023</t>
        </is>
      </c>
      <c r="B1644" s="1" t="n">
        <v>45069</v>
      </c>
      <c r="C1644" s="1" t="n">
        <v>45291</v>
      </c>
      <c r="D1644" t="inlineStr">
        <is>
          <t>VÄRMLANDS LÄN</t>
        </is>
      </c>
      <c r="E1644" t="inlineStr">
        <is>
          <t>TORSBY</t>
        </is>
      </c>
      <c r="F1644" t="inlineStr">
        <is>
          <t>Bergvik skog väst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22038-2023</t>
        </is>
      </c>
      <c r="B1645" s="1" t="n">
        <v>45069</v>
      </c>
      <c r="C1645" s="1" t="n">
        <v>45291</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22033-2023</t>
        </is>
      </c>
      <c r="B1646" s="1" t="n">
        <v>45069</v>
      </c>
      <c r="C1646" s="1" t="n">
        <v>45291</v>
      </c>
      <c r="D1646" t="inlineStr">
        <is>
          <t>VÄRMLANDS LÄN</t>
        </is>
      </c>
      <c r="E1646" t="inlineStr">
        <is>
          <t>TORSBY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22386-2023</t>
        </is>
      </c>
      <c r="B1647" s="1" t="n">
        <v>45070</v>
      </c>
      <c r="C1647" s="1" t="n">
        <v>45291</v>
      </c>
      <c r="D1647" t="inlineStr">
        <is>
          <t>VÄRMLANDS LÄN</t>
        </is>
      </c>
      <c r="E1647" t="inlineStr">
        <is>
          <t>TORSBY</t>
        </is>
      </c>
      <c r="F1647" t="inlineStr">
        <is>
          <t>Bergvik skog väst AB</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22301-2023</t>
        </is>
      </c>
      <c r="B1648" s="1" t="n">
        <v>45070</v>
      </c>
      <c r="C1648" s="1" t="n">
        <v>45291</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23073-2023</t>
        </is>
      </c>
      <c r="B1649" s="1" t="n">
        <v>45070</v>
      </c>
      <c r="C1649" s="1" t="n">
        <v>45291</v>
      </c>
      <c r="D1649" t="inlineStr">
        <is>
          <t>VÄRMLANDS LÄN</t>
        </is>
      </c>
      <c r="E1649" t="inlineStr">
        <is>
          <t>TORSBY</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22920-2023</t>
        </is>
      </c>
      <c r="B1650" s="1" t="n">
        <v>45070</v>
      </c>
      <c r="C1650" s="1" t="n">
        <v>45291</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22494-2023</t>
        </is>
      </c>
      <c r="B1651" s="1" t="n">
        <v>45071</v>
      </c>
      <c r="C1651" s="1" t="n">
        <v>45291</v>
      </c>
      <c r="D1651" t="inlineStr">
        <is>
          <t>VÄRMLANDS LÄN</t>
        </is>
      </c>
      <c r="E1651" t="inlineStr">
        <is>
          <t>TORSBY</t>
        </is>
      </c>
      <c r="F1651" t="inlineStr">
        <is>
          <t>Bergvik skog väst AB</t>
        </is>
      </c>
      <c r="G1651" t="n">
        <v>25.7</v>
      </c>
      <c r="H1651" t="n">
        <v>0</v>
      </c>
      <c r="I1651" t="n">
        <v>0</v>
      </c>
      <c r="J1651" t="n">
        <v>0</v>
      </c>
      <c r="K1651" t="n">
        <v>0</v>
      </c>
      <c r="L1651" t="n">
        <v>0</v>
      </c>
      <c r="M1651" t="n">
        <v>0</v>
      </c>
      <c r="N1651" t="n">
        <v>0</v>
      </c>
      <c r="O1651" t="n">
        <v>0</v>
      </c>
      <c r="P1651" t="n">
        <v>0</v>
      </c>
      <c r="Q1651" t="n">
        <v>0</v>
      </c>
      <c r="R1651" s="2" t="inlineStr"/>
    </row>
    <row r="1652" ht="15" customHeight="1">
      <c r="A1652" t="inlineStr">
        <is>
          <t>A 22524-2023</t>
        </is>
      </c>
      <c r="B1652" s="1" t="n">
        <v>45071</v>
      </c>
      <c r="C1652" s="1" t="n">
        <v>45291</v>
      </c>
      <c r="D1652" t="inlineStr">
        <is>
          <t>VÄRMLANDS LÄN</t>
        </is>
      </c>
      <c r="E1652" t="inlineStr">
        <is>
          <t>TORSBY</t>
        </is>
      </c>
      <c r="F1652" t="inlineStr">
        <is>
          <t>Bergvik skog väst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22587-2023</t>
        </is>
      </c>
      <c r="B1653" s="1" t="n">
        <v>45071</v>
      </c>
      <c r="C1653" s="1" t="n">
        <v>45291</v>
      </c>
      <c r="D1653" t="inlineStr">
        <is>
          <t>VÄRMLANDS LÄN</t>
        </is>
      </c>
      <c r="E1653" t="inlineStr">
        <is>
          <t>TORSBY</t>
        </is>
      </c>
      <c r="F1653" t="inlineStr">
        <is>
          <t>Bergvik skog väst AB</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22618-2023</t>
        </is>
      </c>
      <c r="B1654" s="1" t="n">
        <v>45071</v>
      </c>
      <c r="C1654" s="1" t="n">
        <v>45291</v>
      </c>
      <c r="D1654" t="inlineStr">
        <is>
          <t>VÄRMLANDS LÄN</t>
        </is>
      </c>
      <c r="E1654" t="inlineStr">
        <is>
          <t>TORSBY</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22655-2023</t>
        </is>
      </c>
      <c r="B1655" s="1" t="n">
        <v>45071</v>
      </c>
      <c r="C1655" s="1" t="n">
        <v>45291</v>
      </c>
      <c r="D1655" t="inlineStr">
        <is>
          <t>VÄRMLANDS LÄN</t>
        </is>
      </c>
      <c r="E1655" t="inlineStr">
        <is>
          <t>TORSBY</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22705-2023</t>
        </is>
      </c>
      <c r="B1656" s="1" t="n">
        <v>45071</v>
      </c>
      <c r="C1656" s="1" t="n">
        <v>45291</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22687-2023</t>
        </is>
      </c>
      <c r="B1657" s="1" t="n">
        <v>45071</v>
      </c>
      <c r="C1657" s="1" t="n">
        <v>45291</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22634-2023</t>
        </is>
      </c>
      <c r="B1658" s="1" t="n">
        <v>45071</v>
      </c>
      <c r="C1658" s="1" t="n">
        <v>45291</v>
      </c>
      <c r="D1658" t="inlineStr">
        <is>
          <t>VÄRMLANDS LÄN</t>
        </is>
      </c>
      <c r="E1658" t="inlineStr">
        <is>
          <t>TORSBY</t>
        </is>
      </c>
      <c r="F1658" t="inlineStr">
        <is>
          <t>Bergvik skog väst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22675-2023</t>
        </is>
      </c>
      <c r="B1659" s="1" t="n">
        <v>45071</v>
      </c>
      <c r="C1659" s="1" t="n">
        <v>45291</v>
      </c>
      <c r="D1659" t="inlineStr">
        <is>
          <t>VÄRMLANDS LÄN</t>
        </is>
      </c>
      <c r="E1659" t="inlineStr">
        <is>
          <t>TORSBY</t>
        </is>
      </c>
      <c r="F1659" t="inlineStr">
        <is>
          <t>Bergvik skog väst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22702-2023</t>
        </is>
      </c>
      <c r="B1660" s="1" t="n">
        <v>45071</v>
      </c>
      <c r="C1660" s="1" t="n">
        <v>45291</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22939-2023</t>
        </is>
      </c>
      <c r="B1661" s="1" t="n">
        <v>45072</v>
      </c>
      <c r="C1661" s="1" t="n">
        <v>45291</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22943-2023</t>
        </is>
      </c>
      <c r="B1662" s="1" t="n">
        <v>45072</v>
      </c>
      <c r="C1662" s="1" t="n">
        <v>45291</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23572-2023</t>
        </is>
      </c>
      <c r="B1663" s="1" t="n">
        <v>45077</v>
      </c>
      <c r="C1663" s="1" t="n">
        <v>45291</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23624-2023</t>
        </is>
      </c>
      <c r="B1664" s="1" t="n">
        <v>45077</v>
      </c>
      <c r="C1664" s="1" t="n">
        <v>45291</v>
      </c>
      <c r="D1664" t="inlineStr">
        <is>
          <t>VÄRMLANDS LÄN</t>
        </is>
      </c>
      <c r="E1664" t="inlineStr">
        <is>
          <t>TORSBY</t>
        </is>
      </c>
      <c r="F1664" t="inlineStr">
        <is>
          <t>Bergvik skog väst AB</t>
        </is>
      </c>
      <c r="G1664" t="n">
        <v>27.9</v>
      </c>
      <c r="H1664" t="n">
        <v>0</v>
      </c>
      <c r="I1664" t="n">
        <v>0</v>
      </c>
      <c r="J1664" t="n">
        <v>0</v>
      </c>
      <c r="K1664" t="n">
        <v>0</v>
      </c>
      <c r="L1664" t="n">
        <v>0</v>
      </c>
      <c r="M1664" t="n">
        <v>0</v>
      </c>
      <c r="N1664" t="n">
        <v>0</v>
      </c>
      <c r="O1664" t="n">
        <v>0</v>
      </c>
      <c r="P1664" t="n">
        <v>0</v>
      </c>
      <c r="Q1664" t="n">
        <v>0</v>
      </c>
      <c r="R1664" s="2" t="inlineStr"/>
    </row>
    <row r="1665" ht="15" customHeight="1">
      <c r="A1665" t="inlineStr">
        <is>
          <t>A 23894-2023</t>
        </is>
      </c>
      <c r="B1665" s="1" t="n">
        <v>45078</v>
      </c>
      <c r="C1665" s="1" t="n">
        <v>45291</v>
      </c>
      <c r="D1665" t="inlineStr">
        <is>
          <t>VÄRMLANDS LÄN</t>
        </is>
      </c>
      <c r="E1665" t="inlineStr">
        <is>
          <t>TORSBY</t>
        </is>
      </c>
      <c r="F1665" t="inlineStr">
        <is>
          <t>Bergvik skog väst AB</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23912-2023</t>
        </is>
      </c>
      <c r="B1666" s="1" t="n">
        <v>45078</v>
      </c>
      <c r="C1666" s="1" t="n">
        <v>45291</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24244-2023</t>
        </is>
      </c>
      <c r="B1667" s="1" t="n">
        <v>45079</v>
      </c>
      <c r="C1667" s="1" t="n">
        <v>45291</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24170-2023</t>
        </is>
      </c>
      <c r="B1668" s="1" t="n">
        <v>45079</v>
      </c>
      <c r="C1668" s="1" t="n">
        <v>45291</v>
      </c>
      <c r="D1668" t="inlineStr">
        <is>
          <t>VÄRMLANDS LÄN</t>
        </is>
      </c>
      <c r="E1668" t="inlineStr">
        <is>
          <t>TORSBY</t>
        </is>
      </c>
      <c r="F1668" t="inlineStr">
        <is>
          <t>Bergvik skog väst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24101-2023</t>
        </is>
      </c>
      <c r="B1669" s="1" t="n">
        <v>45079</v>
      </c>
      <c r="C1669" s="1" t="n">
        <v>45291</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24196-2023</t>
        </is>
      </c>
      <c r="B1670" s="1" t="n">
        <v>45079</v>
      </c>
      <c r="C1670" s="1" t="n">
        <v>45291</v>
      </c>
      <c r="D1670" t="inlineStr">
        <is>
          <t>VÄRMLANDS LÄN</t>
        </is>
      </c>
      <c r="E1670" t="inlineStr">
        <is>
          <t>TORSBY</t>
        </is>
      </c>
      <c r="F1670" t="inlineStr">
        <is>
          <t>Bergvik skog väst AB</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24518-2023</t>
        </is>
      </c>
      <c r="B1671" s="1" t="n">
        <v>45082</v>
      </c>
      <c r="C1671" s="1" t="n">
        <v>45291</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24696-2023</t>
        </is>
      </c>
      <c r="B1672" s="1" t="n">
        <v>45084</v>
      </c>
      <c r="C1672" s="1" t="n">
        <v>45291</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24639-2023</t>
        </is>
      </c>
      <c r="B1673" s="1" t="n">
        <v>45084</v>
      </c>
      <c r="C1673" s="1" t="n">
        <v>45291</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24643-2023</t>
        </is>
      </c>
      <c r="B1674" s="1" t="n">
        <v>45084</v>
      </c>
      <c r="C1674" s="1" t="n">
        <v>45291</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24703-2023</t>
        </is>
      </c>
      <c r="B1675" s="1" t="n">
        <v>45084</v>
      </c>
      <c r="C1675" s="1" t="n">
        <v>45291</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24849-2023</t>
        </is>
      </c>
      <c r="B1676" s="1" t="n">
        <v>45085</v>
      </c>
      <c r="C1676" s="1" t="n">
        <v>45291</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24896-2023</t>
        </is>
      </c>
      <c r="B1677" s="1" t="n">
        <v>45085</v>
      </c>
      <c r="C1677" s="1" t="n">
        <v>45291</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24876-2023</t>
        </is>
      </c>
      <c r="B1678" s="1" t="n">
        <v>45085</v>
      </c>
      <c r="C1678" s="1" t="n">
        <v>45291</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24909-2023</t>
        </is>
      </c>
      <c r="B1679" s="1" t="n">
        <v>45085</v>
      </c>
      <c r="C1679" s="1" t="n">
        <v>45291</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24897-2023</t>
        </is>
      </c>
      <c r="B1680" s="1" t="n">
        <v>45085</v>
      </c>
      <c r="C1680" s="1" t="n">
        <v>45291</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24847-2023</t>
        </is>
      </c>
      <c r="B1681" s="1" t="n">
        <v>45085</v>
      </c>
      <c r="C1681" s="1" t="n">
        <v>45291</v>
      </c>
      <c r="D1681" t="inlineStr">
        <is>
          <t>VÄRMLANDS LÄN</t>
        </is>
      </c>
      <c r="E1681" t="inlineStr">
        <is>
          <t>TORSBY</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24965-2023</t>
        </is>
      </c>
      <c r="B1682" s="1" t="n">
        <v>45085</v>
      </c>
      <c r="C1682" s="1" t="n">
        <v>45291</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24969-2023</t>
        </is>
      </c>
      <c r="B1683" s="1" t="n">
        <v>45085</v>
      </c>
      <c r="C1683" s="1" t="n">
        <v>45291</v>
      </c>
      <c r="D1683" t="inlineStr">
        <is>
          <t>VÄRMLANDS LÄN</t>
        </is>
      </c>
      <c r="E1683" t="inlineStr">
        <is>
          <t>TORSBY</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25001-2023</t>
        </is>
      </c>
      <c r="B1684" s="1" t="n">
        <v>45085</v>
      </c>
      <c r="C1684" s="1" t="n">
        <v>45291</v>
      </c>
      <c r="D1684" t="inlineStr">
        <is>
          <t>VÄRMLANDS LÄN</t>
        </is>
      </c>
      <c r="E1684" t="inlineStr">
        <is>
          <t>TORSBY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25068-2023</t>
        </is>
      </c>
      <c r="B1685" s="1" t="n">
        <v>45085</v>
      </c>
      <c r="C1685" s="1" t="n">
        <v>45291</v>
      </c>
      <c r="D1685" t="inlineStr">
        <is>
          <t>VÄRMLANDS LÄN</t>
        </is>
      </c>
      <c r="E1685" t="inlineStr">
        <is>
          <t>TORSBY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45291</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25088-2023</t>
        </is>
      </c>
      <c r="B1687" s="1" t="n">
        <v>45086</v>
      </c>
      <c r="C1687" s="1" t="n">
        <v>45291</v>
      </c>
      <c r="D1687" t="inlineStr">
        <is>
          <t>VÄRMLANDS LÄN</t>
        </is>
      </c>
      <c r="E1687" t="inlineStr">
        <is>
          <t>TORSBY</t>
        </is>
      </c>
      <c r="F1687" t="inlineStr">
        <is>
          <t>Bergvik skog väst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25090-2023</t>
        </is>
      </c>
      <c r="B1688" s="1" t="n">
        <v>45086</v>
      </c>
      <c r="C1688" s="1" t="n">
        <v>45291</v>
      </c>
      <c r="D1688" t="inlineStr">
        <is>
          <t>VÄRMLANDS LÄN</t>
        </is>
      </c>
      <c r="E1688" t="inlineStr">
        <is>
          <t>TORSBY</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25261-2023</t>
        </is>
      </c>
      <c r="B1689" s="1" t="n">
        <v>45086</v>
      </c>
      <c r="C1689" s="1" t="n">
        <v>45291</v>
      </c>
      <c r="D1689" t="inlineStr">
        <is>
          <t>VÄRMLANDS LÄN</t>
        </is>
      </c>
      <c r="E1689" t="inlineStr">
        <is>
          <t>TORSBY</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25344-2023</t>
        </is>
      </c>
      <c r="B1690" s="1" t="n">
        <v>45087</v>
      </c>
      <c r="C1690" s="1" t="n">
        <v>45291</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25579-2023</t>
        </is>
      </c>
      <c r="B1691" s="1" t="n">
        <v>45089</v>
      </c>
      <c r="C1691" s="1" t="n">
        <v>45291</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26466-2023</t>
        </is>
      </c>
      <c r="B1692" s="1" t="n">
        <v>45089</v>
      </c>
      <c r="C1692" s="1" t="n">
        <v>45291</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26340-2023</t>
        </is>
      </c>
      <c r="B1693" s="1" t="n">
        <v>45091</v>
      </c>
      <c r="C1693" s="1" t="n">
        <v>45291</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26343-2023</t>
        </is>
      </c>
      <c r="B1694" s="1" t="n">
        <v>45091</v>
      </c>
      <c r="C1694" s="1" t="n">
        <v>45291</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26327-2023</t>
        </is>
      </c>
      <c r="B1695" s="1" t="n">
        <v>45091</v>
      </c>
      <c r="C1695" s="1" t="n">
        <v>45291</v>
      </c>
      <c r="D1695" t="inlineStr">
        <is>
          <t>VÄRMLANDS LÄN</t>
        </is>
      </c>
      <c r="E1695" t="inlineStr">
        <is>
          <t>TORSBY</t>
        </is>
      </c>
      <c r="F1695" t="inlineStr">
        <is>
          <t>Bergvik skog väst AB</t>
        </is>
      </c>
      <c r="G1695" t="n">
        <v>33.4</v>
      </c>
      <c r="H1695" t="n">
        <v>0</v>
      </c>
      <c r="I1695" t="n">
        <v>0</v>
      </c>
      <c r="J1695" t="n">
        <v>0</v>
      </c>
      <c r="K1695" t="n">
        <v>0</v>
      </c>
      <c r="L1695" t="n">
        <v>0</v>
      </c>
      <c r="M1695" t="n">
        <v>0</v>
      </c>
      <c r="N1695" t="n">
        <v>0</v>
      </c>
      <c r="O1695" t="n">
        <v>0</v>
      </c>
      <c r="P1695" t="n">
        <v>0</v>
      </c>
      <c r="Q1695" t="n">
        <v>0</v>
      </c>
      <c r="R1695" s="2" t="inlineStr"/>
    </row>
    <row r="1696" ht="15" customHeight="1">
      <c r="A1696" t="inlineStr">
        <is>
          <t>A 26080-2023</t>
        </is>
      </c>
      <c r="B1696" s="1" t="n">
        <v>45091</v>
      </c>
      <c r="C1696" s="1" t="n">
        <v>45291</v>
      </c>
      <c r="D1696" t="inlineStr">
        <is>
          <t>VÄRMLANDS LÄN</t>
        </is>
      </c>
      <c r="E1696" t="inlineStr">
        <is>
          <t>TORSBY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26092-2023</t>
        </is>
      </c>
      <c r="B1697" s="1" t="n">
        <v>45091</v>
      </c>
      <c r="C1697" s="1" t="n">
        <v>45291</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26979-2023</t>
        </is>
      </c>
      <c r="B1698" s="1" t="n">
        <v>45091</v>
      </c>
      <c r="C1698" s="1" t="n">
        <v>45291</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26376-2023</t>
        </is>
      </c>
      <c r="B1699" s="1" t="n">
        <v>45092</v>
      </c>
      <c r="C1699" s="1" t="n">
        <v>45291</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26616-2023</t>
        </is>
      </c>
      <c r="B1700" s="1" t="n">
        <v>45092</v>
      </c>
      <c r="C1700" s="1" t="n">
        <v>45291</v>
      </c>
      <c r="D1700" t="inlineStr">
        <is>
          <t>VÄRMLANDS LÄN</t>
        </is>
      </c>
      <c r="E1700" t="inlineStr">
        <is>
          <t>TORSBY</t>
        </is>
      </c>
      <c r="F1700" t="inlineStr">
        <is>
          <t>Bergvik skog väst AB</t>
        </is>
      </c>
      <c r="G1700" t="n">
        <v>30.3</v>
      </c>
      <c r="H1700" t="n">
        <v>0</v>
      </c>
      <c r="I1700" t="n">
        <v>0</v>
      </c>
      <c r="J1700" t="n">
        <v>0</v>
      </c>
      <c r="K1700" t="n">
        <v>0</v>
      </c>
      <c r="L1700" t="n">
        <v>0</v>
      </c>
      <c r="M1700" t="n">
        <v>0</v>
      </c>
      <c r="N1700" t="n">
        <v>0</v>
      </c>
      <c r="O1700" t="n">
        <v>0</v>
      </c>
      <c r="P1700" t="n">
        <v>0</v>
      </c>
      <c r="Q1700" t="n">
        <v>0</v>
      </c>
      <c r="R1700" s="2" t="inlineStr"/>
    </row>
    <row r="1701" ht="15" customHeight="1">
      <c r="A1701" t="inlineStr">
        <is>
          <t>A 26814-2023</t>
        </is>
      </c>
      <c r="B1701" s="1" t="n">
        <v>45093</v>
      </c>
      <c r="C1701" s="1" t="n">
        <v>45291</v>
      </c>
      <c r="D1701" t="inlineStr">
        <is>
          <t>VÄRMLANDS LÄN</t>
        </is>
      </c>
      <c r="E1701" t="inlineStr">
        <is>
          <t>TORSBY</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26753-2023</t>
        </is>
      </c>
      <c r="B1702" s="1" t="n">
        <v>45093</v>
      </c>
      <c r="C1702" s="1" t="n">
        <v>45291</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26855-2023</t>
        </is>
      </c>
      <c r="B1703" s="1" t="n">
        <v>45093</v>
      </c>
      <c r="C1703" s="1" t="n">
        <v>45291</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27195-2023</t>
        </is>
      </c>
      <c r="B1704" s="1" t="n">
        <v>45096</v>
      </c>
      <c r="C1704" s="1" t="n">
        <v>45291</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27332-2023</t>
        </is>
      </c>
      <c r="B1705" s="1" t="n">
        <v>45096</v>
      </c>
      <c r="C1705" s="1" t="n">
        <v>45291</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27472-2023</t>
        </is>
      </c>
      <c r="B1706" s="1" t="n">
        <v>45097</v>
      </c>
      <c r="C1706" s="1" t="n">
        <v>45291</v>
      </c>
      <c r="D1706" t="inlineStr">
        <is>
          <t>VÄRMLANDS LÄN</t>
        </is>
      </c>
      <c r="E1706" t="inlineStr">
        <is>
          <t>TORSBY</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27594-2023</t>
        </is>
      </c>
      <c r="B1707" s="1" t="n">
        <v>45097</v>
      </c>
      <c r="C1707" s="1" t="n">
        <v>45291</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27458-2023</t>
        </is>
      </c>
      <c r="B1708" s="1" t="n">
        <v>45097</v>
      </c>
      <c r="C1708" s="1" t="n">
        <v>45291</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27787-2023</t>
        </is>
      </c>
      <c r="B1709" s="1" t="n">
        <v>45098</v>
      </c>
      <c r="C1709" s="1" t="n">
        <v>45291</v>
      </c>
      <c r="D1709" t="inlineStr">
        <is>
          <t>VÄRMLANDS LÄN</t>
        </is>
      </c>
      <c r="E1709" t="inlineStr">
        <is>
          <t>TORSBY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27837-2023</t>
        </is>
      </c>
      <c r="B1710" s="1" t="n">
        <v>45098</v>
      </c>
      <c r="C1710" s="1" t="n">
        <v>45291</v>
      </c>
      <c r="D1710" t="inlineStr">
        <is>
          <t>VÄRMLANDS LÄN</t>
        </is>
      </c>
      <c r="E1710" t="inlineStr">
        <is>
          <t>TORSBY</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27851-2023</t>
        </is>
      </c>
      <c r="B1711" s="1" t="n">
        <v>45098</v>
      </c>
      <c r="C1711" s="1" t="n">
        <v>45291</v>
      </c>
      <c r="D1711" t="inlineStr">
        <is>
          <t>VÄRMLANDS LÄN</t>
        </is>
      </c>
      <c r="E1711" t="inlineStr">
        <is>
          <t>TORSBY</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27920-2023</t>
        </is>
      </c>
      <c r="B1712" s="1" t="n">
        <v>45098</v>
      </c>
      <c r="C1712" s="1" t="n">
        <v>45291</v>
      </c>
      <c r="D1712" t="inlineStr">
        <is>
          <t>VÄRMLANDS LÄN</t>
        </is>
      </c>
      <c r="E1712" t="inlineStr">
        <is>
          <t>TORSBY</t>
        </is>
      </c>
      <c r="F1712" t="inlineStr">
        <is>
          <t>Kyrkan</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28045-2023</t>
        </is>
      </c>
      <c r="B1713" s="1" t="n">
        <v>45099</v>
      </c>
      <c r="C1713" s="1" t="n">
        <v>45291</v>
      </c>
      <c r="D1713" t="inlineStr">
        <is>
          <t>VÄRMLANDS LÄN</t>
        </is>
      </c>
      <c r="E1713" t="inlineStr">
        <is>
          <t>TORSBY</t>
        </is>
      </c>
      <c r="F1713" t="inlineStr">
        <is>
          <t>Bergvik skog väst AB</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28074-2023</t>
        </is>
      </c>
      <c r="B1714" s="1" t="n">
        <v>45099</v>
      </c>
      <c r="C1714" s="1" t="n">
        <v>45291</v>
      </c>
      <c r="D1714" t="inlineStr">
        <is>
          <t>VÄRMLANDS LÄN</t>
        </is>
      </c>
      <c r="E1714" t="inlineStr">
        <is>
          <t>TORSBY</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28092-2023</t>
        </is>
      </c>
      <c r="B1715" s="1" t="n">
        <v>45099</v>
      </c>
      <c r="C1715" s="1" t="n">
        <v>45291</v>
      </c>
      <c r="D1715" t="inlineStr">
        <is>
          <t>VÄRMLANDS LÄN</t>
        </is>
      </c>
      <c r="E1715" t="inlineStr">
        <is>
          <t>TORSBY</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28251-2023</t>
        </is>
      </c>
      <c r="B1716" s="1" t="n">
        <v>45099</v>
      </c>
      <c r="C1716" s="1" t="n">
        <v>45291</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30142-2023</t>
        </is>
      </c>
      <c r="B1717" s="1" t="n">
        <v>45099</v>
      </c>
      <c r="C1717" s="1" t="n">
        <v>45291</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30148-2023</t>
        </is>
      </c>
      <c r="B1718" s="1" t="n">
        <v>45099</v>
      </c>
      <c r="C1718" s="1" t="n">
        <v>45291</v>
      </c>
      <c r="D1718" t="inlineStr">
        <is>
          <t>VÄRMLANDS LÄN</t>
        </is>
      </c>
      <c r="E1718" t="inlineStr">
        <is>
          <t>TORSBY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30151-2023</t>
        </is>
      </c>
      <c r="B1719" s="1" t="n">
        <v>45099</v>
      </c>
      <c r="C1719" s="1" t="n">
        <v>45291</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28598-2023</t>
        </is>
      </c>
      <c r="B1720" s="1" t="n">
        <v>45103</v>
      </c>
      <c r="C1720" s="1" t="n">
        <v>45291</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28652-2023</t>
        </is>
      </c>
      <c r="B1721" s="1" t="n">
        <v>45103</v>
      </c>
      <c r="C1721" s="1" t="n">
        <v>45291</v>
      </c>
      <c r="D1721" t="inlineStr">
        <is>
          <t>VÄRMLANDS LÄN</t>
        </is>
      </c>
      <c r="E1721" t="inlineStr">
        <is>
          <t>TORSBY</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28818-2023</t>
        </is>
      </c>
      <c r="B1722" s="1" t="n">
        <v>45104</v>
      </c>
      <c r="C1722" s="1" t="n">
        <v>45291</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28869-2023</t>
        </is>
      </c>
      <c r="B1723" s="1" t="n">
        <v>45104</v>
      </c>
      <c r="C1723" s="1" t="n">
        <v>45291</v>
      </c>
      <c r="D1723" t="inlineStr">
        <is>
          <t>VÄRMLANDS LÄN</t>
        </is>
      </c>
      <c r="E1723" t="inlineStr">
        <is>
          <t>TORSBY</t>
        </is>
      </c>
      <c r="F1723" t="inlineStr">
        <is>
          <t>Bergvik skog väst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28948-2023</t>
        </is>
      </c>
      <c r="B1724" s="1" t="n">
        <v>45104</v>
      </c>
      <c r="C1724" s="1" t="n">
        <v>45291</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28814-2023</t>
        </is>
      </c>
      <c r="B1725" s="1" t="n">
        <v>45104</v>
      </c>
      <c r="C1725" s="1" t="n">
        <v>45291</v>
      </c>
      <c r="D1725" t="inlineStr">
        <is>
          <t>VÄRMLANDS LÄN</t>
        </is>
      </c>
      <c r="E1725" t="inlineStr">
        <is>
          <t>TORSBY</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29043-2023</t>
        </is>
      </c>
      <c r="B1726" s="1" t="n">
        <v>45104</v>
      </c>
      <c r="C1726" s="1" t="n">
        <v>45291</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29042-2023</t>
        </is>
      </c>
      <c r="B1727" s="1" t="n">
        <v>45104</v>
      </c>
      <c r="C1727" s="1" t="n">
        <v>45291</v>
      </c>
      <c r="D1727" t="inlineStr">
        <is>
          <t>VÄRMLANDS LÄN</t>
        </is>
      </c>
      <c r="E1727" t="inlineStr">
        <is>
          <t>TORSBY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29137-2023</t>
        </is>
      </c>
      <c r="B1728" s="1" t="n">
        <v>45105</v>
      </c>
      <c r="C1728" s="1" t="n">
        <v>45291</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29256-2023</t>
        </is>
      </c>
      <c r="B1729" s="1" t="n">
        <v>45105</v>
      </c>
      <c r="C1729" s="1" t="n">
        <v>45291</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29506-2023</t>
        </is>
      </c>
      <c r="B1730" s="1" t="n">
        <v>45106</v>
      </c>
      <c r="C1730" s="1" t="n">
        <v>45291</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29581-2023</t>
        </is>
      </c>
      <c r="B1731" s="1" t="n">
        <v>45106</v>
      </c>
      <c r="C1731" s="1" t="n">
        <v>45291</v>
      </c>
      <c r="D1731" t="inlineStr">
        <is>
          <t>VÄRMLANDS LÄN</t>
        </is>
      </c>
      <c r="E1731" t="inlineStr">
        <is>
          <t>TORSBY</t>
        </is>
      </c>
      <c r="F1731" t="inlineStr">
        <is>
          <t>Bergvik skog väst AB</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29594-2023</t>
        </is>
      </c>
      <c r="B1732" s="1" t="n">
        <v>45107</v>
      </c>
      <c r="C1732" s="1" t="n">
        <v>45291</v>
      </c>
      <c r="D1732" t="inlineStr">
        <is>
          <t>VÄRMLANDS LÄN</t>
        </is>
      </c>
      <c r="E1732" t="inlineStr">
        <is>
          <t>TORSBY</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29545-2023</t>
        </is>
      </c>
      <c r="B1733" s="1" t="n">
        <v>45106</v>
      </c>
      <c r="C1733" s="1" t="n">
        <v>45291</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31858-2023</t>
        </is>
      </c>
      <c r="B1734" s="1" t="n">
        <v>45106</v>
      </c>
      <c r="C1734" s="1" t="n">
        <v>45291</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29792-2023</t>
        </is>
      </c>
      <c r="B1735" s="1" t="n">
        <v>45107</v>
      </c>
      <c r="C1735" s="1" t="n">
        <v>45291</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29796-2023</t>
        </is>
      </c>
      <c r="B1736" s="1" t="n">
        <v>45107</v>
      </c>
      <c r="C1736" s="1" t="n">
        <v>45291</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29795-2023</t>
        </is>
      </c>
      <c r="B1737" s="1" t="n">
        <v>45107</v>
      </c>
      <c r="C1737" s="1" t="n">
        <v>45291</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31936-2023</t>
        </is>
      </c>
      <c r="B1738" s="1" t="n">
        <v>45107</v>
      </c>
      <c r="C1738" s="1" t="n">
        <v>45291</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30208-2023</t>
        </is>
      </c>
      <c r="B1739" s="1" t="n">
        <v>45110</v>
      </c>
      <c r="C1739" s="1" t="n">
        <v>45291</v>
      </c>
      <c r="D1739" t="inlineStr">
        <is>
          <t>VÄRMLANDS LÄN</t>
        </is>
      </c>
      <c r="E1739" t="inlineStr">
        <is>
          <t>TORSBY</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30213-2023</t>
        </is>
      </c>
      <c r="B1740" s="1" t="n">
        <v>45110</v>
      </c>
      <c r="C1740" s="1" t="n">
        <v>45291</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30267-2023</t>
        </is>
      </c>
      <c r="B1741" s="1" t="n">
        <v>45110</v>
      </c>
      <c r="C1741" s="1" t="n">
        <v>45291</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30104-2023</t>
        </is>
      </c>
      <c r="B1742" s="1" t="n">
        <v>45110</v>
      </c>
      <c r="C1742" s="1" t="n">
        <v>45291</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32332-2023</t>
        </is>
      </c>
      <c r="B1743" s="1" t="n">
        <v>45110</v>
      </c>
      <c r="C1743" s="1" t="n">
        <v>45291</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30160-2023</t>
        </is>
      </c>
      <c r="B1744" s="1" t="n">
        <v>45110</v>
      </c>
      <c r="C1744" s="1" t="n">
        <v>45291</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30269-2023</t>
        </is>
      </c>
      <c r="B1745" s="1" t="n">
        <v>45110</v>
      </c>
      <c r="C1745" s="1" t="n">
        <v>45291</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30110-2023</t>
        </is>
      </c>
      <c r="B1746" s="1" t="n">
        <v>45110</v>
      </c>
      <c r="C1746" s="1" t="n">
        <v>45291</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30530-2023</t>
        </is>
      </c>
      <c r="B1747" s="1" t="n">
        <v>45111</v>
      </c>
      <c r="C1747" s="1" t="n">
        <v>45291</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30455-2023</t>
        </is>
      </c>
      <c r="B1748" s="1" t="n">
        <v>45111</v>
      </c>
      <c r="C1748" s="1" t="n">
        <v>45291</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30370-2023</t>
        </is>
      </c>
      <c r="B1749" s="1" t="n">
        <v>45111</v>
      </c>
      <c r="C1749" s="1" t="n">
        <v>45291</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30531-2023</t>
        </is>
      </c>
      <c r="B1750" s="1" t="n">
        <v>45111</v>
      </c>
      <c r="C1750" s="1" t="n">
        <v>45291</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30344-2023</t>
        </is>
      </c>
      <c r="B1751" s="1" t="n">
        <v>45111</v>
      </c>
      <c r="C1751" s="1" t="n">
        <v>45291</v>
      </c>
      <c r="D1751" t="inlineStr">
        <is>
          <t>VÄRMLANDS LÄN</t>
        </is>
      </c>
      <c r="E1751" t="inlineStr">
        <is>
          <t>TORSBY</t>
        </is>
      </c>
      <c r="F1751" t="inlineStr">
        <is>
          <t>Bergvik skog väst AB</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30670-2023</t>
        </is>
      </c>
      <c r="B1752" s="1" t="n">
        <v>45112</v>
      </c>
      <c r="C1752" s="1" t="n">
        <v>45291</v>
      </c>
      <c r="D1752" t="inlineStr">
        <is>
          <t>VÄRMLANDS LÄN</t>
        </is>
      </c>
      <c r="E1752" t="inlineStr">
        <is>
          <t>TORSBY</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30624-2023</t>
        </is>
      </c>
      <c r="B1753" s="1" t="n">
        <v>45112</v>
      </c>
      <c r="C1753" s="1" t="n">
        <v>45291</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30741-2023</t>
        </is>
      </c>
      <c r="B1754" s="1" t="n">
        <v>45112</v>
      </c>
      <c r="C1754" s="1" t="n">
        <v>45291</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31052-2023</t>
        </is>
      </c>
      <c r="B1755" s="1" t="n">
        <v>45113</v>
      </c>
      <c r="C1755" s="1" t="n">
        <v>45291</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31112-2023</t>
        </is>
      </c>
      <c r="B1756" s="1" t="n">
        <v>45113</v>
      </c>
      <c r="C1756" s="1" t="n">
        <v>45291</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31465-2023</t>
        </is>
      </c>
      <c r="B1757" s="1" t="n">
        <v>45114</v>
      </c>
      <c r="C1757" s="1" t="n">
        <v>45291</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31547-2023</t>
        </is>
      </c>
      <c r="B1758" s="1" t="n">
        <v>45117</v>
      </c>
      <c r="C1758" s="1" t="n">
        <v>45291</v>
      </c>
      <c r="D1758" t="inlineStr">
        <is>
          <t>VÄRMLANDS LÄN</t>
        </is>
      </c>
      <c r="E1758" t="inlineStr">
        <is>
          <t>TORSBY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31548-2023</t>
        </is>
      </c>
      <c r="B1759" s="1" t="n">
        <v>45117</v>
      </c>
      <c r="C1759" s="1" t="n">
        <v>45291</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33741-2023</t>
        </is>
      </c>
      <c r="B1760" s="1" t="n">
        <v>45119</v>
      </c>
      <c r="C1760" s="1" t="n">
        <v>45291</v>
      </c>
      <c r="D1760" t="inlineStr">
        <is>
          <t>VÄRMLANDS LÄN</t>
        </is>
      </c>
      <c r="E1760" t="inlineStr">
        <is>
          <t>TORSBY</t>
        </is>
      </c>
      <c r="F1760" t="inlineStr">
        <is>
          <t>Övriga Aktiebolag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33738-2023</t>
        </is>
      </c>
      <c r="B1761" s="1" t="n">
        <v>45119</v>
      </c>
      <c r="C1761" s="1" t="n">
        <v>45291</v>
      </c>
      <c r="D1761" t="inlineStr">
        <is>
          <t>VÄRMLANDS LÄN</t>
        </is>
      </c>
      <c r="E1761" t="inlineStr">
        <is>
          <t>TORSBY</t>
        </is>
      </c>
      <c r="F1761" t="inlineStr">
        <is>
          <t>Övriga Aktiebolag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33740-2023</t>
        </is>
      </c>
      <c r="B1762" s="1" t="n">
        <v>45119</v>
      </c>
      <c r="C1762" s="1" t="n">
        <v>45291</v>
      </c>
      <c r="D1762" t="inlineStr">
        <is>
          <t>VÄRMLANDS LÄN</t>
        </is>
      </c>
      <c r="E1762" t="inlineStr">
        <is>
          <t>TORSBY</t>
        </is>
      </c>
      <c r="F1762" t="inlineStr">
        <is>
          <t>Övriga Aktiebolag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33782-2023</t>
        </is>
      </c>
      <c r="B1763" s="1" t="n">
        <v>45120</v>
      </c>
      <c r="C1763" s="1" t="n">
        <v>45291</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32576-2023</t>
        </is>
      </c>
      <c r="B1764" s="1" t="n">
        <v>45121</v>
      </c>
      <c r="C1764" s="1" t="n">
        <v>45291</v>
      </c>
      <c r="D1764" t="inlineStr">
        <is>
          <t>VÄRMLANDS LÄN</t>
        </is>
      </c>
      <c r="E1764" t="inlineStr">
        <is>
          <t>TORSBY</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32584-2023</t>
        </is>
      </c>
      <c r="B1765" s="1" t="n">
        <v>45121</v>
      </c>
      <c r="C1765" s="1" t="n">
        <v>45291</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32805-2023</t>
        </is>
      </c>
      <c r="B1766" s="1" t="n">
        <v>45124</v>
      </c>
      <c r="C1766" s="1" t="n">
        <v>45291</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32819-2023</t>
        </is>
      </c>
      <c r="B1767" s="1" t="n">
        <v>45124</v>
      </c>
      <c r="C1767" s="1" t="n">
        <v>45291</v>
      </c>
      <c r="D1767" t="inlineStr">
        <is>
          <t>VÄRMLANDS LÄN</t>
        </is>
      </c>
      <c r="E1767" t="inlineStr">
        <is>
          <t>TORSBY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32787-2023</t>
        </is>
      </c>
      <c r="B1768" s="1" t="n">
        <v>45124</v>
      </c>
      <c r="C1768" s="1" t="n">
        <v>45291</v>
      </c>
      <c r="D1768" t="inlineStr">
        <is>
          <t>VÄRMLANDS LÄN</t>
        </is>
      </c>
      <c r="E1768" t="inlineStr">
        <is>
          <t>TORSBY</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32815-2023</t>
        </is>
      </c>
      <c r="B1769" s="1" t="n">
        <v>45124</v>
      </c>
      <c r="C1769" s="1" t="n">
        <v>45291</v>
      </c>
      <c r="D1769" t="inlineStr">
        <is>
          <t>VÄRMLANDS LÄN</t>
        </is>
      </c>
      <c r="E1769" t="inlineStr">
        <is>
          <t>TORSBY</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33758-2023</t>
        </is>
      </c>
      <c r="B1770" s="1" t="n">
        <v>45125</v>
      </c>
      <c r="C1770" s="1" t="n">
        <v>45291</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33072-2023</t>
        </is>
      </c>
      <c r="B1771" s="1" t="n">
        <v>45126</v>
      </c>
      <c r="C1771" s="1" t="n">
        <v>45291</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34097-2023</t>
        </is>
      </c>
      <c r="B1772" s="1" t="n">
        <v>45126</v>
      </c>
      <c r="C1772" s="1" t="n">
        <v>45291</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34104-2023</t>
        </is>
      </c>
      <c r="B1773" s="1" t="n">
        <v>45126</v>
      </c>
      <c r="C1773" s="1" t="n">
        <v>45291</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34105-2023</t>
        </is>
      </c>
      <c r="B1774" s="1" t="n">
        <v>45126</v>
      </c>
      <c r="C1774" s="1" t="n">
        <v>45291</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33263-2023</t>
        </is>
      </c>
      <c r="B1775" s="1" t="n">
        <v>45127</v>
      </c>
      <c r="C1775" s="1" t="n">
        <v>45291</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33249-2023</t>
        </is>
      </c>
      <c r="B1776" s="1" t="n">
        <v>45127</v>
      </c>
      <c r="C1776" s="1" t="n">
        <v>45291</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33253-2023</t>
        </is>
      </c>
      <c r="B1777" s="1" t="n">
        <v>45127</v>
      </c>
      <c r="C1777" s="1" t="n">
        <v>45291</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33264-2023</t>
        </is>
      </c>
      <c r="B1778" s="1" t="n">
        <v>45127</v>
      </c>
      <c r="C1778" s="1" t="n">
        <v>45291</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33268-2023</t>
        </is>
      </c>
      <c r="B1779" s="1" t="n">
        <v>45127</v>
      </c>
      <c r="C1779" s="1" t="n">
        <v>45291</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33574-2023</t>
        </is>
      </c>
      <c r="B1780" s="1" t="n">
        <v>45131</v>
      </c>
      <c r="C1780" s="1" t="n">
        <v>45291</v>
      </c>
      <c r="D1780" t="inlineStr">
        <is>
          <t>VÄRMLANDS LÄN</t>
        </is>
      </c>
      <c r="E1780" t="inlineStr">
        <is>
          <t>TORSBY</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33645-2023</t>
        </is>
      </c>
      <c r="B1781" s="1" t="n">
        <v>45132</v>
      </c>
      <c r="C1781" s="1" t="n">
        <v>45291</v>
      </c>
      <c r="D1781" t="inlineStr">
        <is>
          <t>VÄRMLANDS LÄN</t>
        </is>
      </c>
      <c r="E1781" t="inlineStr">
        <is>
          <t>TORSBY</t>
        </is>
      </c>
      <c r="F1781" t="inlineStr">
        <is>
          <t>Bergvik skog väst AB</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33656-2023</t>
        </is>
      </c>
      <c r="B1782" s="1" t="n">
        <v>45132</v>
      </c>
      <c r="C1782" s="1" t="n">
        <v>45291</v>
      </c>
      <c r="D1782" t="inlineStr">
        <is>
          <t>VÄRMLANDS LÄN</t>
        </is>
      </c>
      <c r="E1782" t="inlineStr">
        <is>
          <t>TORSBY</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33813-2023</t>
        </is>
      </c>
      <c r="B1783" s="1" t="n">
        <v>45133</v>
      </c>
      <c r="C1783" s="1" t="n">
        <v>45291</v>
      </c>
      <c r="D1783" t="inlineStr">
        <is>
          <t>VÄRMLANDS LÄN</t>
        </is>
      </c>
      <c r="E1783" t="inlineStr">
        <is>
          <t>TORSBY</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33835-2023</t>
        </is>
      </c>
      <c r="B1784" s="1" t="n">
        <v>45133</v>
      </c>
      <c r="C1784" s="1" t="n">
        <v>45291</v>
      </c>
      <c r="D1784" t="inlineStr">
        <is>
          <t>VÄRMLANDS LÄN</t>
        </is>
      </c>
      <c r="E1784" t="inlineStr">
        <is>
          <t>TORSBY</t>
        </is>
      </c>
      <c r="F1784" t="inlineStr">
        <is>
          <t>Bergvik skog väst AB</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33839-2023</t>
        </is>
      </c>
      <c r="B1785" s="1" t="n">
        <v>45133</v>
      </c>
      <c r="C1785" s="1" t="n">
        <v>45291</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33848-2023</t>
        </is>
      </c>
      <c r="B1786" s="1" t="n">
        <v>45133</v>
      </c>
      <c r="C1786" s="1" t="n">
        <v>45291</v>
      </c>
      <c r="D1786" t="inlineStr">
        <is>
          <t>VÄRMLANDS LÄN</t>
        </is>
      </c>
      <c r="E1786" t="inlineStr">
        <is>
          <t>TORSBY</t>
        </is>
      </c>
      <c r="F1786" t="inlineStr">
        <is>
          <t>Bergvik skog väst AB</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34405-2023</t>
        </is>
      </c>
      <c r="B1787" s="1" t="n">
        <v>45139</v>
      </c>
      <c r="C1787" s="1" t="n">
        <v>45291</v>
      </c>
      <c r="D1787" t="inlineStr">
        <is>
          <t>VÄRMLANDS LÄN</t>
        </is>
      </c>
      <c r="E1787" t="inlineStr">
        <is>
          <t>TORSBY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34427-2023</t>
        </is>
      </c>
      <c r="B1788" s="1" t="n">
        <v>45139</v>
      </c>
      <c r="C1788" s="1" t="n">
        <v>45291</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34469-2023</t>
        </is>
      </c>
      <c r="B1789" s="1" t="n">
        <v>45139</v>
      </c>
      <c r="C1789" s="1" t="n">
        <v>45291</v>
      </c>
      <c r="D1789" t="inlineStr">
        <is>
          <t>VÄRMLANDS LÄN</t>
        </is>
      </c>
      <c r="E1789" t="inlineStr">
        <is>
          <t>TORSBY</t>
        </is>
      </c>
      <c r="F1789" t="inlineStr">
        <is>
          <t>Bergvik skog väst AB</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34430-2023</t>
        </is>
      </c>
      <c r="B1790" s="1" t="n">
        <v>45139</v>
      </c>
      <c r="C1790" s="1" t="n">
        <v>45291</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34658-2023</t>
        </is>
      </c>
      <c r="B1791" s="1" t="n">
        <v>45140</v>
      </c>
      <c r="C1791" s="1" t="n">
        <v>45291</v>
      </c>
      <c r="D1791" t="inlineStr">
        <is>
          <t>VÄRMLANDS LÄN</t>
        </is>
      </c>
      <c r="E1791" t="inlineStr">
        <is>
          <t>TORSBY</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34955-2023</t>
        </is>
      </c>
      <c r="B1792" s="1" t="n">
        <v>45142</v>
      </c>
      <c r="C1792" s="1" t="n">
        <v>45291</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35055-2023</t>
        </is>
      </c>
      <c r="B1793" s="1" t="n">
        <v>45145</v>
      </c>
      <c r="C1793" s="1" t="n">
        <v>45291</v>
      </c>
      <c r="D1793" t="inlineStr">
        <is>
          <t>VÄRMLANDS LÄN</t>
        </is>
      </c>
      <c r="E1793" t="inlineStr">
        <is>
          <t>TORSBY</t>
        </is>
      </c>
      <c r="F1793" t="inlineStr">
        <is>
          <t>Bergvik skog väst AB</t>
        </is>
      </c>
      <c r="G1793" t="n">
        <v>16.4</v>
      </c>
      <c r="H1793" t="n">
        <v>0</v>
      </c>
      <c r="I1793" t="n">
        <v>0</v>
      </c>
      <c r="J1793" t="n">
        <v>0</v>
      </c>
      <c r="K1793" t="n">
        <v>0</v>
      </c>
      <c r="L1793" t="n">
        <v>0</v>
      </c>
      <c r="M1793" t="n">
        <v>0</v>
      </c>
      <c r="N1793" t="n">
        <v>0</v>
      </c>
      <c r="O1793" t="n">
        <v>0</v>
      </c>
      <c r="P1793" t="n">
        <v>0</v>
      </c>
      <c r="Q1793" t="n">
        <v>0</v>
      </c>
      <c r="R1793" s="2" t="inlineStr"/>
    </row>
    <row r="1794" ht="15" customHeight="1">
      <c r="A1794" t="inlineStr">
        <is>
          <t>A 35057-2023</t>
        </is>
      </c>
      <c r="B1794" s="1" t="n">
        <v>45145</v>
      </c>
      <c r="C1794" s="1" t="n">
        <v>45291</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35186-2023</t>
        </is>
      </c>
      <c r="B1795" s="1" t="n">
        <v>45145</v>
      </c>
      <c r="C1795" s="1" t="n">
        <v>45291</v>
      </c>
      <c r="D1795" t="inlineStr">
        <is>
          <t>VÄRMLANDS LÄN</t>
        </is>
      </c>
      <c r="E1795" t="inlineStr">
        <is>
          <t>TORSBY</t>
        </is>
      </c>
      <c r="F1795" t="inlineStr">
        <is>
          <t>Bergvik skog väst AB</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35115-2023</t>
        </is>
      </c>
      <c r="B1796" s="1" t="n">
        <v>45145</v>
      </c>
      <c r="C1796" s="1" t="n">
        <v>45291</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35120-2023</t>
        </is>
      </c>
      <c r="B1797" s="1" t="n">
        <v>45145</v>
      </c>
      <c r="C1797" s="1" t="n">
        <v>45291</v>
      </c>
      <c r="D1797" t="inlineStr">
        <is>
          <t>VÄRMLANDS LÄN</t>
        </is>
      </c>
      <c r="E1797" t="inlineStr">
        <is>
          <t>TORSBY</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35415-2023</t>
        </is>
      </c>
      <c r="B1798" s="1" t="n">
        <v>45146</v>
      </c>
      <c r="C1798" s="1" t="n">
        <v>45291</v>
      </c>
      <c r="D1798" t="inlineStr">
        <is>
          <t>VÄRMLANDS LÄN</t>
        </is>
      </c>
      <c r="E1798" t="inlineStr">
        <is>
          <t>TORSBY</t>
        </is>
      </c>
      <c r="F1798" t="inlineStr">
        <is>
          <t>Bergvik skog väst AB</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35629-2023</t>
        </is>
      </c>
      <c r="B1799" s="1" t="n">
        <v>45147</v>
      </c>
      <c r="C1799" s="1" t="n">
        <v>45291</v>
      </c>
      <c r="D1799" t="inlineStr">
        <is>
          <t>VÄRMLANDS LÄN</t>
        </is>
      </c>
      <c r="E1799" t="inlineStr">
        <is>
          <t>TORSBY</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35674-2023</t>
        </is>
      </c>
      <c r="B1800" s="1" t="n">
        <v>45147</v>
      </c>
      <c r="C1800" s="1" t="n">
        <v>45291</v>
      </c>
      <c r="D1800" t="inlineStr">
        <is>
          <t>VÄRMLANDS LÄN</t>
        </is>
      </c>
      <c r="E1800" t="inlineStr">
        <is>
          <t>TORSBY</t>
        </is>
      </c>
      <c r="G1800" t="n">
        <v>25.4</v>
      </c>
      <c r="H1800" t="n">
        <v>0</v>
      </c>
      <c r="I1800" t="n">
        <v>0</v>
      </c>
      <c r="J1800" t="n">
        <v>0</v>
      </c>
      <c r="K1800" t="n">
        <v>0</v>
      </c>
      <c r="L1800" t="n">
        <v>0</v>
      </c>
      <c r="M1800" t="n">
        <v>0</v>
      </c>
      <c r="N1800" t="n">
        <v>0</v>
      </c>
      <c r="O1800" t="n">
        <v>0</v>
      </c>
      <c r="P1800" t="n">
        <v>0</v>
      </c>
      <c r="Q1800" t="n">
        <v>0</v>
      </c>
      <c r="R1800" s="2" t="inlineStr"/>
    </row>
    <row r="1801" ht="15" customHeight="1">
      <c r="A1801" t="inlineStr">
        <is>
          <t>A 35553-2023</t>
        </is>
      </c>
      <c r="B1801" s="1" t="n">
        <v>45147</v>
      </c>
      <c r="C1801" s="1" t="n">
        <v>45291</v>
      </c>
      <c r="D1801" t="inlineStr">
        <is>
          <t>VÄRMLANDS LÄN</t>
        </is>
      </c>
      <c r="E1801" t="inlineStr">
        <is>
          <t>TORSBY</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35934-2023</t>
        </is>
      </c>
      <c r="B1802" s="1" t="n">
        <v>45148</v>
      </c>
      <c r="C1802" s="1" t="n">
        <v>45291</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35938-2023</t>
        </is>
      </c>
      <c r="B1803" s="1" t="n">
        <v>45148</v>
      </c>
      <c r="C1803" s="1" t="n">
        <v>45291</v>
      </c>
      <c r="D1803" t="inlineStr">
        <is>
          <t>VÄRMLANDS LÄN</t>
        </is>
      </c>
      <c r="E1803" t="inlineStr">
        <is>
          <t>TORSBY</t>
        </is>
      </c>
      <c r="F1803" t="inlineStr">
        <is>
          <t>Bergvik skog väst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36043-2023</t>
        </is>
      </c>
      <c r="B1804" s="1" t="n">
        <v>45148</v>
      </c>
      <c r="C1804" s="1" t="n">
        <v>45291</v>
      </c>
      <c r="D1804" t="inlineStr">
        <is>
          <t>VÄRMLANDS LÄN</t>
        </is>
      </c>
      <c r="E1804" t="inlineStr">
        <is>
          <t>TORSBY</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36050-2023</t>
        </is>
      </c>
      <c r="B1805" s="1" t="n">
        <v>45149</v>
      </c>
      <c r="C1805" s="1" t="n">
        <v>45291</v>
      </c>
      <c r="D1805" t="inlineStr">
        <is>
          <t>VÄRMLANDS LÄN</t>
        </is>
      </c>
      <c r="E1805" t="inlineStr">
        <is>
          <t>TORSBY</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36062-2023</t>
        </is>
      </c>
      <c r="B1806" s="1" t="n">
        <v>45149</v>
      </c>
      <c r="C1806" s="1" t="n">
        <v>45291</v>
      </c>
      <c r="D1806" t="inlineStr">
        <is>
          <t>VÄRMLANDS LÄN</t>
        </is>
      </c>
      <c r="E1806" t="inlineStr">
        <is>
          <t>TORSBY</t>
        </is>
      </c>
      <c r="F1806" t="inlineStr">
        <is>
          <t>Bergvik skog väst AB</t>
        </is>
      </c>
      <c r="G1806" t="n">
        <v>21.3</v>
      </c>
      <c r="H1806" t="n">
        <v>0</v>
      </c>
      <c r="I1806" t="n">
        <v>0</v>
      </c>
      <c r="J1806" t="n">
        <v>0</v>
      </c>
      <c r="K1806" t="n">
        <v>0</v>
      </c>
      <c r="L1806" t="n">
        <v>0</v>
      </c>
      <c r="M1806" t="n">
        <v>0</v>
      </c>
      <c r="N1806" t="n">
        <v>0</v>
      </c>
      <c r="O1806" t="n">
        <v>0</v>
      </c>
      <c r="P1806" t="n">
        <v>0</v>
      </c>
      <c r="Q1806" t="n">
        <v>0</v>
      </c>
      <c r="R1806" s="2" t="inlineStr"/>
    </row>
    <row r="1807" ht="15" customHeight="1">
      <c r="A1807" t="inlineStr">
        <is>
          <t>A 36239-2023</t>
        </is>
      </c>
      <c r="B1807" s="1" t="n">
        <v>45150</v>
      </c>
      <c r="C1807" s="1" t="n">
        <v>45291</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36462-2023</t>
        </is>
      </c>
      <c r="B1808" s="1" t="n">
        <v>45152</v>
      </c>
      <c r="C1808" s="1" t="n">
        <v>45291</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36582-2023</t>
        </is>
      </c>
      <c r="B1809" s="1" t="n">
        <v>45153</v>
      </c>
      <c r="C1809" s="1" t="n">
        <v>45291</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36598-2023</t>
        </is>
      </c>
      <c r="B1810" s="1" t="n">
        <v>45153</v>
      </c>
      <c r="C1810" s="1" t="n">
        <v>45291</v>
      </c>
      <c r="D1810" t="inlineStr">
        <is>
          <t>VÄRMLANDS LÄN</t>
        </is>
      </c>
      <c r="E1810" t="inlineStr">
        <is>
          <t>TORSBY</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36552-2023</t>
        </is>
      </c>
      <c r="B1811" s="1" t="n">
        <v>45153</v>
      </c>
      <c r="C1811" s="1" t="n">
        <v>45291</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36674-2023</t>
        </is>
      </c>
      <c r="B1812" s="1" t="n">
        <v>45153</v>
      </c>
      <c r="C1812" s="1" t="n">
        <v>45291</v>
      </c>
      <c r="D1812" t="inlineStr">
        <is>
          <t>VÄRMLANDS LÄN</t>
        </is>
      </c>
      <c r="E1812" t="inlineStr">
        <is>
          <t>TORSBY</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36736-2023</t>
        </is>
      </c>
      <c r="B1813" s="1" t="n">
        <v>45153</v>
      </c>
      <c r="C1813" s="1" t="n">
        <v>45291</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36729-2023</t>
        </is>
      </c>
      <c r="B1814" s="1" t="n">
        <v>45153</v>
      </c>
      <c r="C1814" s="1" t="n">
        <v>45291</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36827-2023</t>
        </is>
      </c>
      <c r="B1815" s="1" t="n">
        <v>45154</v>
      </c>
      <c r="C1815" s="1" t="n">
        <v>45291</v>
      </c>
      <c r="D1815" t="inlineStr">
        <is>
          <t>VÄRMLANDS LÄN</t>
        </is>
      </c>
      <c r="E1815" t="inlineStr">
        <is>
          <t>TORSBY</t>
        </is>
      </c>
      <c r="F1815" t="inlineStr">
        <is>
          <t>Bergvik skog väst AB</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36897-2023</t>
        </is>
      </c>
      <c r="B1816" s="1" t="n">
        <v>45154</v>
      </c>
      <c r="C1816" s="1" t="n">
        <v>45291</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36947-2023</t>
        </is>
      </c>
      <c r="B1817" s="1" t="n">
        <v>45154</v>
      </c>
      <c r="C1817" s="1" t="n">
        <v>45291</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37081-2023</t>
        </is>
      </c>
      <c r="B1818" s="1" t="n">
        <v>45155</v>
      </c>
      <c r="C1818" s="1" t="n">
        <v>45291</v>
      </c>
      <c r="D1818" t="inlineStr">
        <is>
          <t>VÄRMLANDS LÄN</t>
        </is>
      </c>
      <c r="E1818" t="inlineStr">
        <is>
          <t>TORSBY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37188-2023</t>
        </is>
      </c>
      <c r="B1819" s="1" t="n">
        <v>45155</v>
      </c>
      <c r="C1819" s="1" t="n">
        <v>45291</v>
      </c>
      <c r="D1819" t="inlineStr">
        <is>
          <t>VÄRMLANDS LÄN</t>
        </is>
      </c>
      <c r="E1819" t="inlineStr">
        <is>
          <t>TORSBY</t>
        </is>
      </c>
      <c r="F1819" t="inlineStr">
        <is>
          <t>Bergvik skog väst AB</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37346-2023</t>
        </is>
      </c>
      <c r="B1820" s="1" t="n">
        <v>45156</v>
      </c>
      <c r="C1820" s="1" t="n">
        <v>45291</v>
      </c>
      <c r="D1820" t="inlineStr">
        <is>
          <t>VÄRMLANDS LÄN</t>
        </is>
      </c>
      <c r="E1820" t="inlineStr">
        <is>
          <t>TORSBY</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37357-2023</t>
        </is>
      </c>
      <c r="B1821" s="1" t="n">
        <v>45156</v>
      </c>
      <c r="C1821" s="1" t="n">
        <v>45291</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37305-2023</t>
        </is>
      </c>
      <c r="B1822" s="1" t="n">
        <v>45156</v>
      </c>
      <c r="C1822" s="1" t="n">
        <v>45291</v>
      </c>
      <c r="D1822" t="inlineStr">
        <is>
          <t>VÄRMLANDS LÄN</t>
        </is>
      </c>
      <c r="E1822" t="inlineStr">
        <is>
          <t>TORSBY</t>
        </is>
      </c>
      <c r="F1822" t="inlineStr">
        <is>
          <t>Bergvik skog väst AB</t>
        </is>
      </c>
      <c r="G1822" t="n">
        <v>28.8</v>
      </c>
      <c r="H1822" t="n">
        <v>0</v>
      </c>
      <c r="I1822" t="n">
        <v>0</v>
      </c>
      <c r="J1822" t="n">
        <v>0</v>
      </c>
      <c r="K1822" t="n">
        <v>0</v>
      </c>
      <c r="L1822" t="n">
        <v>0</v>
      </c>
      <c r="M1822" t="n">
        <v>0</v>
      </c>
      <c r="N1822" t="n">
        <v>0</v>
      </c>
      <c r="O1822" t="n">
        <v>0</v>
      </c>
      <c r="P1822" t="n">
        <v>0</v>
      </c>
      <c r="Q1822" t="n">
        <v>0</v>
      </c>
      <c r="R1822" s="2" t="inlineStr"/>
    </row>
    <row r="1823" ht="15" customHeight="1">
      <c r="A1823" t="inlineStr">
        <is>
          <t>A 37314-2023</t>
        </is>
      </c>
      <c r="B1823" s="1" t="n">
        <v>45156</v>
      </c>
      <c r="C1823" s="1" t="n">
        <v>45291</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37359-2023</t>
        </is>
      </c>
      <c r="B1824" s="1" t="n">
        <v>45156</v>
      </c>
      <c r="C1824" s="1" t="n">
        <v>45291</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37705-2023</t>
        </is>
      </c>
      <c r="B1825" s="1" t="n">
        <v>45159</v>
      </c>
      <c r="C1825" s="1" t="n">
        <v>45291</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37604-2023</t>
        </is>
      </c>
      <c r="B1826" s="1" t="n">
        <v>45159</v>
      </c>
      <c r="C1826" s="1" t="n">
        <v>45291</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37623-2023</t>
        </is>
      </c>
      <c r="B1827" s="1" t="n">
        <v>45159</v>
      </c>
      <c r="C1827" s="1" t="n">
        <v>45291</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37822-2023</t>
        </is>
      </c>
      <c r="B1828" s="1" t="n">
        <v>45160</v>
      </c>
      <c r="C1828" s="1" t="n">
        <v>45291</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38085-2023</t>
        </is>
      </c>
      <c r="B1829" s="1" t="n">
        <v>45160</v>
      </c>
      <c r="C1829" s="1" t="n">
        <v>45291</v>
      </c>
      <c r="D1829" t="inlineStr">
        <is>
          <t>VÄRMLANDS LÄN</t>
        </is>
      </c>
      <c r="E1829" t="inlineStr">
        <is>
          <t>TORSBY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37936-2023</t>
        </is>
      </c>
      <c r="B1830" s="1" t="n">
        <v>45160</v>
      </c>
      <c r="C1830" s="1" t="n">
        <v>45291</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38084-2023</t>
        </is>
      </c>
      <c r="B1831" s="1" t="n">
        <v>45160</v>
      </c>
      <c r="C1831" s="1" t="n">
        <v>45291</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38044-2023</t>
        </is>
      </c>
      <c r="B1832" s="1" t="n">
        <v>45160</v>
      </c>
      <c r="C1832" s="1" t="n">
        <v>45291</v>
      </c>
      <c r="D1832" t="inlineStr">
        <is>
          <t>VÄRMLANDS LÄN</t>
        </is>
      </c>
      <c r="E1832" t="inlineStr">
        <is>
          <t>TORSBY</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38086-2023</t>
        </is>
      </c>
      <c r="B1833" s="1" t="n">
        <v>45160</v>
      </c>
      <c r="C1833" s="1" t="n">
        <v>45291</v>
      </c>
      <c r="D1833" t="inlineStr">
        <is>
          <t>VÄRMLANDS LÄN</t>
        </is>
      </c>
      <c r="E1833" t="inlineStr">
        <is>
          <t>TORSBY</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38252-2023</t>
        </is>
      </c>
      <c r="B1834" s="1" t="n">
        <v>45161</v>
      </c>
      <c r="C1834" s="1" t="n">
        <v>45291</v>
      </c>
      <c r="D1834" t="inlineStr">
        <is>
          <t>VÄRMLANDS LÄN</t>
        </is>
      </c>
      <c r="E1834" t="inlineStr">
        <is>
          <t>TORSBY</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38232-2023</t>
        </is>
      </c>
      <c r="B1835" s="1" t="n">
        <v>45161</v>
      </c>
      <c r="C1835" s="1" t="n">
        <v>45291</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38257-2023</t>
        </is>
      </c>
      <c r="B1836" s="1" t="n">
        <v>45161</v>
      </c>
      <c r="C1836" s="1" t="n">
        <v>45291</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38263-2023</t>
        </is>
      </c>
      <c r="B1837" s="1" t="n">
        <v>45161</v>
      </c>
      <c r="C1837" s="1" t="n">
        <v>45291</v>
      </c>
      <c r="D1837" t="inlineStr">
        <is>
          <t>VÄRMLANDS LÄN</t>
        </is>
      </c>
      <c r="E1837" t="inlineStr">
        <is>
          <t>TORSBY</t>
        </is>
      </c>
      <c r="F1837" t="inlineStr">
        <is>
          <t>Kyrkan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38286-2023</t>
        </is>
      </c>
      <c r="B1838" s="1" t="n">
        <v>45161</v>
      </c>
      <c r="C1838" s="1" t="n">
        <v>45291</v>
      </c>
      <c r="D1838" t="inlineStr">
        <is>
          <t>VÄRMLANDS LÄN</t>
        </is>
      </c>
      <c r="E1838" t="inlineStr">
        <is>
          <t>TORSBY</t>
        </is>
      </c>
      <c r="F1838" t="inlineStr">
        <is>
          <t>Kyrkan</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38541-2023</t>
        </is>
      </c>
      <c r="B1839" s="1" t="n">
        <v>45162</v>
      </c>
      <c r="C1839" s="1" t="n">
        <v>45291</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38641-2023</t>
        </is>
      </c>
      <c r="B1840" s="1" t="n">
        <v>45162</v>
      </c>
      <c r="C1840" s="1" t="n">
        <v>45291</v>
      </c>
      <c r="D1840" t="inlineStr">
        <is>
          <t>VÄRMLANDS LÄN</t>
        </is>
      </c>
      <c r="E1840" t="inlineStr">
        <is>
          <t>TORSBY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38637-2023</t>
        </is>
      </c>
      <c r="B1841" s="1" t="n">
        <v>45162</v>
      </c>
      <c r="C1841" s="1" t="n">
        <v>45291</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38668-2023</t>
        </is>
      </c>
      <c r="B1842" s="1" t="n">
        <v>45162</v>
      </c>
      <c r="C1842" s="1" t="n">
        <v>45291</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39408-2023</t>
        </is>
      </c>
      <c r="B1843" s="1" t="n">
        <v>45163</v>
      </c>
      <c r="C1843" s="1" t="n">
        <v>45291</v>
      </c>
      <c r="D1843" t="inlineStr">
        <is>
          <t>VÄRMLANDS LÄN</t>
        </is>
      </c>
      <c r="E1843" t="inlineStr">
        <is>
          <t>TORSBY</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38991-2023</t>
        </is>
      </c>
      <c r="B1844" s="1" t="n">
        <v>45163</v>
      </c>
      <c r="C1844" s="1" t="n">
        <v>45291</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38722-2023</t>
        </is>
      </c>
      <c r="B1845" s="1" t="n">
        <v>45163</v>
      </c>
      <c r="C1845" s="1" t="n">
        <v>45291</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38979-2023</t>
        </is>
      </c>
      <c r="B1846" s="1" t="n">
        <v>45163</v>
      </c>
      <c r="C1846" s="1" t="n">
        <v>45291</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39131-2023</t>
        </is>
      </c>
      <c r="B1847" s="1" t="n">
        <v>45165</v>
      </c>
      <c r="C1847" s="1" t="n">
        <v>45291</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39134-2023</t>
        </is>
      </c>
      <c r="B1848" s="1" t="n">
        <v>45165</v>
      </c>
      <c r="C1848" s="1" t="n">
        <v>45291</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39390-2023</t>
        </is>
      </c>
      <c r="B1849" s="1" t="n">
        <v>45166</v>
      </c>
      <c r="C1849" s="1" t="n">
        <v>45291</v>
      </c>
      <c r="D1849" t="inlineStr">
        <is>
          <t>VÄRMLANDS LÄN</t>
        </is>
      </c>
      <c r="E1849" t="inlineStr">
        <is>
          <t>TORSBY</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39339-2023</t>
        </is>
      </c>
      <c r="B1850" s="1" t="n">
        <v>45166</v>
      </c>
      <c r="C1850" s="1" t="n">
        <v>45291</v>
      </c>
      <c r="D1850" t="inlineStr">
        <is>
          <t>VÄRMLANDS LÄN</t>
        </is>
      </c>
      <c r="E1850" t="inlineStr">
        <is>
          <t>TORSBY</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39374-2023</t>
        </is>
      </c>
      <c r="B1851" s="1" t="n">
        <v>45166</v>
      </c>
      <c r="C1851" s="1" t="n">
        <v>45291</v>
      </c>
      <c r="D1851" t="inlineStr">
        <is>
          <t>VÄRMLANDS LÄN</t>
        </is>
      </c>
      <c r="E1851" t="inlineStr">
        <is>
          <t>TORSBY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39677-2023</t>
        </is>
      </c>
      <c r="B1852" s="1" t="n">
        <v>45166</v>
      </c>
      <c r="C1852" s="1" t="n">
        <v>45291</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39648-2023</t>
        </is>
      </c>
      <c r="B1853" s="1" t="n">
        <v>45167</v>
      </c>
      <c r="C1853" s="1" t="n">
        <v>45291</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39732-2023</t>
        </is>
      </c>
      <c r="B1854" s="1" t="n">
        <v>45167</v>
      </c>
      <c r="C1854" s="1" t="n">
        <v>45291</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39681-2023</t>
        </is>
      </c>
      <c r="B1855" s="1" t="n">
        <v>45167</v>
      </c>
      <c r="C1855" s="1" t="n">
        <v>45291</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39921-2023</t>
        </is>
      </c>
      <c r="B1856" s="1" t="n">
        <v>45168</v>
      </c>
      <c r="C1856" s="1" t="n">
        <v>45291</v>
      </c>
      <c r="D1856" t="inlineStr">
        <is>
          <t>VÄRMLANDS LÄN</t>
        </is>
      </c>
      <c r="E1856" t="inlineStr">
        <is>
          <t>TORSBY</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39910-2023</t>
        </is>
      </c>
      <c r="B1857" s="1" t="n">
        <v>45168</v>
      </c>
      <c r="C1857" s="1" t="n">
        <v>45291</v>
      </c>
      <c r="D1857" t="inlineStr">
        <is>
          <t>VÄRMLANDS LÄN</t>
        </is>
      </c>
      <c r="E1857" t="inlineStr">
        <is>
          <t>TORSBY</t>
        </is>
      </c>
      <c r="F1857" t="inlineStr">
        <is>
          <t>Kyrkan</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40007-2023</t>
        </is>
      </c>
      <c r="B1858" s="1" t="n">
        <v>45168</v>
      </c>
      <c r="C1858" s="1" t="n">
        <v>45291</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39969-2023</t>
        </is>
      </c>
      <c r="B1859" s="1" t="n">
        <v>45168</v>
      </c>
      <c r="C1859" s="1" t="n">
        <v>45291</v>
      </c>
      <c r="D1859" t="inlineStr">
        <is>
          <t>VÄRMLANDS LÄN</t>
        </is>
      </c>
      <c r="E1859" t="inlineStr">
        <is>
          <t>TORSBY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40207-2023</t>
        </is>
      </c>
      <c r="B1860" s="1" t="n">
        <v>45169</v>
      </c>
      <c r="C1860" s="1" t="n">
        <v>45291</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40228-2023</t>
        </is>
      </c>
      <c r="B1861" s="1" t="n">
        <v>45169</v>
      </c>
      <c r="C1861" s="1" t="n">
        <v>45291</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40222-2023</t>
        </is>
      </c>
      <c r="B1862" s="1" t="n">
        <v>45169</v>
      </c>
      <c r="C1862" s="1" t="n">
        <v>45291</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40468-2023</t>
        </is>
      </c>
      <c r="B1863" s="1" t="n">
        <v>45170</v>
      </c>
      <c r="C1863" s="1" t="n">
        <v>45291</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40512-2023</t>
        </is>
      </c>
      <c r="B1864" s="1" t="n">
        <v>45170</v>
      </c>
      <c r="C1864" s="1" t="n">
        <v>45291</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40470-2023</t>
        </is>
      </c>
      <c r="B1865" s="1" t="n">
        <v>45170</v>
      </c>
      <c r="C1865" s="1" t="n">
        <v>45291</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40538-2023</t>
        </is>
      </c>
      <c r="B1866" s="1" t="n">
        <v>45170</v>
      </c>
      <c r="C1866" s="1" t="n">
        <v>45291</v>
      </c>
      <c r="D1866" t="inlineStr">
        <is>
          <t>VÄRMLANDS LÄN</t>
        </is>
      </c>
      <c r="E1866" t="inlineStr">
        <is>
          <t>TORSBY</t>
        </is>
      </c>
      <c r="F1866" t="inlineStr">
        <is>
          <t>Bergvik skog väst AB</t>
        </is>
      </c>
      <c r="G1866" t="n">
        <v>31.4</v>
      </c>
      <c r="H1866" t="n">
        <v>0</v>
      </c>
      <c r="I1866" t="n">
        <v>0</v>
      </c>
      <c r="J1866" t="n">
        <v>0</v>
      </c>
      <c r="K1866" t="n">
        <v>0</v>
      </c>
      <c r="L1866" t="n">
        <v>0</v>
      </c>
      <c r="M1866" t="n">
        <v>0</v>
      </c>
      <c r="N1866" t="n">
        <v>0</v>
      </c>
      <c r="O1866" t="n">
        <v>0</v>
      </c>
      <c r="P1866" t="n">
        <v>0</v>
      </c>
      <c r="Q1866" t="n">
        <v>0</v>
      </c>
      <c r="R1866" s="2" t="inlineStr"/>
    </row>
    <row r="1867" ht="15" customHeight="1">
      <c r="A1867" t="inlineStr">
        <is>
          <t>A 41469-2023</t>
        </is>
      </c>
      <c r="B1867" s="1" t="n">
        <v>45170</v>
      </c>
      <c r="C1867" s="1" t="n">
        <v>45291</v>
      </c>
      <c r="D1867" t="inlineStr">
        <is>
          <t>VÄRMLANDS LÄN</t>
        </is>
      </c>
      <c r="E1867" t="inlineStr">
        <is>
          <t>TORSBY</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40858-2023</t>
        </is>
      </c>
      <c r="B1868" s="1" t="n">
        <v>45173</v>
      </c>
      <c r="C1868" s="1" t="n">
        <v>45291</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40971-2023</t>
        </is>
      </c>
      <c r="B1869" s="1" t="n">
        <v>45173</v>
      </c>
      <c r="C1869" s="1" t="n">
        <v>45291</v>
      </c>
      <c r="D1869" t="inlineStr">
        <is>
          <t>VÄRMLANDS LÄN</t>
        </is>
      </c>
      <c r="E1869" t="inlineStr">
        <is>
          <t>TORSBY</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41096-2023</t>
        </is>
      </c>
      <c r="B1870" s="1" t="n">
        <v>45173</v>
      </c>
      <c r="C1870" s="1" t="n">
        <v>45291</v>
      </c>
      <c r="D1870" t="inlineStr">
        <is>
          <t>VÄRMLANDS LÄN</t>
        </is>
      </c>
      <c r="E1870" t="inlineStr">
        <is>
          <t>TORSBY</t>
        </is>
      </c>
      <c r="F1870" t="inlineStr">
        <is>
          <t>Bergvik skog väst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41056-2023</t>
        </is>
      </c>
      <c r="B1871" s="1" t="n">
        <v>45173</v>
      </c>
      <c r="C1871" s="1" t="n">
        <v>45291</v>
      </c>
      <c r="D1871" t="inlineStr">
        <is>
          <t>VÄRMLANDS LÄN</t>
        </is>
      </c>
      <c r="E1871" t="inlineStr">
        <is>
          <t>TORSBY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41022-2023</t>
        </is>
      </c>
      <c r="B1872" s="1" t="n">
        <v>45173</v>
      </c>
      <c r="C1872" s="1" t="n">
        <v>45291</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41050-2023</t>
        </is>
      </c>
      <c r="B1873" s="1" t="n">
        <v>45173</v>
      </c>
      <c r="C1873" s="1" t="n">
        <v>45291</v>
      </c>
      <c r="D1873" t="inlineStr">
        <is>
          <t>VÄRMLANDS LÄN</t>
        </is>
      </c>
      <c r="E1873" t="inlineStr">
        <is>
          <t>TORSBY</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41059-2023</t>
        </is>
      </c>
      <c r="B1874" s="1" t="n">
        <v>45173</v>
      </c>
      <c r="C1874" s="1" t="n">
        <v>45291</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45291</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41160-2023</t>
        </is>
      </c>
      <c r="B1876" s="1" t="n">
        <v>45174</v>
      </c>
      <c r="C1876" s="1" t="n">
        <v>45291</v>
      </c>
      <c r="D1876" t="inlineStr">
        <is>
          <t>VÄRMLANDS LÄN</t>
        </is>
      </c>
      <c r="E1876" t="inlineStr">
        <is>
          <t>TORSBY</t>
        </is>
      </c>
      <c r="F1876" t="inlineStr">
        <is>
          <t>Kyrkan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41246-2023</t>
        </is>
      </c>
      <c r="B1877" s="1" t="n">
        <v>45174</v>
      </c>
      <c r="C1877" s="1" t="n">
        <v>45291</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41270-2023</t>
        </is>
      </c>
      <c r="B1878" s="1" t="n">
        <v>45174</v>
      </c>
      <c r="C1878" s="1" t="n">
        <v>45291</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42069-2023</t>
        </is>
      </c>
      <c r="B1879" s="1" t="n">
        <v>45174</v>
      </c>
      <c r="C1879" s="1" t="n">
        <v>45291</v>
      </c>
      <c r="D1879" t="inlineStr">
        <is>
          <t>VÄRMLANDS LÄN</t>
        </is>
      </c>
      <c r="E1879" t="inlineStr">
        <is>
          <t>TORSBY</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42060-2023</t>
        </is>
      </c>
      <c r="B1880" s="1" t="n">
        <v>45174</v>
      </c>
      <c r="C1880" s="1" t="n">
        <v>45291</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41488-2023</t>
        </is>
      </c>
      <c r="B1881" s="1" t="n">
        <v>45175</v>
      </c>
      <c r="C1881" s="1" t="n">
        <v>45291</v>
      </c>
      <c r="D1881" t="inlineStr">
        <is>
          <t>VÄRMLANDS LÄN</t>
        </is>
      </c>
      <c r="E1881" t="inlineStr">
        <is>
          <t>TORSBY</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41438-2023</t>
        </is>
      </c>
      <c r="B1882" s="1" t="n">
        <v>45175</v>
      </c>
      <c r="C1882" s="1" t="n">
        <v>45291</v>
      </c>
      <c r="D1882" t="inlineStr">
        <is>
          <t>VÄRMLANDS LÄN</t>
        </is>
      </c>
      <c r="E1882" t="inlineStr">
        <is>
          <t>TORSBY</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41431-2023</t>
        </is>
      </c>
      <c r="B1883" s="1" t="n">
        <v>45175</v>
      </c>
      <c r="C1883" s="1" t="n">
        <v>45291</v>
      </c>
      <c r="D1883" t="inlineStr">
        <is>
          <t>VÄRMLANDS LÄN</t>
        </is>
      </c>
      <c r="E1883" t="inlineStr">
        <is>
          <t>TORSBY</t>
        </is>
      </c>
      <c r="F1883" t="inlineStr">
        <is>
          <t>Bergvik skog väst AB</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41867-2023</t>
        </is>
      </c>
      <c r="B1884" s="1" t="n">
        <v>45176</v>
      </c>
      <c r="C1884" s="1" t="n">
        <v>45291</v>
      </c>
      <c r="D1884" t="inlineStr">
        <is>
          <t>VÄRMLANDS LÄN</t>
        </is>
      </c>
      <c r="E1884" t="inlineStr">
        <is>
          <t>TORSBY</t>
        </is>
      </c>
      <c r="F1884" t="inlineStr">
        <is>
          <t>Bergvik skog väst AB</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41833-2023</t>
        </is>
      </c>
      <c r="B1885" s="1" t="n">
        <v>45176</v>
      </c>
      <c r="C1885" s="1" t="n">
        <v>45291</v>
      </c>
      <c r="D1885" t="inlineStr">
        <is>
          <t>VÄRMLANDS LÄN</t>
        </is>
      </c>
      <c r="E1885" t="inlineStr">
        <is>
          <t>TORSBY</t>
        </is>
      </c>
      <c r="F1885" t="inlineStr">
        <is>
          <t>Bergvik skog väst AB</t>
        </is>
      </c>
      <c r="G1885" t="n">
        <v>21.7</v>
      </c>
      <c r="H1885" t="n">
        <v>0</v>
      </c>
      <c r="I1885" t="n">
        <v>0</v>
      </c>
      <c r="J1885" t="n">
        <v>0</v>
      </c>
      <c r="K1885" t="n">
        <v>0</v>
      </c>
      <c r="L1885" t="n">
        <v>0</v>
      </c>
      <c r="M1885" t="n">
        <v>0</v>
      </c>
      <c r="N1885" t="n">
        <v>0</v>
      </c>
      <c r="O1885" t="n">
        <v>0</v>
      </c>
      <c r="P1885" t="n">
        <v>0</v>
      </c>
      <c r="Q1885" t="n">
        <v>0</v>
      </c>
      <c r="R1885" s="2" t="inlineStr"/>
    </row>
    <row r="1886" ht="15" customHeight="1">
      <c r="A1886" t="inlineStr">
        <is>
          <t>A 41841-2023</t>
        </is>
      </c>
      <c r="B1886" s="1" t="n">
        <v>45176</v>
      </c>
      <c r="C1886" s="1" t="n">
        <v>45291</v>
      </c>
      <c r="D1886" t="inlineStr">
        <is>
          <t>VÄRMLANDS LÄN</t>
        </is>
      </c>
      <c r="E1886" t="inlineStr">
        <is>
          <t>TORSBY</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41885-2023</t>
        </is>
      </c>
      <c r="B1887" s="1" t="n">
        <v>45176</v>
      </c>
      <c r="C1887" s="1" t="n">
        <v>45291</v>
      </c>
      <c r="D1887" t="inlineStr">
        <is>
          <t>VÄRMLANDS LÄN</t>
        </is>
      </c>
      <c r="E1887" t="inlineStr">
        <is>
          <t>TORSBY</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41843-2023</t>
        </is>
      </c>
      <c r="B1888" s="1" t="n">
        <v>45176</v>
      </c>
      <c r="C1888" s="1" t="n">
        <v>45291</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41868-2023</t>
        </is>
      </c>
      <c r="B1889" s="1" t="n">
        <v>45176</v>
      </c>
      <c r="C1889" s="1" t="n">
        <v>45291</v>
      </c>
      <c r="D1889" t="inlineStr">
        <is>
          <t>VÄRMLANDS LÄN</t>
        </is>
      </c>
      <c r="E1889" t="inlineStr">
        <is>
          <t>TORSBY</t>
        </is>
      </c>
      <c r="F1889" t="inlineStr">
        <is>
          <t>Bergvik skog väst AB</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42062-2023</t>
        </is>
      </c>
      <c r="B1890" s="1" t="n">
        <v>45177</v>
      </c>
      <c r="C1890" s="1" t="n">
        <v>45291</v>
      </c>
      <c r="D1890" t="inlineStr">
        <is>
          <t>VÄRMLANDS LÄN</t>
        </is>
      </c>
      <c r="E1890" t="inlineStr">
        <is>
          <t>TORSBY</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42245-2023</t>
        </is>
      </c>
      <c r="B1891" s="1" t="n">
        <v>45180</v>
      </c>
      <c r="C1891" s="1" t="n">
        <v>45291</v>
      </c>
      <c r="D1891" t="inlineStr">
        <is>
          <t>VÄRMLANDS LÄN</t>
        </is>
      </c>
      <c r="E1891" t="inlineStr">
        <is>
          <t>TORSBY</t>
        </is>
      </c>
      <c r="F1891" t="inlineStr">
        <is>
          <t>Bergvik skog väst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42473-2023</t>
        </is>
      </c>
      <c r="B1892" s="1" t="n">
        <v>45180</v>
      </c>
      <c r="C1892" s="1" t="n">
        <v>45291</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42403-2023</t>
        </is>
      </c>
      <c r="B1893" s="1" t="n">
        <v>45180</v>
      </c>
      <c r="C1893" s="1" t="n">
        <v>45291</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42420-2023</t>
        </is>
      </c>
      <c r="B1894" s="1" t="n">
        <v>45180</v>
      </c>
      <c r="C1894" s="1" t="n">
        <v>45291</v>
      </c>
      <c r="D1894" t="inlineStr">
        <is>
          <t>VÄRMLANDS LÄN</t>
        </is>
      </c>
      <c r="E1894" t="inlineStr">
        <is>
          <t>TORSBY</t>
        </is>
      </c>
      <c r="F1894" t="inlineStr">
        <is>
          <t>Bergvik skog väst AB</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43532-2023</t>
        </is>
      </c>
      <c r="B1895" s="1" t="n">
        <v>45181</v>
      </c>
      <c r="C1895" s="1" t="n">
        <v>45291</v>
      </c>
      <c r="D1895" t="inlineStr">
        <is>
          <t>VÄRMLANDS LÄN</t>
        </is>
      </c>
      <c r="E1895" t="inlineStr">
        <is>
          <t>TORSBY</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43529-2023</t>
        </is>
      </c>
      <c r="B1896" s="1" t="n">
        <v>45181</v>
      </c>
      <c r="C1896" s="1" t="n">
        <v>45291</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43527-2023</t>
        </is>
      </c>
      <c r="B1897" s="1" t="n">
        <v>45181</v>
      </c>
      <c r="C1897" s="1" t="n">
        <v>45291</v>
      </c>
      <c r="D1897" t="inlineStr">
        <is>
          <t>VÄRMLANDS LÄN</t>
        </is>
      </c>
      <c r="E1897" t="inlineStr">
        <is>
          <t>TORSBY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43536-2023</t>
        </is>
      </c>
      <c r="B1898" s="1" t="n">
        <v>45181</v>
      </c>
      <c r="C1898" s="1" t="n">
        <v>45291</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43528-2023</t>
        </is>
      </c>
      <c r="B1899" s="1" t="n">
        <v>45181</v>
      </c>
      <c r="C1899" s="1" t="n">
        <v>45291</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42645-2023</t>
        </is>
      </c>
      <c r="B1900" s="1" t="n">
        <v>45181</v>
      </c>
      <c r="C1900" s="1" t="n">
        <v>45291</v>
      </c>
      <c r="D1900" t="inlineStr">
        <is>
          <t>VÄRMLANDS LÄN</t>
        </is>
      </c>
      <c r="E1900" t="inlineStr">
        <is>
          <t>TORSBY</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42652-2023</t>
        </is>
      </c>
      <c r="B1901" s="1" t="n">
        <v>45181</v>
      </c>
      <c r="C1901" s="1" t="n">
        <v>45291</v>
      </c>
      <c r="D1901" t="inlineStr">
        <is>
          <t>VÄRMLANDS LÄN</t>
        </is>
      </c>
      <c r="E1901" t="inlineStr">
        <is>
          <t>TORSBY</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42656-2023</t>
        </is>
      </c>
      <c r="B1902" s="1" t="n">
        <v>45181</v>
      </c>
      <c r="C1902" s="1" t="n">
        <v>45291</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42581-2023</t>
        </is>
      </c>
      <c r="B1903" s="1" t="n">
        <v>45181</v>
      </c>
      <c r="C1903" s="1" t="n">
        <v>45291</v>
      </c>
      <c r="D1903" t="inlineStr">
        <is>
          <t>VÄRMLANDS LÄN</t>
        </is>
      </c>
      <c r="E1903" t="inlineStr">
        <is>
          <t>TORSBY</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42613-2023</t>
        </is>
      </c>
      <c r="B1904" s="1" t="n">
        <v>45181</v>
      </c>
      <c r="C1904" s="1" t="n">
        <v>45291</v>
      </c>
      <c r="D1904" t="inlineStr">
        <is>
          <t>VÄRMLANDS LÄN</t>
        </is>
      </c>
      <c r="E1904" t="inlineStr">
        <is>
          <t>TORSBY</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42635-2023</t>
        </is>
      </c>
      <c r="B1905" s="1" t="n">
        <v>45181</v>
      </c>
      <c r="C1905" s="1" t="n">
        <v>45291</v>
      </c>
      <c r="D1905" t="inlineStr">
        <is>
          <t>VÄRMLANDS LÄN</t>
        </is>
      </c>
      <c r="E1905" t="inlineStr">
        <is>
          <t>TORSBY</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42658-2023</t>
        </is>
      </c>
      <c r="B1906" s="1" t="n">
        <v>45181</v>
      </c>
      <c r="C1906" s="1" t="n">
        <v>45291</v>
      </c>
      <c r="D1906" t="inlineStr">
        <is>
          <t>VÄRMLANDS LÄN</t>
        </is>
      </c>
      <c r="E1906" t="inlineStr">
        <is>
          <t>TORSBY</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42710-2023</t>
        </is>
      </c>
      <c r="B1907" s="1" t="n">
        <v>45181</v>
      </c>
      <c r="C1907" s="1" t="n">
        <v>45291</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45291</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42944-2023</t>
        </is>
      </c>
      <c r="B1909" s="1" t="n">
        <v>45182</v>
      </c>
      <c r="C1909" s="1" t="n">
        <v>45291</v>
      </c>
      <c r="D1909" t="inlineStr">
        <is>
          <t>VÄRMLANDS LÄN</t>
        </is>
      </c>
      <c r="E1909" t="inlineStr">
        <is>
          <t>TORSBY</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43084-2023</t>
        </is>
      </c>
      <c r="B1910" s="1" t="n">
        <v>45182</v>
      </c>
      <c r="C1910" s="1" t="n">
        <v>45291</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44083-2023</t>
        </is>
      </c>
      <c r="B1911" s="1" t="n">
        <v>45182</v>
      </c>
      <c r="C1911" s="1" t="n">
        <v>45291</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44094-2023</t>
        </is>
      </c>
      <c r="B1912" s="1" t="n">
        <v>45182</v>
      </c>
      <c r="C1912" s="1" t="n">
        <v>45291</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43179-2023</t>
        </is>
      </c>
      <c r="B1913" s="1" t="n">
        <v>45183</v>
      </c>
      <c r="C1913" s="1" t="n">
        <v>45291</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43361-2023</t>
        </is>
      </c>
      <c r="B1914" s="1" t="n">
        <v>45183</v>
      </c>
      <c r="C1914" s="1" t="n">
        <v>45291</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43540-2023</t>
        </is>
      </c>
      <c r="B1915" s="1" t="n">
        <v>45184</v>
      </c>
      <c r="C1915" s="1" t="n">
        <v>45291</v>
      </c>
      <c r="D1915" t="inlineStr">
        <is>
          <t>VÄRMLANDS LÄN</t>
        </is>
      </c>
      <c r="E1915" t="inlineStr">
        <is>
          <t>TORSBY</t>
        </is>
      </c>
      <c r="F1915" t="inlineStr">
        <is>
          <t>Bergvik skog väst AB</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43562-2023</t>
        </is>
      </c>
      <c r="B1916" s="1" t="n">
        <v>45184</v>
      </c>
      <c r="C1916" s="1" t="n">
        <v>45291</v>
      </c>
      <c r="D1916" t="inlineStr">
        <is>
          <t>VÄRMLANDS LÄN</t>
        </is>
      </c>
      <c r="E1916" t="inlineStr">
        <is>
          <t>TORSBY</t>
        </is>
      </c>
      <c r="F1916" t="inlineStr">
        <is>
          <t>Kommuner</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43599-2023</t>
        </is>
      </c>
      <c r="B1917" s="1" t="n">
        <v>45184</v>
      </c>
      <c r="C1917" s="1" t="n">
        <v>45291</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43663-2023</t>
        </is>
      </c>
      <c r="B1918" s="1" t="n">
        <v>45187</v>
      </c>
      <c r="C1918" s="1" t="n">
        <v>45291</v>
      </c>
      <c r="D1918" t="inlineStr">
        <is>
          <t>VÄRMLANDS LÄN</t>
        </is>
      </c>
      <c r="E1918" t="inlineStr">
        <is>
          <t>TORSBY</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43670-2023</t>
        </is>
      </c>
      <c r="B1919" s="1" t="n">
        <v>45187</v>
      </c>
      <c r="C1919" s="1" t="n">
        <v>45291</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44047-2023</t>
        </is>
      </c>
      <c r="B1920" s="1" t="n">
        <v>45188</v>
      </c>
      <c r="C1920" s="1" t="n">
        <v>45291</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44150-2023</t>
        </is>
      </c>
      <c r="B1921" s="1" t="n">
        <v>45188</v>
      </c>
      <c r="C1921" s="1" t="n">
        <v>45291</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44044-2023</t>
        </is>
      </c>
      <c r="B1922" s="1" t="n">
        <v>45188</v>
      </c>
      <c r="C1922" s="1" t="n">
        <v>45291</v>
      </c>
      <c r="D1922" t="inlineStr">
        <is>
          <t>VÄRMLANDS LÄN</t>
        </is>
      </c>
      <c r="E1922" t="inlineStr">
        <is>
          <t>TORSBY</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44127-2023</t>
        </is>
      </c>
      <c r="B1923" s="1" t="n">
        <v>45188</v>
      </c>
      <c r="C1923" s="1" t="n">
        <v>45291</v>
      </c>
      <c r="D1923" t="inlineStr">
        <is>
          <t>VÄRMLANDS LÄN</t>
        </is>
      </c>
      <c r="E1923" t="inlineStr">
        <is>
          <t>TORSBY</t>
        </is>
      </c>
      <c r="F1923" t="inlineStr">
        <is>
          <t>Bergvik skog väst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44262-2023</t>
        </is>
      </c>
      <c r="B1924" s="1" t="n">
        <v>45188</v>
      </c>
      <c r="C1924" s="1" t="n">
        <v>45291</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44113-2023</t>
        </is>
      </c>
      <c r="B1925" s="1" t="n">
        <v>45188</v>
      </c>
      <c r="C1925" s="1" t="n">
        <v>45291</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44424-2023</t>
        </is>
      </c>
      <c r="B1926" s="1" t="n">
        <v>45189</v>
      </c>
      <c r="C1926" s="1" t="n">
        <v>45291</v>
      </c>
      <c r="D1926" t="inlineStr">
        <is>
          <t>VÄRMLANDS LÄN</t>
        </is>
      </c>
      <c r="E1926" t="inlineStr">
        <is>
          <t>TORSBY</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44497-2023</t>
        </is>
      </c>
      <c r="B1927" s="1" t="n">
        <v>45189</v>
      </c>
      <c r="C1927" s="1" t="n">
        <v>45291</v>
      </c>
      <c r="D1927" t="inlineStr">
        <is>
          <t>VÄRMLANDS LÄN</t>
        </is>
      </c>
      <c r="E1927" t="inlineStr">
        <is>
          <t>TORSBY</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44562-2023</t>
        </is>
      </c>
      <c r="B1928" s="1" t="n">
        <v>45189</v>
      </c>
      <c r="C1928" s="1" t="n">
        <v>45291</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44641-2023</t>
        </is>
      </c>
      <c r="B1929" s="1" t="n">
        <v>45189</v>
      </c>
      <c r="C1929" s="1" t="n">
        <v>45291</v>
      </c>
      <c r="D1929" t="inlineStr">
        <is>
          <t>VÄRMLANDS LÄN</t>
        </is>
      </c>
      <c r="E1929" t="inlineStr">
        <is>
          <t>TORSBY</t>
        </is>
      </c>
      <c r="F1929" t="inlineStr">
        <is>
          <t>Bergvik skog väst AB</t>
        </is>
      </c>
      <c r="G1929" t="n">
        <v>20.3</v>
      </c>
      <c r="H1929" t="n">
        <v>0</v>
      </c>
      <c r="I1929" t="n">
        <v>0</v>
      </c>
      <c r="J1929" t="n">
        <v>0</v>
      </c>
      <c r="K1929" t="n">
        <v>0</v>
      </c>
      <c r="L1929" t="n">
        <v>0</v>
      </c>
      <c r="M1929" t="n">
        <v>0</v>
      </c>
      <c r="N1929" t="n">
        <v>0</v>
      </c>
      <c r="O1929" t="n">
        <v>0</v>
      </c>
      <c r="P1929" t="n">
        <v>0</v>
      </c>
      <c r="Q1929" t="n">
        <v>0</v>
      </c>
      <c r="R1929" s="2" t="inlineStr"/>
    </row>
    <row r="1930" ht="15" customHeight="1">
      <c r="A1930" t="inlineStr">
        <is>
          <t>A 44645-2023</t>
        </is>
      </c>
      <c r="B1930" s="1" t="n">
        <v>45189</v>
      </c>
      <c r="C1930" s="1" t="n">
        <v>45291</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44670-2023</t>
        </is>
      </c>
      <c r="B1931" s="1" t="n">
        <v>45189</v>
      </c>
      <c r="C1931" s="1" t="n">
        <v>45291</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44710-2023</t>
        </is>
      </c>
      <c r="B1932" s="1" t="n">
        <v>45190</v>
      </c>
      <c r="C1932" s="1" t="n">
        <v>45291</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44730-2023</t>
        </is>
      </c>
      <c r="B1933" s="1" t="n">
        <v>45190</v>
      </c>
      <c r="C1933" s="1" t="n">
        <v>45291</v>
      </c>
      <c r="D1933" t="inlineStr">
        <is>
          <t>VÄRMLANDS LÄN</t>
        </is>
      </c>
      <c r="E1933" t="inlineStr">
        <is>
          <t>TORSBY</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45224-2023</t>
        </is>
      </c>
      <c r="B1934" s="1" t="n">
        <v>45191</v>
      </c>
      <c r="C1934" s="1" t="n">
        <v>45291</v>
      </c>
      <c r="D1934" t="inlineStr">
        <is>
          <t>VÄRMLANDS LÄN</t>
        </is>
      </c>
      <c r="E1934" t="inlineStr">
        <is>
          <t>TORSBY</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45041-2023</t>
        </is>
      </c>
      <c r="B1935" s="1" t="n">
        <v>45191</v>
      </c>
      <c r="C1935" s="1" t="n">
        <v>45291</v>
      </c>
      <c r="D1935" t="inlineStr">
        <is>
          <t>VÄRMLANDS LÄN</t>
        </is>
      </c>
      <c r="E1935" t="inlineStr">
        <is>
          <t>TORSBY</t>
        </is>
      </c>
      <c r="F1935" t="inlineStr">
        <is>
          <t>Kyrkan</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45152-2023</t>
        </is>
      </c>
      <c r="B1936" s="1" t="n">
        <v>45191</v>
      </c>
      <c r="C1936" s="1" t="n">
        <v>45291</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45169-2023</t>
        </is>
      </c>
      <c r="B1937" s="1" t="n">
        <v>45191</v>
      </c>
      <c r="C1937" s="1" t="n">
        <v>45291</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45231-2023</t>
        </is>
      </c>
      <c r="B1938" s="1" t="n">
        <v>45191</v>
      </c>
      <c r="C1938" s="1" t="n">
        <v>45291</v>
      </c>
      <c r="D1938" t="inlineStr">
        <is>
          <t>VÄRMLANDS LÄN</t>
        </is>
      </c>
      <c r="E1938" t="inlineStr">
        <is>
          <t>TORSBY</t>
        </is>
      </c>
      <c r="F1938" t="inlineStr">
        <is>
          <t>Bergvik skog väst AB</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45228-2023</t>
        </is>
      </c>
      <c r="B1939" s="1" t="n">
        <v>45191</v>
      </c>
      <c r="C1939" s="1" t="n">
        <v>45291</v>
      </c>
      <c r="D1939" t="inlineStr">
        <is>
          <t>VÄRMLANDS LÄN</t>
        </is>
      </c>
      <c r="E1939" t="inlineStr">
        <is>
          <t>TORSBY</t>
        </is>
      </c>
      <c r="F1939" t="inlineStr">
        <is>
          <t>Bergvik skog väst AB</t>
        </is>
      </c>
      <c r="G1939" t="n">
        <v>26.8</v>
      </c>
      <c r="H1939" t="n">
        <v>0</v>
      </c>
      <c r="I1939" t="n">
        <v>0</v>
      </c>
      <c r="J1939" t="n">
        <v>0</v>
      </c>
      <c r="K1939" t="n">
        <v>0</v>
      </c>
      <c r="L1939" t="n">
        <v>0</v>
      </c>
      <c r="M1939" t="n">
        <v>0</v>
      </c>
      <c r="N1939" t="n">
        <v>0</v>
      </c>
      <c r="O1939" t="n">
        <v>0</v>
      </c>
      <c r="P1939" t="n">
        <v>0</v>
      </c>
      <c r="Q1939" t="n">
        <v>0</v>
      </c>
      <c r="R1939" s="2" t="inlineStr"/>
    </row>
    <row r="1940" ht="15" customHeight="1">
      <c r="A1940" t="inlineStr">
        <is>
          <t>A 45587-2023</t>
        </is>
      </c>
      <c r="B1940" s="1" t="n">
        <v>45194</v>
      </c>
      <c r="C1940" s="1" t="n">
        <v>45291</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45399-2023</t>
        </is>
      </c>
      <c r="B1941" s="1" t="n">
        <v>45194</v>
      </c>
      <c r="C1941" s="1" t="n">
        <v>45291</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45563-2023</t>
        </is>
      </c>
      <c r="B1942" s="1" t="n">
        <v>45194</v>
      </c>
      <c r="C1942" s="1" t="n">
        <v>45291</v>
      </c>
      <c r="D1942" t="inlineStr">
        <is>
          <t>VÄRMLANDS LÄN</t>
        </is>
      </c>
      <c r="E1942" t="inlineStr">
        <is>
          <t>TORSBY</t>
        </is>
      </c>
      <c r="F1942" t="inlineStr">
        <is>
          <t>Bergvik skog väst AB</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45765-2023</t>
        </is>
      </c>
      <c r="B1943" s="1" t="n">
        <v>45195</v>
      </c>
      <c r="C1943" s="1" t="n">
        <v>45291</v>
      </c>
      <c r="D1943" t="inlineStr">
        <is>
          <t>VÄRMLANDS LÄN</t>
        </is>
      </c>
      <c r="E1943" t="inlineStr">
        <is>
          <t>TORSBY</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45872-2023</t>
        </is>
      </c>
      <c r="B1944" s="1" t="n">
        <v>45195</v>
      </c>
      <c r="C1944" s="1" t="n">
        <v>45291</v>
      </c>
      <c r="D1944" t="inlineStr">
        <is>
          <t>VÄRMLANDS LÄN</t>
        </is>
      </c>
      <c r="E1944" t="inlineStr">
        <is>
          <t>TORSBY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45775-2023</t>
        </is>
      </c>
      <c r="B1945" s="1" t="n">
        <v>45195</v>
      </c>
      <c r="C1945" s="1" t="n">
        <v>45291</v>
      </c>
      <c r="D1945" t="inlineStr">
        <is>
          <t>VÄRMLANDS LÄN</t>
        </is>
      </c>
      <c r="E1945" t="inlineStr">
        <is>
          <t>TORSBY</t>
        </is>
      </c>
      <c r="F1945" t="inlineStr">
        <is>
          <t>Bergvik skog väst AB</t>
        </is>
      </c>
      <c r="G1945" t="n">
        <v>34.2</v>
      </c>
      <c r="H1945" t="n">
        <v>0</v>
      </c>
      <c r="I1945" t="n">
        <v>0</v>
      </c>
      <c r="J1945" t="n">
        <v>0</v>
      </c>
      <c r="K1945" t="n">
        <v>0</v>
      </c>
      <c r="L1945" t="n">
        <v>0</v>
      </c>
      <c r="M1945" t="n">
        <v>0</v>
      </c>
      <c r="N1945" t="n">
        <v>0</v>
      </c>
      <c r="O1945" t="n">
        <v>0</v>
      </c>
      <c r="P1945" t="n">
        <v>0</v>
      </c>
      <c r="Q1945" t="n">
        <v>0</v>
      </c>
      <c r="R1945" s="2" t="inlineStr"/>
    </row>
    <row r="1946" ht="15" customHeight="1">
      <c r="A1946" t="inlineStr">
        <is>
          <t>A 46003-2023</t>
        </is>
      </c>
      <c r="B1946" s="1" t="n">
        <v>45196</v>
      </c>
      <c r="C1946" s="1" t="n">
        <v>45291</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46048-2023</t>
        </is>
      </c>
      <c r="B1947" s="1" t="n">
        <v>45196</v>
      </c>
      <c r="C1947" s="1" t="n">
        <v>45291</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46001-2023</t>
        </is>
      </c>
      <c r="B1948" s="1" t="n">
        <v>45196</v>
      </c>
      <c r="C1948" s="1" t="n">
        <v>45291</v>
      </c>
      <c r="D1948" t="inlineStr">
        <is>
          <t>VÄRMLANDS LÄN</t>
        </is>
      </c>
      <c r="E1948" t="inlineStr">
        <is>
          <t>TORSBY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46202-2023</t>
        </is>
      </c>
      <c r="B1949" s="1" t="n">
        <v>45196</v>
      </c>
      <c r="C1949" s="1" t="n">
        <v>45291</v>
      </c>
      <c r="D1949" t="inlineStr">
        <is>
          <t>VÄRMLANDS LÄN</t>
        </is>
      </c>
      <c r="E1949" t="inlineStr">
        <is>
          <t>TORSBY</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46233-2023</t>
        </is>
      </c>
      <c r="B1950" s="1" t="n">
        <v>45196</v>
      </c>
      <c r="C1950" s="1" t="n">
        <v>45291</v>
      </c>
      <c r="D1950" t="inlineStr">
        <is>
          <t>VÄRMLANDS LÄN</t>
        </is>
      </c>
      <c r="E1950" t="inlineStr">
        <is>
          <t>TORSBY</t>
        </is>
      </c>
      <c r="F1950" t="inlineStr">
        <is>
          <t>Kyrkan</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46127-2023</t>
        </is>
      </c>
      <c r="B1951" s="1" t="n">
        <v>45196</v>
      </c>
      <c r="C1951" s="1" t="n">
        <v>45291</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46199-2023</t>
        </is>
      </c>
      <c r="B1952" s="1" t="n">
        <v>45196</v>
      </c>
      <c r="C1952" s="1" t="n">
        <v>45291</v>
      </c>
      <c r="D1952" t="inlineStr">
        <is>
          <t>VÄRMLANDS LÄN</t>
        </is>
      </c>
      <c r="E1952" t="inlineStr">
        <is>
          <t>TORSBY</t>
        </is>
      </c>
      <c r="F1952" t="inlineStr">
        <is>
          <t>Bergvik skog väst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46220-2023</t>
        </is>
      </c>
      <c r="B1953" s="1" t="n">
        <v>45196</v>
      </c>
      <c r="C1953" s="1" t="n">
        <v>45291</v>
      </c>
      <c r="D1953" t="inlineStr">
        <is>
          <t>VÄRMLANDS LÄN</t>
        </is>
      </c>
      <c r="E1953" t="inlineStr">
        <is>
          <t>TORSBY</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46156-2023</t>
        </is>
      </c>
      <c r="B1954" s="1" t="n">
        <v>45196</v>
      </c>
      <c r="C1954" s="1" t="n">
        <v>45291</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46180-2023</t>
        </is>
      </c>
      <c r="B1955" s="1" t="n">
        <v>45196</v>
      </c>
      <c r="C1955" s="1" t="n">
        <v>45291</v>
      </c>
      <c r="D1955" t="inlineStr">
        <is>
          <t>VÄRMLANDS LÄN</t>
        </is>
      </c>
      <c r="E1955" t="inlineStr">
        <is>
          <t>TORSBY</t>
        </is>
      </c>
      <c r="F1955" t="inlineStr">
        <is>
          <t>Bergvik skog väst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46195-2023</t>
        </is>
      </c>
      <c r="B1956" s="1" t="n">
        <v>45196</v>
      </c>
      <c r="C1956" s="1" t="n">
        <v>45291</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46221-2023</t>
        </is>
      </c>
      <c r="B1957" s="1" t="n">
        <v>45196</v>
      </c>
      <c r="C1957" s="1" t="n">
        <v>45291</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47227-2023</t>
        </is>
      </c>
      <c r="B1958" s="1" t="n">
        <v>45196</v>
      </c>
      <c r="C1958" s="1" t="n">
        <v>45291</v>
      </c>
      <c r="D1958" t="inlineStr">
        <is>
          <t>VÄRMLANDS LÄN</t>
        </is>
      </c>
      <c r="E1958" t="inlineStr">
        <is>
          <t>TORSBY</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46424-2023</t>
        </is>
      </c>
      <c r="B1959" s="1" t="n">
        <v>45197</v>
      </c>
      <c r="C1959" s="1" t="n">
        <v>45291</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46449-2023</t>
        </is>
      </c>
      <c r="B1960" s="1" t="n">
        <v>45197</v>
      </c>
      <c r="C1960" s="1" t="n">
        <v>45291</v>
      </c>
      <c r="D1960" t="inlineStr">
        <is>
          <t>VÄRMLANDS LÄN</t>
        </is>
      </c>
      <c r="E1960" t="inlineStr">
        <is>
          <t>TORSBY</t>
        </is>
      </c>
      <c r="F1960" t="inlineStr">
        <is>
          <t>Bergvik skog väst AB</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46509-2023</t>
        </is>
      </c>
      <c r="B1961" s="1" t="n">
        <v>45197</v>
      </c>
      <c r="C1961" s="1" t="n">
        <v>45291</v>
      </c>
      <c r="D1961" t="inlineStr">
        <is>
          <t>VÄRMLANDS LÄN</t>
        </is>
      </c>
      <c r="E1961" t="inlineStr">
        <is>
          <t>TORSBY</t>
        </is>
      </c>
      <c r="F1961" t="inlineStr">
        <is>
          <t>Bergvik skog väst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46489-2023</t>
        </is>
      </c>
      <c r="B1962" s="1" t="n">
        <v>45197</v>
      </c>
      <c r="C1962" s="1" t="n">
        <v>45291</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47119-2023</t>
        </is>
      </c>
      <c r="B1963" s="1" t="n">
        <v>45201</v>
      </c>
      <c r="C1963" s="1" t="n">
        <v>45291</v>
      </c>
      <c r="D1963" t="inlineStr">
        <is>
          <t>VÄRMLANDS LÄN</t>
        </is>
      </c>
      <c r="E1963" t="inlineStr">
        <is>
          <t>TORSBY</t>
        </is>
      </c>
      <c r="F1963" t="inlineStr">
        <is>
          <t>Bergvik skog väst AB</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46880-2023</t>
        </is>
      </c>
      <c r="B1964" s="1" t="n">
        <v>45201</v>
      </c>
      <c r="C1964" s="1" t="n">
        <v>45291</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46938-2023</t>
        </is>
      </c>
      <c r="B1965" s="1" t="n">
        <v>45201</v>
      </c>
      <c r="C1965" s="1" t="n">
        <v>45291</v>
      </c>
      <c r="D1965" t="inlineStr">
        <is>
          <t>VÄRMLANDS LÄN</t>
        </is>
      </c>
      <c r="E1965" t="inlineStr">
        <is>
          <t>TORSBY</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47077-2023</t>
        </is>
      </c>
      <c r="B1966" s="1" t="n">
        <v>45201</v>
      </c>
      <c r="C1966" s="1" t="n">
        <v>45291</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47275-2023</t>
        </is>
      </c>
      <c r="B1967" s="1" t="n">
        <v>45202</v>
      </c>
      <c r="C1967" s="1" t="n">
        <v>45291</v>
      </c>
      <c r="D1967" t="inlineStr">
        <is>
          <t>VÄRMLANDS LÄN</t>
        </is>
      </c>
      <c r="E1967" t="inlineStr">
        <is>
          <t>TORSBY</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47241-2023</t>
        </is>
      </c>
      <c r="B1968" s="1" t="n">
        <v>45202</v>
      </c>
      <c r="C1968" s="1" t="n">
        <v>45291</v>
      </c>
      <c r="D1968" t="inlineStr">
        <is>
          <t>VÄRMLANDS LÄN</t>
        </is>
      </c>
      <c r="E1968" t="inlineStr">
        <is>
          <t>TORSBY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47355-2023</t>
        </is>
      </c>
      <c r="B1969" s="1" t="n">
        <v>45202</v>
      </c>
      <c r="C1969" s="1" t="n">
        <v>45291</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47401-2023</t>
        </is>
      </c>
      <c r="B1970" s="1" t="n">
        <v>45202</v>
      </c>
      <c r="C1970" s="1" t="n">
        <v>45291</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47737-2023</t>
        </is>
      </c>
      <c r="B1971" s="1" t="n">
        <v>45203</v>
      </c>
      <c r="C1971" s="1" t="n">
        <v>45291</v>
      </c>
      <c r="D1971" t="inlineStr">
        <is>
          <t>VÄRMLANDS LÄN</t>
        </is>
      </c>
      <c r="E1971" t="inlineStr">
        <is>
          <t>TORSBY</t>
        </is>
      </c>
      <c r="F1971" t="inlineStr">
        <is>
          <t>Bergvik skog väst AB</t>
        </is>
      </c>
      <c r="G1971" t="n">
        <v>24.4</v>
      </c>
      <c r="H1971" t="n">
        <v>0</v>
      </c>
      <c r="I1971" t="n">
        <v>0</v>
      </c>
      <c r="J1971" t="n">
        <v>0</v>
      </c>
      <c r="K1971" t="n">
        <v>0</v>
      </c>
      <c r="L1971" t="n">
        <v>0</v>
      </c>
      <c r="M1971" t="n">
        <v>0</v>
      </c>
      <c r="N1971" t="n">
        <v>0</v>
      </c>
      <c r="O1971" t="n">
        <v>0</v>
      </c>
      <c r="P1971" t="n">
        <v>0</v>
      </c>
      <c r="Q1971" t="n">
        <v>0</v>
      </c>
      <c r="R1971" s="2" t="inlineStr"/>
    </row>
    <row r="1972" ht="15" customHeight="1">
      <c r="A1972" t="inlineStr">
        <is>
          <t>A 47615-2023</t>
        </is>
      </c>
      <c r="B1972" s="1" t="n">
        <v>45203</v>
      </c>
      <c r="C1972" s="1" t="n">
        <v>45291</v>
      </c>
      <c r="D1972" t="inlineStr">
        <is>
          <t>VÄRMLANDS LÄN</t>
        </is>
      </c>
      <c r="E1972" t="inlineStr">
        <is>
          <t>TORSBY</t>
        </is>
      </c>
      <c r="F1972" t="inlineStr">
        <is>
          <t>Bergvik skog väst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47730-2023</t>
        </is>
      </c>
      <c r="B1973" s="1" t="n">
        <v>45203</v>
      </c>
      <c r="C1973" s="1" t="n">
        <v>45291</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47734-2023</t>
        </is>
      </c>
      <c r="B1974" s="1" t="n">
        <v>45203</v>
      </c>
      <c r="C1974" s="1" t="n">
        <v>45291</v>
      </c>
      <c r="D1974" t="inlineStr">
        <is>
          <t>VÄRMLANDS LÄN</t>
        </is>
      </c>
      <c r="E1974" t="inlineStr">
        <is>
          <t>TORSBY</t>
        </is>
      </c>
      <c r="F1974" t="inlineStr">
        <is>
          <t>Bergvik skog väst AB</t>
        </is>
      </c>
      <c r="G1974" t="n">
        <v>23.3</v>
      </c>
      <c r="H1974" t="n">
        <v>0</v>
      </c>
      <c r="I1974" t="n">
        <v>0</v>
      </c>
      <c r="J1974" t="n">
        <v>0</v>
      </c>
      <c r="K1974" t="n">
        <v>0</v>
      </c>
      <c r="L1974" t="n">
        <v>0</v>
      </c>
      <c r="M1974" t="n">
        <v>0</v>
      </c>
      <c r="N1974" t="n">
        <v>0</v>
      </c>
      <c r="O1974" t="n">
        <v>0</v>
      </c>
      <c r="P1974" t="n">
        <v>0</v>
      </c>
      <c r="Q1974" t="n">
        <v>0</v>
      </c>
      <c r="R1974" s="2" t="inlineStr"/>
    </row>
    <row r="1975" ht="15" customHeight="1">
      <c r="A1975" t="inlineStr">
        <is>
          <t>A 48724-2023</t>
        </is>
      </c>
      <c r="B1975" s="1" t="n">
        <v>45203</v>
      </c>
      <c r="C1975" s="1" t="n">
        <v>45291</v>
      </c>
      <c r="D1975" t="inlineStr">
        <is>
          <t>VÄRMLANDS LÄN</t>
        </is>
      </c>
      <c r="E1975" t="inlineStr">
        <is>
          <t>TORSBY</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47842-2023</t>
        </is>
      </c>
      <c r="B1976" s="1" t="n">
        <v>45204</v>
      </c>
      <c r="C1976" s="1" t="n">
        <v>45291</v>
      </c>
      <c r="D1976" t="inlineStr">
        <is>
          <t>VÄRMLANDS LÄN</t>
        </is>
      </c>
      <c r="E1976" t="inlineStr">
        <is>
          <t>TORSBY</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48106-2023</t>
        </is>
      </c>
      <c r="B1977" s="1" t="n">
        <v>45205</v>
      </c>
      <c r="C1977" s="1" t="n">
        <v>45291</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48145-2023</t>
        </is>
      </c>
      <c r="B1978" s="1" t="n">
        <v>45205</v>
      </c>
      <c r="C1978" s="1" t="n">
        <v>45291</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48236-2023</t>
        </is>
      </c>
      <c r="B1979" s="1" t="n">
        <v>45205</v>
      </c>
      <c r="C1979" s="1" t="n">
        <v>45291</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48155-2023</t>
        </is>
      </c>
      <c r="B1980" s="1" t="n">
        <v>45205</v>
      </c>
      <c r="C1980" s="1" t="n">
        <v>45291</v>
      </c>
      <c r="D1980" t="inlineStr">
        <is>
          <t>VÄRMLANDS LÄN</t>
        </is>
      </c>
      <c r="E1980" t="inlineStr">
        <is>
          <t>TORSBY</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48170-2023</t>
        </is>
      </c>
      <c r="B1981" s="1" t="n">
        <v>45205</v>
      </c>
      <c r="C1981" s="1" t="n">
        <v>45291</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48324-2023</t>
        </is>
      </c>
      <c r="B1982" s="1" t="n">
        <v>45205</v>
      </c>
      <c r="C1982" s="1" t="n">
        <v>45291</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48381-2023</t>
        </is>
      </c>
      <c r="B1983" s="1" t="n">
        <v>45205</v>
      </c>
      <c r="C1983" s="1" t="n">
        <v>45291</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48384-2023</t>
        </is>
      </c>
      <c r="B1984" s="1" t="n">
        <v>45205</v>
      </c>
      <c r="C1984" s="1" t="n">
        <v>45291</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48383-2023</t>
        </is>
      </c>
      <c r="B1985" s="1" t="n">
        <v>45205</v>
      </c>
      <c r="C1985" s="1" t="n">
        <v>45291</v>
      </c>
      <c r="D1985" t="inlineStr">
        <is>
          <t>VÄRMLANDS LÄN</t>
        </is>
      </c>
      <c r="E1985" t="inlineStr">
        <is>
          <t>TORSBY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48456-2023</t>
        </is>
      </c>
      <c r="B1986" s="1" t="n">
        <v>45206</v>
      </c>
      <c r="C1986" s="1" t="n">
        <v>45291</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48625-2023</t>
        </is>
      </c>
      <c r="B1987" s="1" t="n">
        <v>45208</v>
      </c>
      <c r="C1987" s="1" t="n">
        <v>45291</v>
      </c>
      <c r="D1987" t="inlineStr">
        <is>
          <t>VÄRMLANDS LÄN</t>
        </is>
      </c>
      <c r="E1987" t="inlineStr">
        <is>
          <t>TORSBY</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48727-2023</t>
        </is>
      </c>
      <c r="B1988" s="1" t="n">
        <v>45208</v>
      </c>
      <c r="C1988" s="1" t="n">
        <v>45291</v>
      </c>
      <c r="D1988" t="inlineStr">
        <is>
          <t>VÄRMLANDS LÄN</t>
        </is>
      </c>
      <c r="E1988" t="inlineStr">
        <is>
          <t>TORSBY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48753-2023</t>
        </is>
      </c>
      <c r="B1989" s="1" t="n">
        <v>45208</v>
      </c>
      <c r="C1989" s="1" t="n">
        <v>45291</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48762-2023</t>
        </is>
      </c>
      <c r="B1990" s="1" t="n">
        <v>45208</v>
      </c>
      <c r="C1990" s="1" t="n">
        <v>45291</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49717-2023</t>
        </is>
      </c>
      <c r="B1991" s="1" t="n">
        <v>45208</v>
      </c>
      <c r="C1991" s="1" t="n">
        <v>45291</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50166-2023</t>
        </is>
      </c>
      <c r="B1992" s="1" t="n">
        <v>45208</v>
      </c>
      <c r="C1992" s="1" t="n">
        <v>45291</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50149-2023</t>
        </is>
      </c>
      <c r="B1993" s="1" t="n">
        <v>45208</v>
      </c>
      <c r="C1993" s="1" t="n">
        <v>45291</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48805-2023</t>
        </is>
      </c>
      <c r="B1994" s="1" t="n">
        <v>45209</v>
      </c>
      <c r="C1994" s="1" t="n">
        <v>45291</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48842-2023</t>
        </is>
      </c>
      <c r="B1995" s="1" t="n">
        <v>45209</v>
      </c>
      <c r="C1995" s="1" t="n">
        <v>45291</v>
      </c>
      <c r="D1995" t="inlineStr">
        <is>
          <t>VÄRMLANDS LÄN</t>
        </is>
      </c>
      <c r="E1995" t="inlineStr">
        <is>
          <t>TORSBY</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49170-2023</t>
        </is>
      </c>
      <c r="B1996" s="1" t="n">
        <v>45210</v>
      </c>
      <c r="C1996" s="1" t="n">
        <v>45291</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49179-2023</t>
        </is>
      </c>
      <c r="B1997" s="1" t="n">
        <v>45210</v>
      </c>
      <c r="C1997" s="1" t="n">
        <v>45291</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49296-2023</t>
        </is>
      </c>
      <c r="B1998" s="1" t="n">
        <v>45210</v>
      </c>
      <c r="C1998" s="1" t="n">
        <v>45291</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51079-2023</t>
        </is>
      </c>
      <c r="B1999" s="1" t="n">
        <v>45211</v>
      </c>
      <c r="C1999" s="1" t="n">
        <v>45291</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49755-2023</t>
        </is>
      </c>
      <c r="B2000" s="1" t="n">
        <v>45212</v>
      </c>
      <c r="C2000" s="1" t="n">
        <v>45291</v>
      </c>
      <c r="D2000" t="inlineStr">
        <is>
          <t>VÄRMLANDS LÄN</t>
        </is>
      </c>
      <c r="E2000" t="inlineStr">
        <is>
          <t>TORSBY</t>
        </is>
      </c>
      <c r="F2000" t="inlineStr">
        <is>
          <t>Bergvik skog väst AB</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49777-2023</t>
        </is>
      </c>
      <c r="B2001" s="1" t="n">
        <v>45212</v>
      </c>
      <c r="C2001" s="1" t="n">
        <v>45291</v>
      </c>
      <c r="D2001" t="inlineStr">
        <is>
          <t>VÄRMLANDS LÄN</t>
        </is>
      </c>
      <c r="E2001" t="inlineStr">
        <is>
          <t>TORSBY</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49815-2023</t>
        </is>
      </c>
      <c r="B2002" s="1" t="n">
        <v>45212</v>
      </c>
      <c r="C2002" s="1" t="n">
        <v>45291</v>
      </c>
      <c r="D2002" t="inlineStr">
        <is>
          <t>VÄRMLANDS LÄN</t>
        </is>
      </c>
      <c r="E2002" t="inlineStr">
        <is>
          <t>TORSBY</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49745-2023</t>
        </is>
      </c>
      <c r="B2003" s="1" t="n">
        <v>45212</v>
      </c>
      <c r="C2003" s="1" t="n">
        <v>45291</v>
      </c>
      <c r="D2003" t="inlineStr">
        <is>
          <t>VÄRMLANDS LÄN</t>
        </is>
      </c>
      <c r="E2003" t="inlineStr">
        <is>
          <t>TORSBY</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51144-2023</t>
        </is>
      </c>
      <c r="B2004" s="1" t="n">
        <v>45212</v>
      </c>
      <c r="C2004" s="1" t="n">
        <v>45291</v>
      </c>
      <c r="D2004" t="inlineStr">
        <is>
          <t>VÄRMLANDS LÄN</t>
        </is>
      </c>
      <c r="E2004" t="inlineStr">
        <is>
          <t>TORSBY</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49982-2023</t>
        </is>
      </c>
      <c r="B2005" s="1" t="n">
        <v>45215</v>
      </c>
      <c r="C2005" s="1" t="n">
        <v>45291</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50147-2023</t>
        </is>
      </c>
      <c r="B2006" s="1" t="n">
        <v>45215</v>
      </c>
      <c r="C2006" s="1" t="n">
        <v>45291</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50138-2023</t>
        </is>
      </c>
      <c r="B2007" s="1" t="n">
        <v>45215</v>
      </c>
      <c r="C2007" s="1" t="n">
        <v>45291</v>
      </c>
      <c r="D2007" t="inlineStr">
        <is>
          <t>VÄRMLANDS LÄN</t>
        </is>
      </c>
      <c r="E2007" t="inlineStr">
        <is>
          <t>TORSBY</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50144-2023</t>
        </is>
      </c>
      <c r="B2008" s="1" t="n">
        <v>45215</v>
      </c>
      <c r="C2008" s="1" t="n">
        <v>45291</v>
      </c>
      <c r="D2008" t="inlineStr">
        <is>
          <t>VÄRMLANDS LÄN</t>
        </is>
      </c>
      <c r="E2008" t="inlineStr">
        <is>
          <t>TORSBY</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50171-2023</t>
        </is>
      </c>
      <c r="B2009" s="1" t="n">
        <v>45215</v>
      </c>
      <c r="C2009" s="1" t="n">
        <v>45291</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50445-2023</t>
        </is>
      </c>
      <c r="B2010" s="1" t="n">
        <v>45216</v>
      </c>
      <c r="C2010" s="1" t="n">
        <v>45291</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50429-2023</t>
        </is>
      </c>
      <c r="B2011" s="1" t="n">
        <v>45216</v>
      </c>
      <c r="C2011" s="1" t="n">
        <v>45291</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50439-2023</t>
        </is>
      </c>
      <c r="B2012" s="1" t="n">
        <v>45216</v>
      </c>
      <c r="C2012" s="1" t="n">
        <v>45291</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50660-2023</t>
        </is>
      </c>
      <c r="B2013" s="1" t="n">
        <v>45217</v>
      </c>
      <c r="C2013" s="1" t="n">
        <v>45291</v>
      </c>
      <c r="D2013" t="inlineStr">
        <is>
          <t>VÄRMLANDS LÄN</t>
        </is>
      </c>
      <c r="E2013" t="inlineStr">
        <is>
          <t>TORSBY</t>
        </is>
      </c>
      <c r="F2013" t="inlineStr">
        <is>
          <t>Bergvik skog väst AB</t>
        </is>
      </c>
      <c r="G2013" t="n">
        <v>26.5</v>
      </c>
      <c r="H2013" t="n">
        <v>0</v>
      </c>
      <c r="I2013" t="n">
        <v>0</v>
      </c>
      <c r="J2013" t="n">
        <v>0</v>
      </c>
      <c r="K2013" t="n">
        <v>0</v>
      </c>
      <c r="L2013" t="n">
        <v>0</v>
      </c>
      <c r="M2013" t="n">
        <v>0</v>
      </c>
      <c r="N2013" t="n">
        <v>0</v>
      </c>
      <c r="O2013" t="n">
        <v>0</v>
      </c>
      <c r="P2013" t="n">
        <v>0</v>
      </c>
      <c r="Q2013" t="n">
        <v>0</v>
      </c>
      <c r="R2013" s="2" t="inlineStr"/>
    </row>
    <row r="2014" ht="15" customHeight="1">
      <c r="A2014" t="inlineStr">
        <is>
          <t>A 50523-2023</t>
        </is>
      </c>
      <c r="B2014" s="1" t="n">
        <v>45217</v>
      </c>
      <c r="C2014" s="1" t="n">
        <v>45291</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50608-2023</t>
        </is>
      </c>
      <c r="B2015" s="1" t="n">
        <v>45217</v>
      </c>
      <c r="C2015" s="1" t="n">
        <v>45291</v>
      </c>
      <c r="D2015" t="inlineStr">
        <is>
          <t>VÄRMLANDS LÄN</t>
        </is>
      </c>
      <c r="E2015" t="inlineStr">
        <is>
          <t>TORSBY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50680-2023</t>
        </is>
      </c>
      <c r="B2016" s="1" t="n">
        <v>45217</v>
      </c>
      <c r="C2016" s="1" t="n">
        <v>45291</v>
      </c>
      <c r="D2016" t="inlineStr">
        <is>
          <t>VÄRMLANDS LÄN</t>
        </is>
      </c>
      <c r="E2016" t="inlineStr">
        <is>
          <t>TORSBY</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50852-2023</t>
        </is>
      </c>
      <c r="B2017" s="1" t="n">
        <v>45218</v>
      </c>
      <c r="C2017" s="1" t="n">
        <v>45291</v>
      </c>
      <c r="D2017" t="inlineStr">
        <is>
          <t>VÄRMLANDS LÄN</t>
        </is>
      </c>
      <c r="E2017" t="inlineStr">
        <is>
          <t>TORSBY</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50973-2023</t>
        </is>
      </c>
      <c r="B2018" s="1" t="n">
        <v>45218</v>
      </c>
      <c r="C2018" s="1" t="n">
        <v>45291</v>
      </c>
      <c r="D2018" t="inlineStr">
        <is>
          <t>VÄRMLANDS LÄN</t>
        </is>
      </c>
      <c r="E2018" t="inlineStr">
        <is>
          <t>TORSBY</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51199-2023</t>
        </is>
      </c>
      <c r="B2019" s="1" t="n">
        <v>45219</v>
      </c>
      <c r="C2019" s="1" t="n">
        <v>45291</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51215-2023</t>
        </is>
      </c>
      <c r="B2020" s="1" t="n">
        <v>45219</v>
      </c>
      <c r="C2020" s="1" t="n">
        <v>45291</v>
      </c>
      <c r="D2020" t="inlineStr">
        <is>
          <t>VÄRMLANDS LÄN</t>
        </is>
      </c>
      <c r="E2020" t="inlineStr">
        <is>
          <t>TORSBY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51343-2023</t>
        </is>
      </c>
      <c r="B2021" s="1" t="n">
        <v>45219</v>
      </c>
      <c r="C2021" s="1" t="n">
        <v>45291</v>
      </c>
      <c r="D2021" t="inlineStr">
        <is>
          <t>VÄRMLANDS LÄN</t>
        </is>
      </c>
      <c r="E2021" t="inlineStr">
        <is>
          <t>TORSBY</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51386-2023</t>
        </is>
      </c>
      <c r="B2022" s="1" t="n">
        <v>45219</v>
      </c>
      <c r="C2022" s="1" t="n">
        <v>45291</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51309-2023</t>
        </is>
      </c>
      <c r="B2023" s="1" t="n">
        <v>45219</v>
      </c>
      <c r="C2023" s="1" t="n">
        <v>45291</v>
      </c>
      <c r="D2023" t="inlineStr">
        <is>
          <t>VÄRMLANDS LÄN</t>
        </is>
      </c>
      <c r="E2023" t="inlineStr">
        <is>
          <t>TORSBY</t>
        </is>
      </c>
      <c r="F2023" t="inlineStr">
        <is>
          <t>Bergvik skog väst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51751-2023</t>
        </is>
      </c>
      <c r="B2024" s="1" t="n">
        <v>45222</v>
      </c>
      <c r="C2024" s="1" t="n">
        <v>45291</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51788-2023</t>
        </is>
      </c>
      <c r="B2025" s="1" t="n">
        <v>45222</v>
      </c>
      <c r="C2025" s="1" t="n">
        <v>45291</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51753-2023</t>
        </is>
      </c>
      <c r="B2026" s="1" t="n">
        <v>45222</v>
      </c>
      <c r="C2026" s="1" t="n">
        <v>45291</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52078-2023</t>
        </is>
      </c>
      <c r="B2027" s="1" t="n">
        <v>45223</v>
      </c>
      <c r="C2027" s="1" t="n">
        <v>45291</v>
      </c>
      <c r="D2027" t="inlineStr">
        <is>
          <t>VÄRMLANDS LÄN</t>
        </is>
      </c>
      <c r="E2027" t="inlineStr">
        <is>
          <t>TORSBY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52050-2023</t>
        </is>
      </c>
      <c r="B2028" s="1" t="n">
        <v>45223</v>
      </c>
      <c r="C2028" s="1" t="n">
        <v>45291</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52067-2023</t>
        </is>
      </c>
      <c r="B2029" s="1" t="n">
        <v>45223</v>
      </c>
      <c r="C2029" s="1" t="n">
        <v>45291</v>
      </c>
      <c r="D2029" t="inlineStr">
        <is>
          <t>VÄRMLANDS LÄN</t>
        </is>
      </c>
      <c r="E2029" t="inlineStr">
        <is>
          <t>TORSBY</t>
        </is>
      </c>
      <c r="F2029" t="inlineStr">
        <is>
          <t>Bergvik skog väst AB</t>
        </is>
      </c>
      <c r="G2029" t="n">
        <v>40.4</v>
      </c>
      <c r="H2029" t="n">
        <v>0</v>
      </c>
      <c r="I2029" t="n">
        <v>0</v>
      </c>
      <c r="J2029" t="n">
        <v>0</v>
      </c>
      <c r="K2029" t="n">
        <v>0</v>
      </c>
      <c r="L2029" t="n">
        <v>0</v>
      </c>
      <c r="M2029" t="n">
        <v>0</v>
      </c>
      <c r="N2029" t="n">
        <v>0</v>
      </c>
      <c r="O2029" t="n">
        <v>0</v>
      </c>
      <c r="P2029" t="n">
        <v>0</v>
      </c>
      <c r="Q2029" t="n">
        <v>0</v>
      </c>
      <c r="R2029" s="2" t="inlineStr"/>
    </row>
    <row r="2030" ht="15" customHeight="1">
      <c r="A2030" t="inlineStr">
        <is>
          <t>A 53499-2023</t>
        </is>
      </c>
      <c r="B2030" s="1" t="n">
        <v>45223</v>
      </c>
      <c r="C2030" s="1" t="n">
        <v>45291</v>
      </c>
      <c r="D2030" t="inlineStr">
        <is>
          <t>VÄRMLANDS LÄN</t>
        </is>
      </c>
      <c r="E2030" t="inlineStr">
        <is>
          <t>TORSBY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52275-2023</t>
        </is>
      </c>
      <c r="B2031" s="1" t="n">
        <v>45224</v>
      </c>
      <c r="C2031" s="1" t="n">
        <v>45291</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52385-2023</t>
        </is>
      </c>
      <c r="B2032" s="1" t="n">
        <v>45224</v>
      </c>
      <c r="C2032" s="1" t="n">
        <v>45291</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53652-2023</t>
        </is>
      </c>
      <c r="B2033" s="1" t="n">
        <v>45224</v>
      </c>
      <c r="C2033" s="1" t="n">
        <v>45291</v>
      </c>
      <c r="D2033" t="inlineStr">
        <is>
          <t>VÄRMLANDS LÄN</t>
        </is>
      </c>
      <c r="E2033" t="inlineStr">
        <is>
          <t>TORSBY</t>
        </is>
      </c>
      <c r="F2033" t="inlineStr">
        <is>
          <t>Övriga statliga verk och myndigheter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52541-2023</t>
        </is>
      </c>
      <c r="B2034" s="1" t="n">
        <v>45225</v>
      </c>
      <c r="C2034" s="1" t="n">
        <v>45291</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52580-2023</t>
        </is>
      </c>
      <c r="B2035" s="1" t="n">
        <v>45225</v>
      </c>
      <c r="C2035" s="1" t="n">
        <v>45291</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52555-2023</t>
        </is>
      </c>
      <c r="B2036" s="1" t="n">
        <v>45225</v>
      </c>
      <c r="C2036" s="1" t="n">
        <v>45291</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52532-2023</t>
        </is>
      </c>
      <c r="B2037" s="1" t="n">
        <v>45225</v>
      </c>
      <c r="C2037" s="1" t="n">
        <v>45291</v>
      </c>
      <c r="D2037" t="inlineStr">
        <is>
          <t>VÄRMLANDS LÄN</t>
        </is>
      </c>
      <c r="E2037" t="inlineStr">
        <is>
          <t>TORSBY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52591-2023</t>
        </is>
      </c>
      <c r="B2038" s="1" t="n">
        <v>45225</v>
      </c>
      <c r="C2038" s="1" t="n">
        <v>45291</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52984-2023</t>
        </is>
      </c>
      <c r="B2039" s="1" t="n">
        <v>45226</v>
      </c>
      <c r="C2039" s="1" t="n">
        <v>45291</v>
      </c>
      <c r="D2039" t="inlineStr">
        <is>
          <t>VÄRMLANDS LÄN</t>
        </is>
      </c>
      <c r="E2039" t="inlineStr">
        <is>
          <t>TORSBY</t>
        </is>
      </c>
      <c r="F2039" t="inlineStr">
        <is>
          <t>Bergvik skog väst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52982-2023</t>
        </is>
      </c>
      <c r="B2040" s="1" t="n">
        <v>45226</v>
      </c>
      <c r="C2040" s="1" t="n">
        <v>45291</v>
      </c>
      <c r="D2040" t="inlineStr">
        <is>
          <t>VÄRMLANDS LÄN</t>
        </is>
      </c>
      <c r="E2040" t="inlineStr">
        <is>
          <t>TORSBY</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52810-2023</t>
        </is>
      </c>
      <c r="B2041" s="1" t="n">
        <v>45226</v>
      </c>
      <c r="C2041" s="1" t="n">
        <v>45291</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53103-2023</t>
        </is>
      </c>
      <c r="B2042" s="1" t="n">
        <v>45228</v>
      </c>
      <c r="C2042" s="1" t="n">
        <v>45291</v>
      </c>
      <c r="D2042" t="inlineStr">
        <is>
          <t>VÄRMLANDS LÄN</t>
        </is>
      </c>
      <c r="E2042" t="inlineStr">
        <is>
          <t>TORSBY</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53116-2023</t>
        </is>
      </c>
      <c r="B2043" s="1" t="n">
        <v>45228</v>
      </c>
      <c r="C2043" s="1" t="n">
        <v>45291</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53346-2023</t>
        </is>
      </c>
      <c r="B2044" s="1" t="n">
        <v>45229</v>
      </c>
      <c r="C2044" s="1" t="n">
        <v>45291</v>
      </c>
      <c r="D2044" t="inlineStr">
        <is>
          <t>VÄRMLANDS LÄN</t>
        </is>
      </c>
      <c r="E2044" t="inlineStr">
        <is>
          <t>TORSBY</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54879-2023</t>
        </is>
      </c>
      <c r="B2045" s="1" t="n">
        <v>45229</v>
      </c>
      <c r="C2045" s="1" t="n">
        <v>45291</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54822-2023</t>
        </is>
      </c>
      <c r="B2046" s="1" t="n">
        <v>45229</v>
      </c>
      <c r="C2046" s="1" t="n">
        <v>45291</v>
      </c>
      <c r="D2046" t="inlineStr">
        <is>
          <t>VÄRMLANDS LÄN</t>
        </is>
      </c>
      <c r="E2046" t="inlineStr">
        <is>
          <t>TORSBY</t>
        </is>
      </c>
      <c r="F2046" t="inlineStr">
        <is>
          <t>Övriga Aktiebolag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53557-2023</t>
        </is>
      </c>
      <c r="B2047" s="1" t="n">
        <v>45230</v>
      </c>
      <c r="C2047" s="1" t="n">
        <v>45291</v>
      </c>
      <c r="D2047" t="inlineStr">
        <is>
          <t>VÄRMLANDS LÄN</t>
        </is>
      </c>
      <c r="E2047" t="inlineStr">
        <is>
          <t>TORSBY</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53495-2023</t>
        </is>
      </c>
      <c r="B2048" s="1" t="n">
        <v>45230</v>
      </c>
      <c r="C2048" s="1" t="n">
        <v>45291</v>
      </c>
      <c r="D2048" t="inlineStr">
        <is>
          <t>VÄRMLANDS LÄN</t>
        </is>
      </c>
      <c r="E2048" t="inlineStr">
        <is>
          <t>TORSBY</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53794-2023</t>
        </is>
      </c>
      <c r="B2049" s="1" t="n">
        <v>45231</v>
      </c>
      <c r="C2049" s="1" t="n">
        <v>45291</v>
      </c>
      <c r="D2049" t="inlineStr">
        <is>
          <t>VÄRMLANDS LÄN</t>
        </is>
      </c>
      <c r="E2049" t="inlineStr">
        <is>
          <t>TORSBY</t>
        </is>
      </c>
      <c r="G2049" t="n">
        <v>17.3</v>
      </c>
      <c r="H2049" t="n">
        <v>0</v>
      </c>
      <c r="I2049" t="n">
        <v>0</v>
      </c>
      <c r="J2049" t="n">
        <v>0</v>
      </c>
      <c r="K2049" t="n">
        <v>0</v>
      </c>
      <c r="L2049" t="n">
        <v>0</v>
      </c>
      <c r="M2049" t="n">
        <v>0</v>
      </c>
      <c r="N2049" t="n">
        <v>0</v>
      </c>
      <c r="O2049" t="n">
        <v>0</v>
      </c>
      <c r="P2049" t="n">
        <v>0</v>
      </c>
      <c r="Q2049" t="n">
        <v>0</v>
      </c>
      <c r="R2049" s="2" t="inlineStr"/>
    </row>
    <row r="2050" ht="15" customHeight="1">
      <c r="A2050" t="inlineStr">
        <is>
          <t>A 53921-2023</t>
        </is>
      </c>
      <c r="B2050" s="1" t="n">
        <v>45231</v>
      </c>
      <c r="C2050" s="1" t="n">
        <v>45291</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53945-2023</t>
        </is>
      </c>
      <c r="B2051" s="1" t="n">
        <v>45231</v>
      </c>
      <c r="C2051" s="1" t="n">
        <v>45291</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53922-2023</t>
        </is>
      </c>
      <c r="B2052" s="1" t="n">
        <v>45231</v>
      </c>
      <c r="C2052" s="1" t="n">
        <v>45291</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54162-2023</t>
        </is>
      </c>
      <c r="B2053" s="1" t="n">
        <v>45232</v>
      </c>
      <c r="C2053" s="1" t="n">
        <v>45291</v>
      </c>
      <c r="D2053" t="inlineStr">
        <is>
          <t>VÄRMLANDS LÄN</t>
        </is>
      </c>
      <c r="E2053" t="inlineStr">
        <is>
          <t>TORSBY</t>
        </is>
      </c>
      <c r="F2053" t="inlineStr">
        <is>
          <t>Bergvik skog väst AB</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54262-2023</t>
        </is>
      </c>
      <c r="B2054" s="1" t="n">
        <v>45232</v>
      </c>
      <c r="C2054" s="1" t="n">
        <v>45291</v>
      </c>
      <c r="D2054" t="inlineStr">
        <is>
          <t>VÄRMLANDS LÄN</t>
        </is>
      </c>
      <c r="E2054" t="inlineStr">
        <is>
          <t>TORSBY</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54223-2023</t>
        </is>
      </c>
      <c r="B2055" s="1" t="n">
        <v>45232</v>
      </c>
      <c r="C2055" s="1" t="n">
        <v>45291</v>
      </c>
      <c r="D2055" t="inlineStr">
        <is>
          <t>VÄRMLANDS LÄN</t>
        </is>
      </c>
      <c r="E2055" t="inlineStr">
        <is>
          <t>TORSBY</t>
        </is>
      </c>
      <c r="F2055" t="inlineStr">
        <is>
          <t>Bergvik skog väst AB</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54191-2023</t>
        </is>
      </c>
      <c r="B2056" s="1" t="n">
        <v>45232</v>
      </c>
      <c r="C2056" s="1" t="n">
        <v>45291</v>
      </c>
      <c r="D2056" t="inlineStr">
        <is>
          <t>VÄRMLANDS LÄN</t>
        </is>
      </c>
      <c r="E2056" t="inlineStr">
        <is>
          <t>TORSBY</t>
        </is>
      </c>
      <c r="F2056" t="inlineStr">
        <is>
          <t>Bergvik skog väst AB</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54204-2023</t>
        </is>
      </c>
      <c r="B2057" s="1" t="n">
        <v>45232</v>
      </c>
      <c r="C2057" s="1" t="n">
        <v>45291</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54556-2023</t>
        </is>
      </c>
      <c r="B2058" s="1" t="n">
        <v>45233</v>
      </c>
      <c r="C2058" s="1" t="n">
        <v>45291</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54551-2023</t>
        </is>
      </c>
      <c r="B2059" s="1" t="n">
        <v>45233</v>
      </c>
      <c r="C2059" s="1" t="n">
        <v>45291</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45291</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54386-2023</t>
        </is>
      </c>
      <c r="B2061" s="1" t="n">
        <v>45233</v>
      </c>
      <c r="C2061" s="1" t="n">
        <v>45291</v>
      </c>
      <c r="D2061" t="inlineStr">
        <is>
          <t>VÄRMLANDS LÄN</t>
        </is>
      </c>
      <c r="E2061" t="inlineStr">
        <is>
          <t>TORSBY</t>
        </is>
      </c>
      <c r="F2061" t="inlineStr">
        <is>
          <t>Bergvik skog väst AB</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54528-2023</t>
        </is>
      </c>
      <c r="B2062" s="1" t="n">
        <v>45233</v>
      </c>
      <c r="C2062" s="1" t="n">
        <v>45291</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54562-2023</t>
        </is>
      </c>
      <c r="B2063" s="1" t="n">
        <v>45233</v>
      </c>
      <c r="C2063" s="1" t="n">
        <v>45291</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54532-2023</t>
        </is>
      </c>
      <c r="B2064" s="1" t="n">
        <v>45233</v>
      </c>
      <c r="C2064" s="1" t="n">
        <v>45291</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54525-2023</t>
        </is>
      </c>
      <c r="B2065" s="1" t="n">
        <v>45233</v>
      </c>
      <c r="C2065" s="1" t="n">
        <v>45291</v>
      </c>
      <c r="D2065" t="inlineStr">
        <is>
          <t>VÄRMLANDS LÄN</t>
        </is>
      </c>
      <c r="E2065" t="inlineStr">
        <is>
          <t>TORSBY</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54487-2023</t>
        </is>
      </c>
      <c r="B2066" s="1" t="n">
        <v>45233</v>
      </c>
      <c r="C2066" s="1" t="n">
        <v>45291</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54409-2023</t>
        </is>
      </c>
      <c r="B2067" s="1" t="n">
        <v>45233</v>
      </c>
      <c r="C2067" s="1" t="n">
        <v>45291</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54714-2023</t>
        </is>
      </c>
      <c r="B2068" s="1" t="n">
        <v>45236</v>
      </c>
      <c r="C2068" s="1" t="n">
        <v>45291</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54766-2023</t>
        </is>
      </c>
      <c r="B2069" s="1" t="n">
        <v>45236</v>
      </c>
      <c r="C2069" s="1" t="n">
        <v>45291</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54777-2023</t>
        </is>
      </c>
      <c r="B2070" s="1" t="n">
        <v>45236</v>
      </c>
      <c r="C2070" s="1" t="n">
        <v>45291</v>
      </c>
      <c r="D2070" t="inlineStr">
        <is>
          <t>VÄRMLANDS LÄN</t>
        </is>
      </c>
      <c r="E2070" t="inlineStr">
        <is>
          <t>TORSBY</t>
        </is>
      </c>
      <c r="F2070" t="inlineStr">
        <is>
          <t>Bergvik skog väst AB</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54876-2023</t>
        </is>
      </c>
      <c r="B2071" s="1" t="n">
        <v>45236</v>
      </c>
      <c r="C2071" s="1" t="n">
        <v>45291</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54708-2023</t>
        </is>
      </c>
      <c r="B2072" s="1" t="n">
        <v>45236</v>
      </c>
      <c r="C2072" s="1" t="n">
        <v>45291</v>
      </c>
      <c r="D2072" t="inlineStr">
        <is>
          <t>VÄRMLANDS LÄN</t>
        </is>
      </c>
      <c r="E2072" t="inlineStr">
        <is>
          <t>TORSBY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55031-2023</t>
        </is>
      </c>
      <c r="B2073" s="1" t="n">
        <v>45237</v>
      </c>
      <c r="C2073" s="1" t="n">
        <v>45291</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55100-2023</t>
        </is>
      </c>
      <c r="B2074" s="1" t="n">
        <v>45237</v>
      </c>
      <c r="C2074" s="1" t="n">
        <v>45291</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45291</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55461-2023</t>
        </is>
      </c>
      <c r="B2076" s="1" t="n">
        <v>45238</v>
      </c>
      <c r="C2076" s="1" t="n">
        <v>45291</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55480-2023</t>
        </is>
      </c>
      <c r="B2077" s="1" t="n">
        <v>45238</v>
      </c>
      <c r="C2077" s="1" t="n">
        <v>45291</v>
      </c>
      <c r="D2077" t="inlineStr">
        <is>
          <t>VÄRMLANDS LÄN</t>
        </is>
      </c>
      <c r="E2077" t="inlineStr">
        <is>
          <t>TORSBY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55485-2023</t>
        </is>
      </c>
      <c r="B2078" s="1" t="n">
        <v>45238</v>
      </c>
      <c r="C2078" s="1" t="n">
        <v>45291</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45291</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55522-2023</t>
        </is>
      </c>
      <c r="B2080" s="1" t="n">
        <v>45238</v>
      </c>
      <c r="C2080" s="1" t="n">
        <v>45291</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55527-2023</t>
        </is>
      </c>
      <c r="B2081" s="1" t="n">
        <v>45238</v>
      </c>
      <c r="C2081" s="1" t="n">
        <v>45291</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45291</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56712-2023</t>
        </is>
      </c>
      <c r="B2083" s="1" t="n">
        <v>45238</v>
      </c>
      <c r="C2083" s="1" t="n">
        <v>45291</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55447-2023</t>
        </is>
      </c>
      <c r="B2084" s="1" t="n">
        <v>45238</v>
      </c>
      <c r="C2084" s="1" t="n">
        <v>45291</v>
      </c>
      <c r="D2084" t="inlineStr">
        <is>
          <t>VÄRMLANDS LÄN</t>
        </is>
      </c>
      <c r="E2084" t="inlineStr">
        <is>
          <t>TORSBY</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56714-2023</t>
        </is>
      </c>
      <c r="B2085" s="1" t="n">
        <v>45238</v>
      </c>
      <c r="C2085" s="1" t="n">
        <v>45291</v>
      </c>
      <c r="D2085" t="inlineStr">
        <is>
          <t>VÄRMLANDS LÄN</t>
        </is>
      </c>
      <c r="E2085" t="inlineStr">
        <is>
          <t>TORSBY</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45291</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45291</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57091-2023</t>
        </is>
      </c>
      <c r="B2088" s="1" t="n">
        <v>45239</v>
      </c>
      <c r="C2088" s="1" t="n">
        <v>45291</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56889-2023</t>
        </is>
      </c>
      <c r="B2089" s="1" t="n">
        <v>45239</v>
      </c>
      <c r="C2089" s="1" t="n">
        <v>45291</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55727-2023</t>
        </is>
      </c>
      <c r="B2090" s="1" t="n">
        <v>45239</v>
      </c>
      <c r="C2090" s="1" t="n">
        <v>45291</v>
      </c>
      <c r="D2090" t="inlineStr">
        <is>
          <t>VÄRMLANDS LÄN</t>
        </is>
      </c>
      <c r="E2090" t="inlineStr">
        <is>
          <t>TORSBY</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45291</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45291</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56116-2023</t>
        </is>
      </c>
      <c r="B2093" s="1" t="n">
        <v>45240</v>
      </c>
      <c r="C2093" s="1" t="n">
        <v>45291</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56021-2023</t>
        </is>
      </c>
      <c r="B2094" s="1" t="n">
        <v>45240</v>
      </c>
      <c r="C2094" s="1" t="n">
        <v>45291</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56426-2023</t>
        </is>
      </c>
      <c r="B2095" s="1" t="n">
        <v>45243</v>
      </c>
      <c r="C2095" s="1" t="n">
        <v>45291</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56724-2023</t>
        </is>
      </c>
      <c r="B2096" s="1" t="n">
        <v>45244</v>
      </c>
      <c r="C2096" s="1" t="n">
        <v>45291</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56880-2023</t>
        </is>
      </c>
      <c r="B2097" s="1" t="n">
        <v>45244</v>
      </c>
      <c r="C2097" s="1" t="n">
        <v>45291</v>
      </c>
      <c r="D2097" t="inlineStr">
        <is>
          <t>VÄRMLANDS LÄN</t>
        </is>
      </c>
      <c r="E2097" t="inlineStr">
        <is>
          <t>TORSBY</t>
        </is>
      </c>
      <c r="F2097" t="inlineStr">
        <is>
          <t>Övriga Aktiebolag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56881-2023</t>
        </is>
      </c>
      <c r="B2098" s="1" t="n">
        <v>45244</v>
      </c>
      <c r="C2098" s="1" t="n">
        <v>45291</v>
      </c>
      <c r="D2098" t="inlineStr">
        <is>
          <t>VÄRMLANDS LÄN</t>
        </is>
      </c>
      <c r="E2098" t="inlineStr">
        <is>
          <t>TORSBY</t>
        </is>
      </c>
      <c r="F2098" t="inlineStr">
        <is>
          <t>Övriga Aktiebolag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56875-2023</t>
        </is>
      </c>
      <c r="B2099" s="1" t="n">
        <v>45244</v>
      </c>
      <c r="C2099" s="1" t="n">
        <v>45291</v>
      </c>
      <c r="D2099" t="inlineStr">
        <is>
          <t>VÄRMLANDS LÄN</t>
        </is>
      </c>
      <c r="E2099" t="inlineStr">
        <is>
          <t>TORSBY</t>
        </is>
      </c>
      <c r="F2099" t="inlineStr">
        <is>
          <t>Övriga Aktiebolag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56811-2023</t>
        </is>
      </c>
      <c r="B2100" s="1" t="n">
        <v>45244</v>
      </c>
      <c r="C2100" s="1" t="n">
        <v>45291</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56815-2023</t>
        </is>
      </c>
      <c r="B2101" s="1" t="n">
        <v>45244</v>
      </c>
      <c r="C2101" s="1" t="n">
        <v>45291</v>
      </c>
      <c r="D2101" t="inlineStr">
        <is>
          <t>VÄRMLANDS LÄN</t>
        </is>
      </c>
      <c r="E2101" t="inlineStr">
        <is>
          <t>TORSBY</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56902-2023</t>
        </is>
      </c>
      <c r="B2102" s="1" t="n">
        <v>45244</v>
      </c>
      <c r="C2102" s="1" t="n">
        <v>45291</v>
      </c>
      <c r="D2102" t="inlineStr">
        <is>
          <t>VÄRMLANDS LÄN</t>
        </is>
      </c>
      <c r="E2102" t="inlineStr">
        <is>
          <t>TORSBY</t>
        </is>
      </c>
      <c r="G2102" t="n">
        <v>17.4</v>
      </c>
      <c r="H2102" t="n">
        <v>0</v>
      </c>
      <c r="I2102" t="n">
        <v>0</v>
      </c>
      <c r="J2102" t="n">
        <v>0</v>
      </c>
      <c r="K2102" t="n">
        <v>0</v>
      </c>
      <c r="L2102" t="n">
        <v>0</v>
      </c>
      <c r="M2102" t="n">
        <v>0</v>
      </c>
      <c r="N2102" t="n">
        <v>0</v>
      </c>
      <c r="O2102" t="n">
        <v>0</v>
      </c>
      <c r="P2102" t="n">
        <v>0</v>
      </c>
      <c r="Q2102" t="n">
        <v>0</v>
      </c>
      <c r="R2102" s="2" t="inlineStr"/>
    </row>
    <row r="2103" ht="15" customHeight="1">
      <c r="A2103" t="inlineStr">
        <is>
          <t>A 56970-2023</t>
        </is>
      </c>
      <c r="B2103" s="1" t="n">
        <v>45244</v>
      </c>
      <c r="C2103" s="1" t="n">
        <v>45291</v>
      </c>
      <c r="D2103" t="inlineStr">
        <is>
          <t>VÄRMLANDS LÄN</t>
        </is>
      </c>
      <c r="E2103" t="inlineStr">
        <is>
          <t>TORSBY</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57017-2023</t>
        </is>
      </c>
      <c r="B2104" s="1" t="n">
        <v>45244</v>
      </c>
      <c r="C2104" s="1" t="n">
        <v>45291</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57117-2023</t>
        </is>
      </c>
      <c r="B2105" s="1" t="n">
        <v>45245</v>
      </c>
      <c r="C2105" s="1" t="n">
        <v>45291</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57143-2023</t>
        </is>
      </c>
      <c r="B2106" s="1" t="n">
        <v>45245</v>
      </c>
      <c r="C2106" s="1" t="n">
        <v>45291</v>
      </c>
      <c r="D2106" t="inlineStr">
        <is>
          <t>VÄRMLANDS LÄN</t>
        </is>
      </c>
      <c r="E2106" t="inlineStr">
        <is>
          <t>TORSBY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57345-2023</t>
        </is>
      </c>
      <c r="B2107" s="1" t="n">
        <v>45245</v>
      </c>
      <c r="C2107" s="1" t="n">
        <v>45291</v>
      </c>
      <c r="D2107" t="inlineStr">
        <is>
          <t>VÄRMLANDS LÄN</t>
        </is>
      </c>
      <c r="E2107" t="inlineStr">
        <is>
          <t>TORSBY</t>
        </is>
      </c>
      <c r="F2107" t="inlineStr">
        <is>
          <t>Bergvik skog väst AB</t>
        </is>
      </c>
      <c r="G2107" t="n">
        <v>14.6</v>
      </c>
      <c r="H2107" t="n">
        <v>0</v>
      </c>
      <c r="I2107" t="n">
        <v>0</v>
      </c>
      <c r="J2107" t="n">
        <v>0</v>
      </c>
      <c r="K2107" t="n">
        <v>0</v>
      </c>
      <c r="L2107" t="n">
        <v>0</v>
      </c>
      <c r="M2107" t="n">
        <v>0</v>
      </c>
      <c r="N2107" t="n">
        <v>0</v>
      </c>
      <c r="O2107" t="n">
        <v>0</v>
      </c>
      <c r="P2107" t="n">
        <v>0</v>
      </c>
      <c r="Q2107" t="n">
        <v>0</v>
      </c>
      <c r="R2107" s="2" t="inlineStr"/>
    </row>
    <row r="2108" ht="15" customHeight="1">
      <c r="A2108" t="inlineStr">
        <is>
          <t>A 57135-2023</t>
        </is>
      </c>
      <c r="B2108" s="1" t="n">
        <v>45245</v>
      </c>
      <c r="C2108" s="1" t="n">
        <v>45291</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57216-2023</t>
        </is>
      </c>
      <c r="B2109" s="1" t="n">
        <v>45245</v>
      </c>
      <c r="C2109" s="1" t="n">
        <v>45291</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57538-2023</t>
        </is>
      </c>
      <c r="B2110" s="1" t="n">
        <v>45246</v>
      </c>
      <c r="C2110" s="1" t="n">
        <v>45291</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57547-2023</t>
        </is>
      </c>
      <c r="B2111" s="1" t="n">
        <v>45246</v>
      </c>
      <c r="C2111" s="1" t="n">
        <v>45291</v>
      </c>
      <c r="D2111" t="inlineStr">
        <is>
          <t>VÄRMLANDS LÄN</t>
        </is>
      </c>
      <c r="E2111" t="inlineStr">
        <is>
          <t>TORSBY</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57569-2023</t>
        </is>
      </c>
      <c r="B2112" s="1" t="n">
        <v>45246</v>
      </c>
      <c r="C2112" s="1" t="n">
        <v>45291</v>
      </c>
      <c r="D2112" t="inlineStr">
        <is>
          <t>VÄRMLANDS LÄN</t>
        </is>
      </c>
      <c r="E2112" t="inlineStr">
        <is>
          <t>TORSBY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57647-2023</t>
        </is>
      </c>
      <c r="B2113" s="1" t="n">
        <v>45246</v>
      </c>
      <c r="C2113" s="1" t="n">
        <v>45291</v>
      </c>
      <c r="D2113" t="inlineStr">
        <is>
          <t>VÄRMLANDS LÄN</t>
        </is>
      </c>
      <c r="E2113" t="inlineStr">
        <is>
          <t>TORSBY</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57642-2023</t>
        </is>
      </c>
      <c r="B2114" s="1" t="n">
        <v>45246</v>
      </c>
      <c r="C2114" s="1" t="n">
        <v>45291</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57921-2023</t>
        </is>
      </c>
      <c r="B2115" s="1" t="n">
        <v>45247</v>
      </c>
      <c r="C2115" s="1" t="n">
        <v>45291</v>
      </c>
      <c r="D2115" t="inlineStr">
        <is>
          <t>VÄRMLANDS LÄN</t>
        </is>
      </c>
      <c r="E2115" t="inlineStr">
        <is>
          <t>TORSBY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58013-2023</t>
        </is>
      </c>
      <c r="B2116" s="1" t="n">
        <v>45247</v>
      </c>
      <c r="C2116" s="1" t="n">
        <v>45291</v>
      </c>
      <c r="D2116" t="inlineStr">
        <is>
          <t>VÄRMLANDS LÄN</t>
        </is>
      </c>
      <c r="E2116" t="inlineStr">
        <is>
          <t>TORSBY</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57980-2023</t>
        </is>
      </c>
      <c r="B2117" s="1" t="n">
        <v>45247</v>
      </c>
      <c r="C2117" s="1" t="n">
        <v>45291</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57990-2023</t>
        </is>
      </c>
      <c r="B2118" s="1" t="n">
        <v>45247</v>
      </c>
      <c r="C2118" s="1" t="n">
        <v>45291</v>
      </c>
      <c r="D2118" t="inlineStr">
        <is>
          <t>VÄRMLANDS LÄN</t>
        </is>
      </c>
      <c r="E2118" t="inlineStr">
        <is>
          <t>TORSBY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58037-2023</t>
        </is>
      </c>
      <c r="B2119" s="1" t="n">
        <v>45247</v>
      </c>
      <c r="C2119" s="1" t="n">
        <v>45291</v>
      </c>
      <c r="D2119" t="inlineStr">
        <is>
          <t>VÄRMLANDS LÄN</t>
        </is>
      </c>
      <c r="E2119" t="inlineStr">
        <is>
          <t>TORSBY</t>
        </is>
      </c>
      <c r="F2119" t="inlineStr">
        <is>
          <t>Bergvik skog väst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58600-2023</t>
        </is>
      </c>
      <c r="B2120" s="1" t="n">
        <v>45247</v>
      </c>
      <c r="C2120" s="1" t="n">
        <v>45291</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58185-2023</t>
        </is>
      </c>
      <c r="B2121" s="1" t="n">
        <v>45250</v>
      </c>
      <c r="C2121" s="1" t="n">
        <v>45291</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58386-2023</t>
        </is>
      </c>
      <c r="B2122" s="1" t="n">
        <v>45250</v>
      </c>
      <c r="C2122" s="1" t="n">
        <v>45291</v>
      </c>
      <c r="D2122" t="inlineStr">
        <is>
          <t>VÄRMLANDS LÄN</t>
        </is>
      </c>
      <c r="E2122" t="inlineStr">
        <is>
          <t>TORSBY</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58430-2023</t>
        </is>
      </c>
      <c r="B2123" s="1" t="n">
        <v>45250</v>
      </c>
      <c r="C2123" s="1" t="n">
        <v>45291</v>
      </c>
      <c r="D2123" t="inlineStr">
        <is>
          <t>VÄRMLANDS LÄN</t>
        </is>
      </c>
      <c r="E2123" t="inlineStr">
        <is>
          <t>TORSBY</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58438-2023</t>
        </is>
      </c>
      <c r="B2124" s="1" t="n">
        <v>45250</v>
      </c>
      <c r="C2124" s="1" t="n">
        <v>45291</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58394-2023</t>
        </is>
      </c>
      <c r="B2125" s="1" t="n">
        <v>45250</v>
      </c>
      <c r="C2125" s="1" t="n">
        <v>45291</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58235-2023</t>
        </is>
      </c>
      <c r="B2126" s="1" t="n">
        <v>45250</v>
      </c>
      <c r="C2126" s="1" t="n">
        <v>45291</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58429-2023</t>
        </is>
      </c>
      <c r="B2127" s="1" t="n">
        <v>45250</v>
      </c>
      <c r="C2127" s="1" t="n">
        <v>45291</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58378-2023</t>
        </is>
      </c>
      <c r="B2128" s="1" t="n">
        <v>45250</v>
      </c>
      <c r="C2128" s="1" t="n">
        <v>45291</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58383-2023</t>
        </is>
      </c>
      <c r="B2129" s="1" t="n">
        <v>45250</v>
      </c>
      <c r="C2129" s="1" t="n">
        <v>45291</v>
      </c>
      <c r="D2129" t="inlineStr">
        <is>
          <t>VÄRMLANDS LÄN</t>
        </is>
      </c>
      <c r="E2129" t="inlineStr">
        <is>
          <t>TORSBY</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59256-2023</t>
        </is>
      </c>
      <c r="B2130" s="1" t="n">
        <v>45251</v>
      </c>
      <c r="C2130" s="1" t="n">
        <v>45291</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59239-2023</t>
        </is>
      </c>
      <c r="B2131" s="1" t="n">
        <v>45253</v>
      </c>
      <c r="C2131" s="1" t="n">
        <v>45291</v>
      </c>
      <c r="D2131" t="inlineStr">
        <is>
          <t>VÄRMLANDS LÄN</t>
        </is>
      </c>
      <c r="E2131" t="inlineStr">
        <is>
          <t>TORSBY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59236-2023</t>
        </is>
      </c>
      <c r="B2132" s="1" t="n">
        <v>45253</v>
      </c>
      <c r="C2132" s="1" t="n">
        <v>45291</v>
      </c>
      <c r="D2132" t="inlineStr">
        <is>
          <t>VÄRMLANDS LÄN</t>
        </is>
      </c>
      <c r="E2132" t="inlineStr">
        <is>
          <t>TORSBY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59488-2023</t>
        </is>
      </c>
      <c r="B2133" s="1" t="n">
        <v>45254</v>
      </c>
      <c r="C2133" s="1" t="n">
        <v>45291</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59781-2023</t>
        </is>
      </c>
      <c r="B2134" s="1" t="n">
        <v>45257</v>
      </c>
      <c r="C2134" s="1" t="n">
        <v>45291</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59872-2023</t>
        </is>
      </c>
      <c r="B2135" s="1" t="n">
        <v>45257</v>
      </c>
      <c r="C2135" s="1" t="n">
        <v>45291</v>
      </c>
      <c r="D2135" t="inlineStr">
        <is>
          <t>VÄRMLANDS LÄN</t>
        </is>
      </c>
      <c r="E2135" t="inlineStr">
        <is>
          <t>TORSBY</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59941-2023</t>
        </is>
      </c>
      <c r="B2136" s="1" t="n">
        <v>45257</v>
      </c>
      <c r="C2136" s="1" t="n">
        <v>45291</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60046-2023</t>
        </is>
      </c>
      <c r="B2137" s="1" t="n">
        <v>45258</v>
      </c>
      <c r="C2137" s="1" t="n">
        <v>45291</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60058-2023</t>
        </is>
      </c>
      <c r="B2138" s="1" t="n">
        <v>45258</v>
      </c>
      <c r="C2138" s="1" t="n">
        <v>45291</v>
      </c>
      <c r="D2138" t="inlineStr">
        <is>
          <t>VÄRMLANDS LÄN</t>
        </is>
      </c>
      <c r="E2138" t="inlineStr">
        <is>
          <t>TORSBY</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60100-2023</t>
        </is>
      </c>
      <c r="B2139" s="1" t="n">
        <v>45258</v>
      </c>
      <c r="C2139" s="1" t="n">
        <v>45291</v>
      </c>
      <c r="D2139" t="inlineStr">
        <is>
          <t>VÄRMLANDS LÄN</t>
        </is>
      </c>
      <c r="E2139" t="inlineStr">
        <is>
          <t>TORSBY</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60088-2023</t>
        </is>
      </c>
      <c r="B2140" s="1" t="n">
        <v>45258</v>
      </c>
      <c r="C2140" s="1" t="n">
        <v>45291</v>
      </c>
      <c r="D2140" t="inlineStr">
        <is>
          <t>VÄRMLANDS LÄN</t>
        </is>
      </c>
      <c r="E2140" t="inlineStr">
        <is>
          <t>TORSBY</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60133-2023</t>
        </is>
      </c>
      <c r="B2141" s="1" t="n">
        <v>45258</v>
      </c>
      <c r="C2141" s="1" t="n">
        <v>45291</v>
      </c>
      <c r="D2141" t="inlineStr">
        <is>
          <t>VÄRMLANDS LÄN</t>
        </is>
      </c>
      <c r="E2141" t="inlineStr">
        <is>
          <t>TORSBY</t>
        </is>
      </c>
      <c r="F2141" t="inlineStr">
        <is>
          <t>Bergvik skog väst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60314-2023</t>
        </is>
      </c>
      <c r="B2142" s="1" t="n">
        <v>45258</v>
      </c>
      <c r="C2142" s="1" t="n">
        <v>45291</v>
      </c>
      <c r="D2142" t="inlineStr">
        <is>
          <t>VÄRMLANDS LÄN</t>
        </is>
      </c>
      <c r="E2142" t="inlineStr">
        <is>
          <t>TORSBY</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60523-2023</t>
        </is>
      </c>
      <c r="B2143" s="1" t="n">
        <v>45259</v>
      </c>
      <c r="C2143" s="1" t="n">
        <v>45291</v>
      </c>
      <c r="D2143" t="inlineStr">
        <is>
          <t>VÄRMLANDS LÄN</t>
        </is>
      </c>
      <c r="E2143" t="inlineStr">
        <is>
          <t>TORSBY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60486-2023</t>
        </is>
      </c>
      <c r="B2144" s="1" t="n">
        <v>45259</v>
      </c>
      <c r="C2144" s="1" t="n">
        <v>45291</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60525-2023</t>
        </is>
      </c>
      <c r="B2145" s="1" t="n">
        <v>45259</v>
      </c>
      <c r="C2145" s="1" t="n">
        <v>45291</v>
      </c>
      <c r="D2145" t="inlineStr">
        <is>
          <t>VÄRMLANDS LÄN</t>
        </is>
      </c>
      <c r="E2145" t="inlineStr">
        <is>
          <t>TORSBY</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61157-2023</t>
        </is>
      </c>
      <c r="B2146" s="1" t="n">
        <v>45262</v>
      </c>
      <c r="C2146" s="1" t="n">
        <v>45291</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61164-2023</t>
        </is>
      </c>
      <c r="B2147" s="1" t="n">
        <v>45262</v>
      </c>
      <c r="C2147" s="1" t="n">
        <v>45291</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61256-2023</t>
        </is>
      </c>
      <c r="B2148" s="1" t="n">
        <v>45264</v>
      </c>
      <c r="C2148" s="1" t="n">
        <v>45291</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61370-2023</t>
        </is>
      </c>
      <c r="B2149" s="1" t="n">
        <v>45264</v>
      </c>
      <c r="C2149" s="1" t="n">
        <v>45291</v>
      </c>
      <c r="D2149" t="inlineStr">
        <is>
          <t>VÄRMLANDS LÄN</t>
        </is>
      </c>
      <c r="E2149" t="inlineStr">
        <is>
          <t>TORSBY</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61229-2023</t>
        </is>
      </c>
      <c r="B2150" s="1" t="n">
        <v>45264</v>
      </c>
      <c r="C2150" s="1" t="n">
        <v>45291</v>
      </c>
      <c r="D2150" t="inlineStr">
        <is>
          <t>VÄRMLANDS LÄN</t>
        </is>
      </c>
      <c r="E2150" t="inlineStr">
        <is>
          <t>TORSBY</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61923-2023</t>
        </is>
      </c>
      <c r="B2151" s="1" t="n">
        <v>45266</v>
      </c>
      <c r="C2151" s="1" t="n">
        <v>45291</v>
      </c>
      <c r="D2151" t="inlineStr">
        <is>
          <t>VÄRMLANDS LÄN</t>
        </is>
      </c>
      <c r="E2151" t="inlineStr">
        <is>
          <t>TORSBY</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62037-2023</t>
        </is>
      </c>
      <c r="B2152" s="1" t="n">
        <v>45266</v>
      </c>
      <c r="C2152" s="1" t="n">
        <v>45291</v>
      </c>
      <c r="D2152" t="inlineStr">
        <is>
          <t>VÄRMLANDS LÄN</t>
        </is>
      </c>
      <c r="E2152" t="inlineStr">
        <is>
          <t>TORSBY</t>
        </is>
      </c>
      <c r="F2152" t="inlineStr">
        <is>
          <t>Bergvik skog väst AB</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61921-2023</t>
        </is>
      </c>
      <c r="B2153" s="1" t="n">
        <v>45266</v>
      </c>
      <c r="C2153" s="1" t="n">
        <v>45291</v>
      </c>
      <c r="D2153" t="inlineStr">
        <is>
          <t>VÄRMLANDS LÄN</t>
        </is>
      </c>
      <c r="E2153" t="inlineStr">
        <is>
          <t>TORSBY</t>
        </is>
      </c>
      <c r="F2153" t="inlineStr">
        <is>
          <t>Kommuner</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62258-2023</t>
        </is>
      </c>
      <c r="B2154" s="1" t="n">
        <v>45266</v>
      </c>
      <c r="C2154" s="1" t="n">
        <v>45291</v>
      </c>
      <c r="D2154" t="inlineStr">
        <is>
          <t>VÄRMLANDS LÄN</t>
        </is>
      </c>
      <c r="E2154" t="inlineStr">
        <is>
          <t>TORSBY</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62250-2023</t>
        </is>
      </c>
      <c r="B2155" s="1" t="n">
        <v>45266</v>
      </c>
      <c r="C2155" s="1" t="n">
        <v>45291</v>
      </c>
      <c r="D2155" t="inlineStr">
        <is>
          <t>VÄRMLANDS LÄN</t>
        </is>
      </c>
      <c r="E2155" t="inlineStr">
        <is>
          <t>TORSBY</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62274-2023</t>
        </is>
      </c>
      <c r="B2156" s="1" t="n">
        <v>45267</v>
      </c>
      <c r="C2156" s="1" t="n">
        <v>45291</v>
      </c>
      <c r="D2156" t="inlineStr">
        <is>
          <t>VÄRMLANDS LÄN</t>
        </is>
      </c>
      <c r="E2156" t="inlineStr">
        <is>
          <t>TORSBY</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62236-2023</t>
        </is>
      </c>
      <c r="B2157" s="1" t="n">
        <v>45267</v>
      </c>
      <c r="C2157" s="1" t="n">
        <v>45291</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62240-2023</t>
        </is>
      </c>
      <c r="B2158" s="1" t="n">
        <v>45267</v>
      </c>
      <c r="C2158" s="1" t="n">
        <v>45291</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62168-2023</t>
        </is>
      </c>
      <c r="B2159" s="1" t="n">
        <v>45267</v>
      </c>
      <c r="C2159" s="1" t="n">
        <v>45291</v>
      </c>
      <c r="D2159" t="inlineStr">
        <is>
          <t>VÄRMLANDS LÄN</t>
        </is>
      </c>
      <c r="E2159" t="inlineStr">
        <is>
          <t>TORSBY</t>
        </is>
      </c>
      <c r="F2159" t="inlineStr">
        <is>
          <t>Kommuner</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62210-2023</t>
        </is>
      </c>
      <c r="B2160" s="1" t="n">
        <v>45267</v>
      </c>
      <c r="C2160" s="1" t="n">
        <v>45291</v>
      </c>
      <c r="D2160" t="inlineStr">
        <is>
          <t>VÄRMLANDS LÄN</t>
        </is>
      </c>
      <c r="E2160" t="inlineStr">
        <is>
          <t>TORSBY</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62317-2023</t>
        </is>
      </c>
      <c r="B2161" s="1" t="n">
        <v>45267</v>
      </c>
      <c r="C2161" s="1" t="n">
        <v>45291</v>
      </c>
      <c r="D2161" t="inlineStr">
        <is>
          <t>VÄRMLANDS LÄN</t>
        </is>
      </c>
      <c r="E2161" t="inlineStr">
        <is>
          <t>TORSBY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62507-2023</t>
        </is>
      </c>
      <c r="B2162" s="1" t="n">
        <v>45267</v>
      </c>
      <c r="C2162" s="1" t="n">
        <v>45291</v>
      </c>
      <c r="D2162" t="inlineStr">
        <is>
          <t>VÄRMLANDS LÄN</t>
        </is>
      </c>
      <c r="E2162" t="inlineStr">
        <is>
          <t>TORSBY</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62387-2023</t>
        </is>
      </c>
      <c r="B2163" s="1" t="n">
        <v>45268</v>
      </c>
      <c r="C2163" s="1" t="n">
        <v>45291</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62445-2023</t>
        </is>
      </c>
      <c r="B2164" s="1" t="n">
        <v>45268</v>
      </c>
      <c r="C2164" s="1" t="n">
        <v>45291</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62510-2023</t>
        </is>
      </c>
      <c r="B2165" s="1" t="n">
        <v>45268</v>
      </c>
      <c r="C2165" s="1" t="n">
        <v>45291</v>
      </c>
      <c r="D2165" t="inlineStr">
        <is>
          <t>VÄRMLANDS LÄN</t>
        </is>
      </c>
      <c r="E2165" t="inlineStr">
        <is>
          <t>TORSBY</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62618-2023</t>
        </is>
      </c>
      <c r="B2166" s="1" t="n">
        <v>45271</v>
      </c>
      <c r="C2166" s="1" t="n">
        <v>45291</v>
      </c>
      <c r="D2166" t="inlineStr">
        <is>
          <t>VÄRMLANDS LÄN</t>
        </is>
      </c>
      <c r="E2166" t="inlineStr">
        <is>
          <t>TORSBY</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62950-2023</t>
        </is>
      </c>
      <c r="B2167" s="1" t="n">
        <v>45271</v>
      </c>
      <c r="C2167" s="1" t="n">
        <v>45291</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62957-2023</t>
        </is>
      </c>
      <c r="B2168" s="1" t="n">
        <v>45271</v>
      </c>
      <c r="C2168" s="1" t="n">
        <v>45291</v>
      </c>
      <c r="D2168" t="inlineStr">
        <is>
          <t>VÄRMLANDS LÄN</t>
        </is>
      </c>
      <c r="E2168" t="inlineStr">
        <is>
          <t>TORSBY</t>
        </is>
      </c>
      <c r="F2168" t="inlineStr">
        <is>
          <t>Övriga statliga verk och myndigheter</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63032-2023</t>
        </is>
      </c>
      <c r="B2169" s="1" t="n">
        <v>45272</v>
      </c>
      <c r="C2169" s="1" t="n">
        <v>45291</v>
      </c>
      <c r="D2169" t="inlineStr">
        <is>
          <t>VÄRMLANDS LÄN</t>
        </is>
      </c>
      <c r="E2169" t="inlineStr">
        <is>
          <t>TORSBY</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63028-2023</t>
        </is>
      </c>
      <c r="B2170" s="1" t="n">
        <v>45272</v>
      </c>
      <c r="C2170" s="1" t="n">
        <v>45291</v>
      </c>
      <c r="D2170" t="inlineStr">
        <is>
          <t>VÄRMLANDS LÄN</t>
        </is>
      </c>
      <c r="E2170" t="inlineStr">
        <is>
          <t>TORSBY</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63177-2023</t>
        </is>
      </c>
      <c r="B2171" s="1" t="n">
        <v>45272</v>
      </c>
      <c r="C2171" s="1" t="n">
        <v>45291</v>
      </c>
      <c r="D2171" t="inlineStr">
        <is>
          <t>VÄRMLANDS LÄN</t>
        </is>
      </c>
      <c r="E2171" t="inlineStr">
        <is>
          <t>TORSBY</t>
        </is>
      </c>
      <c r="G2171" t="n">
        <v>14.9</v>
      </c>
      <c r="H2171" t="n">
        <v>0</v>
      </c>
      <c r="I2171" t="n">
        <v>0</v>
      </c>
      <c r="J2171" t="n">
        <v>0</v>
      </c>
      <c r="K2171" t="n">
        <v>0</v>
      </c>
      <c r="L2171" t="n">
        <v>0</v>
      </c>
      <c r="M2171" t="n">
        <v>0</v>
      </c>
      <c r="N2171" t="n">
        <v>0</v>
      </c>
      <c r="O2171" t="n">
        <v>0</v>
      </c>
      <c r="P2171" t="n">
        <v>0</v>
      </c>
      <c r="Q2171" t="n">
        <v>0</v>
      </c>
      <c r="R2171" s="2" t="inlineStr"/>
    </row>
    <row r="2172" ht="15" customHeight="1">
      <c r="A2172" t="inlineStr">
        <is>
          <t>A 63030-2023</t>
        </is>
      </c>
      <c r="B2172" s="1" t="n">
        <v>45272</v>
      </c>
      <c r="C2172" s="1" t="n">
        <v>45291</v>
      </c>
      <c r="D2172" t="inlineStr">
        <is>
          <t>VÄRMLANDS LÄN</t>
        </is>
      </c>
      <c r="E2172" t="inlineStr">
        <is>
          <t>TORSBY</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63031-2023</t>
        </is>
      </c>
      <c r="B2173" s="1" t="n">
        <v>45272</v>
      </c>
      <c r="C2173" s="1" t="n">
        <v>45291</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63083-2023</t>
        </is>
      </c>
      <c r="B2174" s="1" t="n">
        <v>45273</v>
      </c>
      <c r="C2174" s="1" t="n">
        <v>45291</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63146-2023</t>
        </is>
      </c>
      <c r="B2175" s="1" t="n">
        <v>45273</v>
      </c>
      <c r="C2175" s="1" t="n">
        <v>45291</v>
      </c>
      <c r="D2175" t="inlineStr">
        <is>
          <t>VÄRMLANDS LÄN</t>
        </is>
      </c>
      <c r="E2175" t="inlineStr">
        <is>
          <t>TORSBY</t>
        </is>
      </c>
      <c r="F2175" t="inlineStr">
        <is>
          <t>Bergvik skog väst AB</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63158-2023</t>
        </is>
      </c>
      <c r="B2176" s="1" t="n">
        <v>45273</v>
      </c>
      <c r="C2176" s="1" t="n">
        <v>45291</v>
      </c>
      <c r="D2176" t="inlineStr">
        <is>
          <t>VÄRMLANDS LÄN</t>
        </is>
      </c>
      <c r="E2176" t="inlineStr">
        <is>
          <t>TORSBY</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63363-2023</t>
        </is>
      </c>
      <c r="B2177" s="1" t="n">
        <v>45273</v>
      </c>
      <c r="C2177" s="1" t="n">
        <v>45291</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63266-2023</t>
        </is>
      </c>
      <c r="B2178" s="1" t="n">
        <v>45273</v>
      </c>
      <c r="C2178" s="1" t="n">
        <v>45291</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63244-2023</t>
        </is>
      </c>
      <c r="B2179" s="1" t="n">
        <v>45273</v>
      </c>
      <c r="C2179" s="1" t="n">
        <v>45291</v>
      </c>
      <c r="D2179" t="inlineStr">
        <is>
          <t>VÄRMLANDS LÄN</t>
        </is>
      </c>
      <c r="E2179" t="inlineStr">
        <is>
          <t>TORSBY</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63399-2023</t>
        </is>
      </c>
      <c r="B2180" s="1" t="n">
        <v>45274</v>
      </c>
      <c r="C2180" s="1" t="n">
        <v>45291</v>
      </c>
      <c r="D2180" t="inlineStr">
        <is>
          <t>VÄRMLANDS LÄN</t>
        </is>
      </c>
      <c r="E2180" t="inlineStr">
        <is>
          <t>TORSBY</t>
        </is>
      </c>
      <c r="F2180" t="inlineStr">
        <is>
          <t>Bergvik skog väst AB</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63409-2023</t>
        </is>
      </c>
      <c r="B2181" s="1" t="n">
        <v>45274</v>
      </c>
      <c r="C2181" s="1" t="n">
        <v>45291</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63821-2023</t>
        </is>
      </c>
      <c r="B2182" s="1" t="n">
        <v>45275</v>
      </c>
      <c r="C2182" s="1" t="n">
        <v>45291</v>
      </c>
      <c r="D2182" t="inlineStr">
        <is>
          <t>VÄRMLANDS LÄN</t>
        </is>
      </c>
      <c r="E2182" t="inlineStr">
        <is>
          <t>TORSBY</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63955-2023</t>
        </is>
      </c>
      <c r="B2183" s="1" t="n">
        <v>45278</v>
      </c>
      <c r="C2183" s="1" t="n">
        <v>45291</v>
      </c>
      <c r="D2183" t="inlineStr">
        <is>
          <t>VÄRMLANDS LÄN</t>
        </is>
      </c>
      <c r="E2183" t="inlineStr">
        <is>
          <t>TORSBY</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63967-2023</t>
        </is>
      </c>
      <c r="B2184" s="1" t="n">
        <v>45278</v>
      </c>
      <c r="C2184" s="1" t="n">
        <v>45291</v>
      </c>
      <c r="D2184" t="inlineStr">
        <is>
          <t>VÄRMLANDS LÄN</t>
        </is>
      </c>
      <c r="E2184" t="inlineStr">
        <is>
          <t>TORSBY</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63866-2023</t>
        </is>
      </c>
      <c r="B2185" s="1" t="n">
        <v>45278</v>
      </c>
      <c r="C2185" s="1" t="n">
        <v>45291</v>
      </c>
      <c r="D2185" t="inlineStr">
        <is>
          <t>VÄRMLANDS LÄN</t>
        </is>
      </c>
      <c r="E2185" t="inlineStr">
        <is>
          <t>TORSBY</t>
        </is>
      </c>
      <c r="F2185" t="inlineStr">
        <is>
          <t>Bergvik skog väst AB</t>
        </is>
      </c>
      <c r="G2185" t="n">
        <v>58.2</v>
      </c>
      <c r="H2185" t="n">
        <v>0</v>
      </c>
      <c r="I2185" t="n">
        <v>0</v>
      </c>
      <c r="J2185" t="n">
        <v>0</v>
      </c>
      <c r="K2185" t="n">
        <v>0</v>
      </c>
      <c r="L2185" t="n">
        <v>0</v>
      </c>
      <c r="M2185" t="n">
        <v>0</v>
      </c>
      <c r="N2185" t="n">
        <v>0</v>
      </c>
      <c r="O2185" t="n">
        <v>0</v>
      </c>
      <c r="P2185" t="n">
        <v>0</v>
      </c>
      <c r="Q2185" t="n">
        <v>0</v>
      </c>
      <c r="R2185" s="2" t="inlineStr"/>
    </row>
    <row r="2186" ht="15" customHeight="1">
      <c r="A2186" t="inlineStr">
        <is>
          <t>A 63820-2023</t>
        </is>
      </c>
      <c r="B2186" s="1" t="n">
        <v>45278</v>
      </c>
      <c r="C2186" s="1" t="n">
        <v>45291</v>
      </c>
      <c r="D2186" t="inlineStr">
        <is>
          <t>VÄRMLANDS LÄN</t>
        </is>
      </c>
      <c r="E2186" t="inlineStr">
        <is>
          <t>TORSBY</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64162-2023</t>
        </is>
      </c>
      <c r="B2187" s="1" t="n">
        <v>45279</v>
      </c>
      <c r="C2187" s="1" t="n">
        <v>45291</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64395-2023</t>
        </is>
      </c>
      <c r="B2188" s="1" t="n">
        <v>45280</v>
      </c>
      <c r="C2188" s="1" t="n">
        <v>45291</v>
      </c>
      <c r="D2188" t="inlineStr">
        <is>
          <t>VÄRMLANDS LÄN</t>
        </is>
      </c>
      <c r="E2188" t="inlineStr">
        <is>
          <t>TORSBY</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64400-2023</t>
        </is>
      </c>
      <c r="B2189" s="1" t="n">
        <v>45280</v>
      </c>
      <c r="C2189" s="1" t="n">
        <v>45291</v>
      </c>
      <c r="D2189" t="inlineStr">
        <is>
          <t>VÄRMLANDS LÄN</t>
        </is>
      </c>
      <c r="E2189" t="inlineStr">
        <is>
          <t>TORSBY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64432-2023</t>
        </is>
      </c>
      <c r="B2190" s="1" t="n">
        <v>45280</v>
      </c>
      <c r="C2190" s="1" t="n">
        <v>45291</v>
      </c>
      <c r="D2190" t="inlineStr">
        <is>
          <t>VÄRMLANDS LÄN</t>
        </is>
      </c>
      <c r="E2190" t="inlineStr">
        <is>
          <t>TORSBY</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64389-2023</t>
        </is>
      </c>
      <c r="B2191" s="1" t="n">
        <v>45280</v>
      </c>
      <c r="C2191" s="1" t="n">
        <v>45291</v>
      </c>
      <c r="D2191" t="inlineStr">
        <is>
          <t>VÄRMLANDS LÄN</t>
        </is>
      </c>
      <c r="E2191" t="inlineStr">
        <is>
          <t>TORSBY</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64429-2023</t>
        </is>
      </c>
      <c r="B2192" s="1" t="n">
        <v>45280</v>
      </c>
      <c r="C2192" s="1" t="n">
        <v>45291</v>
      </c>
      <c r="D2192" t="inlineStr">
        <is>
          <t>VÄRMLANDS LÄN</t>
        </is>
      </c>
      <c r="E2192" t="inlineStr">
        <is>
          <t>TORSBY</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64454-2023</t>
        </is>
      </c>
      <c r="B2193" s="1" t="n">
        <v>45280</v>
      </c>
      <c r="C2193" s="1" t="n">
        <v>45291</v>
      </c>
      <c r="D2193" t="inlineStr">
        <is>
          <t>VÄRMLANDS LÄN</t>
        </is>
      </c>
      <c r="E2193" t="inlineStr">
        <is>
          <t>TORSBY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64664-2023</t>
        </is>
      </c>
      <c r="B2194" s="1" t="n">
        <v>45281</v>
      </c>
      <c r="C2194" s="1" t="n">
        <v>45291</v>
      </c>
      <c r="D2194" t="inlineStr">
        <is>
          <t>VÄRMLANDS LÄN</t>
        </is>
      </c>
      <c r="E2194" t="inlineStr">
        <is>
          <t>TORSBY</t>
        </is>
      </c>
      <c r="F2194" t="inlineStr">
        <is>
          <t>Bergvik skog väst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64672-2023</t>
        </is>
      </c>
      <c r="B2195" s="1" t="n">
        <v>45281</v>
      </c>
      <c r="C2195" s="1" t="n">
        <v>45291</v>
      </c>
      <c r="D2195" t="inlineStr">
        <is>
          <t>VÄRMLANDS LÄN</t>
        </is>
      </c>
      <c r="E2195" t="inlineStr">
        <is>
          <t>TORSBY</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64641-2023</t>
        </is>
      </c>
      <c r="B2196" s="1" t="n">
        <v>45281</v>
      </c>
      <c r="C2196" s="1" t="n">
        <v>45291</v>
      </c>
      <c r="D2196" t="inlineStr">
        <is>
          <t>VÄRMLANDS LÄN</t>
        </is>
      </c>
      <c r="E2196" t="inlineStr">
        <is>
          <t>TORSBY</t>
        </is>
      </c>
      <c r="F2196" t="inlineStr">
        <is>
          <t>Bergvik skog väst AB</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64590-2023</t>
        </is>
      </c>
      <c r="B2197" s="1" t="n">
        <v>45281</v>
      </c>
      <c r="C2197" s="1" t="n">
        <v>45291</v>
      </c>
      <c r="D2197" t="inlineStr">
        <is>
          <t>VÄRMLANDS LÄN</t>
        </is>
      </c>
      <c r="E2197" t="inlineStr">
        <is>
          <t>TORSBY</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64640-2023</t>
        </is>
      </c>
      <c r="B2198" s="1" t="n">
        <v>45281</v>
      </c>
      <c r="C2198" s="1" t="n">
        <v>45291</v>
      </c>
      <c r="D2198" t="inlineStr">
        <is>
          <t>VÄRMLANDS LÄN</t>
        </is>
      </c>
      <c r="E2198" t="inlineStr">
        <is>
          <t>TORSBY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64602-2023</t>
        </is>
      </c>
      <c r="B2199" s="1" t="n">
        <v>45281</v>
      </c>
      <c r="C2199" s="1" t="n">
        <v>45291</v>
      </c>
      <c r="D2199" t="inlineStr">
        <is>
          <t>VÄRMLANDS LÄN</t>
        </is>
      </c>
      <c r="E2199" t="inlineStr">
        <is>
          <t>TORSBY</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64671-2023</t>
        </is>
      </c>
      <c r="B2200" s="1" t="n">
        <v>45281</v>
      </c>
      <c r="C2200" s="1" t="n">
        <v>45291</v>
      </c>
      <c r="D2200" t="inlineStr">
        <is>
          <t>VÄRMLANDS LÄN</t>
        </is>
      </c>
      <c r="E2200" t="inlineStr">
        <is>
          <t>TORSBY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65081-2023</t>
        </is>
      </c>
      <c r="B2201" s="1" t="n">
        <v>45288</v>
      </c>
      <c r="C2201" s="1" t="n">
        <v>45291</v>
      </c>
      <c r="D2201" t="inlineStr">
        <is>
          <t>VÄRMLANDS LÄN</t>
        </is>
      </c>
      <c r="E2201" t="inlineStr">
        <is>
          <t>TORSBY</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65134-2023</t>
        </is>
      </c>
      <c r="B2202" s="1" t="n">
        <v>45288</v>
      </c>
      <c r="C2202" s="1" t="n">
        <v>45291</v>
      </c>
      <c r="D2202" t="inlineStr">
        <is>
          <t>VÄRMLANDS LÄN</t>
        </is>
      </c>
      <c r="E2202" t="inlineStr">
        <is>
          <t>TORSBY</t>
        </is>
      </c>
      <c r="G2202" t="n">
        <v>3.5</v>
      </c>
      <c r="H2202" t="n">
        <v>0</v>
      </c>
      <c r="I2202" t="n">
        <v>0</v>
      </c>
      <c r="J2202" t="n">
        <v>0</v>
      </c>
      <c r="K2202" t="n">
        <v>0</v>
      </c>
      <c r="L2202" t="n">
        <v>0</v>
      </c>
      <c r="M2202" t="n">
        <v>0</v>
      </c>
      <c r="N2202" t="n">
        <v>0</v>
      </c>
      <c r="O2202" t="n">
        <v>0</v>
      </c>
      <c r="P2202" t="n">
        <v>0</v>
      </c>
      <c r="Q2202" t="n">
        <v>0</v>
      </c>
      <c r="R2202" s="2" t="inlineStr"/>
    </row>
    <row r="2203">
      <c r="A2203" t="inlineStr">
        <is>
          <t>A 65204-2023</t>
        </is>
      </c>
      <c r="B2203" s="1" t="n">
        <v>45289</v>
      </c>
      <c r="C2203" s="1" t="n">
        <v>45291</v>
      </c>
      <c r="D2203" t="inlineStr">
        <is>
          <t>VÄRMLANDS LÄN</t>
        </is>
      </c>
      <c r="E2203" t="inlineStr">
        <is>
          <t>TORSBY</t>
        </is>
      </c>
      <c r="G2203" t="n">
        <v>3.1</v>
      </c>
      <c r="H2203" t="n">
        <v>0</v>
      </c>
      <c r="I2203" t="n">
        <v>0</v>
      </c>
      <c r="J2203" t="n">
        <v>0</v>
      </c>
      <c r="K2203" t="n">
        <v>0</v>
      </c>
      <c r="L2203" t="n">
        <v>0</v>
      </c>
      <c r="M2203" t="n">
        <v>0</v>
      </c>
      <c r="N2203" t="n">
        <v>0</v>
      </c>
      <c r="O2203" t="n">
        <v>0</v>
      </c>
      <c r="P2203" t="n">
        <v>0</v>
      </c>
      <c r="Q2203" t="n">
        <v>0</v>
      </c>
      <c r="R22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2023-12-31T12:17:13Z</dcterms:created>
  <dcterms:modified xmlns:dcterms="http://purl.org/dc/terms/" xmlns:xsi="http://www.w3.org/2001/XMLSchema-instance" xsi:type="dcterms:W3CDTF">2023-12-31T12:17:14Z</dcterms:modified>
</cp:coreProperties>
</file>