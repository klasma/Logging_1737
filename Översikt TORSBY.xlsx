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45712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45712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45712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45712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45712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45712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45712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45712</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45712</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45712</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45712</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45712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45712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45712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45712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45712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45712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45712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45712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45712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45712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45712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45712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45712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45712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45712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45712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45712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45712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45712</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45712</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45712</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45712</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45712</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45712</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45712</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45712</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45712</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45712</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45712</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45712</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45712</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45712</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45712</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45712</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45712</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45712</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45712</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45712</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45712</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45712</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45712</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45712</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45712</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45712</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45712</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45712</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45712</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45712</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45712</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45712</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45712</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45712</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45712</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45712</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45712</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45712</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45712</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45712</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45712</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45712</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45712</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45712</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45712</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45712</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45712</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45712</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45712</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45712</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45712</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45712</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45712</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45712</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45712</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45712</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45712</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45712</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45712</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45712</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45712</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45712</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45712</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45712</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45712</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45712</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45712</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45712</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45712</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45712</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45712</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45712</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45712</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45712</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45712</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45712</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45712</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45712</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45712</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45712</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45712</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45712</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45712</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45712</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37035-2020</t>
        </is>
      </c>
      <c r="B116" s="1" t="n">
        <v>44054</v>
      </c>
      <c r="C116" s="1" t="n">
        <v>45712</v>
      </c>
      <c r="D116" t="inlineStr">
        <is>
          <t>VÄRMLANDS LÄN</t>
        </is>
      </c>
      <c r="E116" t="inlineStr">
        <is>
          <t>TORSBY</t>
        </is>
      </c>
      <c r="G116" t="n">
        <v>2.7</v>
      </c>
      <c r="H116" t="n">
        <v>0</v>
      </c>
      <c r="I116" t="n">
        <v>0</v>
      </c>
      <c r="J116" t="n">
        <v>0</v>
      </c>
      <c r="K116" t="n">
        <v>1</v>
      </c>
      <c r="L116" t="n">
        <v>0</v>
      </c>
      <c r="M116" t="n">
        <v>0</v>
      </c>
      <c r="N116" t="n">
        <v>0</v>
      </c>
      <c r="O116" t="n">
        <v>1</v>
      </c>
      <c r="P116" t="n">
        <v>1</v>
      </c>
      <c r="Q116" t="n">
        <v>1</v>
      </c>
      <c r="R116" s="2" t="inlineStr">
        <is>
          <t>Raggbock</t>
        </is>
      </c>
      <c r="S116">
        <f>HYPERLINK("https://klasma.github.io/Logging_1737/artfynd/A 37035-2020 artfynd.xlsx", "A 37035-2020")</f>
        <v/>
      </c>
      <c r="T116">
        <f>HYPERLINK("https://klasma.github.io/Logging_1737/kartor/A 37035-2020 karta.png", "A 37035-2020")</f>
        <v/>
      </c>
      <c r="V116">
        <f>HYPERLINK("https://klasma.github.io/Logging_1737/klagomål/A 37035-2020 FSC-klagomål.docx", "A 37035-2020")</f>
        <v/>
      </c>
      <c r="W116">
        <f>HYPERLINK("https://klasma.github.io/Logging_1737/klagomålsmail/A 37035-2020 FSC-klagomål mail.docx", "A 37035-2020")</f>
        <v/>
      </c>
      <c r="X116">
        <f>HYPERLINK("https://klasma.github.io/Logging_1737/tillsyn/A 37035-2020 tillsynsbegäran.docx", "A 37035-2020")</f>
        <v/>
      </c>
      <c r="Y116">
        <f>HYPERLINK("https://klasma.github.io/Logging_1737/tillsynsmail/A 37035-2020 tillsynsbegäran mail.docx", "A 37035-2020")</f>
        <v/>
      </c>
    </row>
    <row r="117" ht="15" customHeight="1">
      <c r="A117" t="inlineStr">
        <is>
          <t>A 50854-2020</t>
        </is>
      </c>
      <c r="B117" s="1" t="n">
        <v>44105</v>
      </c>
      <c r="C117" s="1" t="n">
        <v>45712</v>
      </c>
      <c r="D117" t="inlineStr">
        <is>
          <t>VÄRMLANDS LÄN</t>
        </is>
      </c>
      <c r="E117" t="inlineStr">
        <is>
          <t>TORSBY</t>
        </is>
      </c>
      <c r="G117" t="n">
        <v>6.5</v>
      </c>
      <c r="H117" t="n">
        <v>1</v>
      </c>
      <c r="I117" t="n">
        <v>0</v>
      </c>
      <c r="J117" t="n">
        <v>0</v>
      </c>
      <c r="K117" t="n">
        <v>1</v>
      </c>
      <c r="L117" t="n">
        <v>0</v>
      </c>
      <c r="M117" t="n">
        <v>0</v>
      </c>
      <c r="N117" t="n">
        <v>0</v>
      </c>
      <c r="O117" t="n">
        <v>1</v>
      </c>
      <c r="P117" t="n">
        <v>1</v>
      </c>
      <c r="Q117" t="n">
        <v>1</v>
      </c>
      <c r="R117" s="2" t="inlineStr">
        <is>
          <t>Knärot</t>
        </is>
      </c>
      <c r="S117">
        <f>HYPERLINK("https://klasma.github.io/Logging_1737/artfynd/A 50854-2020 artfynd.xlsx", "A 50854-2020")</f>
        <v/>
      </c>
      <c r="T117">
        <f>HYPERLINK("https://klasma.github.io/Logging_1737/kartor/A 50854-2020 karta.png", "A 50854-2020")</f>
        <v/>
      </c>
      <c r="U117">
        <f>HYPERLINK("https://klasma.github.io/Logging_1737/knärot/A 50854-2020 karta knärot.png", "A 50854-2020")</f>
        <v/>
      </c>
      <c r="V117">
        <f>HYPERLINK("https://klasma.github.io/Logging_1737/klagomål/A 50854-2020 FSC-klagomål.docx", "A 50854-2020")</f>
        <v/>
      </c>
      <c r="W117">
        <f>HYPERLINK("https://klasma.github.io/Logging_1737/klagomålsmail/A 50854-2020 FSC-klagomål mail.docx", "A 50854-2020")</f>
        <v/>
      </c>
      <c r="X117">
        <f>HYPERLINK("https://klasma.github.io/Logging_1737/tillsyn/A 50854-2020 tillsynsbegäran.docx", "A 50854-2020")</f>
        <v/>
      </c>
      <c r="Y117">
        <f>HYPERLINK("https://klasma.github.io/Logging_1737/tillsynsmail/A 50854-2020 tillsynsbegäran mail.docx", "A 50854-2020")</f>
        <v/>
      </c>
    </row>
    <row r="118" ht="15" customHeight="1">
      <c r="A118" t="inlineStr">
        <is>
          <t>A 50089-2020</t>
        </is>
      </c>
      <c r="B118" s="1" t="n">
        <v>44109</v>
      </c>
      <c r="C118" s="1" t="n">
        <v>45712</v>
      </c>
      <c r="D118" t="inlineStr">
        <is>
          <t>VÄRMLANDS LÄN</t>
        </is>
      </c>
      <c r="E118" t="inlineStr">
        <is>
          <t>TORSBY</t>
        </is>
      </c>
      <c r="G118" t="n">
        <v>0.9</v>
      </c>
      <c r="H118" t="n">
        <v>1</v>
      </c>
      <c r="I118" t="n">
        <v>0</v>
      </c>
      <c r="J118" t="n">
        <v>1</v>
      </c>
      <c r="K118" t="n">
        <v>0</v>
      </c>
      <c r="L118" t="n">
        <v>0</v>
      </c>
      <c r="M118" t="n">
        <v>0</v>
      </c>
      <c r="N118" t="n">
        <v>0</v>
      </c>
      <c r="O118" t="n">
        <v>1</v>
      </c>
      <c r="P118" t="n">
        <v>0</v>
      </c>
      <c r="Q118" t="n">
        <v>1</v>
      </c>
      <c r="R118" s="2" t="inlineStr">
        <is>
          <t>Spillkråka</t>
        </is>
      </c>
      <c r="S118">
        <f>HYPERLINK("https://klasma.github.io/Logging_1737/artfynd/A 50089-2020 artfynd.xlsx", "A 50089-2020")</f>
        <v/>
      </c>
      <c r="T118">
        <f>HYPERLINK("https://klasma.github.io/Logging_1737/kartor/A 50089-2020 karta.png", "A 50089-2020")</f>
        <v/>
      </c>
      <c r="V118">
        <f>HYPERLINK("https://klasma.github.io/Logging_1737/klagomål/A 50089-2020 FSC-klagomål.docx", "A 50089-2020")</f>
        <v/>
      </c>
      <c r="W118">
        <f>HYPERLINK("https://klasma.github.io/Logging_1737/klagomålsmail/A 50089-2020 FSC-klagomål mail.docx", "A 50089-2020")</f>
        <v/>
      </c>
      <c r="X118">
        <f>HYPERLINK("https://klasma.github.io/Logging_1737/tillsyn/A 50089-2020 tillsynsbegäran.docx", "A 50089-2020")</f>
        <v/>
      </c>
      <c r="Y118">
        <f>HYPERLINK("https://klasma.github.io/Logging_1737/tillsynsmail/A 50089-2020 tillsynsbegäran mail.docx", "A 50089-2020")</f>
        <v/>
      </c>
      <c r="Z118">
        <f>HYPERLINK("https://klasma.github.io/Logging_1737/fåglar/A 50089-2020 prioriterade fågelarter.docx", "A 50089-2020")</f>
        <v/>
      </c>
    </row>
    <row r="119" ht="15" customHeight="1">
      <c r="A119" t="inlineStr">
        <is>
          <t>A 53491-2020</t>
        </is>
      </c>
      <c r="B119" s="1" t="n">
        <v>44123</v>
      </c>
      <c r="C119" s="1" t="n">
        <v>45712</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53491-2020 artfynd.xlsx", "A 53491-2020")</f>
        <v/>
      </c>
      <c r="T119">
        <f>HYPERLINK("https://klasma.github.io/Logging_1737/kartor/A 53491-2020 karta.png", "A 53491-2020")</f>
        <v/>
      </c>
      <c r="V119">
        <f>HYPERLINK("https://klasma.github.io/Logging_1737/klagomål/A 53491-2020 FSC-klagomål.docx", "A 53491-2020")</f>
        <v/>
      </c>
      <c r="W119">
        <f>HYPERLINK("https://klasma.github.io/Logging_1737/klagomålsmail/A 53491-2020 FSC-klagomål mail.docx", "A 53491-2020")</f>
        <v/>
      </c>
      <c r="X119">
        <f>HYPERLINK("https://klasma.github.io/Logging_1737/tillsyn/A 53491-2020 tillsynsbegäran.docx", "A 53491-2020")</f>
        <v/>
      </c>
      <c r="Y119">
        <f>HYPERLINK("https://klasma.github.io/Logging_1737/tillsynsmail/A 53491-2020 tillsynsbegäran mail.docx", "A 53491-2020")</f>
        <v/>
      </c>
    </row>
    <row r="120" ht="15" customHeight="1">
      <c r="A120" t="inlineStr">
        <is>
          <t>A 8747-2021</t>
        </is>
      </c>
      <c r="B120" s="1" t="n">
        <v>44246</v>
      </c>
      <c r="C120" s="1" t="n">
        <v>45712</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24042-2021</t>
        </is>
      </c>
      <c r="B121" s="1" t="n">
        <v>44336</v>
      </c>
      <c r="C121" s="1" t="n">
        <v>45712</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34876-2021</t>
        </is>
      </c>
      <c r="B122" s="1" t="n">
        <v>44383</v>
      </c>
      <c r="C122" s="1" t="n">
        <v>45712</v>
      </c>
      <c r="D122" t="inlineStr">
        <is>
          <t>VÄRMLANDS LÄN</t>
        </is>
      </c>
      <c r="E122" t="inlineStr">
        <is>
          <t>TORSBY</t>
        </is>
      </c>
      <c r="G122" t="n">
        <v>4.7</v>
      </c>
      <c r="H122" t="n">
        <v>0</v>
      </c>
      <c r="I122" t="n">
        <v>0</v>
      </c>
      <c r="J122" t="n">
        <v>1</v>
      </c>
      <c r="K122" t="n">
        <v>0</v>
      </c>
      <c r="L122" t="n">
        <v>0</v>
      </c>
      <c r="M122" t="n">
        <v>0</v>
      </c>
      <c r="N122" t="n">
        <v>0</v>
      </c>
      <c r="O122" t="n">
        <v>1</v>
      </c>
      <c r="P122" t="n">
        <v>0</v>
      </c>
      <c r="Q122" t="n">
        <v>1</v>
      </c>
      <c r="R122" s="2" t="inlineStr">
        <is>
          <t>Doftskinn</t>
        </is>
      </c>
      <c r="S122">
        <f>HYPERLINK("https://klasma.github.io/Logging_1737/artfynd/A 34876-2021 artfynd.xlsx", "A 34876-2021")</f>
        <v/>
      </c>
      <c r="T122">
        <f>HYPERLINK("https://klasma.github.io/Logging_1737/kartor/A 34876-2021 karta.png", "A 34876-2021")</f>
        <v/>
      </c>
      <c r="V122">
        <f>HYPERLINK("https://klasma.github.io/Logging_1737/klagomål/A 34876-2021 FSC-klagomål.docx", "A 34876-2021")</f>
        <v/>
      </c>
      <c r="W122">
        <f>HYPERLINK("https://klasma.github.io/Logging_1737/klagomålsmail/A 34876-2021 FSC-klagomål mail.docx", "A 34876-2021")</f>
        <v/>
      </c>
      <c r="X122">
        <f>HYPERLINK("https://klasma.github.io/Logging_1737/tillsyn/A 34876-2021 tillsynsbegäran.docx", "A 34876-2021")</f>
        <v/>
      </c>
      <c r="Y122">
        <f>HYPERLINK("https://klasma.github.io/Logging_1737/tillsynsmail/A 34876-2021 tillsynsbegäran mail.docx", "A 34876-2021")</f>
        <v/>
      </c>
    </row>
    <row r="123" ht="15" customHeight="1">
      <c r="A123" t="inlineStr">
        <is>
          <t>A 34853-2021</t>
        </is>
      </c>
      <c r="B123" s="1" t="n">
        <v>44383</v>
      </c>
      <c r="C123" s="1" t="n">
        <v>45712</v>
      </c>
      <c r="D123" t="inlineStr">
        <is>
          <t>VÄRMLANDS LÄN</t>
        </is>
      </c>
      <c r="E123" t="inlineStr">
        <is>
          <t>TORSBY</t>
        </is>
      </c>
      <c r="G123" t="n">
        <v>14.8</v>
      </c>
      <c r="H123" t="n">
        <v>1</v>
      </c>
      <c r="I123" t="n">
        <v>0</v>
      </c>
      <c r="J123" t="n">
        <v>1</v>
      </c>
      <c r="K123" t="n">
        <v>0</v>
      </c>
      <c r="L123" t="n">
        <v>0</v>
      </c>
      <c r="M123" t="n">
        <v>0</v>
      </c>
      <c r="N123" t="n">
        <v>0</v>
      </c>
      <c r="O123" t="n">
        <v>1</v>
      </c>
      <c r="P123" t="n">
        <v>0</v>
      </c>
      <c r="Q123" t="n">
        <v>1</v>
      </c>
      <c r="R123" s="2" t="inlineStr">
        <is>
          <t>Talltita</t>
        </is>
      </c>
      <c r="S123">
        <f>HYPERLINK("https://klasma.github.io/Logging_1737/artfynd/A 34853-2021 artfynd.xlsx", "A 34853-2021")</f>
        <v/>
      </c>
      <c r="T123">
        <f>HYPERLINK("https://klasma.github.io/Logging_1737/kartor/A 34853-2021 karta.png", "A 34853-2021")</f>
        <v/>
      </c>
      <c r="V123">
        <f>HYPERLINK("https://klasma.github.io/Logging_1737/klagomål/A 34853-2021 FSC-klagomål.docx", "A 34853-2021")</f>
        <v/>
      </c>
      <c r="W123">
        <f>HYPERLINK("https://klasma.github.io/Logging_1737/klagomålsmail/A 34853-2021 FSC-klagomål mail.docx", "A 34853-2021")</f>
        <v/>
      </c>
      <c r="X123">
        <f>HYPERLINK("https://klasma.github.io/Logging_1737/tillsyn/A 34853-2021 tillsynsbegäran.docx", "A 34853-2021")</f>
        <v/>
      </c>
      <c r="Y123">
        <f>HYPERLINK("https://klasma.github.io/Logging_1737/tillsynsmail/A 34853-2021 tillsynsbegäran mail.docx", "A 34853-2021")</f>
        <v/>
      </c>
      <c r="Z123">
        <f>HYPERLINK("https://klasma.github.io/Logging_1737/fåglar/A 34853-2021 prioriterade fågelarter.docx", "A 34853-2021")</f>
        <v/>
      </c>
    </row>
    <row r="124" ht="15" customHeight="1">
      <c r="A124" t="inlineStr">
        <is>
          <t>A 40265-2021</t>
        </is>
      </c>
      <c r="B124" s="1" t="n">
        <v>44419</v>
      </c>
      <c r="C124" s="1" t="n">
        <v>45712</v>
      </c>
      <c r="D124" t="inlineStr">
        <is>
          <t>VÄRMLANDS LÄN</t>
        </is>
      </c>
      <c r="E124" t="inlineStr">
        <is>
          <t>TORSBY</t>
        </is>
      </c>
      <c r="F124" t="inlineStr">
        <is>
          <t>Bergvik skog väst AB</t>
        </is>
      </c>
      <c r="G124" t="n">
        <v>5.7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40265-2021 artfynd.xlsx", "A 40265-2021")</f>
        <v/>
      </c>
      <c r="T124">
        <f>HYPERLINK("https://klasma.github.io/Logging_1737/kartor/A 40265-2021 karta.png", "A 40265-2021")</f>
        <v/>
      </c>
      <c r="V124">
        <f>HYPERLINK("https://klasma.github.io/Logging_1737/klagomål/A 40265-2021 FSC-klagomål.docx", "A 40265-2021")</f>
        <v/>
      </c>
      <c r="W124">
        <f>HYPERLINK("https://klasma.github.io/Logging_1737/klagomålsmail/A 40265-2021 FSC-klagomål mail.docx", "A 40265-2021")</f>
        <v/>
      </c>
      <c r="X124">
        <f>HYPERLINK("https://klasma.github.io/Logging_1737/tillsyn/A 40265-2021 tillsynsbegäran.docx", "A 40265-2021")</f>
        <v/>
      </c>
      <c r="Y124">
        <f>HYPERLINK("https://klasma.github.io/Logging_1737/tillsynsmail/A 40265-2021 tillsynsbegäran mail.docx", "A 40265-2021")</f>
        <v/>
      </c>
    </row>
    <row r="125" ht="15" customHeight="1">
      <c r="A125" t="inlineStr">
        <is>
          <t>A 43784-2021</t>
        </is>
      </c>
      <c r="B125" s="1" t="n">
        <v>44433</v>
      </c>
      <c r="C125" s="1" t="n">
        <v>45712</v>
      </c>
      <c r="D125" t="inlineStr">
        <is>
          <t>VÄRMLANDS LÄN</t>
        </is>
      </c>
      <c r="E125" t="inlineStr">
        <is>
          <t>TORSBY</t>
        </is>
      </c>
      <c r="G125" t="n">
        <v>5.2</v>
      </c>
      <c r="H125" t="n">
        <v>1</v>
      </c>
      <c r="I125" t="n">
        <v>0</v>
      </c>
      <c r="J125" t="n">
        <v>0</v>
      </c>
      <c r="K125" t="n">
        <v>0</v>
      </c>
      <c r="L125" t="n">
        <v>0</v>
      </c>
      <c r="M125" t="n">
        <v>0</v>
      </c>
      <c r="N125" t="n">
        <v>0</v>
      </c>
      <c r="O125" t="n">
        <v>0</v>
      </c>
      <c r="P125" t="n">
        <v>0</v>
      </c>
      <c r="Q125" t="n">
        <v>1</v>
      </c>
      <c r="R125" s="2" t="inlineStr">
        <is>
          <t>Kopparödla</t>
        </is>
      </c>
      <c r="S125">
        <f>HYPERLINK("https://klasma.github.io/Logging_1737/artfynd/A 43784-2021 artfynd.xlsx", "A 43784-2021")</f>
        <v/>
      </c>
      <c r="T125">
        <f>HYPERLINK("https://klasma.github.io/Logging_1737/kartor/A 43784-2021 karta.png", "A 43784-2021")</f>
        <v/>
      </c>
      <c r="V125">
        <f>HYPERLINK("https://klasma.github.io/Logging_1737/klagomål/A 43784-2021 FSC-klagomål.docx", "A 43784-2021")</f>
        <v/>
      </c>
      <c r="W125">
        <f>HYPERLINK("https://klasma.github.io/Logging_1737/klagomålsmail/A 43784-2021 FSC-klagomål mail.docx", "A 43784-2021")</f>
        <v/>
      </c>
      <c r="X125">
        <f>HYPERLINK("https://klasma.github.io/Logging_1737/tillsyn/A 43784-2021 tillsynsbegäran.docx", "A 43784-2021")</f>
        <v/>
      </c>
      <c r="Y125">
        <f>HYPERLINK("https://klasma.github.io/Logging_1737/tillsynsmail/A 43784-2021 tillsynsbegäran mail.docx", "A 43784-2021")</f>
        <v/>
      </c>
    </row>
    <row r="126" ht="15" customHeight="1">
      <c r="A126" t="inlineStr">
        <is>
          <t>A 49110-2021</t>
        </is>
      </c>
      <c r="B126" s="1" t="n">
        <v>44453</v>
      </c>
      <c r="C126" s="1" t="n">
        <v>45712</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54982-2021</t>
        </is>
      </c>
      <c r="B127" s="1" t="n">
        <v>44469</v>
      </c>
      <c r="C127" s="1" t="n">
        <v>45712</v>
      </c>
      <c r="D127" t="inlineStr">
        <is>
          <t>VÄRMLANDS LÄN</t>
        </is>
      </c>
      <c r="E127" t="inlineStr">
        <is>
          <t>TORSBY</t>
        </is>
      </c>
      <c r="G127" t="n">
        <v>4.1</v>
      </c>
      <c r="H127" t="n">
        <v>0</v>
      </c>
      <c r="I127" t="n">
        <v>1</v>
      </c>
      <c r="J127" t="n">
        <v>0</v>
      </c>
      <c r="K127" t="n">
        <v>0</v>
      </c>
      <c r="L127" t="n">
        <v>0</v>
      </c>
      <c r="M127" t="n">
        <v>0</v>
      </c>
      <c r="N127" t="n">
        <v>0</v>
      </c>
      <c r="O127" t="n">
        <v>0</v>
      </c>
      <c r="P127" t="n">
        <v>0</v>
      </c>
      <c r="Q127" t="n">
        <v>1</v>
      </c>
      <c r="R127" s="2" t="inlineStr">
        <is>
          <t>Tibast</t>
        </is>
      </c>
      <c r="S127">
        <f>HYPERLINK("https://klasma.github.io/Logging_1737/artfynd/A 54982-2021 artfynd.xlsx", "A 54982-2021")</f>
        <v/>
      </c>
      <c r="T127">
        <f>HYPERLINK("https://klasma.github.io/Logging_1737/kartor/A 54982-2021 karta.png", "A 54982-2021")</f>
        <v/>
      </c>
      <c r="V127">
        <f>HYPERLINK("https://klasma.github.io/Logging_1737/klagomål/A 54982-2021 FSC-klagomål.docx", "A 54982-2021")</f>
        <v/>
      </c>
      <c r="W127">
        <f>HYPERLINK("https://klasma.github.io/Logging_1737/klagomålsmail/A 54982-2021 FSC-klagomål mail.docx", "A 54982-2021")</f>
        <v/>
      </c>
      <c r="X127">
        <f>HYPERLINK("https://klasma.github.io/Logging_1737/tillsyn/A 54982-2021 tillsynsbegäran.docx", "A 54982-2021")</f>
        <v/>
      </c>
      <c r="Y127">
        <f>HYPERLINK("https://klasma.github.io/Logging_1737/tillsynsmail/A 54982-2021 tillsynsbegäran mail.docx", "A 54982-2021")</f>
        <v/>
      </c>
    </row>
    <row r="128" ht="15" customHeight="1">
      <c r="A128" t="inlineStr">
        <is>
          <t>A 58471-2021</t>
        </is>
      </c>
      <c r="B128" s="1" t="n">
        <v>44488</v>
      </c>
      <c r="C128" s="1" t="n">
        <v>45712</v>
      </c>
      <c r="D128" t="inlineStr">
        <is>
          <t>VÄRMLANDS LÄN</t>
        </is>
      </c>
      <c r="E128" t="inlineStr">
        <is>
          <t>TORSBY</t>
        </is>
      </c>
      <c r="G128" t="n">
        <v>2.5</v>
      </c>
      <c r="H128" t="n">
        <v>0</v>
      </c>
      <c r="I128" t="n">
        <v>1</v>
      </c>
      <c r="J128" t="n">
        <v>0</v>
      </c>
      <c r="K128" t="n">
        <v>0</v>
      </c>
      <c r="L128" t="n">
        <v>0</v>
      </c>
      <c r="M128" t="n">
        <v>0</v>
      </c>
      <c r="N128" t="n">
        <v>0</v>
      </c>
      <c r="O128" t="n">
        <v>0</v>
      </c>
      <c r="P128" t="n">
        <v>0</v>
      </c>
      <c r="Q128" t="n">
        <v>1</v>
      </c>
      <c r="R128" s="2" t="inlineStr">
        <is>
          <t>Korallblylav</t>
        </is>
      </c>
      <c r="S128">
        <f>HYPERLINK("https://klasma.github.io/Logging_1737/artfynd/A 58471-2021 artfynd.xlsx", "A 58471-2021")</f>
        <v/>
      </c>
      <c r="T128">
        <f>HYPERLINK("https://klasma.github.io/Logging_1737/kartor/A 58471-2021 karta.png", "A 58471-2021")</f>
        <v/>
      </c>
      <c r="V128">
        <f>HYPERLINK("https://klasma.github.io/Logging_1737/klagomål/A 58471-2021 FSC-klagomål.docx", "A 58471-2021")</f>
        <v/>
      </c>
      <c r="W128">
        <f>HYPERLINK("https://klasma.github.io/Logging_1737/klagomålsmail/A 58471-2021 FSC-klagomål mail.docx", "A 58471-2021")</f>
        <v/>
      </c>
      <c r="X128">
        <f>HYPERLINK("https://klasma.github.io/Logging_1737/tillsyn/A 58471-2021 tillsynsbegäran.docx", "A 58471-2021")</f>
        <v/>
      </c>
      <c r="Y128">
        <f>HYPERLINK("https://klasma.github.io/Logging_1737/tillsynsmail/A 58471-2021 tillsynsbegäran mail.docx", "A 58471-2021")</f>
        <v/>
      </c>
    </row>
    <row r="129" ht="15" customHeight="1">
      <c r="A129" t="inlineStr">
        <is>
          <t>A 61813-2021</t>
        </is>
      </c>
      <c r="B129" s="1" t="n">
        <v>44501</v>
      </c>
      <c r="C129" s="1" t="n">
        <v>45712</v>
      </c>
      <c r="D129" t="inlineStr">
        <is>
          <t>VÄRMLANDS LÄN</t>
        </is>
      </c>
      <c r="E129" t="inlineStr">
        <is>
          <t>TORSBY</t>
        </is>
      </c>
      <c r="G129" t="n">
        <v>4.9</v>
      </c>
      <c r="H129" t="n">
        <v>0</v>
      </c>
      <c r="I129" t="n">
        <v>0</v>
      </c>
      <c r="J129" t="n">
        <v>1</v>
      </c>
      <c r="K129" t="n">
        <v>0</v>
      </c>
      <c r="L129" t="n">
        <v>0</v>
      </c>
      <c r="M129" t="n">
        <v>0</v>
      </c>
      <c r="N129" t="n">
        <v>0</v>
      </c>
      <c r="O129" t="n">
        <v>1</v>
      </c>
      <c r="P129" t="n">
        <v>0</v>
      </c>
      <c r="Q129" t="n">
        <v>1</v>
      </c>
      <c r="R129" s="2" t="inlineStr">
        <is>
          <t>Tallticka</t>
        </is>
      </c>
      <c r="S129">
        <f>HYPERLINK("https://klasma.github.io/Logging_1737/artfynd/A 61813-2021 artfynd.xlsx", "A 61813-2021")</f>
        <v/>
      </c>
      <c r="T129">
        <f>HYPERLINK("https://klasma.github.io/Logging_1737/kartor/A 61813-2021 karta.png", "A 61813-2021")</f>
        <v/>
      </c>
      <c r="V129">
        <f>HYPERLINK("https://klasma.github.io/Logging_1737/klagomål/A 61813-2021 FSC-klagomål.docx", "A 61813-2021")</f>
        <v/>
      </c>
      <c r="W129">
        <f>HYPERLINK("https://klasma.github.io/Logging_1737/klagomålsmail/A 61813-2021 FSC-klagomål mail.docx", "A 61813-2021")</f>
        <v/>
      </c>
      <c r="X129">
        <f>HYPERLINK("https://klasma.github.io/Logging_1737/tillsyn/A 61813-2021 tillsynsbegäran.docx", "A 61813-2021")</f>
        <v/>
      </c>
      <c r="Y129">
        <f>HYPERLINK("https://klasma.github.io/Logging_1737/tillsynsmail/A 61813-2021 tillsynsbegäran mail.docx", "A 61813-2021")</f>
        <v/>
      </c>
    </row>
    <row r="130" ht="15" customHeight="1">
      <c r="A130" t="inlineStr">
        <is>
          <t>A 65767-2021</t>
        </is>
      </c>
      <c r="B130" s="1" t="n">
        <v>44516</v>
      </c>
      <c r="C130" s="1" t="n">
        <v>45712</v>
      </c>
      <c r="D130" t="inlineStr">
        <is>
          <t>VÄRMLANDS LÄN</t>
        </is>
      </c>
      <c r="E130" t="inlineStr">
        <is>
          <t>TORSBY</t>
        </is>
      </c>
      <c r="G130" t="n">
        <v>7.5</v>
      </c>
      <c r="H130" t="n">
        <v>0</v>
      </c>
      <c r="I130" t="n">
        <v>1</v>
      </c>
      <c r="J130" t="n">
        <v>0</v>
      </c>
      <c r="K130" t="n">
        <v>0</v>
      </c>
      <c r="L130" t="n">
        <v>0</v>
      </c>
      <c r="M130" t="n">
        <v>0</v>
      </c>
      <c r="N130" t="n">
        <v>0</v>
      </c>
      <c r="O130" t="n">
        <v>0</v>
      </c>
      <c r="P130" t="n">
        <v>0</v>
      </c>
      <c r="Q130" t="n">
        <v>1</v>
      </c>
      <c r="R130" s="2" t="inlineStr">
        <is>
          <t>Mörk husmossa</t>
        </is>
      </c>
      <c r="S130">
        <f>HYPERLINK("https://klasma.github.io/Logging_1737/artfynd/A 65767-2021 artfynd.xlsx", "A 65767-2021")</f>
        <v/>
      </c>
      <c r="T130">
        <f>HYPERLINK("https://klasma.github.io/Logging_1737/kartor/A 65767-2021 karta.png", "A 65767-2021")</f>
        <v/>
      </c>
      <c r="V130">
        <f>HYPERLINK("https://klasma.github.io/Logging_1737/klagomål/A 65767-2021 FSC-klagomål.docx", "A 65767-2021")</f>
        <v/>
      </c>
      <c r="W130">
        <f>HYPERLINK("https://klasma.github.io/Logging_1737/klagomålsmail/A 65767-2021 FSC-klagomål mail.docx", "A 65767-2021")</f>
        <v/>
      </c>
      <c r="X130">
        <f>HYPERLINK("https://klasma.github.io/Logging_1737/tillsyn/A 65767-2021 tillsynsbegäran.docx", "A 65767-2021")</f>
        <v/>
      </c>
      <c r="Y130">
        <f>HYPERLINK("https://klasma.github.io/Logging_1737/tillsynsmail/A 65767-2021 tillsynsbegäran mail.docx", "A 65767-2021")</f>
        <v/>
      </c>
    </row>
    <row r="131" ht="15" customHeight="1">
      <c r="A131" t="inlineStr">
        <is>
          <t>A 71594-2021</t>
        </is>
      </c>
      <c r="B131" s="1" t="n">
        <v>44541</v>
      </c>
      <c r="C131" s="1" t="n">
        <v>45712</v>
      </c>
      <c r="D131" t="inlineStr">
        <is>
          <t>VÄRMLANDS LÄN</t>
        </is>
      </c>
      <c r="E131" t="inlineStr">
        <is>
          <t>TORSBY</t>
        </is>
      </c>
      <c r="G131" t="n">
        <v>13.1</v>
      </c>
      <c r="H131" t="n">
        <v>0</v>
      </c>
      <c r="I131" t="n">
        <v>0</v>
      </c>
      <c r="J131" t="n">
        <v>1</v>
      </c>
      <c r="K131" t="n">
        <v>0</v>
      </c>
      <c r="L131" t="n">
        <v>0</v>
      </c>
      <c r="M131" t="n">
        <v>0</v>
      </c>
      <c r="N131" t="n">
        <v>0</v>
      </c>
      <c r="O131" t="n">
        <v>1</v>
      </c>
      <c r="P131" t="n">
        <v>0</v>
      </c>
      <c r="Q131" t="n">
        <v>1</v>
      </c>
      <c r="R131" s="2" t="inlineStr">
        <is>
          <t>Garnlav</t>
        </is>
      </c>
      <c r="S131">
        <f>HYPERLINK("https://klasma.github.io/Logging_1737/artfynd/A 71594-2021 artfynd.xlsx", "A 71594-2021")</f>
        <v/>
      </c>
      <c r="T131">
        <f>HYPERLINK("https://klasma.github.io/Logging_1737/kartor/A 71594-2021 karta.png", "A 71594-2021")</f>
        <v/>
      </c>
      <c r="V131">
        <f>HYPERLINK("https://klasma.github.io/Logging_1737/klagomål/A 71594-2021 FSC-klagomål.docx", "A 71594-2021")</f>
        <v/>
      </c>
      <c r="W131">
        <f>HYPERLINK("https://klasma.github.io/Logging_1737/klagomålsmail/A 71594-2021 FSC-klagomål mail.docx", "A 71594-2021")</f>
        <v/>
      </c>
      <c r="X131">
        <f>HYPERLINK("https://klasma.github.io/Logging_1737/tillsyn/A 71594-2021 tillsynsbegäran.docx", "A 71594-2021")</f>
        <v/>
      </c>
      <c r="Y131">
        <f>HYPERLINK("https://klasma.github.io/Logging_1737/tillsynsmail/A 71594-2021 tillsynsbegäran mail.docx", "A 71594-2021")</f>
        <v/>
      </c>
    </row>
    <row r="132" ht="15" customHeight="1">
      <c r="A132" t="inlineStr">
        <is>
          <t>A 3404-2022</t>
        </is>
      </c>
      <c r="B132" s="1" t="n">
        <v>44585</v>
      </c>
      <c r="C132" s="1" t="n">
        <v>45712</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16572-2022</t>
        </is>
      </c>
      <c r="B133" s="1" t="n">
        <v>44672</v>
      </c>
      <c r="C133" s="1" t="n">
        <v>45712</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23486-2022</t>
        </is>
      </c>
      <c r="B134" s="1" t="n">
        <v>44721</v>
      </c>
      <c r="C134" s="1" t="n">
        <v>45712</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Tallriska</t>
        </is>
      </c>
      <c r="S134">
        <f>HYPERLINK("https://klasma.github.io/Logging_1737/artfynd/A 23486-2022 artfynd.xlsx", "A 23486-2022")</f>
        <v/>
      </c>
      <c r="T134">
        <f>HYPERLINK("https://klasma.github.io/Logging_1737/kartor/A 23486-2022 karta.png", "A 23486-2022")</f>
        <v/>
      </c>
      <c r="V134">
        <f>HYPERLINK("https://klasma.github.io/Logging_1737/klagomål/A 23486-2022 FSC-klagomål.docx", "A 23486-2022")</f>
        <v/>
      </c>
      <c r="W134">
        <f>HYPERLINK("https://klasma.github.io/Logging_1737/klagomålsmail/A 23486-2022 FSC-klagomål mail.docx", "A 23486-2022")</f>
        <v/>
      </c>
      <c r="X134">
        <f>HYPERLINK("https://klasma.github.io/Logging_1737/tillsyn/A 23486-2022 tillsynsbegäran.docx", "A 23486-2022")</f>
        <v/>
      </c>
      <c r="Y134">
        <f>HYPERLINK("https://klasma.github.io/Logging_1737/tillsynsmail/A 23486-2022 tillsynsbegäran mail.docx", "A 23486-2022")</f>
        <v/>
      </c>
    </row>
    <row r="135" ht="15" customHeight="1">
      <c r="A135" t="inlineStr">
        <is>
          <t>A 25999-2022</t>
        </is>
      </c>
      <c r="B135" s="1" t="n">
        <v>44734</v>
      </c>
      <c r="C135" s="1" t="n">
        <v>45712</v>
      </c>
      <c r="D135" t="inlineStr">
        <is>
          <t>VÄRMLANDS LÄN</t>
        </is>
      </c>
      <c r="E135" t="inlineStr">
        <is>
          <t>TORSBY</t>
        </is>
      </c>
      <c r="G135" t="n">
        <v>0.6</v>
      </c>
      <c r="H135" t="n">
        <v>0</v>
      </c>
      <c r="I135" t="n">
        <v>1</v>
      </c>
      <c r="J135" t="n">
        <v>0</v>
      </c>
      <c r="K135" t="n">
        <v>0</v>
      </c>
      <c r="L135" t="n">
        <v>0</v>
      </c>
      <c r="M135" t="n">
        <v>0</v>
      </c>
      <c r="N135" t="n">
        <v>0</v>
      </c>
      <c r="O135" t="n">
        <v>0</v>
      </c>
      <c r="P135" t="n">
        <v>0</v>
      </c>
      <c r="Q135" t="n">
        <v>1</v>
      </c>
      <c r="R135" s="2" t="inlineStr">
        <is>
          <t>Korallblylav</t>
        </is>
      </c>
      <c r="S135">
        <f>HYPERLINK("https://klasma.github.io/Logging_1737/artfynd/A 25999-2022 artfynd.xlsx", "A 25999-2022")</f>
        <v/>
      </c>
      <c r="T135">
        <f>HYPERLINK("https://klasma.github.io/Logging_1737/kartor/A 25999-2022 karta.png", "A 25999-2022")</f>
        <v/>
      </c>
      <c r="V135">
        <f>HYPERLINK("https://klasma.github.io/Logging_1737/klagomål/A 25999-2022 FSC-klagomål.docx", "A 25999-2022")</f>
        <v/>
      </c>
      <c r="W135">
        <f>HYPERLINK("https://klasma.github.io/Logging_1737/klagomålsmail/A 25999-2022 FSC-klagomål mail.docx", "A 25999-2022")</f>
        <v/>
      </c>
      <c r="X135">
        <f>HYPERLINK("https://klasma.github.io/Logging_1737/tillsyn/A 25999-2022 tillsynsbegäran.docx", "A 25999-2022")</f>
        <v/>
      </c>
      <c r="Y135">
        <f>HYPERLINK("https://klasma.github.io/Logging_1737/tillsynsmail/A 25999-2022 tillsynsbegäran mail.docx", "A 25999-2022")</f>
        <v/>
      </c>
    </row>
    <row r="136" ht="15" customHeight="1">
      <c r="A136" t="inlineStr">
        <is>
          <t>A 35709-2022</t>
        </is>
      </c>
      <c r="B136" s="1" t="n">
        <v>44799</v>
      </c>
      <c r="C136" s="1" t="n">
        <v>45712</v>
      </c>
      <c r="D136" t="inlineStr">
        <is>
          <t>VÄRMLANDS LÄN</t>
        </is>
      </c>
      <c r="E136" t="inlineStr">
        <is>
          <t>TORSBY</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HYPERLINK("https://klasma.github.io/Logging_1737/artfynd/A 35709-2022 artfynd.xlsx", "A 35709-2022")</f>
        <v/>
      </c>
      <c r="T136">
        <f>HYPERLINK("https://klasma.github.io/Logging_1737/kartor/A 35709-2022 karta.png", "A 35709-2022")</f>
        <v/>
      </c>
      <c r="V136">
        <f>HYPERLINK("https://klasma.github.io/Logging_1737/klagomål/A 35709-2022 FSC-klagomål.docx", "A 35709-2022")</f>
        <v/>
      </c>
      <c r="W136">
        <f>HYPERLINK("https://klasma.github.io/Logging_1737/klagomålsmail/A 35709-2022 FSC-klagomål mail.docx", "A 35709-2022")</f>
        <v/>
      </c>
      <c r="X136">
        <f>HYPERLINK("https://klasma.github.io/Logging_1737/tillsyn/A 35709-2022 tillsynsbegäran.docx", "A 35709-2022")</f>
        <v/>
      </c>
      <c r="Y136">
        <f>HYPERLINK("https://klasma.github.io/Logging_1737/tillsynsmail/A 35709-2022 tillsynsbegäran mail.docx", "A 35709-2022")</f>
        <v/>
      </c>
    </row>
    <row r="137" ht="15" customHeight="1">
      <c r="A137" t="inlineStr">
        <is>
          <t>A 42500-2022</t>
        </is>
      </c>
      <c r="B137" s="1" t="n">
        <v>44831</v>
      </c>
      <c r="C137" s="1" t="n">
        <v>45712</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44007-2022</t>
        </is>
      </c>
      <c r="B138" s="1" t="n">
        <v>44838</v>
      </c>
      <c r="C138" s="1" t="n">
        <v>45712</v>
      </c>
      <c r="D138" t="inlineStr">
        <is>
          <t>VÄRMLANDS LÄN</t>
        </is>
      </c>
      <c r="E138" t="inlineStr">
        <is>
          <t>TORSBY</t>
        </is>
      </c>
      <c r="F138" t="inlineStr">
        <is>
          <t>Bergvik skog väst AB</t>
        </is>
      </c>
      <c r="G138" t="n">
        <v>8</v>
      </c>
      <c r="H138" t="n">
        <v>1</v>
      </c>
      <c r="I138" t="n">
        <v>0</v>
      </c>
      <c r="J138" t="n">
        <v>1</v>
      </c>
      <c r="K138" t="n">
        <v>0</v>
      </c>
      <c r="L138" t="n">
        <v>0</v>
      </c>
      <c r="M138" t="n">
        <v>0</v>
      </c>
      <c r="N138" t="n">
        <v>0</v>
      </c>
      <c r="O138" t="n">
        <v>1</v>
      </c>
      <c r="P138" t="n">
        <v>0</v>
      </c>
      <c r="Q138" t="n">
        <v>1</v>
      </c>
      <c r="R138" s="2" t="inlineStr">
        <is>
          <t>Utter</t>
        </is>
      </c>
      <c r="S138">
        <f>HYPERLINK("https://klasma.github.io/Logging_1737/artfynd/A 44007-2022 artfynd.xlsx", "A 44007-2022")</f>
        <v/>
      </c>
      <c r="T138">
        <f>HYPERLINK("https://klasma.github.io/Logging_1737/kartor/A 44007-2022 karta.png", "A 44007-2022")</f>
        <v/>
      </c>
      <c r="V138">
        <f>HYPERLINK("https://klasma.github.io/Logging_1737/klagomål/A 44007-2022 FSC-klagomål.docx", "A 44007-2022")</f>
        <v/>
      </c>
      <c r="W138">
        <f>HYPERLINK("https://klasma.github.io/Logging_1737/klagomålsmail/A 44007-2022 FSC-klagomål mail.docx", "A 44007-2022")</f>
        <v/>
      </c>
      <c r="X138">
        <f>HYPERLINK("https://klasma.github.io/Logging_1737/tillsyn/A 44007-2022 tillsynsbegäran.docx", "A 44007-2022")</f>
        <v/>
      </c>
      <c r="Y138">
        <f>HYPERLINK("https://klasma.github.io/Logging_1737/tillsynsmail/A 44007-2022 tillsynsbegäran mail.docx", "A 44007-2022")</f>
        <v/>
      </c>
    </row>
    <row r="139" ht="15" customHeight="1">
      <c r="A139" t="inlineStr">
        <is>
          <t>A 50236-2022</t>
        </is>
      </c>
      <c r="B139" s="1" t="n">
        <v>44865</v>
      </c>
      <c r="C139" s="1" t="n">
        <v>45712</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51288-2022</t>
        </is>
      </c>
      <c r="B140" s="1" t="n">
        <v>44868</v>
      </c>
      <c r="C140" s="1" t="n">
        <v>45712</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13361-2023</t>
        </is>
      </c>
      <c r="B141" s="1" t="n">
        <v>45005</v>
      </c>
      <c r="C141" s="1" t="n">
        <v>45712</v>
      </c>
      <c r="D141" t="inlineStr">
        <is>
          <t>VÄRMLANDS LÄN</t>
        </is>
      </c>
      <c r="E141" t="inlineStr">
        <is>
          <t>TORSBY</t>
        </is>
      </c>
      <c r="G141" t="n">
        <v>8.5</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13361-2023 artfynd.xlsx", "A 13361-2023")</f>
        <v/>
      </c>
      <c r="T141">
        <f>HYPERLINK("https://klasma.github.io/Logging_1737/kartor/A 13361-2023 karta.png", "A 13361-2023")</f>
        <v/>
      </c>
      <c r="V141">
        <f>HYPERLINK("https://klasma.github.io/Logging_1737/klagomål/A 13361-2023 FSC-klagomål.docx", "A 13361-2023")</f>
        <v/>
      </c>
      <c r="W141">
        <f>HYPERLINK("https://klasma.github.io/Logging_1737/klagomålsmail/A 13361-2023 FSC-klagomål mail.docx", "A 13361-2023")</f>
        <v/>
      </c>
      <c r="X141">
        <f>HYPERLINK("https://klasma.github.io/Logging_1737/tillsyn/A 13361-2023 tillsynsbegäran.docx", "A 13361-2023")</f>
        <v/>
      </c>
      <c r="Y141">
        <f>HYPERLINK("https://klasma.github.io/Logging_1737/tillsynsmail/A 13361-2023 tillsynsbegäran mail.docx", "A 13361-2023")</f>
        <v/>
      </c>
    </row>
    <row r="142" ht="15" customHeight="1">
      <c r="A142" t="inlineStr">
        <is>
          <t>A 13359-2023</t>
        </is>
      </c>
      <c r="B142" s="1" t="n">
        <v>45005</v>
      </c>
      <c r="C142" s="1" t="n">
        <v>45712</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15548-2023</t>
        </is>
      </c>
      <c r="B143" s="1" t="n">
        <v>45020</v>
      </c>
      <c r="C143" s="1" t="n">
        <v>45712</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18882-2023</t>
        </is>
      </c>
      <c r="B144" s="1" t="n">
        <v>45044</v>
      </c>
      <c r="C144" s="1" t="n">
        <v>45712</v>
      </c>
      <c r="D144" t="inlineStr">
        <is>
          <t>VÄRMLANDS LÄN</t>
        </is>
      </c>
      <c r="E144" t="inlineStr">
        <is>
          <t>TORSBY</t>
        </is>
      </c>
      <c r="G144" t="n">
        <v>3</v>
      </c>
      <c r="H144" t="n">
        <v>0</v>
      </c>
      <c r="I144" t="n">
        <v>0</v>
      </c>
      <c r="J144" t="n">
        <v>1</v>
      </c>
      <c r="K144" t="n">
        <v>0</v>
      </c>
      <c r="L144" t="n">
        <v>0</v>
      </c>
      <c r="M144" t="n">
        <v>0</v>
      </c>
      <c r="N144" t="n">
        <v>0</v>
      </c>
      <c r="O144" t="n">
        <v>1</v>
      </c>
      <c r="P144" t="n">
        <v>0</v>
      </c>
      <c r="Q144" t="n">
        <v>1</v>
      </c>
      <c r="R144" s="2" t="inlineStr">
        <is>
          <t>Violettgrå tagellav</t>
        </is>
      </c>
      <c r="S144">
        <f>HYPERLINK("https://klasma.github.io/Logging_1737/artfynd/A 18882-2023 artfynd.xlsx", "A 18882-2023")</f>
        <v/>
      </c>
      <c r="T144">
        <f>HYPERLINK("https://klasma.github.io/Logging_1737/kartor/A 18882-2023 karta.png", "A 18882-2023")</f>
        <v/>
      </c>
      <c r="V144">
        <f>HYPERLINK("https://klasma.github.io/Logging_1737/klagomål/A 18882-2023 FSC-klagomål.docx", "A 18882-2023")</f>
        <v/>
      </c>
      <c r="W144">
        <f>HYPERLINK("https://klasma.github.io/Logging_1737/klagomålsmail/A 18882-2023 FSC-klagomål mail.docx", "A 18882-2023")</f>
        <v/>
      </c>
      <c r="X144">
        <f>HYPERLINK("https://klasma.github.io/Logging_1737/tillsyn/A 18882-2023 tillsynsbegäran.docx", "A 18882-2023")</f>
        <v/>
      </c>
      <c r="Y144">
        <f>HYPERLINK("https://klasma.github.io/Logging_1737/tillsynsmail/A 18882-2023 tillsynsbegäran mail.docx", "A 18882-2023")</f>
        <v/>
      </c>
    </row>
    <row r="145" ht="15" customHeight="1">
      <c r="A145" t="inlineStr">
        <is>
          <t>A 19669-2023</t>
        </is>
      </c>
      <c r="B145" s="1" t="n">
        <v>45051</v>
      </c>
      <c r="C145" s="1" t="n">
        <v>45712</v>
      </c>
      <c r="D145" t="inlineStr">
        <is>
          <t>VÄRMLANDS LÄN</t>
        </is>
      </c>
      <c r="E145" t="inlineStr">
        <is>
          <t>TORSBY</t>
        </is>
      </c>
      <c r="F145" t="inlineStr">
        <is>
          <t>Kyrkan</t>
        </is>
      </c>
      <c r="G145" t="n">
        <v>5.2</v>
      </c>
      <c r="H145" t="n">
        <v>1</v>
      </c>
      <c r="I145" t="n">
        <v>0</v>
      </c>
      <c r="J145" t="n">
        <v>1</v>
      </c>
      <c r="K145" t="n">
        <v>0</v>
      </c>
      <c r="L145" t="n">
        <v>0</v>
      </c>
      <c r="M145" t="n">
        <v>0</v>
      </c>
      <c r="N145" t="n">
        <v>0</v>
      </c>
      <c r="O145" t="n">
        <v>1</v>
      </c>
      <c r="P145" t="n">
        <v>0</v>
      </c>
      <c r="Q145" t="n">
        <v>1</v>
      </c>
      <c r="R145" s="2" t="inlineStr">
        <is>
          <t>Utter</t>
        </is>
      </c>
      <c r="S145">
        <f>HYPERLINK("https://klasma.github.io/Logging_1737/artfynd/A 19669-2023 artfynd.xlsx", "A 19669-2023")</f>
        <v/>
      </c>
      <c r="T145">
        <f>HYPERLINK("https://klasma.github.io/Logging_1737/kartor/A 19669-2023 karta.png", "A 19669-2023")</f>
        <v/>
      </c>
      <c r="V145">
        <f>HYPERLINK("https://klasma.github.io/Logging_1737/klagomål/A 19669-2023 FSC-klagomål.docx", "A 19669-2023")</f>
        <v/>
      </c>
      <c r="W145">
        <f>HYPERLINK("https://klasma.github.io/Logging_1737/klagomålsmail/A 19669-2023 FSC-klagomål mail.docx", "A 19669-2023")</f>
        <v/>
      </c>
      <c r="X145">
        <f>HYPERLINK("https://klasma.github.io/Logging_1737/tillsyn/A 19669-2023 tillsynsbegäran.docx", "A 19669-2023")</f>
        <v/>
      </c>
      <c r="Y145">
        <f>HYPERLINK("https://klasma.github.io/Logging_1737/tillsynsmail/A 19669-2023 tillsynsbegäran mail.docx", "A 19669-2023")</f>
        <v/>
      </c>
    </row>
    <row r="146" ht="15" customHeight="1">
      <c r="A146" t="inlineStr">
        <is>
          <t>A 26747-2023</t>
        </is>
      </c>
      <c r="B146" s="1" t="n">
        <v>45090</v>
      </c>
      <c r="C146" s="1" t="n">
        <v>45712</v>
      </c>
      <c r="D146" t="inlineStr">
        <is>
          <t>VÄRMLANDS LÄN</t>
        </is>
      </c>
      <c r="E146" t="inlineStr">
        <is>
          <t>TORSBY</t>
        </is>
      </c>
      <c r="F146" t="inlineStr">
        <is>
          <t>Övriga statliga verk och myndigheter</t>
        </is>
      </c>
      <c r="G146" t="n">
        <v>4.5</v>
      </c>
      <c r="H146" t="n">
        <v>0</v>
      </c>
      <c r="I146" t="n">
        <v>0</v>
      </c>
      <c r="J146" t="n">
        <v>1</v>
      </c>
      <c r="K146" t="n">
        <v>0</v>
      </c>
      <c r="L146" t="n">
        <v>0</v>
      </c>
      <c r="M146" t="n">
        <v>0</v>
      </c>
      <c r="N146" t="n">
        <v>0</v>
      </c>
      <c r="O146" t="n">
        <v>1</v>
      </c>
      <c r="P146" t="n">
        <v>0</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33835-2023</t>
        </is>
      </c>
      <c r="B147" s="1" t="n">
        <v>45133</v>
      </c>
      <c r="C147" s="1" t="n">
        <v>45712</v>
      </c>
      <c r="D147" t="inlineStr">
        <is>
          <t>VÄRMLANDS LÄN</t>
        </is>
      </c>
      <c r="E147" t="inlineStr">
        <is>
          <t>TORSBY</t>
        </is>
      </c>
      <c r="F147" t="inlineStr">
        <is>
          <t>Bergvik skog väst AB</t>
        </is>
      </c>
      <c r="G147" t="n">
        <v>17.3</v>
      </c>
      <c r="H147" t="n">
        <v>1</v>
      </c>
      <c r="I147" t="n">
        <v>0</v>
      </c>
      <c r="J147" t="n">
        <v>0</v>
      </c>
      <c r="K147" t="n">
        <v>0</v>
      </c>
      <c r="L147" t="n">
        <v>0</v>
      </c>
      <c r="M147" t="n">
        <v>0</v>
      </c>
      <c r="N147" t="n">
        <v>0</v>
      </c>
      <c r="O147" t="n">
        <v>0</v>
      </c>
      <c r="P147" t="n">
        <v>0</v>
      </c>
      <c r="Q147" t="n">
        <v>1</v>
      </c>
      <c r="R147" s="2" t="inlineStr">
        <is>
          <t>Sparvuggla</t>
        </is>
      </c>
      <c r="S147">
        <f>HYPERLINK("https://klasma.github.io/Logging_1737/artfynd/A 33835-2023 artfynd.xlsx", "A 33835-2023")</f>
        <v/>
      </c>
      <c r="T147">
        <f>HYPERLINK("https://klasma.github.io/Logging_1737/kartor/A 33835-2023 karta.png", "A 33835-2023")</f>
        <v/>
      </c>
      <c r="V147">
        <f>HYPERLINK("https://klasma.github.io/Logging_1737/klagomål/A 33835-2023 FSC-klagomål.docx", "A 33835-2023")</f>
        <v/>
      </c>
      <c r="W147">
        <f>HYPERLINK("https://klasma.github.io/Logging_1737/klagomålsmail/A 33835-2023 FSC-klagomål mail.docx", "A 33835-2023")</f>
        <v/>
      </c>
      <c r="X147">
        <f>HYPERLINK("https://klasma.github.io/Logging_1737/tillsyn/A 33835-2023 tillsynsbegäran.docx", "A 33835-2023")</f>
        <v/>
      </c>
      <c r="Y147">
        <f>HYPERLINK("https://klasma.github.io/Logging_1737/tillsynsmail/A 33835-2023 tillsynsbegäran mail.docx", "A 33835-2023")</f>
        <v/>
      </c>
      <c r="Z147">
        <f>HYPERLINK("https://klasma.github.io/Logging_1737/fåglar/A 33835-2023 prioriterade fågelarter.docx", "A 33835-2023")</f>
        <v/>
      </c>
    </row>
    <row r="148" ht="15" customHeight="1">
      <c r="A148" t="inlineStr">
        <is>
          <t>A 35809-2023</t>
        </is>
      </c>
      <c r="B148" s="1" t="n">
        <v>45147</v>
      </c>
      <c r="C148" s="1" t="n">
        <v>45712</v>
      </c>
      <c r="D148" t="inlineStr">
        <is>
          <t>VÄRMLANDS LÄN</t>
        </is>
      </c>
      <c r="E148" t="inlineStr">
        <is>
          <t>TORSBY</t>
        </is>
      </c>
      <c r="F148" t="inlineStr">
        <is>
          <t>Övriga statliga verk och myndigheter</t>
        </is>
      </c>
      <c r="G148" t="n">
        <v>7.2</v>
      </c>
      <c r="H148" t="n">
        <v>1</v>
      </c>
      <c r="I148" t="n">
        <v>0</v>
      </c>
      <c r="J148" t="n">
        <v>0</v>
      </c>
      <c r="K148" t="n">
        <v>0</v>
      </c>
      <c r="L148" t="n">
        <v>0</v>
      </c>
      <c r="M148" t="n">
        <v>0</v>
      </c>
      <c r="N148" t="n">
        <v>0</v>
      </c>
      <c r="O148" t="n">
        <v>0</v>
      </c>
      <c r="P148" t="n">
        <v>0</v>
      </c>
      <c r="Q148" t="n">
        <v>1</v>
      </c>
      <c r="R148" s="2" t="inlineStr">
        <is>
          <t>Fläcknycklar</t>
        </is>
      </c>
      <c r="S148">
        <f>HYPERLINK("https://klasma.github.io/Logging_1737/artfynd/A 35809-2023 artfynd.xlsx", "A 35809-2023")</f>
        <v/>
      </c>
      <c r="T148">
        <f>HYPERLINK("https://klasma.github.io/Logging_1737/kartor/A 35809-2023 karta.png", "A 35809-2023")</f>
        <v/>
      </c>
      <c r="V148">
        <f>HYPERLINK("https://klasma.github.io/Logging_1737/klagomål/A 35809-2023 FSC-klagomål.docx", "A 35809-2023")</f>
        <v/>
      </c>
      <c r="W148">
        <f>HYPERLINK("https://klasma.github.io/Logging_1737/klagomålsmail/A 35809-2023 FSC-klagomål mail.docx", "A 35809-2023")</f>
        <v/>
      </c>
      <c r="X148">
        <f>HYPERLINK("https://klasma.github.io/Logging_1737/tillsyn/A 35809-2023 tillsynsbegäran.docx", "A 35809-2023")</f>
        <v/>
      </c>
      <c r="Y148">
        <f>HYPERLINK("https://klasma.github.io/Logging_1737/tillsynsmail/A 35809-2023 tillsynsbegäran mail.docx", "A 35809-2023")</f>
        <v/>
      </c>
    </row>
    <row r="149" ht="15" customHeight="1">
      <c r="A149" t="inlineStr">
        <is>
          <t>A 39681-2023</t>
        </is>
      </c>
      <c r="B149" s="1" t="n">
        <v>45167</v>
      </c>
      <c r="C149" s="1" t="n">
        <v>45712</v>
      </c>
      <c r="D149" t="inlineStr">
        <is>
          <t>VÄRMLANDS LÄN</t>
        </is>
      </c>
      <c r="E149" t="inlineStr">
        <is>
          <t>TORSBY</t>
        </is>
      </c>
      <c r="G149" t="n">
        <v>5.2</v>
      </c>
      <c r="H149" t="n">
        <v>0</v>
      </c>
      <c r="I149" t="n">
        <v>0</v>
      </c>
      <c r="J149" t="n">
        <v>1</v>
      </c>
      <c r="K149" t="n">
        <v>0</v>
      </c>
      <c r="L149" t="n">
        <v>0</v>
      </c>
      <c r="M149" t="n">
        <v>0</v>
      </c>
      <c r="N149" t="n">
        <v>0</v>
      </c>
      <c r="O149" t="n">
        <v>1</v>
      </c>
      <c r="P149" t="n">
        <v>0</v>
      </c>
      <c r="Q149" t="n">
        <v>1</v>
      </c>
      <c r="R149" s="2" t="inlineStr">
        <is>
          <t>Garnlav</t>
        </is>
      </c>
      <c r="S149">
        <f>HYPERLINK("https://klasma.github.io/Logging_1737/artfynd/A 39681-2023 artfynd.xlsx", "A 39681-2023")</f>
        <v/>
      </c>
      <c r="T149">
        <f>HYPERLINK("https://klasma.github.io/Logging_1737/kartor/A 39681-2023 karta.png", "A 39681-2023")</f>
        <v/>
      </c>
      <c r="V149">
        <f>HYPERLINK("https://klasma.github.io/Logging_1737/klagomål/A 39681-2023 FSC-klagomål.docx", "A 39681-2023")</f>
        <v/>
      </c>
      <c r="W149">
        <f>HYPERLINK("https://klasma.github.io/Logging_1737/klagomålsmail/A 39681-2023 FSC-klagomål mail.docx", "A 39681-2023")</f>
        <v/>
      </c>
      <c r="X149">
        <f>HYPERLINK("https://klasma.github.io/Logging_1737/tillsyn/A 39681-2023 tillsynsbegäran.docx", "A 39681-2023")</f>
        <v/>
      </c>
      <c r="Y149">
        <f>HYPERLINK("https://klasma.github.io/Logging_1737/tillsynsmail/A 39681-2023 tillsynsbegäran mail.docx", "A 39681-2023")</f>
        <v/>
      </c>
    </row>
    <row r="150" ht="15" customHeight="1">
      <c r="A150" t="inlineStr">
        <is>
          <t>A 39983-2023</t>
        </is>
      </c>
      <c r="B150" s="1" t="n">
        <v>45168</v>
      </c>
      <c r="C150" s="1" t="n">
        <v>45712</v>
      </c>
      <c r="D150" t="inlineStr">
        <is>
          <t>VÄRMLANDS LÄN</t>
        </is>
      </c>
      <c r="E150" t="inlineStr">
        <is>
          <t>TORSBY</t>
        </is>
      </c>
      <c r="G150" t="n">
        <v>17.2</v>
      </c>
      <c r="H150" t="n">
        <v>1</v>
      </c>
      <c r="I150" t="n">
        <v>0</v>
      </c>
      <c r="J150" t="n">
        <v>1</v>
      </c>
      <c r="K150" t="n">
        <v>0</v>
      </c>
      <c r="L150" t="n">
        <v>0</v>
      </c>
      <c r="M150" t="n">
        <v>0</v>
      </c>
      <c r="N150" t="n">
        <v>0</v>
      </c>
      <c r="O150" t="n">
        <v>1</v>
      </c>
      <c r="P150" t="n">
        <v>0</v>
      </c>
      <c r="Q150" t="n">
        <v>1</v>
      </c>
      <c r="R150" s="2" t="inlineStr">
        <is>
          <t>Kråka</t>
        </is>
      </c>
      <c r="S150">
        <f>HYPERLINK("https://klasma.github.io/Logging_1737/artfynd/A 39983-2023 artfynd.xlsx", "A 39983-2023")</f>
        <v/>
      </c>
      <c r="T150">
        <f>HYPERLINK("https://klasma.github.io/Logging_1737/kartor/A 39983-2023 karta.png", "A 39983-2023")</f>
        <v/>
      </c>
      <c r="V150">
        <f>HYPERLINK("https://klasma.github.io/Logging_1737/klagomål/A 39983-2023 FSC-klagomål.docx", "A 39983-2023")</f>
        <v/>
      </c>
      <c r="W150">
        <f>HYPERLINK("https://klasma.github.io/Logging_1737/klagomålsmail/A 39983-2023 FSC-klagomål mail.docx", "A 39983-2023")</f>
        <v/>
      </c>
      <c r="X150">
        <f>HYPERLINK("https://klasma.github.io/Logging_1737/tillsyn/A 39983-2023 tillsynsbegäran.docx", "A 39983-2023")</f>
        <v/>
      </c>
      <c r="Y150">
        <f>HYPERLINK("https://klasma.github.io/Logging_1737/tillsynsmail/A 39983-2023 tillsynsbegäran mail.docx", "A 39983-2023")</f>
        <v/>
      </c>
      <c r="Z150">
        <f>HYPERLINK("https://klasma.github.io/Logging_1737/fåglar/A 39983-2023 prioriterade fågelarter.docx", "A 39983-2023")</f>
        <v/>
      </c>
    </row>
    <row r="151" ht="15" customHeight="1">
      <c r="A151" t="inlineStr">
        <is>
          <t>A 46099-2023</t>
        </is>
      </c>
      <c r="B151" s="1" t="n">
        <v>45196</v>
      </c>
      <c r="C151" s="1" t="n">
        <v>45712</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49724-2023</t>
        </is>
      </c>
      <c r="B152" s="1" t="n">
        <v>45208</v>
      </c>
      <c r="C152" s="1" t="n">
        <v>45712</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Garnlav</t>
        </is>
      </c>
      <c r="S152">
        <f>HYPERLINK("https://klasma.github.io/Logging_1737/artfynd/A 49724-2023 artfynd.xlsx", "A 49724-2023")</f>
        <v/>
      </c>
      <c r="T152">
        <f>HYPERLINK("https://klasma.github.io/Logging_1737/kartor/A 49724-2023 karta.png", "A 49724-2023")</f>
        <v/>
      </c>
      <c r="V152">
        <f>HYPERLINK("https://klasma.github.io/Logging_1737/klagomål/A 49724-2023 FSC-klagomål.docx", "A 49724-2023")</f>
        <v/>
      </c>
      <c r="W152">
        <f>HYPERLINK("https://klasma.github.io/Logging_1737/klagomålsmail/A 49724-2023 FSC-klagomål mail.docx", "A 49724-2023")</f>
        <v/>
      </c>
      <c r="X152">
        <f>HYPERLINK("https://klasma.github.io/Logging_1737/tillsyn/A 49724-2023 tillsynsbegäran.docx", "A 49724-2023")</f>
        <v/>
      </c>
      <c r="Y152">
        <f>HYPERLINK("https://klasma.github.io/Logging_1737/tillsynsmail/A 49724-2023 tillsynsbegäran mail.docx", "A 49724-2023")</f>
        <v/>
      </c>
    </row>
    <row r="153" ht="15" customHeight="1">
      <c r="A153" t="inlineStr">
        <is>
          <t>A 57971-2023</t>
        </is>
      </c>
      <c r="B153" s="1" t="n">
        <v>45247</v>
      </c>
      <c r="C153" s="1" t="n">
        <v>45712</v>
      </c>
      <c r="D153" t="inlineStr">
        <is>
          <t>VÄRMLANDS LÄN</t>
        </is>
      </c>
      <c r="E153" t="inlineStr">
        <is>
          <t>TORSBY</t>
        </is>
      </c>
      <c r="G153" t="n">
        <v>12.4</v>
      </c>
      <c r="H153" t="n">
        <v>0</v>
      </c>
      <c r="I153" t="n">
        <v>0</v>
      </c>
      <c r="J153" t="n">
        <v>1</v>
      </c>
      <c r="K153" t="n">
        <v>0</v>
      </c>
      <c r="L153" t="n">
        <v>0</v>
      </c>
      <c r="M153" t="n">
        <v>0</v>
      </c>
      <c r="N153" t="n">
        <v>0</v>
      </c>
      <c r="O153" t="n">
        <v>1</v>
      </c>
      <c r="P153" t="n">
        <v>0</v>
      </c>
      <c r="Q153" t="n">
        <v>1</v>
      </c>
      <c r="R153" s="2" t="inlineStr">
        <is>
          <t>Garnlav</t>
        </is>
      </c>
      <c r="S153">
        <f>HYPERLINK("https://klasma.github.io/Logging_1737/artfynd/A 57971-2023 artfynd.xlsx", "A 57971-2023")</f>
        <v/>
      </c>
      <c r="T153">
        <f>HYPERLINK("https://klasma.github.io/Logging_1737/kartor/A 57971-2023 karta.png", "A 57971-2023")</f>
        <v/>
      </c>
      <c r="V153">
        <f>HYPERLINK("https://klasma.github.io/Logging_1737/klagomål/A 57971-2023 FSC-klagomål.docx", "A 57971-2023")</f>
        <v/>
      </c>
      <c r="W153">
        <f>HYPERLINK("https://klasma.github.io/Logging_1737/klagomålsmail/A 57971-2023 FSC-klagomål mail.docx", "A 57971-2023")</f>
        <v/>
      </c>
      <c r="X153">
        <f>HYPERLINK("https://klasma.github.io/Logging_1737/tillsyn/A 57971-2023 tillsynsbegäran.docx", "A 57971-2023")</f>
        <v/>
      </c>
      <c r="Y153">
        <f>HYPERLINK("https://klasma.github.io/Logging_1737/tillsynsmail/A 57971-2023 tillsynsbegäran mail.docx", "A 57971-2023")</f>
        <v/>
      </c>
    </row>
    <row r="154" ht="15" customHeight="1">
      <c r="A154" t="inlineStr">
        <is>
          <t>A 61911-2023</t>
        </is>
      </c>
      <c r="B154" s="1" t="n">
        <v>45266</v>
      </c>
      <c r="C154" s="1" t="n">
        <v>45712</v>
      </c>
      <c r="D154" t="inlineStr">
        <is>
          <t>VÄRMLANDS LÄN</t>
        </is>
      </c>
      <c r="E154" t="inlineStr">
        <is>
          <t>TORSBY</t>
        </is>
      </c>
      <c r="F154" t="inlineStr">
        <is>
          <t>Kommuner</t>
        </is>
      </c>
      <c r="G154" t="n">
        <v>9.1</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61911-2023 artfynd.xlsx", "A 61911-2023")</f>
        <v/>
      </c>
      <c r="T154">
        <f>HYPERLINK("https://klasma.github.io/Logging_1737/kartor/A 61911-2023 karta.png", "A 61911-2023")</f>
        <v/>
      </c>
      <c r="V154">
        <f>HYPERLINK("https://klasma.github.io/Logging_1737/klagomål/A 61911-2023 FSC-klagomål.docx", "A 61911-2023")</f>
        <v/>
      </c>
      <c r="W154">
        <f>HYPERLINK("https://klasma.github.io/Logging_1737/klagomålsmail/A 61911-2023 FSC-klagomål mail.docx", "A 61911-2023")</f>
        <v/>
      </c>
      <c r="X154">
        <f>HYPERLINK("https://klasma.github.io/Logging_1737/tillsyn/A 61911-2023 tillsynsbegäran.docx", "A 61911-2023")</f>
        <v/>
      </c>
      <c r="Y154">
        <f>HYPERLINK("https://klasma.github.io/Logging_1737/tillsynsmail/A 61911-2023 tillsynsbegäran mail.docx", "A 61911-2023")</f>
        <v/>
      </c>
    </row>
    <row r="155" ht="15" customHeight="1">
      <c r="A155" t="inlineStr">
        <is>
          <t>A 1811-2024</t>
        </is>
      </c>
      <c r="B155" s="1" t="n">
        <v>45307</v>
      </c>
      <c r="C155" s="1" t="n">
        <v>45712</v>
      </c>
      <c r="D155" t="inlineStr">
        <is>
          <t>VÄRMLANDS LÄN</t>
        </is>
      </c>
      <c r="E155" t="inlineStr">
        <is>
          <t>TORSBY</t>
        </is>
      </c>
      <c r="G155" t="n">
        <v>12.1</v>
      </c>
      <c r="H155" t="n">
        <v>1</v>
      </c>
      <c r="I155" t="n">
        <v>0</v>
      </c>
      <c r="J155" t="n">
        <v>0</v>
      </c>
      <c r="K155" t="n">
        <v>0</v>
      </c>
      <c r="L155" t="n">
        <v>0</v>
      </c>
      <c r="M155" t="n">
        <v>0</v>
      </c>
      <c r="N155" t="n">
        <v>0</v>
      </c>
      <c r="O155" t="n">
        <v>0</v>
      </c>
      <c r="P155" t="n">
        <v>0</v>
      </c>
      <c r="Q155" t="n">
        <v>1</v>
      </c>
      <c r="R155" s="2" t="inlineStr">
        <is>
          <t>Revlummer</t>
        </is>
      </c>
      <c r="S155">
        <f>HYPERLINK("https://klasma.github.io/Logging_1737/artfynd/A 1811-2024 artfynd.xlsx", "A 1811-2024")</f>
        <v/>
      </c>
      <c r="T155">
        <f>HYPERLINK("https://klasma.github.io/Logging_1737/kartor/A 1811-2024 karta.png", "A 1811-2024")</f>
        <v/>
      </c>
      <c r="V155">
        <f>HYPERLINK("https://klasma.github.io/Logging_1737/klagomål/A 1811-2024 FSC-klagomål.docx", "A 1811-2024")</f>
        <v/>
      </c>
      <c r="W155">
        <f>HYPERLINK("https://klasma.github.io/Logging_1737/klagomålsmail/A 1811-2024 FSC-klagomål mail.docx", "A 1811-2024")</f>
        <v/>
      </c>
      <c r="X155">
        <f>HYPERLINK("https://klasma.github.io/Logging_1737/tillsyn/A 1811-2024 tillsynsbegäran.docx", "A 1811-2024")</f>
        <v/>
      </c>
      <c r="Y155">
        <f>HYPERLINK("https://klasma.github.io/Logging_1737/tillsynsmail/A 1811-2024 tillsynsbegäran mail.docx", "A 1811-2024")</f>
        <v/>
      </c>
    </row>
    <row r="156" ht="15" customHeight="1">
      <c r="A156" t="inlineStr">
        <is>
          <t>A 2039-2024</t>
        </is>
      </c>
      <c r="B156" s="1" t="n">
        <v>45308</v>
      </c>
      <c r="C156" s="1" t="n">
        <v>45712</v>
      </c>
      <c r="D156" t="inlineStr">
        <is>
          <t>VÄRMLANDS LÄN</t>
        </is>
      </c>
      <c r="E156" t="inlineStr">
        <is>
          <t>TORSBY</t>
        </is>
      </c>
      <c r="G156" t="n">
        <v>6.4</v>
      </c>
      <c r="H156" t="n">
        <v>1</v>
      </c>
      <c r="I156" t="n">
        <v>0</v>
      </c>
      <c r="J156" t="n">
        <v>1</v>
      </c>
      <c r="K156" t="n">
        <v>0</v>
      </c>
      <c r="L156" t="n">
        <v>0</v>
      </c>
      <c r="M156" t="n">
        <v>0</v>
      </c>
      <c r="N156" t="n">
        <v>0</v>
      </c>
      <c r="O156" t="n">
        <v>1</v>
      </c>
      <c r="P156" t="n">
        <v>0</v>
      </c>
      <c r="Q156" t="n">
        <v>1</v>
      </c>
      <c r="R156" s="2" t="inlineStr">
        <is>
          <t>Kungsörn</t>
        </is>
      </c>
      <c r="S156">
        <f>HYPERLINK("https://klasma.github.io/Logging_1737/artfynd/A 2039-2024 artfynd.xlsx", "A 2039-2024")</f>
        <v/>
      </c>
      <c r="T156">
        <f>HYPERLINK("https://klasma.github.io/Logging_1737/kartor/A 2039-2024 karta.png", "A 2039-2024")</f>
        <v/>
      </c>
      <c r="V156">
        <f>HYPERLINK("https://klasma.github.io/Logging_1737/klagomål/A 2039-2024 FSC-klagomål.docx", "A 2039-2024")</f>
        <v/>
      </c>
      <c r="W156">
        <f>HYPERLINK("https://klasma.github.io/Logging_1737/klagomålsmail/A 2039-2024 FSC-klagomål mail.docx", "A 2039-2024")</f>
        <v/>
      </c>
      <c r="X156">
        <f>HYPERLINK("https://klasma.github.io/Logging_1737/tillsyn/A 2039-2024 tillsynsbegäran.docx", "A 2039-2024")</f>
        <v/>
      </c>
      <c r="Y156">
        <f>HYPERLINK("https://klasma.github.io/Logging_1737/tillsynsmail/A 2039-2024 tillsynsbegäran mail.docx", "A 2039-2024")</f>
        <v/>
      </c>
      <c r="Z156">
        <f>HYPERLINK("https://klasma.github.io/Logging_1737/fåglar/A 2039-2024 prioriterade fågelarter.docx", "A 2039-2024")</f>
        <v/>
      </c>
    </row>
    <row r="157" ht="15" customHeight="1">
      <c r="A157" t="inlineStr">
        <is>
          <t>A 4985-2024</t>
        </is>
      </c>
      <c r="B157" s="1" t="n">
        <v>45329</v>
      </c>
      <c r="C157" s="1" t="n">
        <v>45712</v>
      </c>
      <c r="D157" t="inlineStr">
        <is>
          <t>VÄRMLANDS LÄN</t>
        </is>
      </c>
      <c r="E157" t="inlineStr">
        <is>
          <t>TORSBY</t>
        </is>
      </c>
      <c r="G157" t="n">
        <v>4.9</v>
      </c>
      <c r="H157" t="n">
        <v>0</v>
      </c>
      <c r="I157" t="n">
        <v>0</v>
      </c>
      <c r="J157" t="n">
        <v>1</v>
      </c>
      <c r="K157" t="n">
        <v>0</v>
      </c>
      <c r="L157" t="n">
        <v>0</v>
      </c>
      <c r="M157" t="n">
        <v>0</v>
      </c>
      <c r="N157" t="n">
        <v>0</v>
      </c>
      <c r="O157" t="n">
        <v>1</v>
      </c>
      <c r="P157" t="n">
        <v>0</v>
      </c>
      <c r="Q157" t="n">
        <v>1</v>
      </c>
      <c r="R157" s="2" t="inlineStr">
        <is>
          <t>Garnlav</t>
        </is>
      </c>
      <c r="S157">
        <f>HYPERLINK("https://klasma.github.io/Logging_1737/artfynd/A 4985-2024 artfynd.xlsx", "A 4985-2024")</f>
        <v/>
      </c>
      <c r="T157">
        <f>HYPERLINK("https://klasma.github.io/Logging_1737/kartor/A 4985-2024 karta.png", "A 4985-2024")</f>
        <v/>
      </c>
      <c r="V157">
        <f>HYPERLINK("https://klasma.github.io/Logging_1737/klagomål/A 4985-2024 FSC-klagomål.docx", "A 4985-2024")</f>
        <v/>
      </c>
      <c r="W157">
        <f>HYPERLINK("https://klasma.github.io/Logging_1737/klagomålsmail/A 4985-2024 FSC-klagomål mail.docx", "A 4985-2024")</f>
        <v/>
      </c>
      <c r="X157">
        <f>HYPERLINK("https://klasma.github.io/Logging_1737/tillsyn/A 4985-2024 tillsynsbegäran.docx", "A 4985-2024")</f>
        <v/>
      </c>
      <c r="Y157">
        <f>HYPERLINK("https://klasma.github.io/Logging_1737/tillsynsmail/A 4985-2024 tillsynsbegäran mail.docx", "A 4985-2024")</f>
        <v/>
      </c>
    </row>
    <row r="158" ht="15" customHeight="1">
      <c r="A158" t="inlineStr">
        <is>
          <t>A 19760-2024</t>
        </is>
      </c>
      <c r="B158" s="1" t="n">
        <v>45432</v>
      </c>
      <c r="C158" s="1" t="n">
        <v>45712</v>
      </c>
      <c r="D158" t="inlineStr">
        <is>
          <t>VÄRMLANDS LÄN</t>
        </is>
      </c>
      <c r="E158" t="inlineStr">
        <is>
          <t>TORSBY</t>
        </is>
      </c>
      <c r="F158" t="inlineStr">
        <is>
          <t>Bergvik skog väst AB</t>
        </is>
      </c>
      <c r="G158" t="n">
        <v>7.9</v>
      </c>
      <c r="H158" t="n">
        <v>1</v>
      </c>
      <c r="I158" t="n">
        <v>0</v>
      </c>
      <c r="J158" t="n">
        <v>1</v>
      </c>
      <c r="K158" t="n">
        <v>0</v>
      </c>
      <c r="L158" t="n">
        <v>0</v>
      </c>
      <c r="M158" t="n">
        <v>0</v>
      </c>
      <c r="N158" t="n">
        <v>0</v>
      </c>
      <c r="O158" t="n">
        <v>1</v>
      </c>
      <c r="P158" t="n">
        <v>0</v>
      </c>
      <c r="Q158" t="n">
        <v>1</v>
      </c>
      <c r="R158" s="2" t="inlineStr">
        <is>
          <t>Utter</t>
        </is>
      </c>
      <c r="S158">
        <f>HYPERLINK("https://klasma.github.io/Logging_1737/artfynd/A 19760-2024 artfynd.xlsx", "A 19760-2024")</f>
        <v/>
      </c>
      <c r="T158">
        <f>HYPERLINK("https://klasma.github.io/Logging_1737/kartor/A 19760-2024 karta.png", "A 19760-2024")</f>
        <v/>
      </c>
      <c r="V158">
        <f>HYPERLINK("https://klasma.github.io/Logging_1737/klagomål/A 19760-2024 FSC-klagomål.docx", "A 19760-2024")</f>
        <v/>
      </c>
      <c r="W158">
        <f>HYPERLINK("https://klasma.github.io/Logging_1737/klagomålsmail/A 19760-2024 FSC-klagomål mail.docx", "A 19760-2024")</f>
        <v/>
      </c>
      <c r="X158">
        <f>HYPERLINK("https://klasma.github.io/Logging_1737/tillsyn/A 19760-2024 tillsynsbegäran.docx", "A 19760-2024")</f>
        <v/>
      </c>
      <c r="Y158">
        <f>HYPERLINK("https://klasma.github.io/Logging_1737/tillsynsmail/A 19760-2024 tillsynsbegäran mail.docx", "A 19760-2024")</f>
        <v/>
      </c>
    </row>
    <row r="159" ht="15" customHeight="1">
      <c r="A159" t="inlineStr">
        <is>
          <t>A 25789-2024</t>
        </is>
      </c>
      <c r="B159" s="1" t="n">
        <v>45467</v>
      </c>
      <c r="C159" s="1" t="n">
        <v>45712</v>
      </c>
      <c r="D159" t="inlineStr">
        <is>
          <t>VÄRMLANDS LÄN</t>
        </is>
      </c>
      <c r="E159" t="inlineStr">
        <is>
          <t>TORSBY</t>
        </is>
      </c>
      <c r="F159" t="inlineStr">
        <is>
          <t>Bergvik skog väst AB</t>
        </is>
      </c>
      <c r="G159" t="n">
        <v>9</v>
      </c>
      <c r="H159" t="n">
        <v>1</v>
      </c>
      <c r="I159" t="n">
        <v>0</v>
      </c>
      <c r="J159" t="n">
        <v>1</v>
      </c>
      <c r="K159" t="n">
        <v>0</v>
      </c>
      <c r="L159" t="n">
        <v>0</v>
      </c>
      <c r="M159" t="n">
        <v>0</v>
      </c>
      <c r="N159" t="n">
        <v>0</v>
      </c>
      <c r="O159" t="n">
        <v>1</v>
      </c>
      <c r="P159" t="n">
        <v>0</v>
      </c>
      <c r="Q159" t="n">
        <v>1</v>
      </c>
      <c r="R159" s="2" t="inlineStr">
        <is>
          <t>Järpe</t>
        </is>
      </c>
      <c r="S159">
        <f>HYPERLINK("https://klasma.github.io/Logging_1737/artfynd/A 25789-2024 artfynd.xlsx", "A 25789-2024")</f>
        <v/>
      </c>
      <c r="T159">
        <f>HYPERLINK("https://klasma.github.io/Logging_1737/kartor/A 25789-2024 karta.png", "A 25789-2024")</f>
        <v/>
      </c>
      <c r="V159">
        <f>HYPERLINK("https://klasma.github.io/Logging_1737/klagomål/A 25789-2024 FSC-klagomål.docx", "A 25789-2024")</f>
        <v/>
      </c>
      <c r="W159">
        <f>HYPERLINK("https://klasma.github.io/Logging_1737/klagomålsmail/A 25789-2024 FSC-klagomål mail.docx", "A 25789-2024")</f>
        <v/>
      </c>
      <c r="X159">
        <f>HYPERLINK("https://klasma.github.io/Logging_1737/tillsyn/A 25789-2024 tillsynsbegäran.docx", "A 25789-2024")</f>
        <v/>
      </c>
      <c r="Y159">
        <f>HYPERLINK("https://klasma.github.io/Logging_1737/tillsynsmail/A 25789-2024 tillsynsbegäran mail.docx", "A 25789-2024")</f>
        <v/>
      </c>
      <c r="Z159">
        <f>HYPERLINK("https://klasma.github.io/Logging_1737/fåglar/A 25789-2024 prioriterade fågelarter.docx", "A 25789-2024")</f>
        <v/>
      </c>
    </row>
    <row r="160" ht="15" customHeight="1">
      <c r="A160" t="inlineStr">
        <is>
          <t>A 36962-2024</t>
        </is>
      </c>
      <c r="B160" s="1" t="n">
        <v>45538</v>
      </c>
      <c r="C160" s="1" t="n">
        <v>45712</v>
      </c>
      <c r="D160" t="inlineStr">
        <is>
          <t>VÄRMLANDS LÄN</t>
        </is>
      </c>
      <c r="E160" t="inlineStr">
        <is>
          <t>TORSBY</t>
        </is>
      </c>
      <c r="G160" t="n">
        <v>17</v>
      </c>
      <c r="H160" t="n">
        <v>0</v>
      </c>
      <c r="I160" t="n">
        <v>1</v>
      </c>
      <c r="J160" t="n">
        <v>0</v>
      </c>
      <c r="K160" t="n">
        <v>0</v>
      </c>
      <c r="L160" t="n">
        <v>0</v>
      </c>
      <c r="M160" t="n">
        <v>0</v>
      </c>
      <c r="N160" t="n">
        <v>0</v>
      </c>
      <c r="O160" t="n">
        <v>0</v>
      </c>
      <c r="P160" t="n">
        <v>0</v>
      </c>
      <c r="Q160" t="n">
        <v>1</v>
      </c>
      <c r="R160" s="2" t="inlineStr">
        <is>
          <t>Dropptaggsvamp</t>
        </is>
      </c>
      <c r="S160">
        <f>HYPERLINK("https://klasma.github.io/Logging_1737/artfynd/A 36962-2024 artfynd.xlsx", "A 36962-2024")</f>
        <v/>
      </c>
      <c r="T160">
        <f>HYPERLINK("https://klasma.github.io/Logging_1737/kartor/A 36962-2024 karta.png", "A 36962-2024")</f>
        <v/>
      </c>
      <c r="V160">
        <f>HYPERLINK("https://klasma.github.io/Logging_1737/klagomål/A 36962-2024 FSC-klagomål.docx", "A 36962-2024")</f>
        <v/>
      </c>
      <c r="W160">
        <f>HYPERLINK("https://klasma.github.io/Logging_1737/klagomålsmail/A 36962-2024 FSC-klagomål mail.docx", "A 36962-2024")</f>
        <v/>
      </c>
      <c r="X160">
        <f>HYPERLINK("https://klasma.github.io/Logging_1737/tillsyn/A 36962-2024 tillsynsbegäran.docx", "A 36962-2024")</f>
        <v/>
      </c>
      <c r="Y160">
        <f>HYPERLINK("https://klasma.github.io/Logging_1737/tillsynsmail/A 36962-2024 tillsynsbegäran mail.docx", "A 36962-2024")</f>
        <v/>
      </c>
    </row>
    <row r="161" ht="15" customHeight="1">
      <c r="A161" t="inlineStr">
        <is>
          <t>A 40033-2024</t>
        </is>
      </c>
      <c r="B161" s="1" t="n">
        <v>45553</v>
      </c>
      <c r="C161" s="1" t="n">
        <v>45712</v>
      </c>
      <c r="D161" t="inlineStr">
        <is>
          <t>VÄRMLANDS LÄN</t>
        </is>
      </c>
      <c r="E161" t="inlineStr">
        <is>
          <t>TORSBY</t>
        </is>
      </c>
      <c r="G161" t="n">
        <v>6.2</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40033-2024 artfynd.xlsx", "A 40033-2024")</f>
        <v/>
      </c>
      <c r="T161">
        <f>HYPERLINK("https://klasma.github.io/Logging_1737/kartor/A 40033-2024 karta.png", "A 40033-2024")</f>
        <v/>
      </c>
      <c r="V161">
        <f>HYPERLINK("https://klasma.github.io/Logging_1737/klagomål/A 40033-2024 FSC-klagomål.docx", "A 40033-2024")</f>
        <v/>
      </c>
      <c r="W161">
        <f>HYPERLINK("https://klasma.github.io/Logging_1737/klagomålsmail/A 40033-2024 FSC-klagomål mail.docx", "A 40033-2024")</f>
        <v/>
      </c>
      <c r="X161">
        <f>HYPERLINK("https://klasma.github.io/Logging_1737/tillsyn/A 40033-2024 tillsynsbegäran.docx", "A 40033-2024")</f>
        <v/>
      </c>
      <c r="Y161">
        <f>HYPERLINK("https://klasma.github.io/Logging_1737/tillsynsmail/A 40033-2024 tillsynsbegäran mail.docx", "A 40033-2024")</f>
        <v/>
      </c>
    </row>
    <row r="162" ht="15" customHeight="1">
      <c r="A162" t="inlineStr">
        <is>
          <t>A 40934-2024</t>
        </is>
      </c>
      <c r="B162" s="1" t="n">
        <v>45558</v>
      </c>
      <c r="C162" s="1" t="n">
        <v>45712</v>
      </c>
      <c r="D162" t="inlineStr">
        <is>
          <t>VÄRMLANDS LÄN</t>
        </is>
      </c>
      <c r="E162" t="inlineStr">
        <is>
          <t>TORSBY</t>
        </is>
      </c>
      <c r="G162" t="n">
        <v>8.1</v>
      </c>
      <c r="H162" t="n">
        <v>0</v>
      </c>
      <c r="I162" t="n">
        <v>0</v>
      </c>
      <c r="J162" t="n">
        <v>1</v>
      </c>
      <c r="K162" t="n">
        <v>0</v>
      </c>
      <c r="L162" t="n">
        <v>0</v>
      </c>
      <c r="M162" t="n">
        <v>0</v>
      </c>
      <c r="N162" t="n">
        <v>0</v>
      </c>
      <c r="O162" t="n">
        <v>1</v>
      </c>
      <c r="P162" t="n">
        <v>0</v>
      </c>
      <c r="Q162" t="n">
        <v>1</v>
      </c>
      <c r="R162" s="2" t="inlineStr">
        <is>
          <t>Lunglav</t>
        </is>
      </c>
      <c r="S162">
        <f>HYPERLINK("https://klasma.github.io/Logging_1737/artfynd/A 40934-2024 artfynd.xlsx", "A 40934-2024")</f>
        <v/>
      </c>
      <c r="T162">
        <f>HYPERLINK("https://klasma.github.io/Logging_1737/kartor/A 40934-2024 karta.png", "A 40934-2024")</f>
        <v/>
      </c>
      <c r="V162">
        <f>HYPERLINK("https://klasma.github.io/Logging_1737/klagomål/A 40934-2024 FSC-klagomål.docx", "A 40934-2024")</f>
        <v/>
      </c>
      <c r="W162">
        <f>HYPERLINK("https://klasma.github.io/Logging_1737/klagomålsmail/A 40934-2024 FSC-klagomål mail.docx", "A 40934-2024")</f>
        <v/>
      </c>
      <c r="X162">
        <f>HYPERLINK("https://klasma.github.io/Logging_1737/tillsyn/A 40934-2024 tillsynsbegäran.docx", "A 40934-2024")</f>
        <v/>
      </c>
      <c r="Y162">
        <f>HYPERLINK("https://klasma.github.io/Logging_1737/tillsynsmail/A 40934-2024 tillsynsbegäran mail.docx", "A 40934-2024")</f>
        <v/>
      </c>
    </row>
    <row r="163" ht="15" customHeight="1">
      <c r="A163" t="inlineStr">
        <is>
          <t>A 41350-2024</t>
        </is>
      </c>
      <c r="B163" s="1" t="n">
        <v>45559</v>
      </c>
      <c r="C163" s="1" t="n">
        <v>45712</v>
      </c>
      <c r="D163" t="inlineStr">
        <is>
          <t>VÄRMLANDS LÄN</t>
        </is>
      </c>
      <c r="E163" t="inlineStr">
        <is>
          <t>TORSBY</t>
        </is>
      </c>
      <c r="G163" t="n">
        <v>5.5</v>
      </c>
      <c r="H163" t="n">
        <v>0</v>
      </c>
      <c r="I163" t="n">
        <v>0</v>
      </c>
      <c r="J163" t="n">
        <v>1</v>
      </c>
      <c r="K163" t="n">
        <v>0</v>
      </c>
      <c r="L163" t="n">
        <v>0</v>
      </c>
      <c r="M163" t="n">
        <v>0</v>
      </c>
      <c r="N163" t="n">
        <v>0</v>
      </c>
      <c r="O163" t="n">
        <v>1</v>
      </c>
      <c r="P163" t="n">
        <v>0</v>
      </c>
      <c r="Q163" t="n">
        <v>1</v>
      </c>
      <c r="R163" s="2" t="inlineStr">
        <is>
          <t>Garnlav</t>
        </is>
      </c>
      <c r="S163">
        <f>HYPERLINK("https://klasma.github.io/Logging_1737/artfynd/A 41350-2024 artfynd.xlsx", "A 41350-2024")</f>
        <v/>
      </c>
      <c r="T163">
        <f>HYPERLINK("https://klasma.github.io/Logging_1737/kartor/A 41350-2024 karta.png", "A 41350-2024")</f>
        <v/>
      </c>
      <c r="V163">
        <f>HYPERLINK("https://klasma.github.io/Logging_1737/klagomål/A 41350-2024 FSC-klagomål.docx", "A 41350-2024")</f>
        <v/>
      </c>
      <c r="W163">
        <f>HYPERLINK("https://klasma.github.io/Logging_1737/klagomålsmail/A 41350-2024 FSC-klagomål mail.docx", "A 41350-2024")</f>
        <v/>
      </c>
      <c r="X163">
        <f>HYPERLINK("https://klasma.github.io/Logging_1737/tillsyn/A 41350-2024 tillsynsbegäran.docx", "A 41350-2024")</f>
        <v/>
      </c>
      <c r="Y163">
        <f>HYPERLINK("https://klasma.github.io/Logging_1737/tillsynsmail/A 41350-2024 tillsynsbegäran mail.docx", "A 41350-2024")</f>
        <v/>
      </c>
    </row>
    <row r="164" ht="15" customHeight="1">
      <c r="A164" t="inlineStr">
        <is>
          <t>A 41477-2024</t>
        </is>
      </c>
      <c r="B164" s="1" t="n">
        <v>45560</v>
      </c>
      <c r="C164" s="1" t="n">
        <v>45712</v>
      </c>
      <c r="D164" t="inlineStr">
        <is>
          <t>VÄRMLANDS LÄN</t>
        </is>
      </c>
      <c r="E164" t="inlineStr">
        <is>
          <t>TORSBY</t>
        </is>
      </c>
      <c r="G164" t="n">
        <v>6.7</v>
      </c>
      <c r="H164" t="n">
        <v>0</v>
      </c>
      <c r="I164" t="n">
        <v>0</v>
      </c>
      <c r="J164" t="n">
        <v>1</v>
      </c>
      <c r="K164" t="n">
        <v>0</v>
      </c>
      <c r="L164" t="n">
        <v>0</v>
      </c>
      <c r="M164" t="n">
        <v>0</v>
      </c>
      <c r="N164" t="n">
        <v>0</v>
      </c>
      <c r="O164" t="n">
        <v>1</v>
      </c>
      <c r="P164" t="n">
        <v>0</v>
      </c>
      <c r="Q164" t="n">
        <v>1</v>
      </c>
      <c r="R164" s="2" t="inlineStr">
        <is>
          <t>Garnlav</t>
        </is>
      </c>
      <c r="S164">
        <f>HYPERLINK("https://klasma.github.io/Logging_1737/artfynd/A 41477-2024 artfynd.xlsx", "A 41477-2024")</f>
        <v/>
      </c>
      <c r="T164">
        <f>HYPERLINK("https://klasma.github.io/Logging_1737/kartor/A 41477-2024 karta.png", "A 41477-2024")</f>
        <v/>
      </c>
      <c r="V164">
        <f>HYPERLINK("https://klasma.github.io/Logging_1737/klagomål/A 41477-2024 FSC-klagomål.docx", "A 41477-2024")</f>
        <v/>
      </c>
      <c r="W164">
        <f>HYPERLINK("https://klasma.github.io/Logging_1737/klagomålsmail/A 41477-2024 FSC-klagomål mail.docx", "A 41477-2024")</f>
        <v/>
      </c>
      <c r="X164">
        <f>HYPERLINK("https://klasma.github.io/Logging_1737/tillsyn/A 41477-2024 tillsynsbegäran.docx", "A 41477-2024")</f>
        <v/>
      </c>
      <c r="Y164">
        <f>HYPERLINK("https://klasma.github.io/Logging_1737/tillsynsmail/A 41477-2024 tillsynsbegäran mail.docx", "A 41477-2024")</f>
        <v/>
      </c>
    </row>
    <row r="165" ht="15" customHeight="1">
      <c r="A165" t="inlineStr">
        <is>
          <t>A 47689-2024</t>
        </is>
      </c>
      <c r="B165" s="1" t="n">
        <v>45588</v>
      </c>
      <c r="C165" s="1" t="n">
        <v>45712</v>
      </c>
      <c r="D165" t="inlineStr">
        <is>
          <t>VÄRMLANDS LÄN</t>
        </is>
      </c>
      <c r="E165" t="inlineStr">
        <is>
          <t>TORSBY</t>
        </is>
      </c>
      <c r="G165" t="n">
        <v>3.1</v>
      </c>
      <c r="H165" t="n">
        <v>0</v>
      </c>
      <c r="I165" t="n">
        <v>0</v>
      </c>
      <c r="J165" t="n">
        <v>1</v>
      </c>
      <c r="K165" t="n">
        <v>0</v>
      </c>
      <c r="L165" t="n">
        <v>0</v>
      </c>
      <c r="M165" t="n">
        <v>0</v>
      </c>
      <c r="N165" t="n">
        <v>0</v>
      </c>
      <c r="O165" t="n">
        <v>1</v>
      </c>
      <c r="P165" t="n">
        <v>0</v>
      </c>
      <c r="Q165" t="n">
        <v>1</v>
      </c>
      <c r="R165" s="2" t="inlineStr">
        <is>
          <t>Garnlav</t>
        </is>
      </c>
      <c r="S165">
        <f>HYPERLINK("https://klasma.github.io/Logging_1737/artfynd/A 47689-2024 artfynd.xlsx", "A 47689-2024")</f>
        <v/>
      </c>
      <c r="T165">
        <f>HYPERLINK("https://klasma.github.io/Logging_1737/kartor/A 47689-2024 karta.png", "A 47689-2024")</f>
        <v/>
      </c>
      <c r="V165">
        <f>HYPERLINK("https://klasma.github.io/Logging_1737/klagomål/A 47689-2024 FSC-klagomål.docx", "A 47689-2024")</f>
        <v/>
      </c>
      <c r="W165">
        <f>HYPERLINK("https://klasma.github.io/Logging_1737/klagomålsmail/A 47689-2024 FSC-klagomål mail.docx", "A 47689-2024")</f>
        <v/>
      </c>
      <c r="X165">
        <f>HYPERLINK("https://klasma.github.io/Logging_1737/tillsyn/A 47689-2024 tillsynsbegäran.docx", "A 47689-2024")</f>
        <v/>
      </c>
      <c r="Y165">
        <f>HYPERLINK("https://klasma.github.io/Logging_1737/tillsynsmail/A 47689-2024 tillsynsbegäran mail.docx", "A 47689-2024")</f>
        <v/>
      </c>
    </row>
    <row r="166" ht="15" customHeight="1">
      <c r="A166" t="inlineStr">
        <is>
          <t>A 53862-2024</t>
        </is>
      </c>
      <c r="B166" s="1" t="n">
        <v>45615</v>
      </c>
      <c r="C166" s="1" t="n">
        <v>45712</v>
      </c>
      <c r="D166" t="inlineStr">
        <is>
          <t>VÄRMLANDS LÄN</t>
        </is>
      </c>
      <c r="E166" t="inlineStr">
        <is>
          <t>TORSBY</t>
        </is>
      </c>
      <c r="G166" t="n">
        <v>3.4</v>
      </c>
      <c r="H166" t="n">
        <v>0</v>
      </c>
      <c r="I166" t="n">
        <v>0</v>
      </c>
      <c r="J166" t="n">
        <v>1</v>
      </c>
      <c r="K166" t="n">
        <v>0</v>
      </c>
      <c r="L166" t="n">
        <v>0</v>
      </c>
      <c r="M166" t="n">
        <v>0</v>
      </c>
      <c r="N166" t="n">
        <v>0</v>
      </c>
      <c r="O166" t="n">
        <v>1</v>
      </c>
      <c r="P166" t="n">
        <v>0</v>
      </c>
      <c r="Q166" t="n">
        <v>1</v>
      </c>
      <c r="R166" s="2" t="inlineStr">
        <is>
          <t>Kolflarnlav</t>
        </is>
      </c>
      <c r="S166">
        <f>HYPERLINK("https://klasma.github.io/Logging_1737/artfynd/A 53862-2024 artfynd.xlsx", "A 53862-2024")</f>
        <v/>
      </c>
      <c r="T166">
        <f>HYPERLINK("https://klasma.github.io/Logging_1737/kartor/A 53862-2024 karta.png", "A 53862-2024")</f>
        <v/>
      </c>
      <c r="V166">
        <f>HYPERLINK("https://klasma.github.io/Logging_1737/klagomål/A 53862-2024 FSC-klagomål.docx", "A 53862-2024")</f>
        <v/>
      </c>
      <c r="W166">
        <f>HYPERLINK("https://klasma.github.io/Logging_1737/klagomålsmail/A 53862-2024 FSC-klagomål mail.docx", "A 53862-2024")</f>
        <v/>
      </c>
      <c r="X166">
        <f>HYPERLINK("https://klasma.github.io/Logging_1737/tillsyn/A 53862-2024 tillsynsbegäran.docx", "A 53862-2024")</f>
        <v/>
      </c>
      <c r="Y166">
        <f>HYPERLINK("https://klasma.github.io/Logging_1737/tillsynsmail/A 53862-2024 tillsynsbegäran mail.docx", "A 53862-2024")</f>
        <v/>
      </c>
    </row>
    <row r="167" ht="15" customHeight="1">
      <c r="A167" t="inlineStr">
        <is>
          <t>A 54009-2024</t>
        </is>
      </c>
      <c r="B167" s="1" t="n">
        <v>45616</v>
      </c>
      <c r="C167" s="1" t="n">
        <v>45712</v>
      </c>
      <c r="D167" t="inlineStr">
        <is>
          <t>VÄRMLANDS LÄN</t>
        </is>
      </c>
      <c r="E167" t="inlineStr">
        <is>
          <t>TORSBY</t>
        </is>
      </c>
      <c r="F167" t="inlineStr">
        <is>
          <t>Bergvik skog väst AB</t>
        </is>
      </c>
      <c r="G167" t="n">
        <v>8.800000000000001</v>
      </c>
      <c r="H167" t="n">
        <v>1</v>
      </c>
      <c r="I167" t="n">
        <v>1</v>
      </c>
      <c r="J167" t="n">
        <v>0</v>
      </c>
      <c r="K167" t="n">
        <v>0</v>
      </c>
      <c r="L167" t="n">
        <v>0</v>
      </c>
      <c r="M167" t="n">
        <v>0</v>
      </c>
      <c r="N167" t="n">
        <v>0</v>
      </c>
      <c r="O167" t="n">
        <v>0</v>
      </c>
      <c r="P167" t="n">
        <v>0</v>
      </c>
      <c r="Q167" t="n">
        <v>1</v>
      </c>
      <c r="R167" s="2" t="inlineStr">
        <is>
          <t>Korallrot</t>
        </is>
      </c>
      <c r="S167">
        <f>HYPERLINK("https://klasma.github.io/Logging_1737/artfynd/A 54009-2024 artfynd.xlsx", "A 54009-2024")</f>
        <v/>
      </c>
      <c r="T167">
        <f>HYPERLINK("https://klasma.github.io/Logging_1737/kartor/A 54009-2024 karta.png", "A 54009-2024")</f>
        <v/>
      </c>
      <c r="V167">
        <f>HYPERLINK("https://klasma.github.io/Logging_1737/klagomål/A 54009-2024 FSC-klagomål.docx", "A 54009-2024")</f>
        <v/>
      </c>
      <c r="W167">
        <f>HYPERLINK("https://klasma.github.io/Logging_1737/klagomålsmail/A 54009-2024 FSC-klagomål mail.docx", "A 54009-2024")</f>
        <v/>
      </c>
      <c r="X167">
        <f>HYPERLINK("https://klasma.github.io/Logging_1737/tillsyn/A 54009-2024 tillsynsbegäran.docx", "A 54009-2024")</f>
        <v/>
      </c>
      <c r="Y167">
        <f>HYPERLINK("https://klasma.github.io/Logging_1737/tillsynsmail/A 54009-2024 tillsynsbegäran mail.docx", "A 54009-2024")</f>
        <v/>
      </c>
    </row>
    <row r="168" ht="15" customHeight="1">
      <c r="A168" t="inlineStr">
        <is>
          <t>A 54029-2024</t>
        </is>
      </c>
      <c r="B168" s="1" t="n">
        <v>45616</v>
      </c>
      <c r="C168" s="1" t="n">
        <v>45712</v>
      </c>
      <c r="D168" t="inlineStr">
        <is>
          <t>VÄRMLANDS LÄN</t>
        </is>
      </c>
      <c r="E168" t="inlineStr">
        <is>
          <t>TORSBY</t>
        </is>
      </c>
      <c r="G168" t="n">
        <v>10.2</v>
      </c>
      <c r="H168" t="n">
        <v>0</v>
      </c>
      <c r="I168" t="n">
        <v>1</v>
      </c>
      <c r="J168" t="n">
        <v>0</v>
      </c>
      <c r="K168" t="n">
        <v>0</v>
      </c>
      <c r="L168" t="n">
        <v>0</v>
      </c>
      <c r="M168" t="n">
        <v>0</v>
      </c>
      <c r="N168" t="n">
        <v>0</v>
      </c>
      <c r="O168" t="n">
        <v>0</v>
      </c>
      <c r="P168" t="n">
        <v>0</v>
      </c>
      <c r="Q168" t="n">
        <v>1</v>
      </c>
      <c r="R168" s="2" t="inlineStr">
        <is>
          <t>Vedticka</t>
        </is>
      </c>
      <c r="S168">
        <f>HYPERLINK("https://klasma.github.io/Logging_1737/artfynd/A 54029-2024 artfynd.xlsx", "A 54029-2024")</f>
        <v/>
      </c>
      <c r="T168">
        <f>HYPERLINK("https://klasma.github.io/Logging_1737/kartor/A 54029-2024 karta.png", "A 54029-2024")</f>
        <v/>
      </c>
      <c r="V168">
        <f>HYPERLINK("https://klasma.github.io/Logging_1737/klagomål/A 54029-2024 FSC-klagomål.docx", "A 54029-2024")</f>
        <v/>
      </c>
      <c r="W168">
        <f>HYPERLINK("https://klasma.github.io/Logging_1737/klagomålsmail/A 54029-2024 FSC-klagomål mail.docx", "A 54029-2024")</f>
        <v/>
      </c>
      <c r="X168">
        <f>HYPERLINK("https://klasma.github.io/Logging_1737/tillsyn/A 54029-2024 tillsynsbegäran.docx", "A 54029-2024")</f>
        <v/>
      </c>
      <c r="Y168">
        <f>HYPERLINK("https://klasma.github.io/Logging_1737/tillsynsmail/A 54029-2024 tillsynsbegäran mail.docx", "A 54029-2024")</f>
        <v/>
      </c>
    </row>
    <row r="169" ht="15" customHeight="1">
      <c r="A169" t="inlineStr">
        <is>
          <t>A 54788-2024</t>
        </is>
      </c>
      <c r="B169" s="1" t="n">
        <v>45618</v>
      </c>
      <c r="C169" s="1" t="n">
        <v>45712</v>
      </c>
      <c r="D169" t="inlineStr">
        <is>
          <t>VÄRMLANDS LÄN</t>
        </is>
      </c>
      <c r="E169" t="inlineStr">
        <is>
          <t>TORSBY</t>
        </is>
      </c>
      <c r="G169" t="n">
        <v>2.4</v>
      </c>
      <c r="H169" t="n">
        <v>0</v>
      </c>
      <c r="I169" t="n">
        <v>0</v>
      </c>
      <c r="J169" t="n">
        <v>1</v>
      </c>
      <c r="K169" t="n">
        <v>0</v>
      </c>
      <c r="L169" t="n">
        <v>0</v>
      </c>
      <c r="M169" t="n">
        <v>0</v>
      </c>
      <c r="N169" t="n">
        <v>0</v>
      </c>
      <c r="O169" t="n">
        <v>1</v>
      </c>
      <c r="P169" t="n">
        <v>0</v>
      </c>
      <c r="Q169" t="n">
        <v>1</v>
      </c>
      <c r="R169" s="2" t="inlineStr">
        <is>
          <t>Mörk kolflarnlav</t>
        </is>
      </c>
      <c r="S169">
        <f>HYPERLINK("https://klasma.github.io/Logging_1737/artfynd/A 54788-2024 artfynd.xlsx", "A 54788-2024")</f>
        <v/>
      </c>
      <c r="T169">
        <f>HYPERLINK("https://klasma.github.io/Logging_1737/kartor/A 54788-2024 karta.png", "A 54788-2024")</f>
        <v/>
      </c>
      <c r="V169">
        <f>HYPERLINK("https://klasma.github.io/Logging_1737/klagomål/A 54788-2024 FSC-klagomål.docx", "A 54788-2024")</f>
        <v/>
      </c>
      <c r="W169">
        <f>HYPERLINK("https://klasma.github.io/Logging_1737/klagomålsmail/A 54788-2024 FSC-klagomål mail.docx", "A 54788-2024")</f>
        <v/>
      </c>
      <c r="X169">
        <f>HYPERLINK("https://klasma.github.io/Logging_1737/tillsyn/A 54788-2024 tillsynsbegäran.docx", "A 54788-2024")</f>
        <v/>
      </c>
      <c r="Y169">
        <f>HYPERLINK("https://klasma.github.io/Logging_1737/tillsynsmail/A 54788-2024 tillsynsbegäran mail.docx", "A 54788-2024")</f>
        <v/>
      </c>
    </row>
    <row r="170" ht="15" customHeight="1">
      <c r="A170" t="inlineStr">
        <is>
          <t>A 54786-2024</t>
        </is>
      </c>
      <c r="B170" s="1" t="n">
        <v>45618</v>
      </c>
      <c r="C170" s="1" t="n">
        <v>45712</v>
      </c>
      <c r="D170" t="inlineStr">
        <is>
          <t>VÄRMLANDS LÄN</t>
        </is>
      </c>
      <c r="E170" t="inlineStr">
        <is>
          <t>TORSBY</t>
        </is>
      </c>
      <c r="G170" t="n">
        <v>3.8</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54786-2024 artfynd.xlsx", "A 54786-2024")</f>
        <v/>
      </c>
      <c r="T170">
        <f>HYPERLINK("https://klasma.github.io/Logging_1737/kartor/A 54786-2024 karta.png", "A 54786-2024")</f>
        <v/>
      </c>
      <c r="V170">
        <f>HYPERLINK("https://klasma.github.io/Logging_1737/klagomål/A 54786-2024 FSC-klagomål.docx", "A 54786-2024")</f>
        <v/>
      </c>
      <c r="W170">
        <f>HYPERLINK("https://klasma.github.io/Logging_1737/klagomålsmail/A 54786-2024 FSC-klagomål mail.docx", "A 54786-2024")</f>
        <v/>
      </c>
      <c r="X170">
        <f>HYPERLINK("https://klasma.github.io/Logging_1737/tillsyn/A 54786-2024 tillsynsbegäran.docx", "A 54786-2024")</f>
        <v/>
      </c>
      <c r="Y170">
        <f>HYPERLINK("https://klasma.github.io/Logging_1737/tillsynsmail/A 54786-2024 tillsynsbegäran mail.docx", "A 54786-2024")</f>
        <v/>
      </c>
    </row>
    <row r="171" ht="15" customHeight="1">
      <c r="A171" t="inlineStr">
        <is>
          <t>A 56133-2024</t>
        </is>
      </c>
      <c r="B171" s="1" t="n">
        <v>45624</v>
      </c>
      <c r="C171" s="1" t="n">
        <v>45712</v>
      </c>
      <c r="D171" t="inlineStr">
        <is>
          <t>VÄRMLANDS LÄN</t>
        </is>
      </c>
      <c r="E171" t="inlineStr">
        <is>
          <t>TORSBY</t>
        </is>
      </c>
      <c r="G171" t="n">
        <v>2.4</v>
      </c>
      <c r="H171" t="n">
        <v>0</v>
      </c>
      <c r="I171" t="n">
        <v>1</v>
      </c>
      <c r="J171" t="n">
        <v>0</v>
      </c>
      <c r="K171" t="n">
        <v>0</v>
      </c>
      <c r="L171" t="n">
        <v>0</v>
      </c>
      <c r="M171" t="n">
        <v>0</v>
      </c>
      <c r="N171" t="n">
        <v>0</v>
      </c>
      <c r="O171" t="n">
        <v>0</v>
      </c>
      <c r="P171" t="n">
        <v>0</v>
      </c>
      <c r="Q171" t="n">
        <v>1</v>
      </c>
      <c r="R171" s="2" t="inlineStr">
        <is>
          <t>Vedticka</t>
        </is>
      </c>
      <c r="S171">
        <f>HYPERLINK("https://klasma.github.io/Logging_1737/artfynd/A 56133-2024 artfynd.xlsx", "A 56133-2024")</f>
        <v/>
      </c>
      <c r="T171">
        <f>HYPERLINK("https://klasma.github.io/Logging_1737/kartor/A 56133-2024 karta.png", "A 56133-2024")</f>
        <v/>
      </c>
      <c r="V171">
        <f>HYPERLINK("https://klasma.github.io/Logging_1737/klagomål/A 56133-2024 FSC-klagomål.docx", "A 56133-2024")</f>
        <v/>
      </c>
      <c r="W171">
        <f>HYPERLINK("https://klasma.github.io/Logging_1737/klagomålsmail/A 56133-2024 FSC-klagomål mail.docx", "A 56133-2024")</f>
        <v/>
      </c>
      <c r="X171">
        <f>HYPERLINK("https://klasma.github.io/Logging_1737/tillsyn/A 56133-2024 tillsynsbegäran.docx", "A 56133-2024")</f>
        <v/>
      </c>
      <c r="Y171">
        <f>HYPERLINK("https://klasma.github.io/Logging_1737/tillsynsmail/A 56133-2024 tillsynsbegäran mail.docx", "A 56133-2024")</f>
        <v/>
      </c>
    </row>
    <row r="172" ht="15" customHeight="1">
      <c r="A172" t="inlineStr">
        <is>
          <t>A 56990-2024</t>
        </is>
      </c>
      <c r="B172" s="1" t="n">
        <v>45628</v>
      </c>
      <c r="C172" s="1" t="n">
        <v>45712</v>
      </c>
      <c r="D172" t="inlineStr">
        <is>
          <t>VÄRMLANDS LÄN</t>
        </is>
      </c>
      <c r="E172" t="inlineStr">
        <is>
          <t>TORSBY</t>
        </is>
      </c>
      <c r="F172" t="inlineStr">
        <is>
          <t>Bergvik skog väst AB</t>
        </is>
      </c>
      <c r="G172" t="n">
        <v>8.699999999999999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HYPERLINK("https://klasma.github.io/Logging_1737/artfynd/A 56990-2024 artfynd.xlsx", "A 56990-2024")</f>
        <v/>
      </c>
      <c r="T172">
        <f>HYPERLINK("https://klasma.github.io/Logging_1737/kartor/A 56990-2024 karta.png", "A 56990-2024")</f>
        <v/>
      </c>
      <c r="V172">
        <f>HYPERLINK("https://klasma.github.io/Logging_1737/klagomål/A 56990-2024 FSC-klagomål.docx", "A 56990-2024")</f>
        <v/>
      </c>
      <c r="W172">
        <f>HYPERLINK("https://klasma.github.io/Logging_1737/klagomålsmail/A 56990-2024 FSC-klagomål mail.docx", "A 56990-2024")</f>
        <v/>
      </c>
      <c r="X172">
        <f>HYPERLINK("https://klasma.github.io/Logging_1737/tillsyn/A 56990-2024 tillsynsbegäran.docx", "A 56990-2024")</f>
        <v/>
      </c>
      <c r="Y172">
        <f>HYPERLINK("https://klasma.github.io/Logging_1737/tillsynsmail/A 56990-2024 tillsynsbegäran mail.docx", "A 56990-2024")</f>
        <v/>
      </c>
      <c r="Z172">
        <f>HYPERLINK("https://klasma.github.io/Logging_1737/fåglar/A 56990-2024 prioriterade fågelarter.docx", "A 56990-2024")</f>
        <v/>
      </c>
    </row>
    <row r="173" ht="15" customHeight="1">
      <c r="A173" t="inlineStr">
        <is>
          <t>A 58014-2024</t>
        </is>
      </c>
      <c r="B173" s="1" t="n">
        <v>45631</v>
      </c>
      <c r="C173" s="1" t="n">
        <v>45712</v>
      </c>
      <c r="D173" t="inlineStr">
        <is>
          <t>VÄRMLANDS LÄN</t>
        </is>
      </c>
      <c r="E173" t="inlineStr">
        <is>
          <t>TORSBY</t>
        </is>
      </c>
      <c r="G173" t="n">
        <v>2.2</v>
      </c>
      <c r="H173" t="n">
        <v>0</v>
      </c>
      <c r="I173" t="n">
        <v>1</v>
      </c>
      <c r="J173" t="n">
        <v>0</v>
      </c>
      <c r="K173" t="n">
        <v>0</v>
      </c>
      <c r="L173" t="n">
        <v>0</v>
      </c>
      <c r="M173" t="n">
        <v>0</v>
      </c>
      <c r="N173" t="n">
        <v>0</v>
      </c>
      <c r="O173" t="n">
        <v>0</v>
      </c>
      <c r="P173" t="n">
        <v>0</v>
      </c>
      <c r="Q173" t="n">
        <v>1</v>
      </c>
      <c r="R173" s="2" t="inlineStr">
        <is>
          <t>Kattfotslav</t>
        </is>
      </c>
      <c r="S173">
        <f>HYPERLINK("https://klasma.github.io/Logging_1737/artfynd/A 58014-2024 artfynd.xlsx", "A 58014-2024")</f>
        <v/>
      </c>
      <c r="T173">
        <f>HYPERLINK("https://klasma.github.io/Logging_1737/kartor/A 58014-2024 karta.png", "A 58014-2024")</f>
        <v/>
      </c>
      <c r="V173">
        <f>HYPERLINK("https://klasma.github.io/Logging_1737/klagomål/A 58014-2024 FSC-klagomål.docx", "A 58014-2024")</f>
        <v/>
      </c>
      <c r="W173">
        <f>HYPERLINK("https://klasma.github.io/Logging_1737/klagomålsmail/A 58014-2024 FSC-klagomål mail.docx", "A 58014-2024")</f>
        <v/>
      </c>
      <c r="X173">
        <f>HYPERLINK("https://klasma.github.io/Logging_1737/tillsyn/A 58014-2024 tillsynsbegäran.docx", "A 58014-2024")</f>
        <v/>
      </c>
      <c r="Y173">
        <f>HYPERLINK("https://klasma.github.io/Logging_1737/tillsynsmail/A 58014-2024 tillsynsbegäran mail.docx", "A 58014-2024")</f>
        <v/>
      </c>
    </row>
    <row r="174" ht="15" customHeight="1">
      <c r="A174" t="inlineStr">
        <is>
          <t>A 5726-2025</t>
        </is>
      </c>
      <c r="B174" s="1" t="n">
        <v>45694</v>
      </c>
      <c r="C174" s="1" t="n">
        <v>45712</v>
      </c>
      <c r="D174" t="inlineStr">
        <is>
          <t>VÄRMLANDS LÄN</t>
        </is>
      </c>
      <c r="E174" t="inlineStr">
        <is>
          <t>TORSBY</t>
        </is>
      </c>
      <c r="G174" t="n">
        <v>3.5</v>
      </c>
      <c r="H174" t="n">
        <v>0</v>
      </c>
      <c r="I174" t="n">
        <v>1</v>
      </c>
      <c r="J174" t="n">
        <v>0</v>
      </c>
      <c r="K174" t="n">
        <v>0</v>
      </c>
      <c r="L174" t="n">
        <v>0</v>
      </c>
      <c r="M174" t="n">
        <v>0</v>
      </c>
      <c r="N174" t="n">
        <v>0</v>
      </c>
      <c r="O174" t="n">
        <v>0</v>
      </c>
      <c r="P174" t="n">
        <v>0</v>
      </c>
      <c r="Q174" t="n">
        <v>1</v>
      </c>
      <c r="R174" s="2" t="inlineStr">
        <is>
          <t>Vedticka</t>
        </is>
      </c>
      <c r="S174">
        <f>HYPERLINK("https://klasma.github.io/Logging_1737/artfynd/A 5726-2025 artfynd.xlsx", "A 5726-2025")</f>
        <v/>
      </c>
      <c r="T174">
        <f>HYPERLINK("https://klasma.github.io/Logging_1737/kartor/A 5726-2025 karta.png", "A 5726-2025")</f>
        <v/>
      </c>
      <c r="V174">
        <f>HYPERLINK("https://klasma.github.io/Logging_1737/klagomål/A 5726-2025 FSC-klagomål.docx", "A 5726-2025")</f>
        <v/>
      </c>
      <c r="W174">
        <f>HYPERLINK("https://klasma.github.io/Logging_1737/klagomålsmail/A 5726-2025 FSC-klagomål mail.docx", "A 5726-2025")</f>
        <v/>
      </c>
      <c r="X174">
        <f>HYPERLINK("https://klasma.github.io/Logging_1737/tillsyn/A 5726-2025 tillsynsbegäran.docx", "A 5726-2025")</f>
        <v/>
      </c>
      <c r="Y174">
        <f>HYPERLINK("https://klasma.github.io/Logging_1737/tillsynsmail/A 5726-2025 tillsynsbegäran mail.docx", "A 5726-2025")</f>
        <v/>
      </c>
    </row>
    <row r="175" ht="15" customHeight="1">
      <c r="A175" t="inlineStr">
        <is>
          <t>A 17808-2019</t>
        </is>
      </c>
      <c r="B175" s="1" t="n">
        <v>43556</v>
      </c>
      <c r="C175" s="1" t="n">
        <v>45712</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17788-2019</t>
        </is>
      </c>
      <c r="B176" s="1" t="n">
        <v>43556</v>
      </c>
      <c r="C176" s="1" t="n">
        <v>45712</v>
      </c>
      <c r="D176" t="inlineStr">
        <is>
          <t>VÄRMLANDS LÄN</t>
        </is>
      </c>
      <c r="E176" t="inlineStr">
        <is>
          <t>TORSBY</t>
        </is>
      </c>
      <c r="G176" t="n">
        <v>2.3</v>
      </c>
      <c r="H176" t="n">
        <v>0</v>
      </c>
      <c r="I176" t="n">
        <v>0</v>
      </c>
      <c r="J176" t="n">
        <v>0</v>
      </c>
      <c r="K176" t="n">
        <v>0</v>
      </c>
      <c r="L176" t="n">
        <v>0</v>
      </c>
      <c r="M176" t="n">
        <v>0</v>
      </c>
      <c r="N176" t="n">
        <v>0</v>
      </c>
      <c r="O176" t="n">
        <v>0</v>
      </c>
      <c r="P176" t="n">
        <v>0</v>
      </c>
      <c r="Q176" t="n">
        <v>0</v>
      </c>
      <c r="R176" s="2" t="inlineStr"/>
    </row>
    <row r="177" ht="15" customHeight="1">
      <c r="A177" t="inlineStr">
        <is>
          <t>A 17957-2019</t>
        </is>
      </c>
      <c r="B177" s="1" t="n">
        <v>43557</v>
      </c>
      <c r="C177" s="1" t="n">
        <v>45712</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17864-2019</t>
        </is>
      </c>
      <c r="B178" s="1" t="n">
        <v>43557</v>
      </c>
      <c r="C178" s="1" t="n">
        <v>45712</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18551-2019</t>
        </is>
      </c>
      <c r="B179" s="1" t="n">
        <v>43559</v>
      </c>
      <c r="C179" s="1" t="n">
        <v>45712</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18947-2019</t>
        </is>
      </c>
      <c r="B180" s="1" t="n">
        <v>43563</v>
      </c>
      <c r="C180" s="1" t="n">
        <v>45712</v>
      </c>
      <c r="D180" t="inlineStr">
        <is>
          <t>VÄRMLANDS LÄN</t>
        </is>
      </c>
      <c r="E180" t="inlineStr">
        <is>
          <t>TORSBY</t>
        </is>
      </c>
      <c r="G180" t="n">
        <v>7.6</v>
      </c>
      <c r="H180" t="n">
        <v>0</v>
      </c>
      <c r="I180" t="n">
        <v>0</v>
      </c>
      <c r="J180" t="n">
        <v>0</v>
      </c>
      <c r="K180" t="n">
        <v>0</v>
      </c>
      <c r="L180" t="n">
        <v>0</v>
      </c>
      <c r="M180" t="n">
        <v>0</v>
      </c>
      <c r="N180" t="n">
        <v>0</v>
      </c>
      <c r="O180" t="n">
        <v>0</v>
      </c>
      <c r="P180" t="n">
        <v>0</v>
      </c>
      <c r="Q180" t="n">
        <v>0</v>
      </c>
      <c r="R180" s="2" t="inlineStr"/>
    </row>
    <row r="181" ht="15" customHeight="1">
      <c r="A181" t="inlineStr">
        <is>
          <t>A 19974-2019</t>
        </is>
      </c>
      <c r="B181" s="1" t="n">
        <v>43564</v>
      </c>
      <c r="C181" s="1" t="n">
        <v>45712</v>
      </c>
      <c r="D181" t="inlineStr">
        <is>
          <t>VÄRMLANDS LÄN</t>
        </is>
      </c>
      <c r="E181" t="inlineStr">
        <is>
          <t>TORSBY</t>
        </is>
      </c>
      <c r="G181" t="n">
        <v>5.1</v>
      </c>
      <c r="H181" t="n">
        <v>0</v>
      </c>
      <c r="I181" t="n">
        <v>0</v>
      </c>
      <c r="J181" t="n">
        <v>0</v>
      </c>
      <c r="K181" t="n">
        <v>0</v>
      </c>
      <c r="L181" t="n">
        <v>0</v>
      </c>
      <c r="M181" t="n">
        <v>0</v>
      </c>
      <c r="N181" t="n">
        <v>0</v>
      </c>
      <c r="O181" t="n">
        <v>0</v>
      </c>
      <c r="P181" t="n">
        <v>0</v>
      </c>
      <c r="Q181" t="n">
        <v>0</v>
      </c>
      <c r="R181" s="2" t="inlineStr"/>
    </row>
    <row r="182" ht="15" customHeight="1">
      <c r="A182" t="inlineStr">
        <is>
          <t>A 19125-2019</t>
        </is>
      </c>
      <c r="B182" s="1" t="n">
        <v>43564</v>
      </c>
      <c r="C182" s="1" t="n">
        <v>45712</v>
      </c>
      <c r="D182" t="inlineStr">
        <is>
          <t>VÄRMLANDS LÄN</t>
        </is>
      </c>
      <c r="E182" t="inlineStr">
        <is>
          <t>TORSBY</t>
        </is>
      </c>
      <c r="G182" t="n">
        <v>18.3</v>
      </c>
      <c r="H182" t="n">
        <v>0</v>
      </c>
      <c r="I182" t="n">
        <v>0</v>
      </c>
      <c r="J182" t="n">
        <v>0</v>
      </c>
      <c r="K182" t="n">
        <v>0</v>
      </c>
      <c r="L182" t="n">
        <v>0</v>
      </c>
      <c r="M182" t="n">
        <v>0</v>
      </c>
      <c r="N182" t="n">
        <v>0</v>
      </c>
      <c r="O182" t="n">
        <v>0</v>
      </c>
      <c r="P182" t="n">
        <v>0</v>
      </c>
      <c r="Q182" t="n">
        <v>0</v>
      </c>
      <c r="R182" s="2" t="inlineStr"/>
    </row>
    <row r="183" ht="15" customHeight="1">
      <c r="A183" t="inlineStr">
        <is>
          <t>A 19591-2019</t>
        </is>
      </c>
      <c r="B183" s="1" t="n">
        <v>43566</v>
      </c>
      <c r="C183" s="1" t="n">
        <v>45712</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20167-2019</t>
        </is>
      </c>
      <c r="B184" s="1" t="n">
        <v>43570</v>
      </c>
      <c r="C184" s="1" t="n">
        <v>45712</v>
      </c>
      <c r="D184" t="inlineStr">
        <is>
          <t>VÄRMLANDS LÄN</t>
        </is>
      </c>
      <c r="E184" t="inlineStr">
        <is>
          <t>TORSBY</t>
        </is>
      </c>
      <c r="G184" t="n">
        <v>5</v>
      </c>
      <c r="H184" t="n">
        <v>0</v>
      </c>
      <c r="I184" t="n">
        <v>0</v>
      </c>
      <c r="J184" t="n">
        <v>0</v>
      </c>
      <c r="K184" t="n">
        <v>0</v>
      </c>
      <c r="L184" t="n">
        <v>0</v>
      </c>
      <c r="M184" t="n">
        <v>0</v>
      </c>
      <c r="N184" t="n">
        <v>0</v>
      </c>
      <c r="O184" t="n">
        <v>0</v>
      </c>
      <c r="P184" t="n">
        <v>0</v>
      </c>
      <c r="Q184" t="n">
        <v>0</v>
      </c>
      <c r="R184" s="2" t="inlineStr"/>
    </row>
    <row r="185" ht="15" customHeight="1">
      <c r="A185" t="inlineStr">
        <is>
          <t>A 20190-2019</t>
        </is>
      </c>
      <c r="B185" s="1" t="n">
        <v>43570</v>
      </c>
      <c r="C185" s="1" t="n">
        <v>45712</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20244-2019</t>
        </is>
      </c>
      <c r="B186" s="1" t="n">
        <v>43571</v>
      </c>
      <c r="C186" s="1" t="n">
        <v>45712</v>
      </c>
      <c r="D186" t="inlineStr">
        <is>
          <t>VÄRMLANDS LÄN</t>
        </is>
      </c>
      <c r="E186" t="inlineStr">
        <is>
          <t>TORSBY</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20616-2019</t>
        </is>
      </c>
      <c r="B187" s="1" t="n">
        <v>43572</v>
      </c>
      <c r="C187" s="1" t="n">
        <v>45712</v>
      </c>
      <c r="D187" t="inlineStr">
        <is>
          <t>VÄRMLANDS LÄN</t>
        </is>
      </c>
      <c r="E187" t="inlineStr">
        <is>
          <t>TORSBY</t>
        </is>
      </c>
      <c r="G187" t="n">
        <v>0.4</v>
      </c>
      <c r="H187" t="n">
        <v>0</v>
      </c>
      <c r="I187" t="n">
        <v>0</v>
      </c>
      <c r="J187" t="n">
        <v>0</v>
      </c>
      <c r="K187" t="n">
        <v>0</v>
      </c>
      <c r="L187" t="n">
        <v>0</v>
      </c>
      <c r="M187" t="n">
        <v>0</v>
      </c>
      <c r="N187" t="n">
        <v>0</v>
      </c>
      <c r="O187" t="n">
        <v>0</v>
      </c>
      <c r="P187" t="n">
        <v>0</v>
      </c>
      <c r="Q187" t="n">
        <v>0</v>
      </c>
      <c r="R187" s="2" t="inlineStr"/>
    </row>
    <row r="188" ht="15" customHeight="1">
      <c r="A188" t="inlineStr">
        <is>
          <t>A 20468-2019</t>
        </is>
      </c>
      <c r="B188" s="1" t="n">
        <v>43572</v>
      </c>
      <c r="C188" s="1" t="n">
        <v>45712</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21166-2019</t>
        </is>
      </c>
      <c r="B189" s="1" t="n">
        <v>43578</v>
      </c>
      <c r="C189" s="1" t="n">
        <v>45712</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21387-2019</t>
        </is>
      </c>
      <c r="B190" s="1" t="n">
        <v>43580</v>
      </c>
      <c r="C190" s="1" t="n">
        <v>45712</v>
      </c>
      <c r="D190" t="inlineStr">
        <is>
          <t>VÄRMLANDS LÄN</t>
        </is>
      </c>
      <c r="E190" t="inlineStr">
        <is>
          <t>TORSBY</t>
        </is>
      </c>
      <c r="G190" t="n">
        <v>2.4</v>
      </c>
      <c r="H190" t="n">
        <v>0</v>
      </c>
      <c r="I190" t="n">
        <v>0</v>
      </c>
      <c r="J190" t="n">
        <v>0</v>
      </c>
      <c r="K190" t="n">
        <v>0</v>
      </c>
      <c r="L190" t="n">
        <v>0</v>
      </c>
      <c r="M190" t="n">
        <v>0</v>
      </c>
      <c r="N190" t="n">
        <v>0</v>
      </c>
      <c r="O190" t="n">
        <v>0</v>
      </c>
      <c r="P190" t="n">
        <v>0</v>
      </c>
      <c r="Q190" t="n">
        <v>0</v>
      </c>
      <c r="R190" s="2" t="inlineStr"/>
    </row>
    <row r="191" ht="15" customHeight="1">
      <c r="A191" t="inlineStr">
        <is>
          <t>A 21958-2019</t>
        </is>
      </c>
      <c r="B191" s="1" t="n">
        <v>43584</v>
      </c>
      <c r="C191" s="1" t="n">
        <v>45712</v>
      </c>
      <c r="D191" t="inlineStr">
        <is>
          <t>VÄRMLANDS LÄN</t>
        </is>
      </c>
      <c r="E191" t="inlineStr">
        <is>
          <t>TORSBY</t>
        </is>
      </c>
      <c r="G191" t="n">
        <v>3.5</v>
      </c>
      <c r="H191" t="n">
        <v>0</v>
      </c>
      <c r="I191" t="n">
        <v>0</v>
      </c>
      <c r="J191" t="n">
        <v>0</v>
      </c>
      <c r="K191" t="n">
        <v>0</v>
      </c>
      <c r="L191" t="n">
        <v>0</v>
      </c>
      <c r="M191" t="n">
        <v>0</v>
      </c>
      <c r="N191" t="n">
        <v>0</v>
      </c>
      <c r="O191" t="n">
        <v>0</v>
      </c>
      <c r="P191" t="n">
        <v>0</v>
      </c>
      <c r="Q191" t="n">
        <v>0</v>
      </c>
      <c r="R191" s="2" t="inlineStr"/>
    </row>
    <row r="192" ht="15" customHeight="1">
      <c r="A192" t="inlineStr">
        <is>
          <t>A 22252-2019</t>
        </is>
      </c>
      <c r="B192" s="1" t="n">
        <v>43585</v>
      </c>
      <c r="C192" s="1" t="n">
        <v>45712</v>
      </c>
      <c r="D192" t="inlineStr">
        <is>
          <t>VÄRMLANDS LÄN</t>
        </is>
      </c>
      <c r="E192" t="inlineStr">
        <is>
          <t>TORSBY</t>
        </is>
      </c>
      <c r="G192" t="n">
        <v>3.7</v>
      </c>
      <c r="H192" t="n">
        <v>0</v>
      </c>
      <c r="I192" t="n">
        <v>0</v>
      </c>
      <c r="J192" t="n">
        <v>0</v>
      </c>
      <c r="K192" t="n">
        <v>0</v>
      </c>
      <c r="L192" t="n">
        <v>0</v>
      </c>
      <c r="M192" t="n">
        <v>0</v>
      </c>
      <c r="N192" t="n">
        <v>0</v>
      </c>
      <c r="O192" t="n">
        <v>0</v>
      </c>
      <c r="P192" t="n">
        <v>0</v>
      </c>
      <c r="Q192" t="n">
        <v>0</v>
      </c>
      <c r="R192" s="2" t="inlineStr"/>
    </row>
    <row r="193" ht="15" customHeight="1">
      <c r="A193" t="inlineStr">
        <is>
          <t>A 22158-2019</t>
        </is>
      </c>
      <c r="B193" s="1" t="n">
        <v>43585</v>
      </c>
      <c r="C193" s="1" t="n">
        <v>45712</v>
      </c>
      <c r="D193" t="inlineStr">
        <is>
          <t>VÄRMLANDS LÄN</t>
        </is>
      </c>
      <c r="E193" t="inlineStr">
        <is>
          <t>TORSBY</t>
        </is>
      </c>
      <c r="G193" t="n">
        <v>4.5</v>
      </c>
      <c r="H193" t="n">
        <v>0</v>
      </c>
      <c r="I193" t="n">
        <v>0</v>
      </c>
      <c r="J193" t="n">
        <v>0</v>
      </c>
      <c r="K193" t="n">
        <v>0</v>
      </c>
      <c r="L193" t="n">
        <v>0</v>
      </c>
      <c r="M193" t="n">
        <v>0</v>
      </c>
      <c r="N193" t="n">
        <v>0</v>
      </c>
      <c r="O193" t="n">
        <v>0</v>
      </c>
      <c r="P193" t="n">
        <v>0</v>
      </c>
      <c r="Q193" t="n">
        <v>0</v>
      </c>
      <c r="R193" s="2" t="inlineStr"/>
    </row>
    <row r="194" ht="15" customHeight="1">
      <c r="A194" t="inlineStr">
        <is>
          <t>A 22416-2019</t>
        </is>
      </c>
      <c r="B194" s="1" t="n">
        <v>43587</v>
      </c>
      <c r="C194" s="1" t="n">
        <v>45712</v>
      </c>
      <c r="D194" t="inlineStr">
        <is>
          <t>VÄRMLANDS LÄN</t>
        </is>
      </c>
      <c r="E194" t="inlineStr">
        <is>
          <t>TORSBY</t>
        </is>
      </c>
      <c r="G194" t="n">
        <v>1.9</v>
      </c>
      <c r="H194" t="n">
        <v>0</v>
      </c>
      <c r="I194" t="n">
        <v>0</v>
      </c>
      <c r="J194" t="n">
        <v>0</v>
      </c>
      <c r="K194" t="n">
        <v>0</v>
      </c>
      <c r="L194" t="n">
        <v>0</v>
      </c>
      <c r="M194" t="n">
        <v>0</v>
      </c>
      <c r="N194" t="n">
        <v>0</v>
      </c>
      <c r="O194" t="n">
        <v>0</v>
      </c>
      <c r="P194" t="n">
        <v>0</v>
      </c>
      <c r="Q194" t="n">
        <v>0</v>
      </c>
      <c r="R194" s="2" t="inlineStr"/>
    </row>
    <row r="195" ht="15" customHeight="1">
      <c r="A195" t="inlineStr">
        <is>
          <t>A 22351-2019</t>
        </is>
      </c>
      <c r="B195" s="1" t="n">
        <v>43587</v>
      </c>
      <c r="C195" s="1" t="n">
        <v>45712</v>
      </c>
      <c r="D195" t="inlineStr">
        <is>
          <t>VÄRMLANDS LÄN</t>
        </is>
      </c>
      <c r="E195" t="inlineStr">
        <is>
          <t>TORSBY</t>
        </is>
      </c>
      <c r="G195" t="n">
        <v>4.3</v>
      </c>
      <c r="H195" t="n">
        <v>0</v>
      </c>
      <c r="I195" t="n">
        <v>0</v>
      </c>
      <c r="J195" t="n">
        <v>0</v>
      </c>
      <c r="K195" t="n">
        <v>0</v>
      </c>
      <c r="L195" t="n">
        <v>0</v>
      </c>
      <c r="M195" t="n">
        <v>0</v>
      </c>
      <c r="N195" t="n">
        <v>0</v>
      </c>
      <c r="O195" t="n">
        <v>0</v>
      </c>
      <c r="P195" t="n">
        <v>0</v>
      </c>
      <c r="Q195" t="n">
        <v>0</v>
      </c>
      <c r="R195" s="2" t="inlineStr"/>
    </row>
    <row r="196" ht="15" customHeight="1">
      <c r="A196" t="inlineStr">
        <is>
          <t>A 22692-2019</t>
        </is>
      </c>
      <c r="B196" s="1" t="n">
        <v>43588</v>
      </c>
      <c r="C196" s="1" t="n">
        <v>45712</v>
      </c>
      <c r="D196" t="inlineStr">
        <is>
          <t>VÄRMLANDS LÄN</t>
        </is>
      </c>
      <c r="E196" t="inlineStr">
        <is>
          <t>TORSBY</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22717-2019</t>
        </is>
      </c>
      <c r="B197" s="1" t="n">
        <v>43588</v>
      </c>
      <c r="C197" s="1" t="n">
        <v>45712</v>
      </c>
      <c r="D197" t="inlineStr">
        <is>
          <t>VÄRMLANDS LÄN</t>
        </is>
      </c>
      <c r="E197" t="inlineStr">
        <is>
          <t>TORSBY</t>
        </is>
      </c>
      <c r="G197" t="n">
        <v>8</v>
      </c>
      <c r="H197" t="n">
        <v>0</v>
      </c>
      <c r="I197" t="n">
        <v>0</v>
      </c>
      <c r="J197" t="n">
        <v>0</v>
      </c>
      <c r="K197" t="n">
        <v>0</v>
      </c>
      <c r="L197" t="n">
        <v>0</v>
      </c>
      <c r="M197" t="n">
        <v>0</v>
      </c>
      <c r="N197" t="n">
        <v>0</v>
      </c>
      <c r="O197" t="n">
        <v>0</v>
      </c>
      <c r="P197" t="n">
        <v>0</v>
      </c>
      <c r="Q197" t="n">
        <v>0</v>
      </c>
      <c r="R197" s="2" t="inlineStr"/>
    </row>
    <row r="198" ht="15" customHeight="1">
      <c r="A198" t="inlineStr">
        <is>
          <t>A 23412-2019</t>
        </is>
      </c>
      <c r="B198" s="1" t="n">
        <v>43593</v>
      </c>
      <c r="C198" s="1" t="n">
        <v>45712</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23892-2019</t>
        </is>
      </c>
      <c r="B199" s="1" t="n">
        <v>43595</v>
      </c>
      <c r="C199" s="1" t="n">
        <v>45712</v>
      </c>
      <c r="D199" t="inlineStr">
        <is>
          <t>VÄRMLANDS LÄN</t>
        </is>
      </c>
      <c r="E199" t="inlineStr">
        <is>
          <t>TORSBY</t>
        </is>
      </c>
      <c r="G199" t="n">
        <v>1.8</v>
      </c>
      <c r="H199" t="n">
        <v>0</v>
      </c>
      <c r="I199" t="n">
        <v>0</v>
      </c>
      <c r="J199" t="n">
        <v>0</v>
      </c>
      <c r="K199" t="n">
        <v>0</v>
      </c>
      <c r="L199" t="n">
        <v>0</v>
      </c>
      <c r="M199" t="n">
        <v>0</v>
      </c>
      <c r="N199" t="n">
        <v>0</v>
      </c>
      <c r="O199" t="n">
        <v>0</v>
      </c>
      <c r="P199" t="n">
        <v>0</v>
      </c>
      <c r="Q199" t="n">
        <v>0</v>
      </c>
      <c r="R199" s="2" t="inlineStr"/>
    </row>
    <row r="200" ht="15" customHeight="1">
      <c r="A200" t="inlineStr">
        <is>
          <t>A 23771-2019</t>
        </is>
      </c>
      <c r="B200" s="1" t="n">
        <v>43595</v>
      </c>
      <c r="C200" s="1" t="n">
        <v>45712</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24667-2019</t>
        </is>
      </c>
      <c r="B201" s="1" t="n">
        <v>43599</v>
      </c>
      <c r="C201" s="1" t="n">
        <v>45712</v>
      </c>
      <c r="D201" t="inlineStr">
        <is>
          <t>VÄRMLANDS LÄN</t>
        </is>
      </c>
      <c r="E201" t="inlineStr">
        <is>
          <t>TORSBY</t>
        </is>
      </c>
      <c r="G201" t="n">
        <v>6.7</v>
      </c>
      <c r="H201" t="n">
        <v>0</v>
      </c>
      <c r="I201" t="n">
        <v>0</v>
      </c>
      <c r="J201" t="n">
        <v>0</v>
      </c>
      <c r="K201" t="n">
        <v>0</v>
      </c>
      <c r="L201" t="n">
        <v>0</v>
      </c>
      <c r="M201" t="n">
        <v>0</v>
      </c>
      <c r="N201" t="n">
        <v>0</v>
      </c>
      <c r="O201" t="n">
        <v>0</v>
      </c>
      <c r="P201" t="n">
        <v>0</v>
      </c>
      <c r="Q201" t="n">
        <v>0</v>
      </c>
      <c r="R201" s="2" t="inlineStr"/>
    </row>
    <row r="202" ht="15" customHeight="1">
      <c r="A202" t="inlineStr">
        <is>
          <t>A 24703-2019</t>
        </is>
      </c>
      <c r="B202" s="1" t="n">
        <v>43601</v>
      </c>
      <c r="C202" s="1" t="n">
        <v>45712</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26493-2019</t>
        </is>
      </c>
      <c r="B203" s="1" t="n">
        <v>43612</v>
      </c>
      <c r="C203" s="1" t="n">
        <v>45712</v>
      </c>
      <c r="D203" t="inlineStr">
        <is>
          <t>VÄRMLANDS LÄN</t>
        </is>
      </c>
      <c r="E203" t="inlineStr">
        <is>
          <t>TORSBY</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27907-2019</t>
        </is>
      </c>
      <c r="B204" s="1" t="n">
        <v>43612</v>
      </c>
      <c r="C204" s="1" t="n">
        <v>45712</v>
      </c>
      <c r="D204" t="inlineStr">
        <is>
          <t>VÄRMLANDS LÄN</t>
        </is>
      </c>
      <c r="E204" t="inlineStr">
        <is>
          <t>TORSBY</t>
        </is>
      </c>
      <c r="G204" t="n">
        <v>7.5</v>
      </c>
      <c r="H204" t="n">
        <v>0</v>
      </c>
      <c r="I204" t="n">
        <v>0</v>
      </c>
      <c r="J204" t="n">
        <v>0</v>
      </c>
      <c r="K204" t="n">
        <v>0</v>
      </c>
      <c r="L204" t="n">
        <v>0</v>
      </c>
      <c r="M204" t="n">
        <v>0</v>
      </c>
      <c r="N204" t="n">
        <v>0</v>
      </c>
      <c r="O204" t="n">
        <v>0</v>
      </c>
      <c r="P204" t="n">
        <v>0</v>
      </c>
      <c r="Q204" t="n">
        <v>0</v>
      </c>
      <c r="R204" s="2" t="inlineStr"/>
    </row>
    <row r="205" ht="15" customHeight="1">
      <c r="A205" t="inlineStr">
        <is>
          <t>A 26783-2019</t>
        </is>
      </c>
      <c r="B205" s="1" t="n">
        <v>43613</v>
      </c>
      <c r="C205" s="1" t="n">
        <v>45712</v>
      </c>
      <c r="D205" t="inlineStr">
        <is>
          <t>VÄRMLANDS LÄN</t>
        </is>
      </c>
      <c r="E205" t="inlineStr">
        <is>
          <t>TORSBY</t>
        </is>
      </c>
      <c r="G205" t="n">
        <v>0.6</v>
      </c>
      <c r="H205" t="n">
        <v>0</v>
      </c>
      <c r="I205" t="n">
        <v>0</v>
      </c>
      <c r="J205" t="n">
        <v>0</v>
      </c>
      <c r="K205" t="n">
        <v>0</v>
      </c>
      <c r="L205" t="n">
        <v>0</v>
      </c>
      <c r="M205" t="n">
        <v>0</v>
      </c>
      <c r="N205" t="n">
        <v>0</v>
      </c>
      <c r="O205" t="n">
        <v>0</v>
      </c>
      <c r="P205" t="n">
        <v>0</v>
      </c>
      <c r="Q205" t="n">
        <v>0</v>
      </c>
      <c r="R205" s="2" t="inlineStr"/>
    </row>
    <row r="206" ht="15" customHeight="1">
      <c r="A206" t="inlineStr">
        <is>
          <t>A 27711-2019</t>
        </is>
      </c>
      <c r="B206" s="1" t="n">
        <v>43619</v>
      </c>
      <c r="C206" s="1" t="n">
        <v>45712</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27682-2019</t>
        </is>
      </c>
      <c r="B207" s="1" t="n">
        <v>43619</v>
      </c>
      <c r="C207" s="1" t="n">
        <v>45712</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28975-2019</t>
        </is>
      </c>
      <c r="B208" s="1" t="n">
        <v>43619</v>
      </c>
      <c r="C208" s="1" t="n">
        <v>45712</v>
      </c>
      <c r="D208" t="inlineStr">
        <is>
          <t>VÄRMLANDS LÄN</t>
        </is>
      </c>
      <c r="E208" t="inlineStr">
        <is>
          <t>TORSBY</t>
        </is>
      </c>
      <c r="G208" t="n">
        <v>6.5</v>
      </c>
      <c r="H208" t="n">
        <v>0</v>
      </c>
      <c r="I208" t="n">
        <v>0</v>
      </c>
      <c r="J208" t="n">
        <v>0</v>
      </c>
      <c r="K208" t="n">
        <v>0</v>
      </c>
      <c r="L208" t="n">
        <v>0</v>
      </c>
      <c r="M208" t="n">
        <v>0</v>
      </c>
      <c r="N208" t="n">
        <v>0</v>
      </c>
      <c r="O208" t="n">
        <v>0</v>
      </c>
      <c r="P208" t="n">
        <v>0</v>
      </c>
      <c r="Q208" t="n">
        <v>0</v>
      </c>
      <c r="R208" s="2" t="inlineStr"/>
    </row>
    <row r="209" ht="15" customHeight="1">
      <c r="A209" t="inlineStr">
        <is>
          <t>A 28487-2019</t>
        </is>
      </c>
      <c r="B209" s="1" t="n">
        <v>43621</v>
      </c>
      <c r="C209" s="1" t="n">
        <v>45712</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28653-2019</t>
        </is>
      </c>
      <c r="B210" s="1" t="n">
        <v>43627</v>
      </c>
      <c r="C210" s="1" t="n">
        <v>45712</v>
      </c>
      <c r="D210" t="inlineStr">
        <is>
          <t>VÄRMLANDS LÄN</t>
        </is>
      </c>
      <c r="E210" t="inlineStr">
        <is>
          <t>TORSBY</t>
        </is>
      </c>
      <c r="G210" t="n">
        <v>5.2</v>
      </c>
      <c r="H210" t="n">
        <v>0</v>
      </c>
      <c r="I210" t="n">
        <v>0</v>
      </c>
      <c r="J210" t="n">
        <v>0</v>
      </c>
      <c r="K210" t="n">
        <v>0</v>
      </c>
      <c r="L210" t="n">
        <v>0</v>
      </c>
      <c r="M210" t="n">
        <v>0</v>
      </c>
      <c r="N210" t="n">
        <v>0</v>
      </c>
      <c r="O210" t="n">
        <v>0</v>
      </c>
      <c r="P210" t="n">
        <v>0</v>
      </c>
      <c r="Q210" t="n">
        <v>0</v>
      </c>
      <c r="R210" s="2" t="inlineStr"/>
    </row>
    <row r="211" ht="15" customHeight="1">
      <c r="A211" t="inlineStr">
        <is>
          <t>A 28818-2019</t>
        </is>
      </c>
      <c r="B211" s="1" t="n">
        <v>43627</v>
      </c>
      <c r="C211" s="1" t="n">
        <v>45712</v>
      </c>
      <c r="D211" t="inlineStr">
        <is>
          <t>VÄRMLANDS LÄN</t>
        </is>
      </c>
      <c r="E211" t="inlineStr">
        <is>
          <t>TORSBY</t>
        </is>
      </c>
      <c r="F211" t="inlineStr">
        <is>
          <t>Bergvik skog väst AB</t>
        </is>
      </c>
      <c r="G211" t="n">
        <v>58.6</v>
      </c>
      <c r="H211" t="n">
        <v>0</v>
      </c>
      <c r="I211" t="n">
        <v>0</v>
      </c>
      <c r="J211" t="n">
        <v>0</v>
      </c>
      <c r="K211" t="n">
        <v>0</v>
      </c>
      <c r="L211" t="n">
        <v>0</v>
      </c>
      <c r="M211" t="n">
        <v>0</v>
      </c>
      <c r="N211" t="n">
        <v>0</v>
      </c>
      <c r="O211" t="n">
        <v>0</v>
      </c>
      <c r="P211" t="n">
        <v>0</v>
      </c>
      <c r="Q211" t="n">
        <v>0</v>
      </c>
      <c r="R211" s="2" t="inlineStr"/>
    </row>
    <row r="212" ht="15" customHeight="1">
      <c r="A212" t="inlineStr">
        <is>
          <t>A 28889-2019</t>
        </is>
      </c>
      <c r="B212" s="1" t="n">
        <v>43628</v>
      </c>
      <c r="C212" s="1" t="n">
        <v>45712</v>
      </c>
      <c r="D212" t="inlineStr">
        <is>
          <t>VÄRMLANDS LÄN</t>
        </is>
      </c>
      <c r="E212" t="inlineStr">
        <is>
          <t>TORSBY</t>
        </is>
      </c>
      <c r="G212" t="n">
        <v>2</v>
      </c>
      <c r="H212" t="n">
        <v>0</v>
      </c>
      <c r="I212" t="n">
        <v>0</v>
      </c>
      <c r="J212" t="n">
        <v>0</v>
      </c>
      <c r="K212" t="n">
        <v>0</v>
      </c>
      <c r="L212" t="n">
        <v>0</v>
      </c>
      <c r="M212" t="n">
        <v>0</v>
      </c>
      <c r="N212" t="n">
        <v>0</v>
      </c>
      <c r="O212" t="n">
        <v>0</v>
      </c>
      <c r="P212" t="n">
        <v>0</v>
      </c>
      <c r="Q212" t="n">
        <v>0</v>
      </c>
      <c r="R212" s="2" t="inlineStr"/>
    </row>
    <row r="213" ht="15" customHeight="1">
      <c r="A213" t="inlineStr">
        <is>
          <t>A 29436-2019</t>
        </is>
      </c>
      <c r="B213" s="1" t="n">
        <v>43629</v>
      </c>
      <c r="C213" s="1" t="n">
        <v>45712</v>
      </c>
      <c r="D213" t="inlineStr">
        <is>
          <t>VÄRMLANDS LÄN</t>
        </is>
      </c>
      <c r="E213" t="inlineStr">
        <is>
          <t>TORSBY</t>
        </is>
      </c>
      <c r="F213" t="inlineStr">
        <is>
          <t>Bergvik skog väst AB</t>
        </is>
      </c>
      <c r="G213" t="n">
        <v>33.7</v>
      </c>
      <c r="H213" t="n">
        <v>0</v>
      </c>
      <c r="I213" t="n">
        <v>0</v>
      </c>
      <c r="J213" t="n">
        <v>0</v>
      </c>
      <c r="K213" t="n">
        <v>0</v>
      </c>
      <c r="L213" t="n">
        <v>0</v>
      </c>
      <c r="M213" t="n">
        <v>0</v>
      </c>
      <c r="N213" t="n">
        <v>0</v>
      </c>
      <c r="O213" t="n">
        <v>0</v>
      </c>
      <c r="P213" t="n">
        <v>0</v>
      </c>
      <c r="Q213" t="n">
        <v>0</v>
      </c>
      <c r="R213" s="2" t="inlineStr"/>
    </row>
    <row r="214" ht="15" customHeight="1">
      <c r="A214" t="inlineStr">
        <is>
          <t>A 30031-2019</t>
        </is>
      </c>
      <c r="B214" s="1" t="n">
        <v>43633</v>
      </c>
      <c r="C214" s="1" t="n">
        <v>45712</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30049-2019</t>
        </is>
      </c>
      <c r="B215" s="1" t="n">
        <v>43633</v>
      </c>
      <c r="C215" s="1" t="n">
        <v>45712</v>
      </c>
      <c r="D215" t="inlineStr">
        <is>
          <t>VÄRMLANDS LÄN</t>
        </is>
      </c>
      <c r="E215" t="inlineStr">
        <is>
          <t>TORSBY</t>
        </is>
      </c>
      <c r="G215" t="n">
        <v>7.1</v>
      </c>
      <c r="H215" t="n">
        <v>0</v>
      </c>
      <c r="I215" t="n">
        <v>0</v>
      </c>
      <c r="J215" t="n">
        <v>0</v>
      </c>
      <c r="K215" t="n">
        <v>0</v>
      </c>
      <c r="L215" t="n">
        <v>0</v>
      </c>
      <c r="M215" t="n">
        <v>0</v>
      </c>
      <c r="N215" t="n">
        <v>0</v>
      </c>
      <c r="O215" t="n">
        <v>0</v>
      </c>
      <c r="P215" t="n">
        <v>0</v>
      </c>
      <c r="Q215" t="n">
        <v>0</v>
      </c>
      <c r="R215" s="2" t="inlineStr"/>
    </row>
    <row r="216" ht="15" customHeight="1">
      <c r="A216" t="inlineStr">
        <is>
          <t>A 29984-2019</t>
        </is>
      </c>
      <c r="B216" s="1" t="n">
        <v>43633</v>
      </c>
      <c r="C216" s="1" t="n">
        <v>45712</v>
      </c>
      <c r="D216" t="inlineStr">
        <is>
          <t>VÄRMLANDS LÄN</t>
        </is>
      </c>
      <c r="E216" t="inlineStr">
        <is>
          <t>TORSBY</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30158-2019</t>
        </is>
      </c>
      <c r="B217" s="1" t="n">
        <v>43634</v>
      </c>
      <c r="C217" s="1" t="n">
        <v>45712</v>
      </c>
      <c r="D217" t="inlineStr">
        <is>
          <t>VÄRMLANDS LÄN</t>
        </is>
      </c>
      <c r="E217" t="inlineStr">
        <is>
          <t>TORSBY</t>
        </is>
      </c>
      <c r="G217" t="n">
        <v>3.3</v>
      </c>
      <c r="H217" t="n">
        <v>0</v>
      </c>
      <c r="I217" t="n">
        <v>0</v>
      </c>
      <c r="J217" t="n">
        <v>0</v>
      </c>
      <c r="K217" t="n">
        <v>0</v>
      </c>
      <c r="L217" t="n">
        <v>0</v>
      </c>
      <c r="M217" t="n">
        <v>0</v>
      </c>
      <c r="N217" t="n">
        <v>0</v>
      </c>
      <c r="O217" t="n">
        <v>0</v>
      </c>
      <c r="P217" t="n">
        <v>0</v>
      </c>
      <c r="Q217" t="n">
        <v>0</v>
      </c>
      <c r="R217" s="2" t="inlineStr"/>
    </row>
    <row r="218" ht="15" customHeight="1">
      <c r="A218" t="inlineStr">
        <is>
          <t>A 30596-2019</t>
        </is>
      </c>
      <c r="B218" s="1" t="n">
        <v>43635</v>
      </c>
      <c r="C218" s="1" t="n">
        <v>45712</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30860-2019</t>
        </is>
      </c>
      <c r="B219" s="1" t="n">
        <v>43636</v>
      </c>
      <c r="C219" s="1" t="n">
        <v>45712</v>
      </c>
      <c r="D219" t="inlineStr">
        <is>
          <t>VÄRMLANDS LÄN</t>
        </is>
      </c>
      <c r="E219" t="inlineStr">
        <is>
          <t>TORSBY</t>
        </is>
      </c>
      <c r="G219" t="n">
        <v>11.7</v>
      </c>
      <c r="H219" t="n">
        <v>0</v>
      </c>
      <c r="I219" t="n">
        <v>0</v>
      </c>
      <c r="J219" t="n">
        <v>0</v>
      </c>
      <c r="K219" t="n">
        <v>0</v>
      </c>
      <c r="L219" t="n">
        <v>0</v>
      </c>
      <c r="M219" t="n">
        <v>0</v>
      </c>
      <c r="N219" t="n">
        <v>0</v>
      </c>
      <c r="O219" t="n">
        <v>0</v>
      </c>
      <c r="P219" t="n">
        <v>0</v>
      </c>
      <c r="Q219" t="n">
        <v>0</v>
      </c>
      <c r="R219" s="2" t="inlineStr"/>
    </row>
    <row r="220" ht="15" customHeight="1">
      <c r="A220" t="inlineStr">
        <is>
          <t>A 31109-2019</t>
        </is>
      </c>
      <c r="B220" s="1" t="n">
        <v>43640</v>
      </c>
      <c r="C220" s="1" t="n">
        <v>45712</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31010-2019</t>
        </is>
      </c>
      <c r="B221" s="1" t="n">
        <v>43640</v>
      </c>
      <c r="C221" s="1" t="n">
        <v>45712</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31138-2019</t>
        </is>
      </c>
      <c r="B222" s="1" t="n">
        <v>43640</v>
      </c>
      <c r="C222" s="1" t="n">
        <v>45712</v>
      </c>
      <c r="D222" t="inlineStr">
        <is>
          <t>VÄRMLANDS LÄN</t>
        </is>
      </c>
      <c r="E222" t="inlineStr">
        <is>
          <t>TORSBY</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31543-2019</t>
        </is>
      </c>
      <c r="B223" s="1" t="n">
        <v>43641</v>
      </c>
      <c r="C223" s="1" t="n">
        <v>45712</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31930-2019</t>
        </is>
      </c>
      <c r="B224" s="1" t="n">
        <v>43642</v>
      </c>
      <c r="C224" s="1" t="n">
        <v>45712</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32170-2019</t>
        </is>
      </c>
      <c r="B225" s="1" t="n">
        <v>43643</v>
      </c>
      <c r="C225" s="1" t="n">
        <v>45712</v>
      </c>
      <c r="D225" t="inlineStr">
        <is>
          <t>VÄRMLANDS LÄN</t>
        </is>
      </c>
      <c r="E225" t="inlineStr">
        <is>
          <t>TORSBY</t>
        </is>
      </c>
      <c r="G225" t="n">
        <v>4.6</v>
      </c>
      <c r="H225" t="n">
        <v>0</v>
      </c>
      <c r="I225" t="n">
        <v>0</v>
      </c>
      <c r="J225" t="n">
        <v>0</v>
      </c>
      <c r="K225" t="n">
        <v>0</v>
      </c>
      <c r="L225" t="n">
        <v>0</v>
      </c>
      <c r="M225" t="n">
        <v>0</v>
      </c>
      <c r="N225" t="n">
        <v>0</v>
      </c>
      <c r="O225" t="n">
        <v>0</v>
      </c>
      <c r="P225" t="n">
        <v>0</v>
      </c>
      <c r="Q225" t="n">
        <v>0</v>
      </c>
      <c r="R225" s="2" t="inlineStr"/>
    </row>
    <row r="226" ht="15" customHeight="1">
      <c r="A226" t="inlineStr">
        <is>
          <t>A 32443-2019</t>
        </is>
      </c>
      <c r="B226" s="1" t="n">
        <v>43644</v>
      </c>
      <c r="C226" s="1" t="n">
        <v>45712</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32298-2019</t>
        </is>
      </c>
      <c r="B227" s="1" t="n">
        <v>43644</v>
      </c>
      <c r="C227" s="1" t="n">
        <v>45712</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32468-2019</t>
        </is>
      </c>
      <c r="B228" s="1" t="n">
        <v>43644</v>
      </c>
      <c r="C228" s="1" t="n">
        <v>45712</v>
      </c>
      <c r="D228" t="inlineStr">
        <is>
          <t>VÄRMLANDS LÄN</t>
        </is>
      </c>
      <c r="E228" t="inlineStr">
        <is>
          <t>TORSBY</t>
        </is>
      </c>
      <c r="G228" t="n">
        <v>4.7</v>
      </c>
      <c r="H228" t="n">
        <v>0</v>
      </c>
      <c r="I228" t="n">
        <v>0</v>
      </c>
      <c r="J228" t="n">
        <v>0</v>
      </c>
      <c r="K228" t="n">
        <v>0</v>
      </c>
      <c r="L228" t="n">
        <v>0</v>
      </c>
      <c r="M228" t="n">
        <v>0</v>
      </c>
      <c r="N228" t="n">
        <v>0</v>
      </c>
      <c r="O228" t="n">
        <v>0</v>
      </c>
      <c r="P228" t="n">
        <v>0</v>
      </c>
      <c r="Q228" t="n">
        <v>0</v>
      </c>
      <c r="R228" s="2" t="inlineStr"/>
    </row>
    <row r="229" ht="15" customHeight="1">
      <c r="A229" t="inlineStr">
        <is>
          <t>A 32444-2019</t>
        </is>
      </c>
      <c r="B229" s="1" t="n">
        <v>43644</v>
      </c>
      <c r="C229" s="1" t="n">
        <v>45712</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33918-2019</t>
        </is>
      </c>
      <c r="B230" s="1" t="n">
        <v>43654</v>
      </c>
      <c r="C230" s="1" t="n">
        <v>45712</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35505-2019</t>
        </is>
      </c>
      <c r="B231" s="1" t="n">
        <v>43654</v>
      </c>
      <c r="C231" s="1" t="n">
        <v>45712</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35788-2019</t>
        </is>
      </c>
      <c r="B232" s="1" t="n">
        <v>43656</v>
      </c>
      <c r="C232" s="1" t="n">
        <v>45712</v>
      </c>
      <c r="D232" t="inlineStr">
        <is>
          <t>VÄRMLANDS LÄN</t>
        </is>
      </c>
      <c r="E232" t="inlineStr">
        <is>
          <t>TORSBY</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34541-2019</t>
        </is>
      </c>
      <c r="B233" s="1" t="n">
        <v>43657</v>
      </c>
      <c r="C233" s="1" t="n">
        <v>45712</v>
      </c>
      <c r="D233" t="inlineStr">
        <is>
          <t>VÄRMLANDS LÄN</t>
        </is>
      </c>
      <c r="E233" t="inlineStr">
        <is>
          <t>TORSBY</t>
        </is>
      </c>
      <c r="G233" t="n">
        <v>5.7</v>
      </c>
      <c r="H233" t="n">
        <v>0</v>
      </c>
      <c r="I233" t="n">
        <v>0</v>
      </c>
      <c r="J233" t="n">
        <v>0</v>
      </c>
      <c r="K233" t="n">
        <v>0</v>
      </c>
      <c r="L233" t="n">
        <v>0</v>
      </c>
      <c r="M233" t="n">
        <v>0</v>
      </c>
      <c r="N233" t="n">
        <v>0</v>
      </c>
      <c r="O233" t="n">
        <v>0</v>
      </c>
      <c r="P233" t="n">
        <v>0</v>
      </c>
      <c r="Q233" t="n">
        <v>0</v>
      </c>
      <c r="R233" s="2" t="inlineStr"/>
    </row>
    <row r="234" ht="15" customHeight="1">
      <c r="A234" t="inlineStr">
        <is>
          <t>A 36480-2019</t>
        </is>
      </c>
      <c r="B234" s="1" t="n">
        <v>43668</v>
      </c>
      <c r="C234" s="1" t="n">
        <v>45712</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38010-2019</t>
        </is>
      </c>
      <c r="B235" s="1" t="n">
        <v>43669</v>
      </c>
      <c r="C235" s="1" t="n">
        <v>45712</v>
      </c>
      <c r="D235" t="inlineStr">
        <is>
          <t>VÄRMLANDS LÄN</t>
        </is>
      </c>
      <c r="E235" t="inlineStr">
        <is>
          <t>TORSBY</t>
        </is>
      </c>
      <c r="G235" t="n">
        <v>6.2</v>
      </c>
      <c r="H235" t="n">
        <v>0</v>
      </c>
      <c r="I235" t="n">
        <v>0</v>
      </c>
      <c r="J235" t="n">
        <v>0</v>
      </c>
      <c r="K235" t="n">
        <v>0</v>
      </c>
      <c r="L235" t="n">
        <v>0</v>
      </c>
      <c r="M235" t="n">
        <v>0</v>
      </c>
      <c r="N235" t="n">
        <v>0</v>
      </c>
      <c r="O235" t="n">
        <v>0</v>
      </c>
      <c r="P235" t="n">
        <v>0</v>
      </c>
      <c r="Q235" t="n">
        <v>0</v>
      </c>
      <c r="R235" s="2" t="inlineStr"/>
    </row>
    <row r="236" ht="15" customHeight="1">
      <c r="A236" t="inlineStr">
        <is>
          <t>A 38003-2019</t>
        </is>
      </c>
      <c r="B236" s="1" t="n">
        <v>43669</v>
      </c>
      <c r="C236" s="1" t="n">
        <v>45712</v>
      </c>
      <c r="D236" t="inlineStr">
        <is>
          <t>VÄRMLANDS LÄN</t>
        </is>
      </c>
      <c r="E236" t="inlineStr">
        <is>
          <t>TORSBY</t>
        </is>
      </c>
      <c r="G236" t="n">
        <v>3.1</v>
      </c>
      <c r="H236" t="n">
        <v>0</v>
      </c>
      <c r="I236" t="n">
        <v>0</v>
      </c>
      <c r="J236" t="n">
        <v>0</v>
      </c>
      <c r="K236" t="n">
        <v>0</v>
      </c>
      <c r="L236" t="n">
        <v>0</v>
      </c>
      <c r="M236" t="n">
        <v>0</v>
      </c>
      <c r="N236" t="n">
        <v>0</v>
      </c>
      <c r="O236" t="n">
        <v>0</v>
      </c>
      <c r="P236" t="n">
        <v>0</v>
      </c>
      <c r="Q236" t="n">
        <v>0</v>
      </c>
      <c r="R236" s="2" t="inlineStr"/>
    </row>
    <row r="237" ht="15" customHeight="1">
      <c r="A237" t="inlineStr">
        <is>
          <t>A 36712-2019</t>
        </is>
      </c>
      <c r="B237" s="1" t="n">
        <v>43669</v>
      </c>
      <c r="C237" s="1" t="n">
        <v>45712</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36682-2019</t>
        </is>
      </c>
      <c r="B238" s="1" t="n">
        <v>43670</v>
      </c>
      <c r="C238" s="1" t="n">
        <v>45712</v>
      </c>
      <c r="D238" t="inlineStr">
        <is>
          <t>VÄRMLANDS LÄN</t>
        </is>
      </c>
      <c r="E238" t="inlineStr">
        <is>
          <t>TORSBY</t>
        </is>
      </c>
      <c r="G238" t="n">
        <v>8.1</v>
      </c>
      <c r="H238" t="n">
        <v>0</v>
      </c>
      <c r="I238" t="n">
        <v>0</v>
      </c>
      <c r="J238" t="n">
        <v>0</v>
      </c>
      <c r="K238" t="n">
        <v>0</v>
      </c>
      <c r="L238" t="n">
        <v>0</v>
      </c>
      <c r="M238" t="n">
        <v>0</v>
      </c>
      <c r="N238" t="n">
        <v>0</v>
      </c>
      <c r="O238" t="n">
        <v>0</v>
      </c>
      <c r="P238" t="n">
        <v>0</v>
      </c>
      <c r="Q238" t="n">
        <v>0</v>
      </c>
      <c r="R238" s="2" t="inlineStr"/>
    </row>
    <row r="239" ht="15" customHeight="1">
      <c r="A239" t="inlineStr">
        <is>
          <t>A 36734-2019</t>
        </is>
      </c>
      <c r="B239" s="1" t="n">
        <v>43672</v>
      </c>
      <c r="C239" s="1" t="n">
        <v>45712</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36820-2019</t>
        </is>
      </c>
      <c r="B240" s="1" t="n">
        <v>43673</v>
      </c>
      <c r="C240" s="1" t="n">
        <v>45712</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37005-2019</t>
        </is>
      </c>
      <c r="B241" s="1" t="n">
        <v>43676</v>
      </c>
      <c r="C241" s="1" t="n">
        <v>45712</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37719-2019</t>
        </is>
      </c>
      <c r="B242" s="1" t="n">
        <v>43682</v>
      </c>
      <c r="C242" s="1" t="n">
        <v>45712</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38068-2019</t>
        </is>
      </c>
      <c r="B243" s="1" t="n">
        <v>43683</v>
      </c>
      <c r="C243" s="1" t="n">
        <v>45712</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38265-2019</t>
        </is>
      </c>
      <c r="B244" s="1" t="n">
        <v>43684</v>
      </c>
      <c r="C244" s="1" t="n">
        <v>45712</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39213-2019</t>
        </is>
      </c>
      <c r="B245" s="1" t="n">
        <v>43690</v>
      </c>
      <c r="C245" s="1" t="n">
        <v>45712</v>
      </c>
      <c r="D245" t="inlineStr">
        <is>
          <t>VÄRMLANDS LÄN</t>
        </is>
      </c>
      <c r="E245" t="inlineStr">
        <is>
          <t>TORSBY</t>
        </is>
      </c>
      <c r="G245" t="n">
        <v>1.8</v>
      </c>
      <c r="H245" t="n">
        <v>0</v>
      </c>
      <c r="I245" t="n">
        <v>0</v>
      </c>
      <c r="J245" t="n">
        <v>0</v>
      </c>
      <c r="K245" t="n">
        <v>0</v>
      </c>
      <c r="L245" t="n">
        <v>0</v>
      </c>
      <c r="M245" t="n">
        <v>0</v>
      </c>
      <c r="N245" t="n">
        <v>0</v>
      </c>
      <c r="O245" t="n">
        <v>0</v>
      </c>
      <c r="P245" t="n">
        <v>0</v>
      </c>
      <c r="Q245" t="n">
        <v>0</v>
      </c>
      <c r="R245" s="2" t="inlineStr"/>
    </row>
    <row r="246" ht="15" customHeight="1">
      <c r="A246" t="inlineStr">
        <is>
          <t>A 40632-2019</t>
        </is>
      </c>
      <c r="B246" s="1" t="n">
        <v>43696</v>
      </c>
      <c r="C246" s="1" t="n">
        <v>45712</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40589-2019</t>
        </is>
      </c>
      <c r="B247" s="1" t="n">
        <v>43696</v>
      </c>
      <c r="C247" s="1" t="n">
        <v>45712</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40810-2019</t>
        </is>
      </c>
      <c r="B248" s="1" t="n">
        <v>43697</v>
      </c>
      <c r="C248" s="1" t="n">
        <v>45712</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41698-2019</t>
        </is>
      </c>
      <c r="B249" s="1" t="n">
        <v>43697</v>
      </c>
      <c r="C249" s="1" t="n">
        <v>45712</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42441-2019</t>
        </is>
      </c>
      <c r="B250" s="1" t="n">
        <v>43697</v>
      </c>
      <c r="C250" s="1" t="n">
        <v>45712</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41436-2019</t>
        </is>
      </c>
      <c r="B251" s="1" t="n">
        <v>43698</v>
      </c>
      <c r="C251" s="1" t="n">
        <v>45712</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41435-2019</t>
        </is>
      </c>
      <c r="B252" s="1" t="n">
        <v>43698</v>
      </c>
      <c r="C252" s="1" t="n">
        <v>45712</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41438-2019</t>
        </is>
      </c>
      <c r="B253" s="1" t="n">
        <v>43698</v>
      </c>
      <c r="C253" s="1" t="n">
        <v>45712</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41621-2019</t>
        </is>
      </c>
      <c r="B254" s="1" t="n">
        <v>43699</v>
      </c>
      <c r="C254" s="1" t="n">
        <v>45712</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42230-2019</t>
        </is>
      </c>
      <c r="B255" s="1" t="n">
        <v>43703</v>
      </c>
      <c r="C255" s="1" t="n">
        <v>45712</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43273-2019</t>
        </is>
      </c>
      <c r="B256" s="1" t="n">
        <v>43704</v>
      </c>
      <c r="C256" s="1" t="n">
        <v>45712</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43897-2019</t>
        </is>
      </c>
      <c r="B257" s="1" t="n">
        <v>43707</v>
      </c>
      <c r="C257" s="1" t="n">
        <v>45712</v>
      </c>
      <c r="D257" t="inlineStr">
        <is>
          <t>VÄRMLANDS LÄN</t>
        </is>
      </c>
      <c r="E257" t="inlineStr">
        <is>
          <t>TORSBY</t>
        </is>
      </c>
      <c r="G257" t="n">
        <v>3.2</v>
      </c>
      <c r="H257" t="n">
        <v>0</v>
      </c>
      <c r="I257" t="n">
        <v>0</v>
      </c>
      <c r="J257" t="n">
        <v>0</v>
      </c>
      <c r="K257" t="n">
        <v>0</v>
      </c>
      <c r="L257" t="n">
        <v>0</v>
      </c>
      <c r="M257" t="n">
        <v>0</v>
      </c>
      <c r="N257" t="n">
        <v>0</v>
      </c>
      <c r="O257" t="n">
        <v>0</v>
      </c>
      <c r="P257" t="n">
        <v>0</v>
      </c>
      <c r="Q257" t="n">
        <v>0</v>
      </c>
      <c r="R257" s="2" t="inlineStr"/>
    </row>
    <row r="258" ht="15" customHeight="1">
      <c r="A258" t="inlineStr">
        <is>
          <t>A 44832-2019</t>
        </is>
      </c>
      <c r="B258" s="1" t="n">
        <v>43707</v>
      </c>
      <c r="C258" s="1" t="n">
        <v>45712</v>
      </c>
      <c r="D258" t="inlineStr">
        <is>
          <t>VÄRMLANDS LÄN</t>
        </is>
      </c>
      <c r="E258" t="inlineStr">
        <is>
          <t>TORSBY</t>
        </is>
      </c>
      <c r="G258" t="n">
        <v>27.1</v>
      </c>
      <c r="H258" t="n">
        <v>0</v>
      </c>
      <c r="I258" t="n">
        <v>0</v>
      </c>
      <c r="J258" t="n">
        <v>0</v>
      </c>
      <c r="K258" t="n">
        <v>0</v>
      </c>
      <c r="L258" t="n">
        <v>0</v>
      </c>
      <c r="M258" t="n">
        <v>0</v>
      </c>
      <c r="N258" t="n">
        <v>0</v>
      </c>
      <c r="O258" t="n">
        <v>0</v>
      </c>
      <c r="P258" t="n">
        <v>0</v>
      </c>
      <c r="Q258" t="n">
        <v>0</v>
      </c>
      <c r="R258" s="2" t="inlineStr"/>
    </row>
    <row r="259" ht="15" customHeight="1">
      <c r="A259" t="inlineStr">
        <is>
          <t>A 44708-2019</t>
        </is>
      </c>
      <c r="B259" s="1" t="n">
        <v>43712</v>
      </c>
      <c r="C259" s="1" t="n">
        <v>45712</v>
      </c>
      <c r="D259" t="inlineStr">
        <is>
          <t>VÄRMLANDS LÄN</t>
        </is>
      </c>
      <c r="E259" t="inlineStr">
        <is>
          <t>TORSBY</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44706-2019</t>
        </is>
      </c>
      <c r="B260" s="1" t="n">
        <v>43712</v>
      </c>
      <c r="C260" s="1" t="n">
        <v>45712</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45053-2019</t>
        </is>
      </c>
      <c r="B261" s="1" t="n">
        <v>43713</v>
      </c>
      <c r="C261" s="1" t="n">
        <v>45712</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45083-2019</t>
        </is>
      </c>
      <c r="B262" s="1" t="n">
        <v>43713</v>
      </c>
      <c r="C262" s="1" t="n">
        <v>45712</v>
      </c>
      <c r="D262" t="inlineStr">
        <is>
          <t>VÄRMLANDS LÄN</t>
        </is>
      </c>
      <c r="E262" t="inlineStr">
        <is>
          <t>TORSBY</t>
        </is>
      </c>
      <c r="F262" t="inlineStr">
        <is>
          <t>Bergvik skog väst AB</t>
        </is>
      </c>
      <c r="G262" t="n">
        <v>37.8</v>
      </c>
      <c r="H262" t="n">
        <v>0</v>
      </c>
      <c r="I262" t="n">
        <v>0</v>
      </c>
      <c r="J262" t="n">
        <v>0</v>
      </c>
      <c r="K262" t="n">
        <v>0</v>
      </c>
      <c r="L262" t="n">
        <v>0</v>
      </c>
      <c r="M262" t="n">
        <v>0</v>
      </c>
      <c r="N262" t="n">
        <v>0</v>
      </c>
      <c r="O262" t="n">
        <v>0</v>
      </c>
      <c r="P262" t="n">
        <v>0</v>
      </c>
      <c r="Q262" t="n">
        <v>0</v>
      </c>
      <c r="R262" s="2" t="inlineStr"/>
    </row>
    <row r="263" ht="15" customHeight="1">
      <c r="A263" t="inlineStr">
        <is>
          <t>A 45189-2019</t>
        </is>
      </c>
      <c r="B263" s="1" t="n">
        <v>43713</v>
      </c>
      <c r="C263" s="1" t="n">
        <v>45712</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45068-2019</t>
        </is>
      </c>
      <c r="B264" s="1" t="n">
        <v>43713</v>
      </c>
      <c r="C264" s="1" t="n">
        <v>45712</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45891-2019</t>
        </is>
      </c>
      <c r="B265" s="1" t="n">
        <v>43717</v>
      </c>
      <c r="C265" s="1" t="n">
        <v>45712</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46738-2019</t>
        </is>
      </c>
      <c r="B266" s="1" t="n">
        <v>43719</v>
      </c>
      <c r="C266" s="1" t="n">
        <v>45712</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46743-2019</t>
        </is>
      </c>
      <c r="B267" s="1" t="n">
        <v>43719</v>
      </c>
      <c r="C267" s="1" t="n">
        <v>45712</v>
      </c>
      <c r="D267" t="inlineStr">
        <is>
          <t>VÄRMLANDS LÄN</t>
        </is>
      </c>
      <c r="E267" t="inlineStr">
        <is>
          <t>TORSBY</t>
        </is>
      </c>
      <c r="G267" t="n">
        <v>7</v>
      </c>
      <c r="H267" t="n">
        <v>0</v>
      </c>
      <c r="I267" t="n">
        <v>0</v>
      </c>
      <c r="J267" t="n">
        <v>0</v>
      </c>
      <c r="K267" t="n">
        <v>0</v>
      </c>
      <c r="L267" t="n">
        <v>0</v>
      </c>
      <c r="M267" t="n">
        <v>0</v>
      </c>
      <c r="N267" t="n">
        <v>0</v>
      </c>
      <c r="O267" t="n">
        <v>0</v>
      </c>
      <c r="P267" t="n">
        <v>0</v>
      </c>
      <c r="Q267" t="n">
        <v>0</v>
      </c>
      <c r="R267" s="2" t="inlineStr"/>
    </row>
    <row r="268" ht="15" customHeight="1">
      <c r="A268" t="inlineStr">
        <is>
          <t>A 47114-2019</t>
        </is>
      </c>
      <c r="B268" s="1" t="n">
        <v>43720</v>
      </c>
      <c r="C268" s="1" t="n">
        <v>45712</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47214-2019</t>
        </is>
      </c>
      <c r="B269" s="1" t="n">
        <v>43721</v>
      </c>
      <c r="C269" s="1" t="n">
        <v>45712</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47137-2019</t>
        </is>
      </c>
      <c r="B270" s="1" t="n">
        <v>43721</v>
      </c>
      <c r="C270" s="1" t="n">
        <v>45712</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47316-2019</t>
        </is>
      </c>
      <c r="B271" s="1" t="n">
        <v>43721</v>
      </c>
      <c r="C271" s="1" t="n">
        <v>45712</v>
      </c>
      <c r="D271" t="inlineStr">
        <is>
          <t>VÄRMLANDS LÄN</t>
        </is>
      </c>
      <c r="E271" t="inlineStr">
        <is>
          <t>TORSBY</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47608-2019</t>
        </is>
      </c>
      <c r="B272" s="1" t="n">
        <v>43724</v>
      </c>
      <c r="C272" s="1" t="n">
        <v>45712</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47772-2019</t>
        </is>
      </c>
      <c r="B273" s="1" t="n">
        <v>43724</v>
      </c>
      <c r="C273" s="1" t="n">
        <v>45712</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47648-2019</t>
        </is>
      </c>
      <c r="B274" s="1" t="n">
        <v>43724</v>
      </c>
      <c r="C274" s="1" t="n">
        <v>45712</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47502-2019</t>
        </is>
      </c>
      <c r="B275" s="1" t="n">
        <v>43724</v>
      </c>
      <c r="C275" s="1" t="n">
        <v>45712</v>
      </c>
      <c r="D275" t="inlineStr">
        <is>
          <t>VÄRMLANDS LÄN</t>
        </is>
      </c>
      <c r="E275" t="inlineStr">
        <is>
          <t>TORSBY</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47869-2019</t>
        </is>
      </c>
      <c r="B276" s="1" t="n">
        <v>43725</v>
      </c>
      <c r="C276" s="1" t="n">
        <v>45712</v>
      </c>
      <c r="D276" t="inlineStr">
        <is>
          <t>VÄRMLANDS LÄN</t>
        </is>
      </c>
      <c r="E276" t="inlineStr">
        <is>
          <t>TORSBY</t>
        </is>
      </c>
      <c r="G276" t="n">
        <v>4.7</v>
      </c>
      <c r="H276" t="n">
        <v>0</v>
      </c>
      <c r="I276" t="n">
        <v>0</v>
      </c>
      <c r="J276" t="n">
        <v>0</v>
      </c>
      <c r="K276" t="n">
        <v>0</v>
      </c>
      <c r="L276" t="n">
        <v>0</v>
      </c>
      <c r="M276" t="n">
        <v>0</v>
      </c>
      <c r="N276" t="n">
        <v>0</v>
      </c>
      <c r="O276" t="n">
        <v>0</v>
      </c>
      <c r="P276" t="n">
        <v>0</v>
      </c>
      <c r="Q276" t="n">
        <v>0</v>
      </c>
      <c r="R276" s="2" t="inlineStr"/>
    </row>
    <row r="277" ht="15" customHeight="1">
      <c r="A277" t="inlineStr">
        <is>
          <t>A 47979-2019</t>
        </is>
      </c>
      <c r="B277" s="1" t="n">
        <v>43725</v>
      </c>
      <c r="C277" s="1" t="n">
        <v>45712</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48040-2019</t>
        </is>
      </c>
      <c r="B278" s="1" t="n">
        <v>43725</v>
      </c>
      <c r="C278" s="1" t="n">
        <v>45712</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48346-2019</t>
        </is>
      </c>
      <c r="B279" s="1" t="n">
        <v>43726</v>
      </c>
      <c r="C279" s="1" t="n">
        <v>45712</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48366-2019</t>
        </is>
      </c>
      <c r="B280" s="1" t="n">
        <v>43726</v>
      </c>
      <c r="C280" s="1" t="n">
        <v>45712</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49550-2019</t>
        </is>
      </c>
      <c r="B281" s="1" t="n">
        <v>43727</v>
      </c>
      <c r="C281" s="1" t="n">
        <v>45712</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51497-2019</t>
        </is>
      </c>
      <c r="B282" s="1" t="n">
        <v>43734</v>
      </c>
      <c r="C282" s="1" t="n">
        <v>45712</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50428-2019</t>
        </is>
      </c>
      <c r="B283" s="1" t="n">
        <v>43735</v>
      </c>
      <c r="C283" s="1" t="n">
        <v>45712</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52319-2019</t>
        </is>
      </c>
      <c r="B284" s="1" t="n">
        <v>43735</v>
      </c>
      <c r="C284" s="1" t="n">
        <v>45712</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52326-2019</t>
        </is>
      </c>
      <c r="B285" s="1" t="n">
        <v>43735</v>
      </c>
      <c r="C285" s="1" t="n">
        <v>45712</v>
      </c>
      <c r="D285" t="inlineStr">
        <is>
          <t>VÄRMLANDS LÄN</t>
        </is>
      </c>
      <c r="E285" t="inlineStr">
        <is>
          <t>TORSBY</t>
        </is>
      </c>
      <c r="G285" t="n">
        <v>6.2</v>
      </c>
      <c r="H285" t="n">
        <v>0</v>
      </c>
      <c r="I285" t="n">
        <v>0</v>
      </c>
      <c r="J285" t="n">
        <v>0</v>
      </c>
      <c r="K285" t="n">
        <v>0</v>
      </c>
      <c r="L285" t="n">
        <v>0</v>
      </c>
      <c r="M285" t="n">
        <v>0</v>
      </c>
      <c r="N285" t="n">
        <v>0</v>
      </c>
      <c r="O285" t="n">
        <v>0</v>
      </c>
      <c r="P285" t="n">
        <v>0</v>
      </c>
      <c r="Q285" t="n">
        <v>0</v>
      </c>
      <c r="R285" s="2" t="inlineStr"/>
    </row>
    <row r="286" ht="15" customHeight="1">
      <c r="A286" t="inlineStr">
        <is>
          <t>A 52317-2019</t>
        </is>
      </c>
      <c r="B286" s="1" t="n">
        <v>43735</v>
      </c>
      <c r="C286" s="1" t="n">
        <v>45712</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51254-2019</t>
        </is>
      </c>
      <c r="B287" s="1" t="n">
        <v>43739</v>
      </c>
      <c r="C287" s="1" t="n">
        <v>45712</v>
      </c>
      <c r="D287" t="inlineStr">
        <is>
          <t>VÄRMLANDS LÄN</t>
        </is>
      </c>
      <c r="E287" t="inlineStr">
        <is>
          <t>TORSBY</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52186-2019</t>
        </is>
      </c>
      <c r="B288" s="1" t="n">
        <v>43742</v>
      </c>
      <c r="C288" s="1" t="n">
        <v>45712</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52311-2019</t>
        </is>
      </c>
      <c r="B289" s="1" t="n">
        <v>43745</v>
      </c>
      <c r="C289" s="1" t="n">
        <v>45712</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52674-2019</t>
        </is>
      </c>
      <c r="B290" s="1" t="n">
        <v>43746</v>
      </c>
      <c r="C290" s="1" t="n">
        <v>45712</v>
      </c>
      <c r="D290" t="inlineStr">
        <is>
          <t>VÄRMLANDS LÄN</t>
        </is>
      </c>
      <c r="E290" t="inlineStr">
        <is>
          <t>TORSBY</t>
        </is>
      </c>
      <c r="F290" t="inlineStr">
        <is>
          <t>Bergvik skog väst AB</t>
        </is>
      </c>
      <c r="G290" t="n">
        <v>26.4</v>
      </c>
      <c r="H290" t="n">
        <v>0</v>
      </c>
      <c r="I290" t="n">
        <v>0</v>
      </c>
      <c r="J290" t="n">
        <v>0</v>
      </c>
      <c r="K290" t="n">
        <v>0</v>
      </c>
      <c r="L290" t="n">
        <v>0</v>
      </c>
      <c r="M290" t="n">
        <v>0</v>
      </c>
      <c r="N290" t="n">
        <v>0</v>
      </c>
      <c r="O290" t="n">
        <v>0</v>
      </c>
      <c r="P290" t="n">
        <v>0</v>
      </c>
      <c r="Q290" t="n">
        <v>0</v>
      </c>
      <c r="R290" s="2" t="inlineStr"/>
    </row>
    <row r="291" ht="15" customHeight="1">
      <c r="A291" t="inlineStr">
        <is>
          <t>A 52885-2019</t>
        </is>
      </c>
      <c r="B291" s="1" t="n">
        <v>43746</v>
      </c>
      <c r="C291" s="1" t="n">
        <v>45712</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53271-2019</t>
        </is>
      </c>
      <c r="B292" s="1" t="n">
        <v>43748</v>
      </c>
      <c r="C292" s="1" t="n">
        <v>45712</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54764-2019</t>
        </is>
      </c>
      <c r="B293" s="1" t="n">
        <v>43748</v>
      </c>
      <c r="C293" s="1" t="n">
        <v>45712</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53635-2019</t>
        </is>
      </c>
      <c r="B294" s="1" t="n">
        <v>43749</v>
      </c>
      <c r="C294" s="1" t="n">
        <v>45712</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53746-2019</t>
        </is>
      </c>
      <c r="B295" s="1" t="n">
        <v>43749</v>
      </c>
      <c r="C295" s="1" t="n">
        <v>45712</v>
      </c>
      <c r="D295" t="inlineStr">
        <is>
          <t>VÄRMLANDS LÄN</t>
        </is>
      </c>
      <c r="E295" t="inlineStr">
        <is>
          <t>TORSBY</t>
        </is>
      </c>
      <c r="G295" t="n">
        <v>0.3</v>
      </c>
      <c r="H295" t="n">
        <v>0</v>
      </c>
      <c r="I295" t="n">
        <v>0</v>
      </c>
      <c r="J295" t="n">
        <v>0</v>
      </c>
      <c r="K295" t="n">
        <v>0</v>
      </c>
      <c r="L295" t="n">
        <v>0</v>
      </c>
      <c r="M295" t="n">
        <v>0</v>
      </c>
      <c r="N295" t="n">
        <v>0</v>
      </c>
      <c r="O295" t="n">
        <v>0</v>
      </c>
      <c r="P295" t="n">
        <v>0</v>
      </c>
      <c r="Q295" t="n">
        <v>0</v>
      </c>
      <c r="R295" s="2" t="inlineStr"/>
    </row>
    <row r="296" ht="15" customHeight="1">
      <c r="A296" t="inlineStr">
        <is>
          <t>A 53744-2019</t>
        </is>
      </c>
      <c r="B296" s="1" t="n">
        <v>43749</v>
      </c>
      <c r="C296" s="1" t="n">
        <v>45712</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54437-2019</t>
        </is>
      </c>
      <c r="B297" s="1" t="n">
        <v>43754</v>
      </c>
      <c r="C297" s="1" t="n">
        <v>45712</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56256-2019</t>
        </is>
      </c>
      <c r="B298" s="1" t="n">
        <v>43756</v>
      </c>
      <c r="C298" s="1" t="n">
        <v>45712</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55988-2019</t>
        </is>
      </c>
      <c r="B299" s="1" t="n">
        <v>43759</v>
      </c>
      <c r="C299" s="1" t="n">
        <v>45712</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56704-2019</t>
        </is>
      </c>
      <c r="B300" s="1" t="n">
        <v>43759</v>
      </c>
      <c r="C300" s="1" t="n">
        <v>45712</v>
      </c>
      <c r="D300" t="inlineStr">
        <is>
          <t>VÄRMLANDS LÄN</t>
        </is>
      </c>
      <c r="E300" t="inlineStr">
        <is>
          <t>TORSBY</t>
        </is>
      </c>
      <c r="G300" t="n">
        <v>2.6</v>
      </c>
      <c r="H300" t="n">
        <v>0</v>
      </c>
      <c r="I300" t="n">
        <v>0</v>
      </c>
      <c r="J300" t="n">
        <v>0</v>
      </c>
      <c r="K300" t="n">
        <v>0</v>
      </c>
      <c r="L300" t="n">
        <v>0</v>
      </c>
      <c r="M300" t="n">
        <v>0</v>
      </c>
      <c r="N300" t="n">
        <v>0</v>
      </c>
      <c r="O300" t="n">
        <v>0</v>
      </c>
      <c r="P300" t="n">
        <v>0</v>
      </c>
      <c r="Q300" t="n">
        <v>0</v>
      </c>
      <c r="R300" s="2" t="inlineStr"/>
    </row>
    <row r="301" ht="15" customHeight="1">
      <c r="A301" t="inlineStr">
        <is>
          <t>A 55927-2019</t>
        </is>
      </c>
      <c r="B301" s="1" t="n">
        <v>43761</v>
      </c>
      <c r="C301" s="1" t="n">
        <v>45712</v>
      </c>
      <c r="D301" t="inlineStr">
        <is>
          <t>VÄRMLANDS LÄN</t>
        </is>
      </c>
      <c r="E301" t="inlineStr">
        <is>
          <t>TORSBY</t>
        </is>
      </c>
      <c r="G301" t="n">
        <v>2.8</v>
      </c>
      <c r="H301" t="n">
        <v>0</v>
      </c>
      <c r="I301" t="n">
        <v>0</v>
      </c>
      <c r="J301" t="n">
        <v>0</v>
      </c>
      <c r="K301" t="n">
        <v>0</v>
      </c>
      <c r="L301" t="n">
        <v>0</v>
      </c>
      <c r="M301" t="n">
        <v>0</v>
      </c>
      <c r="N301" t="n">
        <v>0</v>
      </c>
      <c r="O301" t="n">
        <v>0</v>
      </c>
      <c r="P301" t="n">
        <v>0</v>
      </c>
      <c r="Q301" t="n">
        <v>0</v>
      </c>
      <c r="R301" s="2" t="inlineStr"/>
    </row>
    <row r="302" ht="15" customHeight="1">
      <c r="A302" t="inlineStr">
        <is>
          <t>A 56021-2019</t>
        </is>
      </c>
      <c r="B302" s="1" t="n">
        <v>43761</v>
      </c>
      <c r="C302" s="1" t="n">
        <v>45712</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56305-2019</t>
        </is>
      </c>
      <c r="B303" s="1" t="n">
        <v>43762</v>
      </c>
      <c r="C303" s="1" t="n">
        <v>45712</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56594-2019</t>
        </is>
      </c>
      <c r="B304" s="1" t="n">
        <v>43763</v>
      </c>
      <c r="C304" s="1" t="n">
        <v>45712</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56633-2019</t>
        </is>
      </c>
      <c r="B305" s="1" t="n">
        <v>43763</v>
      </c>
      <c r="C305" s="1" t="n">
        <v>45712</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56824-2019</t>
        </is>
      </c>
      <c r="B306" s="1" t="n">
        <v>43764</v>
      </c>
      <c r="C306" s="1" t="n">
        <v>45712</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56935-2019</t>
        </is>
      </c>
      <c r="B307" s="1" t="n">
        <v>43766</v>
      </c>
      <c r="C307" s="1" t="n">
        <v>45712</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57399-2019</t>
        </is>
      </c>
      <c r="B308" s="1" t="n">
        <v>43767</v>
      </c>
      <c r="C308" s="1" t="n">
        <v>45712</v>
      </c>
      <c r="D308" t="inlineStr">
        <is>
          <t>VÄRMLANDS LÄN</t>
        </is>
      </c>
      <c r="E308" t="inlineStr">
        <is>
          <t>TORSBY</t>
        </is>
      </c>
      <c r="F308" t="inlineStr">
        <is>
          <t>Bergvik skog väst AB</t>
        </is>
      </c>
      <c r="G308" t="n">
        <v>18.9</v>
      </c>
      <c r="H308" t="n">
        <v>0</v>
      </c>
      <c r="I308" t="n">
        <v>0</v>
      </c>
      <c r="J308" t="n">
        <v>0</v>
      </c>
      <c r="K308" t="n">
        <v>0</v>
      </c>
      <c r="L308" t="n">
        <v>0</v>
      </c>
      <c r="M308" t="n">
        <v>0</v>
      </c>
      <c r="N308" t="n">
        <v>0</v>
      </c>
      <c r="O308" t="n">
        <v>0</v>
      </c>
      <c r="P308" t="n">
        <v>0</v>
      </c>
      <c r="Q308" t="n">
        <v>0</v>
      </c>
      <c r="R308" s="2" t="inlineStr"/>
    </row>
    <row r="309" ht="15" customHeight="1">
      <c r="A309" t="inlineStr">
        <is>
          <t>A 57251-2019</t>
        </is>
      </c>
      <c r="B309" s="1" t="n">
        <v>43767</v>
      </c>
      <c r="C309" s="1" t="n">
        <v>45712</v>
      </c>
      <c r="D309" t="inlineStr">
        <is>
          <t>VÄRMLANDS LÄN</t>
        </is>
      </c>
      <c r="E309" t="inlineStr">
        <is>
          <t>TORSBY</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57301-2019</t>
        </is>
      </c>
      <c r="B310" s="1" t="n">
        <v>43767</v>
      </c>
      <c r="C310" s="1" t="n">
        <v>45712</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57268-2019</t>
        </is>
      </c>
      <c r="B311" s="1" t="n">
        <v>43767</v>
      </c>
      <c r="C311" s="1" t="n">
        <v>45712</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58530-2019</t>
        </is>
      </c>
      <c r="B312" s="1" t="n">
        <v>43767</v>
      </c>
      <c r="C312" s="1" t="n">
        <v>45712</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57223-2019</t>
        </is>
      </c>
      <c r="B313" s="1" t="n">
        <v>43767</v>
      </c>
      <c r="C313" s="1" t="n">
        <v>45712</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57566-2019</t>
        </is>
      </c>
      <c r="B314" s="1" t="n">
        <v>43768</v>
      </c>
      <c r="C314" s="1" t="n">
        <v>45712</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57704-2019</t>
        </is>
      </c>
      <c r="B315" s="1" t="n">
        <v>43768</v>
      </c>
      <c r="C315" s="1" t="n">
        <v>45712</v>
      </c>
      <c r="D315" t="inlineStr">
        <is>
          <t>VÄRMLANDS LÄN</t>
        </is>
      </c>
      <c r="E315" t="inlineStr">
        <is>
          <t>TORSBY</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57565-2019</t>
        </is>
      </c>
      <c r="B316" s="1" t="n">
        <v>43768</v>
      </c>
      <c r="C316" s="1" t="n">
        <v>45712</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58004-2019</t>
        </is>
      </c>
      <c r="B317" s="1" t="n">
        <v>43769</v>
      </c>
      <c r="C317" s="1" t="n">
        <v>45712</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58678-2019</t>
        </is>
      </c>
      <c r="B318" s="1" t="n">
        <v>43773</v>
      </c>
      <c r="C318" s="1" t="n">
        <v>45712</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59127-2019</t>
        </is>
      </c>
      <c r="B319" s="1" t="n">
        <v>43775</v>
      </c>
      <c r="C319" s="1" t="n">
        <v>45712</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59593-2019</t>
        </is>
      </c>
      <c r="B320" s="1" t="n">
        <v>43776</v>
      </c>
      <c r="C320" s="1" t="n">
        <v>45712</v>
      </c>
      <c r="D320" t="inlineStr">
        <is>
          <t>VÄRMLANDS LÄN</t>
        </is>
      </c>
      <c r="E320" t="inlineStr">
        <is>
          <t>TORSBY</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60545-2019</t>
        </is>
      </c>
      <c r="B321" s="1" t="n">
        <v>43781</v>
      </c>
      <c r="C321" s="1" t="n">
        <v>45712</v>
      </c>
      <c r="D321" t="inlineStr">
        <is>
          <t>VÄRMLANDS LÄN</t>
        </is>
      </c>
      <c r="E321" t="inlineStr">
        <is>
          <t>TORSBY</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61074-2019</t>
        </is>
      </c>
      <c r="B322" s="1" t="n">
        <v>43782</v>
      </c>
      <c r="C322" s="1" t="n">
        <v>45712</v>
      </c>
      <c r="D322" t="inlineStr">
        <is>
          <t>VÄRMLANDS LÄN</t>
        </is>
      </c>
      <c r="E322" t="inlineStr">
        <is>
          <t>TORSBY</t>
        </is>
      </c>
      <c r="G322" t="n">
        <v>6.4</v>
      </c>
      <c r="H322" t="n">
        <v>0</v>
      </c>
      <c r="I322" t="n">
        <v>0</v>
      </c>
      <c r="J322" t="n">
        <v>0</v>
      </c>
      <c r="K322" t="n">
        <v>0</v>
      </c>
      <c r="L322" t="n">
        <v>0</v>
      </c>
      <c r="M322" t="n">
        <v>0</v>
      </c>
      <c r="N322" t="n">
        <v>0</v>
      </c>
      <c r="O322" t="n">
        <v>0</v>
      </c>
      <c r="P322" t="n">
        <v>0</v>
      </c>
      <c r="Q322" t="n">
        <v>0</v>
      </c>
      <c r="R322" s="2" t="inlineStr"/>
    </row>
    <row r="323" ht="15" customHeight="1">
      <c r="A323" t="inlineStr">
        <is>
          <t>A 62050-2019</t>
        </is>
      </c>
      <c r="B323" s="1" t="n">
        <v>43787</v>
      </c>
      <c r="C323" s="1" t="n">
        <v>45712</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61958-2019</t>
        </is>
      </c>
      <c r="B324" s="1" t="n">
        <v>43787</v>
      </c>
      <c r="C324" s="1" t="n">
        <v>45712</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62255-2019</t>
        </is>
      </c>
      <c r="B325" s="1" t="n">
        <v>43788</v>
      </c>
      <c r="C325" s="1" t="n">
        <v>45712</v>
      </c>
      <c r="D325" t="inlineStr">
        <is>
          <t>VÄRMLANDS LÄN</t>
        </is>
      </c>
      <c r="E325" t="inlineStr">
        <is>
          <t>TORSBY</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62286-2019</t>
        </is>
      </c>
      <c r="B326" s="1" t="n">
        <v>43788</v>
      </c>
      <c r="C326" s="1" t="n">
        <v>45712</v>
      </c>
      <c r="D326" t="inlineStr">
        <is>
          <t>VÄRMLANDS LÄN</t>
        </is>
      </c>
      <c r="E326" t="inlineStr">
        <is>
          <t>TORSBY</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63743-2019</t>
        </is>
      </c>
      <c r="B327" s="1" t="n">
        <v>43795</v>
      </c>
      <c r="C327" s="1" t="n">
        <v>45712</v>
      </c>
      <c r="D327" t="inlineStr">
        <is>
          <t>VÄRMLANDS LÄN</t>
        </is>
      </c>
      <c r="E327" t="inlineStr">
        <is>
          <t>TORSBY</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64114-2019</t>
        </is>
      </c>
      <c r="B328" s="1" t="n">
        <v>43796</v>
      </c>
      <c r="C328" s="1" t="n">
        <v>45712</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64444-2019</t>
        </is>
      </c>
      <c r="B329" s="1" t="n">
        <v>43797</v>
      </c>
      <c r="C329" s="1" t="n">
        <v>45712</v>
      </c>
      <c r="D329" t="inlineStr">
        <is>
          <t>VÄRMLANDS LÄN</t>
        </is>
      </c>
      <c r="E329" t="inlineStr">
        <is>
          <t>TORSBY</t>
        </is>
      </c>
      <c r="G329" t="n">
        <v>3.5</v>
      </c>
      <c r="H329" t="n">
        <v>0</v>
      </c>
      <c r="I329" t="n">
        <v>0</v>
      </c>
      <c r="J329" t="n">
        <v>0</v>
      </c>
      <c r="K329" t="n">
        <v>0</v>
      </c>
      <c r="L329" t="n">
        <v>0</v>
      </c>
      <c r="M329" t="n">
        <v>0</v>
      </c>
      <c r="N329" t="n">
        <v>0</v>
      </c>
      <c r="O329" t="n">
        <v>0</v>
      </c>
      <c r="P329" t="n">
        <v>0</v>
      </c>
      <c r="Q329" t="n">
        <v>0</v>
      </c>
      <c r="R329" s="2" t="inlineStr"/>
    </row>
    <row r="330" ht="15" customHeight="1">
      <c r="A330" t="inlineStr">
        <is>
          <t>A 65187-2019</t>
        </is>
      </c>
      <c r="B330" s="1" t="n">
        <v>43797</v>
      </c>
      <c r="C330" s="1" t="n">
        <v>45712</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65243-2019</t>
        </is>
      </c>
      <c r="B331" s="1" t="n">
        <v>43797</v>
      </c>
      <c r="C331" s="1" t="n">
        <v>45712</v>
      </c>
      <c r="D331" t="inlineStr">
        <is>
          <t>VÄRMLANDS LÄN</t>
        </is>
      </c>
      <c r="E331" t="inlineStr">
        <is>
          <t>TORSBY</t>
        </is>
      </c>
      <c r="F331" t="inlineStr">
        <is>
          <t>Övriga statliga verk och myndigheter</t>
        </is>
      </c>
      <c r="G331" t="n">
        <v>20.3</v>
      </c>
      <c r="H331" t="n">
        <v>0</v>
      </c>
      <c r="I331" t="n">
        <v>0</v>
      </c>
      <c r="J331" t="n">
        <v>0</v>
      </c>
      <c r="K331" t="n">
        <v>0</v>
      </c>
      <c r="L331" t="n">
        <v>0</v>
      </c>
      <c r="M331" t="n">
        <v>0</v>
      </c>
      <c r="N331" t="n">
        <v>0</v>
      </c>
      <c r="O331" t="n">
        <v>0</v>
      </c>
      <c r="P331" t="n">
        <v>0</v>
      </c>
      <c r="Q331" t="n">
        <v>0</v>
      </c>
      <c r="R331" s="2" t="inlineStr"/>
    </row>
    <row r="332" ht="15" customHeight="1">
      <c r="A332" t="inlineStr">
        <is>
          <t>A 64803-2019</t>
        </is>
      </c>
      <c r="B332" s="1" t="n">
        <v>43801</v>
      </c>
      <c r="C332" s="1" t="n">
        <v>45712</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65132-2019</t>
        </is>
      </c>
      <c r="B333" s="1" t="n">
        <v>43802</v>
      </c>
      <c r="C333" s="1" t="n">
        <v>45712</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65076-2019</t>
        </is>
      </c>
      <c r="B334" s="1" t="n">
        <v>43802</v>
      </c>
      <c r="C334" s="1" t="n">
        <v>45712</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65465-2019</t>
        </is>
      </c>
      <c r="B335" s="1" t="n">
        <v>43803</v>
      </c>
      <c r="C335" s="1" t="n">
        <v>45712</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65914-2019</t>
        </is>
      </c>
      <c r="B336" s="1" t="n">
        <v>43805</v>
      </c>
      <c r="C336" s="1" t="n">
        <v>45712</v>
      </c>
      <c r="D336" t="inlineStr">
        <is>
          <t>VÄRMLANDS LÄN</t>
        </is>
      </c>
      <c r="E336" t="inlineStr">
        <is>
          <t>TORSBY</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67527-2019</t>
        </is>
      </c>
      <c r="B337" s="1" t="n">
        <v>43808</v>
      </c>
      <c r="C337" s="1" t="n">
        <v>45712</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66690-2019</t>
        </is>
      </c>
      <c r="B338" s="1" t="n">
        <v>43809</v>
      </c>
      <c r="C338" s="1" t="n">
        <v>45712</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66689-2019</t>
        </is>
      </c>
      <c r="B339" s="1" t="n">
        <v>43809</v>
      </c>
      <c r="C339" s="1" t="n">
        <v>45712</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67686-2019</t>
        </is>
      </c>
      <c r="B340" s="1" t="n">
        <v>43809</v>
      </c>
      <c r="C340" s="1" t="n">
        <v>45712</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66688-2019</t>
        </is>
      </c>
      <c r="B341" s="1" t="n">
        <v>43809</v>
      </c>
      <c r="C341" s="1" t="n">
        <v>45712</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67690-2019</t>
        </is>
      </c>
      <c r="B342" s="1" t="n">
        <v>43809</v>
      </c>
      <c r="C342" s="1" t="n">
        <v>45712</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67671-2019</t>
        </is>
      </c>
      <c r="B343" s="1" t="n">
        <v>43810</v>
      </c>
      <c r="C343" s="1" t="n">
        <v>45712</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67728-2019</t>
        </is>
      </c>
      <c r="B344" s="1" t="n">
        <v>43815</v>
      </c>
      <c r="C344" s="1" t="n">
        <v>45712</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68354-2019</t>
        </is>
      </c>
      <c r="B345" s="1" t="n">
        <v>43818</v>
      </c>
      <c r="C345" s="1" t="n">
        <v>45712</v>
      </c>
      <c r="D345" t="inlineStr">
        <is>
          <t>VÄRMLANDS LÄN</t>
        </is>
      </c>
      <c r="E345" t="inlineStr">
        <is>
          <t>TORSBY</t>
        </is>
      </c>
      <c r="G345" t="n">
        <v>61.1</v>
      </c>
      <c r="H345" t="n">
        <v>0</v>
      </c>
      <c r="I345" t="n">
        <v>0</v>
      </c>
      <c r="J345" t="n">
        <v>0</v>
      </c>
      <c r="K345" t="n">
        <v>0</v>
      </c>
      <c r="L345" t="n">
        <v>0</v>
      </c>
      <c r="M345" t="n">
        <v>0</v>
      </c>
      <c r="N345" t="n">
        <v>0</v>
      </c>
      <c r="O345" t="n">
        <v>0</v>
      </c>
      <c r="P345" t="n">
        <v>0</v>
      </c>
      <c r="Q345" t="n">
        <v>0</v>
      </c>
      <c r="R345" s="2" t="inlineStr"/>
    </row>
    <row r="346" ht="15" customHeight="1">
      <c r="A346" t="inlineStr">
        <is>
          <t>A 68360-2019</t>
        </is>
      </c>
      <c r="B346" s="1" t="n">
        <v>43818</v>
      </c>
      <c r="C346" s="1" t="n">
        <v>45712</v>
      </c>
      <c r="D346" t="inlineStr">
        <is>
          <t>VÄRMLANDS LÄN</t>
        </is>
      </c>
      <c r="E346" t="inlineStr">
        <is>
          <t>TORSBY</t>
        </is>
      </c>
      <c r="G346" t="n">
        <v>9</v>
      </c>
      <c r="H346" t="n">
        <v>0</v>
      </c>
      <c r="I346" t="n">
        <v>0</v>
      </c>
      <c r="J346" t="n">
        <v>0</v>
      </c>
      <c r="K346" t="n">
        <v>0</v>
      </c>
      <c r="L346" t="n">
        <v>0</v>
      </c>
      <c r="M346" t="n">
        <v>0</v>
      </c>
      <c r="N346" t="n">
        <v>0</v>
      </c>
      <c r="O346" t="n">
        <v>0</v>
      </c>
      <c r="P346" t="n">
        <v>0</v>
      </c>
      <c r="Q346" t="n">
        <v>0</v>
      </c>
      <c r="R346" s="2" t="inlineStr"/>
    </row>
    <row r="347" ht="15" customHeight="1">
      <c r="A347" t="inlineStr">
        <is>
          <t>A 68553-2019</t>
        </is>
      </c>
      <c r="B347" s="1" t="n">
        <v>43818</v>
      </c>
      <c r="C347" s="1" t="n">
        <v>45712</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140-2020</t>
        </is>
      </c>
      <c r="B348" s="1" t="n">
        <v>43833</v>
      </c>
      <c r="C348" s="1" t="n">
        <v>45712</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338-2020</t>
        </is>
      </c>
      <c r="B349" s="1" t="n">
        <v>43837</v>
      </c>
      <c r="C349" s="1" t="n">
        <v>45712</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388-2020</t>
        </is>
      </c>
      <c r="B350" s="1" t="n">
        <v>43837</v>
      </c>
      <c r="C350" s="1" t="n">
        <v>45712</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3263-2020</t>
        </is>
      </c>
      <c r="B351" s="1" t="n">
        <v>43844</v>
      </c>
      <c r="C351" s="1" t="n">
        <v>45712</v>
      </c>
      <c r="D351" t="inlineStr">
        <is>
          <t>VÄRMLANDS LÄN</t>
        </is>
      </c>
      <c r="E351" t="inlineStr">
        <is>
          <t>TORSBY</t>
        </is>
      </c>
      <c r="G351" t="n">
        <v>14.7</v>
      </c>
      <c r="H351" t="n">
        <v>0</v>
      </c>
      <c r="I351" t="n">
        <v>0</v>
      </c>
      <c r="J351" t="n">
        <v>0</v>
      </c>
      <c r="K351" t="n">
        <v>0</v>
      </c>
      <c r="L351" t="n">
        <v>0</v>
      </c>
      <c r="M351" t="n">
        <v>0</v>
      </c>
      <c r="N351" t="n">
        <v>0</v>
      </c>
      <c r="O351" t="n">
        <v>0</v>
      </c>
      <c r="P351" t="n">
        <v>0</v>
      </c>
      <c r="Q351" t="n">
        <v>0</v>
      </c>
      <c r="R351" s="2" t="inlineStr"/>
    </row>
    <row r="352" ht="15" customHeight="1">
      <c r="A352" t="inlineStr">
        <is>
          <t>A 3172-2020</t>
        </is>
      </c>
      <c r="B352" s="1" t="n">
        <v>43844</v>
      </c>
      <c r="C352" s="1" t="n">
        <v>45712</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2082-2020</t>
        </is>
      </c>
      <c r="B353" s="1" t="n">
        <v>43845</v>
      </c>
      <c r="C353" s="1" t="n">
        <v>45712</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1875-2020</t>
        </is>
      </c>
      <c r="B354" s="1" t="n">
        <v>43845</v>
      </c>
      <c r="C354" s="1" t="n">
        <v>45712</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2068-2020</t>
        </is>
      </c>
      <c r="B355" s="1" t="n">
        <v>43845</v>
      </c>
      <c r="C355" s="1" t="n">
        <v>45712</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4017-2020</t>
        </is>
      </c>
      <c r="B356" s="1" t="n">
        <v>43846</v>
      </c>
      <c r="C356" s="1" t="n">
        <v>45712</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4753-2020</t>
        </is>
      </c>
      <c r="B357" s="1" t="n">
        <v>43859</v>
      </c>
      <c r="C357" s="1" t="n">
        <v>45712</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5180-2020</t>
        </is>
      </c>
      <c r="B358" s="1" t="n">
        <v>43860</v>
      </c>
      <c r="C358" s="1" t="n">
        <v>45712</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5426-2020</t>
        </is>
      </c>
      <c r="B359" s="1" t="n">
        <v>43861</v>
      </c>
      <c r="C359" s="1" t="n">
        <v>45712</v>
      </c>
      <c r="D359" t="inlineStr">
        <is>
          <t>VÄRMLANDS LÄN</t>
        </is>
      </c>
      <c r="E359" t="inlineStr">
        <is>
          <t>TORSBY</t>
        </is>
      </c>
      <c r="G359" t="n">
        <v>7.2</v>
      </c>
      <c r="H359" t="n">
        <v>0</v>
      </c>
      <c r="I359" t="n">
        <v>0</v>
      </c>
      <c r="J359" t="n">
        <v>0</v>
      </c>
      <c r="K359" t="n">
        <v>0</v>
      </c>
      <c r="L359" t="n">
        <v>0</v>
      </c>
      <c r="M359" t="n">
        <v>0</v>
      </c>
      <c r="N359" t="n">
        <v>0</v>
      </c>
      <c r="O359" t="n">
        <v>0</v>
      </c>
      <c r="P359" t="n">
        <v>0</v>
      </c>
      <c r="Q359" t="n">
        <v>0</v>
      </c>
      <c r="R359" s="2" t="inlineStr"/>
    </row>
    <row r="360" ht="15" customHeight="1">
      <c r="A360" t="inlineStr">
        <is>
          <t>A 5425-2020</t>
        </is>
      </c>
      <c r="B360" s="1" t="n">
        <v>43861</v>
      </c>
      <c r="C360" s="1" t="n">
        <v>45712</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5427-2020</t>
        </is>
      </c>
      <c r="B361" s="1" t="n">
        <v>43861</v>
      </c>
      <c r="C361" s="1" t="n">
        <v>45712</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7000-2020</t>
        </is>
      </c>
      <c r="B362" s="1" t="n">
        <v>43868</v>
      </c>
      <c r="C362" s="1" t="n">
        <v>45712</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6862-2020</t>
        </is>
      </c>
      <c r="B363" s="1" t="n">
        <v>43868</v>
      </c>
      <c r="C363" s="1" t="n">
        <v>45712</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7153-2020</t>
        </is>
      </c>
      <c r="B364" s="1" t="n">
        <v>43870</v>
      </c>
      <c r="C364" s="1" t="n">
        <v>45712</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7279-2020</t>
        </is>
      </c>
      <c r="B365" s="1" t="n">
        <v>43871</v>
      </c>
      <c r="C365" s="1" t="n">
        <v>45712</v>
      </c>
      <c r="D365" t="inlineStr">
        <is>
          <t>VÄRMLANDS LÄN</t>
        </is>
      </c>
      <c r="E365" t="inlineStr">
        <is>
          <t>TORSBY</t>
        </is>
      </c>
      <c r="G365" t="n">
        <v>6.7</v>
      </c>
      <c r="H365" t="n">
        <v>0</v>
      </c>
      <c r="I365" t="n">
        <v>0</v>
      </c>
      <c r="J365" t="n">
        <v>0</v>
      </c>
      <c r="K365" t="n">
        <v>0</v>
      </c>
      <c r="L365" t="n">
        <v>0</v>
      </c>
      <c r="M365" t="n">
        <v>0</v>
      </c>
      <c r="N365" t="n">
        <v>0</v>
      </c>
      <c r="O365" t="n">
        <v>0</v>
      </c>
      <c r="P365" t="n">
        <v>0</v>
      </c>
      <c r="Q365" t="n">
        <v>0</v>
      </c>
      <c r="R365" s="2" t="inlineStr"/>
    </row>
    <row r="366" ht="15" customHeight="1">
      <c r="A366" t="inlineStr">
        <is>
          <t>A 7526-2020</t>
        </is>
      </c>
      <c r="B366" s="1" t="n">
        <v>43871</v>
      </c>
      <c r="C366" s="1" t="n">
        <v>45712</v>
      </c>
      <c r="D366" t="inlineStr">
        <is>
          <t>VÄRMLANDS LÄN</t>
        </is>
      </c>
      <c r="E366" t="inlineStr">
        <is>
          <t>TORSBY</t>
        </is>
      </c>
      <c r="G366" t="n">
        <v>11.8</v>
      </c>
      <c r="H366" t="n">
        <v>0</v>
      </c>
      <c r="I366" t="n">
        <v>0</v>
      </c>
      <c r="J366" t="n">
        <v>0</v>
      </c>
      <c r="K366" t="n">
        <v>0</v>
      </c>
      <c r="L366" t="n">
        <v>0</v>
      </c>
      <c r="M366" t="n">
        <v>0</v>
      </c>
      <c r="N366" t="n">
        <v>0</v>
      </c>
      <c r="O366" t="n">
        <v>0</v>
      </c>
      <c r="P366" t="n">
        <v>0</v>
      </c>
      <c r="Q366" t="n">
        <v>0</v>
      </c>
      <c r="R366" s="2" t="inlineStr"/>
    </row>
    <row r="367" ht="15" customHeight="1">
      <c r="A367" t="inlineStr">
        <is>
          <t>A 7582-2020</t>
        </is>
      </c>
      <c r="B367" s="1" t="n">
        <v>43871</v>
      </c>
      <c r="C367" s="1" t="n">
        <v>45712</v>
      </c>
      <c r="D367" t="inlineStr">
        <is>
          <t>VÄRMLANDS LÄN</t>
        </is>
      </c>
      <c r="E367" t="inlineStr">
        <is>
          <t>TORSBY</t>
        </is>
      </c>
      <c r="G367" t="n">
        <v>7.4</v>
      </c>
      <c r="H367" t="n">
        <v>0</v>
      </c>
      <c r="I367" t="n">
        <v>0</v>
      </c>
      <c r="J367" t="n">
        <v>0</v>
      </c>
      <c r="K367" t="n">
        <v>0</v>
      </c>
      <c r="L367" t="n">
        <v>0</v>
      </c>
      <c r="M367" t="n">
        <v>0</v>
      </c>
      <c r="N367" t="n">
        <v>0</v>
      </c>
      <c r="O367" t="n">
        <v>0</v>
      </c>
      <c r="P367" t="n">
        <v>0</v>
      </c>
      <c r="Q367" t="n">
        <v>0</v>
      </c>
      <c r="R367" s="2" t="inlineStr"/>
    </row>
    <row r="368" ht="15" customHeight="1">
      <c r="A368" t="inlineStr">
        <is>
          <t>A 7749-2020</t>
        </is>
      </c>
      <c r="B368" s="1" t="n">
        <v>43872</v>
      </c>
      <c r="C368" s="1" t="n">
        <v>45712</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7856-2020</t>
        </is>
      </c>
      <c r="B369" s="1" t="n">
        <v>43873</v>
      </c>
      <c r="C369" s="1" t="n">
        <v>45712</v>
      </c>
      <c r="D369" t="inlineStr">
        <is>
          <t>VÄRMLANDS LÄN</t>
        </is>
      </c>
      <c r="E369" t="inlineStr">
        <is>
          <t>TORSBY</t>
        </is>
      </c>
      <c r="G369" t="n">
        <v>4.5</v>
      </c>
      <c r="H369" t="n">
        <v>0</v>
      </c>
      <c r="I369" t="n">
        <v>0</v>
      </c>
      <c r="J369" t="n">
        <v>0</v>
      </c>
      <c r="K369" t="n">
        <v>0</v>
      </c>
      <c r="L369" t="n">
        <v>0</v>
      </c>
      <c r="M369" t="n">
        <v>0</v>
      </c>
      <c r="N369" t="n">
        <v>0</v>
      </c>
      <c r="O369" t="n">
        <v>0</v>
      </c>
      <c r="P369" t="n">
        <v>0</v>
      </c>
      <c r="Q369" t="n">
        <v>0</v>
      </c>
      <c r="R369" s="2" t="inlineStr"/>
    </row>
    <row r="370" ht="15" customHeight="1">
      <c r="A370" t="inlineStr">
        <is>
          <t>A 8631-2020</t>
        </is>
      </c>
      <c r="B370" s="1" t="n">
        <v>43874</v>
      </c>
      <c r="C370" s="1" t="n">
        <v>45712</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8899-2020</t>
        </is>
      </c>
      <c r="B371" s="1" t="n">
        <v>43878</v>
      </c>
      <c r="C371" s="1" t="n">
        <v>45712</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9192-2020</t>
        </is>
      </c>
      <c r="B372" s="1" t="n">
        <v>43879</v>
      </c>
      <c r="C372" s="1" t="n">
        <v>45712</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9766-2020</t>
        </is>
      </c>
      <c r="B373" s="1" t="n">
        <v>43879</v>
      </c>
      <c r="C373" s="1" t="n">
        <v>45712</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9760-2020</t>
        </is>
      </c>
      <c r="B374" s="1" t="n">
        <v>43879</v>
      </c>
      <c r="C374" s="1" t="n">
        <v>45712</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9600-2020</t>
        </is>
      </c>
      <c r="B375" s="1" t="n">
        <v>43881</v>
      </c>
      <c r="C375" s="1" t="n">
        <v>45712</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10899-2020</t>
        </is>
      </c>
      <c r="B376" s="1" t="n">
        <v>43885</v>
      </c>
      <c r="C376" s="1" t="n">
        <v>45712</v>
      </c>
      <c r="D376" t="inlineStr">
        <is>
          <t>VÄRMLANDS LÄN</t>
        </is>
      </c>
      <c r="E376" t="inlineStr">
        <is>
          <t>TORSBY</t>
        </is>
      </c>
      <c r="G376" t="n">
        <v>7.4</v>
      </c>
      <c r="H376" t="n">
        <v>0</v>
      </c>
      <c r="I376" t="n">
        <v>0</v>
      </c>
      <c r="J376" t="n">
        <v>0</v>
      </c>
      <c r="K376" t="n">
        <v>0</v>
      </c>
      <c r="L376" t="n">
        <v>0</v>
      </c>
      <c r="M376" t="n">
        <v>0</v>
      </c>
      <c r="N376" t="n">
        <v>0</v>
      </c>
      <c r="O376" t="n">
        <v>0</v>
      </c>
      <c r="P376" t="n">
        <v>0</v>
      </c>
      <c r="Q376" t="n">
        <v>0</v>
      </c>
      <c r="R376" s="2" t="inlineStr"/>
    </row>
    <row r="377" ht="15" customHeight="1">
      <c r="A377" t="inlineStr">
        <is>
          <t>A 10422-2020</t>
        </is>
      </c>
      <c r="B377" s="1" t="n">
        <v>43886</v>
      </c>
      <c r="C377" s="1" t="n">
        <v>45712</v>
      </c>
      <c r="D377" t="inlineStr">
        <is>
          <t>VÄRMLANDS LÄN</t>
        </is>
      </c>
      <c r="E377" t="inlineStr">
        <is>
          <t>TORSBY</t>
        </is>
      </c>
      <c r="G377" t="n">
        <v>3.4</v>
      </c>
      <c r="H377" t="n">
        <v>0</v>
      </c>
      <c r="I377" t="n">
        <v>0</v>
      </c>
      <c r="J377" t="n">
        <v>0</v>
      </c>
      <c r="K377" t="n">
        <v>0</v>
      </c>
      <c r="L377" t="n">
        <v>0</v>
      </c>
      <c r="M377" t="n">
        <v>0</v>
      </c>
      <c r="N377" t="n">
        <v>0</v>
      </c>
      <c r="O377" t="n">
        <v>0</v>
      </c>
      <c r="P377" t="n">
        <v>0</v>
      </c>
      <c r="Q377" t="n">
        <v>0</v>
      </c>
      <c r="R377" s="2" t="inlineStr"/>
    </row>
    <row r="378" ht="15" customHeight="1">
      <c r="A378" t="inlineStr">
        <is>
          <t>A 10449-2020</t>
        </is>
      </c>
      <c r="B378" s="1" t="n">
        <v>43886</v>
      </c>
      <c r="C378" s="1" t="n">
        <v>45712</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11213-2020</t>
        </is>
      </c>
      <c r="B379" s="1" t="n">
        <v>43892</v>
      </c>
      <c r="C379" s="1" t="n">
        <v>45712</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12428-2020</t>
        </is>
      </c>
      <c r="B380" s="1" t="n">
        <v>43896</v>
      </c>
      <c r="C380" s="1" t="n">
        <v>45712</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12855-2020</t>
        </is>
      </c>
      <c r="B381" s="1" t="n">
        <v>43899</v>
      </c>
      <c r="C381" s="1" t="n">
        <v>45712</v>
      </c>
      <c r="D381" t="inlineStr">
        <is>
          <t>VÄRMLANDS LÄN</t>
        </is>
      </c>
      <c r="E381" t="inlineStr">
        <is>
          <t>TORSBY</t>
        </is>
      </c>
      <c r="G381" t="n">
        <v>5.9</v>
      </c>
      <c r="H381" t="n">
        <v>0</v>
      </c>
      <c r="I381" t="n">
        <v>0</v>
      </c>
      <c r="J381" t="n">
        <v>0</v>
      </c>
      <c r="K381" t="n">
        <v>0</v>
      </c>
      <c r="L381" t="n">
        <v>0</v>
      </c>
      <c r="M381" t="n">
        <v>0</v>
      </c>
      <c r="N381" t="n">
        <v>0</v>
      </c>
      <c r="O381" t="n">
        <v>0</v>
      </c>
      <c r="P381" t="n">
        <v>0</v>
      </c>
      <c r="Q381" t="n">
        <v>0</v>
      </c>
      <c r="R381" s="2" t="inlineStr"/>
    </row>
    <row r="382" ht="15" customHeight="1">
      <c r="A382" t="inlineStr">
        <is>
          <t>A 12881-2020</t>
        </is>
      </c>
      <c r="B382" s="1" t="n">
        <v>43900</v>
      </c>
      <c r="C382" s="1" t="n">
        <v>45712</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14246-2020</t>
        </is>
      </c>
      <c r="B383" s="1" t="n">
        <v>43900</v>
      </c>
      <c r="C383" s="1" t="n">
        <v>45712</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13153-2020</t>
        </is>
      </c>
      <c r="B384" s="1" t="n">
        <v>43901</v>
      </c>
      <c r="C384" s="1" t="n">
        <v>45712</v>
      </c>
      <c r="D384" t="inlineStr">
        <is>
          <t>VÄRMLANDS LÄN</t>
        </is>
      </c>
      <c r="E384" t="inlineStr">
        <is>
          <t>TORSBY</t>
        </is>
      </c>
      <c r="G384" t="n">
        <v>1.9</v>
      </c>
      <c r="H384" t="n">
        <v>0</v>
      </c>
      <c r="I384" t="n">
        <v>0</v>
      </c>
      <c r="J384" t="n">
        <v>0</v>
      </c>
      <c r="K384" t="n">
        <v>0</v>
      </c>
      <c r="L384" t="n">
        <v>0</v>
      </c>
      <c r="M384" t="n">
        <v>0</v>
      </c>
      <c r="N384" t="n">
        <v>0</v>
      </c>
      <c r="O384" t="n">
        <v>0</v>
      </c>
      <c r="P384" t="n">
        <v>0</v>
      </c>
      <c r="Q384" t="n">
        <v>0</v>
      </c>
      <c r="R384" s="2" t="inlineStr"/>
    </row>
    <row r="385" ht="15" customHeight="1">
      <c r="A385" t="inlineStr">
        <is>
          <t>A 13250-2020</t>
        </is>
      </c>
      <c r="B385" s="1" t="n">
        <v>43901</v>
      </c>
      <c r="C385" s="1" t="n">
        <v>45712</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14695-2020</t>
        </is>
      </c>
      <c r="B386" s="1" t="n">
        <v>43903</v>
      </c>
      <c r="C386" s="1" t="n">
        <v>45712</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14693-2020</t>
        </is>
      </c>
      <c r="B387" s="1" t="n">
        <v>43903</v>
      </c>
      <c r="C387" s="1" t="n">
        <v>45712</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14962-2020</t>
        </is>
      </c>
      <c r="B388" s="1" t="n">
        <v>43907</v>
      </c>
      <c r="C388" s="1" t="n">
        <v>45712</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14968-2020</t>
        </is>
      </c>
      <c r="B389" s="1" t="n">
        <v>43907</v>
      </c>
      <c r="C389" s="1" t="n">
        <v>45712</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14702-2020</t>
        </is>
      </c>
      <c r="B390" s="1" t="n">
        <v>43909</v>
      </c>
      <c r="C390" s="1" t="n">
        <v>45712</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14694-2020</t>
        </is>
      </c>
      <c r="B391" s="1" t="n">
        <v>43909</v>
      </c>
      <c r="C391" s="1" t="n">
        <v>45712</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14851-2020</t>
        </is>
      </c>
      <c r="B392" s="1" t="n">
        <v>43909</v>
      </c>
      <c r="C392" s="1" t="n">
        <v>45712</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15161-2020</t>
        </is>
      </c>
      <c r="B393" s="1" t="n">
        <v>43912</v>
      </c>
      <c r="C393" s="1" t="n">
        <v>45712</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15280-2020</t>
        </is>
      </c>
      <c r="B394" s="1" t="n">
        <v>43913</v>
      </c>
      <c r="C394" s="1" t="n">
        <v>45712</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15589-2020</t>
        </is>
      </c>
      <c r="B395" s="1" t="n">
        <v>43914</v>
      </c>
      <c r="C395" s="1" t="n">
        <v>45712</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15701-2020</t>
        </is>
      </c>
      <c r="B396" s="1" t="n">
        <v>43915</v>
      </c>
      <c r="C396" s="1" t="n">
        <v>45712</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15768-2020</t>
        </is>
      </c>
      <c r="B397" s="1" t="n">
        <v>43915</v>
      </c>
      <c r="C397" s="1" t="n">
        <v>45712</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16101-2020</t>
        </is>
      </c>
      <c r="B398" s="1" t="n">
        <v>43916</v>
      </c>
      <c r="C398" s="1" t="n">
        <v>45712</v>
      </c>
      <c r="D398" t="inlineStr">
        <is>
          <t>VÄRMLANDS LÄN</t>
        </is>
      </c>
      <c r="E398" t="inlineStr">
        <is>
          <t>TORSBY</t>
        </is>
      </c>
      <c r="G398" t="n">
        <v>14.6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45712</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45712</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45712</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45712</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45712</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45712</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45712</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45712</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45712</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45712</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45712</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45712</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45712</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45712</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45712</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45712</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45712</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45712</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45712</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45712</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45712</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45712</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45712</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45712</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45712</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45712</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45712</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45712</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45712</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45712</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45712</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45712</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45712</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45712</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45712</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45712</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45712</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45712</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45712</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45712</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45712</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45712</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45712</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45712</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45712</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45712</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45712</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45712</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45712</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45712</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45712</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45712</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45712</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45712</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45712</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45712</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45712</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45712</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45712</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45712</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45712</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45712</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45712</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45712</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45712</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45712</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45712</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45712</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45712</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45712</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45712</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45712</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45712</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45712</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45712</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45712</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45712</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45712</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45712</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45712</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45712</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45712</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45712</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45712</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45712</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45712</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45712</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45712</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45712</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45712</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45712</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45712</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45712</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45712</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45712</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45712</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45712</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45712</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45712</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45712</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45712</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45712</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45712</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45712</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45712</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45712</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45712</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45712</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45712</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45712</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45712</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45712</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45712</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45712</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45712</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45712</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45712</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45712</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45712</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45712</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45712</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45712</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45712</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45712</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45712</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45712</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45712</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45712</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45712</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45712</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45712</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45712</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45712</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45712</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45712</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45712</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45712</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45712</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45712</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45712</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45712</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45712</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45712</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45712</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45712</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45712</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45712</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45712</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45712</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45712</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45712</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45712</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45712</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45712</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45712</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45712</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45712</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45712</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45712</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45712</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45712</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45712</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45712</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45712</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45712</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45712</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45712</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45712</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45712</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45712</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45712</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45712</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45712</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45712</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45712</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45712</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45712</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45712</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45712</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45712</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45712</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45712</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45712</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45712</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45712</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45712</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45712</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45712</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45712</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45712</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45712</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45712</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45712</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45712</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45712</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45712</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45712</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45712</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45712</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45712</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45712</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45712</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45712</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45712</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45712</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45712</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45712</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45712</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45712</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45712</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45712</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45712</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45712</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45712</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45712</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45712</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45712</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45712</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45712</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45712</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45712</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45712</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45712</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45712</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45712</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45712</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45712</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45712</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45712</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45712</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45712</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45712</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45712</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45712</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45712</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45712</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45712</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45712</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45712</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45712</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45712</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45712</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45712</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45712</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45712</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45712</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45712</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45712</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45712</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45712</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45712</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45712</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45712</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45712</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45712</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45712</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45712</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45712</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45712</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45712</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45712</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45712</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45712</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45712</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45712</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45712</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45712</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45712</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45712</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45712</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45712</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45712</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45712</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45712</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45712</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45712</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45712</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45712</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45712</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45712</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45712</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45712</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45712</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45712</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45712</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45712</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45712</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45712</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45712</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45712</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45712</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45712</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45712</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45712</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45712</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45712</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45712</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45712</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45712</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45712</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45712</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45712</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45712</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45712</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45712</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45712</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45712</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45712</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45712</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45712</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45712</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45712</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45712</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45712</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45712</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45712</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45712</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45712</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45712</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45712</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45712</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45712</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45712</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45712</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45712</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45712</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45712</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45712</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45712</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45712</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45712</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45712</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45712</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45712</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45712</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45712</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45712</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45712</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45712</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45712</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45712</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45712</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45712</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45712</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45712</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45712</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45712</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45712</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45712</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45712</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45712</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45712</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45712</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45712</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45712</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45712</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45712</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45712</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45712</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45712</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45712</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45712</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45712</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45712</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45712</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45712</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45712</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45712</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45712</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45712</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45712</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45712</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45712</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45712</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45712</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45712</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45712</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45712</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45712</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45712</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45712</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45712</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45712</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45712</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45712</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45712</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45712</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45712</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45712</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45712</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45712</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45712</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45712</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45712</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45712</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45712</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45712</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45712</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45712</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45712</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45712</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45712</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45712</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45712</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45712</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45712</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45712</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45712</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45712</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45712</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45712</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45712</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45712</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45712</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45712</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45712</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45712</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45712</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45712</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45712</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45712</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45712</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45712</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45712</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45712</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45712</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45712</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45712</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45712</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45712</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45712</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45712</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45712</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45712</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45712</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45712</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45712</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45712</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45712</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45712</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45712</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45712</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45712</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45712</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45712</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45712</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45712</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45712</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45712</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45712</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45712</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45712</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45712</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45712</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45712</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45712</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45712</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45712</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45712</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45712</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45712</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45712</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45712</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45712</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45712</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45712</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45712</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45712</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45712</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45712</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45712</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45712</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45712</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45712</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45712</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45712</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45712</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45712</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45712</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45712</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45712</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45712</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45712</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45712</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45712</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45712</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45712</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45712</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45712</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45712</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45712</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45712</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45712</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45712</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45712</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45712</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45712</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45712</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45712</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45712</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45712</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45712</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45712</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45712</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45712</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45712</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45712</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45712</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45712</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45712</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45712</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45712</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45712</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45712</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45712</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45712</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45712</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45712</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45712</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45712</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45712</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45712</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45712</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45712</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45712</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45712</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45712</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45712</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45712</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45712</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45712</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45712</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45712</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45712</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45712</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45712</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45712</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45712</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45712</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45712</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45712</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45712</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45712</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45712</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45712</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45712</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45712</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45712</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45712</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45712</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45712</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45712</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45712</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45712</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45712</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45712</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45712</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45712</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45712</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45712</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45712</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45712</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45712</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45712</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45712</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45712</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45712</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45712</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45712</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45712</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45712</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45712</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45712</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45712</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45712</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45712</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45712</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45712</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45712</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45712</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45712</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45712</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45712</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45712</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45712</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45712</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45712</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45712</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45712</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45712</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45712</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45712</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45712</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45712</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45712</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45712</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45712</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45712</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45712</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45712</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45712</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45712</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45712</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45712</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45712</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45712</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45712</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45712</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45712</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45712</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45712</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45712</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45712</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45712</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45712</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45712</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45712</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45712</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45712</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45712</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45712</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45712</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45712</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45712</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45712</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45712</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45712</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45712</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45712</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45712</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45712</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45712</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45712</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45712</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45712</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45712</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45712</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45712</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45712</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45712</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45712</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45712</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45712</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45712</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45712</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45712</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45712</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45712</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45712</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45712</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45712</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45712</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45712</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45712</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45712</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45712</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45712</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45712</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45712</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45712</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45712</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45712</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45712</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45712</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45712</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45712</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45712</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45712</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45712</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45712</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45712</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45712</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45712</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45712</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45712</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45712</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45712</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45712</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45712</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45712</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45712</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45712</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45712</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45712</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45712</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45712</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45712</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45712</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45712</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45712</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45712</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45712</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45712</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45712</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45712</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45712</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45712</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45712</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45712</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45712</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45712</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45712</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45712</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45712</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45712</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45712</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45712</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45712</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45712</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45712</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45712</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45712</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45712</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45712</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45712</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45712</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45712</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45712</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45712</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45712</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45712</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45712</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45712</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45712</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45712</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45712</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45712</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45712</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45712</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45712</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45712</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45712</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45712</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45712</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45712</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45712</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45712</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45712</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45712</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45712</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45712</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45712</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45712</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45712</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45712</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45712</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45712</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45712</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45712</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45712</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45712</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45712</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45712</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45712</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45712</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45712</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45712</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45712</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45712</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45712</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45712</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45712</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45712</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45712</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45712</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45712</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45712</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45712</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45712</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45712</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45712</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45712</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45712</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45712</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45712</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45712</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45712</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45712</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45712</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45712</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45712</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45712</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45712</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45712</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45712</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45712</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45712</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45712</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45712</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45712</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45712</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45712</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45712</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45712</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45712</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45712</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45712</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45712</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45712</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45712</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45712</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45712</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45712</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45712</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45712</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45712</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45712</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45712</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45712</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45712</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45712</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45712</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45712</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45712</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45712</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45712</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45712</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45712</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45712</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45712</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45712</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45712</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45712</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45712</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45712</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45712</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45712</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45712</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45712</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45712</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45712</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45712</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45712</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45712</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45712</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45712</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45712</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45712</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45712</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45712</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45712</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45712</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45712</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45712</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45712</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45712</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45712</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45712</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45712</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45712</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45712</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45712</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45712</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45712</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45712</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45712</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45712</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45712</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45712</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45712</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45712</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45712</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45712</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45712</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45712</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45712</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45712</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45712</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45712</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45712</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45712</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45712</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45712</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45712</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45712</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45712</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45712</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45712</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45712</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45712</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45712</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45712</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45712</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45712</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45712</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45712</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45712</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45712</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45712</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45712</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45712</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45712</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45712</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45712</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45712</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45712</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45712</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45712</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45712</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45712</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45712</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45712</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45712</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45712</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45712</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45712</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45712</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45712</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45712</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45712</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45712</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45712</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45712</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45712</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45712</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45712</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45712</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45712</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45712</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45712</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45712</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45712</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45712</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45712</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45712</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45712</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45712</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45712</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45712</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45712</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45712</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45712</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45712</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45712</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45712</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45712</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45712</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45712</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45712</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45712</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45712</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45712</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45712</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45712</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45712</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45712</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45712</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45712</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45712</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45712</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45712</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45712</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45712</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45712</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45712</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45712</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45712</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45712</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45712</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45712</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45712</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45712</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45712</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45712</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45712</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45712</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45712</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45712</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45712</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45712</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45712</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45712</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45712</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45712</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45712</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45712</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45712</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45712</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45712</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45712</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45712</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45712</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45712</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45712</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45712</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45712</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45712</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45712</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45712</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45712</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45712</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45712</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45712</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45712</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45712</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45712</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45712</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45712</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45712</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45712</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45712</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45712</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45712</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45712</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45712</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45712</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45712</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45712</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45712</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45712</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45712</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45712</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45712</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45712</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45712</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45712</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45712</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45712</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45712</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45712</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45712</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45712</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45712</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45712</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45712</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45712</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45712</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45712</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45712</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45712</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45712</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45712</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45712</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45712</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45712</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45712</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45712</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45712</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45712</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45712</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45712</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45712</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45712</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45712</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45712</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45712</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45712</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45712</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45712</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45712</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45712</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45712</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45712</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45712</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45712</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45712</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45712</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45712</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45712</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45712</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45712</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45712</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45712</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45712</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45712</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45712</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45712</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45712</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45712</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45712</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45712</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45712</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45712</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45712</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45712</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45712</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45712</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45712</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45712</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45712</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45712</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45712</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45712</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45712</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45712</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45712</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45712</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45712</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45712</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45712</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45712</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45712</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45712</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45712</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45712</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45712</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45712</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45712</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45712</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45712</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45712</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45712</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45712</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45712</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45712</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45712</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45712</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45712</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45712</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45712</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45712</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45712</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45712</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45712</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45712</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45712</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45712</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45712</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45712</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45712</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45712</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45712</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45712</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45712</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45712</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45712</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45712</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45712</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45712</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45712</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45712</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45712</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45712</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45712</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45712</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45712</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45712</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45712</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45712</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45712</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45712</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45712</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45712</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45712</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45712</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45712</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45712</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45712</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45712</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45712</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45712</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45712</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45712</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45712</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45712</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45712</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45712</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45712</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45712</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45712</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45712</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45712</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45712</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45712</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45712</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45712</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45712</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45712</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45712</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45712</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45712</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45712</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45712</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45712</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45712</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45712</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45712</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45712</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45712</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45712</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45712</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45712</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45712</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45712</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45712</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45712</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45712</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45712</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45712</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45712</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45712</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45712</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45712</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45712</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45712</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45712</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45712</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45712</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45712</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45712</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45712</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45712</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45712</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45712</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45712</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45712</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45712</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45712</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45712</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45712</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45712</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45712</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45712</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45712</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45712</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45712</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45712</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45712</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45712</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45712</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45712</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45712</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45712</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45712</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45712</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45712</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45712</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45712</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45712</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45712</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45712</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45712</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45712</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45712</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45712</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45712</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45712</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45712</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45712</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45712</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45712</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45712</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45712</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45712</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45712</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45712</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45712</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45712</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45712</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45712</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45712</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45712</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45712</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45712</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45712</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45712</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45712</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45712</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45712</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45712</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45712</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45712</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45712</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45712</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45712</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45712</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45712</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45712</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45712</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45712</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45712</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45712</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45712</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45712</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45712</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45712</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45712</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45712</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45712</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45712</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45712</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45712</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45712</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45712</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45712</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45712</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45712</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45712</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45712</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45712</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45712</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45712</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45712</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45712</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45712</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45712</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45712</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45712</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45712</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45712</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45712</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45712</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45712</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45712</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45712</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45712</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45712</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45712</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45712</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45712</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45712</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45712</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45712</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45712</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45712</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45712</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45712</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45712</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45712</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45712</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45712</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45712</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45712</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45712</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45712</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45712</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45712</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45712</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45712</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45712</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45712</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45712</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45712</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45712</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45712</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45712</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45712</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45712</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45712</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45712</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45712</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45712</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45712</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45712</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45712</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45712</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45712</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45712</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45712</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45712</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45712</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45712</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45712</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45712</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45712</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45712</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45712</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45712</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45712</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45712</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45712</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45712</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45712</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45712</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45712</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45712</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45712</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45712</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45712</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45712</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45712</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45712</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45712</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45712</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45712</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45712</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45712</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45712</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45712</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45712</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45712</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45712</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45712</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45712</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45712</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45712</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45712</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45712</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45712</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45712</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45712</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45712</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45712</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45712</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45712</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45712</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45712</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45712</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45712</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45712</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45712</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45712</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45712</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45712</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45712</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45712</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45712</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45712</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45712</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45712</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45712</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45712</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45712</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45712</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45712</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45712</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45712</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45712</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45712</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45712</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45712</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45712</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45712</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45712</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45712</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45712</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45712</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45712</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45712</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45712</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45712</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45712</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45712</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45712</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45712</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45712</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45712</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45712</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45712</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45712</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45712</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45712</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45712</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45712</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45712</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45712</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45712</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45712</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45712</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45712</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45712</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45712</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45712</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45712</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45712</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45712</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45712</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45712</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45712</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45712</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45712</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45712</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45712</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45712</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45712</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45712</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45712</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45712</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45712</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45712</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45712</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45712</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45712</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45712</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45712</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45712</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45712</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45712</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45712</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45712</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45712</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45712</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45712</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45712</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45712</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45712</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45712</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45712</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45712</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45712</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45712</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45712</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45712</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45712</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45712</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45712</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45712</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45712</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45712</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45712</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45712</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45712</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45712</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45712</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45712</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45712</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45712</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45712</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45712</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45712</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45712</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45712</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45712</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45712</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45712</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45712</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45712</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45712</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45712</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45712</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45712</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45712</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45712</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45712</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45712</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45712</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45712</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45712</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45712</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45712</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45712</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45712</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45712</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45712</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45712</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45712</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45712</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45712</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45712</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45712</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45712</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45712</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45712</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45712</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45712</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45712</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45712</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45712</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45712</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45712</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45712</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45712</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45712</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45712</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45712</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45712</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45712</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45712</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45712</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45712</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45712</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45712</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45712</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45712</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45712</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45712</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45712</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45712</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45712</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45712</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45712</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45712</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45712</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45712</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45712</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45712</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45712</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45712</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45712</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45712</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45712</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45712</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45712</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45712</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45712</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45712</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45712</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45712</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45712</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45712</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45712</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45712</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45712</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45712</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45712</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45712</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45712</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45712</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45712</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45712</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45712</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45712</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45712</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45712</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45712</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45712</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45712</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45712</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45712</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45712</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45712</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45712</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45712</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45712</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45712</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45712</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45712</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45712</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45712</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45712</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45712</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45712</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45712</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45712</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45712</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45712</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45712</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45712</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45712</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45712</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45712</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45712</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45712</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45712</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45712</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45712</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45712</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45712</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45712</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45712</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45712</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45712</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45712</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45712</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45712</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45712</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45712</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45712</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45712</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45712</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45712</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45712</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45712</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45712</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45712</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45712</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45712</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45712</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45712</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45712</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45712</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45712</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45712</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45712</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45712</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45712</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45712</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45712</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45712</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45712</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45712</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45712</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45712</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45712</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45712</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45712</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45712</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45712</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45712</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45712</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45712</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45712</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45712</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45712</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45712</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45712</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45712</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45712</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45712</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45712</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45712</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45712</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45712</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45712</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45712</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45712</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45712</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45712</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45712</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45712</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45712</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45712</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45712</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45712</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45712</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45712</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45712</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45712</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45712</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45712</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45712</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45712</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45712</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45712</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45712</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45712</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45712</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45712</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45712</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45712</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45712</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45712</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45712</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45712</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45712</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45712</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45712</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45712</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45712</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45712</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45712</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45712</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45712</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45712</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45712</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45712</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45712</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45712</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45712</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45712</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45712</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45712</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45712</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45712</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45712</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45712</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45712</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45712</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45712</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45712</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45712</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45712</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45712</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45712</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45712</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45712</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45712</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45712</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45712</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45712</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45712</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45712</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45712</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45712</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45712</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45712</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45712</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45712</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45712</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45712</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45712</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45712</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45712</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45712</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45712</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45712</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45712</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45712</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45712</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45712</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45712</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45712</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45712</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45712</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45712</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45712</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45712</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45712</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45712</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45712</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45712</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45712</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45712</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45712</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45712</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45712</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45712</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45712</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45712</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45712</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45712</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45712</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45712</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45712</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45712</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45712</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45712</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45712</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45712</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45712</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45712</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45712</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45712</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45712</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45712</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45712</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45712</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45712</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45712</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45712</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45712</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45712</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45712</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45712</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45712</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45712</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45712</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45712</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45712</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45712</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45712</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45712</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45712</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45712</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45712</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45712</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45712</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45712</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45712</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45712</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45712</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45712</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45712</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45712</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45712</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45712</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45712</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45712</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45712</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45712</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45712</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45712</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45712</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45712</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45712</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45712</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45712</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45712</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45712</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45712</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45712</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45712</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45712</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45712</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45712</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45712</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45712</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45712</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45712</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45712</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45712</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45712</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45712</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45712</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45712</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45712</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45712</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45712</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45712</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45712</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45712</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45712</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45712</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45712</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45712</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45712</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45712</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45712</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45712</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45712</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45712</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45712</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45712</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45712</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45712</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45712</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45712</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45712</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45712</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45712</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45712</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45712</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45712</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45712</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45712</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45712</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45712</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45712</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45712</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45712</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45712</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45712</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45712</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45712</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45712</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45712</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45712</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45712</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45712</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45712</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45712</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45712</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45712</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45712</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45712</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45712</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45712</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45712</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45712</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45712</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45712</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45712</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45712</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45712</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45712</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45712</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45712</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45712</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45712</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45712</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45712</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45712</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45712</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45712</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45712</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45712</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45712</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45712</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45712</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45712</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45712</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45712</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45712</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45712</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45712</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45712</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45712</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45712</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45712</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45712</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45712</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45712</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45712</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45712</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45712</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45712</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45712</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45712</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45712</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45712</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45712</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45712</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45712</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45712</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45712</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45712</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45712</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45712</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45712</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45712</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45712</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45712</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45712</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45712</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45712</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45712</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45712</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45712</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45712</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45712</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45712</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45712</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45712</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45712</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45712</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45712</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45712</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45712</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45712</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45712</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45712</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45712</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45712</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45712</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45712</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45712</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45712</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45712</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45712</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45712</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45712</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45712</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45712</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45712</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45712</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45712</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45712</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45712</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45712</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45712</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45712</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45712</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45712</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45712</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45712</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45712</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45712</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45712</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45712</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45712</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45712</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45712</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45712</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45712</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45712</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45712</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45712</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45712</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45712</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45712</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45712</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45712</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45712</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45712</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45712</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45712</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45712</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45712</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45712</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45712</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45712</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45712</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45712</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45712</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45712</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45712</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45712</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45712</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45712</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45712</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45712</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45712</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45712</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45712</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45712</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45712</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45712</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45712</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45712</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45712</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45712</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45712</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45712</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45712</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45712</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45712</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45712</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45712</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45712</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45712</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45712</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45712</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45712</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45712</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45712</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45712</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45712</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45712</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45712</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45712</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45712</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45712</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45712</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45712</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45712</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45712</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45712</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45712</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45712</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45712</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45712</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45712</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45712</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45712</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45712</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45712</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45712</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45712</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45712</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45712</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45712</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45712</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45712</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45712</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45712</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45712</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45712</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45712</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45712</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45712</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45712</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45712</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45712</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45712</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45712</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45712</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45712</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45712</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45712</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45712</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45712</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45712</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45712</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45712</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45712</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45712</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45712</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45712</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45712</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45712</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45712</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45712</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45712</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45712</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45712</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45712</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45712</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45712</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45712</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45712</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45712</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45712</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45712</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45712</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45712</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45712</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45712</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45712</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45712</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45712</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45712</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45712</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45712</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45712</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45712</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45712</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45712</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45712</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45712</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45712</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45712</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45712</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45712</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45712</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45712</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45712</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45712</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45712</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45712</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45712</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45712</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45712</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45712</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45712</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45712</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45712</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45712</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45712</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45712</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45712</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45712</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45712</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45712</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45712</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45712</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45712</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45712</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45712</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45712</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45712</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45712</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45712</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45712</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45712</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45712</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45712</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45712</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45712</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45712</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45712</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45712</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45712</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45712</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45712</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45712</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45712</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45712</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45712</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45712</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45712</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45712</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45712</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45712</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45712</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45712</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45712</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45712</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45712</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45712</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45712</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45712</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45712</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45712</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45712</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45712</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45712</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45712</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45712</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45712</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45712</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45712</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45712</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45712</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45712</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45712</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45712</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45712</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45712</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45712</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45712</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45712</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45712</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45712</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45712</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45712</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45712</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45712</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45712</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45712</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45712</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45712</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45712</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45712</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45712</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45712</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45712</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45712</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45712</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45712</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45712</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45712</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45712</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45712</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45712</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45712</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45712</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45712</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45712</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45712</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45712</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45712</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45712</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45712</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45712</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45712</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45712</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45712</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45712</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45712</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45712</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45712</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45712</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45712</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45712</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45712</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45712</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45712</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45712</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45712</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45712</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45712</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45712</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45712</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45712</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45712</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45712</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45712</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45712</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45712</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45712</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45712</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45712</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45712</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45712</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45712</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45712</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45712</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45712</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45712</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45712</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45712</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45712</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45712</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45712</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45712</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45712</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45712</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45712</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45712</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45712</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45712</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45712</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45712</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45712</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45712</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45712</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45712</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45712</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45712</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45712</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45712</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45712</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45712</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45712</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45712</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45712</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45712</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45712</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45712</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45712</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45712</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45712</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45712</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45712</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45712</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45712</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45712</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45712</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45712</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45712</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45712</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45712</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45712</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45712</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45712</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45712</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45712</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45712</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45712</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45712</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45712</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45712</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45712</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45712</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45712</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45712</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45712</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45712</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45712</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45712</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45712</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45712</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45712</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45712</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45712</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45712</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45712</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45712</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45712</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45712</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45712</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45712</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45712</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45712</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45712</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45712</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45712</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45712</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45712</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45712</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45712</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45712</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45712</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45712</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45712</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45712</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45712</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45712</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45712</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45712</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45712</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45712</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45712</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45712</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45712</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45712</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45712</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45712</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45712</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45712</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45712</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45712</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45712</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45712</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45712</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45712</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45712</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45712</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45712</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45712</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45712</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45712</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45712</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45712</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45712</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45712</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45712</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45712</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45712</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45712</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45712</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45712</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45712</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45712</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45712</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45712</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45712</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45712</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45712</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45712</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45712</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45712</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45712</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45712</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45712</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45712</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45712</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45712</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45712</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45712</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45712</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45712</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45712</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45712</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45712</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45712</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45712</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45712</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45712</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45712</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45712</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45712</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45712</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45712</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45712</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45712</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45712</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45712</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45712</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45712</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45712</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45712</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45712</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45712</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45712</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45712</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45712</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45712</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45712</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45712</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45712</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45712</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45712</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45712</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45712</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45712</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45712</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45712</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45712</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45712</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45712</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45712</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45712</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45712</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45712</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45712</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45712</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45712</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45712</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45712</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45712</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45712</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45712</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45712</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45712</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45712</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45712</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45712</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45712</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45712</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45712</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45712</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45712</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45712</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45712</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45712</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45712</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45712</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45712</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45712</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45712</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45712</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45712</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45712</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45712</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45712</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45712</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45712</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45712</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45712</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45712</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45712</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45712</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45712</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45712</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45712</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45712</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45712</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45712</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45712</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45712</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45712</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45712</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45712</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45712</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45712</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45712</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45712</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45712</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45712</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45712</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45712</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45712</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45712</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45712</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45712</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45712</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45712</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45712</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45712</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45712</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45712</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45712</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45712</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45712</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45712</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45712</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45712</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45712</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45712</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45712</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45712</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45712</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45712</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45712</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45712</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45712</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45712</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45712</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45712</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45712</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45712</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45712</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45712</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45712</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45712</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45712</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45712</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45712</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45712</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45712</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45712</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45712</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45712</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45712</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45712</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45712</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45712</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45712</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45712</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45712</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45712</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45712</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45712</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45712</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45712</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45712</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45712</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45712</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45712</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45712</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45712</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45712</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45712</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45712</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45712</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45712</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45712</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45712</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45712</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45712</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45712</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45712</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45712</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45712</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45712</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45712</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45712</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45712</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45712</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45712</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45712</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45712</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45712</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45712</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45712</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45712</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45712</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45712</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45712</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45712</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45712</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45712</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45712</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45712</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45712</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45712</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45712</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45712</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45712</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45712</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45712</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45712</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45712</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45712</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45712</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45712</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45712</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45712</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45712</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45712</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45712</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45712</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45712</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45712</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45712</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45712</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45712</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45712</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45712</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45712</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45712</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45712</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45712</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45712</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45712</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45712</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45712</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45712</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45712</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45712</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45712</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45712</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45712</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45712</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4470-2025</t>
        </is>
      </c>
      <c r="B3094" s="1" t="n">
        <v>45686</v>
      </c>
      <c r="C3094" s="1" t="n">
        <v>45712</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4517-2025</t>
        </is>
      </c>
      <c r="B3095" s="1" t="n">
        <v>45686</v>
      </c>
      <c r="C3095" s="1" t="n">
        <v>45712</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45712</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45712</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45712</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45712</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45712</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5799-2025</t>
        </is>
      </c>
      <c r="B3101" s="1" t="n">
        <v>45694</v>
      </c>
      <c r="C3101" s="1" t="n">
        <v>45712</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5748-2025</t>
        </is>
      </c>
      <c r="B3102" s="1" t="n">
        <v>45694</v>
      </c>
      <c r="C3102" s="1" t="n">
        <v>45712</v>
      </c>
      <c r="D3102" t="inlineStr">
        <is>
          <t>VÄRMLANDS LÄN</t>
        </is>
      </c>
      <c r="E3102" t="inlineStr">
        <is>
          <t>TORSBY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45712</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45712</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45712</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45712</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45712</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45712</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45712</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45712</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45712</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7065-2025</t>
        </is>
      </c>
      <c r="B3112" s="1" t="n">
        <v>45701</v>
      </c>
      <c r="C3112" s="1" t="n">
        <v>45712</v>
      </c>
      <c r="D3112" t="inlineStr">
        <is>
          <t>VÄRMLANDS LÄN</t>
        </is>
      </c>
      <c r="E3112" t="inlineStr">
        <is>
          <t>TORSBY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7101-2025</t>
        </is>
      </c>
      <c r="B3113" s="1" t="n">
        <v>45701</v>
      </c>
      <c r="C3113" s="1" t="n">
        <v>45712</v>
      </c>
      <c r="D3113" t="inlineStr">
        <is>
          <t>VÄRMLANDS LÄN</t>
        </is>
      </c>
      <c r="E3113" t="inlineStr">
        <is>
          <t>TORSBY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6968-2025</t>
        </is>
      </c>
      <c r="B3114" s="1" t="n">
        <v>45701</v>
      </c>
      <c r="C3114" s="1" t="n">
        <v>45712</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45712</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7214-2025</t>
        </is>
      </c>
      <c r="B3116" s="1" t="n">
        <v>45702</v>
      </c>
      <c r="C3116" s="1" t="n">
        <v>45712</v>
      </c>
      <c r="D3116" t="inlineStr">
        <is>
          <t>VÄRMLANDS LÄN</t>
        </is>
      </c>
      <c r="E3116" t="inlineStr">
        <is>
          <t>TORSBY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45712</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7215-2025</t>
        </is>
      </c>
      <c r="B3118" s="1" t="n">
        <v>45702</v>
      </c>
      <c r="C3118" s="1" t="n">
        <v>45712</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7420-2025</t>
        </is>
      </c>
      <c r="B3119" s="1" t="n">
        <v>45705</v>
      </c>
      <c r="C3119" s="1" t="n">
        <v>45712</v>
      </c>
      <c r="D3119" t="inlineStr">
        <is>
          <t>VÄRMLANDS LÄN</t>
        </is>
      </c>
      <c r="E3119" t="inlineStr">
        <is>
          <t>TORSBY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45712</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7643-2025</t>
        </is>
      </c>
      <c r="B3121" s="1" t="n">
        <v>45705</v>
      </c>
      <c r="C3121" s="1" t="n">
        <v>45712</v>
      </c>
      <c r="D3121" t="inlineStr">
        <is>
          <t>VÄRMLANDS LÄN</t>
        </is>
      </c>
      <c r="E3121" t="inlineStr">
        <is>
          <t>TORSBY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7829-2025</t>
        </is>
      </c>
      <c r="B3122" s="1" t="n">
        <v>45706</v>
      </c>
      <c r="C3122" s="1" t="n">
        <v>45712</v>
      </c>
      <c r="D3122" t="inlineStr">
        <is>
          <t>VÄRMLANDS LÄN</t>
        </is>
      </c>
      <c r="E3122" t="inlineStr">
        <is>
          <t>TORSBY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7907-2025</t>
        </is>
      </c>
      <c r="B3123" s="1" t="n">
        <v>45707</v>
      </c>
      <c r="C3123" s="1" t="n">
        <v>45712</v>
      </c>
      <c r="D3123" t="inlineStr">
        <is>
          <t>VÄRMLANDS LÄN</t>
        </is>
      </c>
      <c r="E3123" t="inlineStr">
        <is>
          <t>TORSBY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8025-2025</t>
        </is>
      </c>
      <c r="B3124" s="1" t="n">
        <v>45707</v>
      </c>
      <c r="C3124" s="1" t="n">
        <v>45712</v>
      </c>
      <c r="D3124" t="inlineStr">
        <is>
          <t>VÄRMLANDS LÄN</t>
        </is>
      </c>
      <c r="E3124" t="inlineStr">
        <is>
          <t>TORSBY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8070-2025</t>
        </is>
      </c>
      <c r="B3125" s="1" t="n">
        <v>45707</v>
      </c>
      <c r="C3125" s="1" t="n">
        <v>45712</v>
      </c>
      <c r="D3125" t="inlineStr">
        <is>
          <t>VÄRMLANDS LÄN</t>
        </is>
      </c>
      <c r="E3125" t="inlineStr">
        <is>
          <t>TORSBY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8018-2025</t>
        </is>
      </c>
      <c r="B3126" s="1" t="n">
        <v>45707</v>
      </c>
      <c r="C3126" s="1" t="n">
        <v>45712</v>
      </c>
      <c r="D3126" t="inlineStr">
        <is>
          <t>VÄRMLANDS LÄN</t>
        </is>
      </c>
      <c r="E3126" t="inlineStr">
        <is>
          <t>TORSBY</t>
        </is>
      </c>
      <c r="G3126" t="n">
        <v>22.7</v>
      </c>
      <c r="H3126" t="n">
        <v>0</v>
      </c>
      <c r="I3126" t="n">
        <v>0</v>
      </c>
      <c r="J3126" t="n">
        <v>0</v>
      </c>
      <c r="K3126" t="n">
        <v>0</v>
      </c>
      <c r="L3126" t="n">
        <v>0</v>
      </c>
      <c r="M3126" t="n">
        <v>0</v>
      </c>
      <c r="N3126" t="n">
        <v>0</v>
      </c>
      <c r="O3126" t="n">
        <v>0</v>
      </c>
      <c r="P3126" t="n">
        <v>0</v>
      </c>
      <c r="Q3126" t="n">
        <v>0</v>
      </c>
      <c r="R3126" s="2" t="inlineStr"/>
    </row>
    <row r="3127" ht="15" customHeight="1">
      <c r="A3127" t="inlineStr">
        <is>
          <t>A 8022-2025</t>
        </is>
      </c>
      <c r="B3127" s="1" t="n">
        <v>45707</v>
      </c>
      <c r="C3127" s="1" t="n">
        <v>45712</v>
      </c>
      <c r="D3127" t="inlineStr">
        <is>
          <t>VÄRMLANDS LÄN</t>
        </is>
      </c>
      <c r="E3127" t="inlineStr">
        <is>
          <t>TORSBY</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8188-2025</t>
        </is>
      </c>
      <c r="B3128" s="1" t="n">
        <v>45708</v>
      </c>
      <c r="C3128" s="1" t="n">
        <v>45712</v>
      </c>
      <c r="D3128" t="inlineStr">
        <is>
          <t>VÄRMLANDS LÄN</t>
        </is>
      </c>
      <c r="E3128" t="inlineStr">
        <is>
          <t>TORSBY</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8197-2025</t>
        </is>
      </c>
      <c r="B3129" s="1" t="n">
        <v>45708</v>
      </c>
      <c r="C3129" s="1" t="n">
        <v>45712</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8428-2025</t>
        </is>
      </c>
      <c r="B3130" s="1" t="n">
        <v>45709</v>
      </c>
      <c r="C3130" s="1" t="n">
        <v>45712</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c r="A3131" t="inlineStr">
        <is>
          <t>A 8398-2025</t>
        </is>
      </c>
      <c r="B3131" s="1" t="n">
        <v>45709</v>
      </c>
      <c r="C3131" s="1" t="n">
        <v>45712</v>
      </c>
      <c r="D3131" t="inlineStr">
        <is>
          <t>VÄRMLANDS LÄN</t>
        </is>
      </c>
      <c r="E3131" t="inlineStr">
        <is>
          <t>TORSBY</t>
        </is>
      </c>
      <c r="G3131" t="n">
        <v>2.8</v>
      </c>
      <c r="H3131" t="n">
        <v>0</v>
      </c>
      <c r="I3131" t="n">
        <v>0</v>
      </c>
      <c r="J3131" t="n">
        <v>0</v>
      </c>
      <c r="K3131" t="n">
        <v>0</v>
      </c>
      <c r="L3131" t="n">
        <v>0</v>
      </c>
      <c r="M3131" t="n">
        <v>0</v>
      </c>
      <c r="N3131" t="n">
        <v>0</v>
      </c>
      <c r="O3131" t="n">
        <v>0</v>
      </c>
      <c r="P3131" t="n">
        <v>0</v>
      </c>
      <c r="Q3131" t="n">
        <v>0</v>
      </c>
      <c r="R3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2025-02-24T17:02:29Z</dcterms:created>
  <dcterms:modified xmlns:dcterms="http://purl.org/dc/terms/" xmlns:xsi="http://www.w3.org/2001/XMLSchema-instance" xsi:type="dcterms:W3CDTF">2025-02-24T17:02:32Z</dcterms:modified>
</cp:coreProperties>
</file>