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46092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46092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46092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46092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46092</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46092</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46092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46092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46092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46092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46092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46092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46092</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46092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46092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58856-2025</t>
        </is>
      </c>
      <c r="B26" s="1" t="n">
        <v>45987</v>
      </c>
      <c r="C26" s="1" t="n">
        <v>46092</v>
      </c>
      <c r="D26" t="inlineStr">
        <is>
          <t>VÄRMLANDS LÄN</t>
        </is>
      </c>
      <c r="E26" t="inlineStr">
        <is>
          <t>TORSBY</t>
        </is>
      </c>
      <c r="G26" t="n">
        <v>4.6</v>
      </c>
      <c r="H26" t="n">
        <v>0</v>
      </c>
      <c r="I26" t="n">
        <v>2</v>
      </c>
      <c r="J26" t="n">
        <v>5</v>
      </c>
      <c r="K26" t="n">
        <v>0</v>
      </c>
      <c r="L26" t="n">
        <v>0</v>
      </c>
      <c r="M26" t="n">
        <v>0</v>
      </c>
      <c r="N26" t="n">
        <v>0</v>
      </c>
      <c r="O26" t="n">
        <v>5</v>
      </c>
      <c r="P26" t="n">
        <v>0</v>
      </c>
      <c r="Q26" t="n">
        <v>7</v>
      </c>
      <c r="R26" s="2" t="inlineStr">
        <is>
          <t>Brunpudrad nållav
Dvärgbägarlav
Garnlav
Lunglav
Vedskivlav
Korallblylav
Skuggblåslav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73921-2021</t>
        </is>
      </c>
      <c r="B27" s="1" t="n">
        <v>44553</v>
      </c>
      <c r="C27" s="1" t="n">
        <v>46092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26488-2025</t>
        </is>
      </c>
      <c r="B28" s="1" t="n">
        <v>45807.47668981482</v>
      </c>
      <c r="C28" s="1" t="n">
        <v>46092</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46092</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43822-2023</t>
        </is>
      </c>
      <c r="B30" s="1" t="n">
        <v>45182</v>
      </c>
      <c r="C30" s="1" t="n">
        <v>46092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46092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46092</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46092</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46092</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46092</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46092</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46092</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8514-2022</t>
        </is>
      </c>
      <c r="B39" s="1" t="n">
        <v>44613</v>
      </c>
      <c r="C39" s="1" t="n">
        <v>46092</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62275-2023</t>
        </is>
      </c>
      <c r="B40" s="1" t="n">
        <v>45267</v>
      </c>
      <c r="C40" s="1" t="n">
        <v>46092</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36543-2025</t>
        </is>
      </c>
      <c r="B41" s="1" t="n">
        <v>45869.66658564815</v>
      </c>
      <c r="C41" s="1" t="n">
        <v>46092</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46092</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46092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15086-2025</t>
        </is>
      </c>
      <c r="B44" s="1" t="n">
        <v>45743</v>
      </c>
      <c r="C44" s="1" t="n">
        <v>46092</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25899-2024</t>
        </is>
      </c>
      <c r="B45" s="1" t="n">
        <v>45467</v>
      </c>
      <c r="C45" s="1" t="n">
        <v>46092</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2938-2025</t>
        </is>
      </c>
      <c r="B46" s="1" t="n">
        <v>45678</v>
      </c>
      <c r="C46" s="1" t="n">
        <v>46092</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37948-2024</t>
        </is>
      </c>
      <c r="B47" s="1" t="n">
        <v>45544</v>
      </c>
      <c r="C47" s="1" t="n">
        <v>46092</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54297-2022</t>
        </is>
      </c>
      <c r="B48" s="1" t="n">
        <v>44882</v>
      </c>
      <c r="C48" s="1" t="n">
        <v>46092</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42501-2022</t>
        </is>
      </c>
      <c r="B49" s="1" t="n">
        <v>44831</v>
      </c>
      <c r="C49" s="1" t="n">
        <v>46092</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46092</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46092</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46092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46092</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46092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45468-2025</t>
        </is>
      </c>
      <c r="B55" s="1" t="n">
        <v>45922</v>
      </c>
      <c r="C55" s="1" t="n">
        <v>46092</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59789-2024</t>
        </is>
      </c>
      <c r="B56" s="1" t="n">
        <v>45639</v>
      </c>
      <c r="C56" s="1" t="n">
        <v>46092</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46092</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15044-2025</t>
        </is>
      </c>
      <c r="B58" s="1" t="n">
        <v>45743</v>
      </c>
      <c r="C58" s="1" t="n">
        <v>46092</v>
      </c>
      <c r="D58" t="inlineStr">
        <is>
          <t>VÄRMLANDS LÄN</t>
        </is>
      </c>
      <c r="E58" t="inlineStr">
        <is>
          <t>TORSBY</t>
        </is>
      </c>
      <c r="G58" t="n">
        <v>3.4</v>
      </c>
      <c r="H58" t="n">
        <v>0</v>
      </c>
      <c r="I58" t="n">
        <v>0</v>
      </c>
      <c r="J58" t="n">
        <v>3</v>
      </c>
      <c r="K58" t="n">
        <v>0</v>
      </c>
      <c r="L58" t="n">
        <v>0</v>
      </c>
      <c r="M58" t="n">
        <v>0</v>
      </c>
      <c r="N58" t="n">
        <v>0</v>
      </c>
      <c r="O58" t="n">
        <v>3</v>
      </c>
      <c r="P58" t="n">
        <v>0</v>
      </c>
      <c r="Q58" t="n">
        <v>3</v>
      </c>
      <c r="R58" s="2" t="inlineStr">
        <is>
          <t>Doftskinn
Dvärgbägarlav
Gammelgransskål</t>
        </is>
      </c>
      <c r="S58">
        <f>HYPERLINK("https://klasma.github.io/Logging_1737/artfynd/A 15044-2025 artfynd.xlsx", "A 15044-2025")</f>
        <v/>
      </c>
      <c r="T58">
        <f>HYPERLINK("https://klasma.github.io/Logging_1737/kartor/A 15044-2025 karta.png", "A 15044-2025")</f>
        <v/>
      </c>
      <c r="V58">
        <f>HYPERLINK("https://klasma.github.io/Logging_1737/klagomål/A 15044-2025 FSC-klagomål.docx", "A 15044-2025")</f>
        <v/>
      </c>
      <c r="W58">
        <f>HYPERLINK("https://klasma.github.io/Logging_1737/klagomålsmail/A 15044-2025 FSC-klagomål mail.docx", "A 15044-2025")</f>
        <v/>
      </c>
      <c r="X58">
        <f>HYPERLINK("https://klasma.github.io/Logging_1737/tillsyn/A 15044-2025 tillsynsbegäran.docx", "A 15044-2025")</f>
        <v/>
      </c>
      <c r="Y58">
        <f>HYPERLINK("https://klasma.github.io/Logging_1737/tillsynsmail/A 15044-2025 tillsynsbegäran mail.docx", "A 15044-2025")</f>
        <v/>
      </c>
    </row>
    <row r="59" ht="15" customHeight="1">
      <c r="A59" t="inlineStr">
        <is>
          <t>A 3099-2024</t>
        </is>
      </c>
      <c r="B59" s="1" t="n">
        <v>45316</v>
      </c>
      <c r="C59" s="1" t="n">
        <v>46092</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46092</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42595-2025</t>
        </is>
      </c>
      <c r="B61" s="1" t="n">
        <v>45905</v>
      </c>
      <c r="C61" s="1" t="n">
        <v>46092</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17740-2025</t>
        </is>
      </c>
      <c r="B62" s="1" t="n">
        <v>45758</v>
      </c>
      <c r="C62" s="1" t="n">
        <v>46092</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5680-2024</t>
        </is>
      </c>
      <c r="B63" s="1" t="n">
        <v>45334</v>
      </c>
      <c r="C63" s="1" t="n">
        <v>46092</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67528-2021</t>
        </is>
      </c>
      <c r="B64" s="1" t="n">
        <v>44524</v>
      </c>
      <c r="C64" s="1" t="n">
        <v>46092</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42590-2023</t>
        </is>
      </c>
      <c r="B65" s="1" t="n">
        <v>45181</v>
      </c>
      <c r="C65" s="1" t="n">
        <v>46092</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19030-2025</t>
        </is>
      </c>
      <c r="B66" s="1" t="n">
        <v>45764.65658564815</v>
      </c>
      <c r="C66" s="1" t="n">
        <v>46092</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31835-2024</t>
        </is>
      </c>
      <c r="B67" s="1" t="n">
        <v>45509</v>
      </c>
      <c r="C67" s="1" t="n">
        <v>46092</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57190-2024</t>
        </is>
      </c>
      <c r="B68" s="1" t="n">
        <v>45629</v>
      </c>
      <c r="C68" s="1" t="n">
        <v>46092</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46092</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46092</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62955-2023</t>
        </is>
      </c>
      <c r="B71" s="1" t="n">
        <v>45271</v>
      </c>
      <c r="C71" s="1" t="n">
        <v>46092</v>
      </c>
      <c r="D71" t="inlineStr">
        <is>
          <t>VÄRMLANDS LÄN</t>
        </is>
      </c>
      <c r="E71" t="inlineStr">
        <is>
          <t>TORSBY</t>
        </is>
      </c>
      <c r="F71" t="inlineStr">
        <is>
          <t>Övriga statliga verk och myndigheter</t>
        </is>
      </c>
      <c r="G71" t="n">
        <v>4.2</v>
      </c>
      <c r="H71" t="n">
        <v>0</v>
      </c>
      <c r="I71" t="n">
        <v>0</v>
      </c>
      <c r="J71" t="n">
        <v>2</v>
      </c>
      <c r="K71" t="n">
        <v>0</v>
      </c>
      <c r="L71" t="n">
        <v>0</v>
      </c>
      <c r="M71" t="n">
        <v>0</v>
      </c>
      <c r="N71" t="n">
        <v>0</v>
      </c>
      <c r="O71" t="n">
        <v>2</v>
      </c>
      <c r="P71" t="n">
        <v>0</v>
      </c>
      <c r="Q71" t="n">
        <v>2</v>
      </c>
      <c r="R71" s="2" t="inlineStr">
        <is>
          <t>Garnlav
Vedtrappmossa</t>
        </is>
      </c>
      <c r="S71">
        <f>HYPERLINK("https://klasma.github.io/Logging_1737/artfynd/A 62955-2023 artfynd.xlsx", "A 62955-2023")</f>
        <v/>
      </c>
      <c r="T71">
        <f>HYPERLINK("https://klasma.github.io/Logging_1737/kartor/A 62955-2023 karta.png", "A 62955-2023")</f>
        <v/>
      </c>
      <c r="V71">
        <f>HYPERLINK("https://klasma.github.io/Logging_1737/klagomål/A 62955-2023 FSC-klagomål.docx", "A 62955-2023")</f>
        <v/>
      </c>
      <c r="W71">
        <f>HYPERLINK("https://klasma.github.io/Logging_1737/klagomålsmail/A 62955-2023 FSC-klagomål mail.docx", "A 62955-2023")</f>
        <v/>
      </c>
      <c r="X71">
        <f>HYPERLINK("https://klasma.github.io/Logging_1737/tillsyn/A 62955-2023 tillsynsbegäran.docx", "A 62955-2023")</f>
        <v/>
      </c>
      <c r="Y71">
        <f>HYPERLINK("https://klasma.github.io/Logging_1737/tillsynsmail/A 62955-2023 tillsynsbegäran mail.docx", "A 62955-2023")</f>
        <v/>
      </c>
    </row>
    <row r="72" ht="15" customHeight="1">
      <c r="A72" t="inlineStr">
        <is>
          <t>A 42488-2025</t>
        </is>
      </c>
      <c r="B72" s="1" t="n">
        <v>45905</v>
      </c>
      <c r="C72" s="1" t="n">
        <v>46092</v>
      </c>
      <c r="D72" t="inlineStr">
        <is>
          <t>VÄRMLANDS LÄN</t>
        </is>
      </c>
      <c r="E72" t="inlineStr">
        <is>
          <t>TORSBY</t>
        </is>
      </c>
      <c r="G72" t="n">
        <v>4.1</v>
      </c>
      <c r="H72" t="n">
        <v>0</v>
      </c>
      <c r="I72" t="n">
        <v>2</v>
      </c>
      <c r="J72" t="n">
        <v>0</v>
      </c>
      <c r="K72" t="n">
        <v>0</v>
      </c>
      <c r="L72" t="n">
        <v>0</v>
      </c>
      <c r="M72" t="n">
        <v>0</v>
      </c>
      <c r="N72" t="n">
        <v>0</v>
      </c>
      <c r="O72" t="n">
        <v>0</v>
      </c>
      <c r="P72" t="n">
        <v>0</v>
      </c>
      <c r="Q72" t="n">
        <v>2</v>
      </c>
      <c r="R72" s="2" t="inlineStr">
        <is>
          <t>Skuggblåslav
Vedticka</t>
        </is>
      </c>
      <c r="S72">
        <f>HYPERLINK("https://klasma.github.io/Logging_1737/artfynd/A 42488-2025 artfynd.xlsx", "A 42488-2025")</f>
        <v/>
      </c>
      <c r="T72">
        <f>HYPERLINK("https://klasma.github.io/Logging_1737/kartor/A 42488-2025 karta.png", "A 42488-2025")</f>
        <v/>
      </c>
      <c r="V72">
        <f>HYPERLINK("https://klasma.github.io/Logging_1737/klagomål/A 42488-2025 FSC-klagomål.docx", "A 42488-2025")</f>
        <v/>
      </c>
      <c r="W72">
        <f>HYPERLINK("https://klasma.github.io/Logging_1737/klagomålsmail/A 42488-2025 FSC-klagomål mail.docx", "A 42488-2025")</f>
        <v/>
      </c>
      <c r="X72">
        <f>HYPERLINK("https://klasma.github.io/Logging_1737/tillsyn/A 42488-2025 tillsynsbegäran.docx", "A 42488-2025")</f>
        <v/>
      </c>
      <c r="Y72">
        <f>HYPERLINK("https://klasma.github.io/Logging_1737/tillsynsmail/A 42488-2025 tillsynsbegäran mail.docx", "A 42488-2025")</f>
        <v/>
      </c>
    </row>
    <row r="73" ht="15" customHeight="1">
      <c r="A73" t="inlineStr">
        <is>
          <t>A 62250-2025</t>
        </is>
      </c>
      <c r="B73" s="1" t="n">
        <v>46006</v>
      </c>
      <c r="C73" s="1" t="n">
        <v>46092</v>
      </c>
      <c r="D73" t="inlineStr">
        <is>
          <t>VÄRMLANDS LÄN</t>
        </is>
      </c>
      <c r="E73" t="inlineStr">
        <is>
          <t>TORSBY</t>
        </is>
      </c>
      <c r="F73" t="inlineStr">
        <is>
          <t>Bergvik skog väst AB</t>
        </is>
      </c>
      <c r="G73" t="n">
        <v>1.3</v>
      </c>
      <c r="H73" t="n">
        <v>0</v>
      </c>
      <c r="I73" t="n">
        <v>1</v>
      </c>
      <c r="J73" t="n">
        <v>1</v>
      </c>
      <c r="K73" t="n">
        <v>0</v>
      </c>
      <c r="L73" t="n">
        <v>0</v>
      </c>
      <c r="M73" t="n">
        <v>0</v>
      </c>
      <c r="N73" t="n">
        <v>0</v>
      </c>
      <c r="O73" t="n">
        <v>1</v>
      </c>
      <c r="P73" t="n">
        <v>0</v>
      </c>
      <c r="Q73" t="n">
        <v>2</v>
      </c>
      <c r="R73" s="2" t="inlineStr">
        <is>
          <t>Garnlav
Skuggblåslav</t>
        </is>
      </c>
      <c r="S73">
        <f>HYPERLINK("https://klasma.github.io/Logging_1737/artfynd/A 62250-2025 artfynd.xlsx", "A 62250-2025")</f>
        <v/>
      </c>
      <c r="T73">
        <f>HYPERLINK("https://klasma.github.io/Logging_1737/kartor/A 62250-2025 karta.png", "A 62250-2025")</f>
        <v/>
      </c>
      <c r="V73">
        <f>HYPERLINK("https://klasma.github.io/Logging_1737/klagomål/A 62250-2025 FSC-klagomål.docx", "A 62250-2025")</f>
        <v/>
      </c>
      <c r="W73">
        <f>HYPERLINK("https://klasma.github.io/Logging_1737/klagomålsmail/A 62250-2025 FSC-klagomål mail.docx", "A 62250-2025")</f>
        <v/>
      </c>
      <c r="X73">
        <f>HYPERLINK("https://klasma.github.io/Logging_1737/tillsyn/A 62250-2025 tillsynsbegäran.docx", "A 62250-2025")</f>
        <v/>
      </c>
      <c r="Y73">
        <f>HYPERLINK("https://klasma.github.io/Logging_1737/tillsynsmail/A 62250-2025 tillsynsbegäran mail.docx", "A 62250-2025")</f>
        <v/>
      </c>
    </row>
    <row r="74" ht="15" customHeight="1">
      <c r="A74" t="inlineStr">
        <is>
          <t>A 23091-2024</t>
        </is>
      </c>
      <c r="B74" s="1" t="n">
        <v>45450</v>
      </c>
      <c r="C74" s="1" t="n">
        <v>46092</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46092</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63388-2025</t>
        </is>
      </c>
      <c r="B76" s="1" t="n">
        <v>46011</v>
      </c>
      <c r="C76" s="1" t="n">
        <v>46092</v>
      </c>
      <c r="D76" t="inlineStr">
        <is>
          <t>VÄRMLANDS LÄN</t>
        </is>
      </c>
      <c r="E76" t="inlineStr">
        <is>
          <t>TORSBY</t>
        </is>
      </c>
      <c r="G76" t="n">
        <v>5.4</v>
      </c>
      <c r="H76" t="n">
        <v>0</v>
      </c>
      <c r="I76" t="n">
        <v>0</v>
      </c>
      <c r="J76" t="n">
        <v>2</v>
      </c>
      <c r="K76" t="n">
        <v>0</v>
      </c>
      <c r="L76" t="n">
        <v>0</v>
      </c>
      <c r="M76" t="n">
        <v>0</v>
      </c>
      <c r="N76" t="n">
        <v>0</v>
      </c>
      <c r="O76" t="n">
        <v>2</v>
      </c>
      <c r="P76" t="n">
        <v>0</v>
      </c>
      <c r="Q76" t="n">
        <v>2</v>
      </c>
      <c r="R76" s="2" t="inlineStr">
        <is>
          <t>Mörk kolflarnlav
Vedskivlav</t>
        </is>
      </c>
      <c r="S76">
        <f>HYPERLINK("https://klasma.github.io/Logging_1737/artfynd/A 63388-2025 artfynd.xlsx", "A 63388-2025")</f>
        <v/>
      </c>
      <c r="T76">
        <f>HYPERLINK("https://klasma.github.io/Logging_1737/kartor/A 63388-2025 karta.png", "A 63388-2025")</f>
        <v/>
      </c>
      <c r="V76">
        <f>HYPERLINK("https://klasma.github.io/Logging_1737/klagomål/A 63388-2025 FSC-klagomål.docx", "A 63388-2025")</f>
        <v/>
      </c>
      <c r="W76">
        <f>HYPERLINK("https://klasma.github.io/Logging_1737/klagomålsmail/A 63388-2025 FSC-klagomål mail.docx", "A 63388-2025")</f>
        <v/>
      </c>
      <c r="X76">
        <f>HYPERLINK("https://klasma.github.io/Logging_1737/tillsyn/A 63388-2025 tillsynsbegäran.docx", "A 63388-2025")</f>
        <v/>
      </c>
      <c r="Y76">
        <f>HYPERLINK("https://klasma.github.io/Logging_1737/tillsynsmail/A 63388-2025 tillsynsbegäran mail.docx", "A 63388-2025")</f>
        <v/>
      </c>
    </row>
    <row r="77" ht="15" customHeight="1">
      <c r="A77" t="inlineStr">
        <is>
          <t>A 46580-2025</t>
        </is>
      </c>
      <c r="B77" s="1" t="n">
        <v>45926</v>
      </c>
      <c r="C77" s="1" t="n">
        <v>46092</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46092</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2898-2026</t>
        </is>
      </c>
      <c r="B79" s="1" t="n">
        <v>46037</v>
      </c>
      <c r="C79" s="1" t="n">
        <v>46092</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25212-2025</t>
        </is>
      </c>
      <c r="B80" s="1" t="n">
        <v>45800</v>
      </c>
      <c r="C80" s="1" t="n">
        <v>46092</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16011-2025</t>
        </is>
      </c>
      <c r="B81" s="1" t="n">
        <v>45749</v>
      </c>
      <c r="C81" s="1" t="n">
        <v>46092</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17747-2025</t>
        </is>
      </c>
      <c r="B82" s="1" t="n">
        <v>45758</v>
      </c>
      <c r="C82" s="1" t="n">
        <v>46092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46092</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4718-2023</t>
        </is>
      </c>
      <c r="B84" s="1" t="n">
        <v>44957</v>
      </c>
      <c r="C84" s="1" t="n">
        <v>46092</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34930-2022</t>
        </is>
      </c>
      <c r="B85" s="1" t="n">
        <v>44796</v>
      </c>
      <c r="C85" s="1" t="n">
        <v>46092</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33906-2025</t>
        </is>
      </c>
      <c r="B86" s="1" t="n">
        <v>45842.59878472222</v>
      </c>
      <c r="C86" s="1" t="n">
        <v>46092</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61950-2024</t>
        </is>
      </c>
      <c r="B87" s="1" t="n">
        <v>45653</v>
      </c>
      <c r="C87" s="1" t="n">
        <v>46092</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46092</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46092</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46092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46092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46092</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46092</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46092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46092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46092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46092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46092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46092</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56186-2025</t>
        </is>
      </c>
      <c r="B100" s="1" t="n">
        <v>45974</v>
      </c>
      <c r="C100" s="1" t="n">
        <v>46092</v>
      </c>
      <c r="D100" t="inlineStr">
        <is>
          <t>VÄRMLANDS LÄN</t>
        </is>
      </c>
      <c r="E100" t="inlineStr">
        <is>
          <t>TORSBY</t>
        </is>
      </c>
      <c r="G100" t="n">
        <v>4.3</v>
      </c>
      <c r="H100" t="n">
        <v>0</v>
      </c>
      <c r="I100" t="n">
        <v>0</v>
      </c>
      <c r="J100" t="n">
        <v>0</v>
      </c>
      <c r="K100" t="n">
        <v>1</v>
      </c>
      <c r="L100" t="n">
        <v>0</v>
      </c>
      <c r="M100" t="n">
        <v>0</v>
      </c>
      <c r="N100" t="n">
        <v>0</v>
      </c>
      <c r="O100" t="n">
        <v>1</v>
      </c>
      <c r="P100" t="n">
        <v>1</v>
      </c>
      <c r="Q100" t="n">
        <v>1</v>
      </c>
      <c r="R100" s="2" t="inlineStr">
        <is>
          <t>Raggbock</t>
        </is>
      </c>
      <c r="S100">
        <f>HYPERLINK("https://klasma.github.io/Logging_1737/artfynd/A 56186-2025 artfynd.xlsx", "A 56186-2025")</f>
        <v/>
      </c>
      <c r="T100">
        <f>HYPERLINK("https://klasma.github.io/Logging_1737/kartor/A 56186-2025 karta.png", "A 56186-2025")</f>
        <v/>
      </c>
      <c r="V100">
        <f>HYPERLINK("https://klasma.github.io/Logging_1737/klagomål/A 56186-2025 FSC-klagomål.docx", "A 56186-2025")</f>
        <v/>
      </c>
      <c r="W100">
        <f>HYPERLINK("https://klasma.github.io/Logging_1737/klagomålsmail/A 56186-2025 FSC-klagomål mail.docx", "A 56186-2025")</f>
        <v/>
      </c>
      <c r="X100">
        <f>HYPERLINK("https://klasma.github.io/Logging_1737/tillsyn/A 56186-2025 tillsynsbegäran.docx", "A 56186-2025")</f>
        <v/>
      </c>
      <c r="Y100">
        <f>HYPERLINK("https://klasma.github.io/Logging_1737/tillsynsmail/A 56186-2025 tillsynsbegäran mail.docx", "A 56186-2025")</f>
        <v/>
      </c>
    </row>
    <row r="101" ht="15" customHeight="1">
      <c r="A101" t="inlineStr">
        <is>
          <t>A 1811-2024</t>
        </is>
      </c>
      <c r="B101" s="1" t="n">
        <v>45307</v>
      </c>
      <c r="C101" s="1" t="n">
        <v>46092</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47689-2024</t>
        </is>
      </c>
      <c r="B102" s="1" t="n">
        <v>45588</v>
      </c>
      <c r="C102" s="1" t="n">
        <v>46092</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41416-2025</t>
        </is>
      </c>
      <c r="B103" s="1" t="n">
        <v>45901</v>
      </c>
      <c r="C103" s="1" t="n">
        <v>46092</v>
      </c>
      <c r="D103" t="inlineStr">
        <is>
          <t>VÄRMLANDS LÄN</t>
        </is>
      </c>
      <c r="E103" t="inlineStr">
        <is>
          <t>TORSBY</t>
        </is>
      </c>
      <c r="G103" t="n">
        <v>7.8</v>
      </c>
      <c r="H103" t="n">
        <v>1</v>
      </c>
      <c r="I103" t="n">
        <v>0</v>
      </c>
      <c r="J103" t="n">
        <v>0</v>
      </c>
      <c r="K103" t="n">
        <v>0</v>
      </c>
      <c r="L103" t="n">
        <v>0</v>
      </c>
      <c r="M103" t="n">
        <v>0</v>
      </c>
      <c r="N103" t="n">
        <v>0</v>
      </c>
      <c r="O103" t="n">
        <v>0</v>
      </c>
      <c r="P103" t="n">
        <v>0</v>
      </c>
      <c r="Q103" t="n">
        <v>1</v>
      </c>
      <c r="R103" s="2" t="inlineStr">
        <is>
          <t>Lopplummer (aggregat)</t>
        </is>
      </c>
      <c r="S103">
        <f>HYPERLINK("https://klasma.github.io/Logging_1737/artfynd/A 41416-2025 artfynd.xlsx", "A 41416-2025")</f>
        <v/>
      </c>
      <c r="T103">
        <f>HYPERLINK("https://klasma.github.io/Logging_1737/kartor/A 41416-2025 karta.png", "A 41416-2025")</f>
        <v/>
      </c>
      <c r="V103">
        <f>HYPERLINK("https://klasma.github.io/Logging_1737/klagomål/A 41416-2025 FSC-klagomål.docx", "A 41416-2025")</f>
        <v/>
      </c>
      <c r="W103">
        <f>HYPERLINK("https://klasma.github.io/Logging_1737/klagomålsmail/A 41416-2025 FSC-klagomål mail.docx", "A 41416-2025")</f>
        <v/>
      </c>
      <c r="X103">
        <f>HYPERLINK("https://klasma.github.io/Logging_1737/tillsyn/A 41416-2025 tillsynsbegäran.docx", "A 41416-2025")</f>
        <v/>
      </c>
      <c r="Y103">
        <f>HYPERLINK("https://klasma.github.io/Logging_1737/tillsynsmail/A 41416-2025 tillsynsbegäran mail.docx", "A 41416-2025")</f>
        <v/>
      </c>
    </row>
    <row r="104" ht="15" customHeight="1">
      <c r="A104" t="inlineStr">
        <is>
          <t>A 60688-2025</t>
        </is>
      </c>
      <c r="B104" s="1" t="n">
        <v>45996</v>
      </c>
      <c r="C104" s="1" t="n">
        <v>46092</v>
      </c>
      <c r="D104" t="inlineStr">
        <is>
          <t>VÄRMLANDS LÄN</t>
        </is>
      </c>
      <c r="E104" t="inlineStr">
        <is>
          <t>TORSBY</t>
        </is>
      </c>
      <c r="G104" t="n">
        <v>2</v>
      </c>
      <c r="H104" t="n">
        <v>0</v>
      </c>
      <c r="I104" t="n">
        <v>0</v>
      </c>
      <c r="J104" t="n">
        <v>1</v>
      </c>
      <c r="K104" t="n">
        <v>0</v>
      </c>
      <c r="L104" t="n">
        <v>0</v>
      </c>
      <c r="M104" t="n">
        <v>0</v>
      </c>
      <c r="N104" t="n">
        <v>0</v>
      </c>
      <c r="O104" t="n">
        <v>1</v>
      </c>
      <c r="P104" t="n">
        <v>0</v>
      </c>
      <c r="Q104" t="n">
        <v>1</v>
      </c>
      <c r="R104" s="2" t="inlineStr">
        <is>
          <t>Späd bäckmossa</t>
        </is>
      </c>
      <c r="S104">
        <f>HYPERLINK("https://klasma.github.io/Logging_1737/artfynd/A 60688-2025 artfynd.xlsx", "A 60688-2025")</f>
        <v/>
      </c>
      <c r="T104">
        <f>HYPERLINK("https://klasma.github.io/Logging_1737/kartor/A 60688-2025 karta.png", "A 60688-2025")</f>
        <v/>
      </c>
      <c r="V104">
        <f>HYPERLINK("https://klasma.github.io/Logging_1737/klagomål/A 60688-2025 FSC-klagomål.docx", "A 60688-2025")</f>
        <v/>
      </c>
      <c r="W104">
        <f>HYPERLINK("https://klasma.github.io/Logging_1737/klagomålsmail/A 60688-2025 FSC-klagomål mail.docx", "A 60688-2025")</f>
        <v/>
      </c>
      <c r="X104">
        <f>HYPERLINK("https://klasma.github.io/Logging_1737/tillsyn/A 60688-2025 tillsynsbegäran.docx", "A 60688-2025")</f>
        <v/>
      </c>
      <c r="Y104">
        <f>HYPERLINK("https://klasma.github.io/Logging_1737/tillsynsmail/A 60688-2025 tillsynsbegäran mail.docx", "A 60688-2025")</f>
        <v/>
      </c>
    </row>
    <row r="105" ht="15" customHeight="1">
      <c r="A105" t="inlineStr">
        <is>
          <t>A 54982-2021</t>
        </is>
      </c>
      <c r="B105" s="1" t="n">
        <v>44469</v>
      </c>
      <c r="C105" s="1" t="n">
        <v>46092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46092</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50318-2024</t>
        </is>
      </c>
      <c r="B107" s="1" t="n">
        <v>45600</v>
      </c>
      <c r="C107" s="1" t="n">
        <v>46092</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62690-2025</t>
        </is>
      </c>
      <c r="B108" s="1" t="n">
        <v>46007</v>
      </c>
      <c r="C108" s="1" t="n">
        <v>46092</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25217-2025</t>
        </is>
      </c>
      <c r="B109" s="1" t="n">
        <v>45800.4756712963</v>
      </c>
      <c r="C109" s="1" t="n">
        <v>46092</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58470-2021</t>
        </is>
      </c>
      <c r="B110" s="1" t="n">
        <v>44488</v>
      </c>
      <c r="C110" s="1" t="n">
        <v>46092</v>
      </c>
      <c r="D110" t="inlineStr">
        <is>
          <t>VÄRMLANDS LÄN</t>
        </is>
      </c>
      <c r="E110" t="inlineStr">
        <is>
          <t>TORSBY</t>
        </is>
      </c>
      <c r="G110" t="n">
        <v>8.699999999999999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58470-2021 artfynd.xlsx", "A 58470-2021")</f>
        <v/>
      </c>
      <c r="T110">
        <f>HYPERLINK("https://klasma.github.io/Logging_1737/kartor/A 58470-2021 karta.png", "A 58470-2021")</f>
        <v/>
      </c>
      <c r="V110">
        <f>HYPERLINK("https://klasma.github.io/Logging_1737/klagomål/A 58470-2021 FSC-klagomål.docx", "A 58470-2021")</f>
        <v/>
      </c>
      <c r="W110">
        <f>HYPERLINK("https://klasma.github.io/Logging_1737/klagomålsmail/A 58470-2021 FSC-klagomål mail.docx", "A 58470-2021")</f>
        <v/>
      </c>
      <c r="X110">
        <f>HYPERLINK("https://klasma.github.io/Logging_1737/tillsyn/A 58470-2021 tillsynsbegäran.docx", "A 58470-2021")</f>
        <v/>
      </c>
      <c r="Y110">
        <f>HYPERLINK("https://klasma.github.io/Logging_1737/tillsynsmail/A 58470-2021 tillsynsbegäran mail.docx", "A 58470-2021")</f>
        <v/>
      </c>
    </row>
    <row r="111" ht="15" customHeight="1">
      <c r="A111" t="inlineStr">
        <is>
          <t>A 25802-2025</t>
        </is>
      </c>
      <c r="B111" s="1" t="n">
        <v>45804.40766203704</v>
      </c>
      <c r="C111" s="1" t="n">
        <v>46092</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16164-2025</t>
        </is>
      </c>
      <c r="B112" s="1" t="n">
        <v>45750</v>
      </c>
      <c r="C112" s="1" t="n">
        <v>46092</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46092</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27108-2025</t>
        </is>
      </c>
      <c r="B114" s="1" t="n">
        <v>45811.72777777778</v>
      </c>
      <c r="C114" s="1" t="n">
        <v>46092</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13359-2023</t>
        </is>
      </c>
      <c r="B115" s="1" t="n">
        <v>45005.46405092593</v>
      </c>
      <c r="C115" s="1" t="n">
        <v>46092</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46092</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27301-2025</t>
        </is>
      </c>
      <c r="B117" s="1" t="n">
        <v>45812.57186342592</v>
      </c>
      <c r="C117" s="1" t="n">
        <v>46092</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44018-2025</t>
        </is>
      </c>
      <c r="B118" s="1" t="n">
        <v>45915</v>
      </c>
      <c r="C118" s="1" t="n">
        <v>46092</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29756-2025</t>
        </is>
      </c>
      <c r="B119" s="1" t="n">
        <v>45825.61525462963</v>
      </c>
      <c r="C119" s="1" t="n">
        <v>46092</v>
      </c>
      <c r="D119" t="inlineStr">
        <is>
          <t>VÄRMLANDS LÄN</t>
        </is>
      </c>
      <c r="E119" t="inlineStr">
        <is>
          <t>TORSBY</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HYPERLINK("https://klasma.github.io/Logging_1737/artfynd/A 29756-2025 artfynd.xlsx", "A 29756-2025")</f>
        <v/>
      </c>
      <c r="T119">
        <f>HYPERLINK("https://klasma.github.io/Logging_1737/kartor/A 29756-2025 karta.png", "A 29756-2025")</f>
        <v/>
      </c>
      <c r="V119">
        <f>HYPERLINK("https://klasma.github.io/Logging_1737/klagomål/A 29756-2025 FSC-klagomål.docx", "A 29756-2025")</f>
        <v/>
      </c>
      <c r="W119">
        <f>HYPERLINK("https://klasma.github.io/Logging_1737/klagomålsmail/A 29756-2025 FSC-klagomål mail.docx", "A 29756-2025")</f>
        <v/>
      </c>
      <c r="X119">
        <f>HYPERLINK("https://klasma.github.io/Logging_1737/tillsyn/A 29756-2025 tillsynsbegäran.docx", "A 29756-2025")</f>
        <v/>
      </c>
      <c r="Y119">
        <f>HYPERLINK("https://klasma.github.io/Logging_1737/tillsynsmail/A 29756-2025 tillsynsbegäran mail.docx", "A 29756-2025")</f>
        <v/>
      </c>
    </row>
    <row r="120" ht="15" customHeight="1">
      <c r="A120" t="inlineStr">
        <is>
          <t>A 1534-2026</t>
        </is>
      </c>
      <c r="B120" s="1" t="n">
        <v>46034</v>
      </c>
      <c r="C120" s="1" t="n">
        <v>46092</v>
      </c>
      <c r="D120" t="inlineStr">
        <is>
          <t>VÄRMLANDS LÄN</t>
        </is>
      </c>
      <c r="E120" t="inlineStr">
        <is>
          <t>TORSBY</t>
        </is>
      </c>
      <c r="G120" t="n">
        <v>2.1</v>
      </c>
      <c r="H120" t="n">
        <v>0</v>
      </c>
      <c r="I120" t="n">
        <v>0</v>
      </c>
      <c r="J120" t="n">
        <v>1</v>
      </c>
      <c r="K120" t="n">
        <v>0</v>
      </c>
      <c r="L120" t="n">
        <v>0</v>
      </c>
      <c r="M120" t="n">
        <v>0</v>
      </c>
      <c r="N120" t="n">
        <v>0</v>
      </c>
      <c r="O120" t="n">
        <v>1</v>
      </c>
      <c r="P120" t="n">
        <v>0</v>
      </c>
      <c r="Q120" t="n">
        <v>1</v>
      </c>
      <c r="R120" s="2" t="inlineStr">
        <is>
          <t>Garnlav</t>
        </is>
      </c>
      <c r="S120">
        <f>HYPERLINK("https://klasma.github.io/Logging_1737/artfynd/A 1534-2026 artfynd.xlsx", "A 1534-2026")</f>
        <v/>
      </c>
      <c r="T120">
        <f>HYPERLINK("https://klasma.github.io/Logging_1737/kartor/A 1534-2026 karta.png", "A 1534-2026")</f>
        <v/>
      </c>
      <c r="V120">
        <f>HYPERLINK("https://klasma.github.io/Logging_1737/klagomål/A 1534-2026 FSC-klagomål.docx", "A 1534-2026")</f>
        <v/>
      </c>
      <c r="W120">
        <f>HYPERLINK("https://klasma.github.io/Logging_1737/klagomålsmail/A 1534-2026 FSC-klagomål mail.docx", "A 1534-2026")</f>
        <v/>
      </c>
      <c r="X120">
        <f>HYPERLINK("https://klasma.github.io/Logging_1737/tillsyn/A 1534-2026 tillsynsbegäran.docx", "A 1534-2026")</f>
        <v/>
      </c>
      <c r="Y120">
        <f>HYPERLINK("https://klasma.github.io/Logging_1737/tillsynsmail/A 1534-2026 tillsynsbegäran mail.docx", "A 1534-2026")</f>
        <v/>
      </c>
    </row>
    <row r="121" ht="15" customHeight="1">
      <c r="A121" t="inlineStr">
        <is>
          <t>A 15548-2023</t>
        </is>
      </c>
      <c r="B121" s="1" t="n">
        <v>45020</v>
      </c>
      <c r="C121" s="1" t="n">
        <v>46092</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50712-2025</t>
        </is>
      </c>
      <c r="B122" s="1" t="n">
        <v>45946.34440972222</v>
      </c>
      <c r="C122" s="1" t="n">
        <v>46092</v>
      </c>
      <c r="D122" t="inlineStr">
        <is>
          <t>VÄRMLANDS LÄN</t>
        </is>
      </c>
      <c r="E122" t="inlineStr">
        <is>
          <t>TORSBY</t>
        </is>
      </c>
      <c r="F122" t="inlineStr">
        <is>
          <t>Bergvik skog väst AB</t>
        </is>
      </c>
      <c r="G122" t="n">
        <v>7.6</v>
      </c>
      <c r="H122" t="n">
        <v>0</v>
      </c>
      <c r="I122" t="n">
        <v>0</v>
      </c>
      <c r="J122" t="n">
        <v>1</v>
      </c>
      <c r="K122" t="n">
        <v>0</v>
      </c>
      <c r="L122" t="n">
        <v>0</v>
      </c>
      <c r="M122" t="n">
        <v>0</v>
      </c>
      <c r="N122" t="n">
        <v>0</v>
      </c>
      <c r="O122" t="n">
        <v>1</v>
      </c>
      <c r="P122" t="n">
        <v>0</v>
      </c>
      <c r="Q122" t="n">
        <v>1</v>
      </c>
      <c r="R122" s="2" t="inlineStr">
        <is>
          <t>Vedskivlav</t>
        </is>
      </c>
      <c r="S122">
        <f>HYPERLINK("https://klasma.github.io/Logging_1737/artfynd/A 50712-2025 artfynd.xlsx", "A 50712-2025")</f>
        <v/>
      </c>
      <c r="T122">
        <f>HYPERLINK("https://klasma.github.io/Logging_1737/kartor/A 50712-2025 karta.png", "A 50712-2025")</f>
        <v/>
      </c>
      <c r="V122">
        <f>HYPERLINK("https://klasma.github.io/Logging_1737/klagomål/A 50712-2025 FSC-klagomål.docx", "A 50712-2025")</f>
        <v/>
      </c>
      <c r="W122">
        <f>HYPERLINK("https://klasma.github.io/Logging_1737/klagomålsmail/A 50712-2025 FSC-klagomål mail.docx", "A 50712-2025")</f>
        <v/>
      </c>
      <c r="X122">
        <f>HYPERLINK("https://klasma.github.io/Logging_1737/tillsyn/A 50712-2025 tillsynsbegäran.docx", "A 50712-2025")</f>
        <v/>
      </c>
      <c r="Y122">
        <f>HYPERLINK("https://klasma.github.io/Logging_1737/tillsynsmail/A 50712-2025 tillsynsbegäran mail.docx", "A 50712-2025")</f>
        <v/>
      </c>
    </row>
    <row r="123" ht="15" customHeight="1">
      <c r="A123" t="inlineStr">
        <is>
          <t>A 14212-2025</t>
        </is>
      </c>
      <c r="B123" s="1" t="n">
        <v>45740</v>
      </c>
      <c r="C123" s="1" t="n">
        <v>46092</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32328-2025</t>
        </is>
      </c>
      <c r="B124" s="1" t="n">
        <v>45836.46289351852</v>
      </c>
      <c r="C124" s="1" t="n">
        <v>46092</v>
      </c>
      <c r="D124" t="inlineStr">
        <is>
          <t>VÄRMLANDS LÄN</t>
        </is>
      </c>
      <c r="E124" t="inlineStr">
        <is>
          <t>TORSBY</t>
        </is>
      </c>
      <c r="G124" t="n">
        <v>1.1</v>
      </c>
      <c r="H124" t="n">
        <v>0</v>
      </c>
      <c r="I124" t="n">
        <v>0</v>
      </c>
      <c r="J124" t="n">
        <v>1</v>
      </c>
      <c r="K124" t="n">
        <v>0</v>
      </c>
      <c r="L124" t="n">
        <v>0</v>
      </c>
      <c r="M124" t="n">
        <v>0</v>
      </c>
      <c r="N124" t="n">
        <v>0</v>
      </c>
      <c r="O124" t="n">
        <v>1</v>
      </c>
      <c r="P124" t="n">
        <v>0</v>
      </c>
      <c r="Q124" t="n">
        <v>1</v>
      </c>
      <c r="R124" s="2" t="inlineStr">
        <is>
          <t>Ullticka</t>
        </is>
      </c>
      <c r="S124">
        <f>HYPERLINK("https://klasma.github.io/Logging_1737/artfynd/A 32328-2025 artfynd.xlsx", "A 32328-2025")</f>
        <v/>
      </c>
      <c r="T124">
        <f>HYPERLINK("https://klasma.github.io/Logging_1737/kartor/A 32328-2025 karta.png", "A 32328-2025")</f>
        <v/>
      </c>
      <c r="V124">
        <f>HYPERLINK("https://klasma.github.io/Logging_1737/klagomål/A 32328-2025 FSC-klagomål.docx", "A 32328-2025")</f>
        <v/>
      </c>
      <c r="W124">
        <f>HYPERLINK("https://klasma.github.io/Logging_1737/klagomålsmail/A 32328-2025 FSC-klagomål mail.docx", "A 32328-2025")</f>
        <v/>
      </c>
      <c r="X124">
        <f>HYPERLINK("https://klasma.github.io/Logging_1737/tillsyn/A 32328-2025 tillsynsbegäran.docx", "A 32328-2025")</f>
        <v/>
      </c>
      <c r="Y124">
        <f>HYPERLINK("https://klasma.github.io/Logging_1737/tillsynsmail/A 32328-2025 tillsynsbegäran mail.docx", "A 32328-2025")</f>
        <v/>
      </c>
    </row>
    <row r="125" ht="15" customHeight="1">
      <c r="A125" t="inlineStr">
        <is>
          <t>A 52418-2025</t>
        </is>
      </c>
      <c r="B125" s="1" t="n">
        <v>45954.36844907407</v>
      </c>
      <c r="C125" s="1" t="n">
        <v>46092</v>
      </c>
      <c r="D125" t="inlineStr">
        <is>
          <t>VÄRMLANDS LÄN</t>
        </is>
      </c>
      <c r="E125" t="inlineStr">
        <is>
          <t>TORSBY</t>
        </is>
      </c>
      <c r="G125" t="n">
        <v>4.1</v>
      </c>
      <c r="H125" t="n">
        <v>1</v>
      </c>
      <c r="I125" t="n">
        <v>0</v>
      </c>
      <c r="J125" t="n">
        <v>1</v>
      </c>
      <c r="K125" t="n">
        <v>0</v>
      </c>
      <c r="L125" t="n">
        <v>0</v>
      </c>
      <c r="M125" t="n">
        <v>0</v>
      </c>
      <c r="N125" t="n">
        <v>0</v>
      </c>
      <c r="O125" t="n">
        <v>1</v>
      </c>
      <c r="P125" t="n">
        <v>0</v>
      </c>
      <c r="Q125" t="n">
        <v>1</v>
      </c>
      <c r="R125" s="2" t="inlineStr">
        <is>
          <t>Mindre hackspett</t>
        </is>
      </c>
      <c r="S125">
        <f>HYPERLINK("https://klasma.github.io/Logging_1737/artfynd/A 52418-2025 artfynd.xlsx", "A 52418-2025")</f>
        <v/>
      </c>
      <c r="T125">
        <f>HYPERLINK("https://klasma.github.io/Logging_1737/kartor/A 52418-2025 karta.png", "A 52418-2025")</f>
        <v/>
      </c>
      <c r="V125">
        <f>HYPERLINK("https://klasma.github.io/Logging_1737/klagomål/A 52418-2025 FSC-klagomål.docx", "A 52418-2025")</f>
        <v/>
      </c>
      <c r="W125">
        <f>HYPERLINK("https://klasma.github.io/Logging_1737/klagomålsmail/A 52418-2025 FSC-klagomål mail.docx", "A 52418-2025")</f>
        <v/>
      </c>
      <c r="X125">
        <f>HYPERLINK("https://klasma.github.io/Logging_1737/tillsyn/A 52418-2025 tillsynsbegäran.docx", "A 52418-2025")</f>
        <v/>
      </c>
      <c r="Y125">
        <f>HYPERLINK("https://klasma.github.io/Logging_1737/tillsynsmail/A 52418-2025 tillsynsbegäran mail.docx", "A 52418-2025")</f>
        <v/>
      </c>
      <c r="Z125">
        <f>HYPERLINK("https://klasma.github.io/Logging_1737/fåglar/A 52418-2025 prioriterade fågelarter.docx", "A 52418-2025")</f>
        <v/>
      </c>
    </row>
    <row r="126" ht="15" customHeight="1">
      <c r="A126" t="inlineStr">
        <is>
          <t>A 53388-2025</t>
        </is>
      </c>
      <c r="B126" s="1" t="n">
        <v>45959.54763888889</v>
      </c>
      <c r="C126" s="1" t="n">
        <v>46092</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11763-2026</t>
        </is>
      </c>
      <c r="B127" s="1" t="n">
        <v>46084</v>
      </c>
      <c r="C127" s="1" t="n">
        <v>46092</v>
      </c>
      <c r="D127" t="inlineStr">
        <is>
          <t>VÄRMLANDS LÄN</t>
        </is>
      </c>
      <c r="E127" t="inlineStr">
        <is>
          <t>TORSBY</t>
        </is>
      </c>
      <c r="G127" t="n">
        <v>0.9</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11763-2026 artfynd.xlsx", "A 11763-2026")</f>
        <v/>
      </c>
      <c r="T127">
        <f>HYPERLINK("https://klasma.github.io/Logging_1737/kartor/A 11763-2026 karta.png", "A 11763-2026")</f>
        <v/>
      </c>
      <c r="V127">
        <f>HYPERLINK("https://klasma.github.io/Logging_1737/klagomål/A 11763-2026 FSC-klagomål.docx", "A 11763-2026")</f>
        <v/>
      </c>
      <c r="W127">
        <f>HYPERLINK("https://klasma.github.io/Logging_1737/klagomålsmail/A 11763-2026 FSC-klagomål mail.docx", "A 11763-2026")</f>
        <v/>
      </c>
      <c r="X127">
        <f>HYPERLINK("https://klasma.github.io/Logging_1737/tillsyn/A 11763-2026 tillsynsbegäran.docx", "A 11763-2026")</f>
        <v/>
      </c>
      <c r="Y127">
        <f>HYPERLINK("https://klasma.github.io/Logging_1737/tillsynsmail/A 11763-2026 tillsynsbegäran mail.docx", "A 11763-2026")</f>
        <v/>
      </c>
    </row>
    <row r="128" ht="15" customHeight="1">
      <c r="A128" t="inlineStr">
        <is>
          <t>A 41477-2024</t>
        </is>
      </c>
      <c r="B128" s="1" t="n">
        <v>45560</v>
      </c>
      <c r="C128" s="1" t="n">
        <v>46092</v>
      </c>
      <c r="D128" t="inlineStr">
        <is>
          <t>VÄRMLANDS LÄN</t>
        </is>
      </c>
      <c r="E128" t="inlineStr">
        <is>
          <t>TORSBY</t>
        </is>
      </c>
      <c r="G128" t="n">
        <v>6.7</v>
      </c>
      <c r="H128" t="n">
        <v>0</v>
      </c>
      <c r="I128" t="n">
        <v>0</v>
      </c>
      <c r="J128" t="n">
        <v>1</v>
      </c>
      <c r="K128" t="n">
        <v>0</v>
      </c>
      <c r="L128" t="n">
        <v>0</v>
      </c>
      <c r="M128" t="n">
        <v>0</v>
      </c>
      <c r="N128" t="n">
        <v>0</v>
      </c>
      <c r="O128" t="n">
        <v>1</v>
      </c>
      <c r="P128" t="n">
        <v>0</v>
      </c>
      <c r="Q128" t="n">
        <v>1</v>
      </c>
      <c r="R128" s="2" t="inlineStr">
        <is>
          <t>Garnlav</t>
        </is>
      </c>
      <c r="S128">
        <f>HYPERLINK("https://klasma.github.io/Logging_1737/artfynd/A 41477-2024 artfynd.xlsx", "A 41477-2024")</f>
        <v/>
      </c>
      <c r="T128">
        <f>HYPERLINK("https://klasma.github.io/Logging_1737/kartor/A 41477-2024 karta.png", "A 41477-2024")</f>
        <v/>
      </c>
      <c r="V128">
        <f>HYPERLINK("https://klasma.github.io/Logging_1737/klagomål/A 41477-2024 FSC-klagomål.docx", "A 41477-2024")</f>
        <v/>
      </c>
      <c r="W128">
        <f>HYPERLINK("https://klasma.github.io/Logging_1737/klagomålsmail/A 41477-2024 FSC-klagomål mail.docx", "A 41477-2024")</f>
        <v/>
      </c>
      <c r="X128">
        <f>HYPERLINK("https://klasma.github.io/Logging_1737/tillsyn/A 41477-2024 tillsynsbegäran.docx", "A 41477-2024")</f>
        <v/>
      </c>
      <c r="Y128">
        <f>HYPERLINK("https://klasma.github.io/Logging_1737/tillsynsmail/A 41477-2024 tillsynsbegäran mail.docx", "A 41477-2024")</f>
        <v/>
      </c>
    </row>
    <row r="129" ht="15" customHeight="1">
      <c r="A129" t="inlineStr">
        <is>
          <t>A 37292-2024</t>
        </is>
      </c>
      <c r="B129" s="1" t="n">
        <v>45540</v>
      </c>
      <c r="C129" s="1" t="n">
        <v>46092</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25276-2025</t>
        </is>
      </c>
      <c r="B130" s="1" t="n">
        <v>45800</v>
      </c>
      <c r="C130" s="1" t="n">
        <v>46092</v>
      </c>
      <c r="D130" t="inlineStr">
        <is>
          <t>VÄRMLANDS LÄN</t>
        </is>
      </c>
      <c r="E130" t="inlineStr">
        <is>
          <t>TORSBY</t>
        </is>
      </c>
      <c r="G130" t="n">
        <v>27.6</v>
      </c>
      <c r="H130" t="n">
        <v>0</v>
      </c>
      <c r="I130" t="n">
        <v>0</v>
      </c>
      <c r="J130" t="n">
        <v>1</v>
      </c>
      <c r="K130" t="n">
        <v>0</v>
      </c>
      <c r="L130" t="n">
        <v>0</v>
      </c>
      <c r="M130" t="n">
        <v>0</v>
      </c>
      <c r="N130" t="n">
        <v>0</v>
      </c>
      <c r="O130" t="n">
        <v>1</v>
      </c>
      <c r="P130" t="n">
        <v>0</v>
      </c>
      <c r="Q130" t="n">
        <v>1</v>
      </c>
      <c r="R130" s="2" t="inlineStr">
        <is>
          <t>Lunglav</t>
        </is>
      </c>
      <c r="S130">
        <f>HYPERLINK("https://klasma.github.io/Logging_1737/artfynd/A 25276-2025 artfynd.xlsx", "A 25276-2025")</f>
        <v/>
      </c>
      <c r="T130">
        <f>HYPERLINK("https://klasma.github.io/Logging_1737/kartor/A 25276-2025 karta.png", "A 25276-2025")</f>
        <v/>
      </c>
      <c r="V130">
        <f>HYPERLINK("https://klasma.github.io/Logging_1737/klagomål/A 25276-2025 FSC-klagomål.docx", "A 25276-2025")</f>
        <v/>
      </c>
      <c r="W130">
        <f>HYPERLINK("https://klasma.github.io/Logging_1737/klagomålsmail/A 25276-2025 FSC-klagomål mail.docx", "A 25276-2025")</f>
        <v/>
      </c>
      <c r="X130">
        <f>HYPERLINK("https://klasma.github.io/Logging_1737/tillsyn/A 25276-2025 tillsynsbegäran.docx", "A 25276-2025")</f>
        <v/>
      </c>
      <c r="Y130">
        <f>HYPERLINK("https://klasma.github.io/Logging_1737/tillsynsmail/A 25276-2025 tillsynsbegäran mail.docx", "A 25276-2025")</f>
        <v/>
      </c>
    </row>
    <row r="131" ht="15" customHeight="1">
      <c r="A131" t="inlineStr">
        <is>
          <t>A 40033-2024</t>
        </is>
      </c>
      <c r="B131" s="1" t="n">
        <v>45553</v>
      </c>
      <c r="C131" s="1" t="n">
        <v>46092</v>
      </c>
      <c r="D131" t="inlineStr">
        <is>
          <t>VÄRMLANDS LÄN</t>
        </is>
      </c>
      <c r="E131" t="inlineStr">
        <is>
          <t>TORSBY</t>
        </is>
      </c>
      <c r="G131" t="n">
        <v>6.2</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40033-2024 artfynd.xlsx", "A 40033-2024")</f>
        <v/>
      </c>
      <c r="T131">
        <f>HYPERLINK("https://klasma.github.io/Logging_1737/kartor/A 40033-2024 karta.png", "A 40033-2024")</f>
        <v/>
      </c>
      <c r="V131">
        <f>HYPERLINK("https://klasma.github.io/Logging_1737/klagomål/A 40033-2024 FSC-klagomål.docx", "A 40033-2024")</f>
        <v/>
      </c>
      <c r="W131">
        <f>HYPERLINK("https://klasma.github.io/Logging_1737/klagomålsmail/A 40033-2024 FSC-klagomål mail.docx", "A 40033-2024")</f>
        <v/>
      </c>
      <c r="X131">
        <f>HYPERLINK("https://klasma.github.io/Logging_1737/tillsyn/A 40033-2024 tillsynsbegäran.docx", "A 40033-2024")</f>
        <v/>
      </c>
      <c r="Y131">
        <f>HYPERLINK("https://klasma.github.io/Logging_1737/tillsynsmail/A 40033-2024 tillsynsbegäran mail.docx", "A 40033-2024")</f>
        <v/>
      </c>
    </row>
    <row r="132" ht="15" customHeight="1">
      <c r="A132" t="inlineStr">
        <is>
          <t>A 37327-2025</t>
        </is>
      </c>
      <c r="B132" s="1" t="n">
        <v>45876.64902777778</v>
      </c>
      <c r="C132" s="1" t="n">
        <v>46092</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Garnlav</t>
        </is>
      </c>
      <c r="S132">
        <f>HYPERLINK("https://klasma.github.io/Logging_1737/artfynd/A 37327-2025 artfynd.xlsx", "A 37327-2025")</f>
        <v/>
      </c>
      <c r="T132">
        <f>HYPERLINK("https://klasma.github.io/Logging_1737/kartor/A 37327-2025 karta.png", "A 37327-2025")</f>
        <v/>
      </c>
      <c r="V132">
        <f>HYPERLINK("https://klasma.github.io/Logging_1737/klagomål/A 37327-2025 FSC-klagomål.docx", "A 37327-2025")</f>
        <v/>
      </c>
      <c r="W132">
        <f>HYPERLINK("https://klasma.github.io/Logging_1737/klagomålsmail/A 37327-2025 FSC-klagomål mail.docx", "A 37327-2025")</f>
        <v/>
      </c>
      <c r="X132">
        <f>HYPERLINK("https://klasma.github.io/Logging_1737/tillsyn/A 37327-2025 tillsynsbegäran.docx", "A 37327-2025")</f>
        <v/>
      </c>
      <c r="Y132">
        <f>HYPERLINK("https://klasma.github.io/Logging_1737/tillsynsmail/A 37327-2025 tillsynsbegäran mail.docx", "A 37327-2025")</f>
        <v/>
      </c>
    </row>
    <row r="133" ht="15" customHeight="1">
      <c r="A133" t="inlineStr">
        <is>
          <t>A 39681-2023</t>
        </is>
      </c>
      <c r="B133" s="1" t="n">
        <v>45167</v>
      </c>
      <c r="C133" s="1" t="n">
        <v>46092</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37699-2025</t>
        </is>
      </c>
      <c r="B134" s="1" t="n">
        <v>45880</v>
      </c>
      <c r="C134" s="1" t="n">
        <v>46092</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37548-2025</t>
        </is>
      </c>
      <c r="B135" s="1" t="n">
        <v>45879</v>
      </c>
      <c r="C135" s="1" t="n">
        <v>46092</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38015-2025</t>
        </is>
      </c>
      <c r="B136" s="1" t="n">
        <v>45882</v>
      </c>
      <c r="C136" s="1" t="n">
        <v>46092</v>
      </c>
      <c r="D136" t="inlineStr">
        <is>
          <t>VÄRMLANDS LÄN</t>
        </is>
      </c>
      <c r="E136" t="inlineStr">
        <is>
          <t>TORSBY</t>
        </is>
      </c>
      <c r="F136" t="inlineStr">
        <is>
          <t>Bergvik skog väst AB</t>
        </is>
      </c>
      <c r="G136" t="n">
        <v>5</v>
      </c>
      <c r="H136" t="n">
        <v>0</v>
      </c>
      <c r="I136" t="n">
        <v>0</v>
      </c>
      <c r="J136" t="n">
        <v>1</v>
      </c>
      <c r="K136" t="n">
        <v>0</v>
      </c>
      <c r="L136" t="n">
        <v>0</v>
      </c>
      <c r="M136" t="n">
        <v>0</v>
      </c>
      <c r="N136" t="n">
        <v>0</v>
      </c>
      <c r="O136" t="n">
        <v>1</v>
      </c>
      <c r="P136" t="n">
        <v>0</v>
      </c>
      <c r="Q136" t="n">
        <v>1</v>
      </c>
      <c r="R136" s="2" t="inlineStr">
        <is>
          <t>Mörk kolflarnlav</t>
        </is>
      </c>
      <c r="S136">
        <f>HYPERLINK("https://klasma.github.io/Logging_1737/artfynd/A 38015-2025 artfynd.xlsx", "A 38015-2025")</f>
        <v/>
      </c>
      <c r="T136">
        <f>HYPERLINK("https://klasma.github.io/Logging_1737/kartor/A 38015-2025 karta.png", "A 38015-2025")</f>
        <v/>
      </c>
      <c r="V136">
        <f>HYPERLINK("https://klasma.github.io/Logging_1737/klagomål/A 38015-2025 FSC-klagomål.docx", "A 38015-2025")</f>
        <v/>
      </c>
      <c r="W136">
        <f>HYPERLINK("https://klasma.github.io/Logging_1737/klagomålsmail/A 38015-2025 FSC-klagomål mail.docx", "A 38015-2025")</f>
        <v/>
      </c>
      <c r="X136">
        <f>HYPERLINK("https://klasma.github.io/Logging_1737/tillsyn/A 38015-2025 tillsynsbegäran.docx", "A 38015-2025")</f>
        <v/>
      </c>
      <c r="Y136">
        <f>HYPERLINK("https://klasma.github.io/Logging_1737/tillsynsmail/A 38015-2025 tillsynsbegäran mail.docx", "A 38015-2025")</f>
        <v/>
      </c>
    </row>
    <row r="137" ht="15" customHeight="1">
      <c r="A137" t="inlineStr">
        <is>
          <t>A 42500-2022</t>
        </is>
      </c>
      <c r="B137" s="1" t="n">
        <v>44831</v>
      </c>
      <c r="C137" s="1" t="n">
        <v>46092</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49724-2023</t>
        </is>
      </c>
      <c r="B138" s="1" t="n">
        <v>45208</v>
      </c>
      <c r="C138" s="1" t="n">
        <v>46092</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16572-2022</t>
        </is>
      </c>
      <c r="B139" s="1" t="n">
        <v>44672</v>
      </c>
      <c r="C139" s="1" t="n">
        <v>46092</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56133-2024</t>
        </is>
      </c>
      <c r="B140" s="1" t="n">
        <v>45624</v>
      </c>
      <c r="C140" s="1" t="n">
        <v>46092</v>
      </c>
      <c r="D140" t="inlineStr">
        <is>
          <t>VÄRMLANDS LÄN</t>
        </is>
      </c>
      <c r="E140" t="inlineStr">
        <is>
          <t>TORSBY</t>
        </is>
      </c>
      <c r="G140" t="n">
        <v>2.4</v>
      </c>
      <c r="H140" t="n">
        <v>0</v>
      </c>
      <c r="I140" t="n">
        <v>1</v>
      </c>
      <c r="J140" t="n">
        <v>0</v>
      </c>
      <c r="K140" t="n">
        <v>0</v>
      </c>
      <c r="L140" t="n">
        <v>0</v>
      </c>
      <c r="M140" t="n">
        <v>0</v>
      </c>
      <c r="N140" t="n">
        <v>0</v>
      </c>
      <c r="O140" t="n">
        <v>0</v>
      </c>
      <c r="P140" t="n">
        <v>0</v>
      </c>
      <c r="Q140" t="n">
        <v>1</v>
      </c>
      <c r="R140" s="2" t="inlineStr">
        <is>
          <t>Vedticka</t>
        </is>
      </c>
      <c r="S140">
        <f>HYPERLINK("https://klasma.github.io/Logging_1737/artfynd/A 56133-2024 artfynd.xlsx", "A 56133-2024")</f>
        <v/>
      </c>
      <c r="T140">
        <f>HYPERLINK("https://klasma.github.io/Logging_1737/kartor/A 56133-2024 karta.png", "A 56133-2024")</f>
        <v/>
      </c>
      <c r="V140">
        <f>HYPERLINK("https://klasma.github.io/Logging_1737/klagomål/A 56133-2024 FSC-klagomål.docx", "A 56133-2024")</f>
        <v/>
      </c>
      <c r="W140">
        <f>HYPERLINK("https://klasma.github.io/Logging_1737/klagomålsmail/A 56133-2024 FSC-klagomål mail.docx", "A 56133-2024")</f>
        <v/>
      </c>
      <c r="X140">
        <f>HYPERLINK("https://klasma.github.io/Logging_1737/tillsyn/A 56133-2024 tillsynsbegäran.docx", "A 56133-2024")</f>
        <v/>
      </c>
      <c r="Y140">
        <f>HYPERLINK("https://klasma.github.io/Logging_1737/tillsynsmail/A 56133-2024 tillsynsbegäran mail.docx", "A 56133-2024")</f>
        <v/>
      </c>
    </row>
    <row r="141" ht="15" customHeight="1">
      <c r="A141" t="inlineStr">
        <is>
          <t>A 54009-2024</t>
        </is>
      </c>
      <c r="B141" s="1" t="n">
        <v>45616</v>
      </c>
      <c r="C141" s="1" t="n">
        <v>46092</v>
      </c>
      <c r="D141" t="inlineStr">
        <is>
          <t>VÄRMLANDS LÄN</t>
        </is>
      </c>
      <c r="E141" t="inlineStr">
        <is>
          <t>TORSBY</t>
        </is>
      </c>
      <c r="F141" t="inlineStr">
        <is>
          <t>Bergvik skog väst AB</t>
        </is>
      </c>
      <c r="G141" t="n">
        <v>8.800000000000001</v>
      </c>
      <c r="H141" t="n">
        <v>1</v>
      </c>
      <c r="I141" t="n">
        <v>1</v>
      </c>
      <c r="J141" t="n">
        <v>0</v>
      </c>
      <c r="K141" t="n">
        <v>0</v>
      </c>
      <c r="L141" t="n">
        <v>0</v>
      </c>
      <c r="M141" t="n">
        <v>0</v>
      </c>
      <c r="N141" t="n">
        <v>0</v>
      </c>
      <c r="O141" t="n">
        <v>0</v>
      </c>
      <c r="P141" t="n">
        <v>0</v>
      </c>
      <c r="Q141" t="n">
        <v>1</v>
      </c>
      <c r="R141" s="2" t="inlineStr">
        <is>
          <t>Korallrot</t>
        </is>
      </c>
      <c r="S141">
        <f>HYPERLINK("https://klasma.github.io/Logging_1737/artfynd/A 54009-2024 artfynd.xlsx", "A 54009-2024")</f>
        <v/>
      </c>
      <c r="T141">
        <f>HYPERLINK("https://klasma.github.io/Logging_1737/kartor/A 54009-2024 karta.png", "A 54009-2024")</f>
        <v/>
      </c>
      <c r="V141">
        <f>HYPERLINK("https://klasma.github.io/Logging_1737/klagomål/A 54009-2024 FSC-klagomål.docx", "A 54009-2024")</f>
        <v/>
      </c>
      <c r="W141">
        <f>HYPERLINK("https://klasma.github.io/Logging_1737/klagomålsmail/A 54009-2024 FSC-klagomål mail.docx", "A 54009-2024")</f>
        <v/>
      </c>
      <c r="X141">
        <f>HYPERLINK("https://klasma.github.io/Logging_1737/tillsyn/A 54009-2024 tillsynsbegäran.docx", "A 54009-2024")</f>
        <v/>
      </c>
      <c r="Y141">
        <f>HYPERLINK("https://klasma.github.io/Logging_1737/tillsynsmail/A 54009-2024 tillsynsbegäran mail.docx", "A 54009-2024")</f>
        <v/>
      </c>
    </row>
    <row r="142" ht="15" customHeight="1">
      <c r="A142" t="inlineStr">
        <is>
          <t>A 40934-2024</t>
        </is>
      </c>
      <c r="B142" s="1" t="n">
        <v>45558</v>
      </c>
      <c r="C142" s="1" t="n">
        <v>46092</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Lunglav</t>
        </is>
      </c>
      <c r="S142">
        <f>HYPERLINK("https://klasma.github.io/Logging_1737/artfynd/A 40934-2024 artfynd.xlsx", "A 40934-2024")</f>
        <v/>
      </c>
      <c r="T142">
        <f>HYPERLINK("https://klasma.github.io/Logging_1737/kartor/A 40934-2024 karta.png", "A 40934-2024")</f>
        <v/>
      </c>
      <c r="V142">
        <f>HYPERLINK("https://klasma.github.io/Logging_1737/klagomål/A 40934-2024 FSC-klagomål.docx", "A 40934-2024")</f>
        <v/>
      </c>
      <c r="W142">
        <f>HYPERLINK("https://klasma.github.io/Logging_1737/klagomålsmail/A 40934-2024 FSC-klagomål mail.docx", "A 40934-2024")</f>
        <v/>
      </c>
      <c r="X142">
        <f>HYPERLINK("https://klasma.github.io/Logging_1737/tillsyn/A 40934-2024 tillsynsbegäran.docx", "A 40934-2024")</f>
        <v/>
      </c>
      <c r="Y142">
        <f>HYPERLINK("https://klasma.github.io/Logging_1737/tillsynsmail/A 40934-2024 tillsynsbegäran mail.docx", "A 40934-2024")</f>
        <v/>
      </c>
    </row>
    <row r="143" ht="15" customHeight="1">
      <c r="A143" t="inlineStr">
        <is>
          <t>A 51288-2022</t>
        </is>
      </c>
      <c r="B143" s="1" t="n">
        <v>44868</v>
      </c>
      <c r="C143" s="1" t="n">
        <v>46092</v>
      </c>
      <c r="D143" t="inlineStr">
        <is>
          <t>VÄRMLANDS LÄN</t>
        </is>
      </c>
      <c r="E143" t="inlineStr">
        <is>
          <t>TORSBY</t>
        </is>
      </c>
      <c r="G143" t="n">
        <v>1.9</v>
      </c>
      <c r="H143" t="n">
        <v>1</v>
      </c>
      <c r="I143" t="n">
        <v>0</v>
      </c>
      <c r="J143" t="n">
        <v>0</v>
      </c>
      <c r="K143" t="n">
        <v>1</v>
      </c>
      <c r="L143" t="n">
        <v>0</v>
      </c>
      <c r="M143" t="n">
        <v>0</v>
      </c>
      <c r="N143" t="n">
        <v>0</v>
      </c>
      <c r="O143" t="n">
        <v>1</v>
      </c>
      <c r="P143" t="n">
        <v>1</v>
      </c>
      <c r="Q143" t="n">
        <v>1</v>
      </c>
      <c r="R143" s="2" t="inlineStr">
        <is>
          <t>Bombmurkla</t>
        </is>
      </c>
      <c r="S143">
        <f>HYPERLINK("https://klasma.github.io/Logging_1737/artfynd/A 51288-2022 artfynd.xlsx", "A 51288-2022")</f>
        <v/>
      </c>
      <c r="T143">
        <f>HYPERLINK("https://klasma.github.io/Logging_1737/kartor/A 51288-2022 karta.png", "A 51288-2022")</f>
        <v/>
      </c>
      <c r="V143">
        <f>HYPERLINK("https://klasma.github.io/Logging_1737/klagomål/A 51288-2022 FSC-klagomål.docx", "A 51288-2022")</f>
        <v/>
      </c>
      <c r="W143">
        <f>HYPERLINK("https://klasma.github.io/Logging_1737/klagomålsmail/A 51288-2022 FSC-klagomål mail.docx", "A 51288-2022")</f>
        <v/>
      </c>
      <c r="X143">
        <f>HYPERLINK("https://klasma.github.io/Logging_1737/tillsyn/A 51288-2022 tillsynsbegäran.docx", "A 51288-2022")</f>
        <v/>
      </c>
      <c r="Y143">
        <f>HYPERLINK("https://klasma.github.io/Logging_1737/tillsynsmail/A 51288-2022 tillsynsbegäran mail.docx", "A 51288-2022")</f>
        <v/>
      </c>
    </row>
    <row r="144" ht="15" customHeight="1">
      <c r="A144" t="inlineStr">
        <is>
          <t>A 24042-2021</t>
        </is>
      </c>
      <c r="B144" s="1" t="n">
        <v>44336</v>
      </c>
      <c r="C144" s="1" t="n">
        <v>46092</v>
      </c>
      <c r="D144" t="inlineStr">
        <is>
          <t>VÄRMLANDS LÄN</t>
        </is>
      </c>
      <c r="E144" t="inlineStr">
        <is>
          <t>TORSBY</t>
        </is>
      </c>
      <c r="G144" t="n">
        <v>4.5</v>
      </c>
      <c r="H144" t="n">
        <v>0</v>
      </c>
      <c r="I144" t="n">
        <v>1</v>
      </c>
      <c r="J144" t="n">
        <v>0</v>
      </c>
      <c r="K144" t="n">
        <v>0</v>
      </c>
      <c r="L144" t="n">
        <v>0</v>
      </c>
      <c r="M144" t="n">
        <v>0</v>
      </c>
      <c r="N144" t="n">
        <v>0</v>
      </c>
      <c r="O144" t="n">
        <v>0</v>
      </c>
      <c r="P144" t="n">
        <v>0</v>
      </c>
      <c r="Q144" t="n">
        <v>1</v>
      </c>
      <c r="R144" s="2" t="inlineStr">
        <is>
          <t>Stuplav</t>
        </is>
      </c>
      <c r="S144">
        <f>HYPERLINK("https://klasma.github.io/Logging_1737/artfynd/A 24042-2021 artfynd.xlsx", "A 24042-2021")</f>
        <v/>
      </c>
      <c r="T144">
        <f>HYPERLINK("https://klasma.github.io/Logging_1737/kartor/A 24042-2021 karta.png", "A 24042-2021")</f>
        <v/>
      </c>
      <c r="V144">
        <f>HYPERLINK("https://klasma.github.io/Logging_1737/klagomål/A 24042-2021 FSC-klagomål.docx", "A 24042-2021")</f>
        <v/>
      </c>
      <c r="W144">
        <f>HYPERLINK("https://klasma.github.io/Logging_1737/klagomålsmail/A 24042-2021 FSC-klagomål mail.docx", "A 24042-2021")</f>
        <v/>
      </c>
      <c r="X144">
        <f>HYPERLINK("https://klasma.github.io/Logging_1737/tillsyn/A 24042-2021 tillsynsbegäran.docx", "A 24042-2021")</f>
        <v/>
      </c>
      <c r="Y144">
        <f>HYPERLINK("https://klasma.github.io/Logging_1737/tillsynsmail/A 24042-2021 tillsynsbegäran mail.docx", "A 24042-2021")</f>
        <v/>
      </c>
    </row>
    <row r="145" ht="15" customHeight="1">
      <c r="A145" t="inlineStr">
        <is>
          <t>A 50236-2022</t>
        </is>
      </c>
      <c r="B145" s="1" t="n">
        <v>44865</v>
      </c>
      <c r="C145" s="1" t="n">
        <v>46092</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58014-2024</t>
        </is>
      </c>
      <c r="B146" s="1" t="n">
        <v>45631</v>
      </c>
      <c r="C146" s="1" t="n">
        <v>46092</v>
      </c>
      <c r="D146" t="inlineStr">
        <is>
          <t>VÄRMLANDS LÄN</t>
        </is>
      </c>
      <c r="E146" t="inlineStr">
        <is>
          <t>TORSBY</t>
        </is>
      </c>
      <c r="G146" t="n">
        <v>2.2</v>
      </c>
      <c r="H146" t="n">
        <v>0</v>
      </c>
      <c r="I146" t="n">
        <v>1</v>
      </c>
      <c r="J146" t="n">
        <v>0</v>
      </c>
      <c r="K146" t="n">
        <v>0</v>
      </c>
      <c r="L146" t="n">
        <v>0</v>
      </c>
      <c r="M146" t="n">
        <v>0</v>
      </c>
      <c r="N146" t="n">
        <v>0</v>
      </c>
      <c r="O146" t="n">
        <v>0</v>
      </c>
      <c r="P146" t="n">
        <v>0</v>
      </c>
      <c r="Q146" t="n">
        <v>1</v>
      </c>
      <c r="R146" s="2" t="inlineStr">
        <is>
          <t>Kattfotslav</t>
        </is>
      </c>
      <c r="S146">
        <f>HYPERLINK("https://klasma.github.io/Logging_1737/artfynd/A 58014-2024 artfynd.xlsx", "A 58014-2024")</f>
        <v/>
      </c>
      <c r="T146">
        <f>HYPERLINK("https://klasma.github.io/Logging_1737/kartor/A 58014-2024 karta.png", "A 58014-2024")</f>
        <v/>
      </c>
      <c r="V146">
        <f>HYPERLINK("https://klasma.github.io/Logging_1737/klagomål/A 58014-2024 FSC-klagomål.docx", "A 58014-2024")</f>
        <v/>
      </c>
      <c r="W146">
        <f>HYPERLINK("https://klasma.github.io/Logging_1737/klagomålsmail/A 58014-2024 FSC-klagomål mail.docx", "A 58014-2024")</f>
        <v/>
      </c>
      <c r="X146">
        <f>HYPERLINK("https://klasma.github.io/Logging_1737/tillsyn/A 58014-2024 tillsynsbegäran.docx", "A 58014-2024")</f>
        <v/>
      </c>
      <c r="Y146">
        <f>HYPERLINK("https://klasma.github.io/Logging_1737/tillsynsmail/A 58014-2024 tillsynsbegäran mail.docx", "A 58014-2024")</f>
        <v/>
      </c>
    </row>
    <row r="147" ht="15" customHeight="1">
      <c r="A147" t="inlineStr">
        <is>
          <t>A 5726-2025</t>
        </is>
      </c>
      <c r="B147" s="1" t="n">
        <v>45694</v>
      </c>
      <c r="C147" s="1" t="n">
        <v>46092</v>
      </c>
      <c r="D147" t="inlineStr">
        <is>
          <t>VÄRMLANDS LÄN</t>
        </is>
      </c>
      <c r="E147" t="inlineStr">
        <is>
          <t>TORSBY</t>
        </is>
      </c>
      <c r="G147" t="n">
        <v>3.5</v>
      </c>
      <c r="H147" t="n">
        <v>0</v>
      </c>
      <c r="I147" t="n">
        <v>1</v>
      </c>
      <c r="J147" t="n">
        <v>0</v>
      </c>
      <c r="K147" t="n">
        <v>0</v>
      </c>
      <c r="L147" t="n">
        <v>0</v>
      </c>
      <c r="M147" t="n">
        <v>0</v>
      </c>
      <c r="N147" t="n">
        <v>0</v>
      </c>
      <c r="O147" t="n">
        <v>0</v>
      </c>
      <c r="P147" t="n">
        <v>0</v>
      </c>
      <c r="Q147" t="n">
        <v>1</v>
      </c>
      <c r="R147" s="2" t="inlineStr">
        <is>
          <t>Vedticka</t>
        </is>
      </c>
      <c r="S147">
        <f>HYPERLINK("https://klasma.github.io/Logging_1737/artfynd/A 5726-2025 artfynd.xlsx", "A 5726-2025")</f>
        <v/>
      </c>
      <c r="T147">
        <f>HYPERLINK("https://klasma.github.io/Logging_1737/kartor/A 5726-2025 karta.png", "A 5726-2025")</f>
        <v/>
      </c>
      <c r="V147">
        <f>HYPERLINK("https://klasma.github.io/Logging_1737/klagomål/A 5726-2025 FSC-klagomål.docx", "A 5726-2025")</f>
        <v/>
      </c>
      <c r="W147">
        <f>HYPERLINK("https://klasma.github.io/Logging_1737/klagomålsmail/A 5726-2025 FSC-klagomål mail.docx", "A 5726-2025")</f>
        <v/>
      </c>
      <c r="X147">
        <f>HYPERLINK("https://klasma.github.io/Logging_1737/tillsyn/A 5726-2025 tillsynsbegäran.docx", "A 5726-2025")</f>
        <v/>
      </c>
      <c r="Y147">
        <f>HYPERLINK("https://klasma.github.io/Logging_1737/tillsynsmail/A 5726-2025 tillsynsbegäran mail.docx", "A 5726-2025")</f>
        <v/>
      </c>
    </row>
    <row r="148" ht="15" customHeight="1">
      <c r="A148" t="inlineStr">
        <is>
          <t>A 46099-2023</t>
        </is>
      </c>
      <c r="B148" s="1" t="n">
        <v>45196</v>
      </c>
      <c r="C148" s="1" t="n">
        <v>46092</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54029-2024</t>
        </is>
      </c>
      <c r="B149" s="1" t="n">
        <v>45616</v>
      </c>
      <c r="C149" s="1" t="n">
        <v>46092</v>
      </c>
      <c r="D149" t="inlineStr">
        <is>
          <t>VÄRMLANDS LÄN</t>
        </is>
      </c>
      <c r="E149" t="inlineStr">
        <is>
          <t>TORSBY</t>
        </is>
      </c>
      <c r="G149" t="n">
        <v>10.2</v>
      </c>
      <c r="H149" t="n">
        <v>0</v>
      </c>
      <c r="I149" t="n">
        <v>1</v>
      </c>
      <c r="J149" t="n">
        <v>0</v>
      </c>
      <c r="K149" t="n">
        <v>0</v>
      </c>
      <c r="L149" t="n">
        <v>0</v>
      </c>
      <c r="M149" t="n">
        <v>0</v>
      </c>
      <c r="N149" t="n">
        <v>0</v>
      </c>
      <c r="O149" t="n">
        <v>0</v>
      </c>
      <c r="P149" t="n">
        <v>0</v>
      </c>
      <c r="Q149" t="n">
        <v>1</v>
      </c>
      <c r="R149" s="2" t="inlineStr">
        <is>
          <t>Vedticka</t>
        </is>
      </c>
      <c r="S149">
        <f>HYPERLINK("https://klasma.github.io/Logging_1737/artfynd/A 54029-2024 artfynd.xlsx", "A 54029-2024")</f>
        <v/>
      </c>
      <c r="T149">
        <f>HYPERLINK("https://klasma.github.io/Logging_1737/kartor/A 54029-2024 karta.png", "A 54029-2024")</f>
        <v/>
      </c>
      <c r="V149">
        <f>HYPERLINK("https://klasma.github.io/Logging_1737/klagomål/A 54029-2024 FSC-klagomål.docx", "A 54029-2024")</f>
        <v/>
      </c>
      <c r="W149">
        <f>HYPERLINK("https://klasma.github.io/Logging_1737/klagomålsmail/A 54029-2024 FSC-klagomål mail.docx", "A 54029-2024")</f>
        <v/>
      </c>
      <c r="X149">
        <f>HYPERLINK("https://klasma.github.io/Logging_1737/tillsyn/A 54029-2024 tillsynsbegäran.docx", "A 54029-2024")</f>
        <v/>
      </c>
      <c r="Y149">
        <f>HYPERLINK("https://klasma.github.io/Logging_1737/tillsynsmail/A 54029-2024 tillsynsbegäran mail.docx", "A 54029-2024")</f>
        <v/>
      </c>
    </row>
    <row r="150" ht="15" customHeight="1">
      <c r="A150" t="inlineStr">
        <is>
          <t>A 19974-2021</t>
        </is>
      </c>
      <c r="B150" s="1" t="n">
        <v>44313.66451388889</v>
      </c>
      <c r="C150" s="1" t="n">
        <v>46092</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46092</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46092</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46092</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46092</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46092</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46092</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46092</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46092</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46092</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46092</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46092</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46092</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46092</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46092</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46092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46092</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46092</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46092</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46092</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46092</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46092</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46092</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29717-2022</t>
        </is>
      </c>
      <c r="B174" s="1" t="n">
        <v>44755</v>
      </c>
      <c r="C174" s="1" t="n">
        <v>46092</v>
      </c>
      <c r="D174" t="inlineStr">
        <is>
          <t>VÄRMLANDS LÄN</t>
        </is>
      </c>
      <c r="E174" t="inlineStr">
        <is>
          <t>TORSBY</t>
        </is>
      </c>
      <c r="G174" t="n">
        <v>0.9</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46092</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29721-2022</t>
        </is>
      </c>
      <c r="B176" s="1" t="n">
        <v>44755</v>
      </c>
      <c r="C176" s="1" t="n">
        <v>46092</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22823-2022</t>
        </is>
      </c>
      <c r="B177" s="1" t="n">
        <v>44714</v>
      </c>
      <c r="C177" s="1" t="n">
        <v>46092</v>
      </c>
      <c r="D177" t="inlineStr">
        <is>
          <t>VÄRMLANDS LÄN</t>
        </is>
      </c>
      <c r="E177" t="inlineStr">
        <is>
          <t>TORSBY</t>
        </is>
      </c>
      <c r="G177" t="n">
        <v>4</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46092</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46092</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46092</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46092</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46092</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46092</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46092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46092</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46092</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46092</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46092</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46092</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51522-2021</t>
        </is>
      </c>
      <c r="B190" s="1" t="n">
        <v>44462</v>
      </c>
      <c r="C190" s="1" t="n">
        <v>46092</v>
      </c>
      <c r="D190" t="inlineStr">
        <is>
          <t>VÄRMLANDS LÄN</t>
        </is>
      </c>
      <c r="E190" t="inlineStr">
        <is>
          <t>TORSBY</t>
        </is>
      </c>
      <c r="G190" t="n">
        <v>0.3</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46092</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46092</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46092</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46092</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46092</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46092</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46092</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46092</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46092</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27411-2021</t>
        </is>
      </c>
      <c r="B200" s="1" t="n">
        <v>44351</v>
      </c>
      <c r="C200" s="1" t="n">
        <v>46092</v>
      </c>
      <c r="D200" t="inlineStr">
        <is>
          <t>VÄRMLANDS LÄN</t>
        </is>
      </c>
      <c r="E200" t="inlineStr">
        <is>
          <t>TORSBY</t>
        </is>
      </c>
      <c r="G200" t="n">
        <v>2.5</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46092</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46092</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46092</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46092</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46092</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46092</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46092</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46092</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46092</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46092</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46092</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46092</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46092</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53906-2022</t>
        </is>
      </c>
      <c r="B214" s="1" t="n">
        <v>44880</v>
      </c>
      <c r="C214" s="1" t="n">
        <v>46092</v>
      </c>
      <c r="D214" t="inlineStr">
        <is>
          <t>VÄRMLANDS LÄN</t>
        </is>
      </c>
      <c r="E214" t="inlineStr">
        <is>
          <t>TORSBY</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69275-2021</t>
        </is>
      </c>
      <c r="B215" s="1" t="n">
        <v>44526</v>
      </c>
      <c r="C215" s="1" t="n">
        <v>46092</v>
      </c>
      <c r="D215" t="inlineStr">
        <is>
          <t>VÄRMLANDS LÄN</t>
        </is>
      </c>
      <c r="E215" t="inlineStr">
        <is>
          <t>TORSBY</t>
        </is>
      </c>
      <c r="G215" t="n">
        <v>2</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46092</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46092</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46092</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46092</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46092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46092</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13857-2021</t>
        </is>
      </c>
      <c r="B222" s="1" t="n">
        <v>44277</v>
      </c>
      <c r="C222" s="1" t="n">
        <v>46092</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46092</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46092</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46092</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46092</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46092</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46092</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46092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46092</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46092</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46092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46092</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46092</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46092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46092</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46092</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46092</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46092</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46092</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46092</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46092</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46092</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46092</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46092</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46092</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46092</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46092</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14942-2021</t>
        </is>
      </c>
      <c r="B249" s="1" t="n">
        <v>44281</v>
      </c>
      <c r="C249" s="1" t="n">
        <v>46092</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46092</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46092</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46092</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46092</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46092</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46092</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65998-2021</t>
        </is>
      </c>
      <c r="B256" s="1" t="n">
        <v>44517</v>
      </c>
      <c r="C256" s="1" t="n">
        <v>46092</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46092</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46092</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46092</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46092</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46092</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17765-2022</t>
        </is>
      </c>
      <c r="B262" s="1" t="n">
        <v>44681.41195601852</v>
      </c>
      <c r="C262" s="1" t="n">
        <v>46092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46092</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46092</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20045-2022</t>
        </is>
      </c>
      <c r="B265" s="1" t="n">
        <v>44697</v>
      </c>
      <c r="C265" s="1" t="n">
        <v>46092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46092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46092</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46092</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8739-2022</t>
        </is>
      </c>
      <c r="B269" s="1" t="n">
        <v>44615</v>
      </c>
      <c r="C269" s="1" t="n">
        <v>46092</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46092</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46934-2021</t>
        </is>
      </c>
      <c r="B271" s="1" t="n">
        <v>44446.49893518518</v>
      </c>
      <c r="C271" s="1" t="n">
        <v>46092</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71255-2021</t>
        </is>
      </c>
      <c r="B272" s="1" t="n">
        <v>44538</v>
      </c>
      <c r="C272" s="1" t="n">
        <v>46092</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46092</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46092</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46092</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46092</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46092</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47466-2022</t>
        </is>
      </c>
      <c r="B278" s="1" t="n">
        <v>44852</v>
      </c>
      <c r="C278" s="1" t="n">
        <v>46092</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16375-2021</t>
        </is>
      </c>
      <c r="B279" s="1" t="n">
        <v>44292</v>
      </c>
      <c r="C279" s="1" t="n">
        <v>46092</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22113-2021</t>
        </is>
      </c>
      <c r="B280" s="1" t="n">
        <v>44323</v>
      </c>
      <c r="C280" s="1" t="n">
        <v>46092</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32003-2022</t>
        </is>
      </c>
      <c r="B281" s="1" t="n">
        <v>44778</v>
      </c>
      <c r="C281" s="1" t="n">
        <v>46092</v>
      </c>
      <c r="D281" t="inlineStr">
        <is>
          <t>VÄRMLANDS LÄN</t>
        </is>
      </c>
      <c r="E281" t="inlineStr">
        <is>
          <t>TORSBY</t>
        </is>
      </c>
      <c r="G281" t="n">
        <v>1.4</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46092</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46092</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33181-2022</t>
        </is>
      </c>
      <c r="B284" s="1" t="n">
        <v>44785</v>
      </c>
      <c r="C284" s="1" t="n">
        <v>46092</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46092</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46092</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53044-2022</t>
        </is>
      </c>
      <c r="B287" s="1" t="n">
        <v>44876</v>
      </c>
      <c r="C287" s="1" t="n">
        <v>46092</v>
      </c>
      <c r="D287" t="inlineStr">
        <is>
          <t>VÄRMLANDS LÄN</t>
        </is>
      </c>
      <c r="E287" t="inlineStr">
        <is>
          <t>TORSBY</t>
        </is>
      </c>
      <c r="G287" t="n">
        <v>0.2</v>
      </c>
      <c r="H287" t="n">
        <v>0</v>
      </c>
      <c r="I287" t="n">
        <v>0</v>
      </c>
      <c r="J287" t="n">
        <v>0</v>
      </c>
      <c r="K287" t="n">
        <v>0</v>
      </c>
      <c r="L287" t="n">
        <v>0</v>
      </c>
      <c r="M287" t="n">
        <v>0</v>
      </c>
      <c r="N287" t="n">
        <v>0</v>
      </c>
      <c r="O287" t="n">
        <v>0</v>
      </c>
      <c r="P287" t="n">
        <v>0</v>
      </c>
      <c r="Q287" t="n">
        <v>0</v>
      </c>
      <c r="R287" s="2" t="inlineStr"/>
    </row>
    <row r="288" ht="15" customHeight="1">
      <c r="A288" t="inlineStr">
        <is>
          <t>A 53076-2022</t>
        </is>
      </c>
      <c r="B288" s="1" t="n">
        <v>44876.38284722222</v>
      </c>
      <c r="C288" s="1" t="n">
        <v>46092</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39186-2022</t>
        </is>
      </c>
      <c r="B289" s="1" t="n">
        <v>44817.51549768518</v>
      </c>
      <c r="C289" s="1" t="n">
        <v>46092</v>
      </c>
      <c r="D289" t="inlineStr">
        <is>
          <t>VÄRMLANDS LÄN</t>
        </is>
      </c>
      <c r="E289" t="inlineStr">
        <is>
          <t>TORSBY</t>
        </is>
      </c>
      <c r="F289" t="inlineStr">
        <is>
          <t>Bergvik skog väst AB</t>
        </is>
      </c>
      <c r="G289" t="n">
        <v>20.3</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46092</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46092</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46092</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46092</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52900-2021</t>
        </is>
      </c>
      <c r="B294" s="1" t="n">
        <v>44467</v>
      </c>
      <c r="C294" s="1" t="n">
        <v>46092</v>
      </c>
      <c r="D294" t="inlineStr">
        <is>
          <t>VÄRMLANDS LÄN</t>
        </is>
      </c>
      <c r="E294" t="inlineStr">
        <is>
          <t>TORSBY</t>
        </is>
      </c>
      <c r="G294" t="n">
        <v>3.8</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46092</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46092</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46092</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37608-2021</t>
        </is>
      </c>
      <c r="B298" s="1" t="n">
        <v>44399</v>
      </c>
      <c r="C298" s="1" t="n">
        <v>46092</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29720-2022</t>
        </is>
      </c>
      <c r="B299" s="1" t="n">
        <v>44755</v>
      </c>
      <c r="C299" s="1" t="n">
        <v>46092</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48712-2022</t>
        </is>
      </c>
      <c r="B300" s="1" t="n">
        <v>44859.49574074074</v>
      </c>
      <c r="C300" s="1" t="n">
        <v>46092</v>
      </c>
      <c r="D300" t="inlineStr">
        <is>
          <t>VÄRMLANDS LÄN</t>
        </is>
      </c>
      <c r="E300" t="inlineStr">
        <is>
          <t>TORSBY</t>
        </is>
      </c>
      <c r="F300" t="inlineStr">
        <is>
          <t>Bergvik skog väst AB</t>
        </is>
      </c>
      <c r="G300" t="n">
        <v>22.7</v>
      </c>
      <c r="H300" t="n">
        <v>0</v>
      </c>
      <c r="I300" t="n">
        <v>0</v>
      </c>
      <c r="J300" t="n">
        <v>0</v>
      </c>
      <c r="K300" t="n">
        <v>0</v>
      </c>
      <c r="L300" t="n">
        <v>0</v>
      </c>
      <c r="M300" t="n">
        <v>0</v>
      </c>
      <c r="N300" t="n">
        <v>0</v>
      </c>
      <c r="O300" t="n">
        <v>0</v>
      </c>
      <c r="P300" t="n">
        <v>0</v>
      </c>
      <c r="Q300" t="n">
        <v>0</v>
      </c>
      <c r="R300" s="2" t="inlineStr"/>
    </row>
    <row r="301" ht="15" customHeight="1">
      <c r="A301" t="inlineStr">
        <is>
          <t>A 44327-2022</t>
        </is>
      </c>
      <c r="B301" s="1" t="n">
        <v>44839</v>
      </c>
      <c r="C301" s="1" t="n">
        <v>46092</v>
      </c>
      <c r="D301" t="inlineStr">
        <is>
          <t>VÄRMLANDS LÄN</t>
        </is>
      </c>
      <c r="E301" t="inlineStr">
        <is>
          <t>TORSBY</t>
        </is>
      </c>
      <c r="G301" t="n">
        <v>3.5</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46092</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47083-2021</t>
        </is>
      </c>
      <c r="B303" s="1" t="n">
        <v>44446.66114583334</v>
      </c>
      <c r="C303" s="1" t="n">
        <v>46092</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46092</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46092</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46092</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46092</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46092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29142-2022</t>
        </is>
      </c>
      <c r="B309" s="1" t="n">
        <v>44750</v>
      </c>
      <c r="C309" s="1" t="n">
        <v>46092</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73442-2021</t>
        </is>
      </c>
      <c r="B310" s="1" t="n">
        <v>44551.55063657407</v>
      </c>
      <c r="C310" s="1" t="n">
        <v>46092</v>
      </c>
      <c r="D310" t="inlineStr">
        <is>
          <t>VÄRMLANDS LÄN</t>
        </is>
      </c>
      <c r="E310" t="inlineStr">
        <is>
          <t>TORSBY</t>
        </is>
      </c>
      <c r="F310" t="inlineStr">
        <is>
          <t>Bergvik skog väst AB</t>
        </is>
      </c>
      <c r="G310" t="n">
        <v>4.1</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46092</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23011-2022</t>
        </is>
      </c>
      <c r="B312" s="1" t="n">
        <v>44719.35471064815</v>
      </c>
      <c r="C312" s="1" t="n">
        <v>46092</v>
      </c>
      <c r="D312" t="inlineStr">
        <is>
          <t>VÄRMLANDS LÄN</t>
        </is>
      </c>
      <c r="E312" t="inlineStr">
        <is>
          <t>TORSBY</t>
        </is>
      </c>
      <c r="F312" t="inlineStr">
        <is>
          <t>Bergvik skog väst AB</t>
        </is>
      </c>
      <c r="G312" t="n">
        <v>5.2</v>
      </c>
      <c r="H312" t="n">
        <v>0</v>
      </c>
      <c r="I312" t="n">
        <v>0</v>
      </c>
      <c r="J312" t="n">
        <v>0</v>
      </c>
      <c r="K312" t="n">
        <v>0</v>
      </c>
      <c r="L312" t="n">
        <v>0</v>
      </c>
      <c r="M312" t="n">
        <v>0</v>
      </c>
      <c r="N312" t="n">
        <v>0</v>
      </c>
      <c r="O312" t="n">
        <v>0</v>
      </c>
      <c r="P312" t="n">
        <v>0</v>
      </c>
      <c r="Q312" t="n">
        <v>0</v>
      </c>
      <c r="R312" s="2" t="inlineStr"/>
    </row>
    <row r="313" ht="15" customHeight="1">
      <c r="A313" t="inlineStr">
        <is>
          <t>A 23823-2022</t>
        </is>
      </c>
      <c r="B313" s="1" t="n">
        <v>44722</v>
      </c>
      <c r="C313" s="1" t="n">
        <v>46092</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36527-2022</t>
        </is>
      </c>
      <c r="B314" s="1" t="n">
        <v>44804</v>
      </c>
      <c r="C314" s="1" t="n">
        <v>46092</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36572-2022</t>
        </is>
      </c>
      <c r="B315" s="1" t="n">
        <v>44804.60271990741</v>
      </c>
      <c r="C315" s="1" t="n">
        <v>46092</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46092</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46092</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46092</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33958-2022</t>
        </is>
      </c>
      <c r="B319" s="1" t="n">
        <v>44790.67916666667</v>
      </c>
      <c r="C319" s="1" t="n">
        <v>46092</v>
      </c>
      <c r="D319" t="inlineStr">
        <is>
          <t>VÄRMLANDS LÄN</t>
        </is>
      </c>
      <c r="E319" t="inlineStr">
        <is>
          <t>TORSBY</t>
        </is>
      </c>
      <c r="G319" t="n">
        <v>13.2</v>
      </c>
      <c r="H319" t="n">
        <v>0</v>
      </c>
      <c r="I319" t="n">
        <v>0</v>
      </c>
      <c r="J319" t="n">
        <v>0</v>
      </c>
      <c r="K319" t="n">
        <v>0</v>
      </c>
      <c r="L319" t="n">
        <v>0</v>
      </c>
      <c r="M319" t="n">
        <v>0</v>
      </c>
      <c r="N319" t="n">
        <v>0</v>
      </c>
      <c r="O319" t="n">
        <v>0</v>
      </c>
      <c r="P319" t="n">
        <v>0</v>
      </c>
      <c r="Q319" t="n">
        <v>0</v>
      </c>
      <c r="R319" s="2" t="inlineStr"/>
    </row>
    <row r="320" ht="15" customHeight="1">
      <c r="A320" t="inlineStr">
        <is>
          <t>A 66103-2021</t>
        </is>
      </c>
      <c r="B320" s="1" t="n">
        <v>44517</v>
      </c>
      <c r="C320" s="1" t="n">
        <v>46092</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44517-2022</t>
        </is>
      </c>
      <c r="B321" s="1" t="n">
        <v>44840.43184027778</v>
      </c>
      <c r="C321" s="1" t="n">
        <v>46092</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30384-2021</t>
        </is>
      </c>
      <c r="B322" s="1" t="n">
        <v>44364.4903587963</v>
      </c>
      <c r="C322" s="1" t="n">
        <v>46092</v>
      </c>
      <c r="D322" t="inlineStr">
        <is>
          <t>VÄRMLANDS LÄN</t>
        </is>
      </c>
      <c r="E322" t="inlineStr">
        <is>
          <t>TORSBY</t>
        </is>
      </c>
      <c r="G322" t="n">
        <v>2.8</v>
      </c>
      <c r="H322" t="n">
        <v>0</v>
      </c>
      <c r="I322" t="n">
        <v>0</v>
      </c>
      <c r="J322" t="n">
        <v>0</v>
      </c>
      <c r="K322" t="n">
        <v>0</v>
      </c>
      <c r="L322" t="n">
        <v>0</v>
      </c>
      <c r="M322" t="n">
        <v>0</v>
      </c>
      <c r="N322" t="n">
        <v>0</v>
      </c>
      <c r="O322" t="n">
        <v>0</v>
      </c>
      <c r="P322" t="n">
        <v>0</v>
      </c>
      <c r="Q322" t="n">
        <v>0</v>
      </c>
      <c r="R322" s="2" t="inlineStr"/>
    </row>
    <row r="323" ht="15" customHeight="1">
      <c r="A323" t="inlineStr">
        <is>
          <t>A 19375-2021</t>
        </is>
      </c>
      <c r="B323" s="1" t="n">
        <v>44309.6765625</v>
      </c>
      <c r="C323" s="1" t="n">
        <v>46092</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24960-2022</t>
        </is>
      </c>
      <c r="B324" s="1" t="n">
        <v>44728</v>
      </c>
      <c r="C324" s="1" t="n">
        <v>46092</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32438-2022</t>
        </is>
      </c>
      <c r="B325" s="1" t="n">
        <v>44782</v>
      </c>
      <c r="C325" s="1" t="n">
        <v>46092</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69281-2021</t>
        </is>
      </c>
      <c r="B326" s="1" t="n">
        <v>44526</v>
      </c>
      <c r="C326" s="1" t="n">
        <v>46092</v>
      </c>
      <c r="D326" t="inlineStr">
        <is>
          <t>VÄRMLANDS LÄN</t>
        </is>
      </c>
      <c r="E326" t="inlineStr">
        <is>
          <t>TORSBY</t>
        </is>
      </c>
      <c r="G326" t="n">
        <v>7.5</v>
      </c>
      <c r="H326" t="n">
        <v>0</v>
      </c>
      <c r="I326" t="n">
        <v>0</v>
      </c>
      <c r="J326" t="n">
        <v>0</v>
      </c>
      <c r="K326" t="n">
        <v>0</v>
      </c>
      <c r="L326" t="n">
        <v>0</v>
      </c>
      <c r="M326" t="n">
        <v>0</v>
      </c>
      <c r="N326" t="n">
        <v>0</v>
      </c>
      <c r="O326" t="n">
        <v>0</v>
      </c>
      <c r="P326" t="n">
        <v>0</v>
      </c>
      <c r="Q326" t="n">
        <v>0</v>
      </c>
      <c r="R326" s="2" t="inlineStr"/>
    </row>
    <row r="327" ht="15" customHeight="1">
      <c r="A327" t="inlineStr">
        <is>
          <t>A 42646-2021</t>
        </is>
      </c>
      <c r="B327" s="1" t="n">
        <v>44428.45663194444</v>
      </c>
      <c r="C327" s="1" t="n">
        <v>46092</v>
      </c>
      <c r="D327" t="inlineStr">
        <is>
          <t>VÄRMLANDS LÄN</t>
        </is>
      </c>
      <c r="E327" t="inlineStr">
        <is>
          <t>TORSBY</t>
        </is>
      </c>
      <c r="F327" t="inlineStr">
        <is>
          <t>Bergvik skog väst AB</t>
        </is>
      </c>
      <c r="G327" t="n">
        <v>21.4</v>
      </c>
      <c r="H327" t="n">
        <v>0</v>
      </c>
      <c r="I327" t="n">
        <v>0</v>
      </c>
      <c r="J327" t="n">
        <v>0</v>
      </c>
      <c r="K327" t="n">
        <v>0</v>
      </c>
      <c r="L327" t="n">
        <v>0</v>
      </c>
      <c r="M327" t="n">
        <v>0</v>
      </c>
      <c r="N327" t="n">
        <v>0</v>
      </c>
      <c r="O327" t="n">
        <v>0</v>
      </c>
      <c r="P327" t="n">
        <v>0</v>
      </c>
      <c r="Q327" t="n">
        <v>0</v>
      </c>
      <c r="R327" s="2" t="inlineStr"/>
    </row>
    <row r="328" ht="15" customHeight="1">
      <c r="A328" t="inlineStr">
        <is>
          <t>A 27686-2022</t>
        </is>
      </c>
      <c r="B328" s="1" t="n">
        <v>44743.43273148148</v>
      </c>
      <c r="C328" s="1" t="n">
        <v>46092</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70775-2021</t>
        </is>
      </c>
      <c r="B329" s="1" t="n">
        <v>44537</v>
      </c>
      <c r="C329" s="1" t="n">
        <v>46092</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35221-2021</t>
        </is>
      </c>
      <c r="B330" s="1" t="n">
        <v>44384</v>
      </c>
      <c r="C330" s="1" t="n">
        <v>46092</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35909-2021</t>
        </is>
      </c>
      <c r="B331" s="1" t="n">
        <v>44387</v>
      </c>
      <c r="C331" s="1" t="n">
        <v>46092</v>
      </c>
      <c r="D331" t="inlineStr">
        <is>
          <t>VÄRMLANDS LÄN</t>
        </is>
      </c>
      <c r="E331" t="inlineStr">
        <is>
          <t>TORSBY</t>
        </is>
      </c>
      <c r="G331" t="n">
        <v>3.3</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46092</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22671-2021</t>
        </is>
      </c>
      <c r="B333" s="1" t="n">
        <v>44327</v>
      </c>
      <c r="C333" s="1" t="n">
        <v>46092</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997-2022</t>
        </is>
      </c>
      <c r="B334" s="1" t="n">
        <v>44571</v>
      </c>
      <c r="C334" s="1" t="n">
        <v>46092</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26558-2021</t>
        </is>
      </c>
      <c r="B335" s="1" t="n">
        <v>44348</v>
      </c>
      <c r="C335" s="1" t="n">
        <v>46092</v>
      </c>
      <c r="D335" t="inlineStr">
        <is>
          <t>VÄRMLANDS LÄN</t>
        </is>
      </c>
      <c r="E335" t="inlineStr">
        <is>
          <t>TORSBY</t>
        </is>
      </c>
      <c r="G335" t="n">
        <v>19.7</v>
      </c>
      <c r="H335" t="n">
        <v>0</v>
      </c>
      <c r="I335" t="n">
        <v>0</v>
      </c>
      <c r="J335" t="n">
        <v>0</v>
      </c>
      <c r="K335" t="n">
        <v>0</v>
      </c>
      <c r="L335" t="n">
        <v>0</v>
      </c>
      <c r="M335" t="n">
        <v>0</v>
      </c>
      <c r="N335" t="n">
        <v>0</v>
      </c>
      <c r="O335" t="n">
        <v>0</v>
      </c>
      <c r="P335" t="n">
        <v>0</v>
      </c>
      <c r="Q335" t="n">
        <v>0</v>
      </c>
      <c r="R335" s="2" t="inlineStr"/>
    </row>
    <row r="336" ht="15" customHeight="1">
      <c r="A336" t="inlineStr">
        <is>
          <t>A 7543-2022</t>
        </is>
      </c>
      <c r="B336" s="1" t="n">
        <v>44607</v>
      </c>
      <c r="C336" s="1" t="n">
        <v>46092</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4960-2022</t>
        </is>
      </c>
      <c r="B337" s="1" t="n">
        <v>44593</v>
      </c>
      <c r="C337" s="1" t="n">
        <v>46092</v>
      </c>
      <c r="D337" t="inlineStr">
        <is>
          <t>VÄRMLANDS LÄN</t>
        </is>
      </c>
      <c r="E337" t="inlineStr">
        <is>
          <t>TORSBY</t>
        </is>
      </c>
      <c r="G337" t="n">
        <v>4.8</v>
      </c>
      <c r="H337" t="n">
        <v>0</v>
      </c>
      <c r="I337" t="n">
        <v>0</v>
      </c>
      <c r="J337" t="n">
        <v>0</v>
      </c>
      <c r="K337" t="n">
        <v>0</v>
      </c>
      <c r="L337" t="n">
        <v>0</v>
      </c>
      <c r="M337" t="n">
        <v>0</v>
      </c>
      <c r="N337" t="n">
        <v>0</v>
      </c>
      <c r="O337" t="n">
        <v>0</v>
      </c>
      <c r="P337" t="n">
        <v>0</v>
      </c>
      <c r="Q337" t="n">
        <v>0</v>
      </c>
      <c r="R337" s="2" t="inlineStr"/>
    </row>
    <row r="338" ht="15" customHeight="1">
      <c r="A338" t="inlineStr">
        <is>
          <t>A 13698-2022</t>
        </is>
      </c>
      <c r="B338" s="1" t="n">
        <v>44648</v>
      </c>
      <c r="C338" s="1" t="n">
        <v>46092</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46092</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71084-2021</t>
        </is>
      </c>
      <c r="B340" s="1" t="n">
        <v>44538.96543981481</v>
      </c>
      <c r="C340" s="1" t="n">
        <v>46092</v>
      </c>
      <c r="D340" t="inlineStr">
        <is>
          <t>VÄRMLANDS LÄN</t>
        </is>
      </c>
      <c r="E340" t="inlineStr">
        <is>
          <t>TORSBY</t>
        </is>
      </c>
      <c r="G340" t="n">
        <v>1.8</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46092</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47206-2022</t>
        </is>
      </c>
      <c r="B342" s="1" t="n">
        <v>44852.67550925926</v>
      </c>
      <c r="C342" s="1" t="n">
        <v>46092</v>
      </c>
      <c r="D342" t="inlineStr">
        <is>
          <t>VÄRMLANDS LÄN</t>
        </is>
      </c>
      <c r="E342" t="inlineStr">
        <is>
          <t>TORSBY</t>
        </is>
      </c>
      <c r="G342" t="n">
        <v>8.5</v>
      </c>
      <c r="H342" t="n">
        <v>0</v>
      </c>
      <c r="I342" t="n">
        <v>0</v>
      </c>
      <c r="J342" t="n">
        <v>0</v>
      </c>
      <c r="K342" t="n">
        <v>0</v>
      </c>
      <c r="L342" t="n">
        <v>0</v>
      </c>
      <c r="M342" t="n">
        <v>0</v>
      </c>
      <c r="N342" t="n">
        <v>0</v>
      </c>
      <c r="O342" t="n">
        <v>0</v>
      </c>
      <c r="P342" t="n">
        <v>0</v>
      </c>
      <c r="Q342" t="n">
        <v>0</v>
      </c>
      <c r="R342" s="2" t="inlineStr"/>
    </row>
    <row r="343" ht="15" customHeight="1">
      <c r="A343" t="inlineStr">
        <is>
          <t>A 7921-2022</t>
        </is>
      </c>
      <c r="B343" s="1" t="n">
        <v>44608</v>
      </c>
      <c r="C343" s="1" t="n">
        <v>46092</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41995-2022</t>
        </is>
      </c>
      <c r="B344" s="1" t="n">
        <v>44830</v>
      </c>
      <c r="C344" s="1" t="n">
        <v>46092</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45303-2022</t>
        </is>
      </c>
      <c r="B345" s="1" t="n">
        <v>44844</v>
      </c>
      <c r="C345" s="1" t="n">
        <v>46092</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46092</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46092</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46795-2021</t>
        </is>
      </c>
      <c r="B348" s="1" t="n">
        <v>44446</v>
      </c>
      <c r="C348" s="1" t="n">
        <v>46092</v>
      </c>
      <c r="D348" t="inlineStr">
        <is>
          <t>VÄRMLANDS LÄN</t>
        </is>
      </c>
      <c r="E348" t="inlineStr">
        <is>
          <t>TORSBY</t>
        </is>
      </c>
      <c r="G348" t="n">
        <v>6</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46092</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29457-2021</t>
        </is>
      </c>
      <c r="B350" s="1" t="n">
        <v>44361</v>
      </c>
      <c r="C350" s="1" t="n">
        <v>46092</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41808-2021</t>
        </is>
      </c>
      <c r="B351" s="1" t="n">
        <v>44425</v>
      </c>
      <c r="C351" s="1" t="n">
        <v>46092</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46092</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46092</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46092</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46092</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63251-2021</t>
        </is>
      </c>
      <c r="B356" s="1" t="n">
        <v>44508.37935185185</v>
      </c>
      <c r="C356" s="1" t="n">
        <v>46092</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51490-2022</t>
        </is>
      </c>
      <c r="B357" s="1" t="n">
        <v>44869.59972222222</v>
      </c>
      <c r="C357" s="1" t="n">
        <v>46092</v>
      </c>
      <c r="D357" t="inlineStr">
        <is>
          <t>VÄRMLANDS LÄN</t>
        </is>
      </c>
      <c r="E357" t="inlineStr">
        <is>
          <t>TORSBY</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73165-2021</t>
        </is>
      </c>
      <c r="B358" s="1" t="n">
        <v>44550</v>
      </c>
      <c r="C358" s="1" t="n">
        <v>46092</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28284-2024</t>
        </is>
      </c>
      <c r="B359" s="1" t="n">
        <v>45477</v>
      </c>
      <c r="C359" s="1" t="n">
        <v>46092</v>
      </c>
      <c r="D359" t="inlineStr">
        <is>
          <t>VÄRMLANDS LÄN</t>
        </is>
      </c>
      <c r="E359" t="inlineStr">
        <is>
          <t>TORSBY</t>
        </is>
      </c>
      <c r="G359" t="n">
        <v>0.8</v>
      </c>
      <c r="H359" t="n">
        <v>0</v>
      </c>
      <c r="I359" t="n">
        <v>0</v>
      </c>
      <c r="J359" t="n">
        <v>0</v>
      </c>
      <c r="K359" t="n">
        <v>0</v>
      </c>
      <c r="L359" t="n">
        <v>0</v>
      </c>
      <c r="M359" t="n">
        <v>0</v>
      </c>
      <c r="N359" t="n">
        <v>0</v>
      </c>
      <c r="O359" t="n">
        <v>0</v>
      </c>
      <c r="P359" t="n">
        <v>0</v>
      </c>
      <c r="Q359" t="n">
        <v>0</v>
      </c>
      <c r="R359" s="2" t="inlineStr"/>
    </row>
    <row r="360" ht="15" customHeight="1">
      <c r="A360" t="inlineStr">
        <is>
          <t>A 2981-2025</t>
        </is>
      </c>
      <c r="B360" s="1" t="n">
        <v>45678.48844907407</v>
      </c>
      <c r="C360" s="1" t="n">
        <v>46092</v>
      </c>
      <c r="D360" t="inlineStr">
        <is>
          <t>VÄRMLANDS LÄN</t>
        </is>
      </c>
      <c r="E360" t="inlineStr">
        <is>
          <t>TORSBY</t>
        </is>
      </c>
      <c r="G360" t="n">
        <v>4.7</v>
      </c>
      <c r="H360" t="n">
        <v>0</v>
      </c>
      <c r="I360" t="n">
        <v>0</v>
      </c>
      <c r="J360" t="n">
        <v>0</v>
      </c>
      <c r="K360" t="n">
        <v>0</v>
      </c>
      <c r="L360" t="n">
        <v>0</v>
      </c>
      <c r="M360" t="n">
        <v>0</v>
      </c>
      <c r="N360" t="n">
        <v>0</v>
      </c>
      <c r="O360" t="n">
        <v>0</v>
      </c>
      <c r="P360" t="n">
        <v>0</v>
      </c>
      <c r="Q360" t="n">
        <v>0</v>
      </c>
      <c r="R360" s="2" t="inlineStr"/>
    </row>
    <row r="361" ht="15" customHeight="1">
      <c r="A361" t="inlineStr">
        <is>
          <t>A 58951-2022</t>
        </is>
      </c>
      <c r="B361" s="1" t="n">
        <v>44903.65313657407</v>
      </c>
      <c r="C361" s="1" t="n">
        <v>46092</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6863-2023</t>
        </is>
      </c>
      <c r="B362" s="1" t="n">
        <v>44964</v>
      </c>
      <c r="C362" s="1" t="n">
        <v>46092</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46092</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46092</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46092</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46092</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34378-2022</t>
        </is>
      </c>
      <c r="B367" s="1" t="n">
        <v>44792.48787037037</v>
      </c>
      <c r="C367" s="1" t="n">
        <v>46092</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2130-2024</t>
        </is>
      </c>
      <c r="B368" s="1" t="n">
        <v>45309.51518518518</v>
      </c>
      <c r="C368" s="1" t="n">
        <v>46092</v>
      </c>
      <c r="D368" t="inlineStr">
        <is>
          <t>VÄRMLANDS LÄN</t>
        </is>
      </c>
      <c r="E368" t="inlineStr">
        <is>
          <t>TORSBY</t>
        </is>
      </c>
      <c r="G368" t="n">
        <v>4</v>
      </c>
      <c r="H368" t="n">
        <v>0</v>
      </c>
      <c r="I368" t="n">
        <v>0</v>
      </c>
      <c r="J368" t="n">
        <v>0</v>
      </c>
      <c r="K368" t="n">
        <v>0</v>
      </c>
      <c r="L368" t="n">
        <v>0</v>
      </c>
      <c r="M368" t="n">
        <v>0</v>
      </c>
      <c r="N368" t="n">
        <v>0</v>
      </c>
      <c r="O368" t="n">
        <v>0</v>
      </c>
      <c r="P368" t="n">
        <v>0</v>
      </c>
      <c r="Q368" t="n">
        <v>0</v>
      </c>
      <c r="R368" s="2" t="inlineStr"/>
    </row>
    <row r="369" ht="15" customHeight="1">
      <c r="A369" t="inlineStr">
        <is>
          <t>A 48106-2023</t>
        </is>
      </c>
      <c r="B369" s="1" t="n">
        <v>45205.3434837963</v>
      </c>
      <c r="C369" s="1" t="n">
        <v>46092</v>
      </c>
      <c r="D369" t="inlineStr">
        <is>
          <t>VÄRMLANDS LÄN</t>
        </is>
      </c>
      <c r="E369" t="inlineStr">
        <is>
          <t>TORSBY</t>
        </is>
      </c>
      <c r="G369" t="n">
        <v>3.9</v>
      </c>
      <c r="H369" t="n">
        <v>0</v>
      </c>
      <c r="I369" t="n">
        <v>0</v>
      </c>
      <c r="J369" t="n">
        <v>0</v>
      </c>
      <c r="K369" t="n">
        <v>0</v>
      </c>
      <c r="L369" t="n">
        <v>0</v>
      </c>
      <c r="M369" t="n">
        <v>0</v>
      </c>
      <c r="N369" t="n">
        <v>0</v>
      </c>
      <c r="O369" t="n">
        <v>0</v>
      </c>
      <c r="P369" t="n">
        <v>0</v>
      </c>
      <c r="Q369" t="n">
        <v>0</v>
      </c>
      <c r="R369" s="2" t="inlineStr"/>
    </row>
    <row r="370" ht="15" customHeight="1">
      <c r="A370" t="inlineStr">
        <is>
          <t>A 16329-2025</t>
        </is>
      </c>
      <c r="B370" s="1" t="n">
        <v>45751</v>
      </c>
      <c r="C370" s="1" t="n">
        <v>46092</v>
      </c>
      <c r="D370" t="inlineStr">
        <is>
          <t>VÄRMLANDS LÄN</t>
        </is>
      </c>
      <c r="E370" t="inlineStr">
        <is>
          <t>TORSBY</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23423-2024</t>
        </is>
      </c>
      <c r="B371" s="1" t="n">
        <v>45453.60787037037</v>
      </c>
      <c r="C371" s="1" t="n">
        <v>46092</v>
      </c>
      <c r="D371" t="inlineStr">
        <is>
          <t>VÄRMLANDS LÄN</t>
        </is>
      </c>
      <c r="E371" t="inlineStr">
        <is>
          <t>TORSBY</t>
        </is>
      </c>
      <c r="G371" t="n">
        <v>3.1</v>
      </c>
      <c r="H371" t="n">
        <v>0</v>
      </c>
      <c r="I371" t="n">
        <v>0</v>
      </c>
      <c r="J371" t="n">
        <v>0</v>
      </c>
      <c r="K371" t="n">
        <v>0</v>
      </c>
      <c r="L371" t="n">
        <v>0</v>
      </c>
      <c r="M371" t="n">
        <v>0</v>
      </c>
      <c r="N371" t="n">
        <v>0</v>
      </c>
      <c r="O371" t="n">
        <v>0</v>
      </c>
      <c r="P371" t="n">
        <v>0</v>
      </c>
      <c r="Q371" t="n">
        <v>0</v>
      </c>
      <c r="R371" s="2" t="inlineStr"/>
    </row>
    <row r="372" ht="15" customHeight="1">
      <c r="A372" t="inlineStr">
        <is>
          <t>A 22662-2022</t>
        </is>
      </c>
      <c r="B372" s="1" t="n">
        <v>44714</v>
      </c>
      <c r="C372" s="1" t="n">
        <v>46092</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30011-2024</t>
        </is>
      </c>
      <c r="B373" s="1" t="n">
        <v>45488</v>
      </c>
      <c r="C373" s="1" t="n">
        <v>46092</v>
      </c>
      <c r="D373" t="inlineStr">
        <is>
          <t>VÄRMLANDS LÄN</t>
        </is>
      </c>
      <c r="E373" t="inlineStr">
        <is>
          <t>TORSBY</t>
        </is>
      </c>
      <c r="F373" t="inlineStr">
        <is>
          <t>Kommuner</t>
        </is>
      </c>
      <c r="G373" t="n">
        <v>4.7</v>
      </c>
      <c r="H373" t="n">
        <v>0</v>
      </c>
      <c r="I373" t="n">
        <v>0</v>
      </c>
      <c r="J373" t="n">
        <v>0</v>
      </c>
      <c r="K373" t="n">
        <v>0</v>
      </c>
      <c r="L373" t="n">
        <v>0</v>
      </c>
      <c r="M373" t="n">
        <v>0</v>
      </c>
      <c r="N373" t="n">
        <v>0</v>
      </c>
      <c r="O373" t="n">
        <v>0</v>
      </c>
      <c r="P373" t="n">
        <v>0</v>
      </c>
      <c r="Q373" t="n">
        <v>0</v>
      </c>
      <c r="R373" s="2" t="inlineStr"/>
    </row>
    <row r="374" ht="15" customHeight="1">
      <c r="A374" t="inlineStr">
        <is>
          <t>A 39780-2022</t>
        </is>
      </c>
      <c r="B374" s="1" t="n">
        <v>44819.46672453704</v>
      </c>
      <c r="C374" s="1" t="n">
        <v>46092</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46092</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35629-2023</t>
        </is>
      </c>
      <c r="B376" s="1" t="n">
        <v>45147.55939814815</v>
      </c>
      <c r="C376" s="1" t="n">
        <v>46092</v>
      </c>
      <c r="D376" t="inlineStr">
        <is>
          <t>VÄRMLANDS LÄN</t>
        </is>
      </c>
      <c r="E376" t="inlineStr">
        <is>
          <t>TORSBY</t>
        </is>
      </c>
      <c r="G376" t="n">
        <v>10.3</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46092</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46092</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29375-2024</t>
        </is>
      </c>
      <c r="B379" s="1" t="n">
        <v>45483.58712962963</v>
      </c>
      <c r="C379" s="1" t="n">
        <v>46092</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15450-2023</t>
        </is>
      </c>
      <c r="B380" s="1" t="n">
        <v>45020</v>
      </c>
      <c r="C380" s="1" t="n">
        <v>46092</v>
      </c>
      <c r="D380" t="inlineStr">
        <is>
          <t>VÄRMLANDS LÄN</t>
        </is>
      </c>
      <c r="E380" t="inlineStr">
        <is>
          <t>TORSBY</t>
        </is>
      </c>
      <c r="G380" t="n">
        <v>3.8</v>
      </c>
      <c r="H380" t="n">
        <v>0</v>
      </c>
      <c r="I380" t="n">
        <v>0</v>
      </c>
      <c r="J380" t="n">
        <v>0</v>
      </c>
      <c r="K380" t="n">
        <v>0</v>
      </c>
      <c r="L380" t="n">
        <v>0</v>
      </c>
      <c r="M380" t="n">
        <v>0</v>
      </c>
      <c r="N380" t="n">
        <v>0</v>
      </c>
      <c r="O380" t="n">
        <v>0</v>
      </c>
      <c r="P380" t="n">
        <v>0</v>
      </c>
      <c r="Q380" t="n">
        <v>0</v>
      </c>
      <c r="R380" s="2" t="inlineStr"/>
    </row>
    <row r="381" ht="15" customHeight="1">
      <c r="A381" t="inlineStr">
        <is>
          <t>A 6317-2025</t>
        </is>
      </c>
      <c r="B381" s="1" t="n">
        <v>45698.74826388889</v>
      </c>
      <c r="C381" s="1" t="n">
        <v>46092</v>
      </c>
      <c r="D381" t="inlineStr">
        <is>
          <t>VÄRMLANDS LÄN</t>
        </is>
      </c>
      <c r="E381" t="inlineStr">
        <is>
          <t>TORSBY</t>
        </is>
      </c>
      <c r="G381" t="n">
        <v>5.8</v>
      </c>
      <c r="H381" t="n">
        <v>0</v>
      </c>
      <c r="I381" t="n">
        <v>0</v>
      </c>
      <c r="J381" t="n">
        <v>0</v>
      </c>
      <c r="K381" t="n">
        <v>0</v>
      </c>
      <c r="L381" t="n">
        <v>0</v>
      </c>
      <c r="M381" t="n">
        <v>0</v>
      </c>
      <c r="N381" t="n">
        <v>0</v>
      </c>
      <c r="O381" t="n">
        <v>0</v>
      </c>
      <c r="P381" t="n">
        <v>0</v>
      </c>
      <c r="Q381" t="n">
        <v>0</v>
      </c>
      <c r="R381" s="2" t="inlineStr"/>
    </row>
    <row r="382" ht="15" customHeight="1">
      <c r="A382" t="inlineStr">
        <is>
          <t>A 73324-2021</t>
        </is>
      </c>
      <c r="B382" s="1" t="n">
        <v>44550</v>
      </c>
      <c r="C382" s="1" t="n">
        <v>46092</v>
      </c>
      <c r="D382" t="inlineStr">
        <is>
          <t>VÄRMLANDS LÄN</t>
        </is>
      </c>
      <c r="E382" t="inlineStr">
        <is>
          <t>TORSBY</t>
        </is>
      </c>
      <c r="G382" t="n">
        <v>9.9</v>
      </c>
      <c r="H382" t="n">
        <v>0</v>
      </c>
      <c r="I382" t="n">
        <v>0</v>
      </c>
      <c r="J382" t="n">
        <v>0</v>
      </c>
      <c r="K382" t="n">
        <v>0</v>
      </c>
      <c r="L382" t="n">
        <v>0</v>
      </c>
      <c r="M382" t="n">
        <v>0</v>
      </c>
      <c r="N382" t="n">
        <v>0</v>
      </c>
      <c r="O382" t="n">
        <v>0</v>
      </c>
      <c r="P382" t="n">
        <v>0</v>
      </c>
      <c r="Q382" t="n">
        <v>0</v>
      </c>
      <c r="R382" s="2" t="inlineStr"/>
    </row>
    <row r="383" ht="15" customHeight="1">
      <c r="A383" t="inlineStr">
        <is>
          <t>A 56430-2024</t>
        </is>
      </c>
      <c r="B383" s="1" t="n">
        <v>45625</v>
      </c>
      <c r="C383" s="1" t="n">
        <v>46092</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59080-2024</t>
        </is>
      </c>
      <c r="B384" s="1" t="n">
        <v>45637</v>
      </c>
      <c r="C384" s="1" t="n">
        <v>46092</v>
      </c>
      <c r="D384" t="inlineStr">
        <is>
          <t>VÄRMLANDS LÄN</t>
        </is>
      </c>
      <c r="E384" t="inlineStr">
        <is>
          <t>TORSBY</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17754-2025</t>
        </is>
      </c>
      <c r="B385" s="1" t="n">
        <v>45758</v>
      </c>
      <c r="C385" s="1" t="n">
        <v>46092</v>
      </c>
      <c r="D385" t="inlineStr">
        <is>
          <t>VÄRMLANDS LÄN</t>
        </is>
      </c>
      <c r="E385" t="inlineStr">
        <is>
          <t>TORSBY</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73521-2021</t>
        </is>
      </c>
      <c r="B386" s="1" t="n">
        <v>44551</v>
      </c>
      <c r="C386" s="1" t="n">
        <v>46092</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45134-2024</t>
        </is>
      </c>
      <c r="B387" s="1" t="n">
        <v>45575</v>
      </c>
      <c r="C387" s="1" t="n">
        <v>46092</v>
      </c>
      <c r="D387" t="inlineStr">
        <is>
          <t>VÄRMLANDS LÄN</t>
        </is>
      </c>
      <c r="E387" t="inlineStr">
        <is>
          <t>TORSBY</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27588-2024</t>
        </is>
      </c>
      <c r="B388" s="1" t="n">
        <v>45474</v>
      </c>
      <c r="C388" s="1" t="n">
        <v>46092</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55808-2024</t>
        </is>
      </c>
      <c r="B389" s="1" t="n">
        <v>45622</v>
      </c>
      <c r="C389" s="1" t="n">
        <v>46092</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16789-2024</t>
        </is>
      </c>
      <c r="B390" s="1" t="n">
        <v>45411</v>
      </c>
      <c r="C390" s="1" t="n">
        <v>46092</v>
      </c>
      <c r="D390" t="inlineStr">
        <is>
          <t>VÄRMLANDS LÄN</t>
        </is>
      </c>
      <c r="E390" t="inlineStr">
        <is>
          <t>TORSBY</t>
        </is>
      </c>
      <c r="G390" t="n">
        <v>2.4</v>
      </c>
      <c r="H390" t="n">
        <v>0</v>
      </c>
      <c r="I390" t="n">
        <v>0</v>
      </c>
      <c r="J390" t="n">
        <v>0</v>
      </c>
      <c r="K390" t="n">
        <v>0</v>
      </c>
      <c r="L390" t="n">
        <v>0</v>
      </c>
      <c r="M390" t="n">
        <v>0</v>
      </c>
      <c r="N390" t="n">
        <v>0</v>
      </c>
      <c r="O390" t="n">
        <v>0</v>
      </c>
      <c r="P390" t="n">
        <v>0</v>
      </c>
      <c r="Q390" t="n">
        <v>0</v>
      </c>
      <c r="R390" s="2" t="inlineStr"/>
    </row>
    <row r="391" ht="15" customHeight="1">
      <c r="A391" t="inlineStr">
        <is>
          <t>A 24261-2024</t>
        </is>
      </c>
      <c r="B391" s="1" t="n">
        <v>45457</v>
      </c>
      <c r="C391" s="1" t="n">
        <v>46092</v>
      </c>
      <c r="D391" t="inlineStr">
        <is>
          <t>VÄRMLANDS LÄN</t>
        </is>
      </c>
      <c r="E391" t="inlineStr">
        <is>
          <t>TORSBY</t>
        </is>
      </c>
      <c r="G391" t="n">
        <v>3.5</v>
      </c>
      <c r="H391" t="n">
        <v>0</v>
      </c>
      <c r="I391" t="n">
        <v>0</v>
      </c>
      <c r="J391" t="n">
        <v>0</v>
      </c>
      <c r="K391" t="n">
        <v>0</v>
      </c>
      <c r="L391" t="n">
        <v>0</v>
      </c>
      <c r="M391" t="n">
        <v>0</v>
      </c>
      <c r="N391" t="n">
        <v>0</v>
      </c>
      <c r="O391" t="n">
        <v>0</v>
      </c>
      <c r="P391" t="n">
        <v>0</v>
      </c>
      <c r="Q391" t="n">
        <v>0</v>
      </c>
      <c r="R391" s="2" t="inlineStr"/>
    </row>
    <row r="392" ht="15" customHeight="1">
      <c r="A392" t="inlineStr">
        <is>
          <t>A 10583-2023</t>
        </is>
      </c>
      <c r="B392" s="1" t="n">
        <v>44988.36435185185</v>
      </c>
      <c r="C392" s="1" t="n">
        <v>46092</v>
      </c>
      <c r="D392" t="inlineStr">
        <is>
          <t>VÄRMLANDS LÄN</t>
        </is>
      </c>
      <c r="E392" t="inlineStr">
        <is>
          <t>TORSBY</t>
        </is>
      </c>
      <c r="G392" t="n">
        <v>3.6</v>
      </c>
      <c r="H392" t="n">
        <v>0</v>
      </c>
      <c r="I392" t="n">
        <v>0</v>
      </c>
      <c r="J392" t="n">
        <v>0</v>
      </c>
      <c r="K392" t="n">
        <v>0</v>
      </c>
      <c r="L392" t="n">
        <v>0</v>
      </c>
      <c r="M392" t="n">
        <v>0</v>
      </c>
      <c r="N392" t="n">
        <v>0</v>
      </c>
      <c r="O392" t="n">
        <v>0</v>
      </c>
      <c r="P392" t="n">
        <v>0</v>
      </c>
      <c r="Q392" t="n">
        <v>0</v>
      </c>
      <c r="R392" s="2" t="inlineStr"/>
    </row>
    <row r="393" ht="15" customHeight="1">
      <c r="A393" t="inlineStr">
        <is>
          <t>A 39260-2021</t>
        </is>
      </c>
      <c r="B393" s="1" t="n">
        <v>44413</v>
      </c>
      <c r="C393" s="1" t="n">
        <v>46092</v>
      </c>
      <c r="D393" t="inlineStr">
        <is>
          <t>VÄRMLANDS LÄN</t>
        </is>
      </c>
      <c r="E393" t="inlineStr">
        <is>
          <t>TORSBY</t>
        </is>
      </c>
      <c r="G393" t="n">
        <v>4.7</v>
      </c>
      <c r="H393" t="n">
        <v>0</v>
      </c>
      <c r="I393" t="n">
        <v>0</v>
      </c>
      <c r="J393" t="n">
        <v>0</v>
      </c>
      <c r="K393" t="n">
        <v>0</v>
      </c>
      <c r="L393" t="n">
        <v>0</v>
      </c>
      <c r="M393" t="n">
        <v>0</v>
      </c>
      <c r="N393" t="n">
        <v>0</v>
      </c>
      <c r="O393" t="n">
        <v>0</v>
      </c>
      <c r="P393" t="n">
        <v>0</v>
      </c>
      <c r="Q393" t="n">
        <v>0</v>
      </c>
      <c r="R393" s="2" t="inlineStr"/>
    </row>
    <row r="394" ht="15" customHeight="1">
      <c r="A394" t="inlineStr">
        <is>
          <t>A 33338-2024</t>
        </is>
      </c>
      <c r="B394" s="1" t="n">
        <v>45519</v>
      </c>
      <c r="C394" s="1" t="n">
        <v>46092</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39567-2024</t>
        </is>
      </c>
      <c r="B395" s="1" t="n">
        <v>45552.3584375</v>
      </c>
      <c r="C395" s="1" t="n">
        <v>46092</v>
      </c>
      <c r="D395" t="inlineStr">
        <is>
          <t>VÄRMLANDS LÄN</t>
        </is>
      </c>
      <c r="E395" t="inlineStr">
        <is>
          <t>TORSBY</t>
        </is>
      </c>
      <c r="F395" t="inlineStr">
        <is>
          <t>Bergvik skog väst AB</t>
        </is>
      </c>
      <c r="G395" t="n">
        <v>5.1</v>
      </c>
      <c r="H395" t="n">
        <v>0</v>
      </c>
      <c r="I395" t="n">
        <v>0</v>
      </c>
      <c r="J395" t="n">
        <v>0</v>
      </c>
      <c r="K395" t="n">
        <v>0</v>
      </c>
      <c r="L395" t="n">
        <v>0</v>
      </c>
      <c r="M395" t="n">
        <v>0</v>
      </c>
      <c r="N395" t="n">
        <v>0</v>
      </c>
      <c r="O395" t="n">
        <v>0</v>
      </c>
      <c r="P395" t="n">
        <v>0</v>
      </c>
      <c r="Q395" t="n">
        <v>0</v>
      </c>
      <c r="R395" s="2" t="inlineStr"/>
    </row>
    <row r="396" ht="15" customHeight="1">
      <c r="A396" t="inlineStr">
        <is>
          <t>A 33656-2023</t>
        </is>
      </c>
      <c r="B396" s="1" t="n">
        <v>45132.57922453704</v>
      </c>
      <c r="C396" s="1" t="n">
        <v>46092</v>
      </c>
      <c r="D396" t="inlineStr">
        <is>
          <t>VÄRMLANDS LÄN</t>
        </is>
      </c>
      <c r="E396" t="inlineStr">
        <is>
          <t>TORSBY</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21988-2023</t>
        </is>
      </c>
      <c r="B397" s="1" t="n">
        <v>45068</v>
      </c>
      <c r="C397" s="1" t="n">
        <v>46092</v>
      </c>
      <c r="D397" t="inlineStr">
        <is>
          <t>VÄRMLANDS LÄN</t>
        </is>
      </c>
      <c r="E397" t="inlineStr">
        <is>
          <t>TORSBY</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11050-2022</t>
        </is>
      </c>
      <c r="B398" s="1" t="n">
        <v>44628.60393518519</v>
      </c>
      <c r="C398" s="1" t="n">
        <v>46092</v>
      </c>
      <c r="D398" t="inlineStr">
        <is>
          <t>VÄRMLANDS LÄN</t>
        </is>
      </c>
      <c r="E398" t="inlineStr">
        <is>
          <t>TORSBY</t>
        </is>
      </c>
      <c r="G398" t="n">
        <v>4.9</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46092</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47465-2024</t>
        </is>
      </c>
      <c r="B400" s="1" t="n">
        <v>45587</v>
      </c>
      <c r="C400" s="1" t="n">
        <v>46092</v>
      </c>
      <c r="D400" t="inlineStr">
        <is>
          <t>VÄRMLANDS LÄN</t>
        </is>
      </c>
      <c r="E400" t="inlineStr">
        <is>
          <t>TORSBY</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46092</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56240-2024</t>
        </is>
      </c>
      <c r="B402" s="1" t="n">
        <v>45624.63012731481</v>
      </c>
      <c r="C402" s="1" t="n">
        <v>46092</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17048-2025</t>
        </is>
      </c>
      <c r="B403" s="1" t="n">
        <v>45754</v>
      </c>
      <c r="C403" s="1" t="n">
        <v>46092</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17053-2025</t>
        </is>
      </c>
      <c r="B404" s="1" t="n">
        <v>45754</v>
      </c>
      <c r="C404" s="1" t="n">
        <v>46092</v>
      </c>
      <c r="D404" t="inlineStr">
        <is>
          <t>VÄRMLANDS LÄN</t>
        </is>
      </c>
      <c r="E404" t="inlineStr">
        <is>
          <t>TORSBY</t>
        </is>
      </c>
      <c r="G404" t="n">
        <v>3.7</v>
      </c>
      <c r="H404" t="n">
        <v>0</v>
      </c>
      <c r="I404" t="n">
        <v>0</v>
      </c>
      <c r="J404" t="n">
        <v>0</v>
      </c>
      <c r="K404" t="n">
        <v>0</v>
      </c>
      <c r="L404" t="n">
        <v>0</v>
      </c>
      <c r="M404" t="n">
        <v>0</v>
      </c>
      <c r="N404" t="n">
        <v>0</v>
      </c>
      <c r="O404" t="n">
        <v>0</v>
      </c>
      <c r="P404" t="n">
        <v>0</v>
      </c>
      <c r="Q404" t="n">
        <v>0</v>
      </c>
      <c r="R404" s="2" t="inlineStr"/>
    </row>
    <row r="405" ht="15" customHeight="1">
      <c r="A405" t="inlineStr">
        <is>
          <t>A 24113-2024</t>
        </is>
      </c>
      <c r="B405" s="1" t="n">
        <v>45456.61590277778</v>
      </c>
      <c r="C405" s="1" t="n">
        <v>46092</v>
      </c>
      <c r="D405" t="inlineStr">
        <is>
          <t>VÄRMLANDS LÄN</t>
        </is>
      </c>
      <c r="E405" t="inlineStr">
        <is>
          <t>TORSBY</t>
        </is>
      </c>
      <c r="G405" t="n">
        <v>1.2</v>
      </c>
      <c r="H405" t="n">
        <v>0</v>
      </c>
      <c r="I405" t="n">
        <v>0</v>
      </c>
      <c r="J405" t="n">
        <v>0</v>
      </c>
      <c r="K405" t="n">
        <v>0</v>
      </c>
      <c r="L405" t="n">
        <v>0</v>
      </c>
      <c r="M405" t="n">
        <v>0</v>
      </c>
      <c r="N405" t="n">
        <v>0</v>
      </c>
      <c r="O405" t="n">
        <v>0</v>
      </c>
      <c r="P405" t="n">
        <v>0</v>
      </c>
      <c r="Q405" t="n">
        <v>0</v>
      </c>
      <c r="R405" s="2" t="inlineStr"/>
    </row>
    <row r="406" ht="15" customHeight="1">
      <c r="A406" t="inlineStr">
        <is>
          <t>A 55036-2024</t>
        </is>
      </c>
      <c r="B406" s="1" t="n">
        <v>45621.38342592592</v>
      </c>
      <c r="C406" s="1" t="n">
        <v>46092</v>
      </c>
      <c r="D406" t="inlineStr">
        <is>
          <t>VÄRMLANDS LÄN</t>
        </is>
      </c>
      <c r="E406" t="inlineStr">
        <is>
          <t>TORSBY</t>
        </is>
      </c>
      <c r="G406" t="n">
        <v>5.5</v>
      </c>
      <c r="H406" t="n">
        <v>0</v>
      </c>
      <c r="I406" t="n">
        <v>0</v>
      </c>
      <c r="J406" t="n">
        <v>0</v>
      </c>
      <c r="K406" t="n">
        <v>0</v>
      </c>
      <c r="L406" t="n">
        <v>0</v>
      </c>
      <c r="M406" t="n">
        <v>0</v>
      </c>
      <c r="N406" t="n">
        <v>0</v>
      </c>
      <c r="O406" t="n">
        <v>0</v>
      </c>
      <c r="P406" t="n">
        <v>0</v>
      </c>
      <c r="Q406" t="n">
        <v>0</v>
      </c>
      <c r="R406" s="2" t="inlineStr"/>
    </row>
    <row r="407" ht="15" customHeight="1">
      <c r="A407" t="inlineStr">
        <is>
          <t>A 19031-2021</t>
        </is>
      </c>
      <c r="B407" s="1" t="n">
        <v>44308.51076388889</v>
      </c>
      <c r="C407" s="1" t="n">
        <v>46092</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22178-2025</t>
        </is>
      </c>
      <c r="B408" s="1" t="n">
        <v>45785</v>
      </c>
      <c r="C408" s="1" t="n">
        <v>46092</v>
      </c>
      <c r="D408" t="inlineStr">
        <is>
          <t>VÄRMLANDS LÄN</t>
        </is>
      </c>
      <c r="E408" t="inlineStr">
        <is>
          <t>TORSBY</t>
        </is>
      </c>
      <c r="G408" t="n">
        <v>25.5</v>
      </c>
      <c r="H408" t="n">
        <v>0</v>
      </c>
      <c r="I408" t="n">
        <v>0</v>
      </c>
      <c r="J408" t="n">
        <v>0</v>
      </c>
      <c r="K408" t="n">
        <v>0</v>
      </c>
      <c r="L408" t="n">
        <v>0</v>
      </c>
      <c r="M408" t="n">
        <v>0</v>
      </c>
      <c r="N408" t="n">
        <v>0</v>
      </c>
      <c r="O408" t="n">
        <v>0</v>
      </c>
      <c r="P408" t="n">
        <v>0</v>
      </c>
      <c r="Q408" t="n">
        <v>0</v>
      </c>
      <c r="R408" s="2" t="inlineStr"/>
    </row>
    <row r="409" ht="15" customHeight="1">
      <c r="A409" t="inlineStr">
        <is>
          <t>A 73874-2021</t>
        </is>
      </c>
      <c r="B409" s="1" t="n">
        <v>44553.39755787037</v>
      </c>
      <c r="C409" s="1" t="n">
        <v>46092</v>
      </c>
      <c r="D409" t="inlineStr">
        <is>
          <t>VÄRMLANDS LÄN</t>
        </is>
      </c>
      <c r="E409" t="inlineStr">
        <is>
          <t>TORSBY</t>
        </is>
      </c>
      <c r="G409" t="n">
        <v>6.6</v>
      </c>
      <c r="H409" t="n">
        <v>0</v>
      </c>
      <c r="I409" t="n">
        <v>0</v>
      </c>
      <c r="J409" t="n">
        <v>0</v>
      </c>
      <c r="K409" t="n">
        <v>0</v>
      </c>
      <c r="L409" t="n">
        <v>0</v>
      </c>
      <c r="M409" t="n">
        <v>0</v>
      </c>
      <c r="N409" t="n">
        <v>0</v>
      </c>
      <c r="O409" t="n">
        <v>0</v>
      </c>
      <c r="P409" t="n">
        <v>0</v>
      </c>
      <c r="Q409" t="n">
        <v>0</v>
      </c>
      <c r="R409" s="2" t="inlineStr"/>
    </row>
    <row r="410" ht="15" customHeight="1">
      <c r="A410" t="inlineStr">
        <is>
          <t>A 22269-2025</t>
        </is>
      </c>
      <c r="B410" s="1" t="n">
        <v>45785</v>
      </c>
      <c r="C410" s="1" t="n">
        <v>46092</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22076-2025</t>
        </is>
      </c>
      <c r="B411" s="1" t="n">
        <v>45785.41473379629</v>
      </c>
      <c r="C411" s="1" t="n">
        <v>46092</v>
      </c>
      <c r="D411" t="inlineStr">
        <is>
          <t>VÄRMLANDS LÄN</t>
        </is>
      </c>
      <c r="E411" t="inlineStr">
        <is>
          <t>TORSBY</t>
        </is>
      </c>
      <c r="G411" t="n">
        <v>5.4</v>
      </c>
      <c r="H411" t="n">
        <v>0</v>
      </c>
      <c r="I411" t="n">
        <v>0</v>
      </c>
      <c r="J411" t="n">
        <v>0</v>
      </c>
      <c r="K411" t="n">
        <v>0</v>
      </c>
      <c r="L411" t="n">
        <v>0</v>
      </c>
      <c r="M411" t="n">
        <v>0</v>
      </c>
      <c r="N411" t="n">
        <v>0</v>
      </c>
      <c r="O411" t="n">
        <v>0</v>
      </c>
      <c r="P411" t="n">
        <v>0</v>
      </c>
      <c r="Q411" t="n">
        <v>0</v>
      </c>
      <c r="R411" s="2" t="inlineStr"/>
    </row>
    <row r="412" ht="15" customHeight="1">
      <c r="A412" t="inlineStr">
        <is>
          <t>A 13285-2025</t>
        </is>
      </c>
      <c r="B412" s="1" t="n">
        <v>45735</v>
      </c>
      <c r="C412" s="1" t="n">
        <v>46092</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21858-2025</t>
        </is>
      </c>
      <c r="B413" s="1" t="n">
        <v>45784.36265046296</v>
      </c>
      <c r="C413" s="1" t="n">
        <v>46092</v>
      </c>
      <c r="D413" t="inlineStr">
        <is>
          <t>VÄRMLANDS LÄN</t>
        </is>
      </c>
      <c r="E413" t="inlineStr">
        <is>
          <t>TORSBY</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29897-2024</t>
        </is>
      </c>
      <c r="B414" s="1" t="n">
        <v>45487.51834490741</v>
      </c>
      <c r="C414" s="1" t="n">
        <v>46092</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1275-2024</t>
        </is>
      </c>
      <c r="B415" s="1" t="n">
        <v>45302</v>
      </c>
      <c r="C415" s="1" t="n">
        <v>46092</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9729-2025</t>
        </is>
      </c>
      <c r="B416" s="1" t="n">
        <v>45715</v>
      </c>
      <c r="C416" s="1" t="n">
        <v>46092</v>
      </c>
      <c r="D416" t="inlineStr">
        <is>
          <t>VÄRMLANDS LÄN</t>
        </is>
      </c>
      <c r="E416" t="inlineStr">
        <is>
          <t>TORSBY</t>
        </is>
      </c>
      <c r="G416" t="n">
        <v>3.4</v>
      </c>
      <c r="H416" t="n">
        <v>0</v>
      </c>
      <c r="I416" t="n">
        <v>0</v>
      </c>
      <c r="J416" t="n">
        <v>0</v>
      </c>
      <c r="K416" t="n">
        <v>0</v>
      </c>
      <c r="L416" t="n">
        <v>0</v>
      </c>
      <c r="M416" t="n">
        <v>0</v>
      </c>
      <c r="N416" t="n">
        <v>0</v>
      </c>
      <c r="O416" t="n">
        <v>0</v>
      </c>
      <c r="P416" t="n">
        <v>0</v>
      </c>
      <c r="Q416" t="n">
        <v>0</v>
      </c>
      <c r="R416" s="2" t="inlineStr"/>
    </row>
    <row r="417" ht="15" customHeight="1">
      <c r="A417" t="inlineStr">
        <is>
          <t>A 36879-2024</t>
        </is>
      </c>
      <c r="B417" s="1" t="n">
        <v>45538</v>
      </c>
      <c r="C417" s="1" t="n">
        <v>46092</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45399-2023</t>
        </is>
      </c>
      <c r="B418" s="1" t="n">
        <v>45194</v>
      </c>
      <c r="C418" s="1" t="n">
        <v>46092</v>
      </c>
      <c r="D418" t="inlineStr">
        <is>
          <t>VÄRMLANDS LÄN</t>
        </is>
      </c>
      <c r="E418" t="inlineStr">
        <is>
          <t>TORSBY</t>
        </is>
      </c>
      <c r="G418" t="n">
        <v>2.4</v>
      </c>
      <c r="H418" t="n">
        <v>0</v>
      </c>
      <c r="I418" t="n">
        <v>0</v>
      </c>
      <c r="J418" t="n">
        <v>0</v>
      </c>
      <c r="K418" t="n">
        <v>0</v>
      </c>
      <c r="L418" t="n">
        <v>0</v>
      </c>
      <c r="M418" t="n">
        <v>0</v>
      </c>
      <c r="N418" t="n">
        <v>0</v>
      </c>
      <c r="O418" t="n">
        <v>0</v>
      </c>
      <c r="P418" t="n">
        <v>0</v>
      </c>
      <c r="Q418" t="n">
        <v>0</v>
      </c>
      <c r="R418" s="2" t="inlineStr"/>
    </row>
    <row r="419" ht="15" customHeight="1">
      <c r="A419" t="inlineStr">
        <is>
          <t>A 33088-2024</t>
        </is>
      </c>
      <c r="B419" s="1" t="n">
        <v>45517</v>
      </c>
      <c r="C419" s="1" t="n">
        <v>46092</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22715-2025</t>
        </is>
      </c>
      <c r="B420" s="1" t="n">
        <v>45789.56496527778</v>
      </c>
      <c r="C420" s="1" t="n">
        <v>46092</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60626-2024</t>
        </is>
      </c>
      <c r="B421" s="1" t="n">
        <v>45642</v>
      </c>
      <c r="C421" s="1" t="n">
        <v>46092</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492-2025</t>
        </is>
      </c>
      <c r="B422" s="1" t="n">
        <v>45664.46337962963</v>
      </c>
      <c r="C422" s="1" t="n">
        <v>46092</v>
      </c>
      <c r="D422" t="inlineStr">
        <is>
          <t>VÄRMLANDS LÄN</t>
        </is>
      </c>
      <c r="E422" t="inlineStr">
        <is>
          <t>TORSBY</t>
        </is>
      </c>
      <c r="G422" t="n">
        <v>6.9</v>
      </c>
      <c r="H422" t="n">
        <v>0</v>
      </c>
      <c r="I422" t="n">
        <v>0</v>
      </c>
      <c r="J422" t="n">
        <v>0</v>
      </c>
      <c r="K422" t="n">
        <v>0</v>
      </c>
      <c r="L422" t="n">
        <v>0</v>
      </c>
      <c r="M422" t="n">
        <v>0</v>
      </c>
      <c r="N422" t="n">
        <v>0</v>
      </c>
      <c r="O422" t="n">
        <v>0</v>
      </c>
      <c r="P422" t="n">
        <v>0</v>
      </c>
      <c r="Q422" t="n">
        <v>0</v>
      </c>
      <c r="R422" s="2" t="inlineStr"/>
    </row>
    <row r="423" ht="15" customHeight="1">
      <c r="A423" t="inlineStr">
        <is>
          <t>A 55139-2025</t>
        </is>
      </c>
      <c r="B423" s="1" t="n">
        <v>45968.42827546296</v>
      </c>
      <c r="C423" s="1" t="n">
        <v>46092</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13207-2022</t>
        </is>
      </c>
      <c r="B424" s="1" t="n">
        <v>44644.56116898148</v>
      </c>
      <c r="C424" s="1" t="n">
        <v>46092</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54618-2024</t>
        </is>
      </c>
      <c r="B425" s="1" t="n">
        <v>45617</v>
      </c>
      <c r="C425" s="1" t="n">
        <v>46092</v>
      </c>
      <c r="D425" t="inlineStr">
        <is>
          <t>VÄRMLANDS LÄN</t>
        </is>
      </c>
      <c r="E425" t="inlineStr">
        <is>
          <t>TORSBY</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16425-2022</t>
        </is>
      </c>
      <c r="B426" s="1" t="n">
        <v>44671</v>
      </c>
      <c r="C426" s="1" t="n">
        <v>46092</v>
      </c>
      <c r="D426" t="inlineStr">
        <is>
          <t>VÄRMLANDS LÄN</t>
        </is>
      </c>
      <c r="E426" t="inlineStr">
        <is>
          <t>TORSBY</t>
        </is>
      </c>
      <c r="G426" t="n">
        <v>3</v>
      </c>
      <c r="H426" t="n">
        <v>0</v>
      </c>
      <c r="I426" t="n">
        <v>0</v>
      </c>
      <c r="J426" t="n">
        <v>0</v>
      </c>
      <c r="K426" t="n">
        <v>0</v>
      </c>
      <c r="L426" t="n">
        <v>0</v>
      </c>
      <c r="M426" t="n">
        <v>0</v>
      </c>
      <c r="N426" t="n">
        <v>0</v>
      </c>
      <c r="O426" t="n">
        <v>0</v>
      </c>
      <c r="P426" t="n">
        <v>0</v>
      </c>
      <c r="Q426" t="n">
        <v>0</v>
      </c>
      <c r="R426" s="2" t="inlineStr"/>
    </row>
    <row r="427" ht="15" customHeight="1">
      <c r="A427" t="inlineStr">
        <is>
          <t>A 55178-2025</t>
        </is>
      </c>
      <c r="B427" s="1" t="n">
        <v>45968</v>
      </c>
      <c r="C427" s="1" t="n">
        <v>46092</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22596-2025</t>
        </is>
      </c>
      <c r="B428" s="1" t="n">
        <v>45789.41362268518</v>
      </c>
      <c r="C428" s="1" t="n">
        <v>46092</v>
      </c>
      <c r="D428" t="inlineStr">
        <is>
          <t>VÄRMLANDS LÄN</t>
        </is>
      </c>
      <c r="E428" t="inlineStr">
        <is>
          <t>TORSBY</t>
        </is>
      </c>
      <c r="F428" t="inlineStr">
        <is>
          <t>Bergvik skog väst AB</t>
        </is>
      </c>
      <c r="G428" t="n">
        <v>2.2</v>
      </c>
      <c r="H428" t="n">
        <v>0</v>
      </c>
      <c r="I428" t="n">
        <v>0</v>
      </c>
      <c r="J428" t="n">
        <v>0</v>
      </c>
      <c r="K428" t="n">
        <v>0</v>
      </c>
      <c r="L428" t="n">
        <v>0</v>
      </c>
      <c r="M428" t="n">
        <v>0</v>
      </c>
      <c r="N428" t="n">
        <v>0</v>
      </c>
      <c r="O428" t="n">
        <v>0</v>
      </c>
      <c r="P428" t="n">
        <v>0</v>
      </c>
      <c r="Q428" t="n">
        <v>0</v>
      </c>
      <c r="R428" s="2" t="inlineStr"/>
    </row>
    <row r="429" ht="15" customHeight="1">
      <c r="A429" t="inlineStr">
        <is>
          <t>A 44879-2022</t>
        </is>
      </c>
      <c r="B429" s="1" t="n">
        <v>44839</v>
      </c>
      <c r="C429" s="1" t="n">
        <v>46092</v>
      </c>
      <c r="D429" t="inlineStr">
        <is>
          <t>VÄRMLANDS LÄN</t>
        </is>
      </c>
      <c r="E429" t="inlineStr">
        <is>
          <t>TORSBY</t>
        </is>
      </c>
      <c r="G429" t="n">
        <v>3.5</v>
      </c>
      <c r="H429" t="n">
        <v>0</v>
      </c>
      <c r="I429" t="n">
        <v>0</v>
      </c>
      <c r="J429" t="n">
        <v>0</v>
      </c>
      <c r="K429" t="n">
        <v>0</v>
      </c>
      <c r="L429" t="n">
        <v>0</v>
      </c>
      <c r="M429" t="n">
        <v>0</v>
      </c>
      <c r="N429" t="n">
        <v>0</v>
      </c>
      <c r="O429" t="n">
        <v>0</v>
      </c>
      <c r="P429" t="n">
        <v>0</v>
      </c>
      <c r="Q429" t="n">
        <v>0</v>
      </c>
      <c r="R429" s="2" t="inlineStr"/>
    </row>
    <row r="430" ht="15" customHeight="1">
      <c r="A430" t="inlineStr">
        <is>
          <t>A 46917-2024</t>
        </is>
      </c>
      <c r="B430" s="1" t="n">
        <v>45583</v>
      </c>
      <c r="C430" s="1" t="n">
        <v>46092</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55622-2025</t>
        </is>
      </c>
      <c r="B431" s="1" t="n">
        <v>45971</v>
      </c>
      <c r="C431" s="1" t="n">
        <v>46092</v>
      </c>
      <c r="D431" t="inlineStr">
        <is>
          <t>VÄRMLANDS LÄN</t>
        </is>
      </c>
      <c r="E431" t="inlineStr">
        <is>
          <t>TORSBY</t>
        </is>
      </c>
      <c r="F431" t="inlineStr">
        <is>
          <t>Kyrkan</t>
        </is>
      </c>
      <c r="G431" t="n">
        <v>19</v>
      </c>
      <c r="H431" t="n">
        <v>0</v>
      </c>
      <c r="I431" t="n">
        <v>0</v>
      </c>
      <c r="J431" t="n">
        <v>0</v>
      </c>
      <c r="K431" t="n">
        <v>0</v>
      </c>
      <c r="L431" t="n">
        <v>0</v>
      </c>
      <c r="M431" t="n">
        <v>0</v>
      </c>
      <c r="N431" t="n">
        <v>0</v>
      </c>
      <c r="O431" t="n">
        <v>0</v>
      </c>
      <c r="P431" t="n">
        <v>0</v>
      </c>
      <c r="Q431" t="n">
        <v>0</v>
      </c>
      <c r="R431" s="2" t="inlineStr"/>
    </row>
    <row r="432" ht="15" customHeight="1">
      <c r="A432" t="inlineStr">
        <is>
          <t>A 55320-2025</t>
        </is>
      </c>
      <c r="B432" s="1" t="n">
        <v>45971.31269675926</v>
      </c>
      <c r="C432" s="1" t="n">
        <v>46092</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22278-2025</t>
        </is>
      </c>
      <c r="B433" s="1" t="n">
        <v>45786.33332175926</v>
      </c>
      <c r="C433" s="1" t="n">
        <v>46092</v>
      </c>
      <c r="D433" t="inlineStr">
        <is>
          <t>VÄRMLANDS LÄN</t>
        </is>
      </c>
      <c r="E433" t="inlineStr">
        <is>
          <t>TORSBY</t>
        </is>
      </c>
      <c r="F433" t="inlineStr">
        <is>
          <t>Bergvik skog väst AB</t>
        </is>
      </c>
      <c r="G433" t="n">
        <v>6.9</v>
      </c>
      <c r="H433" t="n">
        <v>0</v>
      </c>
      <c r="I433" t="n">
        <v>0</v>
      </c>
      <c r="J433" t="n">
        <v>0</v>
      </c>
      <c r="K433" t="n">
        <v>0</v>
      </c>
      <c r="L433" t="n">
        <v>0</v>
      </c>
      <c r="M433" t="n">
        <v>0</v>
      </c>
      <c r="N433" t="n">
        <v>0</v>
      </c>
      <c r="O433" t="n">
        <v>0</v>
      </c>
      <c r="P433" t="n">
        <v>0</v>
      </c>
      <c r="Q433" t="n">
        <v>0</v>
      </c>
      <c r="R433" s="2" t="inlineStr"/>
    </row>
    <row r="434" ht="15" customHeight="1">
      <c r="A434" t="inlineStr">
        <is>
          <t>A 22316-2025</t>
        </is>
      </c>
      <c r="B434" s="1" t="n">
        <v>45786.39013888889</v>
      </c>
      <c r="C434" s="1" t="n">
        <v>46092</v>
      </c>
      <c r="D434" t="inlineStr">
        <is>
          <t>VÄRMLANDS LÄN</t>
        </is>
      </c>
      <c r="E434" t="inlineStr">
        <is>
          <t>TORSBY</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22593-2025</t>
        </is>
      </c>
      <c r="B435" s="1" t="n">
        <v>45789.41113425926</v>
      </c>
      <c r="C435" s="1" t="n">
        <v>46092</v>
      </c>
      <c r="D435" t="inlineStr">
        <is>
          <t>VÄRMLANDS LÄN</t>
        </is>
      </c>
      <c r="E435" t="inlineStr">
        <is>
          <t>TORSBY</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38795-2025</t>
        </is>
      </c>
      <c r="B436" s="1" t="n">
        <v>45887</v>
      </c>
      <c r="C436" s="1" t="n">
        <v>46092</v>
      </c>
      <c r="D436" t="inlineStr">
        <is>
          <t>VÄRMLANDS LÄN</t>
        </is>
      </c>
      <c r="E436" t="inlineStr">
        <is>
          <t>TORSBY</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22708-2025</t>
        </is>
      </c>
      <c r="B437" s="1" t="n">
        <v>45789.55561342592</v>
      </c>
      <c r="C437" s="1" t="n">
        <v>46092</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66133-2021</t>
        </is>
      </c>
      <c r="B438" s="1" t="n">
        <v>44517</v>
      </c>
      <c r="C438" s="1" t="n">
        <v>46092</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56098-2025</t>
        </is>
      </c>
      <c r="B439" s="1" t="n">
        <v>45973</v>
      </c>
      <c r="C439" s="1" t="n">
        <v>46092</v>
      </c>
      <c r="D439" t="inlineStr">
        <is>
          <t>VÄRMLANDS LÄN</t>
        </is>
      </c>
      <c r="E439" t="inlineStr">
        <is>
          <t>TORSBY</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56129-2025</t>
        </is>
      </c>
      <c r="B440" s="1" t="n">
        <v>45973</v>
      </c>
      <c r="C440" s="1" t="n">
        <v>46092</v>
      </c>
      <c r="D440" t="inlineStr">
        <is>
          <t>VÄRMLANDS LÄN</t>
        </is>
      </c>
      <c r="E440" t="inlineStr">
        <is>
          <t>TORSBY</t>
        </is>
      </c>
      <c r="G440" t="n">
        <v>5.4</v>
      </c>
      <c r="H440" t="n">
        <v>0</v>
      </c>
      <c r="I440" t="n">
        <v>0</v>
      </c>
      <c r="J440" t="n">
        <v>0</v>
      </c>
      <c r="K440" t="n">
        <v>0</v>
      </c>
      <c r="L440" t="n">
        <v>0</v>
      </c>
      <c r="M440" t="n">
        <v>0</v>
      </c>
      <c r="N440" t="n">
        <v>0</v>
      </c>
      <c r="O440" t="n">
        <v>0</v>
      </c>
      <c r="P440" t="n">
        <v>0</v>
      </c>
      <c r="Q440" t="n">
        <v>0</v>
      </c>
      <c r="R440" s="2" t="inlineStr"/>
    </row>
    <row r="441" ht="15" customHeight="1">
      <c r="A441" t="inlineStr">
        <is>
          <t>A 38771-2025</t>
        </is>
      </c>
      <c r="B441" s="1" t="n">
        <v>45887</v>
      </c>
      <c r="C441" s="1" t="n">
        <v>46092</v>
      </c>
      <c r="D441" t="inlineStr">
        <is>
          <t>VÄRMLANDS LÄN</t>
        </is>
      </c>
      <c r="E441" t="inlineStr">
        <is>
          <t>TORSBY</t>
        </is>
      </c>
      <c r="G441" t="n">
        <v>2.7</v>
      </c>
      <c r="H441" t="n">
        <v>0</v>
      </c>
      <c r="I441" t="n">
        <v>0</v>
      </c>
      <c r="J441" t="n">
        <v>0</v>
      </c>
      <c r="K441" t="n">
        <v>0</v>
      </c>
      <c r="L441" t="n">
        <v>0</v>
      </c>
      <c r="M441" t="n">
        <v>0</v>
      </c>
      <c r="N441" t="n">
        <v>0</v>
      </c>
      <c r="O441" t="n">
        <v>0</v>
      </c>
      <c r="P441" t="n">
        <v>0</v>
      </c>
      <c r="Q441" t="n">
        <v>0</v>
      </c>
      <c r="R441" s="2" t="inlineStr"/>
    </row>
    <row r="442" ht="15" customHeight="1">
      <c r="A442" t="inlineStr">
        <is>
          <t>A 32845-2024</t>
        </is>
      </c>
      <c r="B442" s="1" t="n">
        <v>45516.62422453704</v>
      </c>
      <c r="C442" s="1" t="n">
        <v>46092</v>
      </c>
      <c r="D442" t="inlineStr">
        <is>
          <t>VÄRMLANDS LÄN</t>
        </is>
      </c>
      <c r="E442" t="inlineStr">
        <is>
          <t>TORSBY</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54076-2025</t>
        </is>
      </c>
      <c r="B443" s="1" t="n">
        <v>45964</v>
      </c>
      <c r="C443" s="1" t="n">
        <v>46092</v>
      </c>
      <c r="D443" t="inlineStr">
        <is>
          <t>VÄRMLANDS LÄN</t>
        </is>
      </c>
      <c r="E443" t="inlineStr">
        <is>
          <t>TORSBY</t>
        </is>
      </c>
      <c r="F443" t="inlineStr">
        <is>
          <t>Övriga statliga verk och myndigheter</t>
        </is>
      </c>
      <c r="G443" t="n">
        <v>1</v>
      </c>
      <c r="H443" t="n">
        <v>0</v>
      </c>
      <c r="I443" t="n">
        <v>0</v>
      </c>
      <c r="J443" t="n">
        <v>0</v>
      </c>
      <c r="K443" t="n">
        <v>0</v>
      </c>
      <c r="L443" t="n">
        <v>0</v>
      </c>
      <c r="M443" t="n">
        <v>0</v>
      </c>
      <c r="N443" t="n">
        <v>0</v>
      </c>
      <c r="O443" t="n">
        <v>0</v>
      </c>
      <c r="P443" t="n">
        <v>0</v>
      </c>
      <c r="Q443" t="n">
        <v>0</v>
      </c>
      <c r="R443" s="2" t="inlineStr"/>
    </row>
    <row r="444" ht="15" customHeight="1">
      <c r="A444" t="inlineStr">
        <is>
          <t>A 38536-2025</t>
        </is>
      </c>
      <c r="B444" s="1" t="n">
        <v>45884.42</v>
      </c>
      <c r="C444" s="1" t="n">
        <v>46092</v>
      </c>
      <c r="D444" t="inlineStr">
        <is>
          <t>VÄRMLANDS LÄN</t>
        </is>
      </c>
      <c r="E444" t="inlineStr">
        <is>
          <t>TORSBY</t>
        </is>
      </c>
      <c r="G444" t="n">
        <v>2.2</v>
      </c>
      <c r="H444" t="n">
        <v>0</v>
      </c>
      <c r="I444" t="n">
        <v>0</v>
      </c>
      <c r="J444" t="n">
        <v>0</v>
      </c>
      <c r="K444" t="n">
        <v>0</v>
      </c>
      <c r="L444" t="n">
        <v>0</v>
      </c>
      <c r="M444" t="n">
        <v>0</v>
      </c>
      <c r="N444" t="n">
        <v>0</v>
      </c>
      <c r="O444" t="n">
        <v>0</v>
      </c>
      <c r="P444" t="n">
        <v>0</v>
      </c>
      <c r="Q444" t="n">
        <v>0</v>
      </c>
      <c r="R444" s="2" t="inlineStr"/>
    </row>
    <row r="445" ht="15" customHeight="1">
      <c r="A445" t="inlineStr">
        <is>
          <t>A 55953-2025</t>
        </is>
      </c>
      <c r="B445" s="1" t="n">
        <v>45973</v>
      </c>
      <c r="C445" s="1" t="n">
        <v>46092</v>
      </c>
      <c r="D445" t="inlineStr">
        <is>
          <t>VÄRMLANDS LÄN</t>
        </is>
      </c>
      <c r="E445" t="inlineStr">
        <is>
          <t>TORSBY</t>
        </is>
      </c>
      <c r="G445" t="n">
        <v>2.2</v>
      </c>
      <c r="H445" t="n">
        <v>0</v>
      </c>
      <c r="I445" t="n">
        <v>0</v>
      </c>
      <c r="J445" t="n">
        <v>0</v>
      </c>
      <c r="K445" t="n">
        <v>0</v>
      </c>
      <c r="L445" t="n">
        <v>0</v>
      </c>
      <c r="M445" t="n">
        <v>0</v>
      </c>
      <c r="N445" t="n">
        <v>0</v>
      </c>
      <c r="O445" t="n">
        <v>0</v>
      </c>
      <c r="P445" t="n">
        <v>0</v>
      </c>
      <c r="Q445" t="n">
        <v>0</v>
      </c>
      <c r="R445" s="2" t="inlineStr"/>
    </row>
    <row r="446" ht="15" customHeight="1">
      <c r="A446" t="inlineStr">
        <is>
          <t>A 55958-2025</t>
        </is>
      </c>
      <c r="B446" s="1" t="n">
        <v>45973</v>
      </c>
      <c r="C446" s="1" t="n">
        <v>46092</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55938-2025</t>
        </is>
      </c>
      <c r="B447" s="1" t="n">
        <v>45973.44658564815</v>
      </c>
      <c r="C447" s="1" t="n">
        <v>46092</v>
      </c>
      <c r="D447" t="inlineStr">
        <is>
          <t>VÄRMLANDS LÄN</t>
        </is>
      </c>
      <c r="E447" t="inlineStr">
        <is>
          <t>TORSBY</t>
        </is>
      </c>
      <c r="F447" t="inlineStr">
        <is>
          <t>Bergvik skog väst AB</t>
        </is>
      </c>
      <c r="G447" t="n">
        <v>21.2</v>
      </c>
      <c r="H447" t="n">
        <v>0</v>
      </c>
      <c r="I447" t="n">
        <v>0</v>
      </c>
      <c r="J447" t="n">
        <v>0</v>
      </c>
      <c r="K447" t="n">
        <v>0</v>
      </c>
      <c r="L447" t="n">
        <v>0</v>
      </c>
      <c r="M447" t="n">
        <v>0</v>
      </c>
      <c r="N447" t="n">
        <v>0</v>
      </c>
      <c r="O447" t="n">
        <v>0</v>
      </c>
      <c r="P447" t="n">
        <v>0</v>
      </c>
      <c r="Q447" t="n">
        <v>0</v>
      </c>
      <c r="R447" s="2" t="inlineStr"/>
    </row>
    <row r="448" ht="15" customHeight="1">
      <c r="A448" t="inlineStr">
        <is>
          <t>A 15014-2025</t>
        </is>
      </c>
      <c r="B448" s="1" t="n">
        <v>45743</v>
      </c>
      <c r="C448" s="1" t="n">
        <v>46092</v>
      </c>
      <c r="D448" t="inlineStr">
        <is>
          <t>VÄRMLANDS LÄN</t>
        </is>
      </c>
      <c r="E448" t="inlineStr">
        <is>
          <t>TORSBY</t>
        </is>
      </c>
      <c r="G448" t="n">
        <v>2.3</v>
      </c>
      <c r="H448" t="n">
        <v>0</v>
      </c>
      <c r="I448" t="n">
        <v>0</v>
      </c>
      <c r="J448" t="n">
        <v>0</v>
      </c>
      <c r="K448" t="n">
        <v>0</v>
      </c>
      <c r="L448" t="n">
        <v>0</v>
      </c>
      <c r="M448" t="n">
        <v>0</v>
      </c>
      <c r="N448" t="n">
        <v>0</v>
      </c>
      <c r="O448" t="n">
        <v>0</v>
      </c>
      <c r="P448" t="n">
        <v>0</v>
      </c>
      <c r="Q448" t="n">
        <v>0</v>
      </c>
      <c r="R448" s="2" t="inlineStr"/>
    </row>
    <row r="449" ht="15" customHeight="1">
      <c r="A449" t="inlineStr">
        <is>
          <t>A 56033-2025</t>
        </is>
      </c>
      <c r="B449" s="1" t="n">
        <v>45973.6066087963</v>
      </c>
      <c r="C449" s="1" t="n">
        <v>46092</v>
      </c>
      <c r="D449" t="inlineStr">
        <is>
          <t>VÄRMLANDS LÄN</t>
        </is>
      </c>
      <c r="E449" t="inlineStr">
        <is>
          <t>TORSBY</t>
        </is>
      </c>
      <c r="F449" t="inlineStr">
        <is>
          <t>Bergvik skog väst AB</t>
        </is>
      </c>
      <c r="G449" t="n">
        <v>5.3</v>
      </c>
      <c r="H449" t="n">
        <v>0</v>
      </c>
      <c r="I449" t="n">
        <v>0</v>
      </c>
      <c r="J449" t="n">
        <v>0</v>
      </c>
      <c r="K449" t="n">
        <v>0</v>
      </c>
      <c r="L449" t="n">
        <v>0</v>
      </c>
      <c r="M449" t="n">
        <v>0</v>
      </c>
      <c r="N449" t="n">
        <v>0</v>
      </c>
      <c r="O449" t="n">
        <v>0</v>
      </c>
      <c r="P449" t="n">
        <v>0</v>
      </c>
      <c r="Q449" t="n">
        <v>0</v>
      </c>
      <c r="R449" s="2" t="inlineStr"/>
    </row>
    <row r="450" ht="15" customHeight="1">
      <c r="A450" t="inlineStr">
        <is>
          <t>A 56052-2025</t>
        </is>
      </c>
      <c r="B450" s="1" t="n">
        <v>45973.63180555555</v>
      </c>
      <c r="C450" s="1" t="n">
        <v>46092</v>
      </c>
      <c r="D450" t="inlineStr">
        <is>
          <t>VÄRMLANDS LÄN</t>
        </is>
      </c>
      <c r="E450" t="inlineStr">
        <is>
          <t>TORSBY</t>
        </is>
      </c>
      <c r="F450" t="inlineStr">
        <is>
          <t>Bergvik skog väst AB</t>
        </is>
      </c>
      <c r="G450" t="n">
        <v>2.3</v>
      </c>
      <c r="H450" t="n">
        <v>0</v>
      </c>
      <c r="I450" t="n">
        <v>0</v>
      </c>
      <c r="J450" t="n">
        <v>0</v>
      </c>
      <c r="K450" t="n">
        <v>0</v>
      </c>
      <c r="L450" t="n">
        <v>0</v>
      </c>
      <c r="M450" t="n">
        <v>0</v>
      </c>
      <c r="N450" t="n">
        <v>0</v>
      </c>
      <c r="O450" t="n">
        <v>0</v>
      </c>
      <c r="P450" t="n">
        <v>0</v>
      </c>
      <c r="Q450" t="n">
        <v>0</v>
      </c>
      <c r="R450" s="2" t="inlineStr"/>
    </row>
    <row r="451" ht="15" customHeight="1">
      <c r="A451" t="inlineStr">
        <is>
          <t>A 55664-2025</t>
        </is>
      </c>
      <c r="B451" s="1" t="n">
        <v>45972.39621527777</v>
      </c>
      <c r="C451" s="1" t="n">
        <v>46092</v>
      </c>
      <c r="D451" t="inlineStr">
        <is>
          <t>VÄRMLANDS LÄN</t>
        </is>
      </c>
      <c r="E451" t="inlineStr">
        <is>
          <t>TORSBY</t>
        </is>
      </c>
      <c r="F451" t="inlineStr">
        <is>
          <t>Bergvik skog väst AB</t>
        </is>
      </c>
      <c r="G451" t="n">
        <v>4.6</v>
      </c>
      <c r="H451" t="n">
        <v>0</v>
      </c>
      <c r="I451" t="n">
        <v>0</v>
      </c>
      <c r="J451" t="n">
        <v>0</v>
      </c>
      <c r="K451" t="n">
        <v>0</v>
      </c>
      <c r="L451" t="n">
        <v>0</v>
      </c>
      <c r="M451" t="n">
        <v>0</v>
      </c>
      <c r="N451" t="n">
        <v>0</v>
      </c>
      <c r="O451" t="n">
        <v>0</v>
      </c>
      <c r="P451" t="n">
        <v>0</v>
      </c>
      <c r="Q451" t="n">
        <v>0</v>
      </c>
      <c r="R451" s="2" t="inlineStr"/>
    </row>
    <row r="452" ht="15" customHeight="1">
      <c r="A452" t="inlineStr">
        <is>
          <t>A 19253-2025</t>
        </is>
      </c>
      <c r="B452" s="1" t="n">
        <v>45769</v>
      </c>
      <c r="C452" s="1" t="n">
        <v>46092</v>
      </c>
      <c r="D452" t="inlineStr">
        <is>
          <t>VÄRMLANDS LÄN</t>
        </is>
      </c>
      <c r="E452" t="inlineStr">
        <is>
          <t>TORSBY</t>
        </is>
      </c>
      <c r="G452" t="n">
        <v>3.9</v>
      </c>
      <c r="H452" t="n">
        <v>0</v>
      </c>
      <c r="I452" t="n">
        <v>0</v>
      </c>
      <c r="J452" t="n">
        <v>0</v>
      </c>
      <c r="K452" t="n">
        <v>0</v>
      </c>
      <c r="L452" t="n">
        <v>0</v>
      </c>
      <c r="M452" t="n">
        <v>0</v>
      </c>
      <c r="N452" t="n">
        <v>0</v>
      </c>
      <c r="O452" t="n">
        <v>0</v>
      </c>
      <c r="P452" t="n">
        <v>0</v>
      </c>
      <c r="Q452" t="n">
        <v>0</v>
      </c>
      <c r="R452" s="2" t="inlineStr"/>
    </row>
    <row r="453" ht="15" customHeight="1">
      <c r="A453" t="inlineStr">
        <is>
          <t>A 55675-2025</t>
        </is>
      </c>
      <c r="B453" s="1" t="n">
        <v>45972.4175</v>
      </c>
      <c r="C453" s="1" t="n">
        <v>46092</v>
      </c>
      <c r="D453" t="inlineStr">
        <is>
          <t>VÄRMLANDS LÄN</t>
        </is>
      </c>
      <c r="E453" t="inlineStr">
        <is>
          <t>TORSBY</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22320-2025</t>
        </is>
      </c>
      <c r="B454" s="1" t="n">
        <v>45786.40542824074</v>
      </c>
      <c r="C454" s="1" t="n">
        <v>46092</v>
      </c>
      <c r="D454" t="inlineStr">
        <is>
          <t>VÄRMLANDS LÄN</t>
        </is>
      </c>
      <c r="E454" t="inlineStr">
        <is>
          <t>TORSBY</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56130-2025</t>
        </is>
      </c>
      <c r="B455" s="1" t="n">
        <v>45973</v>
      </c>
      <c r="C455" s="1" t="n">
        <v>46092</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22339-2025</t>
        </is>
      </c>
      <c r="B456" s="1" t="n">
        <v>45786</v>
      </c>
      <c r="C456" s="1" t="n">
        <v>46092</v>
      </c>
      <c r="D456" t="inlineStr">
        <is>
          <t>VÄRMLANDS LÄN</t>
        </is>
      </c>
      <c r="E456" t="inlineStr">
        <is>
          <t>TORSBY</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55863-2025</t>
        </is>
      </c>
      <c r="B457" s="1" t="n">
        <v>45973.3465162037</v>
      </c>
      <c r="C457" s="1" t="n">
        <v>46092</v>
      </c>
      <c r="D457" t="inlineStr">
        <is>
          <t>VÄRMLANDS LÄN</t>
        </is>
      </c>
      <c r="E457" t="inlineStr">
        <is>
          <t>TORSBY</t>
        </is>
      </c>
      <c r="G457" t="n">
        <v>6.6</v>
      </c>
      <c r="H457" t="n">
        <v>0</v>
      </c>
      <c r="I457" t="n">
        <v>0</v>
      </c>
      <c r="J457" t="n">
        <v>0</v>
      </c>
      <c r="K457" t="n">
        <v>0</v>
      </c>
      <c r="L457" t="n">
        <v>0</v>
      </c>
      <c r="M457" t="n">
        <v>0</v>
      </c>
      <c r="N457" t="n">
        <v>0</v>
      </c>
      <c r="O457" t="n">
        <v>0</v>
      </c>
      <c r="P457" t="n">
        <v>0</v>
      </c>
      <c r="Q457" t="n">
        <v>0</v>
      </c>
      <c r="R457" s="2" t="inlineStr"/>
    </row>
    <row r="458" ht="15" customHeight="1">
      <c r="A458" t="inlineStr">
        <is>
          <t>A 57469-2024</t>
        </is>
      </c>
      <c r="B458" s="1" t="n">
        <v>45630</v>
      </c>
      <c r="C458" s="1" t="n">
        <v>46092</v>
      </c>
      <c r="D458" t="inlineStr">
        <is>
          <t>VÄRMLANDS LÄN</t>
        </is>
      </c>
      <c r="E458" t="inlineStr">
        <is>
          <t>TORSBY</t>
        </is>
      </c>
      <c r="F458" t="inlineStr">
        <is>
          <t>Bergvik skog väst AB</t>
        </is>
      </c>
      <c r="G458" t="n">
        <v>12.8</v>
      </c>
      <c r="H458" t="n">
        <v>0</v>
      </c>
      <c r="I458" t="n">
        <v>0</v>
      </c>
      <c r="J458" t="n">
        <v>0</v>
      </c>
      <c r="K458" t="n">
        <v>0</v>
      </c>
      <c r="L458" t="n">
        <v>0</v>
      </c>
      <c r="M458" t="n">
        <v>0</v>
      </c>
      <c r="N458" t="n">
        <v>0</v>
      </c>
      <c r="O458" t="n">
        <v>0</v>
      </c>
      <c r="P458" t="n">
        <v>0</v>
      </c>
      <c r="Q458" t="n">
        <v>0</v>
      </c>
      <c r="R458" s="2" t="inlineStr"/>
    </row>
    <row r="459" ht="15" customHeight="1">
      <c r="A459" t="inlineStr">
        <is>
          <t>A 22760-2025</t>
        </is>
      </c>
      <c r="B459" s="1" t="n">
        <v>45789</v>
      </c>
      <c r="C459" s="1" t="n">
        <v>46092</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4231-2024</t>
        </is>
      </c>
      <c r="B460" s="1" t="n">
        <v>45324.42771990741</v>
      </c>
      <c r="C460" s="1" t="n">
        <v>46092</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37238-2024</t>
        </is>
      </c>
      <c r="B461" s="1" t="n">
        <v>45540</v>
      </c>
      <c r="C461" s="1" t="n">
        <v>46092</v>
      </c>
      <c r="D461" t="inlineStr">
        <is>
          <t>VÄRMLANDS LÄN</t>
        </is>
      </c>
      <c r="E461" t="inlineStr">
        <is>
          <t>TORSBY</t>
        </is>
      </c>
      <c r="F461" t="inlineStr">
        <is>
          <t>Bergvik skog väst AB</t>
        </is>
      </c>
      <c r="G461" t="n">
        <v>11.9</v>
      </c>
      <c r="H461" t="n">
        <v>0</v>
      </c>
      <c r="I461" t="n">
        <v>0</v>
      </c>
      <c r="J461" t="n">
        <v>0</v>
      </c>
      <c r="K461" t="n">
        <v>0</v>
      </c>
      <c r="L461" t="n">
        <v>0</v>
      </c>
      <c r="M461" t="n">
        <v>0</v>
      </c>
      <c r="N461" t="n">
        <v>0</v>
      </c>
      <c r="O461" t="n">
        <v>0</v>
      </c>
      <c r="P461" t="n">
        <v>0</v>
      </c>
      <c r="Q461" t="n">
        <v>0</v>
      </c>
      <c r="R461" s="2" t="inlineStr"/>
    </row>
    <row r="462" ht="15" customHeight="1">
      <c r="A462" t="inlineStr">
        <is>
          <t>A 56187-2025</t>
        </is>
      </c>
      <c r="B462" s="1" t="n">
        <v>45974.42451388889</v>
      </c>
      <c r="C462" s="1" t="n">
        <v>46092</v>
      </c>
      <c r="D462" t="inlineStr">
        <is>
          <t>VÄRMLANDS LÄN</t>
        </is>
      </c>
      <c r="E462" t="inlineStr">
        <is>
          <t>TORSBY</t>
        </is>
      </c>
      <c r="G462" t="n">
        <v>6.3</v>
      </c>
      <c r="H462" t="n">
        <v>0</v>
      </c>
      <c r="I462" t="n">
        <v>0</v>
      </c>
      <c r="J462" t="n">
        <v>0</v>
      </c>
      <c r="K462" t="n">
        <v>0</v>
      </c>
      <c r="L462" t="n">
        <v>0</v>
      </c>
      <c r="M462" t="n">
        <v>0</v>
      </c>
      <c r="N462" t="n">
        <v>0</v>
      </c>
      <c r="O462" t="n">
        <v>0</v>
      </c>
      <c r="P462" t="n">
        <v>0</v>
      </c>
      <c r="Q462" t="n">
        <v>0</v>
      </c>
      <c r="R462" s="2" t="inlineStr"/>
    </row>
    <row r="463" ht="15" customHeight="1">
      <c r="A463" t="inlineStr">
        <is>
          <t>A 22331-2025</t>
        </is>
      </c>
      <c r="B463" s="1" t="n">
        <v>45786</v>
      </c>
      <c r="C463" s="1" t="n">
        <v>46092</v>
      </c>
      <c r="D463" t="inlineStr">
        <is>
          <t>VÄRMLANDS LÄN</t>
        </is>
      </c>
      <c r="E463" t="inlineStr">
        <is>
          <t>TORSBY</t>
        </is>
      </c>
      <c r="F463" t="inlineStr">
        <is>
          <t>Bergvik skog väst AB</t>
        </is>
      </c>
      <c r="G463" t="n">
        <v>13.5</v>
      </c>
      <c r="H463" t="n">
        <v>0</v>
      </c>
      <c r="I463" t="n">
        <v>0</v>
      </c>
      <c r="J463" t="n">
        <v>0</v>
      </c>
      <c r="K463" t="n">
        <v>0</v>
      </c>
      <c r="L463" t="n">
        <v>0</v>
      </c>
      <c r="M463" t="n">
        <v>0</v>
      </c>
      <c r="N463" t="n">
        <v>0</v>
      </c>
      <c r="O463" t="n">
        <v>0</v>
      </c>
      <c r="P463" t="n">
        <v>0</v>
      </c>
      <c r="Q463" t="n">
        <v>0</v>
      </c>
      <c r="R463" s="2" t="inlineStr"/>
    </row>
    <row r="464" ht="15" customHeight="1">
      <c r="A464" t="inlineStr">
        <is>
          <t>A 24182-2024</t>
        </is>
      </c>
      <c r="B464" s="1" t="n">
        <v>45456</v>
      </c>
      <c r="C464" s="1" t="n">
        <v>46092</v>
      </c>
      <c r="D464" t="inlineStr">
        <is>
          <t>VÄRMLANDS LÄN</t>
        </is>
      </c>
      <c r="E464" t="inlineStr">
        <is>
          <t>TORSBY</t>
        </is>
      </c>
      <c r="F464" t="inlineStr">
        <is>
          <t>Bergvik skog väst AB</t>
        </is>
      </c>
      <c r="G464" t="n">
        <v>28.9</v>
      </c>
      <c r="H464" t="n">
        <v>0</v>
      </c>
      <c r="I464" t="n">
        <v>0</v>
      </c>
      <c r="J464" t="n">
        <v>0</v>
      </c>
      <c r="K464" t="n">
        <v>0</v>
      </c>
      <c r="L464" t="n">
        <v>0</v>
      </c>
      <c r="M464" t="n">
        <v>0</v>
      </c>
      <c r="N464" t="n">
        <v>0</v>
      </c>
      <c r="O464" t="n">
        <v>0</v>
      </c>
      <c r="P464" t="n">
        <v>0</v>
      </c>
      <c r="Q464" t="n">
        <v>0</v>
      </c>
      <c r="R464" s="2" t="inlineStr"/>
    </row>
    <row r="465" ht="15" customHeight="1">
      <c r="A465" t="inlineStr">
        <is>
          <t>A 38808-2025</t>
        </is>
      </c>
      <c r="B465" s="1" t="n">
        <v>45887.47344907407</v>
      </c>
      <c r="C465" s="1" t="n">
        <v>46092</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36419-2024</t>
        </is>
      </c>
      <c r="B466" s="1" t="n">
        <v>45536.58380787037</v>
      </c>
      <c r="C466" s="1" t="n">
        <v>46092</v>
      </c>
      <c r="D466" t="inlineStr">
        <is>
          <t>VÄRMLANDS LÄN</t>
        </is>
      </c>
      <c r="E466" t="inlineStr">
        <is>
          <t>TORSBY</t>
        </is>
      </c>
      <c r="G466" t="n">
        <v>8.9</v>
      </c>
      <c r="H466" t="n">
        <v>0</v>
      </c>
      <c r="I466" t="n">
        <v>0</v>
      </c>
      <c r="J466" t="n">
        <v>0</v>
      </c>
      <c r="K466" t="n">
        <v>0</v>
      </c>
      <c r="L466" t="n">
        <v>0</v>
      </c>
      <c r="M466" t="n">
        <v>0</v>
      </c>
      <c r="N466" t="n">
        <v>0</v>
      </c>
      <c r="O466" t="n">
        <v>0</v>
      </c>
      <c r="P466" t="n">
        <v>0</v>
      </c>
      <c r="Q466" t="n">
        <v>0</v>
      </c>
      <c r="R466" s="2" t="inlineStr"/>
    </row>
    <row r="467" ht="15" customHeight="1">
      <c r="A467" t="inlineStr">
        <is>
          <t>A 18576-2025</t>
        </is>
      </c>
      <c r="B467" s="1" t="n">
        <v>45763</v>
      </c>
      <c r="C467" s="1" t="n">
        <v>46092</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18584-2025</t>
        </is>
      </c>
      <c r="B468" s="1" t="n">
        <v>45763.46973379629</v>
      </c>
      <c r="C468" s="1" t="n">
        <v>46092</v>
      </c>
      <c r="D468" t="inlineStr">
        <is>
          <t>VÄRMLANDS LÄN</t>
        </is>
      </c>
      <c r="E468" t="inlineStr">
        <is>
          <t>TORSBY</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58728-2021</t>
        </is>
      </c>
      <c r="B469" s="1" t="n">
        <v>44489</v>
      </c>
      <c r="C469" s="1" t="n">
        <v>46092</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56263-2025</t>
        </is>
      </c>
      <c r="B470" s="1" t="n">
        <v>45974.57358796296</v>
      </c>
      <c r="C470" s="1" t="n">
        <v>46092</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46152-2024</t>
        </is>
      </c>
      <c r="B471" s="1" t="n">
        <v>45581</v>
      </c>
      <c r="C471" s="1" t="n">
        <v>46092</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56575-2025</t>
        </is>
      </c>
      <c r="B472" s="1" t="n">
        <v>45975</v>
      </c>
      <c r="C472" s="1" t="n">
        <v>46092</v>
      </c>
      <c r="D472" t="inlineStr">
        <is>
          <t>VÄRMLANDS LÄN</t>
        </is>
      </c>
      <c r="E472" t="inlineStr">
        <is>
          <t>TORSBY</t>
        </is>
      </c>
      <c r="G472" t="n">
        <v>4.2</v>
      </c>
      <c r="H472" t="n">
        <v>0</v>
      </c>
      <c r="I472" t="n">
        <v>0</v>
      </c>
      <c r="J472" t="n">
        <v>0</v>
      </c>
      <c r="K472" t="n">
        <v>0</v>
      </c>
      <c r="L472" t="n">
        <v>0</v>
      </c>
      <c r="M472" t="n">
        <v>0</v>
      </c>
      <c r="N472" t="n">
        <v>0</v>
      </c>
      <c r="O472" t="n">
        <v>0</v>
      </c>
      <c r="P472" t="n">
        <v>0</v>
      </c>
      <c r="Q472" t="n">
        <v>0</v>
      </c>
      <c r="R472" s="2" t="inlineStr"/>
    </row>
    <row r="473" ht="15" customHeight="1">
      <c r="A473" t="inlineStr">
        <is>
          <t>A 22757-2025</t>
        </is>
      </c>
      <c r="B473" s="1" t="n">
        <v>45789.61908564815</v>
      </c>
      <c r="C473" s="1" t="n">
        <v>46092</v>
      </c>
      <c r="D473" t="inlineStr">
        <is>
          <t>VÄRMLANDS LÄN</t>
        </is>
      </c>
      <c r="E473" t="inlineStr">
        <is>
          <t>TORSBY</t>
        </is>
      </c>
      <c r="G473" t="n">
        <v>7.1</v>
      </c>
      <c r="H473" t="n">
        <v>0</v>
      </c>
      <c r="I473" t="n">
        <v>0</v>
      </c>
      <c r="J473" t="n">
        <v>0</v>
      </c>
      <c r="K473" t="n">
        <v>0</v>
      </c>
      <c r="L473" t="n">
        <v>0</v>
      </c>
      <c r="M473" t="n">
        <v>0</v>
      </c>
      <c r="N473" t="n">
        <v>0</v>
      </c>
      <c r="O473" t="n">
        <v>0</v>
      </c>
      <c r="P473" t="n">
        <v>0</v>
      </c>
      <c r="Q473" t="n">
        <v>0</v>
      </c>
      <c r="R473" s="2" t="inlineStr"/>
    </row>
    <row r="474" ht="15" customHeight="1">
      <c r="A474" t="inlineStr">
        <is>
          <t>A 38738-2025</t>
        </is>
      </c>
      <c r="B474" s="1" t="n">
        <v>45887.3715162037</v>
      </c>
      <c r="C474" s="1" t="n">
        <v>46092</v>
      </c>
      <c r="D474" t="inlineStr">
        <is>
          <t>VÄRMLANDS LÄN</t>
        </is>
      </c>
      <c r="E474" t="inlineStr">
        <is>
          <t>TORSBY</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34093-2024</t>
        </is>
      </c>
      <c r="B475" s="1" t="n">
        <v>45523</v>
      </c>
      <c r="C475" s="1" t="n">
        <v>46092</v>
      </c>
      <c r="D475" t="inlineStr">
        <is>
          <t>VÄRMLANDS LÄN</t>
        </is>
      </c>
      <c r="E475" t="inlineStr">
        <is>
          <t>TORSBY</t>
        </is>
      </c>
      <c r="F475" t="inlineStr">
        <is>
          <t>Bergvik skog väst AB</t>
        </is>
      </c>
      <c r="G475" t="n">
        <v>5.9</v>
      </c>
      <c r="H475" t="n">
        <v>0</v>
      </c>
      <c r="I475" t="n">
        <v>0</v>
      </c>
      <c r="J475" t="n">
        <v>0</v>
      </c>
      <c r="K475" t="n">
        <v>0</v>
      </c>
      <c r="L475" t="n">
        <v>0</v>
      </c>
      <c r="M475" t="n">
        <v>0</v>
      </c>
      <c r="N475" t="n">
        <v>0</v>
      </c>
      <c r="O475" t="n">
        <v>0</v>
      </c>
      <c r="P475" t="n">
        <v>0</v>
      </c>
      <c r="Q475" t="n">
        <v>0</v>
      </c>
      <c r="R475" s="2" t="inlineStr"/>
    </row>
    <row r="476" ht="15" customHeight="1">
      <c r="A476" t="inlineStr">
        <is>
          <t>A 56258-2025</t>
        </is>
      </c>
      <c r="B476" s="1" t="n">
        <v>45974.56655092593</v>
      </c>
      <c r="C476" s="1" t="n">
        <v>46092</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60207-2024</t>
        </is>
      </c>
      <c r="B477" s="1" t="n">
        <v>45642.67428240741</v>
      </c>
      <c r="C477" s="1" t="n">
        <v>46092</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23367-2025</t>
        </is>
      </c>
      <c r="B478" s="1" t="n">
        <v>45791.69582175926</v>
      </c>
      <c r="C478" s="1" t="n">
        <v>46092</v>
      </c>
      <c r="D478" t="inlineStr">
        <is>
          <t>VÄRMLANDS LÄN</t>
        </is>
      </c>
      <c r="E478" t="inlineStr">
        <is>
          <t>TORSBY</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7101-2025</t>
        </is>
      </c>
      <c r="B479" s="1" t="n">
        <v>45701</v>
      </c>
      <c r="C479" s="1" t="n">
        <v>46092</v>
      </c>
      <c r="D479" t="inlineStr">
        <is>
          <t>VÄRMLANDS LÄN</t>
        </is>
      </c>
      <c r="E479" t="inlineStr">
        <is>
          <t>TORSBY</t>
        </is>
      </c>
      <c r="G479" t="n">
        <v>4.2</v>
      </c>
      <c r="H479" t="n">
        <v>0</v>
      </c>
      <c r="I479" t="n">
        <v>0</v>
      </c>
      <c r="J479" t="n">
        <v>0</v>
      </c>
      <c r="K479" t="n">
        <v>0</v>
      </c>
      <c r="L479" t="n">
        <v>0</v>
      </c>
      <c r="M479" t="n">
        <v>0</v>
      </c>
      <c r="N479" t="n">
        <v>0</v>
      </c>
      <c r="O479" t="n">
        <v>0</v>
      </c>
      <c r="P479" t="n">
        <v>0</v>
      </c>
      <c r="Q479" t="n">
        <v>0</v>
      </c>
      <c r="R479" s="2" t="inlineStr"/>
    </row>
    <row r="480" ht="15" customHeight="1">
      <c r="A480" t="inlineStr">
        <is>
          <t>A 23287-2025</t>
        </is>
      </c>
      <c r="B480" s="1" t="n">
        <v>45791.5816087963</v>
      </c>
      <c r="C480" s="1" t="n">
        <v>46092</v>
      </c>
      <c r="D480" t="inlineStr">
        <is>
          <t>VÄRMLANDS LÄN</t>
        </is>
      </c>
      <c r="E480" t="inlineStr">
        <is>
          <t>TORSBY</t>
        </is>
      </c>
      <c r="F480" t="inlineStr">
        <is>
          <t>Bergvik skog väst AB</t>
        </is>
      </c>
      <c r="G480" t="n">
        <v>8.5</v>
      </c>
      <c r="H480" t="n">
        <v>0</v>
      </c>
      <c r="I480" t="n">
        <v>0</v>
      </c>
      <c r="J480" t="n">
        <v>0</v>
      </c>
      <c r="K480" t="n">
        <v>0</v>
      </c>
      <c r="L480" t="n">
        <v>0</v>
      </c>
      <c r="M480" t="n">
        <v>0</v>
      </c>
      <c r="N480" t="n">
        <v>0</v>
      </c>
      <c r="O480" t="n">
        <v>0</v>
      </c>
      <c r="P480" t="n">
        <v>0</v>
      </c>
      <c r="Q480" t="n">
        <v>0</v>
      </c>
      <c r="R480" s="2" t="inlineStr"/>
    </row>
    <row r="481" ht="15" customHeight="1">
      <c r="A481" t="inlineStr">
        <is>
          <t>A 38611-2025</t>
        </is>
      </c>
      <c r="B481" s="1" t="n">
        <v>45884.53958333333</v>
      </c>
      <c r="C481" s="1" t="n">
        <v>46092</v>
      </c>
      <c r="D481" t="inlineStr">
        <is>
          <t>VÄRMLANDS LÄN</t>
        </is>
      </c>
      <c r="E481" t="inlineStr">
        <is>
          <t>TORSBY</t>
        </is>
      </c>
      <c r="G481" t="n">
        <v>3.3</v>
      </c>
      <c r="H481" t="n">
        <v>0</v>
      </c>
      <c r="I481" t="n">
        <v>0</v>
      </c>
      <c r="J481" t="n">
        <v>0</v>
      </c>
      <c r="K481" t="n">
        <v>0</v>
      </c>
      <c r="L481" t="n">
        <v>0</v>
      </c>
      <c r="M481" t="n">
        <v>0</v>
      </c>
      <c r="N481" t="n">
        <v>0</v>
      </c>
      <c r="O481" t="n">
        <v>0</v>
      </c>
      <c r="P481" t="n">
        <v>0</v>
      </c>
      <c r="Q481" t="n">
        <v>0</v>
      </c>
      <c r="R481" s="2" t="inlineStr"/>
    </row>
    <row r="482" ht="15" customHeight="1">
      <c r="A482" t="inlineStr">
        <is>
          <t>A 56786-2025</t>
        </is>
      </c>
      <c r="B482" s="1" t="n">
        <v>45978.4254050926</v>
      </c>
      <c r="C482" s="1" t="n">
        <v>46092</v>
      </c>
      <c r="D482" t="inlineStr">
        <is>
          <t>VÄRMLANDS LÄN</t>
        </is>
      </c>
      <c r="E482" t="inlineStr">
        <is>
          <t>TORSBY</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16309-2023</t>
        </is>
      </c>
      <c r="B483" s="1" t="n">
        <v>45028.58873842593</v>
      </c>
      <c r="C483" s="1" t="n">
        <v>46092</v>
      </c>
      <c r="D483" t="inlineStr">
        <is>
          <t>VÄRMLANDS LÄN</t>
        </is>
      </c>
      <c r="E483" t="inlineStr">
        <is>
          <t>TORSBY</t>
        </is>
      </c>
      <c r="G483" t="n">
        <v>2.1</v>
      </c>
      <c r="H483" t="n">
        <v>0</v>
      </c>
      <c r="I483" t="n">
        <v>0</v>
      </c>
      <c r="J483" t="n">
        <v>0</v>
      </c>
      <c r="K483" t="n">
        <v>0</v>
      </c>
      <c r="L483" t="n">
        <v>0</v>
      </c>
      <c r="M483" t="n">
        <v>0</v>
      </c>
      <c r="N483" t="n">
        <v>0</v>
      </c>
      <c r="O483" t="n">
        <v>0</v>
      </c>
      <c r="P483" t="n">
        <v>0</v>
      </c>
      <c r="Q483" t="n">
        <v>0</v>
      </c>
      <c r="R483" s="2" t="inlineStr"/>
    </row>
    <row r="484" ht="15" customHeight="1">
      <c r="A484" t="inlineStr">
        <is>
          <t>A 13848-2024</t>
        </is>
      </c>
      <c r="B484" s="1" t="n">
        <v>45390</v>
      </c>
      <c r="C484" s="1" t="n">
        <v>46092</v>
      </c>
      <c r="D484" t="inlineStr">
        <is>
          <t>VÄRMLANDS LÄN</t>
        </is>
      </c>
      <c r="E484" t="inlineStr">
        <is>
          <t>TORSBY</t>
        </is>
      </c>
      <c r="G484" t="n">
        <v>4.5</v>
      </c>
      <c r="H484" t="n">
        <v>0</v>
      </c>
      <c r="I484" t="n">
        <v>0</v>
      </c>
      <c r="J484" t="n">
        <v>0</v>
      </c>
      <c r="K484" t="n">
        <v>0</v>
      </c>
      <c r="L484" t="n">
        <v>0</v>
      </c>
      <c r="M484" t="n">
        <v>0</v>
      </c>
      <c r="N484" t="n">
        <v>0</v>
      </c>
      <c r="O484" t="n">
        <v>0</v>
      </c>
      <c r="P484" t="n">
        <v>0</v>
      </c>
      <c r="Q484" t="n">
        <v>0</v>
      </c>
      <c r="R484" s="2" t="inlineStr"/>
    </row>
    <row r="485" ht="15" customHeight="1">
      <c r="A485" t="inlineStr">
        <is>
          <t>A 46456-2024</t>
        </is>
      </c>
      <c r="B485" s="1" t="n">
        <v>45582</v>
      </c>
      <c r="C485" s="1" t="n">
        <v>46092</v>
      </c>
      <c r="D485" t="inlineStr">
        <is>
          <t>VÄRMLANDS LÄN</t>
        </is>
      </c>
      <c r="E485" t="inlineStr">
        <is>
          <t>TORSBY</t>
        </is>
      </c>
      <c r="G485" t="n">
        <v>2.3</v>
      </c>
      <c r="H485" t="n">
        <v>0</v>
      </c>
      <c r="I485" t="n">
        <v>0</v>
      </c>
      <c r="J485" t="n">
        <v>0</v>
      </c>
      <c r="K485" t="n">
        <v>0</v>
      </c>
      <c r="L485" t="n">
        <v>0</v>
      </c>
      <c r="M485" t="n">
        <v>0</v>
      </c>
      <c r="N485" t="n">
        <v>0</v>
      </c>
      <c r="O485" t="n">
        <v>0</v>
      </c>
      <c r="P485" t="n">
        <v>0</v>
      </c>
      <c r="Q485" t="n">
        <v>0</v>
      </c>
      <c r="R485" s="2" t="inlineStr"/>
    </row>
    <row r="486" ht="15" customHeight="1">
      <c r="A486" t="inlineStr">
        <is>
          <t>A 2203-2025</t>
        </is>
      </c>
      <c r="B486" s="1" t="n">
        <v>45672</v>
      </c>
      <c r="C486" s="1" t="n">
        <v>46092</v>
      </c>
      <c r="D486" t="inlineStr">
        <is>
          <t>VÄRMLANDS LÄN</t>
        </is>
      </c>
      <c r="E486" t="inlineStr">
        <is>
          <t>TORSBY</t>
        </is>
      </c>
      <c r="G486" t="n">
        <v>11.3</v>
      </c>
      <c r="H486" t="n">
        <v>0</v>
      </c>
      <c r="I486" t="n">
        <v>0</v>
      </c>
      <c r="J486" t="n">
        <v>0</v>
      </c>
      <c r="K486" t="n">
        <v>0</v>
      </c>
      <c r="L486" t="n">
        <v>0</v>
      </c>
      <c r="M486" t="n">
        <v>0</v>
      </c>
      <c r="N486" t="n">
        <v>0</v>
      </c>
      <c r="O486" t="n">
        <v>0</v>
      </c>
      <c r="P486" t="n">
        <v>0</v>
      </c>
      <c r="Q486" t="n">
        <v>0</v>
      </c>
      <c r="R486" s="2" t="inlineStr"/>
    </row>
    <row r="487" ht="15" customHeight="1">
      <c r="A487" t="inlineStr">
        <is>
          <t>A 58259-2024</t>
        </is>
      </c>
      <c r="B487" s="1" t="n">
        <v>45632.56155092592</v>
      </c>
      <c r="C487" s="1" t="n">
        <v>46092</v>
      </c>
      <c r="D487" t="inlineStr">
        <is>
          <t>VÄRMLANDS LÄN</t>
        </is>
      </c>
      <c r="E487" t="inlineStr">
        <is>
          <t>TORSBY</t>
        </is>
      </c>
      <c r="G487" t="n">
        <v>2.2</v>
      </c>
      <c r="H487" t="n">
        <v>0</v>
      </c>
      <c r="I487" t="n">
        <v>0</v>
      </c>
      <c r="J487" t="n">
        <v>0</v>
      </c>
      <c r="K487" t="n">
        <v>0</v>
      </c>
      <c r="L487" t="n">
        <v>0</v>
      </c>
      <c r="M487" t="n">
        <v>0</v>
      </c>
      <c r="N487" t="n">
        <v>0</v>
      </c>
      <c r="O487" t="n">
        <v>0</v>
      </c>
      <c r="P487" t="n">
        <v>0</v>
      </c>
      <c r="Q487" t="n">
        <v>0</v>
      </c>
      <c r="R487" s="2" t="inlineStr"/>
    </row>
    <row r="488" ht="15" customHeight="1">
      <c r="A488" t="inlineStr">
        <is>
          <t>A 57137-2025</t>
        </is>
      </c>
      <c r="B488" s="1" t="n">
        <v>45979</v>
      </c>
      <c r="C488" s="1" t="n">
        <v>46092</v>
      </c>
      <c r="D488" t="inlineStr">
        <is>
          <t>VÄRMLANDS LÄN</t>
        </is>
      </c>
      <c r="E488" t="inlineStr">
        <is>
          <t>TORSBY</t>
        </is>
      </c>
      <c r="F488" t="inlineStr">
        <is>
          <t>Övriga statliga verk och myndigheter</t>
        </is>
      </c>
      <c r="G488" t="n">
        <v>0.8</v>
      </c>
      <c r="H488" t="n">
        <v>0</v>
      </c>
      <c r="I488" t="n">
        <v>0</v>
      </c>
      <c r="J488" t="n">
        <v>0</v>
      </c>
      <c r="K488" t="n">
        <v>0</v>
      </c>
      <c r="L488" t="n">
        <v>0</v>
      </c>
      <c r="M488" t="n">
        <v>0</v>
      </c>
      <c r="N488" t="n">
        <v>0</v>
      </c>
      <c r="O488" t="n">
        <v>0</v>
      </c>
      <c r="P488" t="n">
        <v>0</v>
      </c>
      <c r="Q488" t="n">
        <v>0</v>
      </c>
      <c r="R488" s="2" t="inlineStr"/>
    </row>
    <row r="489" ht="15" customHeight="1">
      <c r="A489" t="inlineStr">
        <is>
          <t>A 15413-2023</t>
        </is>
      </c>
      <c r="B489" s="1" t="n">
        <v>45019</v>
      </c>
      <c r="C489" s="1" t="n">
        <v>46092</v>
      </c>
      <c r="D489" t="inlineStr">
        <is>
          <t>VÄRMLANDS LÄN</t>
        </is>
      </c>
      <c r="E489" t="inlineStr">
        <is>
          <t>TORSBY</t>
        </is>
      </c>
      <c r="G489" t="n">
        <v>17.1</v>
      </c>
      <c r="H489" t="n">
        <v>0</v>
      </c>
      <c r="I489" t="n">
        <v>0</v>
      </c>
      <c r="J489" t="n">
        <v>0</v>
      </c>
      <c r="K489" t="n">
        <v>0</v>
      </c>
      <c r="L489" t="n">
        <v>0</v>
      </c>
      <c r="M489" t="n">
        <v>0</v>
      </c>
      <c r="N489" t="n">
        <v>0</v>
      </c>
      <c r="O489" t="n">
        <v>0</v>
      </c>
      <c r="P489" t="n">
        <v>0</v>
      </c>
      <c r="Q489" t="n">
        <v>0</v>
      </c>
      <c r="R489" s="2" t="inlineStr"/>
    </row>
    <row r="490" ht="15" customHeight="1">
      <c r="A490" t="inlineStr">
        <is>
          <t>A 22845-2025</t>
        </is>
      </c>
      <c r="B490" s="1" t="n">
        <v>45790</v>
      </c>
      <c r="C490" s="1" t="n">
        <v>46092</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56761-2025</t>
        </is>
      </c>
      <c r="B491" s="1" t="n">
        <v>45978.37505787037</v>
      </c>
      <c r="C491" s="1" t="n">
        <v>46092</v>
      </c>
      <c r="D491" t="inlineStr">
        <is>
          <t>VÄRMLANDS LÄN</t>
        </is>
      </c>
      <c r="E491" t="inlineStr">
        <is>
          <t>TORSBY</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56772-2025</t>
        </is>
      </c>
      <c r="B492" s="1" t="n">
        <v>45978</v>
      </c>
      <c r="C492" s="1" t="n">
        <v>46092</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56778-2025</t>
        </is>
      </c>
      <c r="B493" s="1" t="n">
        <v>45978</v>
      </c>
      <c r="C493" s="1" t="n">
        <v>46092</v>
      </c>
      <c r="D493" t="inlineStr">
        <is>
          <t>VÄRMLANDS LÄN</t>
        </is>
      </c>
      <c r="E493" t="inlineStr">
        <is>
          <t>TORSBY</t>
        </is>
      </c>
      <c r="G493" t="n">
        <v>3.8</v>
      </c>
      <c r="H493" t="n">
        <v>0</v>
      </c>
      <c r="I493" t="n">
        <v>0</v>
      </c>
      <c r="J493" t="n">
        <v>0</v>
      </c>
      <c r="K493" t="n">
        <v>0</v>
      </c>
      <c r="L493" t="n">
        <v>0</v>
      </c>
      <c r="M493" t="n">
        <v>0</v>
      </c>
      <c r="N493" t="n">
        <v>0</v>
      </c>
      <c r="O493" t="n">
        <v>0</v>
      </c>
      <c r="P493" t="n">
        <v>0</v>
      </c>
      <c r="Q493" t="n">
        <v>0</v>
      </c>
      <c r="R493" s="2" t="inlineStr"/>
    </row>
    <row r="494" ht="15" customHeight="1">
      <c r="A494" t="inlineStr">
        <is>
          <t>A 56747-2025</t>
        </is>
      </c>
      <c r="B494" s="1" t="n">
        <v>45978</v>
      </c>
      <c r="C494" s="1" t="n">
        <v>46092</v>
      </c>
      <c r="D494" t="inlineStr">
        <is>
          <t>VÄRMLANDS LÄN</t>
        </is>
      </c>
      <c r="E494" t="inlineStr">
        <is>
          <t>TORSBY</t>
        </is>
      </c>
      <c r="G494" t="n">
        <v>4.2</v>
      </c>
      <c r="H494" t="n">
        <v>0</v>
      </c>
      <c r="I494" t="n">
        <v>0</v>
      </c>
      <c r="J494" t="n">
        <v>0</v>
      </c>
      <c r="K494" t="n">
        <v>0</v>
      </c>
      <c r="L494" t="n">
        <v>0</v>
      </c>
      <c r="M494" t="n">
        <v>0</v>
      </c>
      <c r="N494" t="n">
        <v>0</v>
      </c>
      <c r="O494" t="n">
        <v>0</v>
      </c>
      <c r="P494" t="n">
        <v>0</v>
      </c>
      <c r="Q494" t="n">
        <v>0</v>
      </c>
      <c r="R494" s="2" t="inlineStr"/>
    </row>
    <row r="495" ht="15" customHeight="1">
      <c r="A495" t="inlineStr">
        <is>
          <t>A 57370-2025</t>
        </is>
      </c>
      <c r="B495" s="1" t="n">
        <v>45979</v>
      </c>
      <c r="C495" s="1" t="n">
        <v>46092</v>
      </c>
      <c r="D495" t="inlineStr">
        <is>
          <t>VÄRMLANDS LÄN</t>
        </is>
      </c>
      <c r="E495" t="inlineStr">
        <is>
          <t>TORSBY</t>
        </is>
      </c>
      <c r="G495" t="n">
        <v>3.3</v>
      </c>
      <c r="H495" t="n">
        <v>0</v>
      </c>
      <c r="I495" t="n">
        <v>0</v>
      </c>
      <c r="J495" t="n">
        <v>0</v>
      </c>
      <c r="K495" t="n">
        <v>0</v>
      </c>
      <c r="L495" t="n">
        <v>0</v>
      </c>
      <c r="M495" t="n">
        <v>0</v>
      </c>
      <c r="N495" t="n">
        <v>0</v>
      </c>
      <c r="O495" t="n">
        <v>0</v>
      </c>
      <c r="P495" t="n">
        <v>0</v>
      </c>
      <c r="Q495" t="n">
        <v>0</v>
      </c>
      <c r="R495" s="2" t="inlineStr"/>
    </row>
    <row r="496" ht="15" customHeight="1">
      <c r="A496" t="inlineStr">
        <is>
          <t>A 34906-2024</t>
        </is>
      </c>
      <c r="B496" s="1" t="n">
        <v>45527</v>
      </c>
      <c r="C496" s="1" t="n">
        <v>46092</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56889-2025</t>
        </is>
      </c>
      <c r="B497" s="1" t="n">
        <v>45978</v>
      </c>
      <c r="C497" s="1" t="n">
        <v>46092</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22954-2025</t>
        </is>
      </c>
      <c r="B498" s="1" t="n">
        <v>45790.5184375</v>
      </c>
      <c r="C498" s="1" t="n">
        <v>46092</v>
      </c>
      <c r="D498" t="inlineStr">
        <is>
          <t>VÄRMLANDS LÄN</t>
        </is>
      </c>
      <c r="E498" t="inlineStr">
        <is>
          <t>TORSBY</t>
        </is>
      </c>
      <c r="G498" t="n">
        <v>5.4</v>
      </c>
      <c r="H498" t="n">
        <v>0</v>
      </c>
      <c r="I498" t="n">
        <v>0</v>
      </c>
      <c r="J498" t="n">
        <v>0</v>
      </c>
      <c r="K498" t="n">
        <v>0</v>
      </c>
      <c r="L498" t="n">
        <v>0</v>
      </c>
      <c r="M498" t="n">
        <v>0</v>
      </c>
      <c r="N498" t="n">
        <v>0</v>
      </c>
      <c r="O498" t="n">
        <v>0</v>
      </c>
      <c r="P498" t="n">
        <v>0</v>
      </c>
      <c r="Q498" t="n">
        <v>0</v>
      </c>
      <c r="R498" s="2" t="inlineStr"/>
    </row>
    <row r="499" ht="15" customHeight="1">
      <c r="A499" t="inlineStr">
        <is>
          <t>A 56848-2025</t>
        </is>
      </c>
      <c r="B499" s="1" t="n">
        <v>45978.4887037037</v>
      </c>
      <c r="C499" s="1" t="n">
        <v>46092</v>
      </c>
      <c r="D499" t="inlineStr">
        <is>
          <t>VÄRMLANDS LÄN</t>
        </is>
      </c>
      <c r="E499" t="inlineStr">
        <is>
          <t>TORSBY</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57073-2025</t>
        </is>
      </c>
      <c r="B500" s="1" t="n">
        <v>45979</v>
      </c>
      <c r="C500" s="1" t="n">
        <v>46092</v>
      </c>
      <c r="D500" t="inlineStr">
        <is>
          <t>VÄRMLANDS LÄN</t>
        </is>
      </c>
      <c r="E500" t="inlineStr">
        <is>
          <t>TORSBY</t>
        </is>
      </c>
      <c r="G500" t="n">
        <v>3.3</v>
      </c>
      <c r="H500" t="n">
        <v>0</v>
      </c>
      <c r="I500" t="n">
        <v>0</v>
      </c>
      <c r="J500" t="n">
        <v>0</v>
      </c>
      <c r="K500" t="n">
        <v>0</v>
      </c>
      <c r="L500" t="n">
        <v>0</v>
      </c>
      <c r="M500" t="n">
        <v>0</v>
      </c>
      <c r="N500" t="n">
        <v>0</v>
      </c>
      <c r="O500" t="n">
        <v>0</v>
      </c>
      <c r="P500" t="n">
        <v>0</v>
      </c>
      <c r="Q500" t="n">
        <v>0</v>
      </c>
      <c r="R500" s="2" t="inlineStr"/>
    </row>
    <row r="501" ht="15" customHeight="1">
      <c r="A501" t="inlineStr">
        <is>
          <t>A 57172-2022</t>
        </is>
      </c>
      <c r="B501" s="1" t="n">
        <v>44895</v>
      </c>
      <c r="C501" s="1" t="n">
        <v>46092</v>
      </c>
      <c r="D501" t="inlineStr">
        <is>
          <t>VÄRMLANDS LÄN</t>
        </is>
      </c>
      <c r="E501" t="inlineStr">
        <is>
          <t>TORSBY</t>
        </is>
      </c>
      <c r="G501" t="n">
        <v>3.8</v>
      </c>
      <c r="H501" t="n">
        <v>0</v>
      </c>
      <c r="I501" t="n">
        <v>0</v>
      </c>
      <c r="J501" t="n">
        <v>0</v>
      </c>
      <c r="K501" t="n">
        <v>0</v>
      </c>
      <c r="L501" t="n">
        <v>0</v>
      </c>
      <c r="M501" t="n">
        <v>0</v>
      </c>
      <c r="N501" t="n">
        <v>0</v>
      </c>
      <c r="O501" t="n">
        <v>0</v>
      </c>
      <c r="P501" t="n">
        <v>0</v>
      </c>
      <c r="Q501" t="n">
        <v>0</v>
      </c>
      <c r="R501" s="2" t="inlineStr"/>
    </row>
    <row r="502" ht="15" customHeight="1">
      <c r="A502" t="inlineStr">
        <is>
          <t>A 56784-2025</t>
        </is>
      </c>
      <c r="B502" s="1" t="n">
        <v>45978.41734953703</v>
      </c>
      <c r="C502" s="1" t="n">
        <v>46092</v>
      </c>
      <c r="D502" t="inlineStr">
        <is>
          <t>VÄRMLANDS LÄN</t>
        </is>
      </c>
      <c r="E502" t="inlineStr">
        <is>
          <t>TORSBY</t>
        </is>
      </c>
      <c r="F502" t="inlineStr">
        <is>
          <t>Bergvik skog väst AB</t>
        </is>
      </c>
      <c r="G502" t="n">
        <v>5.7</v>
      </c>
      <c r="H502" t="n">
        <v>0</v>
      </c>
      <c r="I502" t="n">
        <v>0</v>
      </c>
      <c r="J502" t="n">
        <v>0</v>
      </c>
      <c r="K502" t="n">
        <v>0</v>
      </c>
      <c r="L502" t="n">
        <v>0</v>
      </c>
      <c r="M502" t="n">
        <v>0</v>
      </c>
      <c r="N502" t="n">
        <v>0</v>
      </c>
      <c r="O502" t="n">
        <v>0</v>
      </c>
      <c r="P502" t="n">
        <v>0</v>
      </c>
      <c r="Q502" t="n">
        <v>0</v>
      </c>
      <c r="R502" s="2" t="inlineStr"/>
    </row>
    <row r="503" ht="15" customHeight="1">
      <c r="A503" t="inlineStr">
        <is>
          <t>A 56785-2025</t>
        </is>
      </c>
      <c r="B503" s="1" t="n">
        <v>45978.42228009259</v>
      </c>
      <c r="C503" s="1" t="n">
        <v>46092</v>
      </c>
      <c r="D503" t="inlineStr">
        <is>
          <t>VÄRMLANDS LÄN</t>
        </is>
      </c>
      <c r="E503" t="inlineStr">
        <is>
          <t>TORSBY</t>
        </is>
      </c>
      <c r="F503" t="inlineStr">
        <is>
          <t>Bergvik skog väst AB</t>
        </is>
      </c>
      <c r="G503" t="n">
        <v>0.8</v>
      </c>
      <c r="H503" t="n">
        <v>0</v>
      </c>
      <c r="I503" t="n">
        <v>0</v>
      </c>
      <c r="J503" t="n">
        <v>0</v>
      </c>
      <c r="K503" t="n">
        <v>0</v>
      </c>
      <c r="L503" t="n">
        <v>0</v>
      </c>
      <c r="M503" t="n">
        <v>0</v>
      </c>
      <c r="N503" t="n">
        <v>0</v>
      </c>
      <c r="O503" t="n">
        <v>0</v>
      </c>
      <c r="P503" t="n">
        <v>0</v>
      </c>
      <c r="Q503" t="n">
        <v>0</v>
      </c>
      <c r="R503" s="2" t="inlineStr"/>
    </row>
    <row r="504" ht="15" customHeight="1">
      <c r="A504" t="inlineStr">
        <is>
          <t>A 3536-2024</t>
        </is>
      </c>
      <c r="B504" s="1" t="n">
        <v>45320</v>
      </c>
      <c r="C504" s="1" t="n">
        <v>46092</v>
      </c>
      <c r="D504" t="inlineStr">
        <is>
          <t>VÄRMLANDS LÄN</t>
        </is>
      </c>
      <c r="E504" t="inlineStr">
        <is>
          <t>TORSBY</t>
        </is>
      </c>
      <c r="G504" t="n">
        <v>2.7</v>
      </c>
      <c r="H504" t="n">
        <v>0</v>
      </c>
      <c r="I504" t="n">
        <v>0</v>
      </c>
      <c r="J504" t="n">
        <v>0</v>
      </c>
      <c r="K504" t="n">
        <v>0</v>
      </c>
      <c r="L504" t="n">
        <v>0</v>
      </c>
      <c r="M504" t="n">
        <v>0</v>
      </c>
      <c r="N504" t="n">
        <v>0</v>
      </c>
      <c r="O504" t="n">
        <v>0</v>
      </c>
      <c r="P504" t="n">
        <v>0</v>
      </c>
      <c r="Q504" t="n">
        <v>0</v>
      </c>
      <c r="R504" s="2" t="inlineStr"/>
    </row>
    <row r="505" ht="15" customHeight="1">
      <c r="A505" t="inlineStr">
        <is>
          <t>A 58246-2025</t>
        </is>
      </c>
      <c r="B505" s="1" t="n">
        <v>45981</v>
      </c>
      <c r="C505" s="1" t="n">
        <v>46092</v>
      </c>
      <c r="D505" t="inlineStr">
        <is>
          <t>VÄRMLANDS LÄN</t>
        </is>
      </c>
      <c r="E505" t="inlineStr">
        <is>
          <t>TORSBY</t>
        </is>
      </c>
      <c r="G505" t="n">
        <v>0.8</v>
      </c>
      <c r="H505" t="n">
        <v>0</v>
      </c>
      <c r="I505" t="n">
        <v>0</v>
      </c>
      <c r="J505" t="n">
        <v>0</v>
      </c>
      <c r="K505" t="n">
        <v>0</v>
      </c>
      <c r="L505" t="n">
        <v>0</v>
      </c>
      <c r="M505" t="n">
        <v>0</v>
      </c>
      <c r="N505" t="n">
        <v>0</v>
      </c>
      <c r="O505" t="n">
        <v>0</v>
      </c>
      <c r="P505" t="n">
        <v>0</v>
      </c>
      <c r="Q505" t="n">
        <v>0</v>
      </c>
      <c r="R505" s="2" t="inlineStr"/>
    </row>
    <row r="506" ht="15" customHeight="1">
      <c r="A506" t="inlineStr">
        <is>
          <t>A 57364-2025</t>
        </is>
      </c>
      <c r="B506" s="1" t="n">
        <v>45980</v>
      </c>
      <c r="C506" s="1" t="n">
        <v>46092</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53945-2023</t>
        </is>
      </c>
      <c r="B507" s="1" t="n">
        <v>45231.6009837963</v>
      </c>
      <c r="C507" s="1" t="n">
        <v>46092</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38905-2025</t>
        </is>
      </c>
      <c r="B508" s="1" t="n">
        <v>45884</v>
      </c>
      <c r="C508" s="1" t="n">
        <v>46092</v>
      </c>
      <c r="D508" t="inlineStr">
        <is>
          <t>VÄRMLANDS LÄN</t>
        </is>
      </c>
      <c r="E508" t="inlineStr">
        <is>
          <t>TORSBY</t>
        </is>
      </c>
      <c r="G508" t="n">
        <v>5.4</v>
      </c>
      <c r="H508" t="n">
        <v>0</v>
      </c>
      <c r="I508" t="n">
        <v>0</v>
      </c>
      <c r="J508" t="n">
        <v>0</v>
      </c>
      <c r="K508" t="n">
        <v>0</v>
      </c>
      <c r="L508" t="n">
        <v>0</v>
      </c>
      <c r="M508" t="n">
        <v>0</v>
      </c>
      <c r="N508" t="n">
        <v>0</v>
      </c>
      <c r="O508" t="n">
        <v>0</v>
      </c>
      <c r="P508" t="n">
        <v>0</v>
      </c>
      <c r="Q508" t="n">
        <v>0</v>
      </c>
      <c r="R508" s="2" t="inlineStr"/>
    </row>
    <row r="509" ht="15" customHeight="1">
      <c r="A509" t="inlineStr">
        <is>
          <t>A 57348-2025</t>
        </is>
      </c>
      <c r="B509" s="1" t="n">
        <v>45980.35927083333</v>
      </c>
      <c r="C509" s="1" t="n">
        <v>46092</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9793-2024</t>
        </is>
      </c>
      <c r="B510" s="1" t="n">
        <v>45362.71013888889</v>
      </c>
      <c r="C510" s="1" t="n">
        <v>46092</v>
      </c>
      <c r="D510" t="inlineStr">
        <is>
          <t>VÄRMLANDS LÄN</t>
        </is>
      </c>
      <c r="E510" t="inlineStr">
        <is>
          <t>TORSBY</t>
        </is>
      </c>
      <c r="G510" t="n">
        <v>6</v>
      </c>
      <c r="H510" t="n">
        <v>0</v>
      </c>
      <c r="I510" t="n">
        <v>0</v>
      </c>
      <c r="J510" t="n">
        <v>0</v>
      </c>
      <c r="K510" t="n">
        <v>0</v>
      </c>
      <c r="L510" t="n">
        <v>0</v>
      </c>
      <c r="M510" t="n">
        <v>0</v>
      </c>
      <c r="N510" t="n">
        <v>0</v>
      </c>
      <c r="O510" t="n">
        <v>0</v>
      </c>
      <c r="P510" t="n">
        <v>0</v>
      </c>
      <c r="Q510" t="n">
        <v>0</v>
      </c>
      <c r="R510" s="2" t="inlineStr"/>
    </row>
    <row r="511" ht="15" customHeight="1">
      <c r="A511" t="inlineStr">
        <is>
          <t>A 42403-2023</t>
        </is>
      </c>
      <c r="B511" s="1" t="n">
        <v>45180.59174768518</v>
      </c>
      <c r="C511" s="1" t="n">
        <v>46092</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38257-2023</t>
        </is>
      </c>
      <c r="B512" s="1" t="n">
        <v>45161.58917824074</v>
      </c>
      <c r="C512" s="1" t="n">
        <v>46092</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57695-2025</t>
        </is>
      </c>
      <c r="B513" s="1" t="n">
        <v>45981.45201388889</v>
      </c>
      <c r="C513" s="1" t="n">
        <v>46092</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11143-2024</t>
        </is>
      </c>
      <c r="B514" s="1" t="n">
        <v>45371</v>
      </c>
      <c r="C514" s="1" t="n">
        <v>46092</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57787-2025</t>
        </is>
      </c>
      <c r="B515" s="1" t="n">
        <v>45981</v>
      </c>
      <c r="C515" s="1" t="n">
        <v>46092</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39208-2025</t>
        </is>
      </c>
      <c r="B516" s="1" t="n">
        <v>45888</v>
      </c>
      <c r="C516" s="1" t="n">
        <v>46092</v>
      </c>
      <c r="D516" t="inlineStr">
        <is>
          <t>VÄRMLANDS LÄN</t>
        </is>
      </c>
      <c r="E516" t="inlineStr">
        <is>
          <t>TORSBY</t>
        </is>
      </c>
      <c r="F516" t="inlineStr">
        <is>
          <t>Bergvik skog väst AB</t>
        </is>
      </c>
      <c r="G516" t="n">
        <v>39.1</v>
      </c>
      <c r="H516" t="n">
        <v>0</v>
      </c>
      <c r="I516" t="n">
        <v>0</v>
      </c>
      <c r="J516" t="n">
        <v>0</v>
      </c>
      <c r="K516" t="n">
        <v>0</v>
      </c>
      <c r="L516" t="n">
        <v>0</v>
      </c>
      <c r="M516" t="n">
        <v>0</v>
      </c>
      <c r="N516" t="n">
        <v>0</v>
      </c>
      <c r="O516" t="n">
        <v>0</v>
      </c>
      <c r="P516" t="n">
        <v>0</v>
      </c>
      <c r="Q516" t="n">
        <v>0</v>
      </c>
      <c r="R516" s="2" t="inlineStr"/>
    </row>
    <row r="517" ht="15" customHeight="1">
      <c r="A517" t="inlineStr">
        <is>
          <t>A 39451-2025</t>
        </is>
      </c>
      <c r="B517" s="1" t="n">
        <v>45889.72677083333</v>
      </c>
      <c r="C517" s="1" t="n">
        <v>46092</v>
      </c>
      <c r="D517" t="inlineStr">
        <is>
          <t>VÄRMLANDS LÄN</t>
        </is>
      </c>
      <c r="E517" t="inlineStr">
        <is>
          <t>TORSBY</t>
        </is>
      </c>
      <c r="F517" t="inlineStr">
        <is>
          <t>Bergvik skog väst AB</t>
        </is>
      </c>
      <c r="G517" t="n">
        <v>7.5</v>
      </c>
      <c r="H517" t="n">
        <v>0</v>
      </c>
      <c r="I517" t="n">
        <v>0</v>
      </c>
      <c r="J517" t="n">
        <v>0</v>
      </c>
      <c r="K517" t="n">
        <v>0</v>
      </c>
      <c r="L517" t="n">
        <v>0</v>
      </c>
      <c r="M517" t="n">
        <v>0</v>
      </c>
      <c r="N517" t="n">
        <v>0</v>
      </c>
      <c r="O517" t="n">
        <v>0</v>
      </c>
      <c r="P517" t="n">
        <v>0</v>
      </c>
      <c r="Q517" t="n">
        <v>0</v>
      </c>
      <c r="R517" s="2" t="inlineStr"/>
    </row>
    <row r="518" ht="15" customHeight="1">
      <c r="A518" t="inlineStr">
        <is>
          <t>A 19662-2025</t>
        </is>
      </c>
      <c r="B518" s="1" t="n">
        <v>45770</v>
      </c>
      <c r="C518" s="1" t="n">
        <v>46092</v>
      </c>
      <c r="D518" t="inlineStr">
        <is>
          <t>VÄRMLANDS LÄN</t>
        </is>
      </c>
      <c r="E518" t="inlineStr">
        <is>
          <t>TORSBY</t>
        </is>
      </c>
      <c r="F518" t="inlineStr">
        <is>
          <t>Bergvik skog väst AB</t>
        </is>
      </c>
      <c r="G518" t="n">
        <v>11.6</v>
      </c>
      <c r="H518" t="n">
        <v>0</v>
      </c>
      <c r="I518" t="n">
        <v>0</v>
      </c>
      <c r="J518" t="n">
        <v>0</v>
      </c>
      <c r="K518" t="n">
        <v>0</v>
      </c>
      <c r="L518" t="n">
        <v>0</v>
      </c>
      <c r="M518" t="n">
        <v>0</v>
      </c>
      <c r="N518" t="n">
        <v>0</v>
      </c>
      <c r="O518" t="n">
        <v>0</v>
      </c>
      <c r="P518" t="n">
        <v>0</v>
      </c>
      <c r="Q518" t="n">
        <v>0</v>
      </c>
      <c r="R518" s="2" t="inlineStr"/>
    </row>
    <row r="519" ht="15" customHeight="1">
      <c r="A519" t="inlineStr">
        <is>
          <t>A 23843-2024</t>
        </is>
      </c>
      <c r="B519" s="1" t="n">
        <v>45455</v>
      </c>
      <c r="C519" s="1" t="n">
        <v>46092</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39258-2025</t>
        </is>
      </c>
      <c r="B520" s="1" t="n">
        <v>45889</v>
      </c>
      <c r="C520" s="1" t="n">
        <v>46092</v>
      </c>
      <c r="D520" t="inlineStr">
        <is>
          <t>VÄRMLANDS LÄN</t>
        </is>
      </c>
      <c r="E520" t="inlineStr">
        <is>
          <t>TORSBY</t>
        </is>
      </c>
      <c r="F520" t="inlineStr">
        <is>
          <t>Bergvik skog väst AB</t>
        </is>
      </c>
      <c r="G520" t="n">
        <v>12.1</v>
      </c>
      <c r="H520" t="n">
        <v>0</v>
      </c>
      <c r="I520" t="n">
        <v>0</v>
      </c>
      <c r="J520" t="n">
        <v>0</v>
      </c>
      <c r="K520" t="n">
        <v>0</v>
      </c>
      <c r="L520" t="n">
        <v>0</v>
      </c>
      <c r="M520" t="n">
        <v>0</v>
      </c>
      <c r="N520" t="n">
        <v>0</v>
      </c>
      <c r="O520" t="n">
        <v>0</v>
      </c>
      <c r="P520" t="n">
        <v>0</v>
      </c>
      <c r="Q520" t="n">
        <v>0</v>
      </c>
      <c r="R520" s="2" t="inlineStr"/>
    </row>
    <row r="521" ht="15" customHeight="1">
      <c r="A521" t="inlineStr">
        <is>
          <t>A 19763-2025</t>
        </is>
      </c>
      <c r="B521" s="1" t="n">
        <v>45771.40707175926</v>
      </c>
      <c r="C521" s="1" t="n">
        <v>46092</v>
      </c>
      <c r="D521" t="inlineStr">
        <is>
          <t>VÄRMLANDS LÄN</t>
        </is>
      </c>
      <c r="E521" t="inlineStr">
        <is>
          <t>TORSBY</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34568-2024</t>
        </is>
      </c>
      <c r="B522" s="1" t="n">
        <v>45526</v>
      </c>
      <c r="C522" s="1" t="n">
        <v>46092</v>
      </c>
      <c r="D522" t="inlineStr">
        <is>
          <t>VÄRMLANDS LÄN</t>
        </is>
      </c>
      <c r="E522" t="inlineStr">
        <is>
          <t>TORSBY</t>
        </is>
      </c>
      <c r="G522" t="n">
        <v>3.1</v>
      </c>
      <c r="H522" t="n">
        <v>0</v>
      </c>
      <c r="I522" t="n">
        <v>0</v>
      </c>
      <c r="J522" t="n">
        <v>0</v>
      </c>
      <c r="K522" t="n">
        <v>0</v>
      </c>
      <c r="L522" t="n">
        <v>0</v>
      </c>
      <c r="M522" t="n">
        <v>0</v>
      </c>
      <c r="N522" t="n">
        <v>0</v>
      </c>
      <c r="O522" t="n">
        <v>0</v>
      </c>
      <c r="P522" t="n">
        <v>0</v>
      </c>
      <c r="Q522" t="n">
        <v>0</v>
      </c>
      <c r="R522" s="2" t="inlineStr"/>
    </row>
    <row r="523" ht="15" customHeight="1">
      <c r="A523" t="inlineStr">
        <is>
          <t>A 9226-2025</t>
        </is>
      </c>
      <c r="B523" s="1" t="n">
        <v>45714</v>
      </c>
      <c r="C523" s="1" t="n">
        <v>46092</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57935-2025</t>
        </is>
      </c>
      <c r="B524" s="1" t="n">
        <v>45981</v>
      </c>
      <c r="C524" s="1" t="n">
        <v>46092</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57446-2025</t>
        </is>
      </c>
      <c r="B525" s="1" t="n">
        <v>45980</v>
      </c>
      <c r="C525" s="1" t="n">
        <v>46092</v>
      </c>
      <c r="D525" t="inlineStr">
        <is>
          <t>VÄRMLANDS LÄN</t>
        </is>
      </c>
      <c r="E525" t="inlineStr">
        <is>
          <t>TORSBY</t>
        </is>
      </c>
      <c r="G525" t="n">
        <v>1.8</v>
      </c>
      <c r="H525" t="n">
        <v>0</v>
      </c>
      <c r="I525" t="n">
        <v>0</v>
      </c>
      <c r="J525" t="n">
        <v>0</v>
      </c>
      <c r="K525" t="n">
        <v>0</v>
      </c>
      <c r="L525" t="n">
        <v>0</v>
      </c>
      <c r="M525" t="n">
        <v>0</v>
      </c>
      <c r="N525" t="n">
        <v>0</v>
      </c>
      <c r="O525" t="n">
        <v>0</v>
      </c>
      <c r="P525" t="n">
        <v>0</v>
      </c>
      <c r="Q525" t="n">
        <v>0</v>
      </c>
      <c r="R525" s="2" t="inlineStr"/>
    </row>
    <row r="526" ht="15" customHeight="1">
      <c r="A526" t="inlineStr">
        <is>
          <t>A 47602-2021</t>
        </is>
      </c>
      <c r="B526" s="1" t="n">
        <v>44448</v>
      </c>
      <c r="C526" s="1" t="n">
        <v>46092</v>
      </c>
      <c r="D526" t="inlineStr">
        <is>
          <t>VÄRMLANDS LÄN</t>
        </is>
      </c>
      <c r="E526" t="inlineStr">
        <is>
          <t>TORSBY</t>
        </is>
      </c>
      <c r="G526" t="n">
        <v>1.2</v>
      </c>
      <c r="H526" t="n">
        <v>0</v>
      </c>
      <c r="I526" t="n">
        <v>0</v>
      </c>
      <c r="J526" t="n">
        <v>0</v>
      </c>
      <c r="K526" t="n">
        <v>0</v>
      </c>
      <c r="L526" t="n">
        <v>0</v>
      </c>
      <c r="M526" t="n">
        <v>0</v>
      </c>
      <c r="N526" t="n">
        <v>0</v>
      </c>
      <c r="O526" t="n">
        <v>0</v>
      </c>
      <c r="P526" t="n">
        <v>0</v>
      </c>
      <c r="Q526" t="n">
        <v>0</v>
      </c>
      <c r="R526" s="2" t="inlineStr"/>
    </row>
    <row r="527" ht="15" customHeight="1">
      <c r="A527" t="inlineStr">
        <is>
          <t>A 58396-2025</t>
        </is>
      </c>
      <c r="B527" s="1" t="n">
        <v>45985</v>
      </c>
      <c r="C527" s="1" t="n">
        <v>46092</v>
      </c>
      <c r="D527" t="inlineStr">
        <is>
          <t>VÄRMLANDS LÄN</t>
        </is>
      </c>
      <c r="E527" t="inlineStr">
        <is>
          <t>TORSBY</t>
        </is>
      </c>
      <c r="F527" t="inlineStr">
        <is>
          <t>Bergvik skog väst AB</t>
        </is>
      </c>
      <c r="G527" t="n">
        <v>11.4</v>
      </c>
      <c r="H527" t="n">
        <v>0</v>
      </c>
      <c r="I527" t="n">
        <v>0</v>
      </c>
      <c r="J527" t="n">
        <v>0</v>
      </c>
      <c r="K527" t="n">
        <v>0</v>
      </c>
      <c r="L527" t="n">
        <v>0</v>
      </c>
      <c r="M527" t="n">
        <v>0</v>
      </c>
      <c r="N527" t="n">
        <v>0</v>
      </c>
      <c r="O527" t="n">
        <v>0</v>
      </c>
      <c r="P527" t="n">
        <v>0</v>
      </c>
      <c r="Q527" t="n">
        <v>0</v>
      </c>
      <c r="R527" s="2" t="inlineStr"/>
    </row>
    <row r="528" ht="15" customHeight="1">
      <c r="A528" t="inlineStr">
        <is>
          <t>A 14023-2025</t>
        </is>
      </c>
      <c r="B528" s="1" t="n">
        <v>45740</v>
      </c>
      <c r="C528" s="1" t="n">
        <v>46092</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15768-2025</t>
        </is>
      </c>
      <c r="B529" s="1" t="n">
        <v>45748.58782407407</v>
      </c>
      <c r="C529" s="1" t="n">
        <v>46092</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39033-2025</t>
        </is>
      </c>
      <c r="B530" s="1" t="n">
        <v>45888</v>
      </c>
      <c r="C530" s="1" t="n">
        <v>46092</v>
      </c>
      <c r="D530" t="inlineStr">
        <is>
          <t>VÄRMLANDS LÄN</t>
        </is>
      </c>
      <c r="E530" t="inlineStr">
        <is>
          <t>TORSBY</t>
        </is>
      </c>
      <c r="G530" t="n">
        <v>6.4</v>
      </c>
      <c r="H530" t="n">
        <v>0</v>
      </c>
      <c r="I530" t="n">
        <v>0</v>
      </c>
      <c r="J530" t="n">
        <v>0</v>
      </c>
      <c r="K530" t="n">
        <v>0</v>
      </c>
      <c r="L530" t="n">
        <v>0</v>
      </c>
      <c r="M530" t="n">
        <v>0</v>
      </c>
      <c r="N530" t="n">
        <v>0</v>
      </c>
      <c r="O530" t="n">
        <v>0</v>
      </c>
      <c r="P530" t="n">
        <v>0</v>
      </c>
      <c r="Q530" t="n">
        <v>0</v>
      </c>
      <c r="R530" s="2" t="inlineStr"/>
    </row>
    <row r="531" ht="15" customHeight="1">
      <c r="A531" t="inlineStr">
        <is>
          <t>A 7221-2024</t>
        </is>
      </c>
      <c r="B531" s="1" t="n">
        <v>45344.63927083334</v>
      </c>
      <c r="C531" s="1" t="n">
        <v>46092</v>
      </c>
      <c r="D531" t="inlineStr">
        <is>
          <t>VÄRMLANDS LÄN</t>
        </is>
      </c>
      <c r="E531" t="inlineStr">
        <is>
          <t>TORSBY</t>
        </is>
      </c>
      <c r="G531" t="n">
        <v>8.1</v>
      </c>
      <c r="H531" t="n">
        <v>0</v>
      </c>
      <c r="I531" t="n">
        <v>0</v>
      </c>
      <c r="J531" t="n">
        <v>0</v>
      </c>
      <c r="K531" t="n">
        <v>0</v>
      </c>
      <c r="L531" t="n">
        <v>0</v>
      </c>
      <c r="M531" t="n">
        <v>0</v>
      </c>
      <c r="N531" t="n">
        <v>0</v>
      </c>
      <c r="O531" t="n">
        <v>0</v>
      </c>
      <c r="P531" t="n">
        <v>0</v>
      </c>
      <c r="Q531" t="n">
        <v>0</v>
      </c>
      <c r="R531" s="2" t="inlineStr"/>
    </row>
    <row r="532" ht="15" customHeight="1">
      <c r="A532" t="inlineStr">
        <is>
          <t>A 32319-2024</t>
        </is>
      </c>
      <c r="B532" s="1" t="n">
        <v>45512.4621875</v>
      </c>
      <c r="C532" s="1" t="n">
        <v>46092</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58537-2025</t>
        </is>
      </c>
      <c r="B533" s="1" t="n">
        <v>45985</v>
      </c>
      <c r="C533" s="1" t="n">
        <v>46092</v>
      </c>
      <c r="D533" t="inlineStr">
        <is>
          <t>VÄRMLANDS LÄN</t>
        </is>
      </c>
      <c r="E533" t="inlineStr">
        <is>
          <t>TORSBY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58540-2025</t>
        </is>
      </c>
      <c r="B534" s="1" t="n">
        <v>45985</v>
      </c>
      <c r="C534" s="1" t="n">
        <v>46092</v>
      </c>
      <c r="D534" t="inlineStr">
        <is>
          <t>VÄRMLANDS LÄN</t>
        </is>
      </c>
      <c r="E534" t="inlineStr">
        <is>
          <t>TORSBY</t>
        </is>
      </c>
      <c r="G534" t="n">
        <v>0.9</v>
      </c>
      <c r="H534" t="n">
        <v>0</v>
      </c>
      <c r="I534" t="n">
        <v>0</v>
      </c>
      <c r="J534" t="n">
        <v>0</v>
      </c>
      <c r="K534" t="n">
        <v>0</v>
      </c>
      <c r="L534" t="n">
        <v>0</v>
      </c>
      <c r="M534" t="n">
        <v>0</v>
      </c>
      <c r="N534" t="n">
        <v>0</v>
      </c>
      <c r="O534" t="n">
        <v>0</v>
      </c>
      <c r="P534" t="n">
        <v>0</v>
      </c>
      <c r="Q534" t="n">
        <v>0</v>
      </c>
      <c r="R534" s="2" t="inlineStr"/>
    </row>
    <row r="535" ht="15" customHeight="1">
      <c r="A535" t="inlineStr">
        <is>
          <t>A 52314-2024</t>
        </is>
      </c>
      <c r="B535" s="1" t="n">
        <v>45608.87075231481</v>
      </c>
      <c r="C535" s="1" t="n">
        <v>46092</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39767-2024</t>
        </is>
      </c>
      <c r="B536" s="1" t="n">
        <v>45552</v>
      </c>
      <c r="C536" s="1" t="n">
        <v>46092</v>
      </c>
      <c r="D536" t="inlineStr">
        <is>
          <t>VÄRMLANDS LÄN</t>
        </is>
      </c>
      <c r="E536" t="inlineStr">
        <is>
          <t>TORSBY</t>
        </is>
      </c>
      <c r="G536" t="n">
        <v>7</v>
      </c>
      <c r="H536" t="n">
        <v>0</v>
      </c>
      <c r="I536" t="n">
        <v>0</v>
      </c>
      <c r="J536" t="n">
        <v>0</v>
      </c>
      <c r="K536" t="n">
        <v>0</v>
      </c>
      <c r="L536" t="n">
        <v>0</v>
      </c>
      <c r="M536" t="n">
        <v>0</v>
      </c>
      <c r="N536" t="n">
        <v>0</v>
      </c>
      <c r="O536" t="n">
        <v>0</v>
      </c>
      <c r="P536" t="n">
        <v>0</v>
      </c>
      <c r="Q536" t="n">
        <v>0</v>
      </c>
      <c r="R536" s="2" t="inlineStr"/>
    </row>
    <row r="537" ht="15" customHeight="1">
      <c r="A537" t="inlineStr">
        <is>
          <t>A 39772-2024</t>
        </is>
      </c>
      <c r="B537" s="1" t="n">
        <v>45552</v>
      </c>
      <c r="C537" s="1" t="n">
        <v>46092</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32588-2024</t>
        </is>
      </c>
      <c r="B538" s="1" t="n">
        <v>45513.59612268519</v>
      </c>
      <c r="C538" s="1" t="n">
        <v>46092</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39039-2025</t>
        </is>
      </c>
      <c r="B539" s="1" t="n">
        <v>45888.42684027777</v>
      </c>
      <c r="C539" s="1" t="n">
        <v>46092</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33227-2024</t>
        </is>
      </c>
      <c r="B540" s="1" t="n">
        <v>45518.5708912037</v>
      </c>
      <c r="C540" s="1" t="n">
        <v>46092</v>
      </c>
      <c r="D540" t="inlineStr">
        <is>
          <t>VÄRMLANDS LÄN</t>
        </is>
      </c>
      <c r="E540" t="inlineStr">
        <is>
          <t>TORSBY</t>
        </is>
      </c>
      <c r="F540" t="inlineStr">
        <is>
          <t>Bergvik skog väst AB</t>
        </is>
      </c>
      <c r="G540" t="n">
        <v>3.8</v>
      </c>
      <c r="H540" t="n">
        <v>0</v>
      </c>
      <c r="I540" t="n">
        <v>0</v>
      </c>
      <c r="J540" t="n">
        <v>0</v>
      </c>
      <c r="K540" t="n">
        <v>0</v>
      </c>
      <c r="L540" t="n">
        <v>0</v>
      </c>
      <c r="M540" t="n">
        <v>0</v>
      </c>
      <c r="N540" t="n">
        <v>0</v>
      </c>
      <c r="O540" t="n">
        <v>0</v>
      </c>
      <c r="P540" t="n">
        <v>0</v>
      </c>
      <c r="Q540" t="n">
        <v>0</v>
      </c>
      <c r="R540" s="2" t="inlineStr"/>
    </row>
    <row r="541" ht="15" customHeight="1">
      <c r="A541" t="inlineStr">
        <is>
          <t>A 54790-2024</t>
        </is>
      </c>
      <c r="B541" s="1" t="n">
        <v>45618</v>
      </c>
      <c r="C541" s="1" t="n">
        <v>46092</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39059-2025</t>
        </is>
      </c>
      <c r="B542" s="1" t="n">
        <v>45888</v>
      </c>
      <c r="C542" s="1" t="n">
        <v>46092</v>
      </c>
      <c r="D542" t="inlineStr">
        <is>
          <t>VÄRMLANDS LÄN</t>
        </is>
      </c>
      <c r="E542" t="inlineStr">
        <is>
          <t>TORSBY</t>
        </is>
      </c>
      <c r="G542" t="n">
        <v>8.6</v>
      </c>
      <c r="H542" t="n">
        <v>0</v>
      </c>
      <c r="I542" t="n">
        <v>0</v>
      </c>
      <c r="J542" t="n">
        <v>0</v>
      </c>
      <c r="K542" t="n">
        <v>0</v>
      </c>
      <c r="L542" t="n">
        <v>0</v>
      </c>
      <c r="M542" t="n">
        <v>0</v>
      </c>
      <c r="N542" t="n">
        <v>0</v>
      </c>
      <c r="O542" t="n">
        <v>0</v>
      </c>
      <c r="P542" t="n">
        <v>0</v>
      </c>
      <c r="Q542" t="n">
        <v>0</v>
      </c>
      <c r="R542" s="2" t="inlineStr"/>
    </row>
    <row r="543" ht="15" customHeight="1">
      <c r="A543" t="inlineStr">
        <is>
          <t>A 14575-2025</t>
        </is>
      </c>
      <c r="B543" s="1" t="n">
        <v>45742.29048611111</v>
      </c>
      <c r="C543" s="1" t="n">
        <v>46092</v>
      </c>
      <c r="D543" t="inlineStr">
        <is>
          <t>VÄRMLANDS LÄN</t>
        </is>
      </c>
      <c r="E543" t="inlineStr">
        <is>
          <t>TORSBY</t>
        </is>
      </c>
      <c r="G543" t="n">
        <v>6.5</v>
      </c>
      <c r="H543" t="n">
        <v>0</v>
      </c>
      <c r="I543" t="n">
        <v>0</v>
      </c>
      <c r="J543" t="n">
        <v>0</v>
      </c>
      <c r="K543" t="n">
        <v>0</v>
      </c>
      <c r="L543" t="n">
        <v>0</v>
      </c>
      <c r="M543" t="n">
        <v>0</v>
      </c>
      <c r="N543" t="n">
        <v>0</v>
      </c>
      <c r="O543" t="n">
        <v>0</v>
      </c>
      <c r="P543" t="n">
        <v>0</v>
      </c>
      <c r="Q543" t="n">
        <v>0</v>
      </c>
      <c r="R543" s="2" t="inlineStr"/>
    </row>
    <row r="544" ht="15" customHeight="1">
      <c r="A544" t="inlineStr">
        <is>
          <t>A 39321-2025</t>
        </is>
      </c>
      <c r="B544" s="1" t="n">
        <v>45889</v>
      </c>
      <c r="C544" s="1" t="n">
        <v>46092</v>
      </c>
      <c r="D544" t="inlineStr">
        <is>
          <t>VÄRMLANDS LÄN</t>
        </is>
      </c>
      <c r="E544" t="inlineStr">
        <is>
          <t>TORSBY</t>
        </is>
      </c>
      <c r="F544" t="inlineStr">
        <is>
          <t>Bergvik skog väst AB</t>
        </is>
      </c>
      <c r="G544" t="n">
        <v>47.1</v>
      </c>
      <c r="H544" t="n">
        <v>0</v>
      </c>
      <c r="I544" t="n">
        <v>0</v>
      </c>
      <c r="J544" t="n">
        <v>0</v>
      </c>
      <c r="K544" t="n">
        <v>0</v>
      </c>
      <c r="L544" t="n">
        <v>0</v>
      </c>
      <c r="M544" t="n">
        <v>0</v>
      </c>
      <c r="N544" t="n">
        <v>0</v>
      </c>
      <c r="O544" t="n">
        <v>0</v>
      </c>
      <c r="P544" t="n">
        <v>0</v>
      </c>
      <c r="Q544" t="n">
        <v>0</v>
      </c>
      <c r="R544" s="2" t="inlineStr"/>
    </row>
    <row r="545" ht="15" customHeight="1">
      <c r="A545" t="inlineStr">
        <is>
          <t>A 4070-2024</t>
        </is>
      </c>
      <c r="B545" s="1" t="n">
        <v>45323</v>
      </c>
      <c r="C545" s="1" t="n">
        <v>46092</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57931-2025</t>
        </is>
      </c>
      <c r="B546" s="1" t="n">
        <v>45981.90670138889</v>
      </c>
      <c r="C546" s="1" t="n">
        <v>46092</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38979-2025</t>
        </is>
      </c>
      <c r="B547" s="1" t="n">
        <v>45887.99758101852</v>
      </c>
      <c r="C547" s="1" t="n">
        <v>46092</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57785-2024</t>
        </is>
      </c>
      <c r="B548" s="1" t="n">
        <v>45631</v>
      </c>
      <c r="C548" s="1" t="n">
        <v>46092</v>
      </c>
      <c r="D548" t="inlineStr">
        <is>
          <t>VÄRMLANDS LÄN</t>
        </is>
      </c>
      <c r="E548" t="inlineStr">
        <is>
          <t>TORSBY</t>
        </is>
      </c>
      <c r="F548" t="inlineStr">
        <is>
          <t>Bergvik skog väst AB</t>
        </is>
      </c>
      <c r="G548" t="n">
        <v>10.9</v>
      </c>
      <c r="H548" t="n">
        <v>0</v>
      </c>
      <c r="I548" t="n">
        <v>0</v>
      </c>
      <c r="J548" t="n">
        <v>0</v>
      </c>
      <c r="K548" t="n">
        <v>0</v>
      </c>
      <c r="L548" t="n">
        <v>0</v>
      </c>
      <c r="M548" t="n">
        <v>0</v>
      </c>
      <c r="N548" t="n">
        <v>0</v>
      </c>
      <c r="O548" t="n">
        <v>0</v>
      </c>
      <c r="P548" t="n">
        <v>0</v>
      </c>
      <c r="Q548" t="n">
        <v>0</v>
      </c>
      <c r="R548" s="2" t="inlineStr"/>
    </row>
    <row r="549" ht="15" customHeight="1">
      <c r="A549" t="inlineStr">
        <is>
          <t>A 51823-2024</t>
        </is>
      </c>
      <c r="B549" s="1" t="n">
        <v>45607</v>
      </c>
      <c r="C549" s="1" t="n">
        <v>46092</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30370-2023</t>
        </is>
      </c>
      <c r="B550" s="1" t="n">
        <v>45111</v>
      </c>
      <c r="C550" s="1" t="n">
        <v>46092</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39454-2025</t>
        </is>
      </c>
      <c r="B551" s="1" t="n">
        <v>45889.7462962963</v>
      </c>
      <c r="C551" s="1" t="n">
        <v>46092</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46092</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58363-2025</t>
        </is>
      </c>
      <c r="B553" s="1" t="n">
        <v>45985</v>
      </c>
      <c r="C553" s="1" t="n">
        <v>46092</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54162-2023</t>
        </is>
      </c>
      <c r="B554" s="1" t="n">
        <v>45232.47539351852</v>
      </c>
      <c r="C554" s="1" t="n">
        <v>46092</v>
      </c>
      <c r="D554" t="inlineStr">
        <is>
          <t>VÄRMLANDS LÄN</t>
        </is>
      </c>
      <c r="E554" t="inlineStr">
        <is>
          <t>TORSBY</t>
        </is>
      </c>
      <c r="F554" t="inlineStr">
        <is>
          <t>Bergvik skog väst AB</t>
        </is>
      </c>
      <c r="G554" t="n">
        <v>8.4</v>
      </c>
      <c r="H554" t="n">
        <v>0</v>
      </c>
      <c r="I554" t="n">
        <v>0</v>
      </c>
      <c r="J554" t="n">
        <v>0</v>
      </c>
      <c r="K554" t="n">
        <v>0</v>
      </c>
      <c r="L554" t="n">
        <v>0</v>
      </c>
      <c r="M554" t="n">
        <v>0</v>
      </c>
      <c r="N554" t="n">
        <v>0</v>
      </c>
      <c r="O554" t="n">
        <v>0</v>
      </c>
      <c r="P554" t="n">
        <v>0</v>
      </c>
      <c r="Q554" t="n">
        <v>0</v>
      </c>
      <c r="R554" s="2" t="inlineStr"/>
    </row>
    <row r="555" ht="15" customHeight="1">
      <c r="A555" t="inlineStr">
        <is>
          <t>A 39652-2025</t>
        </is>
      </c>
      <c r="B555" s="1" t="n">
        <v>45890.61689814815</v>
      </c>
      <c r="C555" s="1" t="n">
        <v>46092</v>
      </c>
      <c r="D555" t="inlineStr">
        <is>
          <t>VÄRMLANDS LÄN</t>
        </is>
      </c>
      <c r="E555" t="inlineStr">
        <is>
          <t>TORSBY</t>
        </is>
      </c>
      <c r="G555" t="n">
        <v>3.1</v>
      </c>
      <c r="H555" t="n">
        <v>0</v>
      </c>
      <c r="I555" t="n">
        <v>0</v>
      </c>
      <c r="J555" t="n">
        <v>0</v>
      </c>
      <c r="K555" t="n">
        <v>0</v>
      </c>
      <c r="L555" t="n">
        <v>0</v>
      </c>
      <c r="M555" t="n">
        <v>0</v>
      </c>
      <c r="N555" t="n">
        <v>0</v>
      </c>
      <c r="O555" t="n">
        <v>0</v>
      </c>
      <c r="P555" t="n">
        <v>0</v>
      </c>
      <c r="Q555" t="n">
        <v>0</v>
      </c>
      <c r="R555" s="2" t="inlineStr"/>
    </row>
    <row r="556" ht="15" customHeight="1">
      <c r="A556" t="inlineStr">
        <is>
          <t>A 54191-2023</t>
        </is>
      </c>
      <c r="B556" s="1" t="n">
        <v>45232</v>
      </c>
      <c r="C556" s="1" t="n">
        <v>46092</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27144-2024</t>
        </is>
      </c>
      <c r="B557" s="1" t="n">
        <v>45471.55459490741</v>
      </c>
      <c r="C557" s="1" t="n">
        <v>46092</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26799-2024</t>
        </is>
      </c>
      <c r="B558" s="1" t="n">
        <v>45470.5071875</v>
      </c>
      <c r="C558" s="1" t="n">
        <v>46092</v>
      </c>
      <c r="D558" t="inlineStr">
        <is>
          <t>VÄRMLANDS LÄN</t>
        </is>
      </c>
      <c r="E558" t="inlineStr">
        <is>
          <t>TORSBY</t>
        </is>
      </c>
      <c r="G558" t="n">
        <v>0.9</v>
      </c>
      <c r="H558" t="n">
        <v>0</v>
      </c>
      <c r="I558" t="n">
        <v>0</v>
      </c>
      <c r="J558" t="n">
        <v>0</v>
      </c>
      <c r="K558" t="n">
        <v>0</v>
      </c>
      <c r="L558" t="n">
        <v>0</v>
      </c>
      <c r="M558" t="n">
        <v>0</v>
      </c>
      <c r="N558" t="n">
        <v>0</v>
      </c>
      <c r="O558" t="n">
        <v>0</v>
      </c>
      <c r="P558" t="n">
        <v>0</v>
      </c>
      <c r="Q558" t="n">
        <v>0</v>
      </c>
      <c r="R558" s="2" t="inlineStr"/>
    </row>
    <row r="559" ht="15" customHeight="1">
      <c r="A559" t="inlineStr">
        <is>
          <t>A 58978-2025</t>
        </is>
      </c>
      <c r="B559" s="1" t="n">
        <v>45987</v>
      </c>
      <c r="C559" s="1" t="n">
        <v>46092</v>
      </c>
      <c r="D559" t="inlineStr">
        <is>
          <t>VÄRMLANDS LÄN</t>
        </is>
      </c>
      <c r="E559" t="inlineStr">
        <is>
          <t>TORSBY</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39743-2025</t>
        </is>
      </c>
      <c r="B560" s="1" t="n">
        <v>45891</v>
      </c>
      <c r="C560" s="1" t="n">
        <v>46092</v>
      </c>
      <c r="D560" t="inlineStr">
        <is>
          <t>VÄRMLANDS LÄN</t>
        </is>
      </c>
      <c r="E560" t="inlineStr">
        <is>
          <t>TORSBY</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39731-2025</t>
        </is>
      </c>
      <c r="B561" s="1" t="n">
        <v>45891</v>
      </c>
      <c r="C561" s="1" t="n">
        <v>46092</v>
      </c>
      <c r="D561" t="inlineStr">
        <is>
          <t>VÄRMLANDS LÄN</t>
        </is>
      </c>
      <c r="E561" t="inlineStr">
        <is>
          <t>TORSBY</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39499-2025</t>
        </is>
      </c>
      <c r="B562" s="1" t="n">
        <v>45890</v>
      </c>
      <c r="C562" s="1" t="n">
        <v>46092</v>
      </c>
      <c r="D562" t="inlineStr">
        <is>
          <t>VÄRMLANDS LÄN</t>
        </is>
      </c>
      <c r="E562" t="inlineStr">
        <is>
          <t>TORSBY</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40546-2024</t>
        </is>
      </c>
      <c r="B563" s="1" t="n">
        <v>45555</v>
      </c>
      <c r="C563" s="1" t="n">
        <v>46092</v>
      </c>
      <c r="D563" t="inlineStr">
        <is>
          <t>VÄRMLANDS LÄN</t>
        </is>
      </c>
      <c r="E563" t="inlineStr">
        <is>
          <t>TORSBY</t>
        </is>
      </c>
      <c r="F563" t="inlineStr">
        <is>
          <t>Bergvik skog väst AB</t>
        </is>
      </c>
      <c r="G563" t="n">
        <v>13.9</v>
      </c>
      <c r="H563" t="n">
        <v>0</v>
      </c>
      <c r="I563" t="n">
        <v>0</v>
      </c>
      <c r="J563" t="n">
        <v>0</v>
      </c>
      <c r="K563" t="n">
        <v>0</v>
      </c>
      <c r="L563" t="n">
        <v>0</v>
      </c>
      <c r="M563" t="n">
        <v>0</v>
      </c>
      <c r="N563" t="n">
        <v>0</v>
      </c>
      <c r="O563" t="n">
        <v>0</v>
      </c>
      <c r="P563" t="n">
        <v>0</v>
      </c>
      <c r="Q563" t="n">
        <v>0</v>
      </c>
      <c r="R563" s="2" t="inlineStr"/>
    </row>
    <row r="564" ht="15" customHeight="1">
      <c r="A564" t="inlineStr">
        <is>
          <t>A 58836-2025</t>
        </is>
      </c>
      <c r="B564" s="1" t="n">
        <v>45987.35586805556</v>
      </c>
      <c r="C564" s="1" t="n">
        <v>46092</v>
      </c>
      <c r="D564" t="inlineStr">
        <is>
          <t>VÄRMLANDS LÄN</t>
        </is>
      </c>
      <c r="E564" t="inlineStr">
        <is>
          <t>TORSBY</t>
        </is>
      </c>
      <c r="F564" t="inlineStr">
        <is>
          <t>Bergvik skog väst AB</t>
        </is>
      </c>
      <c r="G564" t="n">
        <v>4.7</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46092</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15931-2025</t>
        </is>
      </c>
      <c r="B566" s="1" t="n">
        <v>45749.46791666667</v>
      </c>
      <c r="C566" s="1" t="n">
        <v>46092</v>
      </c>
      <c r="D566" t="inlineStr">
        <is>
          <t>VÄRMLANDS LÄN</t>
        </is>
      </c>
      <c r="E566" t="inlineStr">
        <is>
          <t>TORSBY</t>
        </is>
      </c>
      <c r="F566" t="inlineStr">
        <is>
          <t>Bergvik skog väst AB</t>
        </is>
      </c>
      <c r="G566" t="n">
        <v>0.9</v>
      </c>
      <c r="H566" t="n">
        <v>0</v>
      </c>
      <c r="I566" t="n">
        <v>0</v>
      </c>
      <c r="J566" t="n">
        <v>0</v>
      </c>
      <c r="K566" t="n">
        <v>0</v>
      </c>
      <c r="L566" t="n">
        <v>0</v>
      </c>
      <c r="M566" t="n">
        <v>0</v>
      </c>
      <c r="N566" t="n">
        <v>0</v>
      </c>
      <c r="O566" t="n">
        <v>0</v>
      </c>
      <c r="P566" t="n">
        <v>0</v>
      </c>
      <c r="Q566" t="n">
        <v>0</v>
      </c>
      <c r="R566" s="2" t="inlineStr"/>
    </row>
    <row r="567" ht="15" customHeight="1">
      <c r="A567" t="inlineStr">
        <is>
          <t>A 58678-2025</t>
        </is>
      </c>
      <c r="B567" s="1" t="n">
        <v>45986.56342592592</v>
      </c>
      <c r="C567" s="1" t="n">
        <v>46092</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58919-2025</t>
        </is>
      </c>
      <c r="B568" s="1" t="n">
        <v>45987</v>
      </c>
      <c r="C568" s="1" t="n">
        <v>46092</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2471-2023</t>
        </is>
      </c>
      <c r="B569" s="1" t="n">
        <v>44943.48373842592</v>
      </c>
      <c r="C569" s="1" t="n">
        <v>46092</v>
      </c>
      <c r="D569" t="inlineStr">
        <is>
          <t>VÄRMLANDS LÄN</t>
        </is>
      </c>
      <c r="E569" t="inlineStr">
        <is>
          <t>TORSBY</t>
        </is>
      </c>
      <c r="G569" t="n">
        <v>2.2</v>
      </c>
      <c r="H569" t="n">
        <v>0</v>
      </c>
      <c r="I569" t="n">
        <v>0</v>
      </c>
      <c r="J569" t="n">
        <v>0</v>
      </c>
      <c r="K569" t="n">
        <v>0</v>
      </c>
      <c r="L569" t="n">
        <v>0</v>
      </c>
      <c r="M569" t="n">
        <v>0</v>
      </c>
      <c r="N569" t="n">
        <v>0</v>
      </c>
      <c r="O569" t="n">
        <v>0</v>
      </c>
      <c r="P569" t="n">
        <v>0</v>
      </c>
      <c r="Q569" t="n">
        <v>0</v>
      </c>
      <c r="R569" s="2" t="inlineStr"/>
    </row>
    <row r="570" ht="15" customHeight="1">
      <c r="A570" t="inlineStr">
        <is>
          <t>A 58625-2025</t>
        </is>
      </c>
      <c r="B570" s="1" t="n">
        <v>45986.4740625</v>
      </c>
      <c r="C570" s="1" t="n">
        <v>46092</v>
      </c>
      <c r="D570" t="inlineStr">
        <is>
          <t>VÄRMLANDS LÄN</t>
        </is>
      </c>
      <c r="E570" t="inlineStr">
        <is>
          <t>TORSBY</t>
        </is>
      </c>
      <c r="F570" t="inlineStr">
        <is>
          <t>Kyrkan</t>
        </is>
      </c>
      <c r="G570" t="n">
        <v>5.8</v>
      </c>
      <c r="H570" t="n">
        <v>0</v>
      </c>
      <c r="I570" t="n">
        <v>0</v>
      </c>
      <c r="J570" t="n">
        <v>0</v>
      </c>
      <c r="K570" t="n">
        <v>0</v>
      </c>
      <c r="L570" t="n">
        <v>0</v>
      </c>
      <c r="M570" t="n">
        <v>0</v>
      </c>
      <c r="N570" t="n">
        <v>0</v>
      </c>
      <c r="O570" t="n">
        <v>0</v>
      </c>
      <c r="P570" t="n">
        <v>0</v>
      </c>
      <c r="Q570" t="n">
        <v>0</v>
      </c>
      <c r="R570" s="2" t="inlineStr"/>
    </row>
    <row r="571" ht="15" customHeight="1">
      <c r="A571" t="inlineStr">
        <is>
          <t>A 24876-2023</t>
        </is>
      </c>
      <c r="B571" s="1" t="n">
        <v>45085.42391203704</v>
      </c>
      <c r="C571" s="1" t="n">
        <v>46092</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39565-2025</t>
        </is>
      </c>
      <c r="B572" s="1" t="n">
        <v>45890</v>
      </c>
      <c r="C572" s="1" t="n">
        <v>46092</v>
      </c>
      <c r="D572" t="inlineStr">
        <is>
          <t>VÄRMLANDS LÄN</t>
        </is>
      </c>
      <c r="E572" t="inlineStr">
        <is>
          <t>TORSBY</t>
        </is>
      </c>
      <c r="G572" t="n">
        <v>1.2</v>
      </c>
      <c r="H572" t="n">
        <v>0</v>
      </c>
      <c r="I572" t="n">
        <v>0</v>
      </c>
      <c r="J572" t="n">
        <v>0</v>
      </c>
      <c r="K572" t="n">
        <v>0</v>
      </c>
      <c r="L572" t="n">
        <v>0</v>
      </c>
      <c r="M572" t="n">
        <v>0</v>
      </c>
      <c r="N572" t="n">
        <v>0</v>
      </c>
      <c r="O572" t="n">
        <v>0</v>
      </c>
      <c r="P572" t="n">
        <v>0</v>
      </c>
      <c r="Q572" t="n">
        <v>0</v>
      </c>
      <c r="R572" s="2" t="inlineStr"/>
    </row>
    <row r="573" ht="15" customHeight="1">
      <c r="A573" t="inlineStr">
        <is>
          <t>A 23280-2025</t>
        </is>
      </c>
      <c r="B573" s="1" t="n">
        <v>45791.57217592592</v>
      </c>
      <c r="C573" s="1" t="n">
        <v>46092</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31945-2024</t>
        </is>
      </c>
      <c r="B574" s="1" t="n">
        <v>45510</v>
      </c>
      <c r="C574" s="1" t="n">
        <v>46092</v>
      </c>
      <c r="D574" t="inlineStr">
        <is>
          <t>VÄRMLANDS LÄN</t>
        </is>
      </c>
      <c r="E574" t="inlineStr">
        <is>
          <t>TORSBY</t>
        </is>
      </c>
      <c r="G574" t="n">
        <v>2.5</v>
      </c>
      <c r="H574" t="n">
        <v>0</v>
      </c>
      <c r="I574" t="n">
        <v>0</v>
      </c>
      <c r="J574" t="n">
        <v>0</v>
      </c>
      <c r="K574" t="n">
        <v>0</v>
      </c>
      <c r="L574" t="n">
        <v>0</v>
      </c>
      <c r="M574" t="n">
        <v>0</v>
      </c>
      <c r="N574" t="n">
        <v>0</v>
      </c>
      <c r="O574" t="n">
        <v>0</v>
      </c>
      <c r="P574" t="n">
        <v>0</v>
      </c>
      <c r="Q574" t="n">
        <v>0</v>
      </c>
      <c r="R574" s="2" t="inlineStr"/>
    </row>
    <row r="575" ht="15" customHeight="1">
      <c r="A575" t="inlineStr">
        <is>
          <t>A 59009-2025</t>
        </is>
      </c>
      <c r="B575" s="1" t="n">
        <v>45987</v>
      </c>
      <c r="C575" s="1" t="n">
        <v>46092</v>
      </c>
      <c r="D575" t="inlineStr">
        <is>
          <t>VÄRMLANDS LÄN</t>
        </is>
      </c>
      <c r="E575" t="inlineStr">
        <is>
          <t>TORSBY</t>
        </is>
      </c>
      <c r="G575" t="n">
        <v>4.9</v>
      </c>
      <c r="H575" t="n">
        <v>0</v>
      </c>
      <c r="I575" t="n">
        <v>0</v>
      </c>
      <c r="J575" t="n">
        <v>0</v>
      </c>
      <c r="K575" t="n">
        <v>0</v>
      </c>
      <c r="L575" t="n">
        <v>0</v>
      </c>
      <c r="M575" t="n">
        <v>0</v>
      </c>
      <c r="N575" t="n">
        <v>0</v>
      </c>
      <c r="O575" t="n">
        <v>0</v>
      </c>
      <c r="P575" t="n">
        <v>0</v>
      </c>
      <c r="Q575" t="n">
        <v>0</v>
      </c>
      <c r="R575" s="2" t="inlineStr"/>
    </row>
    <row r="576" ht="15" customHeight="1">
      <c r="A576" t="inlineStr">
        <is>
          <t>A 51662-2024</t>
        </is>
      </c>
      <c r="B576" s="1" t="n">
        <v>45606.75559027777</v>
      </c>
      <c r="C576" s="1" t="n">
        <v>46092</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58928-2025</t>
        </is>
      </c>
      <c r="B577" s="1" t="n">
        <v>45987</v>
      </c>
      <c r="C577" s="1" t="n">
        <v>46092</v>
      </c>
      <c r="D577" t="inlineStr">
        <is>
          <t>VÄRMLANDS LÄN</t>
        </is>
      </c>
      <c r="E577" t="inlineStr">
        <is>
          <t>TORSBY</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39473-2025</t>
        </is>
      </c>
      <c r="B578" s="1" t="n">
        <v>45890</v>
      </c>
      <c r="C578" s="1" t="n">
        <v>46092</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27458-2023</t>
        </is>
      </c>
      <c r="B579" s="1" t="n">
        <v>45097</v>
      </c>
      <c r="C579" s="1" t="n">
        <v>46092</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39919-2025</t>
        </is>
      </c>
      <c r="B580" s="1" t="n">
        <v>45891.66664351852</v>
      </c>
      <c r="C580" s="1" t="n">
        <v>46092</v>
      </c>
      <c r="D580" t="inlineStr">
        <is>
          <t>VÄRMLANDS LÄN</t>
        </is>
      </c>
      <c r="E580" t="inlineStr">
        <is>
          <t>TORSBY</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58840-2025</t>
        </is>
      </c>
      <c r="B581" s="1" t="n">
        <v>45987.36246527778</v>
      </c>
      <c r="C581" s="1" t="n">
        <v>46092</v>
      </c>
      <c r="D581" t="inlineStr">
        <is>
          <t>VÄRMLANDS LÄN</t>
        </is>
      </c>
      <c r="E581" t="inlineStr">
        <is>
          <t>TORSBY</t>
        </is>
      </c>
      <c r="F581" t="inlineStr">
        <is>
          <t>Bergvik skog väst AB</t>
        </is>
      </c>
      <c r="G581" t="n">
        <v>18.9</v>
      </c>
      <c r="H581" t="n">
        <v>0</v>
      </c>
      <c r="I581" t="n">
        <v>0</v>
      </c>
      <c r="J581" t="n">
        <v>0</v>
      </c>
      <c r="K581" t="n">
        <v>0</v>
      </c>
      <c r="L581" t="n">
        <v>0</v>
      </c>
      <c r="M581" t="n">
        <v>0</v>
      </c>
      <c r="N581" t="n">
        <v>0</v>
      </c>
      <c r="O581" t="n">
        <v>0</v>
      </c>
      <c r="P581" t="n">
        <v>0</v>
      </c>
      <c r="Q581" t="n">
        <v>0</v>
      </c>
      <c r="R581" s="2" t="inlineStr"/>
    </row>
    <row r="582" ht="15" customHeight="1">
      <c r="A582" t="inlineStr">
        <is>
          <t>A 58903-2025</t>
        </is>
      </c>
      <c r="B582" s="1" t="n">
        <v>45987.50533564815</v>
      </c>
      <c r="C582" s="1" t="n">
        <v>46092</v>
      </c>
      <c r="D582" t="inlineStr">
        <is>
          <t>VÄRMLANDS LÄN</t>
        </is>
      </c>
      <c r="E582" t="inlineStr">
        <is>
          <t>TORSBY</t>
        </is>
      </c>
      <c r="F582" t="inlineStr">
        <is>
          <t>Bergvik skog väst AB</t>
        </is>
      </c>
      <c r="G582" t="n">
        <v>3.6</v>
      </c>
      <c r="H582" t="n">
        <v>0</v>
      </c>
      <c r="I582" t="n">
        <v>0</v>
      </c>
      <c r="J582" t="n">
        <v>0</v>
      </c>
      <c r="K582" t="n">
        <v>0</v>
      </c>
      <c r="L582" t="n">
        <v>0</v>
      </c>
      <c r="M582" t="n">
        <v>0</v>
      </c>
      <c r="N582" t="n">
        <v>0</v>
      </c>
      <c r="O582" t="n">
        <v>0</v>
      </c>
      <c r="P582" t="n">
        <v>0</v>
      </c>
      <c r="Q582" t="n">
        <v>0</v>
      </c>
      <c r="R582" s="2" t="inlineStr"/>
    </row>
    <row r="583" ht="15" customHeight="1">
      <c r="A583" t="inlineStr">
        <is>
          <t>A 58897-2025</t>
        </is>
      </c>
      <c r="B583" s="1" t="n">
        <v>45987.49574074074</v>
      </c>
      <c r="C583" s="1" t="n">
        <v>46092</v>
      </c>
      <c r="D583" t="inlineStr">
        <is>
          <t>VÄRMLANDS LÄN</t>
        </is>
      </c>
      <c r="E583" t="inlineStr">
        <is>
          <t>TORSBY</t>
        </is>
      </c>
      <c r="F583" t="inlineStr">
        <is>
          <t>Bergvik skog väst AB</t>
        </is>
      </c>
      <c r="G583" t="n">
        <v>4.7</v>
      </c>
      <c r="H583" t="n">
        <v>0</v>
      </c>
      <c r="I583" t="n">
        <v>0</v>
      </c>
      <c r="J583" t="n">
        <v>0</v>
      </c>
      <c r="K583" t="n">
        <v>0</v>
      </c>
      <c r="L583" t="n">
        <v>0</v>
      </c>
      <c r="M583" t="n">
        <v>0</v>
      </c>
      <c r="N583" t="n">
        <v>0</v>
      </c>
      <c r="O583" t="n">
        <v>0</v>
      </c>
      <c r="P583" t="n">
        <v>0</v>
      </c>
      <c r="Q583" t="n">
        <v>0</v>
      </c>
      <c r="R583" s="2" t="inlineStr"/>
    </row>
    <row r="584" ht="15" customHeight="1">
      <c r="A584" t="inlineStr">
        <is>
          <t>A 58899-2025</t>
        </is>
      </c>
      <c r="B584" s="1" t="n">
        <v>45987.500625</v>
      </c>
      <c r="C584" s="1" t="n">
        <v>46092</v>
      </c>
      <c r="D584" t="inlineStr">
        <is>
          <t>VÄRMLANDS LÄN</t>
        </is>
      </c>
      <c r="E584" t="inlineStr">
        <is>
          <t>TORSBY</t>
        </is>
      </c>
      <c r="F584" t="inlineStr">
        <is>
          <t>Bergvik skog väst AB</t>
        </is>
      </c>
      <c r="G584" t="n">
        <v>18.9</v>
      </c>
      <c r="H584" t="n">
        <v>0</v>
      </c>
      <c r="I584" t="n">
        <v>0</v>
      </c>
      <c r="J584" t="n">
        <v>0</v>
      </c>
      <c r="K584" t="n">
        <v>0</v>
      </c>
      <c r="L584" t="n">
        <v>0</v>
      </c>
      <c r="M584" t="n">
        <v>0</v>
      </c>
      <c r="N584" t="n">
        <v>0</v>
      </c>
      <c r="O584" t="n">
        <v>0</v>
      </c>
      <c r="P584" t="n">
        <v>0</v>
      </c>
      <c r="Q584" t="n">
        <v>0</v>
      </c>
      <c r="R584" s="2" t="inlineStr"/>
    </row>
    <row r="585" ht="15" customHeight="1">
      <c r="A585" t="inlineStr">
        <is>
          <t>A 21542-2024</t>
        </is>
      </c>
      <c r="B585" s="1" t="n">
        <v>45441</v>
      </c>
      <c r="C585" s="1" t="n">
        <v>46092</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54023-2024</t>
        </is>
      </c>
      <c r="B586" s="1" t="n">
        <v>45616</v>
      </c>
      <c r="C586" s="1" t="n">
        <v>46092</v>
      </c>
      <c r="D586" t="inlineStr">
        <is>
          <t>VÄRMLANDS LÄN</t>
        </is>
      </c>
      <c r="E586" t="inlineStr">
        <is>
          <t>TORSBY</t>
        </is>
      </c>
      <c r="F586" t="inlineStr">
        <is>
          <t>Kommuner</t>
        </is>
      </c>
      <c r="G586" t="n">
        <v>3</v>
      </c>
      <c r="H586" t="n">
        <v>0</v>
      </c>
      <c r="I586" t="n">
        <v>0</v>
      </c>
      <c r="J586" t="n">
        <v>0</v>
      </c>
      <c r="K586" t="n">
        <v>0</v>
      </c>
      <c r="L586" t="n">
        <v>0</v>
      </c>
      <c r="M586" t="n">
        <v>0</v>
      </c>
      <c r="N586" t="n">
        <v>0</v>
      </c>
      <c r="O586" t="n">
        <v>0</v>
      </c>
      <c r="P586" t="n">
        <v>0</v>
      </c>
      <c r="Q586" t="n">
        <v>0</v>
      </c>
      <c r="R586" s="2" t="inlineStr"/>
    </row>
    <row r="587" ht="15" customHeight="1">
      <c r="A587" t="inlineStr">
        <is>
          <t>A 54027-2024</t>
        </is>
      </c>
      <c r="B587" s="1" t="n">
        <v>45616</v>
      </c>
      <c r="C587" s="1" t="n">
        <v>46092</v>
      </c>
      <c r="D587" t="inlineStr">
        <is>
          <t>VÄRMLANDS LÄN</t>
        </is>
      </c>
      <c r="E587" t="inlineStr">
        <is>
          <t>TORSBY</t>
        </is>
      </c>
      <c r="F587" t="inlineStr">
        <is>
          <t>Bergvik skog väst AB</t>
        </is>
      </c>
      <c r="G587" t="n">
        <v>2.1</v>
      </c>
      <c r="H587" t="n">
        <v>0</v>
      </c>
      <c r="I587" t="n">
        <v>0</v>
      </c>
      <c r="J587" t="n">
        <v>0</v>
      </c>
      <c r="K587" t="n">
        <v>0</v>
      </c>
      <c r="L587" t="n">
        <v>0</v>
      </c>
      <c r="M587" t="n">
        <v>0</v>
      </c>
      <c r="N587" t="n">
        <v>0</v>
      </c>
      <c r="O587" t="n">
        <v>0</v>
      </c>
      <c r="P587" t="n">
        <v>0</v>
      </c>
      <c r="Q587" t="n">
        <v>0</v>
      </c>
      <c r="R587" s="2" t="inlineStr"/>
    </row>
    <row r="588" ht="15" customHeight="1">
      <c r="A588" t="inlineStr">
        <is>
          <t>A 9900-2024</t>
        </is>
      </c>
      <c r="B588" s="1" t="n">
        <v>45363</v>
      </c>
      <c r="C588" s="1" t="n">
        <v>46092</v>
      </c>
      <c r="D588" t="inlineStr">
        <is>
          <t>VÄRMLANDS LÄN</t>
        </is>
      </c>
      <c r="E588" t="inlineStr">
        <is>
          <t>TORSBY</t>
        </is>
      </c>
      <c r="G588" t="n">
        <v>13.6</v>
      </c>
      <c r="H588" t="n">
        <v>0</v>
      </c>
      <c r="I588" t="n">
        <v>0</v>
      </c>
      <c r="J588" t="n">
        <v>0</v>
      </c>
      <c r="K588" t="n">
        <v>0</v>
      </c>
      <c r="L588" t="n">
        <v>0</v>
      </c>
      <c r="M588" t="n">
        <v>0</v>
      </c>
      <c r="N588" t="n">
        <v>0</v>
      </c>
      <c r="O588" t="n">
        <v>0</v>
      </c>
      <c r="P588" t="n">
        <v>0</v>
      </c>
      <c r="Q588" t="n">
        <v>0</v>
      </c>
      <c r="R588" s="2" t="inlineStr"/>
    </row>
    <row r="589" ht="15" customHeight="1">
      <c r="A589" t="inlineStr">
        <is>
          <t>A 58901-2025</t>
        </is>
      </c>
      <c r="B589" s="1" t="n">
        <v>45987.50243055556</v>
      </c>
      <c r="C589" s="1" t="n">
        <v>46092</v>
      </c>
      <c r="D589" t="inlineStr">
        <is>
          <t>VÄRMLANDS LÄN</t>
        </is>
      </c>
      <c r="E589" t="inlineStr">
        <is>
          <t>TORSBY</t>
        </is>
      </c>
      <c r="F589" t="inlineStr">
        <is>
          <t>Bergvik skog väst AB</t>
        </is>
      </c>
      <c r="G589" t="n">
        <v>25.3</v>
      </c>
      <c r="H589" t="n">
        <v>0</v>
      </c>
      <c r="I589" t="n">
        <v>0</v>
      </c>
      <c r="J589" t="n">
        <v>0</v>
      </c>
      <c r="K589" t="n">
        <v>0</v>
      </c>
      <c r="L589" t="n">
        <v>0</v>
      </c>
      <c r="M589" t="n">
        <v>0</v>
      </c>
      <c r="N589" t="n">
        <v>0</v>
      </c>
      <c r="O589" t="n">
        <v>0</v>
      </c>
      <c r="P589" t="n">
        <v>0</v>
      </c>
      <c r="Q589" t="n">
        <v>0</v>
      </c>
      <c r="R589" s="2" t="inlineStr"/>
    </row>
    <row r="590" ht="15" customHeight="1">
      <c r="A590" t="inlineStr">
        <is>
          <t>A 58538-2025</t>
        </is>
      </c>
      <c r="B590" s="1" t="n">
        <v>45985.89356481482</v>
      </c>
      <c r="C590" s="1" t="n">
        <v>46092</v>
      </c>
      <c r="D590" t="inlineStr">
        <is>
          <t>VÄRMLANDS LÄN</t>
        </is>
      </c>
      <c r="E590" t="inlineStr">
        <is>
          <t>TORSBY</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58864-2025</t>
        </is>
      </c>
      <c r="B591" s="1" t="n">
        <v>45987.44736111111</v>
      </c>
      <c r="C591" s="1" t="n">
        <v>46092</v>
      </c>
      <c r="D591" t="inlineStr">
        <is>
          <t>VÄRMLANDS LÄN</t>
        </is>
      </c>
      <c r="E591" t="inlineStr">
        <is>
          <t>TORSBY</t>
        </is>
      </c>
      <c r="F591" t="inlineStr">
        <is>
          <t>Kyrkan</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24580-2025</t>
        </is>
      </c>
      <c r="B592" s="1" t="n">
        <v>45798</v>
      </c>
      <c r="C592" s="1" t="n">
        <v>46092</v>
      </c>
      <c r="D592" t="inlineStr">
        <is>
          <t>VÄRMLANDS LÄN</t>
        </is>
      </c>
      <c r="E592" t="inlineStr">
        <is>
          <t>TORSBY</t>
        </is>
      </c>
      <c r="G592" t="n">
        <v>12.2</v>
      </c>
      <c r="H592" t="n">
        <v>0</v>
      </c>
      <c r="I592" t="n">
        <v>0</v>
      </c>
      <c r="J592" t="n">
        <v>0</v>
      </c>
      <c r="K592" t="n">
        <v>0</v>
      </c>
      <c r="L592" t="n">
        <v>0</v>
      </c>
      <c r="M592" t="n">
        <v>0</v>
      </c>
      <c r="N592" t="n">
        <v>0</v>
      </c>
      <c r="O592" t="n">
        <v>0</v>
      </c>
      <c r="P592" t="n">
        <v>0</v>
      </c>
      <c r="Q592" t="n">
        <v>0</v>
      </c>
      <c r="R592" s="2" t="inlineStr"/>
    </row>
    <row r="593" ht="15" customHeight="1">
      <c r="A593" t="inlineStr">
        <is>
          <t>A 9902-2024</t>
        </is>
      </c>
      <c r="B593" s="1" t="n">
        <v>45363</v>
      </c>
      <c r="C593" s="1" t="n">
        <v>46092</v>
      </c>
      <c r="D593" t="inlineStr">
        <is>
          <t>VÄRMLANDS LÄN</t>
        </is>
      </c>
      <c r="E593" t="inlineStr">
        <is>
          <t>TORSBY</t>
        </is>
      </c>
      <c r="G593" t="n">
        <v>4.4</v>
      </c>
      <c r="H593" t="n">
        <v>0</v>
      </c>
      <c r="I593" t="n">
        <v>0</v>
      </c>
      <c r="J593" t="n">
        <v>0</v>
      </c>
      <c r="K593" t="n">
        <v>0</v>
      </c>
      <c r="L593" t="n">
        <v>0</v>
      </c>
      <c r="M593" t="n">
        <v>0</v>
      </c>
      <c r="N593" t="n">
        <v>0</v>
      </c>
      <c r="O593" t="n">
        <v>0</v>
      </c>
      <c r="P593" t="n">
        <v>0</v>
      </c>
      <c r="Q593" t="n">
        <v>0</v>
      </c>
      <c r="R593" s="2" t="inlineStr"/>
    </row>
    <row r="594" ht="15" customHeight="1">
      <c r="A594" t="inlineStr">
        <is>
          <t>A 10684-2024</t>
        </is>
      </c>
      <c r="B594" s="1" t="n">
        <v>45369.37938657407</v>
      </c>
      <c r="C594" s="1" t="n">
        <v>46092</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3672-2024</t>
        </is>
      </c>
      <c r="B595" s="1" t="n">
        <v>45321.36465277777</v>
      </c>
      <c r="C595" s="1" t="n">
        <v>46092</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40034-2025</t>
        </is>
      </c>
      <c r="B596" s="1" t="n">
        <v>45894.38159722222</v>
      </c>
      <c r="C596" s="1" t="n">
        <v>46092</v>
      </c>
      <c r="D596" t="inlineStr">
        <is>
          <t>VÄRMLANDS LÄN</t>
        </is>
      </c>
      <c r="E596" t="inlineStr">
        <is>
          <t>TORSBY</t>
        </is>
      </c>
      <c r="G596" t="n">
        <v>5.3</v>
      </c>
      <c r="H596" t="n">
        <v>0</v>
      </c>
      <c r="I596" t="n">
        <v>0</v>
      </c>
      <c r="J596" t="n">
        <v>0</v>
      </c>
      <c r="K596" t="n">
        <v>0</v>
      </c>
      <c r="L596" t="n">
        <v>0</v>
      </c>
      <c r="M596" t="n">
        <v>0</v>
      </c>
      <c r="N596" t="n">
        <v>0</v>
      </c>
      <c r="O596" t="n">
        <v>0</v>
      </c>
      <c r="P596" t="n">
        <v>0</v>
      </c>
      <c r="Q596" t="n">
        <v>0</v>
      </c>
      <c r="R596" s="2" t="inlineStr"/>
    </row>
    <row r="597" ht="15" customHeight="1">
      <c r="A597" t="inlineStr">
        <is>
          <t>A 40195-2025</t>
        </is>
      </c>
      <c r="B597" s="1" t="n">
        <v>45894.65922453703</v>
      </c>
      <c r="C597" s="1" t="n">
        <v>46092</v>
      </c>
      <c r="D597" t="inlineStr">
        <is>
          <t>VÄRMLANDS LÄN</t>
        </is>
      </c>
      <c r="E597" t="inlineStr">
        <is>
          <t>TORSBY</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57452-2022</t>
        </is>
      </c>
      <c r="B598" s="1" t="n">
        <v>44896.55787037037</v>
      </c>
      <c r="C598" s="1" t="n">
        <v>46092</v>
      </c>
      <c r="D598" t="inlineStr">
        <is>
          <t>VÄRMLANDS LÄN</t>
        </is>
      </c>
      <c r="E598" t="inlineStr">
        <is>
          <t>TORSBY</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25316-2024</t>
        </is>
      </c>
      <c r="B599" s="1" t="n">
        <v>45462</v>
      </c>
      <c r="C599" s="1" t="n">
        <v>46092</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40051-2025</t>
        </is>
      </c>
      <c r="B600" s="1" t="n">
        <v>45894.40730324074</v>
      </c>
      <c r="C600" s="1" t="n">
        <v>46092</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13791-2023</t>
        </is>
      </c>
      <c r="B601" s="1" t="n">
        <v>45005</v>
      </c>
      <c r="C601" s="1" t="n">
        <v>46092</v>
      </c>
      <c r="D601" t="inlineStr">
        <is>
          <t>VÄRMLANDS LÄN</t>
        </is>
      </c>
      <c r="E601" t="inlineStr">
        <is>
          <t>TORSBY</t>
        </is>
      </c>
      <c r="G601" t="n">
        <v>3.5</v>
      </c>
      <c r="H601" t="n">
        <v>0</v>
      </c>
      <c r="I601" t="n">
        <v>0</v>
      </c>
      <c r="J601" t="n">
        <v>0</v>
      </c>
      <c r="K601" t="n">
        <v>0</v>
      </c>
      <c r="L601" t="n">
        <v>0</v>
      </c>
      <c r="M601" t="n">
        <v>0</v>
      </c>
      <c r="N601" t="n">
        <v>0</v>
      </c>
      <c r="O601" t="n">
        <v>0</v>
      </c>
      <c r="P601" t="n">
        <v>0</v>
      </c>
      <c r="Q601" t="n">
        <v>0</v>
      </c>
      <c r="R601" s="2" t="inlineStr"/>
    </row>
    <row r="602" ht="15" customHeight="1">
      <c r="A602" t="inlineStr">
        <is>
          <t>A 59030-2025</t>
        </is>
      </c>
      <c r="B602" s="1" t="n">
        <v>45988</v>
      </c>
      <c r="C602" s="1" t="n">
        <v>46092</v>
      </c>
      <c r="D602" t="inlineStr">
        <is>
          <t>VÄRMLANDS LÄN</t>
        </is>
      </c>
      <c r="E602" t="inlineStr">
        <is>
          <t>TORSBY</t>
        </is>
      </c>
      <c r="F602" t="inlineStr">
        <is>
          <t>Kyrkan</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18115-2025</t>
        </is>
      </c>
      <c r="B603" s="1" t="n">
        <v>45761</v>
      </c>
      <c r="C603" s="1" t="n">
        <v>46092</v>
      </c>
      <c r="D603" t="inlineStr">
        <is>
          <t>VÄRMLANDS LÄN</t>
        </is>
      </c>
      <c r="E603" t="inlineStr">
        <is>
          <t>TORSBY</t>
        </is>
      </c>
      <c r="G603" t="n">
        <v>2.5</v>
      </c>
      <c r="H603" t="n">
        <v>0</v>
      </c>
      <c r="I603" t="n">
        <v>0</v>
      </c>
      <c r="J603" t="n">
        <v>0</v>
      </c>
      <c r="K603" t="n">
        <v>0</v>
      </c>
      <c r="L603" t="n">
        <v>0</v>
      </c>
      <c r="M603" t="n">
        <v>0</v>
      </c>
      <c r="N603" t="n">
        <v>0</v>
      </c>
      <c r="O603" t="n">
        <v>0</v>
      </c>
      <c r="P603" t="n">
        <v>0</v>
      </c>
      <c r="Q603" t="n">
        <v>0</v>
      </c>
      <c r="R603" s="2" t="inlineStr"/>
    </row>
    <row r="604" ht="15" customHeight="1">
      <c r="A604" t="inlineStr">
        <is>
          <t>A 55839-2024</t>
        </is>
      </c>
      <c r="B604" s="1" t="n">
        <v>45623.49502314815</v>
      </c>
      <c r="C604" s="1" t="n">
        <v>46092</v>
      </c>
      <c r="D604" t="inlineStr">
        <is>
          <t>VÄRMLANDS LÄN</t>
        </is>
      </c>
      <c r="E604" t="inlineStr">
        <is>
          <t>TORSBY</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18096-2025</t>
        </is>
      </c>
      <c r="B605" s="1" t="n">
        <v>45761</v>
      </c>
      <c r="C605" s="1" t="n">
        <v>46092</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59536-2025</t>
        </is>
      </c>
      <c r="B606" s="1" t="n">
        <v>45989</v>
      </c>
      <c r="C606" s="1" t="n">
        <v>46092</v>
      </c>
      <c r="D606" t="inlineStr">
        <is>
          <t>VÄRMLANDS LÄN</t>
        </is>
      </c>
      <c r="E606" t="inlineStr">
        <is>
          <t>TORSBY</t>
        </is>
      </c>
      <c r="G606" t="n">
        <v>2</v>
      </c>
      <c r="H606" t="n">
        <v>0</v>
      </c>
      <c r="I606" t="n">
        <v>0</v>
      </c>
      <c r="J606" t="n">
        <v>0</v>
      </c>
      <c r="K606" t="n">
        <v>0</v>
      </c>
      <c r="L606" t="n">
        <v>0</v>
      </c>
      <c r="M606" t="n">
        <v>0</v>
      </c>
      <c r="N606" t="n">
        <v>0</v>
      </c>
      <c r="O606" t="n">
        <v>0</v>
      </c>
      <c r="P606" t="n">
        <v>0</v>
      </c>
      <c r="Q606" t="n">
        <v>0</v>
      </c>
      <c r="R606" s="2" t="inlineStr"/>
    </row>
    <row r="607" ht="15" customHeight="1">
      <c r="A607" t="inlineStr">
        <is>
          <t>A 24827-2025</t>
        </is>
      </c>
      <c r="B607" s="1" t="n">
        <v>45799</v>
      </c>
      <c r="C607" s="1" t="n">
        <v>46092</v>
      </c>
      <c r="D607" t="inlineStr">
        <is>
          <t>VÄRMLANDS LÄN</t>
        </is>
      </c>
      <c r="E607" t="inlineStr">
        <is>
          <t>TORSBY</t>
        </is>
      </c>
      <c r="G607" t="n">
        <v>27.5</v>
      </c>
      <c r="H607" t="n">
        <v>0</v>
      </c>
      <c r="I607" t="n">
        <v>0</v>
      </c>
      <c r="J607" t="n">
        <v>0</v>
      </c>
      <c r="K607" t="n">
        <v>0</v>
      </c>
      <c r="L607" t="n">
        <v>0</v>
      </c>
      <c r="M607" t="n">
        <v>0</v>
      </c>
      <c r="N607" t="n">
        <v>0</v>
      </c>
      <c r="O607" t="n">
        <v>0</v>
      </c>
      <c r="P607" t="n">
        <v>0</v>
      </c>
      <c r="Q607" t="n">
        <v>0</v>
      </c>
      <c r="R607" s="2" t="inlineStr"/>
    </row>
    <row r="608" ht="15" customHeight="1">
      <c r="A608" t="inlineStr">
        <is>
          <t>A 56299-2025</t>
        </is>
      </c>
      <c r="B608" s="1" t="n">
        <v>45974</v>
      </c>
      <c r="C608" s="1" t="n">
        <v>46092</v>
      </c>
      <c r="D608" t="inlineStr">
        <is>
          <t>VÄRMLANDS LÄN</t>
        </is>
      </c>
      <c r="E608" t="inlineStr">
        <is>
          <t>TORSBY</t>
        </is>
      </c>
      <c r="G608" t="n">
        <v>7.1</v>
      </c>
      <c r="H608" t="n">
        <v>0</v>
      </c>
      <c r="I608" t="n">
        <v>0</v>
      </c>
      <c r="J608" t="n">
        <v>0</v>
      </c>
      <c r="K608" t="n">
        <v>0</v>
      </c>
      <c r="L608" t="n">
        <v>0</v>
      </c>
      <c r="M608" t="n">
        <v>0</v>
      </c>
      <c r="N608" t="n">
        <v>0</v>
      </c>
      <c r="O608" t="n">
        <v>0</v>
      </c>
      <c r="P608" t="n">
        <v>0</v>
      </c>
      <c r="Q608" t="n">
        <v>0</v>
      </c>
      <c r="R608" s="2" t="inlineStr"/>
    </row>
    <row r="609" ht="15" customHeight="1">
      <c r="A609" t="inlineStr">
        <is>
          <t>A 61251-2024</t>
        </is>
      </c>
      <c r="B609" s="1" t="n">
        <v>45645</v>
      </c>
      <c r="C609" s="1" t="n">
        <v>46092</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61259-2024</t>
        </is>
      </c>
      <c r="B610" s="1" t="n">
        <v>45645.71188657408</v>
      </c>
      <c r="C610" s="1" t="n">
        <v>46092</v>
      </c>
      <c r="D610" t="inlineStr">
        <is>
          <t>VÄRMLANDS LÄN</t>
        </is>
      </c>
      <c r="E610" t="inlineStr">
        <is>
          <t>TORSBY</t>
        </is>
      </c>
      <c r="G610" t="n">
        <v>1.2</v>
      </c>
      <c r="H610" t="n">
        <v>0</v>
      </c>
      <c r="I610" t="n">
        <v>0</v>
      </c>
      <c r="J610" t="n">
        <v>0</v>
      </c>
      <c r="K610" t="n">
        <v>0</v>
      </c>
      <c r="L610" t="n">
        <v>0</v>
      </c>
      <c r="M610" t="n">
        <v>0</v>
      </c>
      <c r="N610" t="n">
        <v>0</v>
      </c>
      <c r="O610" t="n">
        <v>0</v>
      </c>
      <c r="P610" t="n">
        <v>0</v>
      </c>
      <c r="Q610" t="n">
        <v>0</v>
      </c>
      <c r="R610" s="2" t="inlineStr"/>
    </row>
    <row r="611" ht="15" customHeight="1">
      <c r="A611" t="inlineStr">
        <is>
          <t>A 20168-2022</t>
        </is>
      </c>
      <c r="B611" s="1" t="n">
        <v>44698.50056712963</v>
      </c>
      <c r="C611" s="1" t="n">
        <v>46092</v>
      </c>
      <c r="D611" t="inlineStr">
        <is>
          <t>VÄRMLANDS LÄN</t>
        </is>
      </c>
      <c r="E611" t="inlineStr">
        <is>
          <t>TORSBY</t>
        </is>
      </c>
      <c r="G611" t="n">
        <v>6.6</v>
      </c>
      <c r="H611" t="n">
        <v>0</v>
      </c>
      <c r="I611" t="n">
        <v>0</v>
      </c>
      <c r="J611" t="n">
        <v>0</v>
      </c>
      <c r="K611" t="n">
        <v>0</v>
      </c>
      <c r="L611" t="n">
        <v>0</v>
      </c>
      <c r="M611" t="n">
        <v>0</v>
      </c>
      <c r="N611" t="n">
        <v>0</v>
      </c>
      <c r="O611" t="n">
        <v>0</v>
      </c>
      <c r="P611" t="n">
        <v>0</v>
      </c>
      <c r="Q611" t="n">
        <v>0</v>
      </c>
      <c r="R611" s="2" t="inlineStr"/>
    </row>
    <row r="612" ht="15" customHeight="1">
      <c r="A612" t="inlineStr">
        <is>
          <t>A 23557-2025</t>
        </is>
      </c>
      <c r="B612" s="1" t="n">
        <v>45792.58086805556</v>
      </c>
      <c r="C612" s="1" t="n">
        <v>46092</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28035-2024</t>
        </is>
      </c>
      <c r="B613" s="1" t="n">
        <v>45476</v>
      </c>
      <c r="C613" s="1" t="n">
        <v>46092</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55475-2022</t>
        </is>
      </c>
      <c r="B614" s="1" t="n">
        <v>44887.66210648148</v>
      </c>
      <c r="C614" s="1" t="n">
        <v>46092</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43538-2024</t>
        </is>
      </c>
      <c r="B615" s="1" t="n">
        <v>45569.36136574074</v>
      </c>
      <c r="C615" s="1" t="n">
        <v>46092</v>
      </c>
      <c r="D615" t="inlineStr">
        <is>
          <t>VÄRMLANDS LÄN</t>
        </is>
      </c>
      <c r="E615" t="inlineStr">
        <is>
          <t>TORSBY</t>
        </is>
      </c>
      <c r="F615" t="inlineStr">
        <is>
          <t>Bergvik skog väst AB</t>
        </is>
      </c>
      <c r="G615" t="n">
        <v>14.4</v>
      </c>
      <c r="H615" t="n">
        <v>0</v>
      </c>
      <c r="I615" t="n">
        <v>0</v>
      </c>
      <c r="J615" t="n">
        <v>0</v>
      </c>
      <c r="K615" t="n">
        <v>0</v>
      </c>
      <c r="L615" t="n">
        <v>0</v>
      </c>
      <c r="M615" t="n">
        <v>0</v>
      </c>
      <c r="N615" t="n">
        <v>0</v>
      </c>
      <c r="O615" t="n">
        <v>0</v>
      </c>
      <c r="P615" t="n">
        <v>0</v>
      </c>
      <c r="Q615" t="n">
        <v>0</v>
      </c>
      <c r="R615" s="2" t="inlineStr"/>
    </row>
    <row r="616" ht="15" customHeight="1">
      <c r="A616" t="inlineStr">
        <is>
          <t>A 59744-2025</t>
        </is>
      </c>
      <c r="B616" s="1" t="n">
        <v>45992</v>
      </c>
      <c r="C616" s="1" t="n">
        <v>46092</v>
      </c>
      <c r="D616" t="inlineStr">
        <is>
          <t>VÄRMLANDS LÄN</t>
        </is>
      </c>
      <c r="E616" t="inlineStr">
        <is>
          <t>TORSBY</t>
        </is>
      </c>
      <c r="G616" t="n">
        <v>0.7</v>
      </c>
      <c r="H616" t="n">
        <v>0</v>
      </c>
      <c r="I616" t="n">
        <v>0</v>
      </c>
      <c r="J616" t="n">
        <v>0</v>
      </c>
      <c r="K616" t="n">
        <v>0</v>
      </c>
      <c r="L616" t="n">
        <v>0</v>
      </c>
      <c r="M616" t="n">
        <v>0</v>
      </c>
      <c r="N616" t="n">
        <v>0</v>
      </c>
      <c r="O616" t="n">
        <v>0</v>
      </c>
      <c r="P616" t="n">
        <v>0</v>
      </c>
      <c r="Q616" t="n">
        <v>0</v>
      </c>
      <c r="R616" s="2" t="inlineStr"/>
    </row>
    <row r="617" ht="15" customHeight="1">
      <c r="A617" t="inlineStr">
        <is>
          <t>A 42656-2023</t>
        </is>
      </c>
      <c r="B617" s="1" t="n">
        <v>45181.53928240741</v>
      </c>
      <c r="C617" s="1" t="n">
        <v>46092</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1528-2025</t>
        </is>
      </c>
      <c r="B618" s="1" t="n">
        <v>45670</v>
      </c>
      <c r="C618" s="1" t="n">
        <v>46092</v>
      </c>
      <c r="D618" t="inlineStr">
        <is>
          <t>VÄRMLANDS LÄN</t>
        </is>
      </c>
      <c r="E618" t="inlineStr">
        <is>
          <t>TORSBY</t>
        </is>
      </c>
      <c r="G618" t="n">
        <v>7.4</v>
      </c>
      <c r="H618" t="n">
        <v>0</v>
      </c>
      <c r="I618" t="n">
        <v>0</v>
      </c>
      <c r="J618" t="n">
        <v>0</v>
      </c>
      <c r="K618" t="n">
        <v>0</v>
      </c>
      <c r="L618" t="n">
        <v>0</v>
      </c>
      <c r="M618" t="n">
        <v>0</v>
      </c>
      <c r="N618" t="n">
        <v>0</v>
      </c>
      <c r="O618" t="n">
        <v>0</v>
      </c>
      <c r="P618" t="n">
        <v>0</v>
      </c>
      <c r="Q618" t="n">
        <v>0</v>
      </c>
      <c r="R618" s="2" t="inlineStr"/>
    </row>
    <row r="619" ht="15" customHeight="1">
      <c r="A619" t="inlineStr">
        <is>
          <t>A 40128-2025</t>
        </is>
      </c>
      <c r="B619" s="1" t="n">
        <v>45894</v>
      </c>
      <c r="C619" s="1" t="n">
        <v>46092</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2155-2024</t>
        </is>
      </c>
      <c r="B620" s="1" t="n">
        <v>45309</v>
      </c>
      <c r="C620" s="1" t="n">
        <v>46092</v>
      </c>
      <c r="D620" t="inlineStr">
        <is>
          <t>VÄRMLANDS LÄN</t>
        </is>
      </c>
      <c r="E620" t="inlineStr">
        <is>
          <t>TORSBY</t>
        </is>
      </c>
      <c r="G620" t="n">
        <v>2.8</v>
      </c>
      <c r="H620" t="n">
        <v>0</v>
      </c>
      <c r="I620" t="n">
        <v>0</v>
      </c>
      <c r="J620" t="n">
        <v>0</v>
      </c>
      <c r="K620" t="n">
        <v>0</v>
      </c>
      <c r="L620" t="n">
        <v>0</v>
      </c>
      <c r="M620" t="n">
        <v>0</v>
      </c>
      <c r="N620" t="n">
        <v>0</v>
      </c>
      <c r="O620" t="n">
        <v>0</v>
      </c>
      <c r="P620" t="n">
        <v>0</v>
      </c>
      <c r="Q620" t="n">
        <v>0</v>
      </c>
      <c r="R620" s="2" t="inlineStr"/>
    </row>
    <row r="621" ht="15" customHeight="1">
      <c r="A621" t="inlineStr">
        <is>
          <t>A 40729-2025</t>
        </is>
      </c>
      <c r="B621" s="1" t="n">
        <v>45897.35421296296</v>
      </c>
      <c r="C621" s="1" t="n">
        <v>46092</v>
      </c>
      <c r="D621" t="inlineStr">
        <is>
          <t>VÄRMLANDS LÄN</t>
        </is>
      </c>
      <c r="E621" t="inlineStr">
        <is>
          <t>TORSBY</t>
        </is>
      </c>
      <c r="F621" t="inlineStr">
        <is>
          <t>Bergvik skog väst AB</t>
        </is>
      </c>
      <c r="G621" t="n">
        <v>25.4</v>
      </c>
      <c r="H621" t="n">
        <v>0</v>
      </c>
      <c r="I621" t="n">
        <v>0</v>
      </c>
      <c r="J621" t="n">
        <v>0</v>
      </c>
      <c r="K621" t="n">
        <v>0</v>
      </c>
      <c r="L621" t="n">
        <v>0</v>
      </c>
      <c r="M621" t="n">
        <v>0</v>
      </c>
      <c r="N621" t="n">
        <v>0</v>
      </c>
      <c r="O621" t="n">
        <v>0</v>
      </c>
      <c r="P621" t="n">
        <v>0</v>
      </c>
      <c r="Q621" t="n">
        <v>0</v>
      </c>
      <c r="R621" s="2" t="inlineStr"/>
    </row>
    <row r="622" ht="15" customHeight="1">
      <c r="A622" t="inlineStr">
        <is>
          <t>A 59685-2025</t>
        </is>
      </c>
      <c r="B622" s="1" t="n">
        <v>45992.47407407407</v>
      </c>
      <c r="C622" s="1" t="n">
        <v>46092</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59729-2025</t>
        </is>
      </c>
      <c r="B623" s="1" t="n">
        <v>45992</v>
      </c>
      <c r="C623" s="1" t="n">
        <v>46092</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8284-2023</t>
        </is>
      </c>
      <c r="B624" s="1" t="n">
        <v>44974.64714120371</v>
      </c>
      <c r="C624" s="1" t="n">
        <v>46092</v>
      </c>
      <c r="D624" t="inlineStr">
        <is>
          <t>VÄRMLANDS LÄN</t>
        </is>
      </c>
      <c r="E624" t="inlineStr">
        <is>
          <t>TORSBY</t>
        </is>
      </c>
      <c r="G624" t="n">
        <v>1.9</v>
      </c>
      <c r="H624" t="n">
        <v>0</v>
      </c>
      <c r="I624" t="n">
        <v>0</v>
      </c>
      <c r="J624" t="n">
        <v>0</v>
      </c>
      <c r="K624" t="n">
        <v>0</v>
      </c>
      <c r="L624" t="n">
        <v>0</v>
      </c>
      <c r="M624" t="n">
        <v>0</v>
      </c>
      <c r="N624" t="n">
        <v>0</v>
      </c>
      <c r="O624" t="n">
        <v>0</v>
      </c>
      <c r="P624" t="n">
        <v>0</v>
      </c>
      <c r="Q624" t="n">
        <v>0</v>
      </c>
      <c r="R624" s="2" t="inlineStr"/>
    </row>
    <row r="625" ht="15" customHeight="1">
      <c r="A625" t="inlineStr">
        <is>
          <t>A 48239-2022</t>
        </is>
      </c>
      <c r="B625" s="1" t="n">
        <v>44858.45881944444</v>
      </c>
      <c r="C625" s="1" t="n">
        <v>46092</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26223-2021</t>
        </is>
      </c>
      <c r="B626" s="1" t="n">
        <v>44347</v>
      </c>
      <c r="C626" s="1" t="n">
        <v>46092</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906-2025</t>
        </is>
      </c>
      <c r="B627" s="1" t="n">
        <v>45664</v>
      </c>
      <c r="C627" s="1" t="n">
        <v>46092</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59864-2025</t>
        </is>
      </c>
      <c r="B628" s="1" t="n">
        <v>45992.83108796296</v>
      </c>
      <c r="C628" s="1" t="n">
        <v>46092</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59913-2025</t>
        </is>
      </c>
      <c r="B629" s="1" t="n">
        <v>45993.36527777778</v>
      </c>
      <c r="C629" s="1" t="n">
        <v>46092</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56902-2023</t>
        </is>
      </c>
      <c r="B630" s="1" t="n">
        <v>45244</v>
      </c>
      <c r="C630" s="1" t="n">
        <v>46092</v>
      </c>
      <c r="D630" t="inlineStr">
        <is>
          <t>VÄRMLANDS LÄN</t>
        </is>
      </c>
      <c r="E630" t="inlineStr">
        <is>
          <t>TORSBY</t>
        </is>
      </c>
      <c r="G630" t="n">
        <v>17.4</v>
      </c>
      <c r="H630" t="n">
        <v>0</v>
      </c>
      <c r="I630" t="n">
        <v>0</v>
      </c>
      <c r="J630" t="n">
        <v>0</v>
      </c>
      <c r="K630" t="n">
        <v>0</v>
      </c>
      <c r="L630" t="n">
        <v>0</v>
      </c>
      <c r="M630" t="n">
        <v>0</v>
      </c>
      <c r="N630" t="n">
        <v>0</v>
      </c>
      <c r="O630" t="n">
        <v>0</v>
      </c>
      <c r="P630" t="n">
        <v>0</v>
      </c>
      <c r="Q630" t="n">
        <v>0</v>
      </c>
      <c r="R630" s="2" t="inlineStr"/>
    </row>
    <row r="631" ht="15" customHeight="1">
      <c r="A631" t="inlineStr">
        <is>
          <t>A 40519-2025</t>
        </is>
      </c>
      <c r="B631" s="1" t="n">
        <v>45896.3640162037</v>
      </c>
      <c r="C631" s="1" t="n">
        <v>46092</v>
      </c>
      <c r="D631" t="inlineStr">
        <is>
          <t>VÄRMLANDS LÄN</t>
        </is>
      </c>
      <c r="E631" t="inlineStr">
        <is>
          <t>TORSBY</t>
        </is>
      </c>
      <c r="F631" t="inlineStr">
        <is>
          <t>Bergvik skog väst AB</t>
        </is>
      </c>
      <c r="G631" t="n">
        <v>0.4</v>
      </c>
      <c r="H631" t="n">
        <v>0</v>
      </c>
      <c r="I631" t="n">
        <v>0</v>
      </c>
      <c r="J631" t="n">
        <v>0</v>
      </c>
      <c r="K631" t="n">
        <v>0</v>
      </c>
      <c r="L631" t="n">
        <v>0</v>
      </c>
      <c r="M631" t="n">
        <v>0</v>
      </c>
      <c r="N631" t="n">
        <v>0</v>
      </c>
      <c r="O631" t="n">
        <v>0</v>
      </c>
      <c r="P631" t="n">
        <v>0</v>
      </c>
      <c r="Q631" t="n">
        <v>0</v>
      </c>
      <c r="R631" s="2" t="inlineStr"/>
    </row>
    <row r="632" ht="15" customHeight="1">
      <c r="A632" t="inlineStr">
        <is>
          <t>A 12670-2023</t>
        </is>
      </c>
      <c r="B632" s="1" t="n">
        <v>45000.58043981482</v>
      </c>
      <c r="C632" s="1" t="n">
        <v>46092</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43529-2023</t>
        </is>
      </c>
      <c r="B633" s="1" t="n">
        <v>45181</v>
      </c>
      <c r="C633" s="1" t="n">
        <v>46092</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16192-2025</t>
        </is>
      </c>
      <c r="B634" s="1" t="n">
        <v>45750.59760416667</v>
      </c>
      <c r="C634" s="1" t="n">
        <v>46092</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60479-2025</t>
        </is>
      </c>
      <c r="B635" s="1" t="n">
        <v>45995.59563657407</v>
      </c>
      <c r="C635" s="1" t="n">
        <v>46092</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60485-2025</t>
        </is>
      </c>
      <c r="B636" s="1" t="n">
        <v>45995.59924768518</v>
      </c>
      <c r="C636" s="1" t="n">
        <v>46092</v>
      </c>
      <c r="D636" t="inlineStr">
        <is>
          <t>VÄRMLANDS LÄN</t>
        </is>
      </c>
      <c r="E636" t="inlineStr">
        <is>
          <t>TORSBY</t>
        </is>
      </c>
      <c r="G636" t="n">
        <v>3.2</v>
      </c>
      <c r="H636" t="n">
        <v>0</v>
      </c>
      <c r="I636" t="n">
        <v>0</v>
      </c>
      <c r="J636" t="n">
        <v>0</v>
      </c>
      <c r="K636" t="n">
        <v>0</v>
      </c>
      <c r="L636" t="n">
        <v>0</v>
      </c>
      <c r="M636" t="n">
        <v>0</v>
      </c>
      <c r="N636" t="n">
        <v>0</v>
      </c>
      <c r="O636" t="n">
        <v>0</v>
      </c>
      <c r="P636" t="n">
        <v>0</v>
      </c>
      <c r="Q636" t="n">
        <v>0</v>
      </c>
      <c r="R636" s="2" t="inlineStr"/>
    </row>
    <row r="637" ht="15" customHeight="1">
      <c r="A637" t="inlineStr">
        <is>
          <t>A 54204-2023</t>
        </is>
      </c>
      <c r="B637" s="1" t="n">
        <v>45232.56141203704</v>
      </c>
      <c r="C637" s="1" t="n">
        <v>46092</v>
      </c>
      <c r="D637" t="inlineStr">
        <is>
          <t>VÄRMLANDS LÄN</t>
        </is>
      </c>
      <c r="E637" t="inlineStr">
        <is>
          <t>TORSBY</t>
        </is>
      </c>
      <c r="F637" t="inlineStr">
        <is>
          <t>Bergvik skog väst AB</t>
        </is>
      </c>
      <c r="G637" t="n">
        <v>15</v>
      </c>
      <c r="H637" t="n">
        <v>0</v>
      </c>
      <c r="I637" t="n">
        <v>0</v>
      </c>
      <c r="J637" t="n">
        <v>0</v>
      </c>
      <c r="K637" t="n">
        <v>0</v>
      </c>
      <c r="L637" t="n">
        <v>0</v>
      </c>
      <c r="M637" t="n">
        <v>0</v>
      </c>
      <c r="N637" t="n">
        <v>0</v>
      </c>
      <c r="O637" t="n">
        <v>0</v>
      </c>
      <c r="P637" t="n">
        <v>0</v>
      </c>
      <c r="Q637" t="n">
        <v>0</v>
      </c>
      <c r="R637" s="2" t="inlineStr"/>
    </row>
    <row r="638" ht="15" customHeight="1">
      <c r="A638" t="inlineStr">
        <is>
          <t>A 10473-2023</t>
        </is>
      </c>
      <c r="B638" s="1" t="n">
        <v>44981</v>
      </c>
      <c r="C638" s="1" t="n">
        <v>46092</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41148-2025</t>
        </is>
      </c>
      <c r="B639" s="1" t="n">
        <v>45898</v>
      </c>
      <c r="C639" s="1" t="n">
        <v>46092</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18365-2025</t>
        </is>
      </c>
      <c r="B640" s="1" t="n">
        <v>45762</v>
      </c>
      <c r="C640" s="1" t="n">
        <v>46092</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62445-2023</t>
        </is>
      </c>
      <c r="B641" s="1" t="n">
        <v>45268.47487268518</v>
      </c>
      <c r="C641" s="1" t="n">
        <v>46092</v>
      </c>
      <c r="D641" t="inlineStr">
        <is>
          <t>VÄRMLANDS LÄN</t>
        </is>
      </c>
      <c r="E641" t="inlineStr">
        <is>
          <t>TORSBY</t>
        </is>
      </c>
      <c r="G641" t="n">
        <v>2.2</v>
      </c>
      <c r="H641" t="n">
        <v>0</v>
      </c>
      <c r="I641" t="n">
        <v>0</v>
      </c>
      <c r="J641" t="n">
        <v>0</v>
      </c>
      <c r="K641" t="n">
        <v>0</v>
      </c>
      <c r="L641" t="n">
        <v>0</v>
      </c>
      <c r="M641" t="n">
        <v>0</v>
      </c>
      <c r="N641" t="n">
        <v>0</v>
      </c>
      <c r="O641" t="n">
        <v>0</v>
      </c>
      <c r="P641" t="n">
        <v>0</v>
      </c>
      <c r="Q641" t="n">
        <v>0</v>
      </c>
      <c r="R641" s="2" t="inlineStr"/>
    </row>
    <row r="642" ht="15" customHeight="1">
      <c r="A642" t="inlineStr">
        <is>
          <t>A 25866-2025</t>
        </is>
      </c>
      <c r="B642" s="1" t="n">
        <v>45804.48143518518</v>
      </c>
      <c r="C642" s="1" t="n">
        <v>46092</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485-2025</t>
        </is>
      </c>
      <c r="B643" s="1" t="n">
        <v>45664</v>
      </c>
      <c r="C643" s="1" t="n">
        <v>46092</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2803-2025</t>
        </is>
      </c>
      <c r="B644" s="1" t="n">
        <v>45677</v>
      </c>
      <c r="C644" s="1" t="n">
        <v>46092</v>
      </c>
      <c r="D644" t="inlineStr">
        <is>
          <t>VÄRMLANDS LÄN</t>
        </is>
      </c>
      <c r="E644" t="inlineStr">
        <is>
          <t>TORSBY</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2807-2025</t>
        </is>
      </c>
      <c r="B645" s="1" t="n">
        <v>45677</v>
      </c>
      <c r="C645" s="1" t="n">
        <v>46092</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3442-2025</t>
        </is>
      </c>
      <c r="B646" s="1" t="n">
        <v>45680.45114583334</v>
      </c>
      <c r="C646" s="1" t="n">
        <v>46092</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62957-2023</t>
        </is>
      </c>
      <c r="B647" s="1" t="n">
        <v>45271</v>
      </c>
      <c r="C647" s="1" t="n">
        <v>46092</v>
      </c>
      <c r="D647" t="inlineStr">
        <is>
          <t>VÄRMLANDS LÄN</t>
        </is>
      </c>
      <c r="E647" t="inlineStr">
        <is>
          <t>TORSBY</t>
        </is>
      </c>
      <c r="F647" t="inlineStr">
        <is>
          <t>Övriga statliga verk och myndigheter</t>
        </is>
      </c>
      <c r="G647" t="n">
        <v>3.5</v>
      </c>
      <c r="H647" t="n">
        <v>0</v>
      </c>
      <c r="I647" t="n">
        <v>0</v>
      </c>
      <c r="J647" t="n">
        <v>0</v>
      </c>
      <c r="K647" t="n">
        <v>0</v>
      </c>
      <c r="L647" t="n">
        <v>0</v>
      </c>
      <c r="M647" t="n">
        <v>0</v>
      </c>
      <c r="N647" t="n">
        <v>0</v>
      </c>
      <c r="O647" t="n">
        <v>0</v>
      </c>
      <c r="P647" t="n">
        <v>0</v>
      </c>
      <c r="Q647" t="n">
        <v>0</v>
      </c>
      <c r="R647" s="2" t="inlineStr"/>
    </row>
    <row r="648" ht="15" customHeight="1">
      <c r="A648" t="inlineStr">
        <is>
          <t>A 41168-2025</t>
        </is>
      </c>
      <c r="B648" s="1" t="n">
        <v>45898</v>
      </c>
      <c r="C648" s="1" t="n">
        <v>46092</v>
      </c>
      <c r="D648" t="inlineStr">
        <is>
          <t>VÄRMLANDS LÄN</t>
        </is>
      </c>
      <c r="E648" t="inlineStr">
        <is>
          <t>TORSBY</t>
        </is>
      </c>
      <c r="F648" t="inlineStr">
        <is>
          <t>Övriga Aktiebolag</t>
        </is>
      </c>
      <c r="G648" t="n">
        <v>5</v>
      </c>
      <c r="H648" t="n">
        <v>0</v>
      </c>
      <c r="I648" t="n">
        <v>0</v>
      </c>
      <c r="J648" t="n">
        <v>0</v>
      </c>
      <c r="K648" t="n">
        <v>0</v>
      </c>
      <c r="L648" t="n">
        <v>0</v>
      </c>
      <c r="M648" t="n">
        <v>0</v>
      </c>
      <c r="N648" t="n">
        <v>0</v>
      </c>
      <c r="O648" t="n">
        <v>0</v>
      </c>
      <c r="P648" t="n">
        <v>0</v>
      </c>
      <c r="Q648" t="n">
        <v>0</v>
      </c>
      <c r="R648" s="2" t="inlineStr"/>
    </row>
    <row r="649" ht="15" customHeight="1">
      <c r="A649" t="inlineStr">
        <is>
          <t>A 60189-2025</t>
        </is>
      </c>
      <c r="B649" s="1" t="n">
        <v>45994</v>
      </c>
      <c r="C649" s="1" t="n">
        <v>46092</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60392-2025</t>
        </is>
      </c>
      <c r="B650" s="1" t="n">
        <v>45995.38917824074</v>
      </c>
      <c r="C650" s="1" t="n">
        <v>46092</v>
      </c>
      <c r="D650" t="inlineStr">
        <is>
          <t>VÄRMLANDS LÄN</t>
        </is>
      </c>
      <c r="E650" t="inlineStr">
        <is>
          <t>TORSBY</t>
        </is>
      </c>
      <c r="F650" t="inlineStr">
        <is>
          <t>Bergvik skog väst AB</t>
        </is>
      </c>
      <c r="G650" t="n">
        <v>32.3</v>
      </c>
      <c r="H650" t="n">
        <v>0</v>
      </c>
      <c r="I650" t="n">
        <v>0</v>
      </c>
      <c r="J650" t="n">
        <v>0</v>
      </c>
      <c r="K650" t="n">
        <v>0</v>
      </c>
      <c r="L650" t="n">
        <v>0</v>
      </c>
      <c r="M650" t="n">
        <v>0</v>
      </c>
      <c r="N650" t="n">
        <v>0</v>
      </c>
      <c r="O650" t="n">
        <v>0</v>
      </c>
      <c r="P650" t="n">
        <v>0</v>
      </c>
      <c r="Q650" t="n">
        <v>0</v>
      </c>
      <c r="R650" s="2" t="inlineStr"/>
    </row>
    <row r="651" ht="15" customHeight="1">
      <c r="A651" t="inlineStr">
        <is>
          <t>A 60459-2025</t>
        </is>
      </c>
      <c r="B651" s="1" t="n">
        <v>45995.54590277778</v>
      </c>
      <c r="C651" s="1" t="n">
        <v>46092</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60411-2025</t>
        </is>
      </c>
      <c r="B652" s="1" t="n">
        <v>45995</v>
      </c>
      <c r="C652" s="1" t="n">
        <v>46092</v>
      </c>
      <c r="D652" t="inlineStr">
        <is>
          <t>VÄRMLANDS LÄN</t>
        </is>
      </c>
      <c r="E652" t="inlineStr">
        <is>
          <t>TORSBY</t>
        </is>
      </c>
      <c r="F652" t="inlineStr">
        <is>
          <t>Bergvik skog väst AB</t>
        </is>
      </c>
      <c r="G652" t="n">
        <v>10.5</v>
      </c>
      <c r="H652" t="n">
        <v>0</v>
      </c>
      <c r="I652" t="n">
        <v>0</v>
      </c>
      <c r="J652" t="n">
        <v>0</v>
      </c>
      <c r="K652" t="n">
        <v>0</v>
      </c>
      <c r="L652" t="n">
        <v>0</v>
      </c>
      <c r="M652" t="n">
        <v>0</v>
      </c>
      <c r="N652" t="n">
        <v>0</v>
      </c>
      <c r="O652" t="n">
        <v>0</v>
      </c>
      <c r="P652" t="n">
        <v>0</v>
      </c>
      <c r="Q652" t="n">
        <v>0</v>
      </c>
      <c r="R652" s="2" t="inlineStr"/>
    </row>
    <row r="653" ht="15" customHeight="1">
      <c r="A653" t="inlineStr">
        <is>
          <t>A 60414-2025</t>
        </is>
      </c>
      <c r="B653" s="1" t="n">
        <v>45995</v>
      </c>
      <c r="C653" s="1" t="n">
        <v>46092</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60486-2025</t>
        </is>
      </c>
      <c r="B654" s="1" t="n">
        <v>45995.60109953704</v>
      </c>
      <c r="C654" s="1" t="n">
        <v>46092</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38486-2022</t>
        </is>
      </c>
      <c r="B655" s="1" t="n">
        <v>44813</v>
      </c>
      <c r="C655" s="1" t="n">
        <v>46092</v>
      </c>
      <c r="D655" t="inlineStr">
        <is>
          <t>VÄRMLANDS LÄN</t>
        </is>
      </c>
      <c r="E655" t="inlineStr">
        <is>
          <t>TORSBY</t>
        </is>
      </c>
      <c r="F655" t="inlineStr">
        <is>
          <t>Bergvik skog väst AB</t>
        </is>
      </c>
      <c r="G655" t="n">
        <v>9.6</v>
      </c>
      <c r="H655" t="n">
        <v>0</v>
      </c>
      <c r="I655" t="n">
        <v>0</v>
      </c>
      <c r="J655" t="n">
        <v>0</v>
      </c>
      <c r="K655" t="n">
        <v>0</v>
      </c>
      <c r="L655" t="n">
        <v>0</v>
      </c>
      <c r="M655" t="n">
        <v>0</v>
      </c>
      <c r="N655" t="n">
        <v>0</v>
      </c>
      <c r="O655" t="n">
        <v>0</v>
      </c>
      <c r="P655" t="n">
        <v>0</v>
      </c>
      <c r="Q655" t="n">
        <v>0</v>
      </c>
      <c r="R655" s="2" t="inlineStr"/>
    </row>
    <row r="656" ht="15" customHeight="1">
      <c r="A656" t="inlineStr">
        <is>
          <t>A 18105-2022</t>
        </is>
      </c>
      <c r="B656" s="1" t="n">
        <v>44684</v>
      </c>
      <c r="C656" s="1" t="n">
        <v>46092</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41232-2025</t>
        </is>
      </c>
      <c r="B657" s="1" t="n">
        <v>45898</v>
      </c>
      <c r="C657" s="1" t="n">
        <v>46092</v>
      </c>
      <c r="D657" t="inlineStr">
        <is>
          <t>VÄRMLANDS LÄN</t>
        </is>
      </c>
      <c r="E657" t="inlineStr">
        <is>
          <t>TORSBY</t>
        </is>
      </c>
      <c r="F657" t="inlineStr">
        <is>
          <t>Övriga Aktiebolag</t>
        </is>
      </c>
      <c r="G657" t="n">
        <v>1</v>
      </c>
      <c r="H657" t="n">
        <v>0</v>
      </c>
      <c r="I657" t="n">
        <v>0</v>
      </c>
      <c r="J657" t="n">
        <v>0</v>
      </c>
      <c r="K657" t="n">
        <v>0</v>
      </c>
      <c r="L657" t="n">
        <v>0</v>
      </c>
      <c r="M657" t="n">
        <v>0</v>
      </c>
      <c r="N657" t="n">
        <v>0</v>
      </c>
      <c r="O657" t="n">
        <v>0</v>
      </c>
      <c r="P657" t="n">
        <v>0</v>
      </c>
      <c r="Q657" t="n">
        <v>0</v>
      </c>
      <c r="R657" s="2" t="inlineStr"/>
    </row>
    <row r="658" ht="15" customHeight="1">
      <c r="A658" t="inlineStr">
        <is>
          <t>A 33149-2025</t>
        </is>
      </c>
      <c r="B658" s="1" t="n">
        <v>45840.54246527778</v>
      </c>
      <c r="C658" s="1" t="n">
        <v>46092</v>
      </c>
      <c r="D658" t="inlineStr">
        <is>
          <t>VÄRMLANDS LÄN</t>
        </is>
      </c>
      <c r="E658" t="inlineStr">
        <is>
          <t>TORSBY</t>
        </is>
      </c>
      <c r="G658" t="n">
        <v>2.8</v>
      </c>
      <c r="H658" t="n">
        <v>0</v>
      </c>
      <c r="I658" t="n">
        <v>0</v>
      </c>
      <c r="J658" t="n">
        <v>0</v>
      </c>
      <c r="K658" t="n">
        <v>0</v>
      </c>
      <c r="L658" t="n">
        <v>0</v>
      </c>
      <c r="M658" t="n">
        <v>0</v>
      </c>
      <c r="N658" t="n">
        <v>0</v>
      </c>
      <c r="O658" t="n">
        <v>0</v>
      </c>
      <c r="P658" t="n">
        <v>0</v>
      </c>
      <c r="Q658" t="n">
        <v>0</v>
      </c>
      <c r="R658" s="2" t="inlineStr"/>
    </row>
    <row r="659" ht="15" customHeight="1">
      <c r="A659" t="inlineStr">
        <is>
          <t>A 60461-2025</t>
        </is>
      </c>
      <c r="B659" s="1" t="n">
        <v>45995.54976851852</v>
      </c>
      <c r="C659" s="1" t="n">
        <v>46092</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41137-2025</t>
        </is>
      </c>
      <c r="B660" s="1" t="n">
        <v>45898</v>
      </c>
      <c r="C660" s="1" t="n">
        <v>46092</v>
      </c>
      <c r="D660" t="inlineStr">
        <is>
          <t>VÄRMLANDS LÄN</t>
        </is>
      </c>
      <c r="E660" t="inlineStr">
        <is>
          <t>TORSBY</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50494-2024</t>
        </is>
      </c>
      <c r="B661" s="1" t="n">
        <v>45601.50818287037</v>
      </c>
      <c r="C661" s="1" t="n">
        <v>46092</v>
      </c>
      <c r="D661" t="inlineStr">
        <is>
          <t>VÄRMLANDS LÄN</t>
        </is>
      </c>
      <c r="E661" t="inlineStr">
        <is>
          <t>TORSBY</t>
        </is>
      </c>
      <c r="G661" t="n">
        <v>5.4</v>
      </c>
      <c r="H661" t="n">
        <v>0</v>
      </c>
      <c r="I661" t="n">
        <v>0</v>
      </c>
      <c r="J661" t="n">
        <v>0</v>
      </c>
      <c r="K661" t="n">
        <v>0</v>
      </c>
      <c r="L661" t="n">
        <v>0</v>
      </c>
      <c r="M661" t="n">
        <v>0</v>
      </c>
      <c r="N661" t="n">
        <v>0</v>
      </c>
      <c r="O661" t="n">
        <v>0</v>
      </c>
      <c r="P661" t="n">
        <v>0</v>
      </c>
      <c r="Q661" t="n">
        <v>0</v>
      </c>
      <c r="R661" s="2" t="inlineStr"/>
    </row>
    <row r="662" ht="15" customHeight="1">
      <c r="A662" t="inlineStr">
        <is>
          <t>A 41124-2025</t>
        </is>
      </c>
      <c r="B662" s="1" t="n">
        <v>45898.47166666666</v>
      </c>
      <c r="C662" s="1" t="n">
        <v>46092</v>
      </c>
      <c r="D662" t="inlineStr">
        <is>
          <t>VÄRMLANDS LÄN</t>
        </is>
      </c>
      <c r="E662" t="inlineStr">
        <is>
          <t>TORSBY</t>
        </is>
      </c>
      <c r="F662" t="inlineStr">
        <is>
          <t>Bergvik skog väst AB</t>
        </is>
      </c>
      <c r="G662" t="n">
        <v>8.9</v>
      </c>
      <c r="H662" t="n">
        <v>0</v>
      </c>
      <c r="I662" t="n">
        <v>0</v>
      </c>
      <c r="J662" t="n">
        <v>0</v>
      </c>
      <c r="K662" t="n">
        <v>0</v>
      </c>
      <c r="L662" t="n">
        <v>0</v>
      </c>
      <c r="M662" t="n">
        <v>0</v>
      </c>
      <c r="N662" t="n">
        <v>0</v>
      </c>
      <c r="O662" t="n">
        <v>0</v>
      </c>
      <c r="P662" t="n">
        <v>0</v>
      </c>
      <c r="Q662" t="n">
        <v>0</v>
      </c>
      <c r="R662" s="2" t="inlineStr"/>
    </row>
    <row r="663" ht="15" customHeight="1">
      <c r="A663" t="inlineStr">
        <is>
          <t>A 41209-2025</t>
        </is>
      </c>
      <c r="B663" s="1" t="n">
        <v>45898</v>
      </c>
      <c r="C663" s="1" t="n">
        <v>46092</v>
      </c>
      <c r="D663" t="inlineStr">
        <is>
          <t>VÄRMLANDS LÄN</t>
        </is>
      </c>
      <c r="E663" t="inlineStr">
        <is>
          <t>TORSBY</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31351-2024</t>
        </is>
      </c>
      <c r="B664" s="1" t="n">
        <v>45505</v>
      </c>
      <c r="C664" s="1" t="n">
        <v>46092</v>
      </c>
      <c r="D664" t="inlineStr">
        <is>
          <t>VÄRMLANDS LÄN</t>
        </is>
      </c>
      <c r="E664" t="inlineStr">
        <is>
          <t>TORSBY</t>
        </is>
      </c>
      <c r="F664" t="inlineStr">
        <is>
          <t>Kyrkan</t>
        </is>
      </c>
      <c r="G664" t="n">
        <v>6.5</v>
      </c>
      <c r="H664" t="n">
        <v>0</v>
      </c>
      <c r="I664" t="n">
        <v>0</v>
      </c>
      <c r="J664" t="n">
        <v>0</v>
      </c>
      <c r="K664" t="n">
        <v>0</v>
      </c>
      <c r="L664" t="n">
        <v>0</v>
      </c>
      <c r="M664" t="n">
        <v>0</v>
      </c>
      <c r="N664" t="n">
        <v>0</v>
      </c>
      <c r="O664" t="n">
        <v>0</v>
      </c>
      <c r="P664" t="n">
        <v>0</v>
      </c>
      <c r="Q664" t="n">
        <v>0</v>
      </c>
      <c r="R664" s="2" t="inlineStr"/>
    </row>
    <row r="665" ht="15" customHeight="1">
      <c r="A665" t="inlineStr">
        <is>
          <t>A 32332-2023</t>
        </is>
      </c>
      <c r="B665" s="1" t="n">
        <v>45110</v>
      </c>
      <c r="C665" s="1" t="n">
        <v>46092</v>
      </c>
      <c r="D665" t="inlineStr">
        <is>
          <t>VÄRMLANDS LÄN</t>
        </is>
      </c>
      <c r="E665" t="inlineStr">
        <is>
          <t>TORSBY</t>
        </is>
      </c>
      <c r="G665" t="n">
        <v>2</v>
      </c>
      <c r="H665" t="n">
        <v>0</v>
      </c>
      <c r="I665" t="n">
        <v>0</v>
      </c>
      <c r="J665" t="n">
        <v>0</v>
      </c>
      <c r="K665" t="n">
        <v>0</v>
      </c>
      <c r="L665" t="n">
        <v>0</v>
      </c>
      <c r="M665" t="n">
        <v>0</v>
      </c>
      <c r="N665" t="n">
        <v>0</v>
      </c>
      <c r="O665" t="n">
        <v>0</v>
      </c>
      <c r="P665" t="n">
        <v>0</v>
      </c>
      <c r="Q665" t="n">
        <v>0</v>
      </c>
      <c r="R665" s="2" t="inlineStr"/>
    </row>
    <row r="666" ht="15" customHeight="1">
      <c r="A666" t="inlineStr">
        <is>
          <t>A 61510-2022</t>
        </is>
      </c>
      <c r="B666" s="1" t="n">
        <v>44916.49820601852</v>
      </c>
      <c r="C666" s="1" t="n">
        <v>46092</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1120-2023</t>
        </is>
      </c>
      <c r="B667" s="1" t="n">
        <v>44935</v>
      </c>
      <c r="C667" s="1" t="n">
        <v>46092</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41478-2025</t>
        </is>
      </c>
      <c r="B668" s="1" t="n">
        <v>45901</v>
      </c>
      <c r="C668" s="1" t="n">
        <v>46092</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41293-2025</t>
        </is>
      </c>
      <c r="B669" s="1" t="n">
        <v>45898</v>
      </c>
      <c r="C669" s="1" t="n">
        <v>46092</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29908-2022</t>
        </is>
      </c>
      <c r="B670" s="1" t="n">
        <v>44756</v>
      </c>
      <c r="C670" s="1" t="n">
        <v>46092</v>
      </c>
      <c r="D670" t="inlineStr">
        <is>
          <t>VÄRMLANDS LÄN</t>
        </is>
      </c>
      <c r="E670" t="inlineStr">
        <is>
          <t>TORSBY</t>
        </is>
      </c>
      <c r="F670" t="inlineStr">
        <is>
          <t>Kommuner</t>
        </is>
      </c>
      <c r="G670" t="n">
        <v>1.9</v>
      </c>
      <c r="H670" t="n">
        <v>0</v>
      </c>
      <c r="I670" t="n">
        <v>0</v>
      </c>
      <c r="J670" t="n">
        <v>0</v>
      </c>
      <c r="K670" t="n">
        <v>0</v>
      </c>
      <c r="L670" t="n">
        <v>0</v>
      </c>
      <c r="M670" t="n">
        <v>0</v>
      </c>
      <c r="N670" t="n">
        <v>0</v>
      </c>
      <c r="O670" t="n">
        <v>0</v>
      </c>
      <c r="P670" t="n">
        <v>0</v>
      </c>
      <c r="Q670" t="n">
        <v>0</v>
      </c>
      <c r="R670" s="2" t="inlineStr"/>
    </row>
    <row r="671" ht="15" customHeight="1">
      <c r="A671" t="inlineStr">
        <is>
          <t>A 34105-2023</t>
        </is>
      </c>
      <c r="B671" s="1" t="n">
        <v>45126</v>
      </c>
      <c r="C671" s="1" t="n">
        <v>46092</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28598-2023</t>
        </is>
      </c>
      <c r="B672" s="1" t="n">
        <v>45103.57421296297</v>
      </c>
      <c r="C672" s="1" t="n">
        <v>46092</v>
      </c>
      <c r="D672" t="inlineStr">
        <is>
          <t>VÄRMLANDS LÄN</t>
        </is>
      </c>
      <c r="E672" t="inlineStr">
        <is>
          <t>TORSBY</t>
        </is>
      </c>
      <c r="G672" t="n">
        <v>1.9</v>
      </c>
      <c r="H672" t="n">
        <v>0</v>
      </c>
      <c r="I672" t="n">
        <v>0</v>
      </c>
      <c r="J672" t="n">
        <v>0</v>
      </c>
      <c r="K672" t="n">
        <v>0</v>
      </c>
      <c r="L672" t="n">
        <v>0</v>
      </c>
      <c r="M672" t="n">
        <v>0</v>
      </c>
      <c r="N672" t="n">
        <v>0</v>
      </c>
      <c r="O672" t="n">
        <v>0</v>
      </c>
      <c r="P672" t="n">
        <v>0</v>
      </c>
      <c r="Q672" t="n">
        <v>0</v>
      </c>
      <c r="R672" s="2" t="inlineStr"/>
    </row>
    <row r="673" ht="15" customHeight="1">
      <c r="A673" t="inlineStr">
        <is>
          <t>A 60593-2025</t>
        </is>
      </c>
      <c r="B673" s="1" t="n">
        <v>45996.34353009259</v>
      </c>
      <c r="C673" s="1" t="n">
        <v>46092</v>
      </c>
      <c r="D673" t="inlineStr">
        <is>
          <t>VÄRMLANDS LÄN</t>
        </is>
      </c>
      <c r="E673" t="inlineStr">
        <is>
          <t>TORSBY</t>
        </is>
      </c>
      <c r="G673" t="n">
        <v>6.3</v>
      </c>
      <c r="H673" t="n">
        <v>0</v>
      </c>
      <c r="I673" t="n">
        <v>0</v>
      </c>
      <c r="J673" t="n">
        <v>0</v>
      </c>
      <c r="K673" t="n">
        <v>0</v>
      </c>
      <c r="L673" t="n">
        <v>0</v>
      </c>
      <c r="M673" t="n">
        <v>0</v>
      </c>
      <c r="N673" t="n">
        <v>0</v>
      </c>
      <c r="O673" t="n">
        <v>0</v>
      </c>
      <c r="P673" t="n">
        <v>0</v>
      </c>
      <c r="Q673" t="n">
        <v>0</v>
      </c>
      <c r="R673" s="2" t="inlineStr"/>
    </row>
    <row r="674" ht="15" customHeight="1">
      <c r="A674" t="inlineStr">
        <is>
          <t>A 38184-2024</t>
        </is>
      </c>
      <c r="B674" s="1" t="n">
        <v>45545</v>
      </c>
      <c r="C674" s="1" t="n">
        <v>46092</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18330-2024</t>
        </is>
      </c>
      <c r="B675" s="1" t="n">
        <v>45422</v>
      </c>
      <c r="C675" s="1" t="n">
        <v>46092</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41189-2025</t>
        </is>
      </c>
      <c r="B676" s="1" t="n">
        <v>45898</v>
      </c>
      <c r="C676" s="1" t="n">
        <v>46092</v>
      </c>
      <c r="D676" t="inlineStr">
        <is>
          <t>VÄRMLANDS LÄN</t>
        </is>
      </c>
      <c r="E676" t="inlineStr">
        <is>
          <t>TORSBY</t>
        </is>
      </c>
      <c r="F676" t="inlineStr">
        <is>
          <t>Övriga Aktiebolag</t>
        </is>
      </c>
      <c r="G676" t="n">
        <v>10.3</v>
      </c>
      <c r="H676" t="n">
        <v>0</v>
      </c>
      <c r="I676" t="n">
        <v>0</v>
      </c>
      <c r="J676" t="n">
        <v>0</v>
      </c>
      <c r="K676" t="n">
        <v>0</v>
      </c>
      <c r="L676" t="n">
        <v>0</v>
      </c>
      <c r="M676" t="n">
        <v>0</v>
      </c>
      <c r="N676" t="n">
        <v>0</v>
      </c>
      <c r="O676" t="n">
        <v>0</v>
      </c>
      <c r="P676" t="n">
        <v>0</v>
      </c>
      <c r="Q676" t="n">
        <v>0</v>
      </c>
      <c r="R676" s="2" t="inlineStr"/>
    </row>
    <row r="677" ht="15" customHeight="1">
      <c r="A677" t="inlineStr">
        <is>
          <t>A 41194-2025</t>
        </is>
      </c>
      <c r="B677" s="1" t="n">
        <v>45898.57028935185</v>
      </c>
      <c r="C677" s="1" t="n">
        <v>46092</v>
      </c>
      <c r="D677" t="inlineStr">
        <is>
          <t>VÄRMLANDS LÄN</t>
        </is>
      </c>
      <c r="E677" t="inlineStr">
        <is>
          <t>TORSBY</t>
        </is>
      </c>
      <c r="F677" t="inlineStr">
        <is>
          <t>Bergvik skog väst AB</t>
        </is>
      </c>
      <c r="G677" t="n">
        <v>5.6</v>
      </c>
      <c r="H677" t="n">
        <v>0</v>
      </c>
      <c r="I677" t="n">
        <v>0</v>
      </c>
      <c r="J677" t="n">
        <v>0</v>
      </c>
      <c r="K677" t="n">
        <v>0</v>
      </c>
      <c r="L677" t="n">
        <v>0</v>
      </c>
      <c r="M677" t="n">
        <v>0</v>
      </c>
      <c r="N677" t="n">
        <v>0</v>
      </c>
      <c r="O677" t="n">
        <v>0</v>
      </c>
      <c r="P677" t="n">
        <v>0</v>
      </c>
      <c r="Q677" t="n">
        <v>0</v>
      </c>
      <c r="R677" s="2" t="inlineStr"/>
    </row>
    <row r="678" ht="15" customHeight="1">
      <c r="A678" t="inlineStr">
        <is>
          <t>A 37913-2022</t>
        </is>
      </c>
      <c r="B678" s="1" t="n">
        <v>44811</v>
      </c>
      <c r="C678" s="1" t="n">
        <v>46092</v>
      </c>
      <c r="D678" t="inlineStr">
        <is>
          <t>VÄRMLANDS LÄN</t>
        </is>
      </c>
      <c r="E678" t="inlineStr">
        <is>
          <t>TORSBY</t>
        </is>
      </c>
      <c r="G678" t="n">
        <v>3.7</v>
      </c>
      <c r="H678" t="n">
        <v>0</v>
      </c>
      <c r="I678" t="n">
        <v>0</v>
      </c>
      <c r="J678" t="n">
        <v>0</v>
      </c>
      <c r="K678" t="n">
        <v>0</v>
      </c>
      <c r="L678" t="n">
        <v>0</v>
      </c>
      <c r="M678" t="n">
        <v>0</v>
      </c>
      <c r="N678" t="n">
        <v>0</v>
      </c>
      <c r="O678" t="n">
        <v>0</v>
      </c>
      <c r="P678" t="n">
        <v>0</v>
      </c>
      <c r="Q678" t="n">
        <v>0</v>
      </c>
      <c r="R678" s="2" t="inlineStr"/>
    </row>
    <row r="679" ht="15" customHeight="1">
      <c r="A679" t="inlineStr">
        <is>
          <t>A 46166-2024</t>
        </is>
      </c>
      <c r="B679" s="1" t="n">
        <v>45581</v>
      </c>
      <c r="C679" s="1" t="n">
        <v>46092</v>
      </c>
      <c r="D679" t="inlineStr">
        <is>
          <t>VÄRMLANDS LÄN</t>
        </is>
      </c>
      <c r="E679" t="inlineStr">
        <is>
          <t>TORSBY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24111-2025</t>
        </is>
      </c>
      <c r="B680" s="1" t="n">
        <v>45796.60822916667</v>
      </c>
      <c r="C680" s="1" t="n">
        <v>46092</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23677-2025</t>
        </is>
      </c>
      <c r="B681" s="1" t="n">
        <v>45793.31969907408</v>
      </c>
      <c r="C681" s="1" t="n">
        <v>46092</v>
      </c>
      <c r="D681" t="inlineStr">
        <is>
          <t>VÄRMLANDS LÄN</t>
        </is>
      </c>
      <c r="E681" t="inlineStr">
        <is>
          <t>TORSBY</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60592-2025</t>
        </is>
      </c>
      <c r="B682" s="1" t="n">
        <v>45996</v>
      </c>
      <c r="C682" s="1" t="n">
        <v>46092</v>
      </c>
      <c r="D682" t="inlineStr">
        <is>
          <t>VÄRMLANDS LÄN</t>
        </is>
      </c>
      <c r="E682" t="inlineStr">
        <is>
          <t>TORSBY</t>
        </is>
      </c>
      <c r="G682" t="n">
        <v>4.4</v>
      </c>
      <c r="H682" t="n">
        <v>0</v>
      </c>
      <c r="I682" t="n">
        <v>0</v>
      </c>
      <c r="J682" t="n">
        <v>0</v>
      </c>
      <c r="K682" t="n">
        <v>0</v>
      </c>
      <c r="L682" t="n">
        <v>0</v>
      </c>
      <c r="M682" t="n">
        <v>0</v>
      </c>
      <c r="N682" t="n">
        <v>0</v>
      </c>
      <c r="O682" t="n">
        <v>0</v>
      </c>
      <c r="P682" t="n">
        <v>0</v>
      </c>
      <c r="Q682" t="n">
        <v>0</v>
      </c>
      <c r="R682" s="2" t="inlineStr"/>
    </row>
    <row r="683" ht="15" customHeight="1">
      <c r="A683" t="inlineStr">
        <is>
          <t>A 23741-2025</t>
        </is>
      </c>
      <c r="B683" s="1" t="n">
        <v>45793</v>
      </c>
      <c r="C683" s="1" t="n">
        <v>46092</v>
      </c>
      <c r="D683" t="inlineStr">
        <is>
          <t>VÄRMLANDS LÄN</t>
        </is>
      </c>
      <c r="E683" t="inlineStr">
        <is>
          <t>TORSBY</t>
        </is>
      </c>
      <c r="G683" t="n">
        <v>1.5</v>
      </c>
      <c r="H683" t="n">
        <v>0</v>
      </c>
      <c r="I683" t="n">
        <v>0</v>
      </c>
      <c r="J683" t="n">
        <v>0</v>
      </c>
      <c r="K683" t="n">
        <v>0</v>
      </c>
      <c r="L683" t="n">
        <v>0</v>
      </c>
      <c r="M683" t="n">
        <v>0</v>
      </c>
      <c r="N683" t="n">
        <v>0</v>
      </c>
      <c r="O683" t="n">
        <v>0</v>
      </c>
      <c r="P683" t="n">
        <v>0</v>
      </c>
      <c r="Q683" t="n">
        <v>0</v>
      </c>
      <c r="R683" s="2" t="inlineStr"/>
    </row>
    <row r="684" ht="15" customHeight="1">
      <c r="A684" t="inlineStr">
        <is>
          <t>A 28329-2024</t>
        </is>
      </c>
      <c r="B684" s="1" t="n">
        <v>45477</v>
      </c>
      <c r="C684" s="1" t="n">
        <v>46092</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61497-2025</t>
        </is>
      </c>
      <c r="B685" s="1" t="n">
        <v>46001</v>
      </c>
      <c r="C685" s="1" t="n">
        <v>46092</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15169-2025</t>
        </is>
      </c>
      <c r="B686" s="1" t="n">
        <v>45744</v>
      </c>
      <c r="C686" s="1" t="n">
        <v>46092</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24576-2025</t>
        </is>
      </c>
      <c r="B687" s="1" t="n">
        <v>45798</v>
      </c>
      <c r="C687" s="1" t="n">
        <v>46092</v>
      </c>
      <c r="D687" t="inlineStr">
        <is>
          <t>VÄRMLANDS LÄN</t>
        </is>
      </c>
      <c r="E687" t="inlineStr">
        <is>
          <t>TORSBY</t>
        </is>
      </c>
      <c r="G687" t="n">
        <v>2.4</v>
      </c>
      <c r="H687" t="n">
        <v>0</v>
      </c>
      <c r="I687" t="n">
        <v>0</v>
      </c>
      <c r="J687" t="n">
        <v>0</v>
      </c>
      <c r="K687" t="n">
        <v>0</v>
      </c>
      <c r="L687" t="n">
        <v>0</v>
      </c>
      <c r="M687" t="n">
        <v>0</v>
      </c>
      <c r="N687" t="n">
        <v>0</v>
      </c>
      <c r="O687" t="n">
        <v>0</v>
      </c>
      <c r="P687" t="n">
        <v>0</v>
      </c>
      <c r="Q687" t="n">
        <v>0</v>
      </c>
      <c r="R687" s="2" t="inlineStr"/>
    </row>
    <row r="688" ht="15" customHeight="1">
      <c r="A688" t="inlineStr">
        <is>
          <t>A 4078-2024</t>
        </is>
      </c>
      <c r="B688" s="1" t="n">
        <v>45323</v>
      </c>
      <c r="C688" s="1" t="n">
        <v>46092</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34353-2025</t>
        </is>
      </c>
      <c r="B689" s="1" t="n">
        <v>45846.4775</v>
      </c>
      <c r="C689" s="1" t="n">
        <v>46092</v>
      </c>
      <c r="D689" t="inlineStr">
        <is>
          <t>VÄRMLANDS LÄN</t>
        </is>
      </c>
      <c r="E689" t="inlineStr">
        <is>
          <t>TORSBY</t>
        </is>
      </c>
      <c r="G689" t="n">
        <v>14.5</v>
      </c>
      <c r="H689" t="n">
        <v>0</v>
      </c>
      <c r="I689" t="n">
        <v>0</v>
      </c>
      <c r="J689" t="n">
        <v>0</v>
      </c>
      <c r="K689" t="n">
        <v>0</v>
      </c>
      <c r="L689" t="n">
        <v>0</v>
      </c>
      <c r="M689" t="n">
        <v>0</v>
      </c>
      <c r="N689" t="n">
        <v>0</v>
      </c>
      <c r="O689" t="n">
        <v>0</v>
      </c>
      <c r="P689" t="n">
        <v>0</v>
      </c>
      <c r="Q689" t="n">
        <v>0</v>
      </c>
      <c r="R689" s="2" t="inlineStr"/>
    </row>
    <row r="690" ht="15" customHeight="1">
      <c r="A690" t="inlineStr">
        <is>
          <t>A 41376-2025</t>
        </is>
      </c>
      <c r="B690" s="1" t="n">
        <v>45900.84105324074</v>
      </c>
      <c r="C690" s="1" t="n">
        <v>46092</v>
      </c>
      <c r="D690" t="inlineStr">
        <is>
          <t>VÄRMLANDS LÄN</t>
        </is>
      </c>
      <c r="E690" t="inlineStr">
        <is>
          <t>TORSBY</t>
        </is>
      </c>
      <c r="G690" t="n">
        <v>1</v>
      </c>
      <c r="H690" t="n">
        <v>0</v>
      </c>
      <c r="I690" t="n">
        <v>0</v>
      </c>
      <c r="J690" t="n">
        <v>0</v>
      </c>
      <c r="K690" t="n">
        <v>0</v>
      </c>
      <c r="L690" t="n">
        <v>0</v>
      </c>
      <c r="M690" t="n">
        <v>0</v>
      </c>
      <c r="N690" t="n">
        <v>0</v>
      </c>
      <c r="O690" t="n">
        <v>0</v>
      </c>
      <c r="P690" t="n">
        <v>0</v>
      </c>
      <c r="Q690" t="n">
        <v>0</v>
      </c>
      <c r="R690" s="2" t="inlineStr"/>
    </row>
    <row r="691" ht="15" customHeight="1">
      <c r="A691" t="inlineStr">
        <is>
          <t>A 61531-2025</t>
        </is>
      </c>
      <c r="B691" s="1" t="n">
        <v>46001</v>
      </c>
      <c r="C691" s="1" t="n">
        <v>46092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33069-2022</t>
        </is>
      </c>
      <c r="B692" s="1" t="n">
        <v>44785</v>
      </c>
      <c r="C692" s="1" t="n">
        <v>46092</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23455-2025</t>
        </is>
      </c>
      <c r="B693" s="1" t="n">
        <v>45792.42520833333</v>
      </c>
      <c r="C693" s="1" t="n">
        <v>46092</v>
      </c>
      <c r="D693" t="inlineStr">
        <is>
          <t>VÄRMLANDS LÄN</t>
        </is>
      </c>
      <c r="E693" t="inlineStr">
        <is>
          <t>TORSBY</t>
        </is>
      </c>
      <c r="F693" t="inlineStr">
        <is>
          <t>Kyrkan</t>
        </is>
      </c>
      <c r="G693" t="n">
        <v>10.7</v>
      </c>
      <c r="H693" t="n">
        <v>0</v>
      </c>
      <c r="I693" t="n">
        <v>0</v>
      </c>
      <c r="J693" t="n">
        <v>0</v>
      </c>
      <c r="K693" t="n">
        <v>0</v>
      </c>
      <c r="L693" t="n">
        <v>0</v>
      </c>
      <c r="M693" t="n">
        <v>0</v>
      </c>
      <c r="N693" t="n">
        <v>0</v>
      </c>
      <c r="O693" t="n">
        <v>0</v>
      </c>
      <c r="P693" t="n">
        <v>0</v>
      </c>
      <c r="Q693" t="n">
        <v>0</v>
      </c>
      <c r="R693" s="2" t="inlineStr"/>
    </row>
    <row r="694" ht="15" customHeight="1">
      <c r="A694" t="inlineStr">
        <is>
          <t>A 41471-2025</t>
        </is>
      </c>
      <c r="B694" s="1" t="n">
        <v>45901.46770833333</v>
      </c>
      <c r="C694" s="1" t="n">
        <v>46092</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42473-2023</t>
        </is>
      </c>
      <c r="B695" s="1" t="n">
        <v>45180</v>
      </c>
      <c r="C695" s="1" t="n">
        <v>46092</v>
      </c>
      <c r="D695" t="inlineStr">
        <is>
          <t>VÄRMLANDS LÄN</t>
        </is>
      </c>
      <c r="E695" t="inlineStr">
        <is>
          <t>TORSBY</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60346-2025</t>
        </is>
      </c>
      <c r="B696" s="1" t="n">
        <v>45995</v>
      </c>
      <c r="C696" s="1" t="n">
        <v>46092</v>
      </c>
      <c r="D696" t="inlineStr">
        <is>
          <t>VÄRMLANDS LÄN</t>
        </is>
      </c>
      <c r="E696" t="inlineStr">
        <is>
          <t>TORSBY</t>
        </is>
      </c>
      <c r="G696" t="n">
        <v>4.5</v>
      </c>
      <c r="H696" t="n">
        <v>0</v>
      </c>
      <c r="I696" t="n">
        <v>0</v>
      </c>
      <c r="J696" t="n">
        <v>0</v>
      </c>
      <c r="K696" t="n">
        <v>0</v>
      </c>
      <c r="L696" t="n">
        <v>0</v>
      </c>
      <c r="M696" t="n">
        <v>0</v>
      </c>
      <c r="N696" t="n">
        <v>0</v>
      </c>
      <c r="O696" t="n">
        <v>0</v>
      </c>
      <c r="P696" t="n">
        <v>0</v>
      </c>
      <c r="Q696" t="n">
        <v>0</v>
      </c>
      <c r="R696" s="2" t="inlineStr"/>
    </row>
    <row r="697" ht="15" customHeight="1">
      <c r="A697" t="inlineStr">
        <is>
          <t>A 41711-2025</t>
        </is>
      </c>
      <c r="B697" s="1" t="n">
        <v>45902.43106481482</v>
      </c>
      <c r="C697" s="1" t="n">
        <v>46092</v>
      </c>
      <c r="D697" t="inlineStr">
        <is>
          <t>VÄRMLANDS LÄN</t>
        </is>
      </c>
      <c r="E697" t="inlineStr">
        <is>
          <t>TORSBY</t>
        </is>
      </c>
      <c r="G697" t="n">
        <v>11.1</v>
      </c>
      <c r="H697" t="n">
        <v>0</v>
      </c>
      <c r="I697" t="n">
        <v>0</v>
      </c>
      <c r="J697" t="n">
        <v>0</v>
      </c>
      <c r="K697" t="n">
        <v>0</v>
      </c>
      <c r="L697" t="n">
        <v>0</v>
      </c>
      <c r="M697" t="n">
        <v>0</v>
      </c>
      <c r="N697" t="n">
        <v>0</v>
      </c>
      <c r="O697" t="n">
        <v>0</v>
      </c>
      <c r="P697" t="n">
        <v>0</v>
      </c>
      <c r="Q697" t="n">
        <v>0</v>
      </c>
      <c r="R697" s="2" t="inlineStr"/>
    </row>
    <row r="698" ht="15" customHeight="1">
      <c r="A698" t="inlineStr">
        <is>
          <t>A 11427-2025</t>
        </is>
      </c>
      <c r="B698" s="1" t="n">
        <v>45726</v>
      </c>
      <c r="C698" s="1" t="n">
        <v>46092</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24069-2025</t>
        </is>
      </c>
      <c r="B699" s="1" t="n">
        <v>45796.53997685185</v>
      </c>
      <c r="C699" s="1" t="n">
        <v>46092</v>
      </c>
      <c r="D699" t="inlineStr">
        <is>
          <t>VÄRMLANDS LÄN</t>
        </is>
      </c>
      <c r="E699" t="inlineStr">
        <is>
          <t>TORSBY</t>
        </is>
      </c>
      <c r="G699" t="n">
        <v>2.4</v>
      </c>
      <c r="H699" t="n">
        <v>0</v>
      </c>
      <c r="I699" t="n">
        <v>0</v>
      </c>
      <c r="J699" t="n">
        <v>0</v>
      </c>
      <c r="K699" t="n">
        <v>0</v>
      </c>
      <c r="L699" t="n">
        <v>0</v>
      </c>
      <c r="M699" t="n">
        <v>0</v>
      </c>
      <c r="N699" t="n">
        <v>0</v>
      </c>
      <c r="O699" t="n">
        <v>0</v>
      </c>
      <c r="P699" t="n">
        <v>0</v>
      </c>
      <c r="Q699" t="n">
        <v>0</v>
      </c>
      <c r="R699" s="2" t="inlineStr"/>
    </row>
    <row r="700" ht="15" customHeight="1">
      <c r="A700" t="inlineStr">
        <is>
          <t>A 41895-2025</t>
        </is>
      </c>
      <c r="B700" s="1" t="n">
        <v>45903.38645833333</v>
      </c>
      <c r="C700" s="1" t="n">
        <v>46092</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41958-2025</t>
        </is>
      </c>
      <c r="B701" s="1" t="n">
        <v>45903.46856481482</v>
      </c>
      <c r="C701" s="1" t="n">
        <v>46092</v>
      </c>
      <c r="D701" t="inlineStr">
        <is>
          <t>VÄRMLANDS LÄN</t>
        </is>
      </c>
      <c r="E701" t="inlineStr">
        <is>
          <t>TORSBY</t>
        </is>
      </c>
      <c r="F701" t="inlineStr">
        <is>
          <t>Bergvik skog väst AB</t>
        </is>
      </c>
      <c r="G701" t="n">
        <v>15.8</v>
      </c>
      <c r="H701" t="n">
        <v>0</v>
      </c>
      <c r="I701" t="n">
        <v>0</v>
      </c>
      <c r="J701" t="n">
        <v>0</v>
      </c>
      <c r="K701" t="n">
        <v>0</v>
      </c>
      <c r="L701" t="n">
        <v>0</v>
      </c>
      <c r="M701" t="n">
        <v>0</v>
      </c>
      <c r="N701" t="n">
        <v>0</v>
      </c>
      <c r="O701" t="n">
        <v>0</v>
      </c>
      <c r="P701" t="n">
        <v>0</v>
      </c>
      <c r="Q701" t="n">
        <v>0</v>
      </c>
      <c r="R701" s="2" t="inlineStr"/>
    </row>
    <row r="702" ht="15" customHeight="1">
      <c r="A702" t="inlineStr">
        <is>
          <t>A 42108-2025</t>
        </is>
      </c>
      <c r="B702" s="1" t="n">
        <v>45903</v>
      </c>
      <c r="C702" s="1" t="n">
        <v>46092</v>
      </c>
      <c r="D702" t="inlineStr">
        <is>
          <t>VÄRMLANDS LÄN</t>
        </is>
      </c>
      <c r="E702" t="inlineStr">
        <is>
          <t>TORSBY</t>
        </is>
      </c>
      <c r="F702" t="inlineStr">
        <is>
          <t>Bergvik skog väst AB</t>
        </is>
      </c>
      <c r="G702" t="n">
        <v>13.5</v>
      </c>
      <c r="H702" t="n">
        <v>0</v>
      </c>
      <c r="I702" t="n">
        <v>0</v>
      </c>
      <c r="J702" t="n">
        <v>0</v>
      </c>
      <c r="K702" t="n">
        <v>0</v>
      </c>
      <c r="L702" t="n">
        <v>0</v>
      </c>
      <c r="M702" t="n">
        <v>0</v>
      </c>
      <c r="N702" t="n">
        <v>0</v>
      </c>
      <c r="O702" t="n">
        <v>0</v>
      </c>
      <c r="P702" t="n">
        <v>0</v>
      </c>
      <c r="Q702" t="n">
        <v>0</v>
      </c>
      <c r="R702" s="2" t="inlineStr"/>
    </row>
    <row r="703" ht="15" customHeight="1">
      <c r="A703" t="inlineStr">
        <is>
          <t>A 37985-2022</t>
        </is>
      </c>
      <c r="B703" s="1" t="n">
        <v>44811</v>
      </c>
      <c r="C703" s="1" t="n">
        <v>46092</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14624-2023</t>
        </is>
      </c>
      <c r="B704" s="1" t="n">
        <v>45013</v>
      </c>
      <c r="C704" s="1" t="n">
        <v>46092</v>
      </c>
      <c r="D704" t="inlineStr">
        <is>
          <t>VÄRMLANDS LÄN</t>
        </is>
      </c>
      <c r="E704" t="inlineStr">
        <is>
          <t>TORSBY</t>
        </is>
      </c>
      <c r="G704" t="n">
        <v>2.4</v>
      </c>
      <c r="H704" t="n">
        <v>0</v>
      </c>
      <c r="I704" t="n">
        <v>0</v>
      </c>
      <c r="J704" t="n">
        <v>0</v>
      </c>
      <c r="K704" t="n">
        <v>0</v>
      </c>
      <c r="L704" t="n">
        <v>0</v>
      </c>
      <c r="M704" t="n">
        <v>0</v>
      </c>
      <c r="N704" t="n">
        <v>0</v>
      </c>
      <c r="O704" t="n">
        <v>0</v>
      </c>
      <c r="P704" t="n">
        <v>0</v>
      </c>
      <c r="Q704" t="n">
        <v>0</v>
      </c>
      <c r="R704" s="2" t="inlineStr"/>
    </row>
    <row r="705" ht="15" customHeight="1">
      <c r="A705" t="inlineStr">
        <is>
          <t>A 61361-2025</t>
        </is>
      </c>
      <c r="B705" s="1" t="n">
        <v>46001.42508101852</v>
      </c>
      <c r="C705" s="1" t="n">
        <v>46092</v>
      </c>
      <c r="D705" t="inlineStr">
        <is>
          <t>VÄRMLANDS LÄN</t>
        </is>
      </c>
      <c r="E705" t="inlineStr">
        <is>
          <t>TORSBY</t>
        </is>
      </c>
      <c r="F705" t="inlineStr">
        <is>
          <t>Bergvik skog väst AB</t>
        </is>
      </c>
      <c r="G705" t="n">
        <v>3</v>
      </c>
      <c r="H705" t="n">
        <v>0</v>
      </c>
      <c r="I705" t="n">
        <v>0</v>
      </c>
      <c r="J705" t="n">
        <v>0</v>
      </c>
      <c r="K705" t="n">
        <v>0</v>
      </c>
      <c r="L705" t="n">
        <v>0</v>
      </c>
      <c r="M705" t="n">
        <v>0</v>
      </c>
      <c r="N705" t="n">
        <v>0</v>
      </c>
      <c r="O705" t="n">
        <v>0</v>
      </c>
      <c r="P705" t="n">
        <v>0</v>
      </c>
      <c r="Q705" t="n">
        <v>0</v>
      </c>
      <c r="R705" s="2" t="inlineStr"/>
    </row>
    <row r="706" ht="15" customHeight="1">
      <c r="A706" t="inlineStr">
        <is>
          <t>A 61365-2025</t>
        </is>
      </c>
      <c r="B706" s="1" t="n">
        <v>46001</v>
      </c>
      <c r="C706" s="1" t="n">
        <v>46092</v>
      </c>
      <c r="D706" t="inlineStr">
        <is>
          <t>VÄRMLANDS LÄN</t>
        </is>
      </c>
      <c r="E706" t="inlineStr">
        <is>
          <t>TORSBY</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24204-2025</t>
        </is>
      </c>
      <c r="B707" s="1" t="n">
        <v>45797.31824074074</v>
      </c>
      <c r="C707" s="1" t="n">
        <v>46092</v>
      </c>
      <c r="D707" t="inlineStr">
        <is>
          <t>VÄRMLANDS LÄN</t>
        </is>
      </c>
      <c r="E707" t="inlineStr">
        <is>
          <t>TORSBY</t>
        </is>
      </c>
      <c r="F707" t="inlineStr">
        <is>
          <t>Bergvik skog väst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11776-2024</t>
        </is>
      </c>
      <c r="B708" s="1" t="n">
        <v>45374</v>
      </c>
      <c r="C708" s="1" t="n">
        <v>46092</v>
      </c>
      <c r="D708" t="inlineStr">
        <is>
          <t>VÄRMLANDS LÄN</t>
        </is>
      </c>
      <c r="E708" t="inlineStr">
        <is>
          <t>TORSBY</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40009-2022</t>
        </is>
      </c>
      <c r="B709" s="1" t="n">
        <v>44820</v>
      </c>
      <c r="C709" s="1" t="n">
        <v>46092</v>
      </c>
      <c r="D709" t="inlineStr">
        <is>
          <t>VÄRMLANDS LÄN</t>
        </is>
      </c>
      <c r="E709" t="inlineStr">
        <is>
          <t>TORSBY</t>
        </is>
      </c>
      <c r="G709" t="n">
        <v>4.8</v>
      </c>
      <c r="H709" t="n">
        <v>0</v>
      </c>
      <c r="I709" t="n">
        <v>0</v>
      </c>
      <c r="J709" t="n">
        <v>0</v>
      </c>
      <c r="K709" t="n">
        <v>0</v>
      </c>
      <c r="L709" t="n">
        <v>0</v>
      </c>
      <c r="M709" t="n">
        <v>0</v>
      </c>
      <c r="N709" t="n">
        <v>0</v>
      </c>
      <c r="O709" t="n">
        <v>0</v>
      </c>
      <c r="P709" t="n">
        <v>0</v>
      </c>
      <c r="Q709" t="n">
        <v>0</v>
      </c>
      <c r="R709" s="2" t="inlineStr"/>
    </row>
    <row r="710" ht="15" customHeight="1">
      <c r="A710" t="inlineStr">
        <is>
          <t>A 24112-2025</t>
        </is>
      </c>
      <c r="B710" s="1" t="n">
        <v>45796</v>
      </c>
      <c r="C710" s="1" t="n">
        <v>46092</v>
      </c>
      <c r="D710" t="inlineStr">
        <is>
          <t>VÄRMLANDS LÄN</t>
        </is>
      </c>
      <c r="E710" t="inlineStr">
        <is>
          <t>TORSBY</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61388-2025</t>
        </is>
      </c>
      <c r="B711" s="1" t="n">
        <v>46001</v>
      </c>
      <c r="C711" s="1" t="n">
        <v>46092</v>
      </c>
      <c r="D711" t="inlineStr">
        <is>
          <t>VÄRMLANDS LÄN</t>
        </is>
      </c>
      <c r="E711" t="inlineStr">
        <is>
          <t>TORSBY</t>
        </is>
      </c>
      <c r="G711" t="n">
        <v>0.8</v>
      </c>
      <c r="H711" t="n">
        <v>0</v>
      </c>
      <c r="I711" t="n">
        <v>0</v>
      </c>
      <c r="J711" t="n">
        <v>0</v>
      </c>
      <c r="K711" t="n">
        <v>0</v>
      </c>
      <c r="L711" t="n">
        <v>0</v>
      </c>
      <c r="M711" t="n">
        <v>0</v>
      </c>
      <c r="N711" t="n">
        <v>0</v>
      </c>
      <c r="O711" t="n">
        <v>0</v>
      </c>
      <c r="P711" t="n">
        <v>0</v>
      </c>
      <c r="Q711" t="n">
        <v>0</v>
      </c>
      <c r="R711" s="2" t="inlineStr"/>
    </row>
    <row r="712" ht="15" customHeight="1">
      <c r="A712" t="inlineStr">
        <is>
          <t>A 41744-2025</t>
        </is>
      </c>
      <c r="B712" s="1" t="n">
        <v>45902</v>
      </c>
      <c r="C712" s="1" t="n">
        <v>46092</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41627-2025</t>
        </is>
      </c>
      <c r="B713" s="1" t="n">
        <v>45901.79328703704</v>
      </c>
      <c r="C713" s="1" t="n">
        <v>46092</v>
      </c>
      <c r="D713" t="inlineStr">
        <is>
          <t>VÄRMLANDS LÄN</t>
        </is>
      </c>
      <c r="E713" t="inlineStr">
        <is>
          <t>TORSBY</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24260-2025</t>
        </is>
      </c>
      <c r="B714" s="1" t="n">
        <v>45797</v>
      </c>
      <c r="C714" s="1" t="n">
        <v>46092</v>
      </c>
      <c r="D714" t="inlineStr">
        <is>
          <t>VÄRMLANDS LÄN</t>
        </is>
      </c>
      <c r="E714" t="inlineStr">
        <is>
          <t>TORSBY</t>
        </is>
      </c>
      <c r="G714" t="n">
        <v>2.5</v>
      </c>
      <c r="H714" t="n">
        <v>0</v>
      </c>
      <c r="I714" t="n">
        <v>0</v>
      </c>
      <c r="J714" t="n">
        <v>0</v>
      </c>
      <c r="K714" t="n">
        <v>0</v>
      </c>
      <c r="L714" t="n">
        <v>0</v>
      </c>
      <c r="M714" t="n">
        <v>0</v>
      </c>
      <c r="N714" t="n">
        <v>0</v>
      </c>
      <c r="O714" t="n">
        <v>0</v>
      </c>
      <c r="P714" t="n">
        <v>0</v>
      </c>
      <c r="Q714" t="n">
        <v>0</v>
      </c>
      <c r="R714" s="2" t="inlineStr"/>
    </row>
    <row r="715" ht="15" customHeight="1">
      <c r="A715" t="inlineStr">
        <is>
          <t>A 61367-2025</t>
        </is>
      </c>
      <c r="B715" s="1" t="n">
        <v>46001</v>
      </c>
      <c r="C715" s="1" t="n">
        <v>46092</v>
      </c>
      <c r="D715" t="inlineStr">
        <is>
          <t>VÄRMLANDS LÄN</t>
        </is>
      </c>
      <c r="E715" t="inlineStr">
        <is>
          <t>TORSBY</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61368-2025</t>
        </is>
      </c>
      <c r="B716" s="1" t="n">
        <v>46001</v>
      </c>
      <c r="C716" s="1" t="n">
        <v>46092</v>
      </c>
      <c r="D716" t="inlineStr">
        <is>
          <t>VÄRMLANDS LÄN</t>
        </is>
      </c>
      <c r="E716" t="inlineStr">
        <is>
          <t>TORSBY</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61463-2025</t>
        </is>
      </c>
      <c r="B717" s="1" t="n">
        <v>46001.60186342592</v>
      </c>
      <c r="C717" s="1" t="n">
        <v>46092</v>
      </c>
      <c r="D717" t="inlineStr">
        <is>
          <t>VÄRMLANDS LÄN</t>
        </is>
      </c>
      <c r="E717" t="inlineStr">
        <is>
          <t>TORSBY</t>
        </is>
      </c>
      <c r="F717" t="inlineStr">
        <is>
          <t>Bergvik skog väst AB</t>
        </is>
      </c>
      <c r="G717" t="n">
        <v>33.8</v>
      </c>
      <c r="H717" t="n">
        <v>0</v>
      </c>
      <c r="I717" t="n">
        <v>0</v>
      </c>
      <c r="J717" t="n">
        <v>0</v>
      </c>
      <c r="K717" t="n">
        <v>0</v>
      </c>
      <c r="L717" t="n">
        <v>0</v>
      </c>
      <c r="M717" t="n">
        <v>0</v>
      </c>
      <c r="N717" t="n">
        <v>0</v>
      </c>
      <c r="O717" t="n">
        <v>0</v>
      </c>
      <c r="P717" t="n">
        <v>0</v>
      </c>
      <c r="Q717" t="n">
        <v>0</v>
      </c>
      <c r="R717" s="2" t="inlineStr"/>
    </row>
    <row r="718" ht="15" customHeight="1">
      <c r="A718" t="inlineStr">
        <is>
          <t>A 24425-2025</t>
        </is>
      </c>
      <c r="B718" s="1" t="n">
        <v>45797</v>
      </c>
      <c r="C718" s="1" t="n">
        <v>46092</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24026-2025</t>
        </is>
      </c>
      <c r="B719" s="1" t="n">
        <v>45796.46841435185</v>
      </c>
      <c r="C719" s="1" t="n">
        <v>46092</v>
      </c>
      <c r="D719" t="inlineStr">
        <is>
          <t>VÄRMLANDS LÄN</t>
        </is>
      </c>
      <c r="E719" t="inlineStr">
        <is>
          <t>TORSBY</t>
        </is>
      </c>
      <c r="G719" t="n">
        <v>11.9</v>
      </c>
      <c r="H719" t="n">
        <v>0</v>
      </c>
      <c r="I719" t="n">
        <v>0</v>
      </c>
      <c r="J719" t="n">
        <v>0</v>
      </c>
      <c r="K719" t="n">
        <v>0</v>
      </c>
      <c r="L719" t="n">
        <v>0</v>
      </c>
      <c r="M719" t="n">
        <v>0</v>
      </c>
      <c r="N719" t="n">
        <v>0</v>
      </c>
      <c r="O719" t="n">
        <v>0</v>
      </c>
      <c r="P719" t="n">
        <v>0</v>
      </c>
      <c r="Q719" t="n">
        <v>0</v>
      </c>
      <c r="R719" s="2" t="inlineStr"/>
    </row>
    <row r="720" ht="15" customHeight="1">
      <c r="A720" t="inlineStr">
        <is>
          <t>A 51144-2023</t>
        </is>
      </c>
      <c r="B720" s="1" t="n">
        <v>45212</v>
      </c>
      <c r="C720" s="1" t="n">
        <v>46092</v>
      </c>
      <c r="D720" t="inlineStr">
        <is>
          <t>VÄRMLANDS LÄN</t>
        </is>
      </c>
      <c r="E720" t="inlineStr">
        <is>
          <t>TORSBY</t>
        </is>
      </c>
      <c r="G720" t="n">
        <v>7.3</v>
      </c>
      <c r="H720" t="n">
        <v>0</v>
      </c>
      <c r="I720" t="n">
        <v>0</v>
      </c>
      <c r="J720" t="n">
        <v>0</v>
      </c>
      <c r="K720" t="n">
        <v>0</v>
      </c>
      <c r="L720" t="n">
        <v>0</v>
      </c>
      <c r="M720" t="n">
        <v>0</v>
      </c>
      <c r="N720" t="n">
        <v>0</v>
      </c>
      <c r="O720" t="n">
        <v>0</v>
      </c>
      <c r="P720" t="n">
        <v>0</v>
      </c>
      <c r="Q720" t="n">
        <v>0</v>
      </c>
      <c r="R720" s="2" t="inlineStr"/>
    </row>
    <row r="721" ht="15" customHeight="1">
      <c r="A721" t="inlineStr">
        <is>
          <t>A 39215-2022</t>
        </is>
      </c>
      <c r="B721" s="1" t="n">
        <v>44817</v>
      </c>
      <c r="C721" s="1" t="n">
        <v>46092</v>
      </c>
      <c r="D721" t="inlineStr">
        <is>
          <t>VÄRMLANDS LÄN</t>
        </is>
      </c>
      <c r="E721" t="inlineStr">
        <is>
          <t>TORSBY</t>
        </is>
      </c>
      <c r="G721" t="n">
        <v>3.8</v>
      </c>
      <c r="H721" t="n">
        <v>0</v>
      </c>
      <c r="I721" t="n">
        <v>0</v>
      </c>
      <c r="J721" t="n">
        <v>0</v>
      </c>
      <c r="K721" t="n">
        <v>0</v>
      </c>
      <c r="L721" t="n">
        <v>0</v>
      </c>
      <c r="M721" t="n">
        <v>0</v>
      </c>
      <c r="N721" t="n">
        <v>0</v>
      </c>
      <c r="O721" t="n">
        <v>0</v>
      </c>
      <c r="P721" t="n">
        <v>0</v>
      </c>
      <c r="Q721" t="n">
        <v>0</v>
      </c>
      <c r="R721" s="2" t="inlineStr"/>
    </row>
    <row r="722" ht="15" customHeight="1">
      <c r="A722" t="inlineStr">
        <is>
          <t>A 39216-2022</t>
        </is>
      </c>
      <c r="B722" s="1" t="n">
        <v>44817</v>
      </c>
      <c r="C722" s="1" t="n">
        <v>46092</v>
      </c>
      <c r="D722" t="inlineStr">
        <is>
          <t>VÄRMLANDS LÄN</t>
        </is>
      </c>
      <c r="E722" t="inlineStr">
        <is>
          <t>TORSBY</t>
        </is>
      </c>
      <c r="G722" t="n">
        <v>6.6</v>
      </c>
      <c r="H722" t="n">
        <v>0</v>
      </c>
      <c r="I722" t="n">
        <v>0</v>
      </c>
      <c r="J722" t="n">
        <v>0</v>
      </c>
      <c r="K722" t="n">
        <v>0</v>
      </c>
      <c r="L722" t="n">
        <v>0</v>
      </c>
      <c r="M722" t="n">
        <v>0</v>
      </c>
      <c r="N722" t="n">
        <v>0</v>
      </c>
      <c r="O722" t="n">
        <v>0</v>
      </c>
      <c r="P722" t="n">
        <v>0</v>
      </c>
      <c r="Q722" t="n">
        <v>0</v>
      </c>
      <c r="R722" s="2" t="inlineStr"/>
    </row>
    <row r="723" ht="15" customHeight="1">
      <c r="A723" t="inlineStr">
        <is>
          <t>A 61504-2025</t>
        </is>
      </c>
      <c r="B723" s="1" t="n">
        <v>46001</v>
      </c>
      <c r="C723" s="1" t="n">
        <v>46092</v>
      </c>
      <c r="D723" t="inlineStr">
        <is>
          <t>VÄRMLANDS LÄN</t>
        </is>
      </c>
      <c r="E723" t="inlineStr">
        <is>
          <t>TORSBY</t>
        </is>
      </c>
      <c r="G723" t="n">
        <v>3.4</v>
      </c>
      <c r="H723" t="n">
        <v>0</v>
      </c>
      <c r="I723" t="n">
        <v>0</v>
      </c>
      <c r="J723" t="n">
        <v>0</v>
      </c>
      <c r="K723" t="n">
        <v>0</v>
      </c>
      <c r="L723" t="n">
        <v>0</v>
      </c>
      <c r="M723" t="n">
        <v>0</v>
      </c>
      <c r="N723" t="n">
        <v>0</v>
      </c>
      <c r="O723" t="n">
        <v>0</v>
      </c>
      <c r="P723" t="n">
        <v>0</v>
      </c>
      <c r="Q723" t="n">
        <v>0</v>
      </c>
      <c r="R723" s="2" t="inlineStr"/>
    </row>
    <row r="724" ht="15" customHeight="1">
      <c r="A724" t="inlineStr">
        <is>
          <t>A 35609-2024</t>
        </is>
      </c>
      <c r="B724" s="1" t="n">
        <v>45531.68758101852</v>
      </c>
      <c r="C724" s="1" t="n">
        <v>46092</v>
      </c>
      <c r="D724" t="inlineStr">
        <is>
          <t>VÄRMLANDS LÄN</t>
        </is>
      </c>
      <c r="E724" t="inlineStr">
        <is>
          <t>TORSBY</t>
        </is>
      </c>
      <c r="G724" t="n">
        <v>38.3</v>
      </c>
      <c r="H724" t="n">
        <v>0</v>
      </c>
      <c r="I724" t="n">
        <v>0</v>
      </c>
      <c r="J724" t="n">
        <v>0</v>
      </c>
      <c r="K724" t="n">
        <v>0</v>
      </c>
      <c r="L724" t="n">
        <v>0</v>
      </c>
      <c r="M724" t="n">
        <v>0</v>
      </c>
      <c r="N724" t="n">
        <v>0</v>
      </c>
      <c r="O724" t="n">
        <v>0</v>
      </c>
      <c r="P724" t="n">
        <v>0</v>
      </c>
      <c r="Q724" t="n">
        <v>0</v>
      </c>
      <c r="R724" s="2" t="inlineStr"/>
    </row>
    <row r="725" ht="15" customHeight="1">
      <c r="A725" t="inlineStr">
        <is>
          <t>A 24318-2025</t>
        </is>
      </c>
      <c r="B725" s="1" t="n">
        <v>45797.54879629629</v>
      </c>
      <c r="C725" s="1" t="n">
        <v>46092</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24251-2025</t>
        </is>
      </c>
      <c r="B726" s="1" t="n">
        <v>45797</v>
      </c>
      <c r="C726" s="1" t="n">
        <v>46092</v>
      </c>
      <c r="D726" t="inlineStr">
        <is>
          <t>VÄRMLANDS LÄN</t>
        </is>
      </c>
      <c r="E726" t="inlineStr">
        <is>
          <t>TORSBY</t>
        </is>
      </c>
      <c r="G726" t="n">
        <v>5.1</v>
      </c>
      <c r="H726" t="n">
        <v>0</v>
      </c>
      <c r="I726" t="n">
        <v>0</v>
      </c>
      <c r="J726" t="n">
        <v>0</v>
      </c>
      <c r="K726" t="n">
        <v>0</v>
      </c>
      <c r="L726" t="n">
        <v>0</v>
      </c>
      <c r="M726" t="n">
        <v>0</v>
      </c>
      <c r="N726" t="n">
        <v>0</v>
      </c>
      <c r="O726" t="n">
        <v>0</v>
      </c>
      <c r="P726" t="n">
        <v>0</v>
      </c>
      <c r="Q726" t="n">
        <v>0</v>
      </c>
      <c r="R726" s="2" t="inlineStr"/>
    </row>
    <row r="727" ht="15" customHeight="1">
      <c r="A727" t="inlineStr">
        <is>
          <t>A 11868-2025</t>
        </is>
      </c>
      <c r="B727" s="1" t="n">
        <v>45728.4225</v>
      </c>
      <c r="C727" s="1" t="n">
        <v>46092</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61428-2022</t>
        </is>
      </c>
      <c r="B728" s="1" t="n">
        <v>44910</v>
      </c>
      <c r="C728" s="1" t="n">
        <v>46092</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61432-2022</t>
        </is>
      </c>
      <c r="B729" s="1" t="n">
        <v>44910</v>
      </c>
      <c r="C729" s="1" t="n">
        <v>46092</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61510-2025</t>
        </is>
      </c>
      <c r="B730" s="1" t="n">
        <v>46001</v>
      </c>
      <c r="C730" s="1" t="n">
        <v>46092</v>
      </c>
      <c r="D730" t="inlineStr">
        <is>
          <t>VÄRMLANDS LÄN</t>
        </is>
      </c>
      <c r="E730" t="inlineStr">
        <is>
          <t>TORSBY</t>
        </is>
      </c>
      <c r="G730" t="n">
        <v>5</v>
      </c>
      <c r="H730" t="n">
        <v>0</v>
      </c>
      <c r="I730" t="n">
        <v>0</v>
      </c>
      <c r="J730" t="n">
        <v>0</v>
      </c>
      <c r="K730" t="n">
        <v>0</v>
      </c>
      <c r="L730" t="n">
        <v>0</v>
      </c>
      <c r="M730" t="n">
        <v>0</v>
      </c>
      <c r="N730" t="n">
        <v>0</v>
      </c>
      <c r="O730" t="n">
        <v>0</v>
      </c>
      <c r="P730" t="n">
        <v>0</v>
      </c>
      <c r="Q730" t="n">
        <v>0</v>
      </c>
      <c r="R730" s="2" t="inlineStr"/>
    </row>
    <row r="731" ht="15" customHeight="1">
      <c r="A731" t="inlineStr">
        <is>
          <t>A 24411-2025</t>
        </is>
      </c>
      <c r="B731" s="1" t="n">
        <v>45797</v>
      </c>
      <c r="C731" s="1" t="n">
        <v>46092</v>
      </c>
      <c r="D731" t="inlineStr">
        <is>
          <t>VÄRMLANDS LÄN</t>
        </is>
      </c>
      <c r="E731" t="inlineStr">
        <is>
          <t>TORSBY</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24726-2025</t>
        </is>
      </c>
      <c r="B732" s="1" t="n">
        <v>45799.32805555555</v>
      </c>
      <c r="C732" s="1" t="n">
        <v>46092</v>
      </c>
      <c r="D732" t="inlineStr">
        <is>
          <t>VÄRMLANDS LÄN</t>
        </is>
      </c>
      <c r="E732" t="inlineStr">
        <is>
          <t>TORSBY</t>
        </is>
      </c>
      <c r="G732" t="n">
        <v>4.8</v>
      </c>
      <c r="H732" t="n">
        <v>0</v>
      </c>
      <c r="I732" t="n">
        <v>0</v>
      </c>
      <c r="J732" t="n">
        <v>0</v>
      </c>
      <c r="K732" t="n">
        <v>0</v>
      </c>
      <c r="L732" t="n">
        <v>0</v>
      </c>
      <c r="M732" t="n">
        <v>0</v>
      </c>
      <c r="N732" t="n">
        <v>0</v>
      </c>
      <c r="O732" t="n">
        <v>0</v>
      </c>
      <c r="P732" t="n">
        <v>0</v>
      </c>
      <c r="Q732" t="n">
        <v>0</v>
      </c>
      <c r="R732" s="2" t="inlineStr"/>
    </row>
    <row r="733" ht="15" customHeight="1">
      <c r="A733" t="inlineStr">
        <is>
          <t>A 41740-2025</t>
        </is>
      </c>
      <c r="B733" s="1" t="n">
        <v>45902</v>
      </c>
      <c r="C733" s="1" t="n">
        <v>46092</v>
      </c>
      <c r="D733" t="inlineStr">
        <is>
          <t>VÄRMLANDS LÄN</t>
        </is>
      </c>
      <c r="E733" t="inlineStr">
        <is>
          <t>TORSBY</t>
        </is>
      </c>
      <c r="G733" t="n">
        <v>0.8</v>
      </c>
      <c r="H733" t="n">
        <v>0</v>
      </c>
      <c r="I733" t="n">
        <v>0</v>
      </c>
      <c r="J733" t="n">
        <v>0</v>
      </c>
      <c r="K733" t="n">
        <v>0</v>
      </c>
      <c r="L733" t="n">
        <v>0</v>
      </c>
      <c r="M733" t="n">
        <v>0</v>
      </c>
      <c r="N733" t="n">
        <v>0</v>
      </c>
      <c r="O733" t="n">
        <v>0</v>
      </c>
      <c r="P733" t="n">
        <v>0</v>
      </c>
      <c r="Q733" t="n">
        <v>0</v>
      </c>
      <c r="R733" s="2" t="inlineStr"/>
    </row>
    <row r="734" ht="15" customHeight="1">
      <c r="A734" t="inlineStr">
        <is>
          <t>A 41746-2025</t>
        </is>
      </c>
      <c r="B734" s="1" t="n">
        <v>45902.48660879629</v>
      </c>
      <c r="C734" s="1" t="n">
        <v>46092</v>
      </c>
      <c r="D734" t="inlineStr">
        <is>
          <t>VÄRMLANDS LÄN</t>
        </is>
      </c>
      <c r="E734" t="inlineStr">
        <is>
          <t>TORSBY</t>
        </is>
      </c>
      <c r="G734" t="n">
        <v>3</v>
      </c>
      <c r="H734" t="n">
        <v>0</v>
      </c>
      <c r="I734" t="n">
        <v>0</v>
      </c>
      <c r="J734" t="n">
        <v>0</v>
      </c>
      <c r="K734" t="n">
        <v>0</v>
      </c>
      <c r="L734" t="n">
        <v>0</v>
      </c>
      <c r="M734" t="n">
        <v>0</v>
      </c>
      <c r="N734" t="n">
        <v>0</v>
      </c>
      <c r="O734" t="n">
        <v>0</v>
      </c>
      <c r="P734" t="n">
        <v>0</v>
      </c>
      <c r="Q734" t="n">
        <v>0</v>
      </c>
      <c r="R734" s="2" t="inlineStr"/>
    </row>
    <row r="735" ht="15" customHeight="1">
      <c r="A735" t="inlineStr">
        <is>
          <t>A 62007-2025</t>
        </is>
      </c>
      <c r="B735" s="1" t="n">
        <v>46003</v>
      </c>
      <c r="C735" s="1" t="n">
        <v>46092</v>
      </c>
      <c r="D735" t="inlineStr">
        <is>
          <t>VÄRMLANDS LÄN</t>
        </is>
      </c>
      <c r="E735" t="inlineStr">
        <is>
          <t>TORSBY</t>
        </is>
      </c>
      <c r="F735" t="inlineStr">
        <is>
          <t>Kommuner</t>
        </is>
      </c>
      <c r="G735" t="n">
        <v>0.6</v>
      </c>
      <c r="H735" t="n">
        <v>0</v>
      </c>
      <c r="I735" t="n">
        <v>0</v>
      </c>
      <c r="J735" t="n">
        <v>0</v>
      </c>
      <c r="K735" t="n">
        <v>0</v>
      </c>
      <c r="L735" t="n">
        <v>0</v>
      </c>
      <c r="M735" t="n">
        <v>0</v>
      </c>
      <c r="N735" t="n">
        <v>0</v>
      </c>
      <c r="O735" t="n">
        <v>0</v>
      </c>
      <c r="P735" t="n">
        <v>0</v>
      </c>
      <c r="Q735" t="n">
        <v>0</v>
      </c>
      <c r="R735" s="2" t="inlineStr"/>
    </row>
    <row r="736" ht="15" customHeight="1">
      <c r="A736" t="inlineStr">
        <is>
          <t>A 43248-2022</t>
        </is>
      </c>
      <c r="B736" s="1" t="n">
        <v>44834</v>
      </c>
      <c r="C736" s="1" t="n">
        <v>46092</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56098-2024</t>
        </is>
      </c>
      <c r="B737" s="1" t="n">
        <v>45624.42371527778</v>
      </c>
      <c r="C737" s="1" t="n">
        <v>46092</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24528-2025</t>
        </is>
      </c>
      <c r="B738" s="1" t="n">
        <v>45798.42680555556</v>
      </c>
      <c r="C738" s="1" t="n">
        <v>46092</v>
      </c>
      <c r="D738" t="inlineStr">
        <is>
          <t>VÄRMLANDS LÄN</t>
        </is>
      </c>
      <c r="E738" t="inlineStr">
        <is>
          <t>TORSBY</t>
        </is>
      </c>
      <c r="G738" t="n">
        <v>5.8</v>
      </c>
      <c r="H738" t="n">
        <v>0</v>
      </c>
      <c r="I738" t="n">
        <v>0</v>
      </c>
      <c r="J738" t="n">
        <v>0</v>
      </c>
      <c r="K738" t="n">
        <v>0</v>
      </c>
      <c r="L738" t="n">
        <v>0</v>
      </c>
      <c r="M738" t="n">
        <v>0</v>
      </c>
      <c r="N738" t="n">
        <v>0</v>
      </c>
      <c r="O738" t="n">
        <v>0</v>
      </c>
      <c r="P738" t="n">
        <v>0</v>
      </c>
      <c r="Q738" t="n">
        <v>0</v>
      </c>
      <c r="R738" s="2" t="inlineStr"/>
    </row>
    <row r="739" ht="15" customHeight="1">
      <c r="A739" t="inlineStr">
        <is>
          <t>A 24597-2025</t>
        </is>
      </c>
      <c r="B739" s="1" t="n">
        <v>45798</v>
      </c>
      <c r="C739" s="1" t="n">
        <v>46092</v>
      </c>
      <c r="D739" t="inlineStr">
        <is>
          <t>VÄRMLANDS LÄN</t>
        </is>
      </c>
      <c r="E739" t="inlineStr">
        <is>
          <t>TORSBY</t>
        </is>
      </c>
      <c r="F739" t="inlineStr">
        <is>
          <t>Övriga statliga verk och myndigheter</t>
        </is>
      </c>
      <c r="G739" t="n">
        <v>4</v>
      </c>
      <c r="H739" t="n">
        <v>0</v>
      </c>
      <c r="I739" t="n">
        <v>0</v>
      </c>
      <c r="J739" t="n">
        <v>0</v>
      </c>
      <c r="K739" t="n">
        <v>0</v>
      </c>
      <c r="L739" t="n">
        <v>0</v>
      </c>
      <c r="M739" t="n">
        <v>0</v>
      </c>
      <c r="N739" t="n">
        <v>0</v>
      </c>
      <c r="O739" t="n">
        <v>0</v>
      </c>
      <c r="P739" t="n">
        <v>0</v>
      </c>
      <c r="Q739" t="n">
        <v>0</v>
      </c>
      <c r="R739" s="2" t="inlineStr"/>
    </row>
    <row r="740" ht="15" customHeight="1">
      <c r="A740" t="inlineStr">
        <is>
          <t>A 41634-2025</t>
        </is>
      </c>
      <c r="B740" s="1" t="n">
        <v>45902</v>
      </c>
      <c r="C740" s="1" t="n">
        <v>46092</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41975-2025</t>
        </is>
      </c>
      <c r="B741" s="1" t="n">
        <v>45903.49732638889</v>
      </c>
      <c r="C741" s="1" t="n">
        <v>46092</v>
      </c>
      <c r="D741" t="inlineStr">
        <is>
          <t>VÄRMLANDS LÄN</t>
        </is>
      </c>
      <c r="E741" t="inlineStr">
        <is>
          <t>TORSBY</t>
        </is>
      </c>
      <c r="F741" t="inlineStr">
        <is>
          <t>Bergvik skog väst AB</t>
        </is>
      </c>
      <c r="G741" t="n">
        <v>10.4</v>
      </c>
      <c r="H741" t="n">
        <v>0</v>
      </c>
      <c r="I741" t="n">
        <v>0</v>
      </c>
      <c r="J741" t="n">
        <v>0</v>
      </c>
      <c r="K741" t="n">
        <v>0</v>
      </c>
      <c r="L741" t="n">
        <v>0</v>
      </c>
      <c r="M741" t="n">
        <v>0</v>
      </c>
      <c r="N741" t="n">
        <v>0</v>
      </c>
      <c r="O741" t="n">
        <v>0</v>
      </c>
      <c r="P741" t="n">
        <v>0</v>
      </c>
      <c r="Q741" t="n">
        <v>0</v>
      </c>
      <c r="R741" s="2" t="inlineStr"/>
    </row>
    <row r="742" ht="15" customHeight="1">
      <c r="A742" t="inlineStr">
        <is>
          <t>A 24599-2025</t>
        </is>
      </c>
      <c r="B742" s="1" t="n">
        <v>45798.56230324074</v>
      </c>
      <c r="C742" s="1" t="n">
        <v>46092</v>
      </c>
      <c r="D742" t="inlineStr">
        <is>
          <t>VÄRMLANDS LÄN</t>
        </is>
      </c>
      <c r="E742" t="inlineStr">
        <is>
          <t>TORSBY</t>
        </is>
      </c>
      <c r="G742" t="n">
        <v>2.6</v>
      </c>
      <c r="H742" t="n">
        <v>0</v>
      </c>
      <c r="I742" t="n">
        <v>0</v>
      </c>
      <c r="J742" t="n">
        <v>0</v>
      </c>
      <c r="K742" t="n">
        <v>0</v>
      </c>
      <c r="L742" t="n">
        <v>0</v>
      </c>
      <c r="M742" t="n">
        <v>0</v>
      </c>
      <c r="N742" t="n">
        <v>0</v>
      </c>
      <c r="O742" t="n">
        <v>0</v>
      </c>
      <c r="P742" t="n">
        <v>0</v>
      </c>
      <c r="Q742" t="n">
        <v>0</v>
      </c>
      <c r="R742" s="2" t="inlineStr"/>
    </row>
    <row r="743" ht="15" customHeight="1">
      <c r="A743" t="inlineStr">
        <is>
          <t>A 46471-2024</t>
        </is>
      </c>
      <c r="B743" s="1" t="n">
        <v>45582.5517824074</v>
      </c>
      <c r="C743" s="1" t="n">
        <v>46092</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38286-2023</t>
        </is>
      </c>
      <c r="B744" s="1" t="n">
        <v>45161.63807870371</v>
      </c>
      <c r="C744" s="1" t="n">
        <v>46092</v>
      </c>
      <c r="D744" t="inlineStr">
        <is>
          <t>VÄRMLANDS LÄN</t>
        </is>
      </c>
      <c r="E744" t="inlineStr">
        <is>
          <t>TORSBY</t>
        </is>
      </c>
      <c r="F744" t="inlineStr">
        <is>
          <t>Kyrkan</t>
        </is>
      </c>
      <c r="G744" t="n">
        <v>6.5</v>
      </c>
      <c r="H744" t="n">
        <v>0</v>
      </c>
      <c r="I744" t="n">
        <v>0</v>
      </c>
      <c r="J744" t="n">
        <v>0</v>
      </c>
      <c r="K744" t="n">
        <v>0</v>
      </c>
      <c r="L744" t="n">
        <v>0</v>
      </c>
      <c r="M744" t="n">
        <v>0</v>
      </c>
      <c r="N744" t="n">
        <v>0</v>
      </c>
      <c r="O744" t="n">
        <v>0</v>
      </c>
      <c r="P744" t="n">
        <v>0</v>
      </c>
      <c r="Q744" t="n">
        <v>0</v>
      </c>
      <c r="R744" s="2" t="inlineStr"/>
    </row>
    <row r="745" ht="15" customHeight="1">
      <c r="A745" t="inlineStr">
        <is>
          <t>A 24607-2025</t>
        </is>
      </c>
      <c r="B745" s="1" t="n">
        <v>45798.57608796296</v>
      </c>
      <c r="C745" s="1" t="n">
        <v>46092</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42354-2025</t>
        </is>
      </c>
      <c r="B746" s="1" t="n">
        <v>45904</v>
      </c>
      <c r="C746" s="1" t="n">
        <v>46092</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62010-2025</t>
        </is>
      </c>
      <c r="B747" s="1" t="n">
        <v>46003.67737268518</v>
      </c>
      <c r="C747" s="1" t="n">
        <v>46092</v>
      </c>
      <c r="D747" t="inlineStr">
        <is>
          <t>VÄRMLANDS LÄN</t>
        </is>
      </c>
      <c r="E747" t="inlineStr">
        <is>
          <t>TORSBY</t>
        </is>
      </c>
      <c r="F747" t="inlineStr">
        <is>
          <t>Kommuner</t>
        </is>
      </c>
      <c r="G747" t="n">
        <v>1.8</v>
      </c>
      <c r="H747" t="n">
        <v>0</v>
      </c>
      <c r="I747" t="n">
        <v>0</v>
      </c>
      <c r="J747" t="n">
        <v>0</v>
      </c>
      <c r="K747" t="n">
        <v>0</v>
      </c>
      <c r="L747" t="n">
        <v>0</v>
      </c>
      <c r="M747" t="n">
        <v>0</v>
      </c>
      <c r="N747" t="n">
        <v>0</v>
      </c>
      <c r="O747" t="n">
        <v>0</v>
      </c>
      <c r="P747" t="n">
        <v>0</v>
      </c>
      <c r="Q747" t="n">
        <v>0</v>
      </c>
      <c r="R747" s="2" t="inlineStr"/>
    </row>
    <row r="748" ht="15" customHeight="1">
      <c r="A748" t="inlineStr">
        <is>
          <t>A 42563-2025</t>
        </is>
      </c>
      <c r="B748" s="1" t="n">
        <v>45905.60097222222</v>
      </c>
      <c r="C748" s="1" t="n">
        <v>46092</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62005-2025</t>
        </is>
      </c>
      <c r="B749" s="1" t="n">
        <v>46003</v>
      </c>
      <c r="C749" s="1" t="n">
        <v>46092</v>
      </c>
      <c r="D749" t="inlineStr">
        <is>
          <t>VÄRMLANDS LÄN</t>
        </is>
      </c>
      <c r="E749" t="inlineStr">
        <is>
          <t>TORSBY</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46092</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42149-2025</t>
        </is>
      </c>
      <c r="B751" s="1" t="n">
        <v>45904.38109953704</v>
      </c>
      <c r="C751" s="1" t="n">
        <v>46092</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42296-2025</t>
        </is>
      </c>
      <c r="B752" s="1" t="n">
        <v>45904.63361111111</v>
      </c>
      <c r="C752" s="1" t="n">
        <v>46092</v>
      </c>
      <c r="D752" t="inlineStr">
        <is>
          <t>VÄRMLANDS LÄN</t>
        </is>
      </c>
      <c r="E752" t="inlineStr">
        <is>
          <t>TORSBY</t>
        </is>
      </c>
      <c r="F752" t="inlineStr">
        <is>
          <t>Bergvik skog väst AB</t>
        </is>
      </c>
      <c r="G752" t="n">
        <v>1</v>
      </c>
      <c r="H752" t="n">
        <v>0</v>
      </c>
      <c r="I752" t="n">
        <v>0</v>
      </c>
      <c r="J752" t="n">
        <v>0</v>
      </c>
      <c r="K752" t="n">
        <v>0</v>
      </c>
      <c r="L752" t="n">
        <v>0</v>
      </c>
      <c r="M752" t="n">
        <v>0</v>
      </c>
      <c r="N752" t="n">
        <v>0</v>
      </c>
      <c r="O752" t="n">
        <v>0</v>
      </c>
      <c r="P752" t="n">
        <v>0</v>
      </c>
      <c r="Q752" t="n">
        <v>0</v>
      </c>
      <c r="R752" s="2" t="inlineStr"/>
    </row>
    <row r="753" ht="15" customHeight="1">
      <c r="A753" t="inlineStr">
        <is>
          <t>A 42349-2025</t>
        </is>
      </c>
      <c r="B753" s="1" t="n">
        <v>45904</v>
      </c>
      <c r="C753" s="1" t="n">
        <v>46092</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25050-2025</t>
        </is>
      </c>
      <c r="B754" s="1" t="n">
        <v>45799</v>
      </c>
      <c r="C754" s="1" t="n">
        <v>46092</v>
      </c>
      <c r="D754" t="inlineStr">
        <is>
          <t>VÄRMLANDS LÄN</t>
        </is>
      </c>
      <c r="E754" t="inlineStr">
        <is>
          <t>TORSBY</t>
        </is>
      </c>
      <c r="F754" t="inlineStr">
        <is>
          <t>Bergvik skog väst AB</t>
        </is>
      </c>
      <c r="G754" t="n">
        <v>39.7</v>
      </c>
      <c r="H754" t="n">
        <v>0</v>
      </c>
      <c r="I754" t="n">
        <v>0</v>
      </c>
      <c r="J754" t="n">
        <v>0</v>
      </c>
      <c r="K754" t="n">
        <v>0</v>
      </c>
      <c r="L754" t="n">
        <v>0</v>
      </c>
      <c r="M754" t="n">
        <v>0</v>
      </c>
      <c r="N754" t="n">
        <v>0</v>
      </c>
      <c r="O754" t="n">
        <v>0</v>
      </c>
      <c r="P754" t="n">
        <v>0</v>
      </c>
      <c r="Q754" t="n">
        <v>0</v>
      </c>
      <c r="R754" s="2" t="inlineStr"/>
    </row>
    <row r="755" ht="15" customHeight="1">
      <c r="A755" t="inlineStr">
        <is>
          <t>A 43732-2022</t>
        </is>
      </c>
      <c r="B755" s="1" t="n">
        <v>44837.69357638889</v>
      </c>
      <c r="C755" s="1" t="n">
        <v>46092</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42304-2025</t>
        </is>
      </c>
      <c r="B756" s="1" t="n">
        <v>45904</v>
      </c>
      <c r="C756" s="1" t="n">
        <v>46092</v>
      </c>
      <c r="D756" t="inlineStr">
        <is>
          <t>VÄRMLANDS LÄN</t>
        </is>
      </c>
      <c r="E756" t="inlineStr">
        <is>
          <t>TORSBY</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42305-2025</t>
        </is>
      </c>
      <c r="B757" s="1" t="n">
        <v>45904.64886574074</v>
      </c>
      <c r="C757" s="1" t="n">
        <v>46092</v>
      </c>
      <c r="D757" t="inlineStr">
        <is>
          <t>VÄRMLANDS LÄN</t>
        </is>
      </c>
      <c r="E757" t="inlineStr">
        <is>
          <t>TORSBY</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42352-2025</t>
        </is>
      </c>
      <c r="B758" s="1" t="n">
        <v>45904</v>
      </c>
      <c r="C758" s="1" t="n">
        <v>46092</v>
      </c>
      <c r="D758" t="inlineStr">
        <is>
          <t>VÄRMLANDS LÄN</t>
        </is>
      </c>
      <c r="E758" t="inlineStr">
        <is>
          <t>TORSBY</t>
        </is>
      </c>
      <c r="G758" t="n">
        <v>0.1</v>
      </c>
      <c r="H758" t="n">
        <v>0</v>
      </c>
      <c r="I758" t="n">
        <v>0</v>
      </c>
      <c r="J758" t="n">
        <v>0</v>
      </c>
      <c r="K758" t="n">
        <v>0</v>
      </c>
      <c r="L758" t="n">
        <v>0</v>
      </c>
      <c r="M758" t="n">
        <v>0</v>
      </c>
      <c r="N758" t="n">
        <v>0</v>
      </c>
      <c r="O758" t="n">
        <v>0</v>
      </c>
      <c r="P758" t="n">
        <v>0</v>
      </c>
      <c r="Q758" t="n">
        <v>0</v>
      </c>
      <c r="R758" s="2" t="inlineStr"/>
    </row>
    <row r="759" ht="15" customHeight="1">
      <c r="A759" t="inlineStr">
        <is>
          <t>A 42499-2025</t>
        </is>
      </c>
      <c r="B759" s="1" t="n">
        <v>45905.5194675926</v>
      </c>
      <c r="C759" s="1" t="n">
        <v>46092</v>
      </c>
      <c r="D759" t="inlineStr">
        <is>
          <t>VÄRMLANDS LÄN</t>
        </is>
      </c>
      <c r="E759" t="inlineStr">
        <is>
          <t>TORSBY</t>
        </is>
      </c>
      <c r="F759" t="inlineStr">
        <is>
          <t>Bergvik skog väst AB</t>
        </is>
      </c>
      <c r="G759" t="n">
        <v>3.3</v>
      </c>
      <c r="H759" t="n">
        <v>0</v>
      </c>
      <c r="I759" t="n">
        <v>0</v>
      </c>
      <c r="J759" t="n">
        <v>0</v>
      </c>
      <c r="K759" t="n">
        <v>0</v>
      </c>
      <c r="L759" t="n">
        <v>0</v>
      </c>
      <c r="M759" t="n">
        <v>0</v>
      </c>
      <c r="N759" t="n">
        <v>0</v>
      </c>
      <c r="O759" t="n">
        <v>0</v>
      </c>
      <c r="P759" t="n">
        <v>0</v>
      </c>
      <c r="Q759" t="n">
        <v>0</v>
      </c>
      <c r="R759" s="2" t="inlineStr"/>
    </row>
    <row r="760" ht="15" customHeight="1">
      <c r="A760" t="inlineStr">
        <is>
          <t>A 42350-2025</t>
        </is>
      </c>
      <c r="B760" s="1" t="n">
        <v>45904</v>
      </c>
      <c r="C760" s="1" t="n">
        <v>46092</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5814-2024</t>
        </is>
      </c>
      <c r="B761" s="1" t="n">
        <v>45335</v>
      </c>
      <c r="C761" s="1" t="n">
        <v>46092</v>
      </c>
      <c r="D761" t="inlineStr">
        <is>
          <t>VÄRMLANDS LÄN</t>
        </is>
      </c>
      <c r="E761" t="inlineStr">
        <is>
          <t>TORSBY</t>
        </is>
      </c>
      <c r="G761" t="n">
        <v>3.1</v>
      </c>
      <c r="H761" t="n">
        <v>0</v>
      </c>
      <c r="I761" t="n">
        <v>0</v>
      </c>
      <c r="J761" t="n">
        <v>0</v>
      </c>
      <c r="K761" t="n">
        <v>0</v>
      </c>
      <c r="L761" t="n">
        <v>0</v>
      </c>
      <c r="M761" t="n">
        <v>0</v>
      </c>
      <c r="N761" t="n">
        <v>0</v>
      </c>
      <c r="O761" t="n">
        <v>0</v>
      </c>
      <c r="P761" t="n">
        <v>0</v>
      </c>
      <c r="Q761" t="n">
        <v>0</v>
      </c>
      <c r="R761" s="2" t="inlineStr"/>
    </row>
    <row r="762" ht="15" customHeight="1">
      <c r="A762" t="inlineStr">
        <is>
          <t>A 35132-2022</t>
        </is>
      </c>
      <c r="B762" s="1" t="n">
        <v>44797</v>
      </c>
      <c r="C762" s="1" t="n">
        <v>46092</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62016-2025</t>
        </is>
      </c>
      <c r="B763" s="1" t="n">
        <v>46003.68759259259</v>
      </c>
      <c r="C763" s="1" t="n">
        <v>46092</v>
      </c>
      <c r="D763" t="inlineStr">
        <is>
          <t>VÄRMLANDS LÄN</t>
        </is>
      </c>
      <c r="E763" t="inlineStr">
        <is>
          <t>TORSBY</t>
        </is>
      </c>
      <c r="F763" t="inlineStr">
        <is>
          <t>Kommuner</t>
        </is>
      </c>
      <c r="G763" t="n">
        <v>0.9</v>
      </c>
      <c r="H763" t="n">
        <v>0</v>
      </c>
      <c r="I763" t="n">
        <v>0</v>
      </c>
      <c r="J763" t="n">
        <v>0</v>
      </c>
      <c r="K763" t="n">
        <v>0</v>
      </c>
      <c r="L763" t="n">
        <v>0</v>
      </c>
      <c r="M763" t="n">
        <v>0</v>
      </c>
      <c r="N763" t="n">
        <v>0</v>
      </c>
      <c r="O763" t="n">
        <v>0</v>
      </c>
      <c r="P763" t="n">
        <v>0</v>
      </c>
      <c r="Q763" t="n">
        <v>0</v>
      </c>
      <c r="R763" s="2" t="inlineStr"/>
    </row>
    <row r="764" ht="15" customHeight="1">
      <c r="A764" t="inlineStr">
        <is>
          <t>A 68153-2021</t>
        </is>
      </c>
      <c r="B764" s="1" t="n">
        <v>44526.43881944445</v>
      </c>
      <c r="C764" s="1" t="n">
        <v>46092</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62015-2025</t>
        </is>
      </c>
      <c r="B765" s="1" t="n">
        <v>46003</v>
      </c>
      <c r="C765" s="1" t="n">
        <v>46092</v>
      </c>
      <c r="D765" t="inlineStr">
        <is>
          <t>VÄRMLANDS LÄN</t>
        </is>
      </c>
      <c r="E765" t="inlineStr">
        <is>
          <t>TORSBY</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42496-2025</t>
        </is>
      </c>
      <c r="B766" s="1" t="n">
        <v>45905.50864583333</v>
      </c>
      <c r="C766" s="1" t="n">
        <v>46092</v>
      </c>
      <c r="D766" t="inlineStr">
        <is>
          <t>VÄRMLANDS LÄN</t>
        </is>
      </c>
      <c r="E766" t="inlineStr">
        <is>
          <t>TORSBY</t>
        </is>
      </c>
      <c r="G766" t="n">
        <v>3.9</v>
      </c>
      <c r="H766" t="n">
        <v>0</v>
      </c>
      <c r="I766" t="n">
        <v>0</v>
      </c>
      <c r="J766" t="n">
        <v>0</v>
      </c>
      <c r="K766" t="n">
        <v>0</v>
      </c>
      <c r="L766" t="n">
        <v>0</v>
      </c>
      <c r="M766" t="n">
        <v>0</v>
      </c>
      <c r="N766" t="n">
        <v>0</v>
      </c>
      <c r="O766" t="n">
        <v>0</v>
      </c>
      <c r="P766" t="n">
        <v>0</v>
      </c>
      <c r="Q766" t="n">
        <v>0</v>
      </c>
      <c r="R766" s="2" t="inlineStr"/>
    </row>
    <row r="767" ht="15" customHeight="1">
      <c r="A767" t="inlineStr">
        <is>
          <t>A 24757-2025</t>
        </is>
      </c>
      <c r="B767" s="1" t="n">
        <v>45799</v>
      </c>
      <c r="C767" s="1" t="n">
        <v>46092</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3409-2025</t>
        </is>
      </c>
      <c r="B768" s="1" t="n">
        <v>45680.39391203703</v>
      </c>
      <c r="C768" s="1" t="n">
        <v>46092</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62401-2025</t>
        </is>
      </c>
      <c r="B769" s="1" t="n">
        <v>46007</v>
      </c>
      <c r="C769" s="1" t="n">
        <v>46092</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62186-2025</t>
        </is>
      </c>
      <c r="B770" s="1" t="n">
        <v>46006</v>
      </c>
      <c r="C770" s="1" t="n">
        <v>46092</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62120-2025</t>
        </is>
      </c>
      <c r="B771" s="1" t="n">
        <v>46006.44184027778</v>
      </c>
      <c r="C771" s="1" t="n">
        <v>46092</v>
      </c>
      <c r="D771" t="inlineStr">
        <is>
          <t>VÄRMLANDS LÄN</t>
        </is>
      </c>
      <c r="E771" t="inlineStr">
        <is>
          <t>TORSBY</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62363-2025</t>
        </is>
      </c>
      <c r="B772" s="1" t="n">
        <v>46006</v>
      </c>
      <c r="C772" s="1" t="n">
        <v>46092</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40858-2023</t>
        </is>
      </c>
      <c r="B773" s="1" t="n">
        <v>45173.34709490741</v>
      </c>
      <c r="C773" s="1" t="n">
        <v>46092</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42152-2025</t>
        </is>
      </c>
      <c r="B774" s="1" t="n">
        <v>45904.3884375</v>
      </c>
      <c r="C774" s="1" t="n">
        <v>46092</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24967-2025</t>
        </is>
      </c>
      <c r="B775" s="1" t="n">
        <v>45799.58332175926</v>
      </c>
      <c r="C775" s="1" t="n">
        <v>46092</v>
      </c>
      <c r="D775" t="inlineStr">
        <is>
          <t>VÄRMLANDS LÄN</t>
        </is>
      </c>
      <c r="E775" t="inlineStr">
        <is>
          <t>TORSBY</t>
        </is>
      </c>
      <c r="F775" t="inlineStr">
        <is>
          <t>Bergvik skog väst AB</t>
        </is>
      </c>
      <c r="G775" t="n">
        <v>17.6</v>
      </c>
      <c r="H775" t="n">
        <v>0</v>
      </c>
      <c r="I775" t="n">
        <v>0</v>
      </c>
      <c r="J775" t="n">
        <v>0</v>
      </c>
      <c r="K775" t="n">
        <v>0</v>
      </c>
      <c r="L775" t="n">
        <v>0</v>
      </c>
      <c r="M775" t="n">
        <v>0</v>
      </c>
      <c r="N775" t="n">
        <v>0</v>
      </c>
      <c r="O775" t="n">
        <v>0</v>
      </c>
      <c r="P775" t="n">
        <v>0</v>
      </c>
      <c r="Q775" t="n">
        <v>0</v>
      </c>
      <c r="R775" s="2" t="inlineStr"/>
    </row>
    <row r="776" ht="15" customHeight="1">
      <c r="A776" t="inlineStr">
        <is>
          <t>A 42273-2025</t>
        </is>
      </c>
      <c r="B776" s="1" t="n">
        <v>45904.60708333334</v>
      </c>
      <c r="C776" s="1" t="n">
        <v>46092</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42529-2025</t>
        </is>
      </c>
      <c r="B777" s="1" t="n">
        <v>45905.55716435185</v>
      </c>
      <c r="C777" s="1" t="n">
        <v>46092</v>
      </c>
      <c r="D777" t="inlineStr">
        <is>
          <t>VÄRMLANDS LÄN</t>
        </is>
      </c>
      <c r="E777" t="inlineStr">
        <is>
          <t>TORSBY</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42742-2025</t>
        </is>
      </c>
      <c r="B778" s="1" t="n">
        <v>45908</v>
      </c>
      <c r="C778" s="1" t="n">
        <v>46092</v>
      </c>
      <c r="D778" t="inlineStr">
        <is>
          <t>VÄRMLANDS LÄN</t>
        </is>
      </c>
      <c r="E778" t="inlineStr">
        <is>
          <t>TORSBY</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47452-2024</t>
        </is>
      </c>
      <c r="B779" s="1" t="n">
        <v>45587</v>
      </c>
      <c r="C779" s="1" t="n">
        <v>46092</v>
      </c>
      <c r="D779" t="inlineStr">
        <is>
          <t>VÄRMLANDS LÄN</t>
        </is>
      </c>
      <c r="E779" t="inlineStr">
        <is>
          <t>TORSBY</t>
        </is>
      </c>
      <c r="F779" t="inlineStr">
        <is>
          <t>Övriga Aktiebolag</t>
        </is>
      </c>
      <c r="G779" t="n">
        <v>1.4</v>
      </c>
      <c r="H779" t="n">
        <v>0</v>
      </c>
      <c r="I779" t="n">
        <v>0</v>
      </c>
      <c r="J779" t="n">
        <v>0</v>
      </c>
      <c r="K779" t="n">
        <v>0</v>
      </c>
      <c r="L779" t="n">
        <v>0</v>
      </c>
      <c r="M779" t="n">
        <v>0</v>
      </c>
      <c r="N779" t="n">
        <v>0</v>
      </c>
      <c r="O779" t="n">
        <v>0</v>
      </c>
      <c r="P779" t="n">
        <v>0</v>
      </c>
      <c r="Q779" t="n">
        <v>0</v>
      </c>
      <c r="R779" s="2" t="inlineStr"/>
    </row>
    <row r="780" ht="15" customHeight="1">
      <c r="A780" t="inlineStr">
        <is>
          <t>A 34534-2024</t>
        </is>
      </c>
      <c r="B780" s="1" t="n">
        <v>45525</v>
      </c>
      <c r="C780" s="1" t="n">
        <v>46092</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29042-2023</t>
        </is>
      </c>
      <c r="B781" s="1" t="n">
        <v>45104</v>
      </c>
      <c r="C781" s="1" t="n">
        <v>46092</v>
      </c>
      <c r="D781" t="inlineStr">
        <is>
          <t>VÄRMLANDS LÄN</t>
        </is>
      </c>
      <c r="E781" t="inlineStr">
        <is>
          <t>TORSBY</t>
        </is>
      </c>
      <c r="G781" t="n">
        <v>2.8</v>
      </c>
      <c r="H781" t="n">
        <v>0</v>
      </c>
      <c r="I781" t="n">
        <v>0</v>
      </c>
      <c r="J781" t="n">
        <v>0</v>
      </c>
      <c r="K781" t="n">
        <v>0</v>
      </c>
      <c r="L781" t="n">
        <v>0</v>
      </c>
      <c r="M781" t="n">
        <v>0</v>
      </c>
      <c r="N781" t="n">
        <v>0</v>
      </c>
      <c r="O781" t="n">
        <v>0</v>
      </c>
      <c r="P781" t="n">
        <v>0</v>
      </c>
      <c r="Q781" t="n">
        <v>0</v>
      </c>
      <c r="R781" s="2" t="inlineStr"/>
    </row>
    <row r="782" ht="15" customHeight="1">
      <c r="A782" t="inlineStr">
        <is>
          <t>A 42886-2025</t>
        </is>
      </c>
      <c r="B782" s="1" t="n">
        <v>45908.65288194444</v>
      </c>
      <c r="C782" s="1" t="n">
        <v>46092</v>
      </c>
      <c r="D782" t="inlineStr">
        <is>
          <t>VÄRMLANDS LÄN</t>
        </is>
      </c>
      <c r="E782" t="inlineStr">
        <is>
          <t>TORSBY</t>
        </is>
      </c>
      <c r="G782" t="n">
        <v>5.8</v>
      </c>
      <c r="H782" t="n">
        <v>0</v>
      </c>
      <c r="I782" t="n">
        <v>0</v>
      </c>
      <c r="J782" t="n">
        <v>0</v>
      </c>
      <c r="K782" t="n">
        <v>0</v>
      </c>
      <c r="L782" t="n">
        <v>0</v>
      </c>
      <c r="M782" t="n">
        <v>0</v>
      </c>
      <c r="N782" t="n">
        <v>0</v>
      </c>
      <c r="O782" t="n">
        <v>0</v>
      </c>
      <c r="P782" t="n">
        <v>0</v>
      </c>
      <c r="Q782" t="n">
        <v>0</v>
      </c>
      <c r="R782" s="2" t="inlineStr"/>
    </row>
    <row r="783" ht="15" customHeight="1">
      <c r="A783" t="inlineStr">
        <is>
          <t>A 42966-2025</t>
        </is>
      </c>
      <c r="B783" s="1" t="n">
        <v>45909.38825231481</v>
      </c>
      <c r="C783" s="1" t="n">
        <v>46092</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62518-2025</t>
        </is>
      </c>
      <c r="B784" s="1" t="n">
        <v>46007</v>
      </c>
      <c r="C784" s="1" t="n">
        <v>46092</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62538-2025</t>
        </is>
      </c>
      <c r="B785" s="1" t="n">
        <v>46007</v>
      </c>
      <c r="C785" s="1" t="n">
        <v>46092</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42965-2025</t>
        </is>
      </c>
      <c r="B786" s="1" t="n">
        <v>45909.37575231482</v>
      </c>
      <c r="C786" s="1" t="n">
        <v>46092</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44431.65930555556</v>
      </c>
      <c r="C787" s="1" t="n">
        <v>46092</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235-2024</t>
        </is>
      </c>
      <c r="B788" s="1" t="n">
        <v>45294.85100694445</v>
      </c>
      <c r="C788" s="1" t="n">
        <v>46092</v>
      </c>
      <c r="D788" t="inlineStr">
        <is>
          <t>VÄRMLANDS LÄN</t>
        </is>
      </c>
      <c r="E788" t="inlineStr">
        <is>
          <t>TORSBY</t>
        </is>
      </c>
      <c r="G788" t="n">
        <v>0.8</v>
      </c>
      <c r="H788" t="n">
        <v>0</v>
      </c>
      <c r="I788" t="n">
        <v>0</v>
      </c>
      <c r="J788" t="n">
        <v>0</v>
      </c>
      <c r="K788" t="n">
        <v>0</v>
      </c>
      <c r="L788" t="n">
        <v>0</v>
      </c>
      <c r="M788" t="n">
        <v>0</v>
      </c>
      <c r="N788" t="n">
        <v>0</v>
      </c>
      <c r="O788" t="n">
        <v>0</v>
      </c>
      <c r="P788" t="n">
        <v>0</v>
      </c>
      <c r="Q788" t="n">
        <v>0</v>
      </c>
      <c r="R788" s="2" t="inlineStr"/>
    </row>
    <row r="789" ht="15" customHeight="1">
      <c r="A789" t="inlineStr">
        <is>
          <t>A 62559-2025</t>
        </is>
      </c>
      <c r="B789" s="1" t="n">
        <v>46007</v>
      </c>
      <c r="C789" s="1" t="n">
        <v>46092</v>
      </c>
      <c r="D789" t="inlineStr">
        <is>
          <t>VÄRMLANDS LÄN</t>
        </is>
      </c>
      <c r="E789" t="inlineStr">
        <is>
          <t>TORSBY</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62366-2025</t>
        </is>
      </c>
      <c r="B790" s="1" t="n">
        <v>46006</v>
      </c>
      <c r="C790" s="1" t="n">
        <v>46092</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62568-2025</t>
        </is>
      </c>
      <c r="B791" s="1" t="n">
        <v>46007</v>
      </c>
      <c r="C791" s="1" t="n">
        <v>46092</v>
      </c>
      <c r="D791" t="inlineStr">
        <is>
          <t>VÄRMLANDS LÄN</t>
        </is>
      </c>
      <c r="E791" t="inlineStr">
        <is>
          <t>TORSBY</t>
        </is>
      </c>
      <c r="G791" t="n">
        <v>7</v>
      </c>
      <c r="H791" t="n">
        <v>0</v>
      </c>
      <c r="I791" t="n">
        <v>0</v>
      </c>
      <c r="J791" t="n">
        <v>0</v>
      </c>
      <c r="K791" t="n">
        <v>0</v>
      </c>
      <c r="L791" t="n">
        <v>0</v>
      </c>
      <c r="M791" t="n">
        <v>0</v>
      </c>
      <c r="N791" t="n">
        <v>0</v>
      </c>
      <c r="O791" t="n">
        <v>0</v>
      </c>
      <c r="P791" t="n">
        <v>0</v>
      </c>
      <c r="Q791" t="n">
        <v>0</v>
      </c>
      <c r="R791" s="2" t="inlineStr"/>
    </row>
    <row r="792" ht="15" customHeight="1">
      <c r="A792" t="inlineStr">
        <is>
          <t>A 4537-2025</t>
        </is>
      </c>
      <c r="B792" s="1" t="n">
        <v>45687.38836805556</v>
      </c>
      <c r="C792" s="1" t="n">
        <v>46092</v>
      </c>
      <c r="D792" t="inlineStr">
        <is>
          <t>VÄRMLANDS LÄN</t>
        </is>
      </c>
      <c r="E792" t="inlineStr">
        <is>
          <t>TORSBY</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25653-2025</t>
        </is>
      </c>
      <c r="B793" s="1" t="n">
        <v>45803.61072916666</v>
      </c>
      <c r="C793" s="1" t="n">
        <v>46092</v>
      </c>
      <c r="D793" t="inlineStr">
        <is>
          <t>VÄRMLANDS LÄN</t>
        </is>
      </c>
      <c r="E793" t="inlineStr">
        <is>
          <t>TORSBY</t>
        </is>
      </c>
      <c r="F793" t="inlineStr">
        <is>
          <t>Bergvik skog väst AB</t>
        </is>
      </c>
      <c r="G793" t="n">
        <v>6.1</v>
      </c>
      <c r="H793" t="n">
        <v>0</v>
      </c>
      <c r="I793" t="n">
        <v>0</v>
      </c>
      <c r="J793" t="n">
        <v>0</v>
      </c>
      <c r="K793" t="n">
        <v>0</v>
      </c>
      <c r="L793" t="n">
        <v>0</v>
      </c>
      <c r="M793" t="n">
        <v>0</v>
      </c>
      <c r="N793" t="n">
        <v>0</v>
      </c>
      <c r="O793" t="n">
        <v>0</v>
      </c>
      <c r="P793" t="n">
        <v>0</v>
      </c>
      <c r="Q793" t="n">
        <v>0</v>
      </c>
      <c r="R793" s="2" t="inlineStr"/>
    </row>
    <row r="794" ht="15" customHeight="1">
      <c r="A794" t="inlineStr">
        <is>
          <t>A 42931-2025</t>
        </is>
      </c>
      <c r="B794" s="1" t="n">
        <v>45909</v>
      </c>
      <c r="C794" s="1" t="n">
        <v>46092</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38979-2023</t>
        </is>
      </c>
      <c r="B795" s="1" t="n">
        <v>45163.64584490741</v>
      </c>
      <c r="C795" s="1" t="n">
        <v>46092</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4640-2022</t>
        </is>
      </c>
      <c r="B796" s="1" t="n">
        <v>44592</v>
      </c>
      <c r="C796" s="1" t="n">
        <v>46092</v>
      </c>
      <c r="D796" t="inlineStr">
        <is>
          <t>VÄRMLANDS LÄN</t>
        </is>
      </c>
      <c r="E796" t="inlineStr">
        <is>
          <t>TORSBY</t>
        </is>
      </c>
      <c r="G796" t="n">
        <v>9</v>
      </c>
      <c r="H796" t="n">
        <v>0</v>
      </c>
      <c r="I796" t="n">
        <v>0</v>
      </c>
      <c r="J796" t="n">
        <v>0</v>
      </c>
      <c r="K796" t="n">
        <v>0</v>
      </c>
      <c r="L796" t="n">
        <v>0</v>
      </c>
      <c r="M796" t="n">
        <v>0</v>
      </c>
      <c r="N796" t="n">
        <v>0</v>
      </c>
      <c r="O796" t="n">
        <v>0</v>
      </c>
      <c r="P796" t="n">
        <v>0</v>
      </c>
      <c r="Q796" t="n">
        <v>0</v>
      </c>
      <c r="R796" s="2" t="inlineStr"/>
    </row>
    <row r="797" ht="15" customHeight="1">
      <c r="A797" t="inlineStr">
        <is>
          <t>A 33146-2025</t>
        </is>
      </c>
      <c r="B797" s="1" t="n">
        <v>45840.53549768519</v>
      </c>
      <c r="C797" s="1" t="n">
        <v>46092</v>
      </c>
      <c r="D797" t="inlineStr">
        <is>
          <t>VÄRMLANDS LÄN</t>
        </is>
      </c>
      <c r="E797" t="inlineStr">
        <is>
          <t>TORSBY</t>
        </is>
      </c>
      <c r="G797" t="n">
        <v>4.8</v>
      </c>
      <c r="H797" t="n">
        <v>0</v>
      </c>
      <c r="I797" t="n">
        <v>0</v>
      </c>
      <c r="J797" t="n">
        <v>0</v>
      </c>
      <c r="K797" t="n">
        <v>0</v>
      </c>
      <c r="L797" t="n">
        <v>0</v>
      </c>
      <c r="M797" t="n">
        <v>0</v>
      </c>
      <c r="N797" t="n">
        <v>0</v>
      </c>
      <c r="O797" t="n">
        <v>0</v>
      </c>
      <c r="P797" t="n">
        <v>0</v>
      </c>
      <c r="Q797" t="n">
        <v>0</v>
      </c>
      <c r="R797" s="2" t="inlineStr"/>
    </row>
    <row r="798" ht="15" customHeight="1">
      <c r="A798" t="inlineStr">
        <is>
          <t>A 54796-2024</t>
        </is>
      </c>
      <c r="B798" s="1" t="n">
        <v>45618</v>
      </c>
      <c r="C798" s="1" t="n">
        <v>46092</v>
      </c>
      <c r="D798" t="inlineStr">
        <is>
          <t>VÄRMLANDS LÄN</t>
        </is>
      </c>
      <c r="E798" t="inlineStr">
        <is>
          <t>TORSBY</t>
        </is>
      </c>
      <c r="G798" t="n">
        <v>0.8</v>
      </c>
      <c r="H798" t="n">
        <v>0</v>
      </c>
      <c r="I798" t="n">
        <v>0</v>
      </c>
      <c r="J798" t="n">
        <v>0</v>
      </c>
      <c r="K798" t="n">
        <v>0</v>
      </c>
      <c r="L798" t="n">
        <v>0</v>
      </c>
      <c r="M798" t="n">
        <v>0</v>
      </c>
      <c r="N798" t="n">
        <v>0</v>
      </c>
      <c r="O798" t="n">
        <v>0</v>
      </c>
      <c r="P798" t="n">
        <v>0</v>
      </c>
      <c r="Q798" t="n">
        <v>0</v>
      </c>
      <c r="R798" s="2" t="inlineStr"/>
    </row>
    <row r="799" ht="15" customHeight="1">
      <c r="A799" t="inlineStr">
        <is>
          <t>A 43055-2025</t>
        </is>
      </c>
      <c r="B799" s="1" t="n">
        <v>45909</v>
      </c>
      <c r="C799" s="1" t="n">
        <v>46092</v>
      </c>
      <c r="D799" t="inlineStr">
        <is>
          <t>VÄRMLANDS LÄN</t>
        </is>
      </c>
      <c r="E799" t="inlineStr">
        <is>
          <t>TORSBY</t>
        </is>
      </c>
      <c r="F799" t="inlineStr">
        <is>
          <t>Bergvik skog väst AB</t>
        </is>
      </c>
      <c r="G799" t="n">
        <v>20.1</v>
      </c>
      <c r="H799" t="n">
        <v>0</v>
      </c>
      <c r="I799" t="n">
        <v>0</v>
      </c>
      <c r="J799" t="n">
        <v>0</v>
      </c>
      <c r="K799" t="n">
        <v>0</v>
      </c>
      <c r="L799" t="n">
        <v>0</v>
      </c>
      <c r="M799" t="n">
        <v>0</v>
      </c>
      <c r="N799" t="n">
        <v>0</v>
      </c>
      <c r="O799" t="n">
        <v>0</v>
      </c>
      <c r="P799" t="n">
        <v>0</v>
      </c>
      <c r="Q799" t="n">
        <v>0</v>
      </c>
      <c r="R799" s="2" t="inlineStr"/>
    </row>
    <row r="800" ht="15" customHeight="1">
      <c r="A800" t="inlineStr">
        <is>
          <t>A 35107-2024</t>
        </is>
      </c>
      <c r="B800" s="1" t="n">
        <v>45529.5588425926</v>
      </c>
      <c r="C800" s="1" t="n">
        <v>46092</v>
      </c>
      <c r="D800" t="inlineStr">
        <is>
          <t>VÄRMLANDS LÄN</t>
        </is>
      </c>
      <c r="E800" t="inlineStr">
        <is>
          <t>TORSBY</t>
        </is>
      </c>
      <c r="G800" t="n">
        <v>5.1</v>
      </c>
      <c r="H800" t="n">
        <v>0</v>
      </c>
      <c r="I800" t="n">
        <v>0</v>
      </c>
      <c r="J800" t="n">
        <v>0</v>
      </c>
      <c r="K800" t="n">
        <v>0</v>
      </c>
      <c r="L800" t="n">
        <v>0</v>
      </c>
      <c r="M800" t="n">
        <v>0</v>
      </c>
      <c r="N800" t="n">
        <v>0</v>
      </c>
      <c r="O800" t="n">
        <v>0</v>
      </c>
      <c r="P800" t="n">
        <v>0</v>
      </c>
      <c r="Q800" t="n">
        <v>0</v>
      </c>
      <c r="R800" s="2" t="inlineStr"/>
    </row>
    <row r="801" ht="15" customHeight="1">
      <c r="A801" t="inlineStr">
        <is>
          <t>A 42932-2025</t>
        </is>
      </c>
      <c r="B801" s="1" t="n">
        <v>45909</v>
      </c>
      <c r="C801" s="1" t="n">
        <v>46092</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38062-2024</t>
        </is>
      </c>
      <c r="B802" s="1" t="n">
        <v>45544</v>
      </c>
      <c r="C802" s="1" t="n">
        <v>46092</v>
      </c>
      <c r="D802" t="inlineStr">
        <is>
          <t>VÄRMLANDS LÄN</t>
        </is>
      </c>
      <c r="E802" t="inlineStr">
        <is>
          <t>TORSBY</t>
        </is>
      </c>
      <c r="F802" t="inlineStr">
        <is>
          <t>Bergvik skog väst AB</t>
        </is>
      </c>
      <c r="G802" t="n">
        <v>7.9</v>
      </c>
      <c r="H802" t="n">
        <v>0</v>
      </c>
      <c r="I802" t="n">
        <v>0</v>
      </c>
      <c r="J802" t="n">
        <v>0</v>
      </c>
      <c r="K802" t="n">
        <v>0</v>
      </c>
      <c r="L802" t="n">
        <v>0</v>
      </c>
      <c r="M802" t="n">
        <v>0</v>
      </c>
      <c r="N802" t="n">
        <v>0</v>
      </c>
      <c r="O802" t="n">
        <v>0</v>
      </c>
      <c r="P802" t="n">
        <v>0</v>
      </c>
      <c r="Q802" t="n">
        <v>0</v>
      </c>
      <c r="R802" s="2" t="inlineStr"/>
    </row>
    <row r="803" ht="15" customHeight="1">
      <c r="A803" t="inlineStr">
        <is>
          <t>A 52750-2024</t>
        </is>
      </c>
      <c r="B803" s="1" t="n">
        <v>45610</v>
      </c>
      <c r="C803" s="1" t="n">
        <v>46092</v>
      </c>
      <c r="D803" t="inlineStr">
        <is>
          <t>VÄRMLANDS LÄN</t>
        </is>
      </c>
      <c r="E803" t="inlineStr">
        <is>
          <t>TORSBY</t>
        </is>
      </c>
      <c r="F803" t="inlineStr">
        <is>
          <t>Kyrkan</t>
        </is>
      </c>
      <c r="G803" t="n">
        <v>7.7</v>
      </c>
      <c r="H803" t="n">
        <v>0</v>
      </c>
      <c r="I803" t="n">
        <v>0</v>
      </c>
      <c r="J803" t="n">
        <v>0</v>
      </c>
      <c r="K803" t="n">
        <v>0</v>
      </c>
      <c r="L803" t="n">
        <v>0</v>
      </c>
      <c r="M803" t="n">
        <v>0</v>
      </c>
      <c r="N803" t="n">
        <v>0</v>
      </c>
      <c r="O803" t="n">
        <v>0</v>
      </c>
      <c r="P803" t="n">
        <v>0</v>
      </c>
      <c r="Q803" t="n">
        <v>0</v>
      </c>
      <c r="R803" s="2" t="inlineStr"/>
    </row>
    <row r="804" ht="15" customHeight="1">
      <c r="A804" t="inlineStr">
        <is>
          <t>A 25508-2025</t>
        </is>
      </c>
      <c r="B804" s="1" t="n">
        <v>45803.35520833333</v>
      </c>
      <c r="C804" s="1" t="n">
        <v>46092</v>
      </c>
      <c r="D804" t="inlineStr">
        <is>
          <t>VÄRMLANDS LÄN</t>
        </is>
      </c>
      <c r="E804" t="inlineStr">
        <is>
          <t>TORSBY</t>
        </is>
      </c>
      <c r="G804" t="n">
        <v>3.9</v>
      </c>
      <c r="H804" t="n">
        <v>0</v>
      </c>
      <c r="I804" t="n">
        <v>0</v>
      </c>
      <c r="J804" t="n">
        <v>0</v>
      </c>
      <c r="K804" t="n">
        <v>0</v>
      </c>
      <c r="L804" t="n">
        <v>0</v>
      </c>
      <c r="M804" t="n">
        <v>0</v>
      </c>
      <c r="N804" t="n">
        <v>0</v>
      </c>
      <c r="O804" t="n">
        <v>0</v>
      </c>
      <c r="P804" t="n">
        <v>0</v>
      </c>
      <c r="Q804" t="n">
        <v>0</v>
      </c>
      <c r="R804" s="2" t="inlineStr"/>
    </row>
    <row r="805" ht="15" customHeight="1">
      <c r="A805" t="inlineStr">
        <is>
          <t>A 42705-2025</t>
        </is>
      </c>
      <c r="B805" s="1" t="n">
        <v>45908.37063657407</v>
      </c>
      <c r="C805" s="1" t="n">
        <v>46092</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5493-2026</t>
        </is>
      </c>
      <c r="B806" s="1" t="n">
        <v>46050</v>
      </c>
      <c r="C806" s="1" t="n">
        <v>46092</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42720-2025</t>
        </is>
      </c>
      <c r="B807" s="1" t="n">
        <v>45908.39427083333</v>
      </c>
      <c r="C807" s="1" t="n">
        <v>46092</v>
      </c>
      <c r="D807" t="inlineStr">
        <is>
          <t>VÄRMLANDS LÄN</t>
        </is>
      </c>
      <c r="E807" t="inlineStr">
        <is>
          <t>TORSBY</t>
        </is>
      </c>
      <c r="F807" t="inlineStr">
        <is>
          <t>Bergvik skog väst AB</t>
        </is>
      </c>
      <c r="G807" t="n">
        <v>6.8</v>
      </c>
      <c r="H807" t="n">
        <v>0</v>
      </c>
      <c r="I807" t="n">
        <v>0</v>
      </c>
      <c r="J807" t="n">
        <v>0</v>
      </c>
      <c r="K807" t="n">
        <v>0</v>
      </c>
      <c r="L807" t="n">
        <v>0</v>
      </c>
      <c r="M807" t="n">
        <v>0</v>
      </c>
      <c r="N807" t="n">
        <v>0</v>
      </c>
      <c r="O807" t="n">
        <v>0</v>
      </c>
      <c r="P807" t="n">
        <v>0</v>
      </c>
      <c r="Q807" t="n">
        <v>0</v>
      </c>
      <c r="R807" s="2" t="inlineStr"/>
    </row>
    <row r="808" ht="15" customHeight="1">
      <c r="A808" t="inlineStr">
        <is>
          <t>A 57721-2022</t>
        </is>
      </c>
      <c r="B808" s="1" t="n">
        <v>44897.55278935185</v>
      </c>
      <c r="C808" s="1" t="n">
        <v>46092</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24708-2024</t>
        </is>
      </c>
      <c r="B809" s="1" t="n">
        <v>45460</v>
      </c>
      <c r="C809" s="1" t="n">
        <v>46092</v>
      </c>
      <c r="D809" t="inlineStr">
        <is>
          <t>VÄRMLANDS LÄN</t>
        </is>
      </c>
      <c r="E809" t="inlineStr">
        <is>
          <t>TORSBY</t>
        </is>
      </c>
      <c r="G809" t="n">
        <v>3.9</v>
      </c>
      <c r="H809" t="n">
        <v>0</v>
      </c>
      <c r="I809" t="n">
        <v>0</v>
      </c>
      <c r="J809" t="n">
        <v>0</v>
      </c>
      <c r="K809" t="n">
        <v>0</v>
      </c>
      <c r="L809" t="n">
        <v>0</v>
      </c>
      <c r="M809" t="n">
        <v>0</v>
      </c>
      <c r="N809" t="n">
        <v>0</v>
      </c>
      <c r="O809" t="n">
        <v>0</v>
      </c>
      <c r="P809" t="n">
        <v>0</v>
      </c>
      <c r="Q809" t="n">
        <v>0</v>
      </c>
      <c r="R809" s="2" t="inlineStr"/>
    </row>
    <row r="810" ht="15" customHeight="1">
      <c r="A810" t="inlineStr">
        <is>
          <t>A 52689-2024</t>
        </is>
      </c>
      <c r="B810" s="1" t="n">
        <v>45610.39621527777</v>
      </c>
      <c r="C810" s="1" t="n">
        <v>46092</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18855-2024</t>
        </is>
      </c>
      <c r="B811" s="1" t="n">
        <v>45426.73634259259</v>
      </c>
      <c r="C811" s="1" t="n">
        <v>46092</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24995-2024</t>
        </is>
      </c>
      <c r="B812" s="1" t="n">
        <v>45461</v>
      </c>
      <c r="C812" s="1" t="n">
        <v>46092</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2506-2025</t>
        </is>
      </c>
      <c r="B813" s="1" t="n">
        <v>45674</v>
      </c>
      <c r="C813" s="1" t="n">
        <v>46092</v>
      </c>
      <c r="D813" t="inlineStr">
        <is>
          <t>VÄRMLANDS LÄN</t>
        </is>
      </c>
      <c r="E813" t="inlineStr">
        <is>
          <t>TORSBY</t>
        </is>
      </c>
      <c r="F813" t="inlineStr">
        <is>
          <t>Bergvik skog väst AB</t>
        </is>
      </c>
      <c r="G813" t="n">
        <v>19.2</v>
      </c>
      <c r="H813" t="n">
        <v>0</v>
      </c>
      <c r="I813" t="n">
        <v>0</v>
      </c>
      <c r="J813" t="n">
        <v>0</v>
      </c>
      <c r="K813" t="n">
        <v>0</v>
      </c>
      <c r="L813" t="n">
        <v>0</v>
      </c>
      <c r="M813" t="n">
        <v>0</v>
      </c>
      <c r="N813" t="n">
        <v>0</v>
      </c>
      <c r="O813" t="n">
        <v>0</v>
      </c>
      <c r="P813" t="n">
        <v>0</v>
      </c>
      <c r="Q813" t="n">
        <v>0</v>
      </c>
      <c r="R813" s="2" t="inlineStr"/>
    </row>
    <row r="814" ht="15" customHeight="1">
      <c r="A814" t="inlineStr">
        <is>
          <t>A 63036-2025</t>
        </is>
      </c>
      <c r="B814" s="1" t="n">
        <v>46009.61314814815</v>
      </c>
      <c r="C814" s="1" t="n">
        <v>46092</v>
      </c>
      <c r="D814" t="inlineStr">
        <is>
          <t>VÄRMLANDS LÄN</t>
        </is>
      </c>
      <c r="E814" t="inlineStr">
        <is>
          <t>TORSBY</t>
        </is>
      </c>
      <c r="F814" t="inlineStr">
        <is>
          <t>Bergvik skog väst AB</t>
        </is>
      </c>
      <c r="G814" t="n">
        <v>2.7</v>
      </c>
      <c r="H814" t="n">
        <v>0</v>
      </c>
      <c r="I814" t="n">
        <v>0</v>
      </c>
      <c r="J814" t="n">
        <v>0</v>
      </c>
      <c r="K814" t="n">
        <v>0</v>
      </c>
      <c r="L814" t="n">
        <v>0</v>
      </c>
      <c r="M814" t="n">
        <v>0</v>
      </c>
      <c r="N814" t="n">
        <v>0</v>
      </c>
      <c r="O814" t="n">
        <v>0</v>
      </c>
      <c r="P814" t="n">
        <v>0</v>
      </c>
      <c r="Q814" t="n">
        <v>0</v>
      </c>
      <c r="R814" s="2" t="inlineStr"/>
    </row>
    <row r="815" ht="15" customHeight="1">
      <c r="A815" t="inlineStr">
        <is>
          <t>A 5554-2026</t>
        </is>
      </c>
      <c r="B815" s="1" t="n">
        <v>46050.72899305556</v>
      </c>
      <c r="C815" s="1" t="n">
        <v>46092</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42961-2025</t>
        </is>
      </c>
      <c r="B816" s="1" t="n">
        <v>45909.36737268518</v>
      </c>
      <c r="C816" s="1" t="n">
        <v>46092</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731-2024</t>
        </is>
      </c>
      <c r="B817" s="1" t="n">
        <v>45300</v>
      </c>
      <c r="C817" s="1" t="n">
        <v>46092</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60710-2024</t>
        </is>
      </c>
      <c r="B818" s="1" t="n">
        <v>45643</v>
      </c>
      <c r="C818" s="1" t="n">
        <v>46092</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5553-2026</t>
        </is>
      </c>
      <c r="B819" s="1" t="n">
        <v>46050.72769675926</v>
      </c>
      <c r="C819" s="1" t="n">
        <v>46092</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5562-2026</t>
        </is>
      </c>
      <c r="B820" s="1" t="n">
        <v>46050</v>
      </c>
      <c r="C820" s="1" t="n">
        <v>46092</v>
      </c>
      <c r="D820" t="inlineStr">
        <is>
          <t>VÄRMLANDS LÄN</t>
        </is>
      </c>
      <c r="E820" t="inlineStr">
        <is>
          <t>TORSBY</t>
        </is>
      </c>
      <c r="G820" t="n">
        <v>7.3</v>
      </c>
      <c r="H820" t="n">
        <v>0</v>
      </c>
      <c r="I820" t="n">
        <v>0</v>
      </c>
      <c r="J820" t="n">
        <v>0</v>
      </c>
      <c r="K820" t="n">
        <v>0</v>
      </c>
      <c r="L820" t="n">
        <v>0</v>
      </c>
      <c r="M820" t="n">
        <v>0</v>
      </c>
      <c r="N820" t="n">
        <v>0</v>
      </c>
      <c r="O820" t="n">
        <v>0</v>
      </c>
      <c r="P820" t="n">
        <v>0</v>
      </c>
      <c r="Q820" t="n">
        <v>0</v>
      </c>
      <c r="R820" s="2" t="inlineStr"/>
    </row>
    <row r="821" ht="15" customHeight="1">
      <c r="A821" t="inlineStr">
        <is>
          <t>A 20120-2023</t>
        </is>
      </c>
      <c r="B821" s="1" t="n">
        <v>45055</v>
      </c>
      <c r="C821" s="1" t="n">
        <v>46092</v>
      </c>
      <c r="D821" t="inlineStr">
        <is>
          <t>VÄRMLANDS LÄN</t>
        </is>
      </c>
      <c r="E821" t="inlineStr">
        <is>
          <t>TORSBY</t>
        </is>
      </c>
      <c r="G821" t="n">
        <v>7.7</v>
      </c>
      <c r="H821" t="n">
        <v>0</v>
      </c>
      <c r="I821" t="n">
        <v>0</v>
      </c>
      <c r="J821" t="n">
        <v>0</v>
      </c>
      <c r="K821" t="n">
        <v>0</v>
      </c>
      <c r="L821" t="n">
        <v>0</v>
      </c>
      <c r="M821" t="n">
        <v>0</v>
      </c>
      <c r="N821" t="n">
        <v>0</v>
      </c>
      <c r="O821" t="n">
        <v>0</v>
      </c>
      <c r="P821" t="n">
        <v>0</v>
      </c>
      <c r="Q821" t="n">
        <v>0</v>
      </c>
      <c r="R821" s="2" t="inlineStr"/>
    </row>
    <row r="822" ht="15" customHeight="1">
      <c r="A822" t="inlineStr">
        <is>
          <t>A 63098-2025</t>
        </is>
      </c>
      <c r="B822" s="1" t="n">
        <v>46009.69278935185</v>
      </c>
      <c r="C822" s="1" t="n">
        <v>46092</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43614-2025</t>
        </is>
      </c>
      <c r="B823" s="1" t="n">
        <v>45911.67766203704</v>
      </c>
      <c r="C823" s="1" t="n">
        <v>46092</v>
      </c>
      <c r="D823" t="inlineStr">
        <is>
          <t>VÄRMLANDS LÄN</t>
        </is>
      </c>
      <c r="E823" t="inlineStr">
        <is>
          <t>TORSBY</t>
        </is>
      </c>
      <c r="F823" t="inlineStr">
        <is>
          <t>Bergvik skog väst AB</t>
        </is>
      </c>
      <c r="G823" t="n">
        <v>3</v>
      </c>
      <c r="H823" t="n">
        <v>0</v>
      </c>
      <c r="I823" t="n">
        <v>0</v>
      </c>
      <c r="J823" t="n">
        <v>0</v>
      </c>
      <c r="K823" t="n">
        <v>0</v>
      </c>
      <c r="L823" t="n">
        <v>0</v>
      </c>
      <c r="M823" t="n">
        <v>0</v>
      </c>
      <c r="N823" t="n">
        <v>0</v>
      </c>
      <c r="O823" t="n">
        <v>0</v>
      </c>
      <c r="P823" t="n">
        <v>0</v>
      </c>
      <c r="Q823" t="n">
        <v>0</v>
      </c>
      <c r="R823" s="2" t="inlineStr"/>
    </row>
    <row r="824" ht="15" customHeight="1">
      <c r="A824" t="inlineStr">
        <is>
          <t>A 15175-2024</t>
        </is>
      </c>
      <c r="B824" s="1" t="n">
        <v>45400</v>
      </c>
      <c r="C824" s="1" t="n">
        <v>46092</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62629-2025</t>
        </is>
      </c>
      <c r="B825" s="1" t="n">
        <v>46008</v>
      </c>
      <c r="C825" s="1" t="n">
        <v>46092</v>
      </c>
      <c r="D825" t="inlineStr">
        <is>
          <t>VÄRMLANDS LÄN</t>
        </is>
      </c>
      <c r="E825" t="inlineStr">
        <is>
          <t>TORSBY</t>
        </is>
      </c>
      <c r="F825" t="inlineStr">
        <is>
          <t>Bergvik skog väst AB</t>
        </is>
      </c>
      <c r="G825" t="n">
        <v>16.2</v>
      </c>
      <c r="H825" t="n">
        <v>0</v>
      </c>
      <c r="I825" t="n">
        <v>0</v>
      </c>
      <c r="J825" t="n">
        <v>0</v>
      </c>
      <c r="K825" t="n">
        <v>0</v>
      </c>
      <c r="L825" t="n">
        <v>0</v>
      </c>
      <c r="M825" t="n">
        <v>0</v>
      </c>
      <c r="N825" t="n">
        <v>0</v>
      </c>
      <c r="O825" t="n">
        <v>0</v>
      </c>
      <c r="P825" t="n">
        <v>0</v>
      </c>
      <c r="Q825" t="n">
        <v>0</v>
      </c>
      <c r="R825" s="2" t="inlineStr"/>
    </row>
    <row r="826" ht="15" customHeight="1">
      <c r="A826" t="inlineStr">
        <is>
          <t>A 38252-2023</t>
        </is>
      </c>
      <c r="B826" s="1" t="n">
        <v>45161</v>
      </c>
      <c r="C826" s="1" t="n">
        <v>46092</v>
      </c>
      <c r="D826" t="inlineStr">
        <is>
          <t>VÄRMLANDS LÄN</t>
        </is>
      </c>
      <c r="E826" t="inlineStr">
        <is>
          <t>TORSBY</t>
        </is>
      </c>
      <c r="G826" t="n">
        <v>9.6</v>
      </c>
      <c r="H826" t="n">
        <v>0</v>
      </c>
      <c r="I826" t="n">
        <v>0</v>
      </c>
      <c r="J826" t="n">
        <v>0</v>
      </c>
      <c r="K826" t="n">
        <v>0</v>
      </c>
      <c r="L826" t="n">
        <v>0</v>
      </c>
      <c r="M826" t="n">
        <v>0</v>
      </c>
      <c r="N826" t="n">
        <v>0</v>
      </c>
      <c r="O826" t="n">
        <v>0</v>
      </c>
      <c r="P826" t="n">
        <v>0</v>
      </c>
      <c r="Q826" t="n">
        <v>0</v>
      </c>
      <c r="R826" s="2" t="inlineStr"/>
    </row>
    <row r="827" ht="15" customHeight="1">
      <c r="A827" t="inlineStr">
        <is>
          <t>A 55092-2022</t>
        </is>
      </c>
      <c r="B827" s="1" t="n">
        <v>44886.61493055556</v>
      </c>
      <c r="C827" s="1" t="n">
        <v>46092</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43608-2025</t>
        </is>
      </c>
      <c r="B828" s="1" t="n">
        <v>45911.67491898148</v>
      </c>
      <c r="C828" s="1" t="n">
        <v>46092</v>
      </c>
      <c r="D828" t="inlineStr">
        <is>
          <t>VÄRMLANDS LÄN</t>
        </is>
      </c>
      <c r="E828" t="inlineStr">
        <is>
          <t>TORSBY</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43304-2025</t>
        </is>
      </c>
      <c r="B829" s="1" t="n">
        <v>45910.63630787037</v>
      </c>
      <c r="C829" s="1" t="n">
        <v>46092</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1527-2024</t>
        </is>
      </c>
      <c r="B830" s="1" t="n">
        <v>45306.45614583333</v>
      </c>
      <c r="C830" s="1" t="n">
        <v>46092</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5720-2026</t>
        </is>
      </c>
      <c r="B831" s="1" t="n">
        <v>46051.54165509259</v>
      </c>
      <c r="C831" s="1" t="n">
        <v>46092</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35762-2024</t>
        </is>
      </c>
      <c r="B832" s="1" t="n">
        <v>45532.57373842593</v>
      </c>
      <c r="C832" s="1" t="n">
        <v>46092</v>
      </c>
      <c r="D832" t="inlineStr">
        <is>
          <t>VÄRMLANDS LÄN</t>
        </is>
      </c>
      <c r="E832" t="inlineStr">
        <is>
          <t>TORSBY</t>
        </is>
      </c>
      <c r="G832" t="n">
        <v>11.8</v>
      </c>
      <c r="H832" t="n">
        <v>0</v>
      </c>
      <c r="I832" t="n">
        <v>0</v>
      </c>
      <c r="J832" t="n">
        <v>0</v>
      </c>
      <c r="K832" t="n">
        <v>0</v>
      </c>
      <c r="L832" t="n">
        <v>0</v>
      </c>
      <c r="M832" t="n">
        <v>0</v>
      </c>
      <c r="N832" t="n">
        <v>0</v>
      </c>
      <c r="O832" t="n">
        <v>0</v>
      </c>
      <c r="P832" t="n">
        <v>0</v>
      </c>
      <c r="Q832" t="n">
        <v>0</v>
      </c>
      <c r="R832" s="2" t="inlineStr"/>
    </row>
    <row r="833" ht="15" customHeight="1">
      <c r="A833" t="inlineStr">
        <is>
          <t>A 5714-2026</t>
        </is>
      </c>
      <c r="B833" s="1" t="n">
        <v>46051.52498842592</v>
      </c>
      <c r="C833" s="1" t="n">
        <v>46092</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46092</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63379-2025</t>
        </is>
      </c>
      <c r="B835" s="1" t="n">
        <v>46010.75222222223</v>
      </c>
      <c r="C835" s="1" t="n">
        <v>46092</v>
      </c>
      <c r="D835" t="inlineStr">
        <is>
          <t>VÄRMLANDS LÄN</t>
        </is>
      </c>
      <c r="E835" t="inlineStr">
        <is>
          <t>TORSBY</t>
        </is>
      </c>
      <c r="F835" t="inlineStr">
        <is>
          <t>Bergvik skog väst AB</t>
        </is>
      </c>
      <c r="G835" t="n">
        <v>21.9</v>
      </c>
      <c r="H835" t="n">
        <v>0</v>
      </c>
      <c r="I835" t="n">
        <v>0</v>
      </c>
      <c r="J835" t="n">
        <v>0</v>
      </c>
      <c r="K835" t="n">
        <v>0</v>
      </c>
      <c r="L835" t="n">
        <v>0</v>
      </c>
      <c r="M835" t="n">
        <v>0</v>
      </c>
      <c r="N835" t="n">
        <v>0</v>
      </c>
      <c r="O835" t="n">
        <v>0</v>
      </c>
      <c r="P835" t="n">
        <v>0</v>
      </c>
      <c r="Q835" t="n">
        <v>0</v>
      </c>
      <c r="R835" s="2" t="inlineStr"/>
    </row>
    <row r="836" ht="15" customHeight="1">
      <c r="A836" t="inlineStr">
        <is>
          <t>A 22635-2022</t>
        </is>
      </c>
      <c r="B836" s="1" t="n">
        <v>44714</v>
      </c>
      <c r="C836" s="1" t="n">
        <v>46092</v>
      </c>
      <c r="D836" t="inlineStr">
        <is>
          <t>VÄRMLANDS LÄN</t>
        </is>
      </c>
      <c r="E836" t="inlineStr">
        <is>
          <t>TORSBY</t>
        </is>
      </c>
      <c r="G836" t="n">
        <v>0.4</v>
      </c>
      <c r="H836" t="n">
        <v>0</v>
      </c>
      <c r="I836" t="n">
        <v>0</v>
      </c>
      <c r="J836" t="n">
        <v>0</v>
      </c>
      <c r="K836" t="n">
        <v>0</v>
      </c>
      <c r="L836" t="n">
        <v>0</v>
      </c>
      <c r="M836" t="n">
        <v>0</v>
      </c>
      <c r="N836" t="n">
        <v>0</v>
      </c>
      <c r="O836" t="n">
        <v>0</v>
      </c>
      <c r="P836" t="n">
        <v>0</v>
      </c>
      <c r="Q836" t="n">
        <v>0</v>
      </c>
      <c r="R836" s="2" t="inlineStr"/>
    </row>
    <row r="837" ht="15" customHeight="1">
      <c r="A837" t="inlineStr">
        <is>
          <t>A 43943-2022</t>
        </is>
      </c>
      <c r="B837" s="1" t="n">
        <v>44838</v>
      </c>
      <c r="C837" s="1" t="n">
        <v>46092</v>
      </c>
      <c r="D837" t="inlineStr">
        <is>
          <t>VÄRMLANDS LÄN</t>
        </is>
      </c>
      <c r="E837" t="inlineStr">
        <is>
          <t>TORSBY</t>
        </is>
      </c>
      <c r="G837" t="n">
        <v>3.6</v>
      </c>
      <c r="H837" t="n">
        <v>0</v>
      </c>
      <c r="I837" t="n">
        <v>0</v>
      </c>
      <c r="J837" t="n">
        <v>0</v>
      </c>
      <c r="K837" t="n">
        <v>0</v>
      </c>
      <c r="L837" t="n">
        <v>0</v>
      </c>
      <c r="M837" t="n">
        <v>0</v>
      </c>
      <c r="N837" t="n">
        <v>0</v>
      </c>
      <c r="O837" t="n">
        <v>0</v>
      </c>
      <c r="P837" t="n">
        <v>0</v>
      </c>
      <c r="Q837" t="n">
        <v>0</v>
      </c>
      <c r="R837" s="2" t="inlineStr"/>
    </row>
    <row r="838" ht="15" customHeight="1">
      <c r="A838" t="inlineStr">
        <is>
          <t>A 43787-2025</t>
        </is>
      </c>
      <c r="B838" s="1" t="n">
        <v>45912</v>
      </c>
      <c r="C838" s="1" t="n">
        <v>46092</v>
      </c>
      <c r="D838" t="inlineStr">
        <is>
          <t>VÄRMLANDS LÄN</t>
        </is>
      </c>
      <c r="E838" t="inlineStr">
        <is>
          <t>TORSBY</t>
        </is>
      </c>
      <c r="G838" t="n">
        <v>13.1</v>
      </c>
      <c r="H838" t="n">
        <v>0</v>
      </c>
      <c r="I838" t="n">
        <v>0</v>
      </c>
      <c r="J838" t="n">
        <v>0</v>
      </c>
      <c r="K838" t="n">
        <v>0</v>
      </c>
      <c r="L838" t="n">
        <v>0</v>
      </c>
      <c r="M838" t="n">
        <v>0</v>
      </c>
      <c r="N838" t="n">
        <v>0</v>
      </c>
      <c r="O838" t="n">
        <v>0</v>
      </c>
      <c r="P838" t="n">
        <v>0</v>
      </c>
      <c r="Q838" t="n">
        <v>0</v>
      </c>
      <c r="R838" s="2" t="inlineStr"/>
    </row>
    <row r="839" ht="15" customHeight="1">
      <c r="A839" t="inlineStr">
        <is>
          <t>A 6322-2026</t>
        </is>
      </c>
      <c r="B839" s="1" t="n">
        <v>46055.58591435185</v>
      </c>
      <c r="C839" s="1" t="n">
        <v>46092</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24244-2023</t>
        </is>
      </c>
      <c r="B840" s="1" t="n">
        <v>45079.61969907407</v>
      </c>
      <c r="C840" s="1" t="n">
        <v>46092</v>
      </c>
      <c r="D840" t="inlineStr">
        <is>
          <t>VÄRMLANDS LÄN</t>
        </is>
      </c>
      <c r="E840" t="inlineStr">
        <is>
          <t>TORSBY</t>
        </is>
      </c>
      <c r="G840" t="n">
        <v>3</v>
      </c>
      <c r="H840" t="n">
        <v>0</v>
      </c>
      <c r="I840" t="n">
        <v>0</v>
      </c>
      <c r="J840" t="n">
        <v>0</v>
      </c>
      <c r="K840" t="n">
        <v>0</v>
      </c>
      <c r="L840" t="n">
        <v>0</v>
      </c>
      <c r="M840" t="n">
        <v>0</v>
      </c>
      <c r="N840" t="n">
        <v>0</v>
      </c>
      <c r="O840" t="n">
        <v>0</v>
      </c>
      <c r="P840" t="n">
        <v>0</v>
      </c>
      <c r="Q840" t="n">
        <v>0</v>
      </c>
      <c r="R840" s="2" t="inlineStr"/>
    </row>
    <row r="841" ht="15" customHeight="1">
      <c r="A841" t="inlineStr">
        <is>
          <t>A 44156-2025</t>
        </is>
      </c>
      <c r="B841" s="1" t="n">
        <v>45915.59539351852</v>
      </c>
      <c r="C841" s="1" t="n">
        <v>46092</v>
      </c>
      <c r="D841" t="inlineStr">
        <is>
          <t>VÄRMLANDS LÄN</t>
        </is>
      </c>
      <c r="E841" t="inlineStr">
        <is>
          <t>TORSBY</t>
        </is>
      </c>
      <c r="F841" t="inlineStr">
        <is>
          <t>Kyrkan</t>
        </is>
      </c>
      <c r="G841" t="n">
        <v>3.2</v>
      </c>
      <c r="H841" t="n">
        <v>0</v>
      </c>
      <c r="I841" t="n">
        <v>0</v>
      </c>
      <c r="J841" t="n">
        <v>0</v>
      </c>
      <c r="K841" t="n">
        <v>0</v>
      </c>
      <c r="L841" t="n">
        <v>0</v>
      </c>
      <c r="M841" t="n">
        <v>0</v>
      </c>
      <c r="N841" t="n">
        <v>0</v>
      </c>
      <c r="O841" t="n">
        <v>0</v>
      </c>
      <c r="P841" t="n">
        <v>0</v>
      </c>
      <c r="Q841" t="n">
        <v>0</v>
      </c>
      <c r="R841" s="2" t="inlineStr"/>
    </row>
    <row r="842" ht="15" customHeight="1">
      <c r="A842" t="inlineStr">
        <is>
          <t>A 5639-2026</t>
        </is>
      </c>
      <c r="B842" s="1" t="n">
        <v>46051</v>
      </c>
      <c r="C842" s="1" t="n">
        <v>46092</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44233-2025</t>
        </is>
      </c>
      <c r="B843" s="1" t="n">
        <v>45915.65515046296</v>
      </c>
      <c r="C843" s="1" t="n">
        <v>46092</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44133-2025</t>
        </is>
      </c>
      <c r="B844" s="1" t="n">
        <v>45915</v>
      </c>
      <c r="C844" s="1" t="n">
        <v>46092</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24896-2023</t>
        </is>
      </c>
      <c r="B845" s="1" t="n">
        <v>45085</v>
      </c>
      <c r="C845" s="1" t="n">
        <v>46092</v>
      </c>
      <c r="D845" t="inlineStr">
        <is>
          <t>VÄRMLANDS LÄN</t>
        </is>
      </c>
      <c r="E845" t="inlineStr">
        <is>
          <t>TORSBY</t>
        </is>
      </c>
      <c r="F845" t="inlineStr">
        <is>
          <t>Bergvik skog väst AB</t>
        </is>
      </c>
      <c r="G845" t="n">
        <v>4.7</v>
      </c>
      <c r="H845" t="n">
        <v>0</v>
      </c>
      <c r="I845" t="n">
        <v>0</v>
      </c>
      <c r="J845" t="n">
        <v>0</v>
      </c>
      <c r="K845" t="n">
        <v>0</v>
      </c>
      <c r="L845" t="n">
        <v>0</v>
      </c>
      <c r="M845" t="n">
        <v>0</v>
      </c>
      <c r="N845" t="n">
        <v>0</v>
      </c>
      <c r="O845" t="n">
        <v>0</v>
      </c>
      <c r="P845" t="n">
        <v>0</v>
      </c>
      <c r="Q845" t="n">
        <v>0</v>
      </c>
      <c r="R845" s="2" t="inlineStr"/>
    </row>
    <row r="846" ht="15" customHeight="1">
      <c r="A846" t="inlineStr">
        <is>
          <t>A 62210-2023</t>
        </is>
      </c>
      <c r="B846" s="1" t="n">
        <v>45267.49430555556</v>
      </c>
      <c r="C846" s="1" t="n">
        <v>46092</v>
      </c>
      <c r="D846" t="inlineStr">
        <is>
          <t>VÄRMLANDS LÄN</t>
        </is>
      </c>
      <c r="E846" t="inlineStr">
        <is>
          <t>TORSBY</t>
        </is>
      </c>
      <c r="G846" t="n">
        <v>3</v>
      </c>
      <c r="H846" t="n">
        <v>0</v>
      </c>
      <c r="I846" t="n">
        <v>0</v>
      </c>
      <c r="J846" t="n">
        <v>0</v>
      </c>
      <c r="K846" t="n">
        <v>0</v>
      </c>
      <c r="L846" t="n">
        <v>0</v>
      </c>
      <c r="M846" t="n">
        <v>0</v>
      </c>
      <c r="N846" t="n">
        <v>0</v>
      </c>
      <c r="O846" t="n">
        <v>0</v>
      </c>
      <c r="P846" t="n">
        <v>0</v>
      </c>
      <c r="Q846" t="n">
        <v>0</v>
      </c>
      <c r="R846" s="2" t="inlineStr"/>
    </row>
    <row r="847" ht="15" customHeight="1">
      <c r="A847" t="inlineStr">
        <is>
          <t>A 67147-2021</t>
        </is>
      </c>
      <c r="B847" s="1" t="n">
        <v>44523</v>
      </c>
      <c r="C847" s="1" t="n">
        <v>46092</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44055-2025</t>
        </is>
      </c>
      <c r="B848" s="1" t="n">
        <v>45915.52358796296</v>
      </c>
      <c r="C848" s="1" t="n">
        <v>46092</v>
      </c>
      <c r="D848" t="inlineStr">
        <is>
          <t>VÄRMLANDS LÄN</t>
        </is>
      </c>
      <c r="E848" t="inlineStr">
        <is>
          <t>TORSBY</t>
        </is>
      </c>
      <c r="F848" t="inlineStr">
        <is>
          <t>Kyrkan</t>
        </is>
      </c>
      <c r="G848" t="n">
        <v>5.4</v>
      </c>
      <c r="H848" t="n">
        <v>0</v>
      </c>
      <c r="I848" t="n">
        <v>0</v>
      </c>
      <c r="J848" t="n">
        <v>0</v>
      </c>
      <c r="K848" t="n">
        <v>0</v>
      </c>
      <c r="L848" t="n">
        <v>0</v>
      </c>
      <c r="M848" t="n">
        <v>0</v>
      </c>
      <c r="N848" t="n">
        <v>0</v>
      </c>
      <c r="O848" t="n">
        <v>0</v>
      </c>
      <c r="P848" t="n">
        <v>0</v>
      </c>
      <c r="Q848" t="n">
        <v>0</v>
      </c>
      <c r="R848" s="2" t="inlineStr"/>
    </row>
    <row r="849" ht="15" customHeight="1">
      <c r="A849" t="inlineStr">
        <is>
          <t>A 25464-2025</t>
        </is>
      </c>
      <c r="B849" s="1" t="n">
        <v>45802.46032407408</v>
      </c>
      <c r="C849" s="1" t="n">
        <v>46092</v>
      </c>
      <c r="D849" t="inlineStr">
        <is>
          <t>VÄRMLANDS LÄN</t>
        </is>
      </c>
      <c r="E849" t="inlineStr">
        <is>
          <t>TORSBY</t>
        </is>
      </c>
      <c r="G849" t="n">
        <v>2.1</v>
      </c>
      <c r="H849" t="n">
        <v>0</v>
      </c>
      <c r="I849" t="n">
        <v>0</v>
      </c>
      <c r="J849" t="n">
        <v>0</v>
      </c>
      <c r="K849" t="n">
        <v>0</v>
      </c>
      <c r="L849" t="n">
        <v>0</v>
      </c>
      <c r="M849" t="n">
        <v>0</v>
      </c>
      <c r="N849" t="n">
        <v>0</v>
      </c>
      <c r="O849" t="n">
        <v>0</v>
      </c>
      <c r="P849" t="n">
        <v>0</v>
      </c>
      <c r="Q849" t="n">
        <v>0</v>
      </c>
      <c r="R849" s="2" t="inlineStr"/>
    </row>
    <row r="850" ht="15" customHeight="1">
      <c r="A850" t="inlineStr">
        <is>
          <t>A 25465-2025</t>
        </is>
      </c>
      <c r="B850" s="1" t="n">
        <v>45802.48196759259</v>
      </c>
      <c r="C850" s="1" t="n">
        <v>46092</v>
      </c>
      <c r="D850" t="inlineStr">
        <is>
          <t>VÄRMLANDS LÄN</t>
        </is>
      </c>
      <c r="E850" t="inlineStr">
        <is>
          <t>TORSBY</t>
        </is>
      </c>
      <c r="G850" t="n">
        <v>2.4</v>
      </c>
      <c r="H850" t="n">
        <v>0</v>
      </c>
      <c r="I850" t="n">
        <v>0</v>
      </c>
      <c r="J850" t="n">
        <v>0</v>
      </c>
      <c r="K850" t="n">
        <v>0</v>
      </c>
      <c r="L850" t="n">
        <v>0</v>
      </c>
      <c r="M850" t="n">
        <v>0</v>
      </c>
      <c r="N850" t="n">
        <v>0</v>
      </c>
      <c r="O850" t="n">
        <v>0</v>
      </c>
      <c r="P850" t="n">
        <v>0</v>
      </c>
      <c r="Q850" t="n">
        <v>0</v>
      </c>
      <c r="R850" s="2" t="inlineStr"/>
    </row>
    <row r="851" ht="15" customHeight="1">
      <c r="A851" t="inlineStr">
        <is>
          <t>A 25218-2025</t>
        </is>
      </c>
      <c r="B851" s="1" t="n">
        <v>45800.4766087963</v>
      </c>
      <c r="C851" s="1" t="n">
        <v>46092</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63512-2025</t>
        </is>
      </c>
      <c r="B852" s="1" t="n">
        <v>46013</v>
      </c>
      <c r="C852" s="1" t="n">
        <v>46092</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25328-2025</t>
        </is>
      </c>
      <c r="B853" s="1" t="n">
        <v>45800</v>
      </c>
      <c r="C853" s="1" t="n">
        <v>46092</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17687-2024</t>
        </is>
      </c>
      <c r="B854" s="1" t="n">
        <v>45418</v>
      </c>
      <c r="C854" s="1" t="n">
        <v>46092</v>
      </c>
      <c r="D854" t="inlineStr">
        <is>
          <t>VÄRMLANDS LÄN</t>
        </is>
      </c>
      <c r="E854" t="inlineStr">
        <is>
          <t>TORSBY</t>
        </is>
      </c>
      <c r="G854" t="n">
        <v>1.9</v>
      </c>
      <c r="H854" t="n">
        <v>0</v>
      </c>
      <c r="I854" t="n">
        <v>0</v>
      </c>
      <c r="J854" t="n">
        <v>0</v>
      </c>
      <c r="K854" t="n">
        <v>0</v>
      </c>
      <c r="L854" t="n">
        <v>0</v>
      </c>
      <c r="M854" t="n">
        <v>0</v>
      </c>
      <c r="N854" t="n">
        <v>0</v>
      </c>
      <c r="O854" t="n">
        <v>0</v>
      </c>
      <c r="P854" t="n">
        <v>0</v>
      </c>
      <c r="Q854" t="n">
        <v>0</v>
      </c>
      <c r="R854" s="2" t="inlineStr"/>
    </row>
    <row r="855" ht="15" customHeight="1">
      <c r="A855" t="inlineStr">
        <is>
          <t>A 44220-2025</t>
        </is>
      </c>
      <c r="B855" s="1" t="n">
        <v>45915</v>
      </c>
      <c r="C855" s="1" t="n">
        <v>46092</v>
      </c>
      <c r="D855" t="inlineStr">
        <is>
          <t>VÄRMLANDS LÄN</t>
        </is>
      </c>
      <c r="E855" t="inlineStr">
        <is>
          <t>TORSBY</t>
        </is>
      </c>
      <c r="F855" t="inlineStr">
        <is>
          <t>Kommuner</t>
        </is>
      </c>
      <c r="G855" t="n">
        <v>4.9</v>
      </c>
      <c r="H855" t="n">
        <v>0</v>
      </c>
      <c r="I855" t="n">
        <v>0</v>
      </c>
      <c r="J855" t="n">
        <v>0</v>
      </c>
      <c r="K855" t="n">
        <v>0</v>
      </c>
      <c r="L855" t="n">
        <v>0</v>
      </c>
      <c r="M855" t="n">
        <v>0</v>
      </c>
      <c r="N855" t="n">
        <v>0</v>
      </c>
      <c r="O855" t="n">
        <v>0</v>
      </c>
      <c r="P855" t="n">
        <v>0</v>
      </c>
      <c r="Q855" t="n">
        <v>0</v>
      </c>
      <c r="R855" s="2" t="inlineStr"/>
    </row>
    <row r="856" ht="15" customHeight="1">
      <c r="A856" t="inlineStr">
        <is>
          <t>A 43831-2025</t>
        </is>
      </c>
      <c r="B856" s="1" t="n">
        <v>45912.62987268518</v>
      </c>
      <c r="C856" s="1" t="n">
        <v>46092</v>
      </c>
      <c r="D856" t="inlineStr">
        <is>
          <t>VÄRMLANDS LÄN</t>
        </is>
      </c>
      <c r="E856" t="inlineStr">
        <is>
          <t>TORSBY</t>
        </is>
      </c>
      <c r="F856" t="inlineStr">
        <is>
          <t>Bergvik skog väst AB</t>
        </is>
      </c>
      <c r="G856" t="n">
        <v>5.1</v>
      </c>
      <c r="H856" t="n">
        <v>0</v>
      </c>
      <c r="I856" t="n">
        <v>0</v>
      </c>
      <c r="J856" t="n">
        <v>0</v>
      </c>
      <c r="K856" t="n">
        <v>0</v>
      </c>
      <c r="L856" t="n">
        <v>0</v>
      </c>
      <c r="M856" t="n">
        <v>0</v>
      </c>
      <c r="N856" t="n">
        <v>0</v>
      </c>
      <c r="O856" t="n">
        <v>0</v>
      </c>
      <c r="P856" t="n">
        <v>0</v>
      </c>
      <c r="Q856" t="n">
        <v>0</v>
      </c>
      <c r="R856" s="2" t="inlineStr"/>
    </row>
    <row r="857" ht="15" customHeight="1">
      <c r="A857" t="inlineStr">
        <is>
          <t>A 16210-2025</t>
        </is>
      </c>
      <c r="B857" s="1" t="n">
        <v>45750</v>
      </c>
      <c r="C857" s="1" t="n">
        <v>46092</v>
      </c>
      <c r="D857" t="inlineStr">
        <is>
          <t>VÄRMLANDS LÄN</t>
        </is>
      </c>
      <c r="E857" t="inlineStr">
        <is>
          <t>TORSBY</t>
        </is>
      </c>
      <c r="F857" t="inlineStr">
        <is>
          <t>Bergvik skog väst AB</t>
        </is>
      </c>
      <c r="G857" t="n">
        <v>10.7</v>
      </c>
      <c r="H857" t="n">
        <v>0</v>
      </c>
      <c r="I857" t="n">
        <v>0</v>
      </c>
      <c r="J857" t="n">
        <v>0</v>
      </c>
      <c r="K857" t="n">
        <v>0</v>
      </c>
      <c r="L857" t="n">
        <v>0</v>
      </c>
      <c r="M857" t="n">
        <v>0</v>
      </c>
      <c r="N857" t="n">
        <v>0</v>
      </c>
      <c r="O857" t="n">
        <v>0</v>
      </c>
      <c r="P857" t="n">
        <v>0</v>
      </c>
      <c r="Q857" t="n">
        <v>0</v>
      </c>
      <c r="R857" s="2" t="inlineStr"/>
    </row>
    <row r="858" ht="15" customHeight="1">
      <c r="A858" t="inlineStr">
        <is>
          <t>A 3666-2023</t>
        </is>
      </c>
      <c r="B858" s="1" t="n">
        <v>44950</v>
      </c>
      <c r="C858" s="1" t="n">
        <v>46092</v>
      </c>
      <c r="D858" t="inlineStr">
        <is>
          <t>VÄRMLANDS LÄN</t>
        </is>
      </c>
      <c r="E858" t="inlineStr">
        <is>
          <t>TORSBY</t>
        </is>
      </c>
      <c r="G858" t="n">
        <v>6.8</v>
      </c>
      <c r="H858" t="n">
        <v>0</v>
      </c>
      <c r="I858" t="n">
        <v>0</v>
      </c>
      <c r="J858" t="n">
        <v>0</v>
      </c>
      <c r="K858" t="n">
        <v>0</v>
      </c>
      <c r="L858" t="n">
        <v>0</v>
      </c>
      <c r="M858" t="n">
        <v>0</v>
      </c>
      <c r="N858" t="n">
        <v>0</v>
      </c>
      <c r="O858" t="n">
        <v>0</v>
      </c>
      <c r="P858" t="n">
        <v>0</v>
      </c>
      <c r="Q858" t="n">
        <v>0</v>
      </c>
      <c r="R858" s="2" t="inlineStr"/>
    </row>
    <row r="859" ht="15" customHeight="1">
      <c r="A859" t="inlineStr">
        <is>
          <t>A 6084-2026</t>
        </is>
      </c>
      <c r="B859" s="1" t="n">
        <v>46052.69313657407</v>
      </c>
      <c r="C859" s="1" t="n">
        <v>46092</v>
      </c>
      <c r="D859" t="inlineStr">
        <is>
          <t>VÄRMLANDS LÄN</t>
        </is>
      </c>
      <c r="E859" t="inlineStr">
        <is>
          <t>TORSBY</t>
        </is>
      </c>
      <c r="G859" t="n">
        <v>19.5</v>
      </c>
      <c r="H859" t="n">
        <v>0</v>
      </c>
      <c r="I859" t="n">
        <v>0</v>
      </c>
      <c r="J859" t="n">
        <v>0</v>
      </c>
      <c r="K859" t="n">
        <v>0</v>
      </c>
      <c r="L859" t="n">
        <v>0</v>
      </c>
      <c r="M859" t="n">
        <v>0</v>
      </c>
      <c r="N859" t="n">
        <v>0</v>
      </c>
      <c r="O859" t="n">
        <v>0</v>
      </c>
      <c r="P859" t="n">
        <v>0</v>
      </c>
      <c r="Q859" t="n">
        <v>0</v>
      </c>
      <c r="R859" s="2" t="inlineStr"/>
    </row>
    <row r="860" ht="15" customHeight="1">
      <c r="A860" t="inlineStr">
        <is>
          <t>A 5289-2022</t>
        </is>
      </c>
      <c r="B860" s="1" t="n">
        <v>44594.61883101852</v>
      </c>
      <c r="C860" s="1" t="n">
        <v>46092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43669-2025</t>
        </is>
      </c>
      <c r="B861" s="1" t="n">
        <v>45912.36299768519</v>
      </c>
      <c r="C861" s="1" t="n">
        <v>46092</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7127-2023</t>
        </is>
      </c>
      <c r="B862" s="1" t="n">
        <v>44970.41383101852</v>
      </c>
      <c r="C862" s="1" t="n">
        <v>46092</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44141-2025</t>
        </is>
      </c>
      <c r="B863" s="1" t="n">
        <v>45915</v>
      </c>
      <c r="C863" s="1" t="n">
        <v>46092</v>
      </c>
      <c r="D863" t="inlineStr">
        <is>
          <t>VÄRMLANDS LÄN</t>
        </is>
      </c>
      <c r="E863" t="inlineStr">
        <is>
          <t>TORSBY</t>
        </is>
      </c>
      <c r="F863" t="inlineStr">
        <is>
          <t>Kyrkan</t>
        </is>
      </c>
      <c r="G863" t="n">
        <v>2.4</v>
      </c>
      <c r="H863" t="n">
        <v>0</v>
      </c>
      <c r="I863" t="n">
        <v>0</v>
      </c>
      <c r="J863" t="n">
        <v>0</v>
      </c>
      <c r="K863" t="n">
        <v>0</v>
      </c>
      <c r="L863" t="n">
        <v>0</v>
      </c>
      <c r="M863" t="n">
        <v>0</v>
      </c>
      <c r="N863" t="n">
        <v>0</v>
      </c>
      <c r="O863" t="n">
        <v>0</v>
      </c>
      <c r="P863" t="n">
        <v>0</v>
      </c>
      <c r="Q863" t="n">
        <v>0</v>
      </c>
      <c r="R863" s="2" t="inlineStr"/>
    </row>
    <row r="864" ht="15" customHeight="1">
      <c r="A864" t="inlineStr">
        <is>
          <t>A 64602-2023</t>
        </is>
      </c>
      <c r="B864" s="1" t="n">
        <v>45281.50085648148</v>
      </c>
      <c r="C864" s="1" t="n">
        <v>46092</v>
      </c>
      <c r="D864" t="inlineStr">
        <is>
          <t>VÄRMLANDS LÄN</t>
        </is>
      </c>
      <c r="E864" t="inlineStr">
        <is>
          <t>TORSBY</t>
        </is>
      </c>
      <c r="G864" t="n">
        <v>3.5</v>
      </c>
      <c r="H864" t="n">
        <v>0</v>
      </c>
      <c r="I864" t="n">
        <v>0</v>
      </c>
      <c r="J864" t="n">
        <v>0</v>
      </c>
      <c r="K864" t="n">
        <v>0</v>
      </c>
      <c r="L864" t="n">
        <v>0</v>
      </c>
      <c r="M864" t="n">
        <v>0</v>
      </c>
      <c r="N864" t="n">
        <v>0</v>
      </c>
      <c r="O864" t="n">
        <v>0</v>
      </c>
      <c r="P864" t="n">
        <v>0</v>
      </c>
      <c r="Q864" t="n">
        <v>0</v>
      </c>
      <c r="R864" s="2" t="inlineStr"/>
    </row>
    <row r="865" ht="15" customHeight="1">
      <c r="A865" t="inlineStr">
        <is>
          <t>A 44590-2025</t>
        </is>
      </c>
      <c r="B865" s="1" t="n">
        <v>45917.42607638889</v>
      </c>
      <c r="C865" s="1" t="n">
        <v>46092</v>
      </c>
      <c r="D865" t="inlineStr">
        <is>
          <t>VÄRMLANDS LÄN</t>
        </is>
      </c>
      <c r="E865" t="inlineStr">
        <is>
          <t>TORSBY</t>
        </is>
      </c>
      <c r="F865" t="inlineStr">
        <is>
          <t>Bergvik skog väst AB</t>
        </is>
      </c>
      <c r="G865" t="n">
        <v>10.3</v>
      </c>
      <c r="H865" t="n">
        <v>0</v>
      </c>
      <c r="I865" t="n">
        <v>0</v>
      </c>
      <c r="J865" t="n">
        <v>0</v>
      </c>
      <c r="K865" t="n">
        <v>0</v>
      </c>
      <c r="L865" t="n">
        <v>0</v>
      </c>
      <c r="M865" t="n">
        <v>0</v>
      </c>
      <c r="N865" t="n">
        <v>0</v>
      </c>
      <c r="O865" t="n">
        <v>0</v>
      </c>
      <c r="P865" t="n">
        <v>0</v>
      </c>
      <c r="Q865" t="n">
        <v>0</v>
      </c>
      <c r="R865" s="2" t="inlineStr"/>
    </row>
    <row r="866" ht="15" customHeight="1">
      <c r="A866" t="inlineStr">
        <is>
          <t>A 44715-2025</t>
        </is>
      </c>
      <c r="B866" s="1" t="n">
        <v>45917.62854166667</v>
      </c>
      <c r="C866" s="1" t="n">
        <v>46092</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48629-2024</t>
        </is>
      </c>
      <c r="B867" s="1" t="n">
        <v>45593.46605324074</v>
      </c>
      <c r="C867" s="1" t="n">
        <v>46092</v>
      </c>
      <c r="D867" t="inlineStr">
        <is>
          <t>VÄRMLANDS LÄN</t>
        </is>
      </c>
      <c r="E867" t="inlineStr">
        <is>
          <t>TORSBY</t>
        </is>
      </c>
      <c r="G867" t="n">
        <v>2.6</v>
      </c>
      <c r="H867" t="n">
        <v>0</v>
      </c>
      <c r="I867" t="n">
        <v>0</v>
      </c>
      <c r="J867" t="n">
        <v>0</v>
      </c>
      <c r="K867" t="n">
        <v>0</v>
      </c>
      <c r="L867" t="n">
        <v>0</v>
      </c>
      <c r="M867" t="n">
        <v>0</v>
      </c>
      <c r="N867" t="n">
        <v>0</v>
      </c>
      <c r="O867" t="n">
        <v>0</v>
      </c>
      <c r="P867" t="n">
        <v>0</v>
      </c>
      <c r="Q867" t="n">
        <v>0</v>
      </c>
      <c r="R867" s="2" t="inlineStr"/>
    </row>
    <row r="868" ht="15" customHeight="1">
      <c r="A868" t="inlineStr">
        <is>
          <t>A 15170-2025</t>
        </is>
      </c>
      <c r="B868" s="1" t="n">
        <v>45743</v>
      </c>
      <c r="C868" s="1" t="n">
        <v>46092</v>
      </c>
      <c r="D868" t="inlineStr">
        <is>
          <t>VÄRMLANDS LÄN</t>
        </is>
      </c>
      <c r="E868" t="inlineStr">
        <is>
          <t>TORSBY</t>
        </is>
      </c>
      <c r="G868" t="n">
        <v>12.5</v>
      </c>
      <c r="H868" t="n">
        <v>0</v>
      </c>
      <c r="I868" t="n">
        <v>0</v>
      </c>
      <c r="J868" t="n">
        <v>0</v>
      </c>
      <c r="K868" t="n">
        <v>0</v>
      </c>
      <c r="L868" t="n">
        <v>0</v>
      </c>
      <c r="M868" t="n">
        <v>0</v>
      </c>
      <c r="N868" t="n">
        <v>0</v>
      </c>
      <c r="O868" t="n">
        <v>0</v>
      </c>
      <c r="P868" t="n">
        <v>0</v>
      </c>
      <c r="Q868" t="n">
        <v>0</v>
      </c>
      <c r="R868" s="2" t="inlineStr"/>
    </row>
    <row r="869" ht="15" customHeight="1">
      <c r="A869" t="inlineStr">
        <is>
          <t>A 53492-2022</t>
        </is>
      </c>
      <c r="B869" s="1" t="n">
        <v>44879.56734953704</v>
      </c>
      <c r="C869" s="1" t="n">
        <v>46092</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63507-2025</t>
        </is>
      </c>
      <c r="B870" s="1" t="n">
        <v>46013</v>
      </c>
      <c r="C870" s="1" t="n">
        <v>46092</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63390-2025</t>
        </is>
      </c>
      <c r="B871" s="1" t="n">
        <v>46011</v>
      </c>
      <c r="C871" s="1" t="n">
        <v>46092</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44507-2025</t>
        </is>
      </c>
      <c r="B872" s="1" t="n">
        <v>45916</v>
      </c>
      <c r="C872" s="1" t="n">
        <v>46092</v>
      </c>
      <c r="D872" t="inlineStr">
        <is>
          <t>VÄRMLANDS LÄN</t>
        </is>
      </c>
      <c r="E872" t="inlineStr">
        <is>
          <t>TORSBY</t>
        </is>
      </c>
      <c r="F872" t="inlineStr">
        <is>
          <t>Bergvik skog väst AB</t>
        </is>
      </c>
      <c r="G872" t="n">
        <v>10.9</v>
      </c>
      <c r="H872" t="n">
        <v>0</v>
      </c>
      <c r="I872" t="n">
        <v>0</v>
      </c>
      <c r="J872" t="n">
        <v>0</v>
      </c>
      <c r="K872" t="n">
        <v>0</v>
      </c>
      <c r="L872" t="n">
        <v>0</v>
      </c>
      <c r="M872" t="n">
        <v>0</v>
      </c>
      <c r="N872" t="n">
        <v>0</v>
      </c>
      <c r="O872" t="n">
        <v>0</v>
      </c>
      <c r="P872" t="n">
        <v>0</v>
      </c>
      <c r="Q872" t="n">
        <v>0</v>
      </c>
      <c r="R872" s="2" t="inlineStr"/>
    </row>
    <row r="873" ht="15" customHeight="1">
      <c r="A873" t="inlineStr">
        <is>
          <t>A 44286-2025</t>
        </is>
      </c>
      <c r="B873" s="1" t="n">
        <v>45916</v>
      </c>
      <c r="C873" s="1" t="n">
        <v>46092</v>
      </c>
      <c r="D873" t="inlineStr">
        <is>
          <t>VÄRMLANDS LÄN</t>
        </is>
      </c>
      <c r="E873" t="inlineStr">
        <is>
          <t>TORSBY</t>
        </is>
      </c>
      <c r="F873" t="inlineStr">
        <is>
          <t>Bergvik skog väst AB</t>
        </is>
      </c>
      <c r="G873" t="n">
        <v>13.8</v>
      </c>
      <c r="H873" t="n">
        <v>0</v>
      </c>
      <c r="I873" t="n">
        <v>0</v>
      </c>
      <c r="J873" t="n">
        <v>0</v>
      </c>
      <c r="K873" t="n">
        <v>0</v>
      </c>
      <c r="L873" t="n">
        <v>0</v>
      </c>
      <c r="M873" t="n">
        <v>0</v>
      </c>
      <c r="N873" t="n">
        <v>0</v>
      </c>
      <c r="O873" t="n">
        <v>0</v>
      </c>
      <c r="P873" t="n">
        <v>0</v>
      </c>
      <c r="Q873" t="n">
        <v>0</v>
      </c>
      <c r="R873" s="2" t="inlineStr"/>
    </row>
    <row r="874" ht="15" customHeight="1">
      <c r="A874" t="inlineStr">
        <is>
          <t>A 44290-2025</t>
        </is>
      </c>
      <c r="B874" s="1" t="n">
        <v>45916.35228009259</v>
      </c>
      <c r="C874" s="1" t="n">
        <v>46092</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25629-2024</t>
        </is>
      </c>
      <c r="B875" s="1" t="n">
        <v>45463</v>
      </c>
      <c r="C875" s="1" t="n">
        <v>46092</v>
      </c>
      <c r="D875" t="inlineStr">
        <is>
          <t>VÄRMLANDS LÄN</t>
        </is>
      </c>
      <c r="E875" t="inlineStr">
        <is>
          <t>TORSBY</t>
        </is>
      </c>
      <c r="G875" t="n">
        <v>1.1</v>
      </c>
      <c r="H875" t="n">
        <v>0</v>
      </c>
      <c r="I875" t="n">
        <v>0</v>
      </c>
      <c r="J875" t="n">
        <v>0</v>
      </c>
      <c r="K875" t="n">
        <v>0</v>
      </c>
      <c r="L875" t="n">
        <v>0</v>
      </c>
      <c r="M875" t="n">
        <v>0</v>
      </c>
      <c r="N875" t="n">
        <v>0</v>
      </c>
      <c r="O875" t="n">
        <v>0</v>
      </c>
      <c r="P875" t="n">
        <v>0</v>
      </c>
      <c r="Q875" t="n">
        <v>0</v>
      </c>
      <c r="R875" s="2" t="inlineStr"/>
    </row>
    <row r="876" ht="15" customHeight="1">
      <c r="A876" t="inlineStr">
        <is>
          <t>A 44273-2025</t>
        </is>
      </c>
      <c r="B876" s="1" t="n">
        <v>45916</v>
      </c>
      <c r="C876" s="1" t="n">
        <v>46092</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44374-2025</t>
        </is>
      </c>
      <c r="B877" s="1" t="n">
        <v>45916.47035879629</v>
      </c>
      <c r="C877" s="1" t="n">
        <v>46092</v>
      </c>
      <c r="D877" t="inlineStr">
        <is>
          <t>VÄRMLANDS LÄN</t>
        </is>
      </c>
      <c r="E877" t="inlineStr">
        <is>
          <t>TORSBY</t>
        </is>
      </c>
      <c r="F877" t="inlineStr">
        <is>
          <t>Bergvik skog väst AB</t>
        </is>
      </c>
      <c r="G877" t="n">
        <v>10.5</v>
      </c>
      <c r="H877" t="n">
        <v>0</v>
      </c>
      <c r="I877" t="n">
        <v>0</v>
      </c>
      <c r="J877" t="n">
        <v>0</v>
      </c>
      <c r="K877" t="n">
        <v>0</v>
      </c>
      <c r="L877" t="n">
        <v>0</v>
      </c>
      <c r="M877" t="n">
        <v>0</v>
      </c>
      <c r="N877" t="n">
        <v>0</v>
      </c>
      <c r="O877" t="n">
        <v>0</v>
      </c>
      <c r="P877" t="n">
        <v>0</v>
      </c>
      <c r="Q877" t="n">
        <v>0</v>
      </c>
      <c r="R877" s="2" t="inlineStr"/>
    </row>
    <row r="878" ht="15" customHeight="1">
      <c r="A878" t="inlineStr">
        <is>
          <t>A 44522-2025</t>
        </is>
      </c>
      <c r="B878" s="1" t="n">
        <v>45916</v>
      </c>
      <c r="C878" s="1" t="n">
        <v>46092</v>
      </c>
      <c r="D878" t="inlineStr">
        <is>
          <t>VÄRMLANDS LÄN</t>
        </is>
      </c>
      <c r="E878" t="inlineStr">
        <is>
          <t>TORSBY</t>
        </is>
      </c>
      <c r="G878" t="n">
        <v>3.9</v>
      </c>
      <c r="H878" t="n">
        <v>0</v>
      </c>
      <c r="I878" t="n">
        <v>0</v>
      </c>
      <c r="J878" t="n">
        <v>0</v>
      </c>
      <c r="K878" t="n">
        <v>0</v>
      </c>
      <c r="L878" t="n">
        <v>0</v>
      </c>
      <c r="M878" t="n">
        <v>0</v>
      </c>
      <c r="N878" t="n">
        <v>0</v>
      </c>
      <c r="O878" t="n">
        <v>0</v>
      </c>
      <c r="P878" t="n">
        <v>0</v>
      </c>
      <c r="Q878" t="n">
        <v>0</v>
      </c>
      <c r="R878" s="2" t="inlineStr"/>
    </row>
    <row r="879" ht="15" customHeight="1">
      <c r="A879" t="inlineStr">
        <is>
          <t>A 18883-2024</t>
        </is>
      </c>
      <c r="B879" s="1" t="n">
        <v>45426</v>
      </c>
      <c r="C879" s="1" t="n">
        <v>46092</v>
      </c>
      <c r="D879" t="inlineStr">
        <is>
          <t>VÄRMLANDS LÄN</t>
        </is>
      </c>
      <c r="E879" t="inlineStr">
        <is>
          <t>TORSBY</t>
        </is>
      </c>
      <c r="G879" t="n">
        <v>2.5</v>
      </c>
      <c r="H879" t="n">
        <v>0</v>
      </c>
      <c r="I879" t="n">
        <v>0</v>
      </c>
      <c r="J879" t="n">
        <v>0</v>
      </c>
      <c r="K879" t="n">
        <v>0</v>
      </c>
      <c r="L879" t="n">
        <v>0</v>
      </c>
      <c r="M879" t="n">
        <v>0</v>
      </c>
      <c r="N879" t="n">
        <v>0</v>
      </c>
      <c r="O879" t="n">
        <v>0</v>
      </c>
      <c r="P879" t="n">
        <v>0</v>
      </c>
      <c r="Q879" t="n">
        <v>0</v>
      </c>
      <c r="R879" s="2" t="inlineStr"/>
    </row>
    <row r="880" ht="15" customHeight="1">
      <c r="A880" t="inlineStr">
        <is>
          <t>A 3864-2025</t>
        </is>
      </c>
      <c r="B880" s="1" t="n">
        <v>45684</v>
      </c>
      <c r="C880" s="1" t="n">
        <v>46092</v>
      </c>
      <c r="D880" t="inlineStr">
        <is>
          <t>VÄRMLANDS LÄN</t>
        </is>
      </c>
      <c r="E880" t="inlineStr">
        <is>
          <t>TORSBY</t>
        </is>
      </c>
      <c r="F880" t="inlineStr">
        <is>
          <t>Bergvik skog väst AB</t>
        </is>
      </c>
      <c r="G880" t="n">
        <v>8</v>
      </c>
      <c r="H880" t="n">
        <v>0</v>
      </c>
      <c r="I880" t="n">
        <v>0</v>
      </c>
      <c r="J880" t="n">
        <v>0</v>
      </c>
      <c r="K880" t="n">
        <v>0</v>
      </c>
      <c r="L880" t="n">
        <v>0</v>
      </c>
      <c r="M880" t="n">
        <v>0</v>
      </c>
      <c r="N880" t="n">
        <v>0</v>
      </c>
      <c r="O880" t="n">
        <v>0</v>
      </c>
      <c r="P880" t="n">
        <v>0</v>
      </c>
      <c r="Q880" t="n">
        <v>0</v>
      </c>
      <c r="R880" s="2" t="inlineStr"/>
    </row>
    <row r="881" ht="15" customHeight="1">
      <c r="A881" t="inlineStr">
        <is>
          <t>A 44288-2025</t>
        </is>
      </c>
      <c r="B881" s="1" t="n">
        <v>45916.3500462963</v>
      </c>
      <c r="C881" s="1" t="n">
        <v>46092</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63626-2025</t>
        </is>
      </c>
      <c r="B882" s="1" t="n">
        <v>46014</v>
      </c>
      <c r="C882" s="1" t="n">
        <v>46092</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44710-2025</t>
        </is>
      </c>
      <c r="B883" s="1" t="n">
        <v>45917.61743055555</v>
      </c>
      <c r="C883" s="1" t="n">
        <v>46092</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67172-2021</t>
        </is>
      </c>
      <c r="B884" s="1" t="n">
        <v>44523.4271875</v>
      </c>
      <c r="C884" s="1" t="n">
        <v>46092</v>
      </c>
      <c r="D884" t="inlineStr">
        <is>
          <t>VÄRMLANDS LÄN</t>
        </is>
      </c>
      <c r="E884" t="inlineStr">
        <is>
          <t>TORSBY</t>
        </is>
      </c>
      <c r="G884" t="n">
        <v>0.5</v>
      </c>
      <c r="H884" t="n">
        <v>0</v>
      </c>
      <c r="I884" t="n">
        <v>0</v>
      </c>
      <c r="J884" t="n">
        <v>0</v>
      </c>
      <c r="K884" t="n">
        <v>0</v>
      </c>
      <c r="L884" t="n">
        <v>0</v>
      </c>
      <c r="M884" t="n">
        <v>0</v>
      </c>
      <c r="N884" t="n">
        <v>0</v>
      </c>
      <c r="O884" t="n">
        <v>0</v>
      </c>
      <c r="P884" t="n">
        <v>0</v>
      </c>
      <c r="Q884" t="n">
        <v>0</v>
      </c>
      <c r="R884" s="2" t="inlineStr"/>
    </row>
    <row r="885" ht="15" customHeight="1">
      <c r="A885" t="inlineStr">
        <is>
          <t>A 53099-2024</t>
        </is>
      </c>
      <c r="B885" s="1" t="n">
        <v>45611.54206018519</v>
      </c>
      <c r="C885" s="1" t="n">
        <v>46092</v>
      </c>
      <c r="D885" t="inlineStr">
        <is>
          <t>VÄRMLANDS LÄN</t>
        </is>
      </c>
      <c r="E885" t="inlineStr">
        <is>
          <t>TORSBY</t>
        </is>
      </c>
      <c r="G885" t="n">
        <v>1.1</v>
      </c>
      <c r="H885" t="n">
        <v>0</v>
      </c>
      <c r="I885" t="n">
        <v>0</v>
      </c>
      <c r="J885" t="n">
        <v>0</v>
      </c>
      <c r="K885" t="n">
        <v>0</v>
      </c>
      <c r="L885" t="n">
        <v>0</v>
      </c>
      <c r="M885" t="n">
        <v>0</v>
      </c>
      <c r="N885" t="n">
        <v>0</v>
      </c>
      <c r="O885" t="n">
        <v>0</v>
      </c>
      <c r="P885" t="n">
        <v>0</v>
      </c>
      <c r="Q885" t="n">
        <v>0</v>
      </c>
      <c r="R885" s="2" t="inlineStr"/>
    </row>
    <row r="886" ht="15" customHeight="1">
      <c r="A886" t="inlineStr">
        <is>
          <t>A 3269-2025</t>
        </is>
      </c>
      <c r="B886" s="1" t="n">
        <v>45679.58148148148</v>
      </c>
      <c r="C886" s="1" t="n">
        <v>46092</v>
      </c>
      <c r="D886" t="inlineStr">
        <is>
          <t>VÄRMLANDS LÄN</t>
        </is>
      </c>
      <c r="E886" t="inlineStr">
        <is>
          <t>TORSBY</t>
        </is>
      </c>
      <c r="G886" t="n">
        <v>6.9</v>
      </c>
      <c r="H886" t="n">
        <v>0</v>
      </c>
      <c r="I886" t="n">
        <v>0</v>
      </c>
      <c r="J886" t="n">
        <v>0</v>
      </c>
      <c r="K886" t="n">
        <v>0</v>
      </c>
      <c r="L886" t="n">
        <v>0</v>
      </c>
      <c r="M886" t="n">
        <v>0</v>
      </c>
      <c r="N886" t="n">
        <v>0</v>
      </c>
      <c r="O886" t="n">
        <v>0</v>
      </c>
      <c r="P886" t="n">
        <v>0</v>
      </c>
      <c r="Q886" t="n">
        <v>0</v>
      </c>
      <c r="R886" s="2" t="inlineStr"/>
    </row>
    <row r="887" ht="15" customHeight="1">
      <c r="A887" t="inlineStr">
        <is>
          <t>A 42481-2025</t>
        </is>
      </c>
      <c r="B887" s="1" t="n">
        <v>45904</v>
      </c>
      <c r="C887" s="1" t="n">
        <v>46092</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6968-2025</t>
        </is>
      </c>
      <c r="B888" s="1" t="n">
        <v>45701.53253472222</v>
      </c>
      <c r="C888" s="1" t="n">
        <v>46092</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30735-2025</t>
        </is>
      </c>
      <c r="B889" s="1" t="n">
        <v>45831.57479166667</v>
      </c>
      <c r="C889" s="1" t="n">
        <v>46092</v>
      </c>
      <c r="D889" t="inlineStr">
        <is>
          <t>VÄRMLANDS LÄN</t>
        </is>
      </c>
      <c r="E889" t="inlineStr">
        <is>
          <t>TORSBY</t>
        </is>
      </c>
      <c r="F889" t="inlineStr">
        <is>
          <t>Bergvik skog väst AB</t>
        </is>
      </c>
      <c r="G889" t="n">
        <v>11.2</v>
      </c>
      <c r="H889" t="n">
        <v>0</v>
      </c>
      <c r="I889" t="n">
        <v>0</v>
      </c>
      <c r="J889" t="n">
        <v>0</v>
      </c>
      <c r="K889" t="n">
        <v>0</v>
      </c>
      <c r="L889" t="n">
        <v>0</v>
      </c>
      <c r="M889" t="n">
        <v>0</v>
      </c>
      <c r="N889" t="n">
        <v>0</v>
      </c>
      <c r="O889" t="n">
        <v>0</v>
      </c>
      <c r="P889" t="n">
        <v>0</v>
      </c>
      <c r="Q889" t="n">
        <v>0</v>
      </c>
      <c r="R889" s="2" t="inlineStr"/>
    </row>
    <row r="890" ht="15" customHeight="1">
      <c r="A890" t="inlineStr">
        <is>
          <t>A 16433-2023</t>
        </is>
      </c>
      <c r="B890" s="1" t="n">
        <v>45022</v>
      </c>
      <c r="C890" s="1" t="n">
        <v>46092</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45245-2025</t>
        </is>
      </c>
      <c r="B891" s="1" t="n">
        <v>45919.60621527778</v>
      </c>
      <c r="C891" s="1" t="n">
        <v>46092</v>
      </c>
      <c r="D891" t="inlineStr">
        <is>
          <t>VÄRMLANDS LÄN</t>
        </is>
      </c>
      <c r="E891" t="inlineStr">
        <is>
          <t>TORSBY</t>
        </is>
      </c>
      <c r="F891" t="inlineStr">
        <is>
          <t>Kyrkan</t>
        </is>
      </c>
      <c r="G891" t="n">
        <v>2.8</v>
      </c>
      <c r="H891" t="n">
        <v>0</v>
      </c>
      <c r="I891" t="n">
        <v>0</v>
      </c>
      <c r="J891" t="n">
        <v>0</v>
      </c>
      <c r="K891" t="n">
        <v>0</v>
      </c>
      <c r="L891" t="n">
        <v>0</v>
      </c>
      <c r="M891" t="n">
        <v>0</v>
      </c>
      <c r="N891" t="n">
        <v>0</v>
      </c>
      <c r="O891" t="n">
        <v>0</v>
      </c>
      <c r="P891" t="n">
        <v>0</v>
      </c>
      <c r="Q891" t="n">
        <v>0</v>
      </c>
      <c r="R891" s="2" t="inlineStr"/>
    </row>
    <row r="892" ht="15" customHeight="1">
      <c r="A892" t="inlineStr">
        <is>
          <t>A 44995-2025</t>
        </is>
      </c>
      <c r="B892" s="1" t="n">
        <v>45918</v>
      </c>
      <c r="C892" s="1" t="n">
        <v>46092</v>
      </c>
      <c r="D892" t="inlineStr">
        <is>
          <t>VÄRMLANDS LÄN</t>
        </is>
      </c>
      <c r="E892" t="inlineStr">
        <is>
          <t>TORSBY</t>
        </is>
      </c>
      <c r="F892" t="inlineStr">
        <is>
          <t>Bergvik skog väst AB</t>
        </is>
      </c>
      <c r="G892" t="n">
        <v>18.7</v>
      </c>
      <c r="H892" t="n">
        <v>0</v>
      </c>
      <c r="I892" t="n">
        <v>0</v>
      </c>
      <c r="J892" t="n">
        <v>0</v>
      </c>
      <c r="K892" t="n">
        <v>0</v>
      </c>
      <c r="L892" t="n">
        <v>0</v>
      </c>
      <c r="M892" t="n">
        <v>0</v>
      </c>
      <c r="N892" t="n">
        <v>0</v>
      </c>
      <c r="O892" t="n">
        <v>0</v>
      </c>
      <c r="P892" t="n">
        <v>0</v>
      </c>
      <c r="Q892" t="n">
        <v>0</v>
      </c>
      <c r="R892" s="2" t="inlineStr"/>
      <c r="U892">
        <f>HYPERLINK("https://klasma.github.io/Logging_1737/knärot/A 44995-2025 karta knärot.png", "A 44995-2025")</f>
        <v/>
      </c>
      <c r="V892">
        <f>HYPERLINK("https://klasma.github.io/Logging_1737/klagomål/A 44995-2025 FSC-klagomål.docx", "A 44995-2025")</f>
        <v/>
      </c>
      <c r="W892">
        <f>HYPERLINK("https://klasma.github.io/Logging_1737/klagomålsmail/A 44995-2025 FSC-klagomål mail.docx", "A 44995-2025")</f>
        <v/>
      </c>
      <c r="X892">
        <f>HYPERLINK("https://klasma.github.io/Logging_1737/tillsyn/A 44995-2025 tillsynsbegäran.docx", "A 44995-2025")</f>
        <v/>
      </c>
      <c r="Y892">
        <f>HYPERLINK("https://klasma.github.io/Logging_1737/tillsynsmail/A 44995-2025 tillsynsbegäran mail.docx", "A 44995-2025")</f>
        <v/>
      </c>
    </row>
    <row r="893" ht="15" customHeight="1">
      <c r="A893" t="inlineStr">
        <is>
          <t>A 45043-2025</t>
        </is>
      </c>
      <c r="B893" s="1" t="n">
        <v>45918.92902777778</v>
      </c>
      <c r="C893" s="1" t="n">
        <v>46092</v>
      </c>
      <c r="D893" t="inlineStr">
        <is>
          <t>VÄRMLANDS LÄN</t>
        </is>
      </c>
      <c r="E893" t="inlineStr">
        <is>
          <t>TORSBY</t>
        </is>
      </c>
      <c r="G893" t="n">
        <v>1.4</v>
      </c>
      <c r="H893" t="n">
        <v>0</v>
      </c>
      <c r="I893" t="n">
        <v>0</v>
      </c>
      <c r="J893" t="n">
        <v>0</v>
      </c>
      <c r="K893" t="n">
        <v>0</v>
      </c>
      <c r="L893" t="n">
        <v>0</v>
      </c>
      <c r="M893" t="n">
        <v>0</v>
      </c>
      <c r="N893" t="n">
        <v>0</v>
      </c>
      <c r="O893" t="n">
        <v>0</v>
      </c>
      <c r="P893" t="n">
        <v>0</v>
      </c>
      <c r="Q893" t="n">
        <v>0</v>
      </c>
      <c r="R893" s="2" t="inlineStr"/>
    </row>
    <row r="894" ht="15" customHeight="1">
      <c r="A894" t="inlineStr">
        <is>
          <t>A 25186-2025</t>
        </is>
      </c>
      <c r="B894" s="1" t="n">
        <v>45800.45247685185</v>
      </c>
      <c r="C894" s="1" t="n">
        <v>46092</v>
      </c>
      <c r="D894" t="inlineStr">
        <is>
          <t>VÄRMLANDS LÄN</t>
        </is>
      </c>
      <c r="E894" t="inlineStr">
        <is>
          <t>TORSBY</t>
        </is>
      </c>
      <c r="F894" t="inlineStr">
        <is>
          <t>Kyrkan</t>
        </is>
      </c>
      <c r="G894" t="n">
        <v>10.2</v>
      </c>
      <c r="H894" t="n">
        <v>0</v>
      </c>
      <c r="I894" t="n">
        <v>0</v>
      </c>
      <c r="J894" t="n">
        <v>0</v>
      </c>
      <c r="K894" t="n">
        <v>0</v>
      </c>
      <c r="L894" t="n">
        <v>0</v>
      </c>
      <c r="M894" t="n">
        <v>0</v>
      </c>
      <c r="N894" t="n">
        <v>0</v>
      </c>
      <c r="O894" t="n">
        <v>0</v>
      </c>
      <c r="P894" t="n">
        <v>0</v>
      </c>
      <c r="Q894" t="n">
        <v>0</v>
      </c>
      <c r="R894" s="2" t="inlineStr"/>
    </row>
    <row r="895" ht="15" customHeight="1">
      <c r="A895" t="inlineStr">
        <is>
          <t>A 45268-2025</t>
        </is>
      </c>
      <c r="B895" s="1" t="n">
        <v>45919.66782407407</v>
      </c>
      <c r="C895" s="1" t="n">
        <v>46092</v>
      </c>
      <c r="D895" t="inlineStr">
        <is>
          <t>VÄRMLANDS LÄN</t>
        </is>
      </c>
      <c r="E895" t="inlineStr">
        <is>
          <t>TORSBY</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45269-2025</t>
        </is>
      </c>
      <c r="B896" s="1" t="n">
        <v>45919.67443287037</v>
      </c>
      <c r="C896" s="1" t="n">
        <v>46092</v>
      </c>
      <c r="D896" t="inlineStr">
        <is>
          <t>VÄRMLANDS LÄN</t>
        </is>
      </c>
      <c r="E896" t="inlineStr">
        <is>
          <t>TORSBY</t>
        </is>
      </c>
      <c r="F896" t="inlineStr">
        <is>
          <t>Bergvik skog väst AB</t>
        </is>
      </c>
      <c r="G896" t="n">
        <v>3.4</v>
      </c>
      <c r="H896" t="n">
        <v>0</v>
      </c>
      <c r="I896" t="n">
        <v>0</v>
      </c>
      <c r="J896" t="n">
        <v>0</v>
      </c>
      <c r="K896" t="n">
        <v>0</v>
      </c>
      <c r="L896" t="n">
        <v>0</v>
      </c>
      <c r="M896" t="n">
        <v>0</v>
      </c>
      <c r="N896" t="n">
        <v>0</v>
      </c>
      <c r="O896" t="n">
        <v>0</v>
      </c>
      <c r="P896" t="n">
        <v>0</v>
      </c>
      <c r="Q896" t="n">
        <v>0</v>
      </c>
      <c r="R896" s="2" t="inlineStr"/>
    </row>
    <row r="897" ht="15" customHeight="1">
      <c r="A897" t="inlineStr">
        <is>
          <t>A 44821-2025</t>
        </is>
      </c>
      <c r="B897" s="1" t="n">
        <v>45918</v>
      </c>
      <c r="C897" s="1" t="n">
        <v>46092</v>
      </c>
      <c r="D897" t="inlineStr">
        <is>
          <t>VÄRMLANDS LÄN</t>
        </is>
      </c>
      <c r="E897" t="inlineStr">
        <is>
          <t>TORSBY</t>
        </is>
      </c>
      <c r="F897" t="inlineStr">
        <is>
          <t>Bergvik skog väst AB</t>
        </is>
      </c>
      <c r="G897" t="n">
        <v>10.9</v>
      </c>
      <c r="H897" t="n">
        <v>0</v>
      </c>
      <c r="I897" t="n">
        <v>0</v>
      </c>
      <c r="J897" t="n">
        <v>0</v>
      </c>
      <c r="K897" t="n">
        <v>0</v>
      </c>
      <c r="L897" t="n">
        <v>0</v>
      </c>
      <c r="M897" t="n">
        <v>0</v>
      </c>
      <c r="N897" t="n">
        <v>0</v>
      </c>
      <c r="O897" t="n">
        <v>0</v>
      </c>
      <c r="P897" t="n">
        <v>0</v>
      </c>
      <c r="Q897" t="n">
        <v>0</v>
      </c>
      <c r="R897" s="2" t="inlineStr"/>
    </row>
    <row r="898" ht="15" customHeight="1">
      <c r="A898" t="inlineStr">
        <is>
          <t>A 45093-2025</t>
        </is>
      </c>
      <c r="B898" s="1" t="n">
        <v>45919.38398148148</v>
      </c>
      <c r="C898" s="1" t="n">
        <v>46092</v>
      </c>
      <c r="D898" t="inlineStr">
        <is>
          <t>VÄRMLANDS LÄN</t>
        </is>
      </c>
      <c r="E898" t="inlineStr">
        <is>
          <t>TORSBY</t>
        </is>
      </c>
      <c r="G898" t="n">
        <v>4.2</v>
      </c>
      <c r="H898" t="n">
        <v>0</v>
      </c>
      <c r="I898" t="n">
        <v>0</v>
      </c>
      <c r="J898" t="n">
        <v>0</v>
      </c>
      <c r="K898" t="n">
        <v>0</v>
      </c>
      <c r="L898" t="n">
        <v>0</v>
      </c>
      <c r="M898" t="n">
        <v>0</v>
      </c>
      <c r="N898" t="n">
        <v>0</v>
      </c>
      <c r="O898" t="n">
        <v>0</v>
      </c>
      <c r="P898" t="n">
        <v>0</v>
      </c>
      <c r="Q898" t="n">
        <v>0</v>
      </c>
      <c r="R898" s="2" t="inlineStr"/>
    </row>
    <row r="899" ht="15" customHeight="1">
      <c r="A899" t="inlineStr">
        <is>
          <t>A 6603-2026</t>
        </is>
      </c>
      <c r="B899" s="1" t="n">
        <v>46056.47186342593</v>
      </c>
      <c r="C899" s="1" t="n">
        <v>46092</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19791-2025</t>
        </is>
      </c>
      <c r="B900" s="1" t="n">
        <v>45771.4452662037</v>
      </c>
      <c r="C900" s="1" t="n">
        <v>46092</v>
      </c>
      <c r="D900" t="inlineStr">
        <is>
          <t>VÄRMLANDS LÄN</t>
        </is>
      </c>
      <c r="E900" t="inlineStr">
        <is>
          <t>TORSBY</t>
        </is>
      </c>
      <c r="F900" t="inlineStr">
        <is>
          <t>Bergvik skog väst AB</t>
        </is>
      </c>
      <c r="G900" t="n">
        <v>2.8</v>
      </c>
      <c r="H900" t="n">
        <v>0</v>
      </c>
      <c r="I900" t="n">
        <v>0</v>
      </c>
      <c r="J900" t="n">
        <v>0</v>
      </c>
      <c r="K900" t="n">
        <v>0</v>
      </c>
      <c r="L900" t="n">
        <v>0</v>
      </c>
      <c r="M900" t="n">
        <v>0</v>
      </c>
      <c r="N900" t="n">
        <v>0</v>
      </c>
      <c r="O900" t="n">
        <v>0</v>
      </c>
      <c r="P900" t="n">
        <v>0</v>
      </c>
      <c r="Q900" t="n">
        <v>0</v>
      </c>
      <c r="R900" s="2" t="inlineStr"/>
    </row>
    <row r="901" ht="15" customHeight="1">
      <c r="A901" t="inlineStr">
        <is>
          <t>A 44808-2025</t>
        </is>
      </c>
      <c r="B901" s="1" t="n">
        <v>45918</v>
      </c>
      <c r="C901" s="1" t="n">
        <v>46092</v>
      </c>
      <c r="D901" t="inlineStr">
        <is>
          <t>VÄRMLANDS LÄN</t>
        </is>
      </c>
      <c r="E901" t="inlineStr">
        <is>
          <t>TORSBY</t>
        </is>
      </c>
      <c r="G901" t="n">
        <v>7.2</v>
      </c>
      <c r="H901" t="n">
        <v>0</v>
      </c>
      <c r="I901" t="n">
        <v>0</v>
      </c>
      <c r="J901" t="n">
        <v>0</v>
      </c>
      <c r="K901" t="n">
        <v>0</v>
      </c>
      <c r="L901" t="n">
        <v>0</v>
      </c>
      <c r="M901" t="n">
        <v>0</v>
      </c>
      <c r="N901" t="n">
        <v>0</v>
      </c>
      <c r="O901" t="n">
        <v>0</v>
      </c>
      <c r="P901" t="n">
        <v>0</v>
      </c>
      <c r="Q901" t="n">
        <v>0</v>
      </c>
      <c r="R901" s="2" t="inlineStr"/>
    </row>
    <row r="902" ht="15" customHeight="1">
      <c r="A902" t="inlineStr">
        <is>
          <t>A 45108-2025</t>
        </is>
      </c>
      <c r="B902" s="1" t="n">
        <v>45919.41467592592</v>
      </c>
      <c r="C902" s="1" t="n">
        <v>46092</v>
      </c>
      <c r="D902" t="inlineStr">
        <is>
          <t>VÄRMLANDS LÄN</t>
        </is>
      </c>
      <c r="E902" t="inlineStr">
        <is>
          <t>TORSBY</t>
        </is>
      </c>
      <c r="F902" t="inlineStr">
        <is>
          <t>Bergvik skog väst AB</t>
        </is>
      </c>
      <c r="G902" t="n">
        <v>24.4</v>
      </c>
      <c r="H902" t="n">
        <v>0</v>
      </c>
      <c r="I902" t="n">
        <v>0</v>
      </c>
      <c r="J902" t="n">
        <v>0</v>
      </c>
      <c r="K902" t="n">
        <v>0</v>
      </c>
      <c r="L902" t="n">
        <v>0</v>
      </c>
      <c r="M902" t="n">
        <v>0</v>
      </c>
      <c r="N902" t="n">
        <v>0</v>
      </c>
      <c r="O902" t="n">
        <v>0</v>
      </c>
      <c r="P902" t="n">
        <v>0</v>
      </c>
      <c r="Q902" t="n">
        <v>0</v>
      </c>
      <c r="R902" s="2" t="inlineStr"/>
    </row>
    <row r="903" ht="15" customHeight="1">
      <c r="A903" t="inlineStr">
        <is>
          <t>A 63609-2025</t>
        </is>
      </c>
      <c r="B903" s="1" t="n">
        <v>46014.34188657408</v>
      </c>
      <c r="C903" s="1" t="n">
        <v>46092</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45133-2025</t>
        </is>
      </c>
      <c r="B904" s="1" t="n">
        <v>45919.4447337963</v>
      </c>
      <c r="C904" s="1" t="n">
        <v>46092</v>
      </c>
      <c r="D904" t="inlineStr">
        <is>
          <t>VÄRMLANDS LÄN</t>
        </is>
      </c>
      <c r="E904" t="inlineStr">
        <is>
          <t>TORSBY</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44794-2025</t>
        </is>
      </c>
      <c r="B905" s="1" t="n">
        <v>45918.34465277778</v>
      </c>
      <c r="C905" s="1" t="n">
        <v>46092</v>
      </c>
      <c r="D905" t="inlineStr">
        <is>
          <t>VÄRMLANDS LÄN</t>
        </is>
      </c>
      <c r="E905" t="inlineStr">
        <is>
          <t>TORSBY</t>
        </is>
      </c>
      <c r="G905" t="n">
        <v>3.4</v>
      </c>
      <c r="H905" t="n">
        <v>0</v>
      </c>
      <c r="I905" t="n">
        <v>0</v>
      </c>
      <c r="J905" t="n">
        <v>0</v>
      </c>
      <c r="K905" t="n">
        <v>0</v>
      </c>
      <c r="L905" t="n">
        <v>0</v>
      </c>
      <c r="M905" t="n">
        <v>0</v>
      </c>
      <c r="N905" t="n">
        <v>0</v>
      </c>
      <c r="O905" t="n">
        <v>0</v>
      </c>
      <c r="P905" t="n">
        <v>0</v>
      </c>
      <c r="Q905" t="n">
        <v>0</v>
      </c>
      <c r="R905" s="2" t="inlineStr"/>
    </row>
    <row r="906" ht="15" customHeight="1">
      <c r="A906" t="inlineStr">
        <is>
          <t>A 44817-2025</t>
        </is>
      </c>
      <c r="B906" s="1" t="n">
        <v>45918</v>
      </c>
      <c r="C906" s="1" t="n">
        <v>46092</v>
      </c>
      <c r="D906" t="inlineStr">
        <is>
          <t>VÄRMLANDS LÄN</t>
        </is>
      </c>
      <c r="E906" t="inlineStr">
        <is>
          <t>TORSBY</t>
        </is>
      </c>
      <c r="F906" t="inlineStr">
        <is>
          <t>Bergvik skog väst AB</t>
        </is>
      </c>
      <c r="G906" t="n">
        <v>6.2</v>
      </c>
      <c r="H906" t="n">
        <v>0</v>
      </c>
      <c r="I906" t="n">
        <v>0</v>
      </c>
      <c r="J906" t="n">
        <v>0</v>
      </c>
      <c r="K906" t="n">
        <v>0</v>
      </c>
      <c r="L906" t="n">
        <v>0</v>
      </c>
      <c r="M906" t="n">
        <v>0</v>
      </c>
      <c r="N906" t="n">
        <v>0</v>
      </c>
      <c r="O906" t="n">
        <v>0</v>
      </c>
      <c r="P906" t="n">
        <v>0</v>
      </c>
      <c r="Q906" t="n">
        <v>0</v>
      </c>
      <c r="R906" s="2" t="inlineStr"/>
    </row>
    <row r="907" ht="15" customHeight="1">
      <c r="A907" t="inlineStr">
        <is>
          <t>A 44292-2025</t>
        </is>
      </c>
      <c r="B907" s="1" t="n">
        <v>45915</v>
      </c>
      <c r="C907" s="1" t="n">
        <v>46092</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63636-2025</t>
        </is>
      </c>
      <c r="B908" s="1" t="n">
        <v>46014</v>
      </c>
      <c r="C908" s="1" t="n">
        <v>46092</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44901-2025</t>
        </is>
      </c>
      <c r="B909" s="1" t="n">
        <v>45918</v>
      </c>
      <c r="C909" s="1" t="n">
        <v>46092</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52940-2024</t>
        </is>
      </c>
      <c r="B910" s="1" t="n">
        <v>45610</v>
      </c>
      <c r="C910" s="1" t="n">
        <v>46092</v>
      </c>
      <c r="D910" t="inlineStr">
        <is>
          <t>VÄRMLANDS LÄN</t>
        </is>
      </c>
      <c r="E910" t="inlineStr">
        <is>
          <t>TORSBY</t>
        </is>
      </c>
      <c r="G910" t="n">
        <v>3.7</v>
      </c>
      <c r="H910" t="n">
        <v>0</v>
      </c>
      <c r="I910" t="n">
        <v>0</v>
      </c>
      <c r="J910" t="n">
        <v>0</v>
      </c>
      <c r="K910" t="n">
        <v>0</v>
      </c>
      <c r="L910" t="n">
        <v>0</v>
      </c>
      <c r="M910" t="n">
        <v>0</v>
      </c>
      <c r="N910" t="n">
        <v>0</v>
      </c>
      <c r="O910" t="n">
        <v>0</v>
      </c>
      <c r="P910" t="n">
        <v>0</v>
      </c>
      <c r="Q910" t="n">
        <v>0</v>
      </c>
      <c r="R910" s="2" t="inlineStr"/>
    </row>
    <row r="911" ht="15" customHeight="1">
      <c r="A911" t="inlineStr">
        <is>
          <t>A 63617-2025</t>
        </is>
      </c>
      <c r="B911" s="1" t="n">
        <v>46014.34938657407</v>
      </c>
      <c r="C911" s="1" t="n">
        <v>46092</v>
      </c>
      <c r="D911" t="inlineStr">
        <is>
          <t>VÄRMLANDS LÄN</t>
        </is>
      </c>
      <c r="E911" t="inlineStr">
        <is>
          <t>TORSBY</t>
        </is>
      </c>
      <c r="G911" t="n">
        <v>2.6</v>
      </c>
      <c r="H911" t="n">
        <v>0</v>
      </c>
      <c r="I911" t="n">
        <v>0</v>
      </c>
      <c r="J911" t="n">
        <v>0</v>
      </c>
      <c r="K911" t="n">
        <v>0</v>
      </c>
      <c r="L911" t="n">
        <v>0</v>
      </c>
      <c r="M911" t="n">
        <v>0</v>
      </c>
      <c r="N911" t="n">
        <v>0</v>
      </c>
      <c r="O911" t="n">
        <v>0</v>
      </c>
      <c r="P911" t="n">
        <v>0</v>
      </c>
      <c r="Q911" t="n">
        <v>0</v>
      </c>
      <c r="R911" s="2" t="inlineStr"/>
    </row>
    <row r="912" ht="15" customHeight="1">
      <c r="A912" t="inlineStr">
        <is>
          <t>A 63622-2025</t>
        </is>
      </c>
      <c r="B912" s="1" t="n">
        <v>46014</v>
      </c>
      <c r="C912" s="1" t="n">
        <v>46092</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41504-2024</t>
        </is>
      </c>
      <c r="B913" s="1" t="n">
        <v>45560</v>
      </c>
      <c r="C913" s="1" t="n">
        <v>46092</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41518-2024</t>
        </is>
      </c>
      <c r="B914" s="1" t="n">
        <v>45560</v>
      </c>
      <c r="C914" s="1" t="n">
        <v>46092</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44976-2025</t>
        </is>
      </c>
      <c r="B915" s="1" t="n">
        <v>45918</v>
      </c>
      <c r="C915" s="1" t="n">
        <v>46092</v>
      </c>
      <c r="D915" t="inlineStr">
        <is>
          <t>VÄRMLANDS LÄN</t>
        </is>
      </c>
      <c r="E915" t="inlineStr">
        <is>
          <t>TORSBY</t>
        </is>
      </c>
      <c r="F915" t="inlineStr">
        <is>
          <t>Bergvik skog väst AB</t>
        </is>
      </c>
      <c r="G915" t="n">
        <v>2.6</v>
      </c>
      <c r="H915" t="n">
        <v>0</v>
      </c>
      <c r="I915" t="n">
        <v>0</v>
      </c>
      <c r="J915" t="n">
        <v>0</v>
      </c>
      <c r="K915" t="n">
        <v>0</v>
      </c>
      <c r="L915" t="n">
        <v>0</v>
      </c>
      <c r="M915" t="n">
        <v>0</v>
      </c>
      <c r="N915" t="n">
        <v>0</v>
      </c>
      <c r="O915" t="n">
        <v>0</v>
      </c>
      <c r="P915" t="n">
        <v>0</v>
      </c>
      <c r="Q915" t="n">
        <v>0</v>
      </c>
      <c r="R915" s="2" t="inlineStr"/>
    </row>
    <row r="916" ht="15" customHeight="1">
      <c r="A916" t="inlineStr">
        <is>
          <t>A 63697-2025</t>
        </is>
      </c>
      <c r="B916" s="1" t="n">
        <v>46014</v>
      </c>
      <c r="C916" s="1" t="n">
        <v>46092</v>
      </c>
      <c r="D916" t="inlineStr">
        <is>
          <t>VÄRMLANDS LÄN</t>
        </is>
      </c>
      <c r="E916" t="inlineStr">
        <is>
          <t>TORSBY</t>
        </is>
      </c>
      <c r="G916" t="n">
        <v>11.6</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46092</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30267-2023</t>
        </is>
      </c>
      <c r="B918" s="1" t="n">
        <v>45110.75915509259</v>
      </c>
      <c r="C918" s="1" t="n">
        <v>46092</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30269-2023</t>
        </is>
      </c>
      <c r="B919" s="1" t="n">
        <v>45110.76082175926</v>
      </c>
      <c r="C919" s="1" t="n">
        <v>46092</v>
      </c>
      <c r="D919" t="inlineStr">
        <is>
          <t>VÄRMLANDS LÄN</t>
        </is>
      </c>
      <c r="E919" t="inlineStr">
        <is>
          <t>TORSBY</t>
        </is>
      </c>
      <c r="G919" t="n">
        <v>1.4</v>
      </c>
      <c r="H919" t="n">
        <v>0</v>
      </c>
      <c r="I919" t="n">
        <v>0</v>
      </c>
      <c r="J919" t="n">
        <v>0</v>
      </c>
      <c r="K919" t="n">
        <v>0</v>
      </c>
      <c r="L919" t="n">
        <v>0</v>
      </c>
      <c r="M919" t="n">
        <v>0</v>
      </c>
      <c r="N919" t="n">
        <v>0</v>
      </c>
      <c r="O919" t="n">
        <v>0</v>
      </c>
      <c r="P919" t="n">
        <v>0</v>
      </c>
      <c r="Q919" t="n">
        <v>0</v>
      </c>
      <c r="R919" s="2" t="inlineStr"/>
    </row>
    <row r="920" ht="15" customHeight="1">
      <c r="A920" t="inlineStr">
        <is>
          <t>A 45380-2025</t>
        </is>
      </c>
      <c r="B920" s="1" t="n">
        <v>45922</v>
      </c>
      <c r="C920" s="1" t="n">
        <v>46092</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35724-2022</t>
        </is>
      </c>
      <c r="B921" s="1" t="n">
        <v>44799</v>
      </c>
      <c r="C921" s="1" t="n">
        <v>46092</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74375-2021</t>
        </is>
      </c>
      <c r="B922" s="1" t="n">
        <v>44559.71840277778</v>
      </c>
      <c r="C922" s="1" t="n">
        <v>46092</v>
      </c>
      <c r="D922" t="inlineStr">
        <is>
          <t>VÄRMLANDS LÄN</t>
        </is>
      </c>
      <c r="E922" t="inlineStr">
        <is>
          <t>TORSBY</t>
        </is>
      </c>
      <c r="G922" t="n">
        <v>2.4</v>
      </c>
      <c r="H922" t="n">
        <v>0</v>
      </c>
      <c r="I922" t="n">
        <v>0</v>
      </c>
      <c r="J922" t="n">
        <v>0</v>
      </c>
      <c r="K922" t="n">
        <v>0</v>
      </c>
      <c r="L922" t="n">
        <v>0</v>
      </c>
      <c r="M922" t="n">
        <v>0</v>
      </c>
      <c r="N922" t="n">
        <v>0</v>
      </c>
      <c r="O922" t="n">
        <v>0</v>
      </c>
      <c r="P922" t="n">
        <v>0</v>
      </c>
      <c r="Q922" t="n">
        <v>0</v>
      </c>
      <c r="R922" s="2" t="inlineStr"/>
    </row>
    <row r="923" ht="15" customHeight="1">
      <c r="A923" t="inlineStr">
        <is>
          <t>A 5979-2026</t>
        </is>
      </c>
      <c r="B923" s="1" t="n">
        <v>46052</v>
      </c>
      <c r="C923" s="1" t="n">
        <v>46092</v>
      </c>
      <c r="D923" t="inlineStr">
        <is>
          <t>VÄRMLANDS LÄN</t>
        </is>
      </c>
      <c r="E923" t="inlineStr">
        <is>
          <t>TORSBY</t>
        </is>
      </c>
      <c r="G923" t="n">
        <v>1.5</v>
      </c>
      <c r="H923" t="n">
        <v>0</v>
      </c>
      <c r="I923" t="n">
        <v>0</v>
      </c>
      <c r="J923" t="n">
        <v>0</v>
      </c>
      <c r="K923" t="n">
        <v>0</v>
      </c>
      <c r="L923" t="n">
        <v>0</v>
      </c>
      <c r="M923" t="n">
        <v>0</v>
      </c>
      <c r="N923" t="n">
        <v>0</v>
      </c>
      <c r="O923" t="n">
        <v>0</v>
      </c>
      <c r="P923" t="n">
        <v>0</v>
      </c>
      <c r="Q923" t="n">
        <v>0</v>
      </c>
      <c r="R923" s="2" t="inlineStr"/>
    </row>
    <row r="924" ht="15" customHeight="1">
      <c r="A924" t="inlineStr">
        <is>
          <t>A 7394-2026</t>
        </is>
      </c>
      <c r="B924" s="1" t="n">
        <v>46059.37266203704</v>
      </c>
      <c r="C924" s="1" t="n">
        <v>46092</v>
      </c>
      <c r="D924" t="inlineStr">
        <is>
          <t>VÄRMLANDS LÄN</t>
        </is>
      </c>
      <c r="E924" t="inlineStr">
        <is>
          <t>TORSBY</t>
        </is>
      </c>
      <c r="F924" t="inlineStr">
        <is>
          <t>Bergvik skog väst AB</t>
        </is>
      </c>
      <c r="G924" t="n">
        <v>15.3</v>
      </c>
      <c r="H924" t="n">
        <v>0</v>
      </c>
      <c r="I924" t="n">
        <v>0</v>
      </c>
      <c r="J924" t="n">
        <v>0</v>
      </c>
      <c r="K924" t="n">
        <v>0</v>
      </c>
      <c r="L924" t="n">
        <v>0</v>
      </c>
      <c r="M924" t="n">
        <v>0</v>
      </c>
      <c r="N924" t="n">
        <v>0</v>
      </c>
      <c r="O924" t="n">
        <v>0</v>
      </c>
      <c r="P924" t="n">
        <v>0</v>
      </c>
      <c r="Q924" t="n">
        <v>0</v>
      </c>
      <c r="R924" s="2" t="inlineStr"/>
    </row>
    <row r="925" ht="15" customHeight="1">
      <c r="A925" t="inlineStr">
        <is>
          <t>A 45425-2025</t>
        </is>
      </c>
      <c r="B925" s="1" t="n">
        <v>45922.45195601852</v>
      </c>
      <c r="C925" s="1" t="n">
        <v>46092</v>
      </c>
      <c r="D925" t="inlineStr">
        <is>
          <t>VÄRMLANDS LÄN</t>
        </is>
      </c>
      <c r="E925" t="inlineStr">
        <is>
          <t>TORSBY</t>
        </is>
      </c>
      <c r="F925" t="inlineStr">
        <is>
          <t>Bergvik skog väst AB</t>
        </is>
      </c>
      <c r="G925" t="n">
        <v>6.3</v>
      </c>
      <c r="H925" t="n">
        <v>0</v>
      </c>
      <c r="I925" t="n">
        <v>0</v>
      </c>
      <c r="J925" t="n">
        <v>0</v>
      </c>
      <c r="K925" t="n">
        <v>0</v>
      </c>
      <c r="L925" t="n">
        <v>0</v>
      </c>
      <c r="M925" t="n">
        <v>0</v>
      </c>
      <c r="N925" t="n">
        <v>0</v>
      </c>
      <c r="O925" t="n">
        <v>0</v>
      </c>
      <c r="P925" t="n">
        <v>0</v>
      </c>
      <c r="Q925" t="n">
        <v>0</v>
      </c>
      <c r="R925" s="2" t="inlineStr"/>
    </row>
    <row r="926" ht="15" customHeight="1">
      <c r="A926" t="inlineStr">
        <is>
          <t>A 45357-2025</t>
        </is>
      </c>
      <c r="B926" s="1" t="n">
        <v>45922.36716435185</v>
      </c>
      <c r="C926" s="1" t="n">
        <v>46092</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33782-2023</t>
        </is>
      </c>
      <c r="B927" s="1" t="n">
        <v>45120</v>
      </c>
      <c r="C927" s="1" t="n">
        <v>46092</v>
      </c>
      <c r="D927" t="inlineStr">
        <is>
          <t>VÄRMLANDS LÄN</t>
        </is>
      </c>
      <c r="E927" t="inlineStr">
        <is>
          <t>TORSBY</t>
        </is>
      </c>
      <c r="G927" t="n">
        <v>4.1</v>
      </c>
      <c r="H927" t="n">
        <v>0</v>
      </c>
      <c r="I927" t="n">
        <v>0</v>
      </c>
      <c r="J927" t="n">
        <v>0</v>
      </c>
      <c r="K927" t="n">
        <v>0</v>
      </c>
      <c r="L927" t="n">
        <v>0</v>
      </c>
      <c r="M927" t="n">
        <v>0</v>
      </c>
      <c r="N927" t="n">
        <v>0</v>
      </c>
      <c r="O927" t="n">
        <v>0</v>
      </c>
      <c r="P927" t="n">
        <v>0</v>
      </c>
      <c r="Q927" t="n">
        <v>0</v>
      </c>
      <c r="R927" s="2" t="inlineStr"/>
    </row>
    <row r="928" ht="15" customHeight="1">
      <c r="A928" t="inlineStr">
        <is>
          <t>A 70785-2021</t>
        </is>
      </c>
      <c r="B928" s="1" t="n">
        <v>44537</v>
      </c>
      <c r="C928" s="1" t="n">
        <v>46092</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6438-2022</t>
        </is>
      </c>
      <c r="B929" s="1" t="n">
        <v>44601.32209490741</v>
      </c>
      <c r="C929" s="1" t="n">
        <v>46092</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25353-2025</t>
        </is>
      </c>
      <c r="B930" s="1" t="n">
        <v>45800.61553240741</v>
      </c>
      <c r="C930" s="1" t="n">
        <v>46092</v>
      </c>
      <c r="D930" t="inlineStr">
        <is>
          <t>VÄRMLANDS LÄN</t>
        </is>
      </c>
      <c r="E930" t="inlineStr">
        <is>
          <t>TORSBY</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46092</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5983-2026</t>
        </is>
      </c>
      <c r="B932" s="1" t="n">
        <v>46052</v>
      </c>
      <c r="C932" s="1" t="n">
        <v>46092</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45056-2022</t>
        </is>
      </c>
      <c r="B933" s="1" t="n">
        <v>44841.72731481482</v>
      </c>
      <c r="C933" s="1" t="n">
        <v>46092</v>
      </c>
      <c r="D933" t="inlineStr">
        <is>
          <t>VÄRMLANDS LÄN</t>
        </is>
      </c>
      <c r="E933" t="inlineStr">
        <is>
          <t>TORSBY</t>
        </is>
      </c>
      <c r="G933" t="n">
        <v>1.9</v>
      </c>
      <c r="H933" t="n">
        <v>0</v>
      </c>
      <c r="I933" t="n">
        <v>0</v>
      </c>
      <c r="J933" t="n">
        <v>0</v>
      </c>
      <c r="K933" t="n">
        <v>0</v>
      </c>
      <c r="L933" t="n">
        <v>0</v>
      </c>
      <c r="M933" t="n">
        <v>0</v>
      </c>
      <c r="N933" t="n">
        <v>0</v>
      </c>
      <c r="O933" t="n">
        <v>0</v>
      </c>
      <c r="P933" t="n">
        <v>0</v>
      </c>
      <c r="Q933" t="n">
        <v>0</v>
      </c>
      <c r="R933" s="2" t="inlineStr"/>
    </row>
    <row r="934" ht="15" customHeight="1">
      <c r="A934" t="inlineStr">
        <is>
          <t>A 5976-2026</t>
        </is>
      </c>
      <c r="B934" s="1" t="n">
        <v>46052</v>
      </c>
      <c r="C934" s="1" t="n">
        <v>46092</v>
      </c>
      <c r="D934" t="inlineStr">
        <is>
          <t>VÄRMLANDS LÄN</t>
        </is>
      </c>
      <c r="E934" t="inlineStr">
        <is>
          <t>TORSBY</t>
        </is>
      </c>
      <c r="F934" t="inlineStr">
        <is>
          <t>Bergvik skog väst AB</t>
        </is>
      </c>
      <c r="G934" t="n">
        <v>18.4</v>
      </c>
      <c r="H934" t="n">
        <v>0</v>
      </c>
      <c r="I934" t="n">
        <v>0</v>
      </c>
      <c r="J934" t="n">
        <v>0</v>
      </c>
      <c r="K934" t="n">
        <v>0</v>
      </c>
      <c r="L934" t="n">
        <v>0</v>
      </c>
      <c r="M934" t="n">
        <v>0</v>
      </c>
      <c r="N934" t="n">
        <v>0</v>
      </c>
      <c r="O934" t="n">
        <v>0</v>
      </c>
      <c r="P934" t="n">
        <v>0</v>
      </c>
      <c r="Q934" t="n">
        <v>0</v>
      </c>
      <c r="R934" s="2" t="inlineStr"/>
    </row>
    <row r="935" ht="15" customHeight="1">
      <c r="A935" t="inlineStr">
        <is>
          <t>A 7190-2026</t>
        </is>
      </c>
      <c r="B935" s="1" t="n">
        <v>46058.49616898148</v>
      </c>
      <c r="C935" s="1" t="n">
        <v>46092</v>
      </c>
      <c r="D935" t="inlineStr">
        <is>
          <t>VÄRMLANDS LÄN</t>
        </is>
      </c>
      <c r="E935" t="inlineStr">
        <is>
          <t>TORSBY</t>
        </is>
      </c>
      <c r="F935" t="inlineStr">
        <is>
          <t>Bergvik skog väst AB</t>
        </is>
      </c>
      <c r="G935" t="n">
        <v>18.2</v>
      </c>
      <c r="H935" t="n">
        <v>0</v>
      </c>
      <c r="I935" t="n">
        <v>0</v>
      </c>
      <c r="J935" t="n">
        <v>0</v>
      </c>
      <c r="K935" t="n">
        <v>0</v>
      </c>
      <c r="L935" t="n">
        <v>0</v>
      </c>
      <c r="M935" t="n">
        <v>0</v>
      </c>
      <c r="N935" t="n">
        <v>0</v>
      </c>
      <c r="O935" t="n">
        <v>0</v>
      </c>
      <c r="P935" t="n">
        <v>0</v>
      </c>
      <c r="Q935" t="n">
        <v>0</v>
      </c>
      <c r="R935" s="2" t="inlineStr"/>
    </row>
    <row r="936" ht="15" customHeight="1">
      <c r="A936" t="inlineStr">
        <is>
          <t>A 7322-2026</t>
        </is>
      </c>
      <c r="B936" s="1" t="n">
        <v>46058.6759837963</v>
      </c>
      <c r="C936" s="1" t="n">
        <v>46092</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56811-2023</t>
        </is>
      </c>
      <c r="B937" s="1" t="n">
        <v>45244</v>
      </c>
      <c r="C937" s="1" t="n">
        <v>46092</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14120-2025</t>
        </is>
      </c>
      <c r="B938" s="1" t="n">
        <v>45740</v>
      </c>
      <c r="C938" s="1" t="n">
        <v>46092</v>
      </c>
      <c r="D938" t="inlineStr">
        <is>
          <t>VÄRMLANDS LÄN</t>
        </is>
      </c>
      <c r="E938" t="inlineStr">
        <is>
          <t>TORSBY</t>
        </is>
      </c>
      <c r="G938" t="n">
        <v>3.3</v>
      </c>
      <c r="H938" t="n">
        <v>0</v>
      </c>
      <c r="I938" t="n">
        <v>0</v>
      </c>
      <c r="J938" t="n">
        <v>0</v>
      </c>
      <c r="K938" t="n">
        <v>0</v>
      </c>
      <c r="L938" t="n">
        <v>0</v>
      </c>
      <c r="M938" t="n">
        <v>0</v>
      </c>
      <c r="N938" t="n">
        <v>0</v>
      </c>
      <c r="O938" t="n">
        <v>0</v>
      </c>
      <c r="P938" t="n">
        <v>0</v>
      </c>
      <c r="Q938" t="n">
        <v>0</v>
      </c>
      <c r="R938" s="2" t="inlineStr"/>
    </row>
    <row r="939" ht="15" customHeight="1">
      <c r="A939" t="inlineStr">
        <is>
          <t>A 45360-2025</t>
        </is>
      </c>
      <c r="B939" s="1" t="n">
        <v>45922.37266203704</v>
      </c>
      <c r="C939" s="1" t="n">
        <v>46092</v>
      </c>
      <c r="D939" t="inlineStr">
        <is>
          <t>VÄRMLANDS LÄN</t>
        </is>
      </c>
      <c r="E939" t="inlineStr">
        <is>
          <t>TORSBY</t>
        </is>
      </c>
      <c r="F939" t="inlineStr">
        <is>
          <t>Kommuner</t>
        </is>
      </c>
      <c r="G939" t="n">
        <v>1.1</v>
      </c>
      <c r="H939" t="n">
        <v>0</v>
      </c>
      <c r="I939" t="n">
        <v>0</v>
      </c>
      <c r="J939" t="n">
        <v>0</v>
      </c>
      <c r="K939" t="n">
        <v>0</v>
      </c>
      <c r="L939" t="n">
        <v>0</v>
      </c>
      <c r="M939" t="n">
        <v>0</v>
      </c>
      <c r="N939" t="n">
        <v>0</v>
      </c>
      <c r="O939" t="n">
        <v>0</v>
      </c>
      <c r="P939" t="n">
        <v>0</v>
      </c>
      <c r="Q939" t="n">
        <v>0</v>
      </c>
      <c r="R939" s="2" t="inlineStr"/>
    </row>
    <row r="940" ht="15" customHeight="1">
      <c r="A940" t="inlineStr">
        <is>
          <t>A 45615-2025</t>
        </is>
      </c>
      <c r="B940" s="1" t="n">
        <v>45921</v>
      </c>
      <c r="C940" s="1" t="n">
        <v>46092</v>
      </c>
      <c r="D940" t="inlineStr">
        <is>
          <t>VÄRMLANDS LÄN</t>
        </is>
      </c>
      <c r="E940" t="inlineStr">
        <is>
          <t>TORSBY</t>
        </is>
      </c>
      <c r="G940" t="n">
        <v>7</v>
      </c>
      <c r="H940" t="n">
        <v>0</v>
      </c>
      <c r="I940" t="n">
        <v>0</v>
      </c>
      <c r="J940" t="n">
        <v>0</v>
      </c>
      <c r="K940" t="n">
        <v>0</v>
      </c>
      <c r="L940" t="n">
        <v>0</v>
      </c>
      <c r="M940" t="n">
        <v>0</v>
      </c>
      <c r="N940" t="n">
        <v>0</v>
      </c>
      <c r="O940" t="n">
        <v>0</v>
      </c>
      <c r="P940" t="n">
        <v>0</v>
      </c>
      <c r="Q940" t="n">
        <v>0</v>
      </c>
      <c r="R940" s="2" t="inlineStr"/>
    </row>
    <row r="941" ht="15" customHeight="1">
      <c r="A941" t="inlineStr">
        <is>
          <t>A 56107-2024</t>
        </is>
      </c>
      <c r="B941" s="1" t="n">
        <v>45624.44055555556</v>
      </c>
      <c r="C941" s="1" t="n">
        <v>46092</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25428-2025</t>
        </is>
      </c>
      <c r="B942" s="1" t="n">
        <v>45800.71540509259</v>
      </c>
      <c r="C942" s="1" t="n">
        <v>46092</v>
      </c>
      <c r="D942" t="inlineStr">
        <is>
          <t>VÄRMLANDS LÄN</t>
        </is>
      </c>
      <c r="E942" t="inlineStr">
        <is>
          <t>TORSBY</t>
        </is>
      </c>
      <c r="G942" t="n">
        <v>1.7</v>
      </c>
      <c r="H942" t="n">
        <v>0</v>
      </c>
      <c r="I942" t="n">
        <v>0</v>
      </c>
      <c r="J942" t="n">
        <v>0</v>
      </c>
      <c r="K942" t="n">
        <v>0</v>
      </c>
      <c r="L942" t="n">
        <v>0</v>
      </c>
      <c r="M942" t="n">
        <v>0</v>
      </c>
      <c r="N942" t="n">
        <v>0</v>
      </c>
      <c r="O942" t="n">
        <v>0</v>
      </c>
      <c r="P942" t="n">
        <v>0</v>
      </c>
      <c r="Q942" t="n">
        <v>0</v>
      </c>
      <c r="R942" s="2" t="inlineStr"/>
    </row>
    <row r="943" ht="15" customHeight="1">
      <c r="A943" t="inlineStr">
        <is>
          <t>A 42414-2024</t>
        </is>
      </c>
      <c r="B943" s="1" t="n">
        <v>45565</v>
      </c>
      <c r="C943" s="1" t="n">
        <v>46092</v>
      </c>
      <c r="D943" t="inlineStr">
        <is>
          <t>VÄRMLANDS LÄN</t>
        </is>
      </c>
      <c r="E943" t="inlineStr">
        <is>
          <t>TORSBY</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63781-2025</t>
        </is>
      </c>
      <c r="B944" s="1" t="n">
        <v>46019.56042824074</v>
      </c>
      <c r="C944" s="1" t="n">
        <v>46092</v>
      </c>
      <c r="D944" t="inlineStr">
        <is>
          <t>VÄRMLANDS LÄN</t>
        </is>
      </c>
      <c r="E944" t="inlineStr">
        <is>
          <t>TORSBY</t>
        </is>
      </c>
      <c r="G944" t="n">
        <v>5.4</v>
      </c>
      <c r="H944" t="n">
        <v>0</v>
      </c>
      <c r="I944" t="n">
        <v>0</v>
      </c>
      <c r="J944" t="n">
        <v>0</v>
      </c>
      <c r="K944" t="n">
        <v>0</v>
      </c>
      <c r="L944" t="n">
        <v>0</v>
      </c>
      <c r="M944" t="n">
        <v>0</v>
      </c>
      <c r="N944" t="n">
        <v>0</v>
      </c>
      <c r="O944" t="n">
        <v>0</v>
      </c>
      <c r="P944" t="n">
        <v>0</v>
      </c>
      <c r="Q944" t="n">
        <v>0</v>
      </c>
      <c r="R944" s="2" t="inlineStr"/>
    </row>
    <row r="945" ht="15" customHeight="1">
      <c r="A945" t="inlineStr">
        <is>
          <t>A 26124-2024</t>
        </is>
      </c>
      <c r="B945" s="1" t="n">
        <v>45468</v>
      </c>
      <c r="C945" s="1" t="n">
        <v>46092</v>
      </c>
      <c r="D945" t="inlineStr">
        <is>
          <t>VÄRMLANDS LÄN</t>
        </is>
      </c>
      <c r="E945" t="inlineStr">
        <is>
          <t>TORSBY</t>
        </is>
      </c>
      <c r="G945" t="n">
        <v>5.7</v>
      </c>
      <c r="H945" t="n">
        <v>0</v>
      </c>
      <c r="I945" t="n">
        <v>0</v>
      </c>
      <c r="J945" t="n">
        <v>0</v>
      </c>
      <c r="K945" t="n">
        <v>0</v>
      </c>
      <c r="L945" t="n">
        <v>0</v>
      </c>
      <c r="M945" t="n">
        <v>0</v>
      </c>
      <c r="N945" t="n">
        <v>0</v>
      </c>
      <c r="O945" t="n">
        <v>0</v>
      </c>
      <c r="P945" t="n">
        <v>0</v>
      </c>
      <c r="Q945" t="n">
        <v>0</v>
      </c>
      <c r="R945" s="2" t="inlineStr"/>
    </row>
    <row r="946" ht="15" customHeight="1">
      <c r="A946" t="inlineStr">
        <is>
          <t>A 45489-2025</t>
        </is>
      </c>
      <c r="B946" s="1" t="n">
        <v>45921</v>
      </c>
      <c r="C946" s="1" t="n">
        <v>46092</v>
      </c>
      <c r="D946" t="inlineStr">
        <is>
          <t>VÄRMLANDS LÄN</t>
        </is>
      </c>
      <c r="E946" t="inlineStr">
        <is>
          <t>TORSBY</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45490-2025</t>
        </is>
      </c>
      <c r="B947" s="1" t="n">
        <v>45921</v>
      </c>
      <c r="C947" s="1" t="n">
        <v>46092</v>
      </c>
      <c r="D947" t="inlineStr">
        <is>
          <t>VÄRMLANDS LÄN</t>
        </is>
      </c>
      <c r="E947" t="inlineStr">
        <is>
          <t>TORSBY</t>
        </is>
      </c>
      <c r="G947" t="n">
        <v>5.2</v>
      </c>
      <c r="H947" t="n">
        <v>0</v>
      </c>
      <c r="I947" t="n">
        <v>0</v>
      </c>
      <c r="J947" t="n">
        <v>0</v>
      </c>
      <c r="K947" t="n">
        <v>0</v>
      </c>
      <c r="L947" t="n">
        <v>0</v>
      </c>
      <c r="M947" t="n">
        <v>0</v>
      </c>
      <c r="N947" t="n">
        <v>0</v>
      </c>
      <c r="O947" t="n">
        <v>0</v>
      </c>
      <c r="P947" t="n">
        <v>0</v>
      </c>
      <c r="Q947" t="n">
        <v>0</v>
      </c>
      <c r="R947" s="2" t="inlineStr"/>
    </row>
    <row r="948" ht="15" customHeight="1">
      <c r="A948" t="inlineStr">
        <is>
          <t>A 45508-2025</t>
        </is>
      </c>
      <c r="B948" s="1" t="n">
        <v>45922</v>
      </c>
      <c r="C948" s="1" t="n">
        <v>46092</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64042-2025</t>
        </is>
      </c>
      <c r="B949" s="1" t="n">
        <v>46021</v>
      </c>
      <c r="C949" s="1" t="n">
        <v>46092</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45679-2025</t>
        </is>
      </c>
      <c r="B950" s="1" t="n">
        <v>45923.36864583333</v>
      </c>
      <c r="C950" s="1" t="n">
        <v>46092</v>
      </c>
      <c r="D950" t="inlineStr">
        <is>
          <t>VÄRMLANDS LÄN</t>
        </is>
      </c>
      <c r="E950" t="inlineStr">
        <is>
          <t>TORSBY</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45825-2025</t>
        </is>
      </c>
      <c r="B951" s="1" t="n">
        <v>45923.59983796296</v>
      </c>
      <c r="C951" s="1" t="n">
        <v>46092</v>
      </c>
      <c r="D951" t="inlineStr">
        <is>
          <t>VÄRMLANDS LÄN</t>
        </is>
      </c>
      <c r="E951" t="inlineStr">
        <is>
          <t>TORSBY</t>
        </is>
      </c>
      <c r="G951" t="n">
        <v>11.4</v>
      </c>
      <c r="H951" t="n">
        <v>0</v>
      </c>
      <c r="I951" t="n">
        <v>0</v>
      </c>
      <c r="J951" t="n">
        <v>0</v>
      </c>
      <c r="K951" t="n">
        <v>0</v>
      </c>
      <c r="L951" t="n">
        <v>0</v>
      </c>
      <c r="M951" t="n">
        <v>0</v>
      </c>
      <c r="N951" t="n">
        <v>0</v>
      </c>
      <c r="O951" t="n">
        <v>0</v>
      </c>
      <c r="P951" t="n">
        <v>0</v>
      </c>
      <c r="Q951" t="n">
        <v>0</v>
      </c>
      <c r="R951" s="2" t="inlineStr"/>
    </row>
    <row r="952" ht="15" customHeight="1">
      <c r="A952" t="inlineStr">
        <is>
          <t>A 11878-2024</t>
        </is>
      </c>
      <c r="B952" s="1" t="n">
        <v>45376.47877314815</v>
      </c>
      <c r="C952" s="1" t="n">
        <v>46092</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8038-2026</t>
        </is>
      </c>
      <c r="B953" s="1" t="n">
        <v>46063.59967592593</v>
      </c>
      <c r="C953" s="1" t="n">
        <v>46092</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53381-2022</t>
        </is>
      </c>
      <c r="B954" s="1" t="n">
        <v>44879</v>
      </c>
      <c r="C954" s="1" t="n">
        <v>46092</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45967-2025</t>
        </is>
      </c>
      <c r="B955" s="1" t="n">
        <v>45924</v>
      </c>
      <c r="C955" s="1" t="n">
        <v>46092</v>
      </c>
      <c r="D955" t="inlineStr">
        <is>
          <t>VÄRMLANDS LÄN</t>
        </is>
      </c>
      <c r="E955" t="inlineStr">
        <is>
          <t>TORSBY</t>
        </is>
      </c>
      <c r="F955" t="inlineStr">
        <is>
          <t>Övriga Aktiebolag</t>
        </is>
      </c>
      <c r="G955" t="n">
        <v>1.9</v>
      </c>
      <c r="H955" t="n">
        <v>0</v>
      </c>
      <c r="I955" t="n">
        <v>0</v>
      </c>
      <c r="J955" t="n">
        <v>0</v>
      </c>
      <c r="K955" t="n">
        <v>0</v>
      </c>
      <c r="L955" t="n">
        <v>0</v>
      </c>
      <c r="M955" t="n">
        <v>0</v>
      </c>
      <c r="N955" t="n">
        <v>0</v>
      </c>
      <c r="O955" t="n">
        <v>0</v>
      </c>
      <c r="P955" t="n">
        <v>0</v>
      </c>
      <c r="Q955" t="n">
        <v>0</v>
      </c>
      <c r="R955" s="2" t="inlineStr"/>
    </row>
    <row r="956" ht="15" customHeight="1">
      <c r="A956" t="inlineStr">
        <is>
          <t>A 46503-2025</t>
        </is>
      </c>
      <c r="B956" s="1" t="n">
        <v>45925</v>
      </c>
      <c r="C956" s="1" t="n">
        <v>46092</v>
      </c>
      <c r="D956" t="inlineStr">
        <is>
          <t>VÄRMLANDS LÄN</t>
        </is>
      </c>
      <c r="E956" t="inlineStr">
        <is>
          <t>TORSBY</t>
        </is>
      </c>
      <c r="G956" t="n">
        <v>5.4</v>
      </c>
      <c r="H956" t="n">
        <v>0</v>
      </c>
      <c r="I956" t="n">
        <v>0</v>
      </c>
      <c r="J956" t="n">
        <v>0</v>
      </c>
      <c r="K956" t="n">
        <v>0</v>
      </c>
      <c r="L956" t="n">
        <v>0</v>
      </c>
      <c r="M956" t="n">
        <v>0</v>
      </c>
      <c r="N956" t="n">
        <v>0</v>
      </c>
      <c r="O956" t="n">
        <v>0</v>
      </c>
      <c r="P956" t="n">
        <v>0</v>
      </c>
      <c r="Q956" t="n">
        <v>0</v>
      </c>
      <c r="R956" s="2" t="inlineStr"/>
    </row>
    <row r="957" ht="15" customHeight="1">
      <c r="A957" t="inlineStr">
        <is>
          <t>A 41160-2023</t>
        </is>
      </c>
      <c r="B957" s="1" t="n">
        <v>45174</v>
      </c>
      <c r="C957" s="1" t="n">
        <v>46092</v>
      </c>
      <c r="D957" t="inlineStr">
        <is>
          <t>VÄRMLANDS LÄN</t>
        </is>
      </c>
      <c r="E957" t="inlineStr">
        <is>
          <t>TORSBY</t>
        </is>
      </c>
      <c r="F957" t="inlineStr">
        <is>
          <t>Kyrkan</t>
        </is>
      </c>
      <c r="G957" t="n">
        <v>2.7</v>
      </c>
      <c r="H957" t="n">
        <v>0</v>
      </c>
      <c r="I957" t="n">
        <v>0</v>
      </c>
      <c r="J957" t="n">
        <v>0</v>
      </c>
      <c r="K957" t="n">
        <v>0</v>
      </c>
      <c r="L957" t="n">
        <v>0</v>
      </c>
      <c r="M957" t="n">
        <v>0</v>
      </c>
      <c r="N957" t="n">
        <v>0</v>
      </c>
      <c r="O957" t="n">
        <v>0</v>
      </c>
      <c r="P957" t="n">
        <v>0</v>
      </c>
      <c r="Q957" t="n">
        <v>0</v>
      </c>
      <c r="R957" s="2" t="inlineStr"/>
    </row>
    <row r="958" ht="15" customHeight="1">
      <c r="A958" t="inlineStr">
        <is>
          <t>A 25443-2025</t>
        </is>
      </c>
      <c r="B958" s="1" t="n">
        <v>45801.49258101852</v>
      </c>
      <c r="C958" s="1" t="n">
        <v>46092</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46293-2025</t>
        </is>
      </c>
      <c r="B959" s="1" t="n">
        <v>45925.39297453704</v>
      </c>
      <c r="C959" s="1" t="n">
        <v>46092</v>
      </c>
      <c r="D959" t="inlineStr">
        <is>
          <t>VÄRMLANDS LÄN</t>
        </is>
      </c>
      <c r="E959" t="inlineStr">
        <is>
          <t>TORSBY</t>
        </is>
      </c>
      <c r="G959" t="n">
        <v>24.3</v>
      </c>
      <c r="H959" t="n">
        <v>0</v>
      </c>
      <c r="I959" t="n">
        <v>0</v>
      </c>
      <c r="J959" t="n">
        <v>0</v>
      </c>
      <c r="K959" t="n">
        <v>0</v>
      </c>
      <c r="L959" t="n">
        <v>0</v>
      </c>
      <c r="M959" t="n">
        <v>0</v>
      </c>
      <c r="N959" t="n">
        <v>0</v>
      </c>
      <c r="O959" t="n">
        <v>0</v>
      </c>
      <c r="P959" t="n">
        <v>0</v>
      </c>
      <c r="Q959" t="n">
        <v>0</v>
      </c>
      <c r="R959" s="2" t="inlineStr"/>
    </row>
    <row r="960" ht="15" customHeight="1">
      <c r="A960" t="inlineStr">
        <is>
          <t>A 63908-2025</t>
        </is>
      </c>
      <c r="B960" s="1" t="n">
        <v>46020</v>
      </c>
      <c r="C960" s="1" t="n">
        <v>46092</v>
      </c>
      <c r="D960" t="inlineStr">
        <is>
          <t>VÄRMLANDS LÄN</t>
        </is>
      </c>
      <c r="E960" t="inlineStr">
        <is>
          <t>TORSBY</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45966-2025</t>
        </is>
      </c>
      <c r="B961" s="1" t="n">
        <v>45924</v>
      </c>
      <c r="C961" s="1" t="n">
        <v>46092</v>
      </c>
      <c r="D961" t="inlineStr">
        <is>
          <t>VÄRMLANDS LÄN</t>
        </is>
      </c>
      <c r="E961" t="inlineStr">
        <is>
          <t>TORSBY</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51843-2022</t>
        </is>
      </c>
      <c r="B962" s="1" t="n">
        <v>44872</v>
      </c>
      <c r="C962" s="1" t="n">
        <v>46092</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6534-2025</t>
        </is>
      </c>
      <c r="B963" s="1" t="n">
        <v>45699</v>
      </c>
      <c r="C963" s="1" t="n">
        <v>46092</v>
      </c>
      <c r="D963" t="inlineStr">
        <is>
          <t>VÄRMLANDS LÄN</t>
        </is>
      </c>
      <c r="E963" t="inlineStr">
        <is>
          <t>TORSBY</t>
        </is>
      </c>
      <c r="F963" t="inlineStr">
        <is>
          <t>Kommuner</t>
        </is>
      </c>
      <c r="G963" t="n">
        <v>0.1</v>
      </c>
      <c r="H963" t="n">
        <v>0</v>
      </c>
      <c r="I963" t="n">
        <v>0</v>
      </c>
      <c r="J963" t="n">
        <v>0</v>
      </c>
      <c r="K963" t="n">
        <v>0</v>
      </c>
      <c r="L963" t="n">
        <v>0</v>
      </c>
      <c r="M963" t="n">
        <v>0</v>
      </c>
      <c r="N963" t="n">
        <v>0</v>
      </c>
      <c r="O963" t="n">
        <v>0</v>
      </c>
      <c r="P963" t="n">
        <v>0</v>
      </c>
      <c r="Q963" t="n">
        <v>0</v>
      </c>
      <c r="R963" s="2" t="inlineStr"/>
    </row>
    <row r="964" ht="15" customHeight="1">
      <c r="A964" t="inlineStr">
        <is>
          <t>A 7178-2025</t>
        </is>
      </c>
      <c r="B964" s="1" t="n">
        <v>45702.42493055556</v>
      </c>
      <c r="C964" s="1" t="n">
        <v>46092</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22634-2023</t>
        </is>
      </c>
      <c r="B965" s="1" t="n">
        <v>45071</v>
      </c>
      <c r="C965" s="1" t="n">
        <v>46092</v>
      </c>
      <c r="D965" t="inlineStr">
        <is>
          <t>VÄRMLANDS LÄN</t>
        </is>
      </c>
      <c r="E965" t="inlineStr">
        <is>
          <t>TORSBY</t>
        </is>
      </c>
      <c r="F965" t="inlineStr">
        <is>
          <t>Bergvik skog väst AB</t>
        </is>
      </c>
      <c r="G965" t="n">
        <v>0.2</v>
      </c>
      <c r="H965" t="n">
        <v>0</v>
      </c>
      <c r="I965" t="n">
        <v>0</v>
      </c>
      <c r="J965" t="n">
        <v>0</v>
      </c>
      <c r="K965" t="n">
        <v>0</v>
      </c>
      <c r="L965" t="n">
        <v>0</v>
      </c>
      <c r="M965" t="n">
        <v>0</v>
      </c>
      <c r="N965" t="n">
        <v>0</v>
      </c>
      <c r="O965" t="n">
        <v>0</v>
      </c>
      <c r="P965" t="n">
        <v>0</v>
      </c>
      <c r="Q965" t="n">
        <v>0</v>
      </c>
      <c r="R965" s="2" t="inlineStr"/>
    </row>
    <row r="966" ht="15" customHeight="1">
      <c r="A966" t="inlineStr">
        <is>
          <t>A 7214-2025</t>
        </is>
      </c>
      <c r="B966" s="1" t="n">
        <v>45702</v>
      </c>
      <c r="C966" s="1" t="n">
        <v>46092</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7623-2026</t>
        </is>
      </c>
      <c r="B967" s="1" t="n">
        <v>46062</v>
      </c>
      <c r="C967" s="1" t="n">
        <v>46092</v>
      </c>
      <c r="D967" t="inlineStr">
        <is>
          <t>VÄRMLANDS LÄN</t>
        </is>
      </c>
      <c r="E967" t="inlineStr">
        <is>
          <t>TORSBY</t>
        </is>
      </c>
      <c r="G967" t="n">
        <v>3.1</v>
      </c>
      <c r="H967" t="n">
        <v>0</v>
      </c>
      <c r="I967" t="n">
        <v>0</v>
      </c>
      <c r="J967" t="n">
        <v>0</v>
      </c>
      <c r="K967" t="n">
        <v>0</v>
      </c>
      <c r="L967" t="n">
        <v>0</v>
      </c>
      <c r="M967" t="n">
        <v>0</v>
      </c>
      <c r="N967" t="n">
        <v>0</v>
      </c>
      <c r="O967" t="n">
        <v>0</v>
      </c>
      <c r="P967" t="n">
        <v>0</v>
      </c>
      <c r="Q967" t="n">
        <v>0</v>
      </c>
      <c r="R967" s="2" t="inlineStr"/>
    </row>
    <row r="968" ht="15" customHeight="1">
      <c r="A968" t="inlineStr">
        <is>
          <t>A 25369-2025</t>
        </is>
      </c>
      <c r="B968" s="1" t="n">
        <v>45800.63046296296</v>
      </c>
      <c r="C968" s="1" t="n">
        <v>46092</v>
      </c>
      <c r="D968" t="inlineStr">
        <is>
          <t>VÄRMLANDS LÄN</t>
        </is>
      </c>
      <c r="E968" t="inlineStr">
        <is>
          <t>TORSBY</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25545-2025</t>
        </is>
      </c>
      <c r="B969" s="1" t="n">
        <v>45803.43763888889</v>
      </c>
      <c r="C969" s="1" t="n">
        <v>46092</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46334-2025</t>
        </is>
      </c>
      <c r="B970" s="1" t="n">
        <v>45925.45925925926</v>
      </c>
      <c r="C970" s="1" t="n">
        <v>46092</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27347-2024</t>
        </is>
      </c>
      <c r="B971" s="1" t="n">
        <v>45473.59798611111</v>
      </c>
      <c r="C971" s="1" t="n">
        <v>46092</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46493-2025</t>
        </is>
      </c>
      <c r="B972" s="1" t="n">
        <v>45925</v>
      </c>
      <c r="C972" s="1" t="n">
        <v>46092</v>
      </c>
      <c r="D972" t="inlineStr">
        <is>
          <t>VÄRMLANDS LÄN</t>
        </is>
      </c>
      <c r="E972" t="inlineStr">
        <is>
          <t>TORSBY</t>
        </is>
      </c>
      <c r="G972" t="n">
        <v>0.3</v>
      </c>
      <c r="H972" t="n">
        <v>0</v>
      </c>
      <c r="I972" t="n">
        <v>0</v>
      </c>
      <c r="J972" t="n">
        <v>0</v>
      </c>
      <c r="K972" t="n">
        <v>0</v>
      </c>
      <c r="L972" t="n">
        <v>0</v>
      </c>
      <c r="M972" t="n">
        <v>0</v>
      </c>
      <c r="N972" t="n">
        <v>0</v>
      </c>
      <c r="O972" t="n">
        <v>0</v>
      </c>
      <c r="P972" t="n">
        <v>0</v>
      </c>
      <c r="Q972" t="n">
        <v>0</v>
      </c>
      <c r="R972" s="2" t="inlineStr"/>
    </row>
    <row r="973" ht="15" customHeight="1">
      <c r="A973" t="inlineStr">
        <is>
          <t>A 41377-2021</t>
        </is>
      </c>
      <c r="B973" s="1" t="n">
        <v>44424.65148148148</v>
      </c>
      <c r="C973" s="1" t="n">
        <v>46092</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26231-2025</t>
        </is>
      </c>
      <c r="B974" s="1" t="n">
        <v>45805</v>
      </c>
      <c r="C974" s="1" t="n">
        <v>46092</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54766-2023</t>
        </is>
      </c>
      <c r="B975" s="1" t="n">
        <v>45236</v>
      </c>
      <c r="C975" s="1" t="n">
        <v>46092</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46326-2025</t>
        </is>
      </c>
      <c r="B976" s="1" t="n">
        <v>45925.45237268518</v>
      </c>
      <c r="C976" s="1" t="n">
        <v>46092</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9381-2024</t>
        </is>
      </c>
      <c r="B977" s="1" t="n">
        <v>45359</v>
      </c>
      <c r="C977" s="1" t="n">
        <v>46092</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46243-2025</t>
        </is>
      </c>
      <c r="B978" s="1" t="n">
        <v>45925.32122685185</v>
      </c>
      <c r="C978" s="1" t="n">
        <v>46092</v>
      </c>
      <c r="D978" t="inlineStr">
        <is>
          <t>VÄRMLANDS LÄN</t>
        </is>
      </c>
      <c r="E978" t="inlineStr">
        <is>
          <t>TORSBY</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46102-2025</t>
        </is>
      </c>
      <c r="B979" s="1" t="n">
        <v>45924</v>
      </c>
      <c r="C979" s="1" t="n">
        <v>46092</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46110-2025</t>
        </is>
      </c>
      <c r="B980" s="1" t="n">
        <v>45924</v>
      </c>
      <c r="C980" s="1" t="n">
        <v>46092</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38699-2022</t>
        </is>
      </c>
      <c r="B981" s="1" t="n">
        <v>44814.53259259259</v>
      </c>
      <c r="C981" s="1" t="n">
        <v>46092</v>
      </c>
      <c r="D981" t="inlineStr">
        <is>
          <t>VÄRMLANDS LÄN</t>
        </is>
      </c>
      <c r="E981" t="inlineStr">
        <is>
          <t>TORSBY</t>
        </is>
      </c>
      <c r="F981" t="inlineStr">
        <is>
          <t>Bergvik skog väst AB</t>
        </is>
      </c>
      <c r="G981" t="n">
        <v>22.6</v>
      </c>
      <c r="H981" t="n">
        <v>0</v>
      </c>
      <c r="I981" t="n">
        <v>0</v>
      </c>
      <c r="J981" t="n">
        <v>0</v>
      </c>
      <c r="K981" t="n">
        <v>0</v>
      </c>
      <c r="L981" t="n">
        <v>0</v>
      </c>
      <c r="M981" t="n">
        <v>0</v>
      </c>
      <c r="N981" t="n">
        <v>0</v>
      </c>
      <c r="O981" t="n">
        <v>0</v>
      </c>
      <c r="P981" t="n">
        <v>0</v>
      </c>
      <c r="Q981" t="n">
        <v>0</v>
      </c>
      <c r="R981" s="2" t="inlineStr"/>
    </row>
    <row r="982" ht="15" customHeight="1">
      <c r="A982" t="inlineStr">
        <is>
          <t>A 8297-2026</t>
        </is>
      </c>
      <c r="B982" s="1" t="n">
        <v>46064.575625</v>
      </c>
      <c r="C982" s="1" t="n">
        <v>46092</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20847-2023</t>
        </is>
      </c>
      <c r="B983" s="1" t="n">
        <v>45056</v>
      </c>
      <c r="C983" s="1" t="n">
        <v>46092</v>
      </c>
      <c r="D983" t="inlineStr">
        <is>
          <t>VÄRMLANDS LÄN</t>
        </is>
      </c>
      <c r="E983" t="inlineStr">
        <is>
          <t>TORSBY</t>
        </is>
      </c>
      <c r="G983" t="n">
        <v>13.9</v>
      </c>
      <c r="H983" t="n">
        <v>0</v>
      </c>
      <c r="I983" t="n">
        <v>0</v>
      </c>
      <c r="J983" t="n">
        <v>0</v>
      </c>
      <c r="K983" t="n">
        <v>0</v>
      </c>
      <c r="L983" t="n">
        <v>0</v>
      </c>
      <c r="M983" t="n">
        <v>0</v>
      </c>
      <c r="N983" t="n">
        <v>0</v>
      </c>
      <c r="O983" t="n">
        <v>0</v>
      </c>
      <c r="P983" t="n">
        <v>0</v>
      </c>
      <c r="Q983" t="n">
        <v>0</v>
      </c>
      <c r="R983" s="2" t="inlineStr"/>
    </row>
    <row r="984" ht="15" customHeight="1">
      <c r="A984" t="inlineStr">
        <is>
          <t>A 8164-2026</t>
        </is>
      </c>
      <c r="B984" s="1" t="n">
        <v>46064.38511574074</v>
      </c>
      <c r="C984" s="1" t="n">
        <v>46092</v>
      </c>
      <c r="D984" t="inlineStr">
        <is>
          <t>VÄRMLANDS LÄN</t>
        </is>
      </c>
      <c r="E984" t="inlineStr">
        <is>
          <t>TORSBY</t>
        </is>
      </c>
      <c r="G984" t="n">
        <v>2.4</v>
      </c>
      <c r="H984" t="n">
        <v>0</v>
      </c>
      <c r="I984" t="n">
        <v>0</v>
      </c>
      <c r="J984" t="n">
        <v>0</v>
      </c>
      <c r="K984" t="n">
        <v>0</v>
      </c>
      <c r="L984" t="n">
        <v>0</v>
      </c>
      <c r="M984" t="n">
        <v>0</v>
      </c>
      <c r="N984" t="n">
        <v>0</v>
      </c>
      <c r="O984" t="n">
        <v>0</v>
      </c>
      <c r="P984" t="n">
        <v>0</v>
      </c>
      <c r="Q984" t="n">
        <v>0</v>
      </c>
      <c r="R984" s="2" t="inlineStr"/>
    </row>
    <row r="985" ht="15" customHeight="1">
      <c r="A985" t="inlineStr">
        <is>
          <t>A 7311-2026</t>
        </is>
      </c>
      <c r="B985" s="1" t="n">
        <v>46058</v>
      </c>
      <c r="C985" s="1" t="n">
        <v>46092</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8147-2026</t>
        </is>
      </c>
      <c r="B986" s="1" t="n">
        <v>46064.35064814815</v>
      </c>
      <c r="C986" s="1" t="n">
        <v>46092</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25807-2025</t>
        </is>
      </c>
      <c r="B987" s="1" t="n">
        <v>45804.41055555556</v>
      </c>
      <c r="C987" s="1" t="n">
        <v>46092</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54777-2023</t>
        </is>
      </c>
      <c r="B988" s="1" t="n">
        <v>45236</v>
      </c>
      <c r="C988" s="1" t="n">
        <v>46092</v>
      </c>
      <c r="D988" t="inlineStr">
        <is>
          <t>VÄRMLANDS LÄN</t>
        </is>
      </c>
      <c r="E988" t="inlineStr">
        <is>
          <t>TORSBY</t>
        </is>
      </c>
      <c r="F988" t="inlineStr">
        <is>
          <t>Bergvik skog väst AB</t>
        </is>
      </c>
      <c r="G988" t="n">
        <v>7.9</v>
      </c>
      <c r="H988" t="n">
        <v>0</v>
      </c>
      <c r="I988" t="n">
        <v>0</v>
      </c>
      <c r="J988" t="n">
        <v>0</v>
      </c>
      <c r="K988" t="n">
        <v>0</v>
      </c>
      <c r="L988" t="n">
        <v>0</v>
      </c>
      <c r="M988" t="n">
        <v>0</v>
      </c>
      <c r="N988" t="n">
        <v>0</v>
      </c>
      <c r="O988" t="n">
        <v>0</v>
      </c>
      <c r="P988" t="n">
        <v>0</v>
      </c>
      <c r="Q988" t="n">
        <v>0</v>
      </c>
      <c r="R988" s="2" t="inlineStr"/>
    </row>
    <row r="989" ht="15" customHeight="1">
      <c r="A989" t="inlineStr">
        <is>
          <t>A 46921-2025</t>
        </is>
      </c>
      <c r="B989" s="1" t="n">
        <v>45929.43655092592</v>
      </c>
      <c r="C989" s="1" t="n">
        <v>46092</v>
      </c>
      <c r="D989" t="inlineStr">
        <is>
          <t>VÄRMLANDS LÄN</t>
        </is>
      </c>
      <c r="E989" t="inlineStr">
        <is>
          <t>TORSBY</t>
        </is>
      </c>
      <c r="G989" t="n">
        <v>7</v>
      </c>
      <c r="H989" t="n">
        <v>0</v>
      </c>
      <c r="I989" t="n">
        <v>0</v>
      </c>
      <c r="J989" t="n">
        <v>0</v>
      </c>
      <c r="K989" t="n">
        <v>0</v>
      </c>
      <c r="L989" t="n">
        <v>0</v>
      </c>
      <c r="M989" t="n">
        <v>0</v>
      </c>
      <c r="N989" t="n">
        <v>0</v>
      </c>
      <c r="O989" t="n">
        <v>0</v>
      </c>
      <c r="P989" t="n">
        <v>0</v>
      </c>
      <c r="Q989" t="n">
        <v>0</v>
      </c>
      <c r="R989" s="2" t="inlineStr"/>
    </row>
    <row r="990" ht="15" customHeight="1">
      <c r="A990" t="inlineStr">
        <is>
          <t>A 18595-2025</t>
        </is>
      </c>
      <c r="B990" s="1" t="n">
        <v>45763</v>
      </c>
      <c r="C990" s="1" t="n">
        <v>46092</v>
      </c>
      <c r="D990" t="inlineStr">
        <is>
          <t>VÄRMLANDS LÄN</t>
        </is>
      </c>
      <c r="E990" t="inlineStr">
        <is>
          <t>TORSBY</t>
        </is>
      </c>
      <c r="F990" t="inlineStr">
        <is>
          <t>Kyrkan</t>
        </is>
      </c>
      <c r="G990" t="n">
        <v>7.9</v>
      </c>
      <c r="H990" t="n">
        <v>0</v>
      </c>
      <c r="I990" t="n">
        <v>0</v>
      </c>
      <c r="J990" t="n">
        <v>0</v>
      </c>
      <c r="K990" t="n">
        <v>0</v>
      </c>
      <c r="L990" t="n">
        <v>0</v>
      </c>
      <c r="M990" t="n">
        <v>0</v>
      </c>
      <c r="N990" t="n">
        <v>0</v>
      </c>
      <c r="O990" t="n">
        <v>0</v>
      </c>
      <c r="P990" t="n">
        <v>0</v>
      </c>
      <c r="Q990" t="n">
        <v>0</v>
      </c>
      <c r="R990" s="2" t="inlineStr"/>
    </row>
    <row r="991" ht="15" customHeight="1">
      <c r="A991" t="inlineStr">
        <is>
          <t>A 46865-2025</t>
        </is>
      </c>
      <c r="B991" s="1" t="n">
        <v>45929</v>
      </c>
      <c r="C991" s="1" t="n">
        <v>46092</v>
      </c>
      <c r="D991" t="inlineStr">
        <is>
          <t>VÄRMLANDS LÄN</t>
        </is>
      </c>
      <c r="E991" t="inlineStr">
        <is>
          <t>TORSBY</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58304-2024</t>
        </is>
      </c>
      <c r="B992" s="1" t="n">
        <v>45632</v>
      </c>
      <c r="C992" s="1" t="n">
        <v>46092</v>
      </c>
      <c r="D992" t="inlineStr">
        <is>
          <t>VÄRMLANDS LÄN</t>
        </is>
      </c>
      <c r="E992" t="inlineStr">
        <is>
          <t>TORSBY</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46695-2025</t>
        </is>
      </c>
      <c r="B993" s="1" t="n">
        <v>45926</v>
      </c>
      <c r="C993" s="1" t="n">
        <v>46092</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46658-2025</t>
        </is>
      </c>
      <c r="B994" s="1" t="n">
        <v>45926.49914351852</v>
      </c>
      <c r="C994" s="1" t="n">
        <v>46092</v>
      </c>
      <c r="D994" t="inlineStr">
        <is>
          <t>VÄRMLANDS LÄN</t>
        </is>
      </c>
      <c r="E994" t="inlineStr">
        <is>
          <t>TORSBY</t>
        </is>
      </c>
      <c r="F994" t="inlineStr">
        <is>
          <t>Bergvik skog väst AB</t>
        </is>
      </c>
      <c r="G994" t="n">
        <v>5.4</v>
      </c>
      <c r="H994" t="n">
        <v>0</v>
      </c>
      <c r="I994" t="n">
        <v>0</v>
      </c>
      <c r="J994" t="n">
        <v>0</v>
      </c>
      <c r="K994" t="n">
        <v>0</v>
      </c>
      <c r="L994" t="n">
        <v>0</v>
      </c>
      <c r="M994" t="n">
        <v>0</v>
      </c>
      <c r="N994" t="n">
        <v>0</v>
      </c>
      <c r="O994" t="n">
        <v>0</v>
      </c>
      <c r="P994" t="n">
        <v>0</v>
      </c>
      <c r="Q994" t="n">
        <v>0</v>
      </c>
      <c r="R994" s="2" t="inlineStr"/>
    </row>
    <row r="995" ht="15" customHeight="1">
      <c r="A995" t="inlineStr">
        <is>
          <t>A 15398-2025</t>
        </is>
      </c>
      <c r="B995" s="1" t="n">
        <v>45747.44309027777</v>
      </c>
      <c r="C995" s="1" t="n">
        <v>46092</v>
      </c>
      <c r="D995" t="inlineStr">
        <is>
          <t>VÄRMLANDS LÄN</t>
        </is>
      </c>
      <c r="E995" t="inlineStr">
        <is>
          <t>TORSBY</t>
        </is>
      </c>
      <c r="G995" t="n">
        <v>8</v>
      </c>
      <c r="H995" t="n">
        <v>0</v>
      </c>
      <c r="I995" t="n">
        <v>0</v>
      </c>
      <c r="J995" t="n">
        <v>0</v>
      </c>
      <c r="K995" t="n">
        <v>0</v>
      </c>
      <c r="L995" t="n">
        <v>0</v>
      </c>
      <c r="M995" t="n">
        <v>0</v>
      </c>
      <c r="N995" t="n">
        <v>0</v>
      </c>
      <c r="O995" t="n">
        <v>0</v>
      </c>
      <c r="P995" t="n">
        <v>0</v>
      </c>
      <c r="Q995" t="n">
        <v>0</v>
      </c>
      <c r="R995" s="2" t="inlineStr"/>
    </row>
    <row r="996" ht="15" customHeight="1">
      <c r="A996" t="inlineStr">
        <is>
          <t>A 46578-2025</t>
        </is>
      </c>
      <c r="B996" s="1" t="n">
        <v>45926.37353009259</v>
      </c>
      <c r="C996" s="1" t="n">
        <v>46092</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25949-2024</t>
        </is>
      </c>
      <c r="B997" s="1" t="n">
        <v>45467.6442824074</v>
      </c>
      <c r="C997" s="1" t="n">
        <v>46092</v>
      </c>
      <c r="D997" t="inlineStr">
        <is>
          <t>VÄRMLANDS LÄN</t>
        </is>
      </c>
      <c r="E997" t="inlineStr">
        <is>
          <t>TORSBY</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8222-2026</t>
        </is>
      </c>
      <c r="B998" s="1" t="n">
        <v>46064.46728009259</v>
      </c>
      <c r="C998" s="1" t="n">
        <v>46092</v>
      </c>
      <c r="D998" t="inlineStr">
        <is>
          <t>VÄRMLANDS LÄN</t>
        </is>
      </c>
      <c r="E998" t="inlineStr">
        <is>
          <t>TORSBY</t>
        </is>
      </c>
      <c r="G998" t="n">
        <v>9.1</v>
      </c>
      <c r="H998" t="n">
        <v>0</v>
      </c>
      <c r="I998" t="n">
        <v>0</v>
      </c>
      <c r="J998" t="n">
        <v>0</v>
      </c>
      <c r="K998" t="n">
        <v>0</v>
      </c>
      <c r="L998" t="n">
        <v>0</v>
      </c>
      <c r="M998" t="n">
        <v>0</v>
      </c>
      <c r="N998" t="n">
        <v>0</v>
      </c>
      <c r="O998" t="n">
        <v>0</v>
      </c>
      <c r="P998" t="n">
        <v>0</v>
      </c>
      <c r="Q998" t="n">
        <v>0</v>
      </c>
      <c r="R998" s="2" t="inlineStr"/>
    </row>
    <row r="999" ht="15" customHeight="1">
      <c r="A999" t="inlineStr">
        <is>
          <t>A 8263-2026</t>
        </is>
      </c>
      <c r="B999" s="1" t="n">
        <v>46064.5361574074</v>
      </c>
      <c r="C999" s="1" t="n">
        <v>46092</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25959-2025</t>
        </is>
      </c>
      <c r="B1000" s="1" t="n">
        <v>45804.60914351852</v>
      </c>
      <c r="C1000" s="1" t="n">
        <v>46092</v>
      </c>
      <c r="D1000" t="inlineStr">
        <is>
          <t>VÄRMLANDS LÄN</t>
        </is>
      </c>
      <c r="E1000" t="inlineStr">
        <is>
          <t>TORSBY</t>
        </is>
      </c>
      <c r="F1000" t="inlineStr">
        <is>
          <t>Bergvik skog väst AB</t>
        </is>
      </c>
      <c r="G1000" t="n">
        <v>17.6</v>
      </c>
      <c r="H1000" t="n">
        <v>0</v>
      </c>
      <c r="I1000" t="n">
        <v>0</v>
      </c>
      <c r="J1000" t="n">
        <v>0</v>
      </c>
      <c r="K1000" t="n">
        <v>0</v>
      </c>
      <c r="L1000" t="n">
        <v>0</v>
      </c>
      <c r="M1000" t="n">
        <v>0</v>
      </c>
      <c r="N1000" t="n">
        <v>0</v>
      </c>
      <c r="O1000" t="n">
        <v>0</v>
      </c>
      <c r="P1000" t="n">
        <v>0</v>
      </c>
      <c r="Q1000" t="n">
        <v>0</v>
      </c>
      <c r="R1000" s="2" t="inlineStr"/>
    </row>
    <row r="1001" ht="15" customHeight="1">
      <c r="A1001" t="inlineStr">
        <is>
          <t>A 8317-2026</t>
        </is>
      </c>
      <c r="B1001" s="1" t="n">
        <v>46064.60416666666</v>
      </c>
      <c r="C1001" s="1" t="n">
        <v>46092</v>
      </c>
      <c r="D1001" t="inlineStr">
        <is>
          <t>VÄRMLANDS LÄN</t>
        </is>
      </c>
      <c r="E1001" t="inlineStr">
        <is>
          <t>TORSBY</t>
        </is>
      </c>
      <c r="F1001" t="inlineStr">
        <is>
          <t>Bergvik skog väst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25917-2025</t>
        </is>
      </c>
      <c r="B1002" s="1" t="n">
        <v>45804.56704861111</v>
      </c>
      <c r="C1002" s="1" t="n">
        <v>46092</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26061-2025</t>
        </is>
      </c>
      <c r="B1003" s="1" t="n">
        <v>45805.24886574074</v>
      </c>
      <c r="C1003" s="1" t="n">
        <v>46092</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26158-2025</t>
        </is>
      </c>
      <c r="B1004" s="1" t="n">
        <v>45805</v>
      </c>
      <c r="C1004" s="1" t="n">
        <v>46092</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47047-2025</t>
        </is>
      </c>
      <c r="B1005" s="1" t="n">
        <v>45929</v>
      </c>
      <c r="C1005" s="1" t="n">
        <v>46092</v>
      </c>
      <c r="D1005" t="inlineStr">
        <is>
          <t>VÄRMLANDS LÄN</t>
        </is>
      </c>
      <c r="E1005" t="inlineStr">
        <is>
          <t>TORSBY</t>
        </is>
      </c>
      <c r="F1005" t="inlineStr">
        <is>
          <t>Kyrkan</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37401-2022</t>
        </is>
      </c>
      <c r="B1006" s="1" t="n">
        <v>44809</v>
      </c>
      <c r="C1006" s="1" t="n">
        <v>46092</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8165-2026</t>
        </is>
      </c>
      <c r="B1007" s="1" t="n">
        <v>46064.38872685185</v>
      </c>
      <c r="C1007" s="1" t="n">
        <v>46092</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46702-2025</t>
        </is>
      </c>
      <c r="B1008" s="1" t="n">
        <v>45926</v>
      </c>
      <c r="C1008" s="1" t="n">
        <v>46092</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25881-2025</t>
        </is>
      </c>
      <c r="B1009" s="1" t="n">
        <v>45804.49729166667</v>
      </c>
      <c r="C1009" s="1" t="n">
        <v>46092</v>
      </c>
      <c r="D1009" t="inlineStr">
        <is>
          <t>VÄRMLANDS LÄN</t>
        </is>
      </c>
      <c r="E1009" t="inlineStr">
        <is>
          <t>TORSBY</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25803-2025</t>
        </is>
      </c>
      <c r="B1010" s="1" t="n">
        <v>45804.40886574074</v>
      </c>
      <c r="C1010" s="1" t="n">
        <v>46092</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8149-2026</t>
        </is>
      </c>
      <c r="B1011" s="1" t="n">
        <v>46064.3527662037</v>
      </c>
      <c r="C1011" s="1" t="n">
        <v>46092</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26342-2025</t>
        </is>
      </c>
      <c r="B1012" s="1" t="n">
        <v>45805.70604166666</v>
      </c>
      <c r="C1012" s="1" t="n">
        <v>46092</v>
      </c>
      <c r="D1012" t="inlineStr">
        <is>
          <t>VÄRMLANDS LÄN</t>
        </is>
      </c>
      <c r="E1012" t="inlineStr">
        <is>
          <t>TORSBY</t>
        </is>
      </c>
      <c r="F1012" t="inlineStr">
        <is>
          <t>Bergvik skog väst AB</t>
        </is>
      </c>
      <c r="G1012" t="n">
        <v>13.6</v>
      </c>
      <c r="H1012" t="n">
        <v>0</v>
      </c>
      <c r="I1012" t="n">
        <v>0</v>
      </c>
      <c r="J1012" t="n">
        <v>0</v>
      </c>
      <c r="K1012" t="n">
        <v>0</v>
      </c>
      <c r="L1012" t="n">
        <v>0</v>
      </c>
      <c r="M1012" t="n">
        <v>0</v>
      </c>
      <c r="N1012" t="n">
        <v>0</v>
      </c>
      <c r="O1012" t="n">
        <v>0</v>
      </c>
      <c r="P1012" t="n">
        <v>0</v>
      </c>
      <c r="Q1012" t="n">
        <v>0</v>
      </c>
      <c r="R1012" s="2" t="inlineStr"/>
    </row>
    <row r="1013" ht="15" customHeight="1">
      <c r="A1013" t="inlineStr">
        <is>
          <t>A 26108-2025</t>
        </is>
      </c>
      <c r="B1013" s="1" t="n">
        <v>45805</v>
      </c>
      <c r="C1013" s="1" t="n">
        <v>46092</v>
      </c>
      <c r="D1013" t="inlineStr">
        <is>
          <t>VÄRMLANDS LÄN</t>
        </is>
      </c>
      <c r="E1013" t="inlineStr">
        <is>
          <t>TORSBY</t>
        </is>
      </c>
      <c r="F1013" t="inlineStr">
        <is>
          <t>Bergvik skog väst AB</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25859-2025</t>
        </is>
      </c>
      <c r="B1014" s="1" t="n">
        <v>45804.47244212963</v>
      </c>
      <c r="C1014" s="1" t="n">
        <v>46092</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7069-2022</t>
        </is>
      </c>
      <c r="B1015" s="1" t="n">
        <v>44603</v>
      </c>
      <c r="C1015" s="1" t="n">
        <v>46092</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46550-2025</t>
        </is>
      </c>
      <c r="B1016" s="1" t="n">
        <v>45926</v>
      </c>
      <c r="C1016" s="1" t="n">
        <v>46092</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21255-2023</t>
        </is>
      </c>
      <c r="B1017" s="1" t="n">
        <v>45058</v>
      </c>
      <c r="C1017" s="1" t="n">
        <v>46092</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2387-2025</t>
        </is>
      </c>
      <c r="B1018" s="1" t="n">
        <v>45674</v>
      </c>
      <c r="C1018" s="1" t="n">
        <v>46092</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25915-2025</t>
        </is>
      </c>
      <c r="B1019" s="1" t="n">
        <v>45804.56549768519</v>
      </c>
      <c r="C1019" s="1" t="n">
        <v>46092</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8224-2026</t>
        </is>
      </c>
      <c r="B1020" s="1" t="n">
        <v>46064.47239583333</v>
      </c>
      <c r="C1020" s="1" t="n">
        <v>46092</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25808-2025</t>
        </is>
      </c>
      <c r="B1021" s="1" t="n">
        <v>45804.41528935185</v>
      </c>
      <c r="C1021" s="1" t="n">
        <v>46092</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62090-2024</t>
        </is>
      </c>
      <c r="B1022" s="1" t="n">
        <v>45656</v>
      </c>
      <c r="C1022" s="1" t="n">
        <v>46092</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62092-2024</t>
        </is>
      </c>
      <c r="B1023" s="1" t="n">
        <v>45656</v>
      </c>
      <c r="C1023" s="1" t="n">
        <v>46092</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26563-2025</t>
        </is>
      </c>
      <c r="B1024" s="1" t="n">
        <v>45807.65767361111</v>
      </c>
      <c r="C1024" s="1" t="n">
        <v>46092</v>
      </c>
      <c r="D1024" t="inlineStr">
        <is>
          <t>VÄRMLANDS LÄN</t>
        </is>
      </c>
      <c r="E1024" t="inlineStr">
        <is>
          <t>TORSBY</t>
        </is>
      </c>
      <c r="F1024" t="inlineStr">
        <is>
          <t>Bergvik skog väst AB</t>
        </is>
      </c>
      <c r="G1024" t="n">
        <v>19.5</v>
      </c>
      <c r="H1024" t="n">
        <v>0</v>
      </c>
      <c r="I1024" t="n">
        <v>0</v>
      </c>
      <c r="J1024" t="n">
        <v>0</v>
      </c>
      <c r="K1024" t="n">
        <v>0</v>
      </c>
      <c r="L1024" t="n">
        <v>0</v>
      </c>
      <c r="M1024" t="n">
        <v>0</v>
      </c>
      <c r="N1024" t="n">
        <v>0</v>
      </c>
      <c r="O1024" t="n">
        <v>0</v>
      </c>
      <c r="P1024" t="n">
        <v>0</v>
      </c>
      <c r="Q1024" t="n">
        <v>0</v>
      </c>
      <c r="R1024" s="2" t="inlineStr"/>
    </row>
    <row r="1025" ht="15" customHeight="1">
      <c r="A1025" t="inlineStr">
        <is>
          <t>A 26504-2025</t>
        </is>
      </c>
      <c r="B1025" s="1" t="n">
        <v>45807.519375</v>
      </c>
      <c r="C1025" s="1" t="n">
        <v>46092</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26505-2025</t>
        </is>
      </c>
      <c r="B1026" s="1" t="n">
        <v>45807.52231481481</v>
      </c>
      <c r="C1026" s="1" t="n">
        <v>46092</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26511-2025</t>
        </is>
      </c>
      <c r="B1027" s="1" t="n">
        <v>45807.54571759259</v>
      </c>
      <c r="C1027" s="1" t="n">
        <v>46092</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26539-2025</t>
        </is>
      </c>
      <c r="B1028" s="1" t="n">
        <v>45807.58127314815</v>
      </c>
      <c r="C1028" s="1" t="n">
        <v>46092</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8967-2026</t>
        </is>
      </c>
      <c r="B1029" s="1" t="n">
        <v>46069.4278587963</v>
      </c>
      <c r="C1029" s="1" t="n">
        <v>46092</v>
      </c>
      <c r="D1029" t="inlineStr">
        <is>
          <t>VÄRMLANDS LÄN</t>
        </is>
      </c>
      <c r="E1029" t="inlineStr">
        <is>
          <t>TORSBY</t>
        </is>
      </c>
      <c r="F1029" t="inlineStr">
        <is>
          <t>Bergvik skog väst AB</t>
        </is>
      </c>
      <c r="G1029" t="n">
        <v>22.5</v>
      </c>
      <c r="H1029" t="n">
        <v>0</v>
      </c>
      <c r="I1029" t="n">
        <v>0</v>
      </c>
      <c r="J1029" t="n">
        <v>0</v>
      </c>
      <c r="K1029" t="n">
        <v>0</v>
      </c>
      <c r="L1029" t="n">
        <v>0</v>
      </c>
      <c r="M1029" t="n">
        <v>0</v>
      </c>
      <c r="N1029" t="n">
        <v>0</v>
      </c>
      <c r="O1029" t="n">
        <v>0</v>
      </c>
      <c r="P1029" t="n">
        <v>0</v>
      </c>
      <c r="Q1029" t="n">
        <v>0</v>
      </c>
      <c r="R1029" s="2" t="inlineStr"/>
    </row>
    <row r="1030" ht="15" customHeight="1">
      <c r="A1030" t="inlineStr">
        <is>
          <t>A 47049-2025</t>
        </is>
      </c>
      <c r="B1030" s="1" t="n">
        <v>45929.6130324074</v>
      </c>
      <c r="C1030" s="1" t="n">
        <v>46092</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47545-2025</t>
        </is>
      </c>
      <c r="B1031" s="1" t="n">
        <v>45931</v>
      </c>
      <c r="C1031" s="1" t="n">
        <v>46092</v>
      </c>
      <c r="D1031" t="inlineStr">
        <is>
          <t>VÄRMLANDS LÄN</t>
        </is>
      </c>
      <c r="E1031" t="inlineStr">
        <is>
          <t>TORSBY</t>
        </is>
      </c>
      <c r="F1031" t="inlineStr">
        <is>
          <t>Bergvik skog väst AB</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26418-2025</t>
        </is>
      </c>
      <c r="B1032" s="1" t="n">
        <v>45807.36436342593</v>
      </c>
      <c r="C1032" s="1" t="n">
        <v>46092</v>
      </c>
      <c r="D1032" t="inlineStr">
        <is>
          <t>VÄRMLANDS LÄN</t>
        </is>
      </c>
      <c r="E1032" t="inlineStr">
        <is>
          <t>TORSBY</t>
        </is>
      </c>
      <c r="F1032" t="inlineStr">
        <is>
          <t>Bergvik skog väst AB</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26507-2025</t>
        </is>
      </c>
      <c r="B1033" s="1" t="n">
        <v>45807.52539351852</v>
      </c>
      <c r="C1033" s="1" t="n">
        <v>46092</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47624-2025</t>
        </is>
      </c>
      <c r="B1034" s="1" t="n">
        <v>45931.48381944445</v>
      </c>
      <c r="C1034" s="1" t="n">
        <v>46092</v>
      </c>
      <c r="D1034" t="inlineStr">
        <is>
          <t>VÄRMLANDS LÄN</t>
        </is>
      </c>
      <c r="E1034" t="inlineStr">
        <is>
          <t>TORSBY</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26564-2025</t>
        </is>
      </c>
      <c r="B1035" s="1" t="n">
        <v>45807.66306712963</v>
      </c>
      <c r="C1035" s="1" t="n">
        <v>46092</v>
      </c>
      <c r="D1035" t="inlineStr">
        <is>
          <t>VÄRMLANDS LÄN</t>
        </is>
      </c>
      <c r="E1035" t="inlineStr">
        <is>
          <t>TORSBY</t>
        </is>
      </c>
      <c r="F1035" t="inlineStr">
        <is>
          <t>Bergvik skog väst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47621-2025</t>
        </is>
      </c>
      <c r="B1036" s="1" t="n">
        <v>45931.48322916667</v>
      </c>
      <c r="C1036" s="1" t="n">
        <v>46092</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26479-2025</t>
        </is>
      </c>
      <c r="B1037" s="1" t="n">
        <v>45807.47021990741</v>
      </c>
      <c r="C1037" s="1" t="n">
        <v>46092</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26491-2025</t>
        </is>
      </c>
      <c r="B1038" s="1" t="n">
        <v>45807.48939814815</v>
      </c>
      <c r="C1038" s="1" t="n">
        <v>46092</v>
      </c>
      <c r="D1038" t="inlineStr">
        <is>
          <t>VÄRMLANDS LÄN</t>
        </is>
      </c>
      <c r="E1038" t="inlineStr">
        <is>
          <t>TORSBY</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26533-2025</t>
        </is>
      </c>
      <c r="B1039" s="1" t="n">
        <v>45807.57259259259</v>
      </c>
      <c r="C1039" s="1" t="n">
        <v>46092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26487-2025</t>
        </is>
      </c>
      <c r="B1040" s="1" t="n">
        <v>45807.47644675926</v>
      </c>
      <c r="C1040" s="1" t="n">
        <v>46092</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8736-2026</t>
        </is>
      </c>
      <c r="B1041" s="1" t="n">
        <v>46066.50328703703</v>
      </c>
      <c r="C1041" s="1" t="n">
        <v>46092</v>
      </c>
      <c r="D1041" t="inlineStr">
        <is>
          <t>VÄRMLANDS LÄN</t>
        </is>
      </c>
      <c r="E1041" t="inlineStr">
        <is>
          <t>TORSBY</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56724-2023</t>
        </is>
      </c>
      <c r="B1042" s="1" t="n">
        <v>45244.3393287037</v>
      </c>
      <c r="C1042" s="1" t="n">
        <v>46092</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28545-2024</t>
        </is>
      </c>
      <c r="B1043" s="1" t="n">
        <v>45478.3559375</v>
      </c>
      <c r="C1043" s="1" t="n">
        <v>46092</v>
      </c>
      <c r="D1043" t="inlineStr">
        <is>
          <t>VÄRMLANDS LÄN</t>
        </is>
      </c>
      <c r="E1043" t="inlineStr">
        <is>
          <t>TORSBY</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32988-2024</t>
        </is>
      </c>
      <c r="B1044" s="1" t="n">
        <v>45517.46616898148</v>
      </c>
      <c r="C1044" s="1" t="n">
        <v>46092</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16380-2025</t>
        </is>
      </c>
      <c r="B1045" s="1" t="n">
        <v>45751</v>
      </c>
      <c r="C1045" s="1" t="n">
        <v>46092</v>
      </c>
      <c r="D1045" t="inlineStr">
        <is>
          <t>VÄRMLANDS LÄN</t>
        </is>
      </c>
      <c r="E1045" t="inlineStr">
        <is>
          <t>TORSBY</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22421-2024</t>
        </is>
      </c>
      <c r="B1046" s="1" t="n">
        <v>45446.70890046296</v>
      </c>
      <c r="C1046" s="1" t="n">
        <v>46092</v>
      </c>
      <c r="D1046" t="inlineStr">
        <is>
          <t>VÄRMLANDS LÄN</t>
        </is>
      </c>
      <c r="E1046" t="inlineStr">
        <is>
          <t>TORSBY</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47366-2025</t>
        </is>
      </c>
      <c r="B1047" s="1" t="n">
        <v>45930</v>
      </c>
      <c r="C1047" s="1" t="n">
        <v>46092</v>
      </c>
      <c r="D1047" t="inlineStr">
        <is>
          <t>VÄRMLANDS LÄN</t>
        </is>
      </c>
      <c r="E1047" t="inlineStr">
        <is>
          <t>TORSBY</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27056-2025</t>
        </is>
      </c>
      <c r="B1048" s="1" t="n">
        <v>45811.63118055555</v>
      </c>
      <c r="C1048" s="1" t="n">
        <v>46092</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27116-2025</t>
        </is>
      </c>
      <c r="B1049" s="1" t="n">
        <v>45811.74233796296</v>
      </c>
      <c r="C1049" s="1" t="n">
        <v>46092</v>
      </c>
      <c r="D1049" t="inlineStr">
        <is>
          <t>VÄRMLANDS LÄN</t>
        </is>
      </c>
      <c r="E1049" t="inlineStr">
        <is>
          <t>TORSBY</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59872-2023</t>
        </is>
      </c>
      <c r="B1050" s="1" t="n">
        <v>45257.58666666667</v>
      </c>
      <c r="C1050" s="1" t="n">
        <v>46092</v>
      </c>
      <c r="D1050" t="inlineStr">
        <is>
          <t>VÄRMLANDS LÄN</t>
        </is>
      </c>
      <c r="E1050" t="inlineStr">
        <is>
          <t>TORSBY</t>
        </is>
      </c>
      <c r="F1050" t="inlineStr">
        <is>
          <t>Bergvik skog väst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43157-2021</t>
        </is>
      </c>
      <c r="B1051" s="1" t="n">
        <v>44431</v>
      </c>
      <c r="C1051" s="1" t="n">
        <v>46092</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43144-2024</t>
        </is>
      </c>
      <c r="B1052" s="1" t="n">
        <v>45567</v>
      </c>
      <c r="C1052" s="1" t="n">
        <v>46092</v>
      </c>
      <c r="D1052" t="inlineStr">
        <is>
          <t>VÄRMLANDS LÄN</t>
        </is>
      </c>
      <c r="E1052" t="inlineStr">
        <is>
          <t>TORSBY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17024-2024</t>
        </is>
      </c>
      <c r="B1053" s="1" t="n">
        <v>45412.38322916667</v>
      </c>
      <c r="C1053" s="1" t="n">
        <v>46092</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235-2026</t>
        </is>
      </c>
      <c r="B1054" s="1" t="n">
        <v>46027</v>
      </c>
      <c r="C1054" s="1" t="n">
        <v>46092</v>
      </c>
      <c r="D1054" t="inlineStr">
        <is>
          <t>VÄRMLANDS LÄN</t>
        </is>
      </c>
      <c r="E1054" t="inlineStr">
        <is>
          <t>TORSBY</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27043-2025</t>
        </is>
      </c>
      <c r="B1055" s="1" t="n">
        <v>45811.61342592593</v>
      </c>
      <c r="C1055" s="1" t="n">
        <v>46092</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52801-2024</t>
        </is>
      </c>
      <c r="B1056" s="1" t="n">
        <v>45610.56784722222</v>
      </c>
      <c r="C1056" s="1" t="n">
        <v>46092</v>
      </c>
      <c r="D1056" t="inlineStr">
        <is>
          <t>VÄRMLANDS LÄN</t>
        </is>
      </c>
      <c r="E1056" t="inlineStr">
        <is>
          <t>TORSBY</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8705-2026</t>
        </is>
      </c>
      <c r="B1057" s="1" t="n">
        <v>46066.47086805556</v>
      </c>
      <c r="C1057" s="1" t="n">
        <v>46092</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72-2026</t>
        </is>
      </c>
      <c r="B1058" s="1" t="n">
        <v>46024.46258101852</v>
      </c>
      <c r="C1058" s="1" t="n">
        <v>46092</v>
      </c>
      <c r="D1058" t="inlineStr">
        <is>
          <t>VÄRMLANDS LÄN</t>
        </is>
      </c>
      <c r="E1058" t="inlineStr">
        <is>
          <t>TORSBY</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47494-2025</t>
        </is>
      </c>
      <c r="B1059" s="1" t="n">
        <v>45930.78428240741</v>
      </c>
      <c r="C1059" s="1" t="n">
        <v>46092</v>
      </c>
      <c r="D1059" t="inlineStr">
        <is>
          <t>VÄRMLANDS LÄN</t>
        </is>
      </c>
      <c r="E1059" t="inlineStr">
        <is>
          <t>TORSBY</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47495-2025</t>
        </is>
      </c>
      <c r="B1060" s="1" t="n">
        <v>45930.79185185185</v>
      </c>
      <c r="C1060" s="1" t="n">
        <v>46092</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30789-2024</t>
        </is>
      </c>
      <c r="B1061" s="1" t="n">
        <v>45497.178125</v>
      </c>
      <c r="C1061" s="1" t="n">
        <v>46092</v>
      </c>
      <c r="D1061" t="inlineStr">
        <is>
          <t>VÄRMLANDS LÄN</t>
        </is>
      </c>
      <c r="E1061" t="inlineStr">
        <is>
          <t>TORSBY</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26898-2025</t>
        </is>
      </c>
      <c r="B1062" s="1" t="n">
        <v>45811</v>
      </c>
      <c r="C1062" s="1" t="n">
        <v>46092</v>
      </c>
      <c r="D1062" t="inlineStr">
        <is>
          <t>VÄRMLANDS LÄN</t>
        </is>
      </c>
      <c r="E1062" t="inlineStr">
        <is>
          <t>TORSBY</t>
        </is>
      </c>
      <c r="F1062" t="inlineStr">
        <is>
          <t>Övriga Aktiebolag</t>
        </is>
      </c>
      <c r="G1062" t="n">
        <v>37.8</v>
      </c>
      <c r="H1062" t="n">
        <v>0</v>
      </c>
      <c r="I1062" t="n">
        <v>0</v>
      </c>
      <c r="J1062" t="n">
        <v>0</v>
      </c>
      <c r="K1062" t="n">
        <v>0</v>
      </c>
      <c r="L1062" t="n">
        <v>0</v>
      </c>
      <c r="M1062" t="n">
        <v>0</v>
      </c>
      <c r="N1062" t="n">
        <v>0</v>
      </c>
      <c r="O1062" t="n">
        <v>0</v>
      </c>
      <c r="P1062" t="n">
        <v>0</v>
      </c>
      <c r="Q1062" t="n">
        <v>0</v>
      </c>
      <c r="R1062" s="2" t="inlineStr"/>
    </row>
    <row r="1063" ht="15" customHeight="1">
      <c r="A1063" t="inlineStr">
        <is>
          <t>A 47736-2025</t>
        </is>
      </c>
      <c r="B1063" s="1" t="n">
        <v>45931.63822916667</v>
      </c>
      <c r="C1063" s="1" t="n">
        <v>46092</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8958-2026</t>
        </is>
      </c>
      <c r="B1064" s="1" t="n">
        <v>46069.40876157407</v>
      </c>
      <c r="C1064" s="1" t="n">
        <v>46092</v>
      </c>
      <c r="D1064" t="inlineStr">
        <is>
          <t>VÄRMLANDS LÄN</t>
        </is>
      </c>
      <c r="E1064" t="inlineStr">
        <is>
          <t>TORSBY</t>
        </is>
      </c>
      <c r="F1064" t="inlineStr">
        <is>
          <t>Bergvik skog väst AB</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27101-2024</t>
        </is>
      </c>
      <c r="B1065" s="1" t="n">
        <v>45471</v>
      </c>
      <c r="C1065" s="1" t="n">
        <v>46092</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27116-2024</t>
        </is>
      </c>
      <c r="B1066" s="1" t="n">
        <v>45471.5056712963</v>
      </c>
      <c r="C1066" s="1" t="n">
        <v>46092</v>
      </c>
      <c r="D1066" t="inlineStr">
        <is>
          <t>VÄRMLANDS LÄN</t>
        </is>
      </c>
      <c r="E1066" t="inlineStr">
        <is>
          <t>TORSBY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48020-2025</t>
        </is>
      </c>
      <c r="B1067" s="1" t="n">
        <v>45932</v>
      </c>
      <c r="C1067" s="1" t="n">
        <v>46092</v>
      </c>
      <c r="D1067" t="inlineStr">
        <is>
          <t>VÄRMLANDS LÄN</t>
        </is>
      </c>
      <c r="E1067" t="inlineStr">
        <is>
          <t>TORSBY</t>
        </is>
      </c>
      <c r="F1067" t="inlineStr">
        <is>
          <t>Bergvik skog väst AB</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38-2026</t>
        </is>
      </c>
      <c r="B1068" s="1" t="n">
        <v>46024</v>
      </c>
      <c r="C1068" s="1" t="n">
        <v>46092</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48375-2025</t>
        </is>
      </c>
      <c r="B1069" s="1" t="n">
        <v>45933.71201388889</v>
      </c>
      <c r="C1069" s="1" t="n">
        <v>46092</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11222-2024</t>
        </is>
      </c>
      <c r="B1070" s="1" t="n">
        <v>45371</v>
      </c>
      <c r="C1070" s="1" t="n">
        <v>46092</v>
      </c>
      <c r="D1070" t="inlineStr">
        <is>
          <t>VÄRMLANDS LÄN</t>
        </is>
      </c>
      <c r="E1070" t="inlineStr">
        <is>
          <t>TORSBY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9240-2026</t>
        </is>
      </c>
      <c r="B1071" s="1" t="n">
        <v>46070.47997685185</v>
      </c>
      <c r="C1071" s="1" t="n">
        <v>46092</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754-2025</t>
        </is>
      </c>
      <c r="B1072" s="1" t="n">
        <v>45665</v>
      </c>
      <c r="C1072" s="1" t="n">
        <v>46092</v>
      </c>
      <c r="D1072" t="inlineStr">
        <is>
          <t>VÄRMLANDS LÄN</t>
        </is>
      </c>
      <c r="E1072" t="inlineStr">
        <is>
          <t>TORSBY</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48202-2025</t>
        </is>
      </c>
      <c r="B1073" s="1" t="n">
        <v>45933.48121527778</v>
      </c>
      <c r="C1073" s="1" t="n">
        <v>46092</v>
      </c>
      <c r="D1073" t="inlineStr">
        <is>
          <t>VÄRMLANDS LÄN</t>
        </is>
      </c>
      <c r="E1073" t="inlineStr">
        <is>
          <t>TORSBY</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26892-2025</t>
        </is>
      </c>
      <c r="B1074" s="1" t="n">
        <v>45811.3334837963</v>
      </c>
      <c r="C1074" s="1" t="n">
        <v>46092</v>
      </c>
      <c r="D1074" t="inlineStr">
        <is>
          <t>VÄRMLANDS LÄN</t>
        </is>
      </c>
      <c r="E1074" t="inlineStr">
        <is>
          <t>TORSBY</t>
        </is>
      </c>
      <c r="F1074" t="inlineStr">
        <is>
          <t>Bergvik skog väst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47619-2024</t>
        </is>
      </c>
      <c r="B1075" s="1" t="n">
        <v>45588.32371527778</v>
      </c>
      <c r="C1075" s="1" t="n">
        <v>46092</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27094-2025</t>
        </is>
      </c>
      <c r="B1076" s="1" t="n">
        <v>45811.6766087963</v>
      </c>
      <c r="C1076" s="1" t="n">
        <v>46092</v>
      </c>
      <c r="D1076" t="inlineStr">
        <is>
          <t>VÄRMLANDS LÄN</t>
        </is>
      </c>
      <c r="E1076" t="inlineStr">
        <is>
          <t>TORSBY</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41130-2022</t>
        </is>
      </c>
      <c r="B1077" s="1" t="n">
        <v>44825</v>
      </c>
      <c r="C1077" s="1" t="n">
        <v>46092</v>
      </c>
      <c r="D1077" t="inlineStr">
        <is>
          <t>VÄRMLANDS LÄN</t>
        </is>
      </c>
      <c r="E1077" t="inlineStr">
        <is>
          <t>TORSBY</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26822-2025</t>
        </is>
      </c>
      <c r="B1078" s="1" t="n">
        <v>45810</v>
      </c>
      <c r="C1078" s="1" t="n">
        <v>46092</v>
      </c>
      <c r="D1078" t="inlineStr">
        <is>
          <t>VÄRMLANDS LÄN</t>
        </is>
      </c>
      <c r="E1078" t="inlineStr">
        <is>
          <t>TORSBY</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26890-2025</t>
        </is>
      </c>
      <c r="B1079" s="1" t="n">
        <v>45811</v>
      </c>
      <c r="C1079" s="1" t="n">
        <v>46092</v>
      </c>
      <c r="D1079" t="inlineStr">
        <is>
          <t>VÄRMLANDS LÄN</t>
        </is>
      </c>
      <c r="E1079" t="inlineStr">
        <is>
          <t>TORSBY</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25956-2025</t>
        </is>
      </c>
      <c r="B1080" s="1" t="n">
        <v>45804</v>
      </c>
      <c r="C1080" s="1" t="n">
        <v>46092</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2009-2025</t>
        </is>
      </c>
      <c r="B1081" s="1" t="n">
        <v>45672</v>
      </c>
      <c r="C1081" s="1" t="n">
        <v>46092</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637-2026</t>
        </is>
      </c>
      <c r="B1082" s="1" t="n">
        <v>46029</v>
      </c>
      <c r="C1082" s="1" t="n">
        <v>46092</v>
      </c>
      <c r="D1082" t="inlineStr">
        <is>
          <t>VÄRMLANDS LÄN</t>
        </is>
      </c>
      <c r="E1082" t="inlineStr">
        <is>
          <t>TORSBY</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14581-2023</t>
        </is>
      </c>
      <c r="B1083" s="1" t="n">
        <v>45013.52122685185</v>
      </c>
      <c r="C1083" s="1" t="n">
        <v>46092</v>
      </c>
      <c r="D1083" t="inlineStr">
        <is>
          <t>VÄRMLANDS LÄN</t>
        </is>
      </c>
      <c r="E1083" t="inlineStr">
        <is>
          <t>TORSBY</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26607-2025</t>
        </is>
      </c>
      <c r="B1084" s="1" t="n">
        <v>45809.92239583333</v>
      </c>
      <c r="C1084" s="1" t="n">
        <v>46092</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9248-2026</t>
        </is>
      </c>
      <c r="B1085" s="1" t="n">
        <v>46070.49686342593</v>
      </c>
      <c r="C1085" s="1" t="n">
        <v>46092</v>
      </c>
      <c r="D1085" t="inlineStr">
        <is>
          <t>VÄRMLANDS LÄN</t>
        </is>
      </c>
      <c r="E1085" t="inlineStr">
        <is>
          <t>TORSBY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26960-2025</t>
        </is>
      </c>
      <c r="B1086" s="1" t="n">
        <v>45811.46167824074</v>
      </c>
      <c r="C1086" s="1" t="n">
        <v>46092</v>
      </c>
      <c r="D1086" t="inlineStr">
        <is>
          <t>VÄRMLANDS LÄN</t>
        </is>
      </c>
      <c r="E1086" t="inlineStr">
        <is>
          <t>TORSBY</t>
        </is>
      </c>
      <c r="F1086" t="inlineStr">
        <is>
          <t>Kyrkan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27093-2025</t>
        </is>
      </c>
      <c r="B1087" s="1" t="n">
        <v>45811.67347222222</v>
      </c>
      <c r="C1087" s="1" t="n">
        <v>46092</v>
      </c>
      <c r="D1087" t="inlineStr">
        <is>
          <t>VÄRMLANDS LÄN</t>
        </is>
      </c>
      <c r="E1087" t="inlineStr">
        <is>
          <t>TORSBY</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26897-2025</t>
        </is>
      </c>
      <c r="B1088" s="1" t="n">
        <v>45811.34108796297</v>
      </c>
      <c r="C1088" s="1" t="n">
        <v>46092</v>
      </c>
      <c r="D1088" t="inlineStr">
        <is>
          <t>VÄRMLANDS LÄN</t>
        </is>
      </c>
      <c r="E1088" t="inlineStr">
        <is>
          <t>TORSBY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9245-2026</t>
        </is>
      </c>
      <c r="B1089" s="1" t="n">
        <v>46070.48952546297</v>
      </c>
      <c r="C1089" s="1" t="n">
        <v>46092</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748-2026</t>
        </is>
      </c>
      <c r="B1090" s="1" t="n">
        <v>46029</v>
      </c>
      <c r="C1090" s="1" t="n">
        <v>46092</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26876-2024</t>
        </is>
      </c>
      <c r="B1091" s="1" t="n">
        <v>45470.62181712963</v>
      </c>
      <c r="C1091" s="1" t="n">
        <v>46092</v>
      </c>
      <c r="D1091" t="inlineStr">
        <is>
          <t>VÄRMLANDS LÄN</t>
        </is>
      </c>
      <c r="E1091" t="inlineStr">
        <is>
          <t>TORSBY</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24087-2024</t>
        </is>
      </c>
      <c r="B1092" s="1" t="n">
        <v>45456</v>
      </c>
      <c r="C1092" s="1" t="n">
        <v>46092</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30002-2024</t>
        </is>
      </c>
      <c r="B1093" s="1" t="n">
        <v>45488</v>
      </c>
      <c r="C1093" s="1" t="n">
        <v>46092</v>
      </c>
      <c r="D1093" t="inlineStr">
        <is>
          <t>VÄRMLANDS LÄN</t>
        </is>
      </c>
      <c r="E1093" t="inlineStr">
        <is>
          <t>TORSBY</t>
        </is>
      </c>
      <c r="F1093" t="inlineStr">
        <is>
          <t>Kommuner</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27149-2025</t>
        </is>
      </c>
      <c r="B1094" s="1" t="n">
        <v>45812.31924768518</v>
      </c>
      <c r="C1094" s="1" t="n">
        <v>46092</v>
      </c>
      <c r="D1094" t="inlineStr">
        <is>
          <t>VÄRMLANDS LÄN</t>
        </is>
      </c>
      <c r="E1094" t="inlineStr">
        <is>
          <t>TORSBY</t>
        </is>
      </c>
      <c r="F1094" t="inlineStr">
        <is>
          <t>Bergvik skog väst AB</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991-2026</t>
        </is>
      </c>
      <c r="B1095" s="1" t="n">
        <v>46030.58675925926</v>
      </c>
      <c r="C1095" s="1" t="n">
        <v>46092</v>
      </c>
      <c r="D1095" t="inlineStr">
        <is>
          <t>VÄRMLANDS LÄN</t>
        </is>
      </c>
      <c r="E1095" t="inlineStr">
        <is>
          <t>TORSBY</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1137-2026</t>
        </is>
      </c>
      <c r="B1096" s="1" t="n">
        <v>46030</v>
      </c>
      <c r="C1096" s="1" t="n">
        <v>46092</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1139-2026</t>
        </is>
      </c>
      <c r="B1097" s="1" t="n">
        <v>46030</v>
      </c>
      <c r="C1097" s="1" t="n">
        <v>46092</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27667-2025</t>
        </is>
      </c>
      <c r="B1098" s="1" t="n">
        <v>45813.62092592593</v>
      </c>
      <c r="C1098" s="1" t="n">
        <v>46092</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27674-2025</t>
        </is>
      </c>
      <c r="B1099" s="1" t="n">
        <v>45813.62936342593</v>
      </c>
      <c r="C1099" s="1" t="n">
        <v>46092</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54865-2022</t>
        </is>
      </c>
      <c r="B1100" s="1" t="n">
        <v>44884</v>
      </c>
      <c r="C1100" s="1" t="n">
        <v>46092</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47927-2025</t>
        </is>
      </c>
      <c r="B1101" s="1" t="n">
        <v>45932.54604166667</v>
      </c>
      <c r="C1101" s="1" t="n">
        <v>46092</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48214-2025</t>
        </is>
      </c>
      <c r="B1102" s="1" t="n">
        <v>45933.49465277778</v>
      </c>
      <c r="C1102" s="1" t="n">
        <v>46092</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18897-2024</t>
        </is>
      </c>
      <c r="B1103" s="1" t="n">
        <v>45427.34046296297</v>
      </c>
      <c r="C1103" s="1" t="n">
        <v>46092</v>
      </c>
      <c r="D1103" t="inlineStr">
        <is>
          <t>VÄRMLANDS LÄN</t>
        </is>
      </c>
      <c r="E1103" t="inlineStr">
        <is>
          <t>TORSBY</t>
        </is>
      </c>
      <c r="F1103" t="inlineStr">
        <is>
          <t>Övriga statliga verk och myndigheter</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61157-2023</t>
        </is>
      </c>
      <c r="B1104" s="1" t="n">
        <v>45261.98796296296</v>
      </c>
      <c r="C1104" s="1" t="n">
        <v>46092</v>
      </c>
      <c r="D1104" t="inlineStr">
        <is>
          <t>VÄRMLANDS LÄN</t>
        </is>
      </c>
      <c r="E1104" t="inlineStr">
        <is>
          <t>TORSBY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2662-2024</t>
        </is>
      </c>
      <c r="B1105" s="1" t="n">
        <v>45314.38747685185</v>
      </c>
      <c r="C1105" s="1" t="n">
        <v>46092</v>
      </c>
      <c r="D1105" t="inlineStr">
        <is>
          <t>VÄRMLANDS LÄN</t>
        </is>
      </c>
      <c r="E1105" t="inlineStr">
        <is>
          <t>TORSBY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27467-2025</t>
        </is>
      </c>
      <c r="B1106" s="1" t="n">
        <v>45813.35497685185</v>
      </c>
      <c r="C1106" s="1" t="n">
        <v>46092</v>
      </c>
      <c r="D1106" t="inlineStr">
        <is>
          <t>VÄRMLANDS LÄN</t>
        </is>
      </c>
      <c r="E1106" t="inlineStr">
        <is>
          <t>TORSBY</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8033-2022</t>
        </is>
      </c>
      <c r="B1107" s="1" t="n">
        <v>44609.43644675926</v>
      </c>
      <c r="C1107" s="1" t="n">
        <v>46092</v>
      </c>
      <c r="D1107" t="inlineStr">
        <is>
          <t>VÄRMLANDS LÄN</t>
        </is>
      </c>
      <c r="E1107" t="inlineStr">
        <is>
          <t>TORSBY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27450-2025</t>
        </is>
      </c>
      <c r="B1108" s="1" t="n">
        <v>45813.33738425926</v>
      </c>
      <c r="C1108" s="1" t="n">
        <v>46092</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27470-2025</t>
        </is>
      </c>
      <c r="B1109" s="1" t="n">
        <v>45813.36284722222</v>
      </c>
      <c r="C1109" s="1" t="n">
        <v>46092</v>
      </c>
      <c r="D1109" t="inlineStr">
        <is>
          <t>VÄRMLANDS LÄN</t>
        </is>
      </c>
      <c r="E1109" t="inlineStr">
        <is>
          <t>TORSBY</t>
        </is>
      </c>
      <c r="G1109" t="n">
        <v>17.9</v>
      </c>
      <c r="H1109" t="n">
        <v>0</v>
      </c>
      <c r="I1109" t="n">
        <v>0</v>
      </c>
      <c r="J1109" t="n">
        <v>0</v>
      </c>
      <c r="K1109" t="n">
        <v>0</v>
      </c>
      <c r="L1109" t="n">
        <v>0</v>
      </c>
      <c r="M1109" t="n">
        <v>0</v>
      </c>
      <c r="N1109" t="n">
        <v>0</v>
      </c>
      <c r="O1109" t="n">
        <v>0</v>
      </c>
      <c r="P1109" t="n">
        <v>0</v>
      </c>
      <c r="Q1109" t="n">
        <v>0</v>
      </c>
      <c r="R1109" s="2" t="inlineStr"/>
    </row>
    <row r="1110" ht="15" customHeight="1">
      <c r="A1110" t="inlineStr">
        <is>
          <t>A 27291-2025</t>
        </is>
      </c>
      <c r="B1110" s="1" t="n">
        <v>45812.55769675926</v>
      </c>
      <c r="C1110" s="1" t="n">
        <v>46092</v>
      </c>
      <c r="D1110" t="inlineStr">
        <is>
          <t>VÄRMLANDS LÄN</t>
        </is>
      </c>
      <c r="E1110" t="inlineStr">
        <is>
          <t>TORSBY</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27174-2025</t>
        </is>
      </c>
      <c r="B1111" s="1" t="n">
        <v>45812.34997685185</v>
      </c>
      <c r="C1111" s="1" t="n">
        <v>46092</v>
      </c>
      <c r="D1111" t="inlineStr">
        <is>
          <t>VÄRMLANDS LÄN</t>
        </is>
      </c>
      <c r="E1111" t="inlineStr">
        <is>
          <t>TORSBY</t>
        </is>
      </c>
      <c r="F1111" t="inlineStr">
        <is>
          <t>Kyrkan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27759-2025</t>
        </is>
      </c>
      <c r="B1112" s="1" t="n">
        <v>45816.48986111111</v>
      </c>
      <c r="C1112" s="1" t="n">
        <v>46092</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9752-2026</t>
        </is>
      </c>
      <c r="B1113" s="1" t="n">
        <v>46072.53912037037</v>
      </c>
      <c r="C1113" s="1" t="n">
        <v>46092</v>
      </c>
      <c r="D1113" t="inlineStr">
        <is>
          <t>VÄRMLANDS LÄN</t>
        </is>
      </c>
      <c r="E1113" t="inlineStr">
        <is>
          <t>TORSBY</t>
        </is>
      </c>
      <c r="G1113" t="n">
        <v>26.8</v>
      </c>
      <c r="H1113" t="n">
        <v>0</v>
      </c>
      <c r="I1113" t="n">
        <v>0</v>
      </c>
      <c r="J1113" t="n">
        <v>0</v>
      </c>
      <c r="K1113" t="n">
        <v>0</v>
      </c>
      <c r="L1113" t="n">
        <v>0</v>
      </c>
      <c r="M1113" t="n">
        <v>0</v>
      </c>
      <c r="N1113" t="n">
        <v>0</v>
      </c>
      <c r="O1113" t="n">
        <v>0</v>
      </c>
      <c r="P1113" t="n">
        <v>0</v>
      </c>
      <c r="Q1113" t="n">
        <v>0</v>
      </c>
      <c r="R1113" s="2" t="inlineStr"/>
    </row>
    <row r="1114" ht="15" customHeight="1">
      <c r="A1114" t="inlineStr">
        <is>
          <t>A 27863-2025</t>
        </is>
      </c>
      <c r="B1114" s="1" t="n">
        <v>45817.42118055555</v>
      </c>
      <c r="C1114" s="1" t="n">
        <v>46092</v>
      </c>
      <c r="D1114" t="inlineStr">
        <is>
          <t>VÄRMLANDS LÄN</t>
        </is>
      </c>
      <c r="E1114" t="inlineStr">
        <is>
          <t>TORSBY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27730-2025</t>
        </is>
      </c>
      <c r="B1115" s="1" t="n">
        <v>45814</v>
      </c>
      <c r="C1115" s="1" t="n">
        <v>46092</v>
      </c>
      <c r="D1115" t="inlineStr">
        <is>
          <t>VÄRMLANDS LÄN</t>
        </is>
      </c>
      <c r="E1115" t="inlineStr">
        <is>
          <t>TORSBY</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48180-2025</t>
        </is>
      </c>
      <c r="B1116" s="1" t="n">
        <v>45933.45245370371</v>
      </c>
      <c r="C1116" s="1" t="n">
        <v>46092</v>
      </c>
      <c r="D1116" t="inlineStr">
        <is>
          <t>VÄRMLANDS LÄN</t>
        </is>
      </c>
      <c r="E1116" t="inlineStr">
        <is>
          <t>TORSBY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27968-2025</t>
        </is>
      </c>
      <c r="B1117" s="1" t="n">
        <v>45817.55846064815</v>
      </c>
      <c r="C1117" s="1" t="n">
        <v>46092</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27856-2025</t>
        </is>
      </c>
      <c r="B1118" s="1" t="n">
        <v>45817.41006944444</v>
      </c>
      <c r="C1118" s="1" t="n">
        <v>46092</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24493-2024</t>
        </is>
      </c>
      <c r="B1119" s="1" t="n">
        <v>45459.72136574074</v>
      </c>
      <c r="C1119" s="1" t="n">
        <v>46092</v>
      </c>
      <c r="D1119" t="inlineStr">
        <is>
          <t>VÄRMLANDS LÄN</t>
        </is>
      </c>
      <c r="E1119" t="inlineStr">
        <is>
          <t>TORSBY</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27906-2025</t>
        </is>
      </c>
      <c r="B1120" s="1" t="n">
        <v>45817.47108796296</v>
      </c>
      <c r="C1120" s="1" t="n">
        <v>46092</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27962-2025</t>
        </is>
      </c>
      <c r="B1121" s="1" t="n">
        <v>45817.54878472222</v>
      </c>
      <c r="C1121" s="1" t="n">
        <v>46092</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20255-2025</t>
        </is>
      </c>
      <c r="B1122" s="1" t="n">
        <v>45772.9009375</v>
      </c>
      <c r="C1122" s="1" t="n">
        <v>46092</v>
      </c>
      <c r="D1122" t="inlineStr">
        <is>
          <t>VÄRMLANDS LÄN</t>
        </is>
      </c>
      <c r="E1122" t="inlineStr">
        <is>
          <t>TORSBY</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27758-2025</t>
        </is>
      </c>
      <c r="B1123" s="1" t="n">
        <v>45816</v>
      </c>
      <c r="C1123" s="1" t="n">
        <v>46092</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27728-2025</t>
        </is>
      </c>
      <c r="B1124" s="1" t="n">
        <v>45814</v>
      </c>
      <c r="C1124" s="1" t="n">
        <v>46092</v>
      </c>
      <c r="D1124" t="inlineStr">
        <is>
          <t>VÄRMLANDS LÄN</t>
        </is>
      </c>
      <c r="E1124" t="inlineStr">
        <is>
          <t>TORSBY</t>
        </is>
      </c>
      <c r="F1124" t="inlineStr">
        <is>
          <t>Bergvik skog väst AB</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1166-2023</t>
        </is>
      </c>
      <c r="B1125" s="1" t="n">
        <v>44935</v>
      </c>
      <c r="C1125" s="1" t="n">
        <v>46092</v>
      </c>
      <c r="D1125" t="inlineStr">
        <is>
          <t>VÄRMLANDS LÄN</t>
        </is>
      </c>
      <c r="E1125" t="inlineStr">
        <is>
          <t>TORSBY</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11121-2024</t>
        </is>
      </c>
      <c r="B1126" s="1" t="n">
        <v>45371.40634259259</v>
      </c>
      <c r="C1126" s="1" t="n">
        <v>46092</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59097-2022</t>
        </is>
      </c>
      <c r="B1127" s="1" t="n">
        <v>44904</v>
      </c>
      <c r="C1127" s="1" t="n">
        <v>46092</v>
      </c>
      <c r="D1127" t="inlineStr">
        <is>
          <t>VÄRMLANDS LÄN</t>
        </is>
      </c>
      <c r="E1127" t="inlineStr">
        <is>
          <t>TORSBY</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28214-2025</t>
        </is>
      </c>
      <c r="B1128" s="1" t="n">
        <v>45818</v>
      </c>
      <c r="C1128" s="1" t="n">
        <v>46092</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9942-2025</t>
        </is>
      </c>
      <c r="B1129" s="1" t="n">
        <v>45719</v>
      </c>
      <c r="C1129" s="1" t="n">
        <v>46092</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1045-2026</t>
        </is>
      </c>
      <c r="B1130" s="1" t="n">
        <v>46030</v>
      </c>
      <c r="C1130" s="1" t="n">
        <v>46092</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33078-2024</t>
        </is>
      </c>
      <c r="B1131" s="1" t="n">
        <v>45517</v>
      </c>
      <c r="C1131" s="1" t="n">
        <v>46092</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36175-2024</t>
        </is>
      </c>
      <c r="B1132" s="1" t="n">
        <v>45534.40834490741</v>
      </c>
      <c r="C1132" s="1" t="n">
        <v>46092</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42662-2024</t>
        </is>
      </c>
      <c r="B1133" s="1" t="n">
        <v>45566</v>
      </c>
      <c r="C1133" s="1" t="n">
        <v>46092</v>
      </c>
      <c r="D1133" t="inlineStr">
        <is>
          <t>VÄRMLANDS LÄN</t>
        </is>
      </c>
      <c r="E1133" t="inlineStr">
        <is>
          <t>TORSBY</t>
        </is>
      </c>
      <c r="F1133" t="inlineStr">
        <is>
          <t>Bergvik skog väst AB</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20633-2024</t>
        </is>
      </c>
      <c r="B1134" s="1" t="n">
        <v>45436</v>
      </c>
      <c r="C1134" s="1" t="n">
        <v>46092</v>
      </c>
      <c r="D1134" t="inlineStr">
        <is>
          <t>VÄRMLANDS LÄN</t>
        </is>
      </c>
      <c r="E1134" t="inlineStr">
        <is>
          <t>TORSBY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45231-2023</t>
        </is>
      </c>
      <c r="B1135" s="1" t="n">
        <v>45191</v>
      </c>
      <c r="C1135" s="1" t="n">
        <v>46092</v>
      </c>
      <c r="D1135" t="inlineStr">
        <is>
          <t>VÄRMLANDS LÄN</t>
        </is>
      </c>
      <c r="E1135" t="inlineStr">
        <is>
          <t>TORSBY</t>
        </is>
      </c>
      <c r="F1135" t="inlineStr">
        <is>
          <t>Bergvik skog väst AB</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40590-2021</t>
        </is>
      </c>
      <c r="B1136" s="1" t="n">
        <v>44420</v>
      </c>
      <c r="C1136" s="1" t="n">
        <v>46092</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28116-2025</t>
        </is>
      </c>
      <c r="B1137" s="1" t="n">
        <v>45818.28697916667</v>
      </c>
      <c r="C1137" s="1" t="n">
        <v>46092</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28117-2025</t>
        </is>
      </c>
      <c r="B1138" s="1" t="n">
        <v>45818</v>
      </c>
      <c r="C1138" s="1" t="n">
        <v>46092</v>
      </c>
      <c r="D1138" t="inlineStr">
        <is>
          <t>VÄRMLANDS LÄN</t>
        </is>
      </c>
      <c r="E1138" t="inlineStr">
        <is>
          <t>TORSBY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28118-2025</t>
        </is>
      </c>
      <c r="B1139" s="1" t="n">
        <v>45818</v>
      </c>
      <c r="C1139" s="1" t="n">
        <v>46092</v>
      </c>
      <c r="D1139" t="inlineStr">
        <is>
          <t>VÄRMLANDS LÄN</t>
        </is>
      </c>
      <c r="E1139" t="inlineStr">
        <is>
          <t>TORSBY</t>
        </is>
      </c>
      <c r="F1139" t="inlineStr">
        <is>
          <t>Bergvik skog väst AB</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48499-2025</t>
        </is>
      </c>
      <c r="B1140" s="1" t="n">
        <v>45936.37533564815</v>
      </c>
      <c r="C1140" s="1" t="n">
        <v>46092</v>
      </c>
      <c r="D1140" t="inlineStr">
        <is>
          <t>VÄRMLANDS LÄN</t>
        </is>
      </c>
      <c r="E1140" t="inlineStr">
        <is>
          <t>TORSBY</t>
        </is>
      </c>
      <c r="F1140" t="inlineStr">
        <is>
          <t>Bergvik skog väst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10218-2023</t>
        </is>
      </c>
      <c r="B1141" s="1" t="n">
        <v>44986.59697916666</v>
      </c>
      <c r="C1141" s="1" t="n">
        <v>46092</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28612-2025</t>
        </is>
      </c>
      <c r="B1142" s="1" t="n">
        <v>45819</v>
      </c>
      <c r="C1142" s="1" t="n">
        <v>46092</v>
      </c>
      <c r="D1142" t="inlineStr">
        <is>
          <t>VÄRMLANDS LÄN</t>
        </is>
      </c>
      <c r="E1142" t="inlineStr">
        <is>
          <t>TORSBY</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28511-2025</t>
        </is>
      </c>
      <c r="B1143" s="1" t="n">
        <v>45819</v>
      </c>
      <c r="C1143" s="1" t="n">
        <v>46092</v>
      </c>
      <c r="D1143" t="inlineStr">
        <is>
          <t>VÄRMLANDS LÄN</t>
        </is>
      </c>
      <c r="E1143" t="inlineStr">
        <is>
          <t>TORSBY</t>
        </is>
      </c>
      <c r="F1143" t="inlineStr">
        <is>
          <t>Bergvik skog väst AB</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49159-2025</t>
        </is>
      </c>
      <c r="B1144" s="1" t="n">
        <v>45938.35060185185</v>
      </c>
      <c r="C1144" s="1" t="n">
        <v>46092</v>
      </c>
      <c r="D1144" t="inlineStr">
        <is>
          <t>VÄRMLANDS LÄN</t>
        </is>
      </c>
      <c r="E1144" t="inlineStr">
        <is>
          <t>TORSBY</t>
        </is>
      </c>
      <c r="F1144" t="inlineStr">
        <is>
          <t>Bergvik skog väst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49167-2025</t>
        </is>
      </c>
      <c r="B1145" s="1" t="n">
        <v>45938</v>
      </c>
      <c r="C1145" s="1" t="n">
        <v>46092</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28765-2025</t>
        </is>
      </c>
      <c r="B1146" s="1" t="n">
        <v>45820.41982638889</v>
      </c>
      <c r="C1146" s="1" t="n">
        <v>46092</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28791-2025</t>
        </is>
      </c>
      <c r="B1147" s="1" t="n">
        <v>45820</v>
      </c>
      <c r="C1147" s="1" t="n">
        <v>46092</v>
      </c>
      <c r="D1147" t="inlineStr">
        <is>
          <t>VÄRMLANDS LÄN</t>
        </is>
      </c>
      <c r="E1147" t="inlineStr">
        <is>
          <t>TORSBY</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28774-2025</t>
        </is>
      </c>
      <c r="B1148" s="1" t="n">
        <v>45820.4434375</v>
      </c>
      <c r="C1148" s="1" t="n">
        <v>46092</v>
      </c>
      <c r="D1148" t="inlineStr">
        <is>
          <t>VÄRMLANDS LÄN</t>
        </is>
      </c>
      <c r="E1148" t="inlineStr">
        <is>
          <t>TORSBY</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1148-2026</t>
        </is>
      </c>
      <c r="B1149" s="1" t="n">
        <v>46030</v>
      </c>
      <c r="C1149" s="1" t="n">
        <v>46092</v>
      </c>
      <c r="D1149" t="inlineStr">
        <is>
          <t>VÄRMLANDS LÄN</t>
        </is>
      </c>
      <c r="E1149" t="inlineStr">
        <is>
          <t>TORSBY</t>
        </is>
      </c>
      <c r="F1149" t="inlineStr">
        <is>
          <t>Bergvik skog väst AB</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46698-2024</t>
        </is>
      </c>
      <c r="B1150" s="1" t="n">
        <v>45583.43209490741</v>
      </c>
      <c r="C1150" s="1" t="n">
        <v>46092</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48947-2025</t>
        </is>
      </c>
      <c r="B1151" s="1" t="n">
        <v>45937.54157407407</v>
      </c>
      <c r="C1151" s="1" t="n">
        <v>46092</v>
      </c>
      <c r="D1151" t="inlineStr">
        <is>
          <t>VÄRMLANDS LÄN</t>
        </is>
      </c>
      <c r="E1151" t="inlineStr">
        <is>
          <t>TORSBY</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1708-2025</t>
        </is>
      </c>
      <c r="B1152" s="1" t="n">
        <v>45670</v>
      </c>
      <c r="C1152" s="1" t="n">
        <v>46092</v>
      </c>
      <c r="D1152" t="inlineStr">
        <is>
          <t>VÄRMLANDS LÄN</t>
        </is>
      </c>
      <c r="E1152" t="inlineStr">
        <is>
          <t>TORSBY</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15085-2023</t>
        </is>
      </c>
      <c r="B1153" s="1" t="n">
        <v>45016</v>
      </c>
      <c r="C1153" s="1" t="n">
        <v>46092</v>
      </c>
      <c r="D1153" t="inlineStr">
        <is>
          <t>VÄRMLANDS LÄN</t>
        </is>
      </c>
      <c r="E1153" t="inlineStr">
        <is>
          <t>TORSBY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44083-2023</t>
        </is>
      </c>
      <c r="B1154" s="1" t="n">
        <v>45182</v>
      </c>
      <c r="C1154" s="1" t="n">
        <v>46092</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47141-2022</t>
        </is>
      </c>
      <c r="B1155" s="1" t="n">
        <v>44852.56548611111</v>
      </c>
      <c r="C1155" s="1" t="n">
        <v>46092</v>
      </c>
      <c r="D1155" t="inlineStr">
        <is>
          <t>VÄRMLANDS LÄN</t>
        </is>
      </c>
      <c r="E1155" t="inlineStr">
        <is>
          <t>TORSBY</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42834-2024</t>
        </is>
      </c>
      <c r="B1156" s="1" t="n">
        <v>45566</v>
      </c>
      <c r="C1156" s="1" t="n">
        <v>46092</v>
      </c>
      <c r="D1156" t="inlineStr">
        <is>
          <t>VÄRMLANDS LÄN</t>
        </is>
      </c>
      <c r="E1156" t="inlineStr">
        <is>
          <t>TORSBY</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49108-2025</t>
        </is>
      </c>
      <c r="B1157" s="1" t="n">
        <v>45937.74528935185</v>
      </c>
      <c r="C1157" s="1" t="n">
        <v>46092</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49109-2025</t>
        </is>
      </c>
      <c r="B1158" s="1" t="n">
        <v>45937.74931712963</v>
      </c>
      <c r="C1158" s="1" t="n">
        <v>46092</v>
      </c>
      <c r="D1158" t="inlineStr">
        <is>
          <t>VÄRMLANDS LÄN</t>
        </is>
      </c>
      <c r="E1158" t="inlineStr">
        <is>
          <t>TORSBY</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28898-2025</t>
        </is>
      </c>
      <c r="B1159" s="1" t="n">
        <v>45820.63644675926</v>
      </c>
      <c r="C1159" s="1" t="n">
        <v>46092</v>
      </c>
      <c r="D1159" t="inlineStr">
        <is>
          <t>VÄRMLANDS LÄN</t>
        </is>
      </c>
      <c r="E1159" t="inlineStr">
        <is>
          <t>TORSBY</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29071-2025</t>
        </is>
      </c>
      <c r="B1160" s="1" t="n">
        <v>45821</v>
      </c>
      <c r="C1160" s="1" t="n">
        <v>46092</v>
      </c>
      <c r="D1160" t="inlineStr">
        <is>
          <t>VÄRMLANDS LÄN</t>
        </is>
      </c>
      <c r="E1160" t="inlineStr">
        <is>
          <t>TORSBY</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18684-2025</t>
        </is>
      </c>
      <c r="B1161" s="1" t="n">
        <v>45763.61064814815</v>
      </c>
      <c r="C1161" s="1" t="n">
        <v>46092</v>
      </c>
      <c r="D1161" t="inlineStr">
        <is>
          <t>VÄRMLANDS LÄN</t>
        </is>
      </c>
      <c r="E1161" t="inlineStr">
        <is>
          <t>TORSBY</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46343-2024</t>
        </is>
      </c>
      <c r="B1162" s="1" t="n">
        <v>45582</v>
      </c>
      <c r="C1162" s="1" t="n">
        <v>46092</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28761-2025</t>
        </is>
      </c>
      <c r="B1163" s="1" t="n">
        <v>45820.41648148148</v>
      </c>
      <c r="C1163" s="1" t="n">
        <v>46092</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28939-2025</t>
        </is>
      </c>
      <c r="B1164" s="1" t="n">
        <v>45820.71350694444</v>
      </c>
      <c r="C1164" s="1" t="n">
        <v>46092</v>
      </c>
      <c r="D1164" t="inlineStr">
        <is>
          <t>VÄRMLANDS LÄN</t>
        </is>
      </c>
      <c r="E1164" t="inlineStr">
        <is>
          <t>TORSBY</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3678-2024</t>
        </is>
      </c>
      <c r="B1165" s="1" t="n">
        <v>45321.37844907407</v>
      </c>
      <c r="C1165" s="1" t="n">
        <v>46092</v>
      </c>
      <c r="D1165" t="inlineStr">
        <is>
          <t>VÄRMLANDS LÄN</t>
        </is>
      </c>
      <c r="E1165" t="inlineStr">
        <is>
          <t>TORSBY</t>
        </is>
      </c>
      <c r="G1165" t="n">
        <v>24.6</v>
      </c>
      <c r="H1165" t="n">
        <v>0</v>
      </c>
      <c r="I1165" t="n">
        <v>0</v>
      </c>
      <c r="J1165" t="n">
        <v>0</v>
      </c>
      <c r="K1165" t="n">
        <v>0</v>
      </c>
      <c r="L1165" t="n">
        <v>0</v>
      </c>
      <c r="M1165" t="n">
        <v>0</v>
      </c>
      <c r="N1165" t="n">
        <v>0</v>
      </c>
      <c r="O1165" t="n">
        <v>0</v>
      </c>
      <c r="P1165" t="n">
        <v>0</v>
      </c>
      <c r="Q1165" t="n">
        <v>0</v>
      </c>
      <c r="R1165" s="2" t="inlineStr"/>
    </row>
    <row r="1166" ht="15" customHeight="1">
      <c r="A1166" t="inlineStr">
        <is>
          <t>A 51386-2023</t>
        </is>
      </c>
      <c r="B1166" s="1" t="n">
        <v>45219.65394675926</v>
      </c>
      <c r="C1166" s="1" t="n">
        <v>46092</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49181-2025</t>
        </is>
      </c>
      <c r="B1167" s="1" t="n">
        <v>45938.38640046296</v>
      </c>
      <c r="C1167" s="1" t="n">
        <v>46092</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29063-2025</t>
        </is>
      </c>
      <c r="B1168" s="1" t="n">
        <v>45821</v>
      </c>
      <c r="C1168" s="1" t="n">
        <v>46092</v>
      </c>
      <c r="D1168" t="inlineStr">
        <is>
          <t>VÄRMLANDS LÄN</t>
        </is>
      </c>
      <c r="E1168" t="inlineStr">
        <is>
          <t>TORSBY</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28784-2025</t>
        </is>
      </c>
      <c r="B1169" s="1" t="n">
        <v>45820</v>
      </c>
      <c r="C1169" s="1" t="n">
        <v>46092</v>
      </c>
      <c r="D1169" t="inlineStr">
        <is>
          <t>VÄRMLANDS LÄN</t>
        </is>
      </c>
      <c r="E1169" t="inlineStr">
        <is>
          <t>TORSBY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49311-2025</t>
        </is>
      </c>
      <c r="B1170" s="1" t="n">
        <v>45938.56336805555</v>
      </c>
      <c r="C1170" s="1" t="n">
        <v>46092</v>
      </c>
      <c r="D1170" t="inlineStr">
        <is>
          <t>VÄRMLANDS LÄN</t>
        </is>
      </c>
      <c r="E1170" t="inlineStr">
        <is>
          <t>TORSBY</t>
        </is>
      </c>
      <c r="F1170" t="inlineStr">
        <is>
          <t>Bergvik skog väst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29512-2025</t>
        </is>
      </c>
      <c r="B1171" s="1" t="n">
        <v>45825.31002314815</v>
      </c>
      <c r="C1171" s="1" t="n">
        <v>46092</v>
      </c>
      <c r="D1171" t="inlineStr">
        <is>
          <t>VÄRMLANDS LÄN</t>
        </is>
      </c>
      <c r="E1171" t="inlineStr">
        <is>
          <t>TORSBY</t>
        </is>
      </c>
      <c r="F1171" t="inlineStr">
        <is>
          <t>Bergvik skog väst AB</t>
        </is>
      </c>
      <c r="G1171" t="n">
        <v>17.9</v>
      </c>
      <c r="H1171" t="n">
        <v>0</v>
      </c>
      <c r="I1171" t="n">
        <v>0</v>
      </c>
      <c r="J1171" t="n">
        <v>0</v>
      </c>
      <c r="K1171" t="n">
        <v>0</v>
      </c>
      <c r="L1171" t="n">
        <v>0</v>
      </c>
      <c r="M1171" t="n">
        <v>0</v>
      </c>
      <c r="N1171" t="n">
        <v>0</v>
      </c>
      <c r="O1171" t="n">
        <v>0</v>
      </c>
      <c r="P1171" t="n">
        <v>0</v>
      </c>
      <c r="Q1171" t="n">
        <v>0</v>
      </c>
      <c r="R1171" s="2" t="inlineStr"/>
    </row>
    <row r="1172" ht="15" customHeight="1">
      <c r="A1172" t="inlineStr">
        <is>
          <t>A 29312-2025</t>
        </is>
      </c>
      <c r="B1172" s="1" t="n">
        <v>45824</v>
      </c>
      <c r="C1172" s="1" t="n">
        <v>46092</v>
      </c>
      <c r="D1172" t="inlineStr">
        <is>
          <t>VÄRMLANDS LÄN</t>
        </is>
      </c>
      <c r="E1172" t="inlineStr">
        <is>
          <t>TORSBY</t>
        </is>
      </c>
      <c r="F1172" t="inlineStr">
        <is>
          <t>Övriga Aktiebolag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29251-2025</t>
        </is>
      </c>
      <c r="B1173" s="1" t="n">
        <v>45824</v>
      </c>
      <c r="C1173" s="1" t="n">
        <v>46092</v>
      </c>
      <c r="D1173" t="inlineStr">
        <is>
          <t>VÄRMLANDS LÄN</t>
        </is>
      </c>
      <c r="E1173" t="inlineStr">
        <is>
          <t>TORSBY</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54885-2022</t>
        </is>
      </c>
      <c r="B1174" s="1" t="n">
        <v>44886</v>
      </c>
      <c r="C1174" s="1" t="n">
        <v>46092</v>
      </c>
      <c r="D1174" t="inlineStr">
        <is>
          <t>VÄRMLANDS LÄN</t>
        </is>
      </c>
      <c r="E1174" t="inlineStr">
        <is>
          <t>TORSBY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39648-2023</t>
        </is>
      </c>
      <c r="B1175" s="1" t="n">
        <v>45167.5528587963</v>
      </c>
      <c r="C1175" s="1" t="n">
        <v>46092</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48991-2025</t>
        </is>
      </c>
      <c r="B1176" s="1" t="n">
        <v>45937.58141203703</v>
      </c>
      <c r="C1176" s="1" t="n">
        <v>46092</v>
      </c>
      <c r="D1176" t="inlineStr">
        <is>
          <t>VÄRMLANDS LÄN</t>
        </is>
      </c>
      <c r="E1176" t="inlineStr">
        <is>
          <t>TORSBY</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29587-2025</t>
        </is>
      </c>
      <c r="B1177" s="1" t="n">
        <v>45825.39394675926</v>
      </c>
      <c r="C1177" s="1" t="n">
        <v>46092</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1828-2026</t>
        </is>
      </c>
      <c r="B1178" s="1" t="n">
        <v>46035</v>
      </c>
      <c r="C1178" s="1" t="n">
        <v>46092</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49272-2025</t>
        </is>
      </c>
      <c r="B1179" s="1" t="n">
        <v>45938.50574074074</v>
      </c>
      <c r="C1179" s="1" t="n">
        <v>46092</v>
      </c>
      <c r="D1179" t="inlineStr">
        <is>
          <t>VÄRMLANDS LÄN</t>
        </is>
      </c>
      <c r="E1179" t="inlineStr">
        <is>
          <t>TORSBY</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49313-2025</t>
        </is>
      </c>
      <c r="B1180" s="1" t="n">
        <v>45938.56460648148</v>
      </c>
      <c r="C1180" s="1" t="n">
        <v>46092</v>
      </c>
      <c r="D1180" t="inlineStr">
        <is>
          <t>VÄRMLANDS LÄN</t>
        </is>
      </c>
      <c r="E1180" t="inlineStr">
        <is>
          <t>TORSBY</t>
        </is>
      </c>
      <c r="F1180" t="inlineStr">
        <is>
          <t>Bergvik skog väst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2057-2026</t>
        </is>
      </c>
      <c r="B1181" s="1" t="n">
        <v>46033</v>
      </c>
      <c r="C1181" s="1" t="n">
        <v>46092</v>
      </c>
      <c r="D1181" t="inlineStr">
        <is>
          <t>VÄRMLANDS LÄN</t>
        </is>
      </c>
      <c r="E1181" t="inlineStr">
        <is>
          <t>TORSBY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38298-2021</t>
        </is>
      </c>
      <c r="B1182" s="1" t="n">
        <v>44406</v>
      </c>
      <c r="C1182" s="1" t="n">
        <v>46092</v>
      </c>
      <c r="D1182" t="inlineStr">
        <is>
          <t>VÄRMLANDS LÄN</t>
        </is>
      </c>
      <c r="E1182" t="inlineStr">
        <is>
          <t>TORSBY</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29650-2025</t>
        </is>
      </c>
      <c r="B1183" s="1" t="n">
        <v>45825.47546296296</v>
      </c>
      <c r="C1183" s="1" t="n">
        <v>46092</v>
      </c>
      <c r="D1183" t="inlineStr">
        <is>
          <t>VÄRMLANDS LÄN</t>
        </is>
      </c>
      <c r="E1183" t="inlineStr">
        <is>
          <t>TORSBY</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49203-2025</t>
        </is>
      </c>
      <c r="B1184" s="1" t="n">
        <v>45938</v>
      </c>
      <c r="C1184" s="1" t="n">
        <v>46092</v>
      </c>
      <c r="D1184" t="inlineStr">
        <is>
          <t>VÄRMLANDS LÄN</t>
        </is>
      </c>
      <c r="E1184" t="inlineStr">
        <is>
          <t>TORSBY</t>
        </is>
      </c>
      <c r="F1184" t="inlineStr">
        <is>
          <t>Bergvik skog väst AB</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28757-2025</t>
        </is>
      </c>
      <c r="B1185" s="1" t="n">
        <v>45820</v>
      </c>
      <c r="C1185" s="1" t="n">
        <v>46092</v>
      </c>
      <c r="D1185" t="inlineStr">
        <is>
          <t>VÄRMLANDS LÄN</t>
        </is>
      </c>
      <c r="E1185" t="inlineStr">
        <is>
          <t>TORSBY</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29641-2025</t>
        </is>
      </c>
      <c r="B1186" s="1" t="n">
        <v>45825.46285879629</v>
      </c>
      <c r="C1186" s="1" t="n">
        <v>46092</v>
      </c>
      <c r="D1186" t="inlineStr">
        <is>
          <t>VÄRMLANDS LÄN</t>
        </is>
      </c>
      <c r="E1186" t="inlineStr">
        <is>
          <t>TORSBY</t>
        </is>
      </c>
      <c r="G1186" t="n">
        <v>23.4</v>
      </c>
      <c r="H1186" t="n">
        <v>0</v>
      </c>
      <c r="I1186" t="n">
        <v>0</v>
      </c>
      <c r="J1186" t="n">
        <v>0</v>
      </c>
      <c r="K1186" t="n">
        <v>0</v>
      </c>
      <c r="L1186" t="n">
        <v>0</v>
      </c>
      <c r="M1186" t="n">
        <v>0</v>
      </c>
      <c r="N1186" t="n">
        <v>0</v>
      </c>
      <c r="O1186" t="n">
        <v>0</v>
      </c>
      <c r="P1186" t="n">
        <v>0</v>
      </c>
      <c r="Q1186" t="n">
        <v>0</v>
      </c>
      <c r="R1186" s="2" t="inlineStr"/>
    </row>
    <row r="1187" ht="15" customHeight="1">
      <c r="A1187" t="inlineStr">
        <is>
          <t>A 49622-2025</t>
        </is>
      </c>
      <c r="B1187" s="1" t="n">
        <v>45939</v>
      </c>
      <c r="C1187" s="1" t="n">
        <v>46092</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49636-2025</t>
        </is>
      </c>
      <c r="B1188" s="1" t="n">
        <v>45939</v>
      </c>
      <c r="C1188" s="1" t="n">
        <v>46092</v>
      </c>
      <c r="D1188" t="inlineStr">
        <is>
          <t>VÄRMLANDS LÄN</t>
        </is>
      </c>
      <c r="E1188" t="inlineStr">
        <is>
          <t>TORSBY</t>
        </is>
      </c>
      <c r="F1188" t="inlineStr">
        <is>
          <t>Bergvik skog väst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49344-2025</t>
        </is>
      </c>
      <c r="B1189" s="1" t="n">
        <v>45938.60028935185</v>
      </c>
      <c r="C1189" s="1" t="n">
        <v>46092</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24717-2024</t>
        </is>
      </c>
      <c r="B1190" s="1" t="n">
        <v>45460</v>
      </c>
      <c r="C1190" s="1" t="n">
        <v>46092</v>
      </c>
      <c r="D1190" t="inlineStr">
        <is>
          <t>VÄRMLANDS LÄN</t>
        </is>
      </c>
      <c r="E1190" t="inlineStr">
        <is>
          <t>TORSBY</t>
        </is>
      </c>
      <c r="F1190" t="inlineStr">
        <is>
          <t>Övriga statliga verk och myndigheter</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10536-2026</t>
        </is>
      </c>
      <c r="B1191" s="1" t="n">
        <v>46077.59946759259</v>
      </c>
      <c r="C1191" s="1" t="n">
        <v>46092</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49681-2025</t>
        </is>
      </c>
      <c r="B1192" s="1" t="n">
        <v>45939</v>
      </c>
      <c r="C1192" s="1" t="n">
        <v>46092</v>
      </c>
      <c r="D1192" t="inlineStr">
        <is>
          <t>VÄRMLANDS LÄN</t>
        </is>
      </c>
      <c r="E1192" t="inlineStr">
        <is>
          <t>TORSBY</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49453-2025</t>
        </is>
      </c>
      <c r="B1193" s="1" t="n">
        <v>45939</v>
      </c>
      <c r="C1193" s="1" t="n">
        <v>46092</v>
      </c>
      <c r="D1193" t="inlineStr">
        <is>
          <t>VÄRMLANDS LÄN</t>
        </is>
      </c>
      <c r="E1193" t="inlineStr">
        <is>
          <t>TORSBY</t>
        </is>
      </c>
      <c r="F1193" t="inlineStr">
        <is>
          <t>Bergvik skog väst AB</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29307-2025</t>
        </is>
      </c>
      <c r="B1194" s="1" t="n">
        <v>45824</v>
      </c>
      <c r="C1194" s="1" t="n">
        <v>46092</v>
      </c>
      <c r="D1194" t="inlineStr">
        <is>
          <t>VÄRMLANDS LÄN</t>
        </is>
      </c>
      <c r="E1194" t="inlineStr">
        <is>
          <t>TORSBY</t>
        </is>
      </c>
      <c r="F1194" t="inlineStr">
        <is>
          <t>Övriga Aktiebolag</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29403-2025</t>
        </is>
      </c>
      <c r="B1195" s="1" t="n">
        <v>45824.61469907407</v>
      </c>
      <c r="C1195" s="1" t="n">
        <v>46092</v>
      </c>
      <c r="D1195" t="inlineStr">
        <is>
          <t>VÄRMLANDS LÄN</t>
        </is>
      </c>
      <c r="E1195" t="inlineStr">
        <is>
          <t>TORSBY</t>
        </is>
      </c>
      <c r="F1195" t="inlineStr">
        <is>
          <t>Bergvik skog väst AB</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49638-2025</t>
        </is>
      </c>
      <c r="B1196" s="1" t="n">
        <v>45939.61236111111</v>
      </c>
      <c r="C1196" s="1" t="n">
        <v>46092</v>
      </c>
      <c r="D1196" t="inlineStr">
        <is>
          <t>VÄRMLANDS LÄN</t>
        </is>
      </c>
      <c r="E1196" t="inlineStr">
        <is>
          <t>TORSBY</t>
        </is>
      </c>
      <c r="F1196" t="inlineStr">
        <is>
          <t>Bergvik skog väst AB</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49107-2025</t>
        </is>
      </c>
      <c r="B1197" s="1" t="n">
        <v>45937.74091435185</v>
      </c>
      <c r="C1197" s="1" t="n">
        <v>46092</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24170-2023</t>
        </is>
      </c>
      <c r="B1198" s="1" t="n">
        <v>45079</v>
      </c>
      <c r="C1198" s="1" t="n">
        <v>46092</v>
      </c>
      <c r="D1198" t="inlineStr">
        <is>
          <t>VÄRMLANDS LÄN</t>
        </is>
      </c>
      <c r="E1198" t="inlineStr">
        <is>
          <t>TORSBY</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49717-2023</t>
        </is>
      </c>
      <c r="B1199" s="1" t="n">
        <v>45208</v>
      </c>
      <c r="C1199" s="1" t="n">
        <v>46092</v>
      </c>
      <c r="D1199" t="inlineStr">
        <is>
          <t>VÄRMLANDS LÄN</t>
        </is>
      </c>
      <c r="E1199" t="inlineStr">
        <is>
          <t>TORSBY</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49504-2025</t>
        </is>
      </c>
      <c r="B1200" s="1" t="n">
        <v>45939</v>
      </c>
      <c r="C1200" s="1" t="n">
        <v>46092</v>
      </c>
      <c r="D1200" t="inlineStr">
        <is>
          <t>VÄRMLANDS LÄN</t>
        </is>
      </c>
      <c r="E1200" t="inlineStr">
        <is>
          <t>TORSBY</t>
        </is>
      </c>
      <c r="F1200" t="inlineStr">
        <is>
          <t>Bergvik skog väst AB</t>
        </is>
      </c>
      <c r="G1200" t="n">
        <v>35.8</v>
      </c>
      <c r="H1200" t="n">
        <v>0</v>
      </c>
      <c r="I1200" t="n">
        <v>0</v>
      </c>
      <c r="J1200" t="n">
        <v>0</v>
      </c>
      <c r="K1200" t="n">
        <v>0</v>
      </c>
      <c r="L1200" t="n">
        <v>0</v>
      </c>
      <c r="M1200" t="n">
        <v>0</v>
      </c>
      <c r="N1200" t="n">
        <v>0</v>
      </c>
      <c r="O1200" t="n">
        <v>0</v>
      </c>
      <c r="P1200" t="n">
        <v>0</v>
      </c>
      <c r="Q1200" t="n">
        <v>0</v>
      </c>
      <c r="R1200" s="2" t="inlineStr"/>
    </row>
    <row r="1201" ht="15" customHeight="1">
      <c r="A1201" t="inlineStr">
        <is>
          <t>A 49237-2025</t>
        </is>
      </c>
      <c r="B1201" s="1" t="n">
        <v>45938</v>
      </c>
      <c r="C1201" s="1" t="n">
        <v>46092</v>
      </c>
      <c r="D1201" t="inlineStr">
        <is>
          <t>VÄRMLANDS LÄN</t>
        </is>
      </c>
      <c r="E1201" t="inlineStr">
        <is>
          <t>TORSBY</t>
        </is>
      </c>
      <c r="F1201" t="inlineStr">
        <is>
          <t>Bergvik skog väst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49250-2025</t>
        </is>
      </c>
      <c r="B1202" s="1" t="n">
        <v>45938</v>
      </c>
      <c r="C1202" s="1" t="n">
        <v>46092</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49854-2025</t>
        </is>
      </c>
      <c r="B1203" s="1" t="n">
        <v>45940.50342592593</v>
      </c>
      <c r="C1203" s="1" t="n">
        <v>46092</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10533-2026</t>
        </is>
      </c>
      <c r="B1204" s="1" t="n">
        <v>46077</v>
      </c>
      <c r="C1204" s="1" t="n">
        <v>46092</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30078-2025</t>
        </is>
      </c>
      <c r="B1205" s="1" t="n">
        <v>45826.64291666666</v>
      </c>
      <c r="C1205" s="1" t="n">
        <v>46092</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40470-2023</t>
        </is>
      </c>
      <c r="B1206" s="1" t="n">
        <v>45170</v>
      </c>
      <c r="C1206" s="1" t="n">
        <v>46092</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30433-2025</t>
        </is>
      </c>
      <c r="B1207" s="1" t="n">
        <v>45827</v>
      </c>
      <c r="C1207" s="1" t="n">
        <v>46092</v>
      </c>
      <c r="D1207" t="inlineStr">
        <is>
          <t>VÄRMLANDS LÄN</t>
        </is>
      </c>
      <c r="E1207" t="inlineStr">
        <is>
          <t>TORSBY</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1635-2026</t>
        </is>
      </c>
      <c r="B1208" s="1" t="n">
        <v>46034.491875</v>
      </c>
      <c r="C1208" s="1" t="n">
        <v>46092</v>
      </c>
      <c r="D1208" t="inlineStr">
        <is>
          <t>VÄRMLANDS LÄN</t>
        </is>
      </c>
      <c r="E1208" t="inlineStr">
        <is>
          <t>TORSBY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30074-2025</t>
        </is>
      </c>
      <c r="B1209" s="1" t="n">
        <v>45826.63672453703</v>
      </c>
      <c r="C1209" s="1" t="n">
        <v>46092</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30380-2025</t>
        </is>
      </c>
      <c r="B1210" s="1" t="n">
        <v>45827</v>
      </c>
      <c r="C1210" s="1" t="n">
        <v>46092</v>
      </c>
      <c r="D1210" t="inlineStr">
        <is>
          <t>VÄRMLANDS LÄN</t>
        </is>
      </c>
      <c r="E1210" t="inlineStr">
        <is>
          <t>TORSBY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1092-2025</t>
        </is>
      </c>
      <c r="B1211" s="1" t="n">
        <v>45666.6333912037</v>
      </c>
      <c r="C1211" s="1" t="n">
        <v>46092</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22463-2021</t>
        </is>
      </c>
      <c r="B1212" s="1" t="n">
        <v>44326.67366898148</v>
      </c>
      <c r="C1212" s="1" t="n">
        <v>46092</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10277-2026</t>
        </is>
      </c>
      <c r="B1213" s="1" t="n">
        <v>46076.58681712963</v>
      </c>
      <c r="C1213" s="1" t="n">
        <v>46092</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10295-2026</t>
        </is>
      </c>
      <c r="B1214" s="1" t="n">
        <v>46076.62011574074</v>
      </c>
      <c r="C1214" s="1" t="n">
        <v>46092</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44699-2025</t>
        </is>
      </c>
      <c r="B1215" s="1" t="n">
        <v>45917</v>
      </c>
      <c r="C1215" s="1" t="n">
        <v>46092</v>
      </c>
      <c r="D1215" t="inlineStr">
        <is>
          <t>VÄRMLANDS LÄN</t>
        </is>
      </c>
      <c r="E1215" t="inlineStr">
        <is>
          <t>TORSBY</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10596-2026</t>
        </is>
      </c>
      <c r="B1216" s="1" t="n">
        <v>46077.71212962963</v>
      </c>
      <c r="C1216" s="1" t="n">
        <v>46092</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30199-2025</t>
        </is>
      </c>
      <c r="B1217" s="1" t="n">
        <v>45827</v>
      </c>
      <c r="C1217" s="1" t="n">
        <v>46092</v>
      </c>
      <c r="D1217" t="inlineStr">
        <is>
          <t>VÄRMLANDS LÄN</t>
        </is>
      </c>
      <c r="E1217" t="inlineStr">
        <is>
          <t>TORSBY</t>
        </is>
      </c>
      <c r="F1217" t="inlineStr">
        <is>
          <t>Bergvik skog väst AB</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2008-2026</t>
        </is>
      </c>
      <c r="B1218" s="1" t="n">
        <v>46035</v>
      </c>
      <c r="C1218" s="1" t="n">
        <v>46092</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63032-2023</t>
        </is>
      </c>
      <c r="B1219" s="1" t="n">
        <v>45272.72728009259</v>
      </c>
      <c r="C1219" s="1" t="n">
        <v>46092</v>
      </c>
      <c r="D1219" t="inlineStr">
        <is>
          <t>VÄRMLANDS LÄN</t>
        </is>
      </c>
      <c r="E1219" t="inlineStr">
        <is>
          <t>TORSBY</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30377-2025</t>
        </is>
      </c>
      <c r="B1220" s="1" t="n">
        <v>45827</v>
      </c>
      <c r="C1220" s="1" t="n">
        <v>46092</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30388-2025</t>
        </is>
      </c>
      <c r="B1221" s="1" t="n">
        <v>45827.5734837963</v>
      </c>
      <c r="C1221" s="1" t="n">
        <v>46092</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10332-2026</t>
        </is>
      </c>
      <c r="B1222" s="1" t="n">
        <v>46076</v>
      </c>
      <c r="C1222" s="1" t="n">
        <v>46092</v>
      </c>
      <c r="D1222" t="inlineStr">
        <is>
          <t>VÄRMLANDS LÄN</t>
        </is>
      </c>
      <c r="E1222" t="inlineStr">
        <is>
          <t>TORSBY</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30153-2025</t>
        </is>
      </c>
      <c r="B1223" s="1" t="n">
        <v>45827.31736111111</v>
      </c>
      <c r="C1223" s="1" t="n">
        <v>46092</v>
      </c>
      <c r="D1223" t="inlineStr">
        <is>
          <t>VÄRMLANDS LÄN</t>
        </is>
      </c>
      <c r="E1223" t="inlineStr">
        <is>
          <t>TORSBY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2005-2026</t>
        </is>
      </c>
      <c r="B1224" s="1" t="n">
        <v>46035.69554398148</v>
      </c>
      <c r="C1224" s="1" t="n">
        <v>46092</v>
      </c>
      <c r="D1224" t="inlineStr">
        <is>
          <t>VÄRMLANDS LÄN</t>
        </is>
      </c>
      <c r="E1224" t="inlineStr">
        <is>
          <t>TORSBY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30026-2025</t>
        </is>
      </c>
      <c r="B1225" s="1" t="n">
        <v>45826.5637037037</v>
      </c>
      <c r="C1225" s="1" t="n">
        <v>46092</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1428-2026</t>
        </is>
      </c>
      <c r="B1226" s="1" t="n">
        <v>46032</v>
      </c>
      <c r="C1226" s="1" t="n">
        <v>46092</v>
      </c>
      <c r="D1226" t="inlineStr">
        <is>
          <t>VÄRMLANDS LÄN</t>
        </is>
      </c>
      <c r="E1226" t="inlineStr">
        <is>
          <t>TORSBY</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30151-2025</t>
        </is>
      </c>
      <c r="B1227" s="1" t="n">
        <v>45827</v>
      </c>
      <c r="C1227" s="1" t="n">
        <v>46092</v>
      </c>
      <c r="D1227" t="inlineStr">
        <is>
          <t>VÄRMLANDS LÄN</t>
        </is>
      </c>
      <c r="E1227" t="inlineStr">
        <is>
          <t>TORSBY</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30214-2025</t>
        </is>
      </c>
      <c r="B1228" s="1" t="n">
        <v>45827</v>
      </c>
      <c r="C1228" s="1" t="n">
        <v>46092</v>
      </c>
      <c r="D1228" t="inlineStr">
        <is>
          <t>VÄRMLANDS LÄN</t>
        </is>
      </c>
      <c r="E1228" t="inlineStr">
        <is>
          <t>TORSBY</t>
        </is>
      </c>
      <c r="F1228" t="inlineStr">
        <is>
          <t>Bergvik skog väst AB</t>
        </is>
      </c>
      <c r="G1228" t="n">
        <v>13.9</v>
      </c>
      <c r="H1228" t="n">
        <v>0</v>
      </c>
      <c r="I1228" t="n">
        <v>0</v>
      </c>
      <c r="J1228" t="n">
        <v>0</v>
      </c>
      <c r="K1228" t="n">
        <v>0</v>
      </c>
      <c r="L1228" t="n">
        <v>0</v>
      </c>
      <c r="M1228" t="n">
        <v>0</v>
      </c>
      <c r="N1228" t="n">
        <v>0</v>
      </c>
      <c r="O1228" t="n">
        <v>0</v>
      </c>
      <c r="P1228" t="n">
        <v>0</v>
      </c>
      <c r="Q1228" t="n">
        <v>0</v>
      </c>
      <c r="R1228" s="2" t="inlineStr"/>
    </row>
    <row r="1229" ht="15" customHeight="1">
      <c r="A1229" t="inlineStr">
        <is>
          <t>A 34500-2024</t>
        </is>
      </c>
      <c r="B1229" s="1" t="n">
        <v>45525</v>
      </c>
      <c r="C1229" s="1" t="n">
        <v>46092</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30333-2025</t>
        </is>
      </c>
      <c r="B1230" s="1" t="n">
        <v>45827</v>
      </c>
      <c r="C1230" s="1" t="n">
        <v>46092</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30607-2025</t>
        </is>
      </c>
      <c r="B1231" s="1" t="n">
        <v>45831.4584375</v>
      </c>
      <c r="C1231" s="1" t="n">
        <v>46092</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10119-2026</t>
        </is>
      </c>
      <c r="B1232" s="1" t="n">
        <v>46075.74895833333</v>
      </c>
      <c r="C1232" s="1" t="n">
        <v>46092</v>
      </c>
      <c r="D1232" t="inlineStr">
        <is>
          <t>VÄRMLANDS LÄN</t>
        </is>
      </c>
      <c r="E1232" t="inlineStr">
        <is>
          <t>TORSBY</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56634-2024</t>
        </is>
      </c>
      <c r="B1233" s="1" t="n">
        <v>45625.68491898148</v>
      </c>
      <c r="C1233" s="1" t="n">
        <v>46092</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10515-2026</t>
        </is>
      </c>
      <c r="B1234" s="1" t="n">
        <v>46077</v>
      </c>
      <c r="C1234" s="1" t="n">
        <v>46092</v>
      </c>
      <c r="D1234" t="inlineStr">
        <is>
          <t>VÄRMLANDS LÄN</t>
        </is>
      </c>
      <c r="E1234" t="inlineStr">
        <is>
          <t>TORSBY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10871-2026</t>
        </is>
      </c>
      <c r="B1235" s="1" t="n">
        <v>46078.6843287037</v>
      </c>
      <c r="C1235" s="1" t="n">
        <v>46092</v>
      </c>
      <c r="D1235" t="inlineStr">
        <is>
          <t>VÄRMLANDS LÄN</t>
        </is>
      </c>
      <c r="E1235" t="inlineStr">
        <is>
          <t>TORSBY</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64432-2023</t>
        </is>
      </c>
      <c r="B1236" s="1" t="n">
        <v>45280.67184027778</v>
      </c>
      <c r="C1236" s="1" t="n">
        <v>46092</v>
      </c>
      <c r="D1236" t="inlineStr">
        <is>
          <t>VÄRMLANDS LÄN</t>
        </is>
      </c>
      <c r="E1236" t="inlineStr">
        <is>
          <t>TORSBY</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30717-2025</t>
        </is>
      </c>
      <c r="B1237" s="1" t="n">
        <v>45831.56103009259</v>
      </c>
      <c r="C1237" s="1" t="n">
        <v>46092</v>
      </c>
      <c r="D1237" t="inlineStr">
        <is>
          <t>VÄRMLANDS LÄN</t>
        </is>
      </c>
      <c r="E1237" t="inlineStr">
        <is>
          <t>TORSBY</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6708-2023</t>
        </is>
      </c>
      <c r="B1238" s="1" t="n">
        <v>44960</v>
      </c>
      <c r="C1238" s="1" t="n">
        <v>46092</v>
      </c>
      <c r="D1238" t="inlineStr">
        <is>
          <t>VÄRMLANDS LÄN</t>
        </is>
      </c>
      <c r="E1238" t="inlineStr">
        <is>
          <t>TORSBY</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6711-2023</t>
        </is>
      </c>
      <c r="B1239" s="1" t="n">
        <v>44960</v>
      </c>
      <c r="C1239" s="1" t="n">
        <v>46092</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50373-2025</t>
        </is>
      </c>
      <c r="B1240" s="1" t="n">
        <v>45944.59106481481</v>
      </c>
      <c r="C1240" s="1" t="n">
        <v>46092</v>
      </c>
      <c r="D1240" t="inlineStr">
        <is>
          <t>VÄRMLANDS LÄN</t>
        </is>
      </c>
      <c r="E1240" t="inlineStr">
        <is>
          <t>TORSBY</t>
        </is>
      </c>
      <c r="F1240" t="inlineStr">
        <is>
          <t>Bergvik skog väst AB</t>
        </is>
      </c>
      <c r="G1240" t="n">
        <v>11.5</v>
      </c>
      <c r="H1240" t="n">
        <v>0</v>
      </c>
      <c r="I1240" t="n">
        <v>0</v>
      </c>
      <c r="J1240" t="n">
        <v>0</v>
      </c>
      <c r="K1240" t="n">
        <v>0</v>
      </c>
      <c r="L1240" t="n">
        <v>0</v>
      </c>
      <c r="M1240" t="n">
        <v>0</v>
      </c>
      <c r="N1240" t="n">
        <v>0</v>
      </c>
      <c r="O1240" t="n">
        <v>0</v>
      </c>
      <c r="P1240" t="n">
        <v>0</v>
      </c>
      <c r="Q1240" t="n">
        <v>0</v>
      </c>
      <c r="R1240" s="2" t="inlineStr"/>
    </row>
    <row r="1241" ht="15" customHeight="1">
      <c r="A1241" t="inlineStr">
        <is>
          <t>A 6715-2023</t>
        </is>
      </c>
      <c r="B1241" s="1" t="n">
        <v>44960</v>
      </c>
      <c r="C1241" s="1" t="n">
        <v>46092</v>
      </c>
      <c r="D1241" t="inlineStr">
        <is>
          <t>VÄRMLANDS LÄN</t>
        </is>
      </c>
      <c r="E1241" t="inlineStr">
        <is>
          <t>TORSBY</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50400-2025</t>
        </is>
      </c>
      <c r="B1242" s="1" t="n">
        <v>45944.63516203704</v>
      </c>
      <c r="C1242" s="1" t="n">
        <v>46092</v>
      </c>
      <c r="D1242" t="inlineStr">
        <is>
          <t>VÄRMLANDS LÄN</t>
        </is>
      </c>
      <c r="E1242" t="inlineStr">
        <is>
          <t>TORSBY</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30074-2024</t>
        </is>
      </c>
      <c r="B1243" s="1" t="n">
        <v>45489</v>
      </c>
      <c r="C1243" s="1" t="n">
        <v>46092</v>
      </c>
      <c r="D1243" t="inlineStr">
        <is>
          <t>VÄRMLANDS LÄN</t>
        </is>
      </c>
      <c r="E1243" t="inlineStr">
        <is>
          <t>TORSBY</t>
        </is>
      </c>
      <c r="F1243" t="inlineStr">
        <is>
          <t>Kyrkan</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56815-2023</t>
        </is>
      </c>
      <c r="B1244" s="1" t="n">
        <v>45244</v>
      </c>
      <c r="C1244" s="1" t="n">
        <v>46092</v>
      </c>
      <c r="D1244" t="inlineStr">
        <is>
          <t>VÄRMLANDS LÄN</t>
        </is>
      </c>
      <c r="E1244" t="inlineStr">
        <is>
          <t>TORSBY</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65713-2021</t>
        </is>
      </c>
      <c r="B1245" s="1" t="n">
        <v>44516</v>
      </c>
      <c r="C1245" s="1" t="n">
        <v>46092</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30560-2025</t>
        </is>
      </c>
      <c r="B1246" s="1" t="n">
        <v>45831.39497685185</v>
      </c>
      <c r="C1246" s="1" t="n">
        <v>46092</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1104-2025</t>
        </is>
      </c>
      <c r="B1247" s="1" t="n">
        <v>45666</v>
      </c>
      <c r="C1247" s="1" t="n">
        <v>46092</v>
      </c>
      <c r="D1247" t="inlineStr">
        <is>
          <t>VÄRMLANDS LÄN</t>
        </is>
      </c>
      <c r="E1247" t="inlineStr">
        <is>
          <t>TORSBY</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30738-2025</t>
        </is>
      </c>
      <c r="B1248" s="1" t="n">
        <v>45831.57583333334</v>
      </c>
      <c r="C1248" s="1" t="n">
        <v>46092</v>
      </c>
      <c r="D1248" t="inlineStr">
        <is>
          <t>VÄRMLANDS LÄN</t>
        </is>
      </c>
      <c r="E1248" t="inlineStr">
        <is>
          <t>TORSBY</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13723-2023</t>
        </is>
      </c>
      <c r="B1249" s="1" t="n">
        <v>45007</v>
      </c>
      <c r="C1249" s="1" t="n">
        <v>46092</v>
      </c>
      <c r="D1249" t="inlineStr">
        <is>
          <t>VÄRMLANDS LÄN</t>
        </is>
      </c>
      <c r="E1249" t="inlineStr">
        <is>
          <t>TORSBY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24657-2024</t>
        </is>
      </c>
      <c r="B1250" s="1" t="n">
        <v>45460</v>
      </c>
      <c r="C1250" s="1" t="n">
        <v>46092</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50906-2025</t>
        </is>
      </c>
      <c r="B1251" s="1" t="n">
        <v>45946.65119212963</v>
      </c>
      <c r="C1251" s="1" t="n">
        <v>46092</v>
      </c>
      <c r="D1251" t="inlineStr">
        <is>
          <t>VÄRMLANDS LÄN</t>
        </is>
      </c>
      <c r="E1251" t="inlineStr">
        <is>
          <t>TORSBY</t>
        </is>
      </c>
      <c r="F1251" t="inlineStr">
        <is>
          <t>Kommuner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50918-2025</t>
        </is>
      </c>
      <c r="B1252" s="1" t="n">
        <v>45946.66516203704</v>
      </c>
      <c r="C1252" s="1" t="n">
        <v>46092</v>
      </c>
      <c r="D1252" t="inlineStr">
        <is>
          <t>VÄRMLANDS LÄN</t>
        </is>
      </c>
      <c r="E1252" t="inlineStr">
        <is>
          <t>TORSBY</t>
        </is>
      </c>
      <c r="F1252" t="inlineStr">
        <is>
          <t>Kommuner</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50927-2025</t>
        </is>
      </c>
      <c r="B1253" s="1" t="n">
        <v>45946.67895833333</v>
      </c>
      <c r="C1253" s="1" t="n">
        <v>46092</v>
      </c>
      <c r="D1253" t="inlineStr">
        <is>
          <t>VÄRMLANDS LÄN</t>
        </is>
      </c>
      <c r="E1253" t="inlineStr">
        <is>
          <t>TORSBY</t>
        </is>
      </c>
      <c r="F1253" t="inlineStr">
        <is>
          <t>Kommuner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51215-2025</t>
        </is>
      </c>
      <c r="B1254" s="1" t="n">
        <v>45947.64357638889</v>
      </c>
      <c r="C1254" s="1" t="n">
        <v>46092</v>
      </c>
      <c r="D1254" t="inlineStr">
        <is>
          <t>VÄRMLANDS LÄN</t>
        </is>
      </c>
      <c r="E1254" t="inlineStr">
        <is>
          <t>TORSBY</t>
        </is>
      </c>
      <c r="F1254" t="inlineStr">
        <is>
          <t>Bergvik skog väst AB</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51219-2025</t>
        </is>
      </c>
      <c r="B1255" s="1" t="n">
        <v>45947.64710648148</v>
      </c>
      <c r="C1255" s="1" t="n">
        <v>46092</v>
      </c>
      <c r="D1255" t="inlineStr">
        <is>
          <t>VÄRMLANDS LÄN</t>
        </is>
      </c>
      <c r="E1255" t="inlineStr">
        <is>
          <t>TORSBY</t>
        </is>
      </c>
      <c r="F1255" t="inlineStr">
        <is>
          <t>Bergvik skog väst AB</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52532-2023</t>
        </is>
      </c>
      <c r="B1256" s="1" t="n">
        <v>45225.54318287037</v>
      </c>
      <c r="C1256" s="1" t="n">
        <v>46092</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51113-2025</t>
        </is>
      </c>
      <c r="B1257" s="1" t="n">
        <v>45947.51290509259</v>
      </c>
      <c r="C1257" s="1" t="n">
        <v>46092</v>
      </c>
      <c r="D1257" t="inlineStr">
        <is>
          <t>VÄRMLANDS LÄN</t>
        </is>
      </c>
      <c r="E1257" t="inlineStr">
        <is>
          <t>TORSBY</t>
        </is>
      </c>
      <c r="F1257" t="inlineStr">
        <is>
          <t>Kommuner</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13006-2025</t>
        </is>
      </c>
      <c r="B1258" s="1" t="n">
        <v>45734.51652777778</v>
      </c>
      <c r="C1258" s="1" t="n">
        <v>46092</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31101-2025</t>
        </is>
      </c>
      <c r="B1259" s="1" t="n">
        <v>45832</v>
      </c>
      <c r="C1259" s="1" t="n">
        <v>46092</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59425-2021</t>
        </is>
      </c>
      <c r="B1260" s="1" t="n">
        <v>44491.43469907407</v>
      </c>
      <c r="C1260" s="1" t="n">
        <v>46092</v>
      </c>
      <c r="D1260" t="inlineStr">
        <is>
          <t>VÄRMLANDS LÄN</t>
        </is>
      </c>
      <c r="E1260" t="inlineStr">
        <is>
          <t>TORSBY</t>
        </is>
      </c>
      <c r="F1260" t="inlineStr">
        <is>
          <t>Bergvik skog väst AB</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69878-2021</t>
        </is>
      </c>
      <c r="B1261" s="1" t="n">
        <v>44532.82293981482</v>
      </c>
      <c r="C1261" s="1" t="n">
        <v>46092</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31547-2025</t>
        </is>
      </c>
      <c r="B1262" s="1" t="n">
        <v>45833.63733796297</v>
      </c>
      <c r="C1262" s="1" t="n">
        <v>46092</v>
      </c>
      <c r="D1262" t="inlineStr">
        <is>
          <t>VÄRMLANDS LÄN</t>
        </is>
      </c>
      <c r="E1262" t="inlineStr">
        <is>
          <t>TORSBY</t>
        </is>
      </c>
      <c r="F1262" t="inlineStr">
        <is>
          <t>Bergvik skog väst AB</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21518-2024</t>
        </is>
      </c>
      <c r="B1263" s="1" t="n">
        <v>45441</v>
      </c>
      <c r="C1263" s="1" t="n">
        <v>46092</v>
      </c>
      <c r="D1263" t="inlineStr">
        <is>
          <t>VÄRMLANDS LÄN</t>
        </is>
      </c>
      <c r="E1263" t="inlineStr">
        <is>
          <t>TORSBY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31335-2025</t>
        </is>
      </c>
      <c r="B1264" s="1" t="n">
        <v>45833.42608796297</v>
      </c>
      <c r="C1264" s="1" t="n">
        <v>46092</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30974-2025</t>
        </is>
      </c>
      <c r="B1265" s="1" t="n">
        <v>45832.46305555556</v>
      </c>
      <c r="C1265" s="1" t="n">
        <v>46092</v>
      </c>
      <c r="D1265" t="inlineStr">
        <is>
          <t>VÄRMLANDS LÄN</t>
        </is>
      </c>
      <c r="E1265" t="inlineStr">
        <is>
          <t>TORSBY</t>
        </is>
      </c>
      <c r="G1265" t="n">
        <v>29.2</v>
      </c>
      <c r="H1265" t="n">
        <v>0</v>
      </c>
      <c r="I1265" t="n">
        <v>0</v>
      </c>
      <c r="J1265" t="n">
        <v>0</v>
      </c>
      <c r="K1265" t="n">
        <v>0</v>
      </c>
      <c r="L1265" t="n">
        <v>0</v>
      </c>
      <c r="M1265" t="n">
        <v>0</v>
      </c>
      <c r="N1265" t="n">
        <v>0</v>
      </c>
      <c r="O1265" t="n">
        <v>0</v>
      </c>
      <c r="P1265" t="n">
        <v>0</v>
      </c>
      <c r="Q1265" t="n">
        <v>0</v>
      </c>
      <c r="R1265" s="2" t="inlineStr"/>
    </row>
    <row r="1266" ht="15" customHeight="1">
      <c r="A1266" t="inlineStr">
        <is>
          <t>A 2559-2026</t>
        </is>
      </c>
      <c r="B1266" s="1" t="n">
        <v>46037</v>
      </c>
      <c r="C1266" s="1" t="n">
        <v>46092</v>
      </c>
      <c r="D1266" t="inlineStr">
        <is>
          <t>VÄRMLANDS LÄN</t>
        </is>
      </c>
      <c r="E1266" t="inlineStr">
        <is>
          <t>TORSBY</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2351-2026</t>
        </is>
      </c>
      <c r="B1267" s="1" t="n">
        <v>46036</v>
      </c>
      <c r="C1267" s="1" t="n">
        <v>46092</v>
      </c>
      <c r="D1267" t="inlineStr">
        <is>
          <t>VÄRMLANDS LÄN</t>
        </is>
      </c>
      <c r="E1267" t="inlineStr">
        <is>
          <t>TORSBY</t>
        </is>
      </c>
      <c r="F1267" t="inlineStr">
        <is>
          <t>Bergvik skog väst AB</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10684-2026</t>
        </is>
      </c>
      <c r="B1268" s="1" t="n">
        <v>46078.41681712963</v>
      </c>
      <c r="C1268" s="1" t="n">
        <v>46092</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46092</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2279-2026</t>
        </is>
      </c>
      <c r="B1270" s="1" t="n">
        <v>46036.57755787037</v>
      </c>
      <c r="C1270" s="1" t="n">
        <v>46092</v>
      </c>
      <c r="D1270" t="inlineStr">
        <is>
          <t>VÄRMLANDS LÄN</t>
        </is>
      </c>
      <c r="E1270" t="inlineStr">
        <is>
          <t>TORSBY</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50892-2025</t>
        </is>
      </c>
      <c r="B1271" s="1" t="n">
        <v>45946.63763888889</v>
      </c>
      <c r="C1271" s="1" t="n">
        <v>46092</v>
      </c>
      <c r="D1271" t="inlineStr">
        <is>
          <t>VÄRMLANDS LÄN</t>
        </is>
      </c>
      <c r="E1271" t="inlineStr">
        <is>
          <t>TORSBY</t>
        </is>
      </c>
      <c r="F1271" t="inlineStr">
        <is>
          <t>Kommuner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21790-2023</t>
        </is>
      </c>
      <c r="B1272" s="1" t="n">
        <v>45067</v>
      </c>
      <c r="C1272" s="1" t="n">
        <v>46092</v>
      </c>
      <c r="D1272" t="inlineStr">
        <is>
          <t>VÄRMLANDS LÄN</t>
        </is>
      </c>
      <c r="E1272" t="inlineStr">
        <is>
          <t>TORSBY</t>
        </is>
      </c>
      <c r="F1272" t="inlineStr">
        <is>
          <t>Övriga statliga verk och myndigheter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29936-2024</t>
        </is>
      </c>
      <c r="B1273" s="1" t="n">
        <v>45488</v>
      </c>
      <c r="C1273" s="1" t="n">
        <v>46092</v>
      </c>
      <c r="D1273" t="inlineStr">
        <is>
          <t>VÄRMLANDS LÄN</t>
        </is>
      </c>
      <c r="E1273" t="inlineStr">
        <is>
          <t>TORSBY</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2687-2026</t>
        </is>
      </c>
      <c r="B1274" s="1" t="n">
        <v>46037</v>
      </c>
      <c r="C1274" s="1" t="n">
        <v>46092</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50921-2025</t>
        </is>
      </c>
      <c r="B1275" s="1" t="n">
        <v>45946.67092592592</v>
      </c>
      <c r="C1275" s="1" t="n">
        <v>46092</v>
      </c>
      <c r="D1275" t="inlineStr">
        <is>
          <t>VÄRMLANDS LÄN</t>
        </is>
      </c>
      <c r="E1275" t="inlineStr">
        <is>
          <t>TORSBY</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50750-2025</t>
        </is>
      </c>
      <c r="B1276" s="1" t="n">
        <v>45946.39091435185</v>
      </c>
      <c r="C1276" s="1" t="n">
        <v>46092</v>
      </c>
      <c r="D1276" t="inlineStr">
        <is>
          <t>VÄRMLANDS LÄN</t>
        </is>
      </c>
      <c r="E1276" t="inlineStr">
        <is>
          <t>TORSBY</t>
        </is>
      </c>
      <c r="F1276" t="inlineStr">
        <is>
          <t>Bergvik skog väst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31416-2025</t>
        </is>
      </c>
      <c r="B1277" s="1" t="n">
        <v>45833.48278935185</v>
      </c>
      <c r="C1277" s="1" t="n">
        <v>46092</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5351-2024</t>
        </is>
      </c>
      <c r="B1278" s="1" t="n">
        <v>45331.45199074074</v>
      </c>
      <c r="C1278" s="1" t="n">
        <v>46092</v>
      </c>
      <c r="D1278" t="inlineStr">
        <is>
          <t>VÄRMLANDS LÄN</t>
        </is>
      </c>
      <c r="E1278" t="inlineStr">
        <is>
          <t>TORSBY</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19159-2025</t>
        </is>
      </c>
      <c r="B1279" s="1" t="n">
        <v>45769</v>
      </c>
      <c r="C1279" s="1" t="n">
        <v>46092</v>
      </c>
      <c r="D1279" t="inlineStr">
        <is>
          <t>VÄRMLANDS LÄN</t>
        </is>
      </c>
      <c r="E1279" t="inlineStr">
        <is>
          <t>TORSBY</t>
        </is>
      </c>
      <c r="F1279" t="inlineStr">
        <is>
          <t>Bergvik skog väst AB</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51793-2025</t>
        </is>
      </c>
      <c r="B1280" s="1" t="n">
        <v>45951.71525462963</v>
      </c>
      <c r="C1280" s="1" t="n">
        <v>46092</v>
      </c>
      <c r="D1280" t="inlineStr">
        <is>
          <t>VÄRMLANDS LÄN</t>
        </is>
      </c>
      <c r="E1280" t="inlineStr">
        <is>
          <t>TORSBY</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46221-2023</t>
        </is>
      </c>
      <c r="B1281" s="1" t="n">
        <v>45196.66636574074</v>
      </c>
      <c r="C1281" s="1" t="n">
        <v>46092</v>
      </c>
      <c r="D1281" t="inlineStr">
        <is>
          <t>VÄRMLANDS LÄN</t>
        </is>
      </c>
      <c r="E1281" t="inlineStr">
        <is>
          <t>TORSBY</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64664-2023</t>
        </is>
      </c>
      <c r="B1282" s="1" t="n">
        <v>45281.60710648148</v>
      </c>
      <c r="C1282" s="1" t="n">
        <v>46092</v>
      </c>
      <c r="D1282" t="inlineStr">
        <is>
          <t>VÄRMLANDS LÄN</t>
        </is>
      </c>
      <c r="E1282" t="inlineStr">
        <is>
          <t>TORSBY</t>
        </is>
      </c>
      <c r="F1282" t="inlineStr">
        <is>
          <t>Bergvik skog väst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51199-2023</t>
        </is>
      </c>
      <c r="B1283" s="1" t="n">
        <v>45219.42247685185</v>
      </c>
      <c r="C1283" s="1" t="n">
        <v>46092</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51694-2025</t>
        </is>
      </c>
      <c r="B1284" s="1" t="n">
        <v>45951.54628472222</v>
      </c>
      <c r="C1284" s="1" t="n">
        <v>46092</v>
      </c>
      <c r="D1284" t="inlineStr">
        <is>
          <t>VÄRMLANDS LÄN</t>
        </is>
      </c>
      <c r="E1284" t="inlineStr">
        <is>
          <t>TORSBY</t>
        </is>
      </c>
      <c r="F1284" t="inlineStr">
        <is>
          <t>Bergvik skog väst AB</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2510-2026</t>
        </is>
      </c>
      <c r="B1285" s="1" t="n">
        <v>46037</v>
      </c>
      <c r="C1285" s="1" t="n">
        <v>46092</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32298-2025</t>
        </is>
      </c>
      <c r="B1286" s="1" t="n">
        <v>45835.7144675926</v>
      </c>
      <c r="C1286" s="1" t="n">
        <v>46092</v>
      </c>
      <c r="D1286" t="inlineStr">
        <is>
          <t>VÄRMLANDS LÄN</t>
        </is>
      </c>
      <c r="E1286" t="inlineStr">
        <is>
          <t>TORSBY</t>
        </is>
      </c>
      <c r="G1286" t="n">
        <v>19.2</v>
      </c>
      <c r="H1286" t="n">
        <v>0</v>
      </c>
      <c r="I1286" t="n">
        <v>0</v>
      </c>
      <c r="J1286" t="n">
        <v>0</v>
      </c>
      <c r="K1286" t="n">
        <v>0</v>
      </c>
      <c r="L1286" t="n">
        <v>0</v>
      </c>
      <c r="M1286" t="n">
        <v>0</v>
      </c>
      <c r="N1286" t="n">
        <v>0</v>
      </c>
      <c r="O1286" t="n">
        <v>0</v>
      </c>
      <c r="P1286" t="n">
        <v>0</v>
      </c>
      <c r="Q1286" t="n">
        <v>0</v>
      </c>
      <c r="R1286" s="2" t="inlineStr"/>
    </row>
    <row r="1287" ht="15" customHeight="1">
      <c r="A1287" t="inlineStr">
        <is>
          <t>A 3211-2026</t>
        </is>
      </c>
      <c r="B1287" s="1" t="n">
        <v>46041</v>
      </c>
      <c r="C1287" s="1" t="n">
        <v>46092</v>
      </c>
      <c r="D1287" t="inlineStr">
        <is>
          <t>VÄRMLANDS LÄN</t>
        </is>
      </c>
      <c r="E1287" t="inlineStr">
        <is>
          <t>TORSBY</t>
        </is>
      </c>
      <c r="F1287" t="inlineStr">
        <is>
          <t>Bergvik skog väst AB</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31850-2025</t>
        </is>
      </c>
      <c r="B1288" s="1" t="n">
        <v>45834</v>
      </c>
      <c r="C1288" s="1" t="n">
        <v>46092</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51587-2025</t>
        </is>
      </c>
      <c r="B1289" s="1" t="n">
        <v>45951.35355324074</v>
      </c>
      <c r="C1289" s="1" t="n">
        <v>46092</v>
      </c>
      <c r="D1289" t="inlineStr">
        <is>
          <t>VÄRMLANDS LÄN</t>
        </is>
      </c>
      <c r="E1289" t="inlineStr">
        <is>
          <t>TORSBY</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51659-2025</t>
        </is>
      </c>
      <c r="B1290" s="1" t="n">
        <v>45951.47482638889</v>
      </c>
      <c r="C1290" s="1" t="n">
        <v>46092</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32084-2025</t>
        </is>
      </c>
      <c r="B1291" s="1" t="n">
        <v>45835.45379629629</v>
      </c>
      <c r="C1291" s="1" t="n">
        <v>46092</v>
      </c>
      <c r="D1291" t="inlineStr">
        <is>
          <t>VÄRMLANDS LÄN</t>
        </is>
      </c>
      <c r="E1291" t="inlineStr">
        <is>
          <t>TORSBY</t>
        </is>
      </c>
      <c r="F1291" t="inlineStr">
        <is>
          <t>Bergvik skog väst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57071-2022</t>
        </is>
      </c>
      <c r="B1292" s="1" t="n">
        <v>44895.42334490741</v>
      </c>
      <c r="C1292" s="1" t="n">
        <v>46092</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51637-2025</t>
        </is>
      </c>
      <c r="B1293" s="1" t="n">
        <v>45951.43625</v>
      </c>
      <c r="C1293" s="1" t="n">
        <v>46092</v>
      </c>
      <c r="D1293" t="inlineStr">
        <is>
          <t>VÄRMLANDS LÄN</t>
        </is>
      </c>
      <c r="E1293" t="inlineStr">
        <is>
          <t>TORSBY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31906-2025</t>
        </is>
      </c>
      <c r="B1294" s="1" t="n">
        <v>45834.69046296296</v>
      </c>
      <c r="C1294" s="1" t="n">
        <v>46092</v>
      </c>
      <c r="D1294" t="inlineStr">
        <is>
          <t>VÄRMLANDS LÄN</t>
        </is>
      </c>
      <c r="E1294" t="inlineStr">
        <is>
          <t>TORSBY</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18339-2024</t>
        </is>
      </c>
      <c r="B1295" s="1" t="n">
        <v>45422.58119212963</v>
      </c>
      <c r="C1295" s="1" t="n">
        <v>46092</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51754-2025</t>
        </is>
      </c>
      <c r="B1296" s="1" t="n">
        <v>45951.62231481481</v>
      </c>
      <c r="C1296" s="1" t="n">
        <v>46092</v>
      </c>
      <c r="D1296" t="inlineStr">
        <is>
          <t>VÄRMLANDS LÄN</t>
        </is>
      </c>
      <c r="E1296" t="inlineStr">
        <is>
          <t>TORSBY</t>
        </is>
      </c>
      <c r="F1296" t="inlineStr">
        <is>
          <t>Bergvik skog väst AB</t>
        </is>
      </c>
      <c r="G1296" t="n">
        <v>9.800000000000001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32054-2025</t>
        </is>
      </c>
      <c r="B1297" s="1" t="n">
        <v>45835</v>
      </c>
      <c r="C1297" s="1" t="n">
        <v>46092</v>
      </c>
      <c r="D1297" t="inlineStr">
        <is>
          <t>VÄRMLANDS LÄN</t>
        </is>
      </c>
      <c r="E1297" t="inlineStr">
        <is>
          <t>TORSBY</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31672-2025</t>
        </is>
      </c>
      <c r="B1298" s="1" t="n">
        <v>45834.36979166666</v>
      </c>
      <c r="C1298" s="1" t="n">
        <v>46092</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31902-2025</t>
        </is>
      </c>
      <c r="B1299" s="1" t="n">
        <v>45834.68592592593</v>
      </c>
      <c r="C1299" s="1" t="n">
        <v>46092</v>
      </c>
      <c r="D1299" t="inlineStr">
        <is>
          <t>VÄRMLANDS LÄN</t>
        </is>
      </c>
      <c r="E1299" t="inlineStr">
        <is>
          <t>TORSBY</t>
        </is>
      </c>
      <c r="G1299" t="n">
        <v>27.1</v>
      </c>
      <c r="H1299" t="n">
        <v>0</v>
      </c>
      <c r="I1299" t="n">
        <v>0</v>
      </c>
      <c r="J1299" t="n">
        <v>0</v>
      </c>
      <c r="K1299" t="n">
        <v>0</v>
      </c>
      <c r="L1299" t="n">
        <v>0</v>
      </c>
      <c r="M1299" t="n">
        <v>0</v>
      </c>
      <c r="N1299" t="n">
        <v>0</v>
      </c>
      <c r="O1299" t="n">
        <v>0</v>
      </c>
      <c r="P1299" t="n">
        <v>0</v>
      </c>
      <c r="Q1299" t="n">
        <v>0</v>
      </c>
      <c r="R1299" s="2" t="inlineStr"/>
    </row>
    <row r="1300" ht="15" customHeight="1">
      <c r="A1300" t="inlineStr">
        <is>
          <t>A 32134-2025</t>
        </is>
      </c>
      <c r="B1300" s="1" t="n">
        <v>45835.5102662037</v>
      </c>
      <c r="C1300" s="1" t="n">
        <v>46092</v>
      </c>
      <c r="D1300" t="inlineStr">
        <is>
          <t>VÄRMLANDS LÄN</t>
        </is>
      </c>
      <c r="E1300" t="inlineStr">
        <is>
          <t>TORSBY</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16003-2025</t>
        </is>
      </c>
      <c r="B1301" s="1" t="n">
        <v>45749</v>
      </c>
      <c r="C1301" s="1" t="n">
        <v>46092</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32191-2025</t>
        </is>
      </c>
      <c r="B1302" s="1" t="n">
        <v>45835.57099537037</v>
      </c>
      <c r="C1302" s="1" t="n">
        <v>46092</v>
      </c>
      <c r="D1302" t="inlineStr">
        <is>
          <t>VÄRMLANDS LÄN</t>
        </is>
      </c>
      <c r="E1302" t="inlineStr">
        <is>
          <t>TORSBY</t>
        </is>
      </c>
      <c r="F1302" t="inlineStr">
        <is>
          <t>Bergvik skog väst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7362-2026</t>
        </is>
      </c>
      <c r="B1303" s="1" t="n">
        <v>46059.3088425926</v>
      </c>
      <c r="C1303" s="1" t="n">
        <v>46092</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12440-2025</t>
        </is>
      </c>
      <c r="B1304" s="1" t="n">
        <v>45730</v>
      </c>
      <c r="C1304" s="1" t="n">
        <v>46092</v>
      </c>
      <c r="D1304" t="inlineStr">
        <is>
          <t>VÄRMLANDS LÄN</t>
        </is>
      </c>
      <c r="E1304" t="inlineStr">
        <is>
          <t>TORSBY</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52067-2025</t>
        </is>
      </c>
      <c r="B1305" s="1" t="n">
        <v>45952.64248842592</v>
      </c>
      <c r="C1305" s="1" t="n">
        <v>46092</v>
      </c>
      <c r="D1305" t="inlineStr">
        <is>
          <t>VÄRMLANDS LÄN</t>
        </is>
      </c>
      <c r="E1305" t="inlineStr">
        <is>
          <t>TORSBY</t>
        </is>
      </c>
      <c r="F1305" t="inlineStr">
        <is>
          <t>Bergvik skog väst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31630-2025</t>
        </is>
      </c>
      <c r="B1306" s="1" t="n">
        <v>45834.32670138889</v>
      </c>
      <c r="C1306" s="1" t="n">
        <v>46092</v>
      </c>
      <c r="D1306" t="inlineStr">
        <is>
          <t>VÄRMLANDS LÄN</t>
        </is>
      </c>
      <c r="E1306" t="inlineStr">
        <is>
          <t>TORSBY</t>
        </is>
      </c>
      <c r="F1306" t="inlineStr">
        <is>
          <t>Bergvik skog väst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2960-2026</t>
        </is>
      </c>
      <c r="B1307" s="1" t="n">
        <v>46038</v>
      </c>
      <c r="C1307" s="1" t="n">
        <v>46092</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52261-2025</t>
        </is>
      </c>
      <c r="B1308" s="1" t="n">
        <v>45952</v>
      </c>
      <c r="C1308" s="1" t="n">
        <v>46092</v>
      </c>
      <c r="D1308" t="inlineStr">
        <is>
          <t>VÄRMLANDS LÄN</t>
        </is>
      </c>
      <c r="E1308" t="inlineStr">
        <is>
          <t>TORSBY</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32618-2025</t>
        </is>
      </c>
      <c r="B1309" s="1" t="n">
        <v>45838.6435300926</v>
      </c>
      <c r="C1309" s="1" t="n">
        <v>46092</v>
      </c>
      <c r="D1309" t="inlineStr">
        <is>
          <t>VÄRMLANDS LÄN</t>
        </is>
      </c>
      <c r="E1309" t="inlineStr">
        <is>
          <t>TORSBY</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52277-2025</t>
        </is>
      </c>
      <c r="B1310" s="1" t="n">
        <v>45953.55915509259</v>
      </c>
      <c r="C1310" s="1" t="n">
        <v>46092</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51819-2025</t>
        </is>
      </c>
      <c r="B1311" s="1" t="n">
        <v>45951.88194444445</v>
      </c>
      <c r="C1311" s="1" t="n">
        <v>46092</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1123-2023</t>
        </is>
      </c>
      <c r="B1312" s="1" t="n">
        <v>44935</v>
      </c>
      <c r="C1312" s="1" t="n">
        <v>46092</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9704-2025</t>
        </is>
      </c>
      <c r="B1313" s="1" t="n">
        <v>45716.38378472222</v>
      </c>
      <c r="C1313" s="1" t="n">
        <v>46092</v>
      </c>
      <c r="D1313" t="inlineStr">
        <is>
          <t>VÄRMLANDS LÄN</t>
        </is>
      </c>
      <c r="E1313" t="inlineStr">
        <is>
          <t>TORSBY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51873-2025</t>
        </is>
      </c>
      <c r="B1314" s="1" t="n">
        <v>45952.39040509259</v>
      </c>
      <c r="C1314" s="1" t="n">
        <v>46092</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32995-2025</t>
        </is>
      </c>
      <c r="B1315" s="1" t="n">
        <v>45839</v>
      </c>
      <c r="C1315" s="1" t="n">
        <v>46092</v>
      </c>
      <c r="D1315" t="inlineStr">
        <is>
          <t>VÄRMLANDS LÄN</t>
        </is>
      </c>
      <c r="E1315" t="inlineStr">
        <is>
          <t>TORSBY</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52364-2025</t>
        </is>
      </c>
      <c r="B1316" s="1" t="n">
        <v>45952</v>
      </c>
      <c r="C1316" s="1" t="n">
        <v>46092</v>
      </c>
      <c r="D1316" t="inlineStr">
        <is>
          <t>VÄRMLANDS LÄN</t>
        </is>
      </c>
      <c r="E1316" t="inlineStr">
        <is>
          <t>TORSBY</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51914-2025</t>
        </is>
      </c>
      <c r="B1317" s="1" t="n">
        <v>45952.47380787037</v>
      </c>
      <c r="C1317" s="1" t="n">
        <v>46092</v>
      </c>
      <c r="D1317" t="inlineStr">
        <is>
          <t>VÄRMLANDS LÄN</t>
        </is>
      </c>
      <c r="E1317" t="inlineStr">
        <is>
          <t>TORSBY</t>
        </is>
      </c>
      <c r="F1317" t="inlineStr">
        <is>
          <t>Kyrkan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51927-2025</t>
        </is>
      </c>
      <c r="B1318" s="1" t="n">
        <v>45952.49587962963</v>
      </c>
      <c r="C1318" s="1" t="n">
        <v>46092</v>
      </c>
      <c r="D1318" t="inlineStr">
        <is>
          <t>VÄRMLANDS LÄN</t>
        </is>
      </c>
      <c r="E1318" t="inlineStr">
        <is>
          <t>TORSBY</t>
        </is>
      </c>
      <c r="F1318" t="inlineStr">
        <is>
          <t>Kyrkan</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52089-2025</t>
        </is>
      </c>
      <c r="B1319" s="1" t="n">
        <v>45952.67644675926</v>
      </c>
      <c r="C1319" s="1" t="n">
        <v>46092</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32348-2025</t>
        </is>
      </c>
      <c r="B1320" s="1" t="n">
        <v>45837.47078703704</v>
      </c>
      <c r="C1320" s="1" t="n">
        <v>46092</v>
      </c>
      <c r="D1320" t="inlineStr">
        <is>
          <t>VÄRMLANDS LÄN</t>
        </is>
      </c>
      <c r="E1320" t="inlineStr">
        <is>
          <t>TORSBY</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52447-2022</t>
        </is>
      </c>
      <c r="B1321" s="1" t="n">
        <v>44874</v>
      </c>
      <c r="C1321" s="1" t="n">
        <v>46092</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2856-2026</t>
        </is>
      </c>
      <c r="B1322" s="1" t="n">
        <v>46038.48686342593</v>
      </c>
      <c r="C1322" s="1" t="n">
        <v>46092</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52359-2025</t>
        </is>
      </c>
      <c r="B1323" s="1" t="n">
        <v>45952</v>
      </c>
      <c r="C1323" s="1" t="n">
        <v>46092</v>
      </c>
      <c r="D1323" t="inlineStr">
        <is>
          <t>VÄRMLANDS LÄN</t>
        </is>
      </c>
      <c r="E1323" t="inlineStr">
        <is>
          <t>TORSBY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51944-2025</t>
        </is>
      </c>
      <c r="B1324" s="1" t="n">
        <v>45952.52608796296</v>
      </c>
      <c r="C1324" s="1" t="n">
        <v>46092</v>
      </c>
      <c r="D1324" t="inlineStr">
        <is>
          <t>VÄRMLANDS LÄN</t>
        </is>
      </c>
      <c r="E1324" t="inlineStr">
        <is>
          <t>TORSBY</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2768-2026</t>
        </is>
      </c>
      <c r="B1325" s="1" t="n">
        <v>46038</v>
      </c>
      <c r="C1325" s="1" t="n">
        <v>46092</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12574-2025</t>
        </is>
      </c>
      <c r="B1326" s="1" t="n">
        <v>45732</v>
      </c>
      <c r="C1326" s="1" t="n">
        <v>46092</v>
      </c>
      <c r="D1326" t="inlineStr">
        <is>
          <t>VÄRMLANDS LÄN</t>
        </is>
      </c>
      <c r="E1326" t="inlineStr">
        <is>
          <t>TORSBY</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32331-2025</t>
        </is>
      </c>
      <c r="B1327" s="1" t="n">
        <v>45836.50674768518</v>
      </c>
      <c r="C1327" s="1" t="n">
        <v>46092</v>
      </c>
      <c r="D1327" t="inlineStr">
        <is>
          <t>VÄRMLANDS LÄN</t>
        </is>
      </c>
      <c r="E1327" t="inlineStr">
        <is>
          <t>TORSBY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32342-2025</t>
        </is>
      </c>
      <c r="B1328" s="1" t="n">
        <v>45837.34560185186</v>
      </c>
      <c r="C1328" s="1" t="n">
        <v>46092</v>
      </c>
      <c r="D1328" t="inlineStr">
        <is>
          <t>VÄRMLANDS LÄN</t>
        </is>
      </c>
      <c r="E1328" t="inlineStr">
        <is>
          <t>TORSBY</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52026-2025</t>
        </is>
      </c>
      <c r="B1329" s="1" t="n">
        <v>45952</v>
      </c>
      <c r="C1329" s="1" t="n">
        <v>46092</v>
      </c>
      <c r="D1329" t="inlineStr">
        <is>
          <t>VÄRMLANDS LÄN</t>
        </is>
      </c>
      <c r="E1329" t="inlineStr">
        <is>
          <t>TORSBY</t>
        </is>
      </c>
      <c r="F1329" t="inlineStr">
        <is>
          <t>Bergvik skog väst AB</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52045-2025</t>
        </is>
      </c>
      <c r="B1330" s="1" t="n">
        <v>45952.61650462963</v>
      </c>
      <c r="C1330" s="1" t="n">
        <v>46092</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32433-2025</t>
        </is>
      </c>
      <c r="B1331" s="1" t="n">
        <v>45838.37252314815</v>
      </c>
      <c r="C1331" s="1" t="n">
        <v>46092</v>
      </c>
      <c r="D1331" t="inlineStr">
        <is>
          <t>VÄRMLANDS LÄN</t>
        </is>
      </c>
      <c r="E1331" t="inlineStr">
        <is>
          <t>TORSBY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52358-2025</t>
        </is>
      </c>
      <c r="B1332" s="1" t="n">
        <v>45952</v>
      </c>
      <c r="C1332" s="1" t="n">
        <v>46092</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24630-2024</t>
        </is>
      </c>
      <c r="B1333" s="1" t="n">
        <v>45460.51149305556</v>
      </c>
      <c r="C1333" s="1" t="n">
        <v>46092</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32710-2025</t>
        </is>
      </c>
      <c r="B1334" s="1" t="n">
        <v>45839.36722222222</v>
      </c>
      <c r="C1334" s="1" t="n">
        <v>46092</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38086-2023</t>
        </is>
      </c>
      <c r="B1335" s="1" t="n">
        <v>45160</v>
      </c>
      <c r="C1335" s="1" t="n">
        <v>46092</v>
      </c>
      <c r="D1335" t="inlineStr">
        <is>
          <t>VÄRMLANDS LÄN</t>
        </is>
      </c>
      <c r="E1335" t="inlineStr">
        <is>
          <t>TORSBY</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9723-2025</t>
        </is>
      </c>
      <c r="B1336" s="1" t="n">
        <v>45715</v>
      </c>
      <c r="C1336" s="1" t="n">
        <v>46092</v>
      </c>
      <c r="D1336" t="inlineStr">
        <is>
          <t>VÄRMLANDS LÄN</t>
        </is>
      </c>
      <c r="E1336" t="inlineStr">
        <is>
          <t>TORSBY</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32622-2025</t>
        </is>
      </c>
      <c r="B1337" s="1" t="n">
        <v>45838</v>
      </c>
      <c r="C1337" s="1" t="n">
        <v>46092</v>
      </c>
      <c r="D1337" t="inlineStr">
        <is>
          <t>VÄRMLANDS LÄN</t>
        </is>
      </c>
      <c r="E1337" t="inlineStr">
        <is>
          <t>TORSBY</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52762-2025</t>
        </is>
      </c>
      <c r="B1338" s="1" t="n">
        <v>45957.39813657408</v>
      </c>
      <c r="C1338" s="1" t="n">
        <v>46092</v>
      </c>
      <c r="D1338" t="inlineStr">
        <is>
          <t>VÄRMLANDS LÄN</t>
        </is>
      </c>
      <c r="E1338" t="inlineStr">
        <is>
          <t>TORSBY</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364-2025</t>
        </is>
      </c>
      <c r="B1339" s="1" t="n">
        <v>45661</v>
      </c>
      <c r="C1339" s="1" t="n">
        <v>46092</v>
      </c>
      <c r="D1339" t="inlineStr">
        <is>
          <t>VÄRMLANDS LÄN</t>
        </is>
      </c>
      <c r="E1339" t="inlineStr">
        <is>
          <t>TORSBY</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2845-2026</t>
        </is>
      </c>
      <c r="B1340" s="1" t="n">
        <v>46038.47104166666</v>
      </c>
      <c r="C1340" s="1" t="n">
        <v>46092</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52493-2025</t>
        </is>
      </c>
      <c r="B1341" s="1" t="n">
        <v>45954.48518518519</v>
      </c>
      <c r="C1341" s="1" t="n">
        <v>46092</v>
      </c>
      <c r="D1341" t="inlineStr">
        <is>
          <t>VÄRMLANDS LÄN</t>
        </is>
      </c>
      <c r="E1341" t="inlineStr">
        <is>
          <t>TORSBY</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52796-2025</t>
        </is>
      </c>
      <c r="B1342" s="1" t="n">
        <v>45957.43682870371</v>
      </c>
      <c r="C1342" s="1" t="n">
        <v>46092</v>
      </c>
      <c r="D1342" t="inlineStr">
        <is>
          <t>VÄRMLANDS LÄN</t>
        </is>
      </c>
      <c r="E1342" t="inlineStr">
        <is>
          <t>TORSBY</t>
        </is>
      </c>
      <c r="G1342" t="n">
        <v>17.7</v>
      </c>
      <c r="H1342" t="n">
        <v>0</v>
      </c>
      <c r="I1342" t="n">
        <v>0</v>
      </c>
      <c r="J1342" t="n">
        <v>0</v>
      </c>
      <c r="K1342" t="n">
        <v>0</v>
      </c>
      <c r="L1342" t="n">
        <v>0</v>
      </c>
      <c r="M1342" t="n">
        <v>0</v>
      </c>
      <c r="N1342" t="n">
        <v>0</v>
      </c>
      <c r="O1342" t="n">
        <v>0</v>
      </c>
      <c r="P1342" t="n">
        <v>0</v>
      </c>
      <c r="Q1342" t="n">
        <v>0</v>
      </c>
      <c r="R1342" s="2" t="inlineStr"/>
    </row>
    <row r="1343" ht="15" customHeight="1">
      <c r="A1343" t="inlineStr">
        <is>
          <t>A 52822-2025</t>
        </is>
      </c>
      <c r="B1343" s="1" t="n">
        <v>45957.45693287037</v>
      </c>
      <c r="C1343" s="1" t="n">
        <v>46092</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52918-2025</t>
        </is>
      </c>
      <c r="B1344" s="1" t="n">
        <v>45957.6122337963</v>
      </c>
      <c r="C1344" s="1" t="n">
        <v>46092</v>
      </c>
      <c r="D1344" t="inlineStr">
        <is>
          <t>VÄRMLANDS LÄN</t>
        </is>
      </c>
      <c r="E1344" t="inlineStr">
        <is>
          <t>TORSBY</t>
        </is>
      </c>
      <c r="F1344" t="inlineStr">
        <is>
          <t>Bergvik skog väst AB</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52747-2025</t>
        </is>
      </c>
      <c r="B1345" s="1" t="n">
        <v>45957.38515046296</v>
      </c>
      <c r="C1345" s="1" t="n">
        <v>46092</v>
      </c>
      <c r="D1345" t="inlineStr">
        <is>
          <t>VÄRMLANDS LÄN</t>
        </is>
      </c>
      <c r="E1345" t="inlineStr">
        <is>
          <t>TORSBY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52843-2025</t>
        </is>
      </c>
      <c r="B1346" s="1" t="n">
        <v>45957</v>
      </c>
      <c r="C1346" s="1" t="n">
        <v>46092</v>
      </c>
      <c r="D1346" t="inlineStr">
        <is>
          <t>VÄRMLANDS LÄN</t>
        </is>
      </c>
      <c r="E1346" t="inlineStr">
        <is>
          <t>TORSBY</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52564-2025</t>
        </is>
      </c>
      <c r="B1347" s="1" t="n">
        <v>45954</v>
      </c>
      <c r="C1347" s="1" t="n">
        <v>46092</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52587-2025</t>
        </is>
      </c>
      <c r="B1348" s="1" t="n">
        <v>45954.63325231482</v>
      </c>
      <c r="C1348" s="1" t="n">
        <v>46092</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32555-2025</t>
        </is>
      </c>
      <c r="B1349" s="1" t="n">
        <v>45838.56084490741</v>
      </c>
      <c r="C1349" s="1" t="n">
        <v>46092</v>
      </c>
      <c r="D1349" t="inlineStr">
        <is>
          <t>VÄRMLANDS LÄN</t>
        </is>
      </c>
      <c r="E1349" t="inlineStr">
        <is>
          <t>TORSBY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52931-2025</t>
        </is>
      </c>
      <c r="B1350" s="1" t="n">
        <v>45957.62225694444</v>
      </c>
      <c r="C1350" s="1" t="n">
        <v>46092</v>
      </c>
      <c r="D1350" t="inlineStr">
        <is>
          <t>VÄRMLANDS LÄN</t>
        </is>
      </c>
      <c r="E1350" t="inlineStr">
        <is>
          <t>TORSBY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2865-2026</t>
        </is>
      </c>
      <c r="B1351" s="1" t="n">
        <v>46038.49953703704</v>
      </c>
      <c r="C1351" s="1" t="n">
        <v>46092</v>
      </c>
      <c r="D1351" t="inlineStr">
        <is>
          <t>VÄRMLANDS LÄN</t>
        </is>
      </c>
      <c r="E1351" t="inlineStr">
        <is>
          <t>TORSBY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22464-2021</t>
        </is>
      </c>
      <c r="B1352" s="1" t="n">
        <v>44326.67932870371</v>
      </c>
      <c r="C1352" s="1" t="n">
        <v>46092</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52981-2025</t>
        </is>
      </c>
      <c r="B1353" s="1" t="n">
        <v>45957.68748842592</v>
      </c>
      <c r="C1353" s="1" t="n">
        <v>46092</v>
      </c>
      <c r="D1353" t="inlineStr">
        <is>
          <t>VÄRMLANDS LÄN</t>
        </is>
      </c>
      <c r="E1353" t="inlineStr">
        <is>
          <t>TORSBY</t>
        </is>
      </c>
      <c r="G1353" t="n">
        <v>20.5</v>
      </c>
      <c r="H1353" t="n">
        <v>0</v>
      </c>
      <c r="I1353" t="n">
        <v>0</v>
      </c>
      <c r="J1353" t="n">
        <v>0</v>
      </c>
      <c r="K1353" t="n">
        <v>0</v>
      </c>
      <c r="L1353" t="n">
        <v>0</v>
      </c>
      <c r="M1353" t="n">
        <v>0</v>
      </c>
      <c r="N1353" t="n">
        <v>0</v>
      </c>
      <c r="O1353" t="n">
        <v>0</v>
      </c>
      <c r="P1353" t="n">
        <v>0</v>
      </c>
      <c r="Q1353" t="n">
        <v>0</v>
      </c>
      <c r="R1353" s="2" t="inlineStr"/>
    </row>
    <row r="1354" ht="15" customHeight="1">
      <c r="A1354" t="inlineStr">
        <is>
          <t>A 2861-2026</t>
        </is>
      </c>
      <c r="B1354" s="1" t="n">
        <v>46038.49465277778</v>
      </c>
      <c r="C1354" s="1" t="n">
        <v>46092</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47694-2022</t>
        </is>
      </c>
      <c r="B1355" s="1" t="n">
        <v>44854</v>
      </c>
      <c r="C1355" s="1" t="n">
        <v>46092</v>
      </c>
      <c r="D1355" t="inlineStr">
        <is>
          <t>VÄRMLANDS LÄN</t>
        </is>
      </c>
      <c r="E1355" t="inlineStr">
        <is>
          <t>TORSBY</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32343-2025</t>
        </is>
      </c>
      <c r="B1356" s="1" t="n">
        <v>45837.37171296297</v>
      </c>
      <c r="C1356" s="1" t="n">
        <v>46092</v>
      </c>
      <c r="D1356" t="inlineStr">
        <is>
          <t>VÄRMLANDS LÄN</t>
        </is>
      </c>
      <c r="E1356" t="inlineStr">
        <is>
          <t>TORSBY</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32345-2025</t>
        </is>
      </c>
      <c r="B1357" s="1" t="n">
        <v>45837.44293981481</v>
      </c>
      <c r="C1357" s="1" t="n">
        <v>46092</v>
      </c>
      <c r="D1357" t="inlineStr">
        <is>
          <t>VÄRMLANDS LÄN</t>
        </is>
      </c>
      <c r="E1357" t="inlineStr">
        <is>
          <t>TORSBY</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32339-2025</t>
        </is>
      </c>
      <c r="B1358" s="1" t="n">
        <v>45836.68836805555</v>
      </c>
      <c r="C1358" s="1" t="n">
        <v>46092</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52731-2025</t>
        </is>
      </c>
      <c r="B1359" s="1" t="n">
        <v>45957.36682870371</v>
      </c>
      <c r="C1359" s="1" t="n">
        <v>46092</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52737-2025</t>
        </is>
      </c>
      <c r="B1360" s="1" t="n">
        <v>45957.37336805555</v>
      </c>
      <c r="C1360" s="1" t="n">
        <v>46092</v>
      </c>
      <c r="D1360" t="inlineStr">
        <is>
          <t>VÄRMLANDS LÄN</t>
        </is>
      </c>
      <c r="E1360" t="inlineStr">
        <is>
          <t>TORSBY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52577-2025</t>
        </is>
      </c>
      <c r="B1361" s="1" t="n">
        <v>45954</v>
      </c>
      <c r="C1361" s="1" t="n">
        <v>46092</v>
      </c>
      <c r="D1361" t="inlineStr">
        <is>
          <t>VÄRMLANDS LÄN</t>
        </is>
      </c>
      <c r="E1361" t="inlineStr">
        <is>
          <t>TORSBY</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52609-2025</t>
        </is>
      </c>
      <c r="B1362" s="1" t="n">
        <v>45954.66649305556</v>
      </c>
      <c r="C1362" s="1" t="n">
        <v>46092</v>
      </c>
      <c r="D1362" t="inlineStr">
        <is>
          <t>VÄRMLANDS LÄN</t>
        </is>
      </c>
      <c r="E1362" t="inlineStr">
        <is>
          <t>TORSBY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52947-2025</t>
        </is>
      </c>
      <c r="B1363" s="1" t="n">
        <v>45954</v>
      </c>
      <c r="C1363" s="1" t="n">
        <v>46092</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2966-2026</t>
        </is>
      </c>
      <c r="B1364" s="1" t="n">
        <v>46038</v>
      </c>
      <c r="C1364" s="1" t="n">
        <v>46092</v>
      </c>
      <c r="D1364" t="inlineStr">
        <is>
          <t>VÄRMLANDS LÄN</t>
        </is>
      </c>
      <c r="E1364" t="inlineStr">
        <is>
          <t>TORSBY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1432-2025</t>
        </is>
      </c>
      <c r="B1365" s="1" t="n">
        <v>45669</v>
      </c>
      <c r="C1365" s="1" t="n">
        <v>46092</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1435-2025</t>
        </is>
      </c>
      <c r="B1366" s="1" t="n">
        <v>45669</v>
      </c>
      <c r="C1366" s="1" t="n">
        <v>46092</v>
      </c>
      <c r="D1366" t="inlineStr">
        <is>
          <t>VÄRMLANDS LÄN</t>
        </is>
      </c>
      <c r="E1366" t="inlineStr">
        <is>
          <t>TORSBY</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33192-2025</t>
        </is>
      </c>
      <c r="B1367" s="1" t="n">
        <v>45840.60081018518</v>
      </c>
      <c r="C1367" s="1" t="n">
        <v>46092</v>
      </c>
      <c r="D1367" t="inlineStr">
        <is>
          <t>VÄRMLANDS LÄN</t>
        </is>
      </c>
      <c r="E1367" t="inlineStr">
        <is>
          <t>TORSBY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33712-2025</t>
        </is>
      </c>
      <c r="B1368" s="1" t="n">
        <v>45841</v>
      </c>
      <c r="C1368" s="1" t="n">
        <v>46092</v>
      </c>
      <c r="D1368" t="inlineStr">
        <is>
          <t>VÄRMLANDS LÄN</t>
        </is>
      </c>
      <c r="E1368" t="inlineStr">
        <is>
          <t>TORSBY</t>
        </is>
      </c>
      <c r="F1368" t="inlineStr">
        <is>
          <t>Bergvik skog väst AB</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33221-2025</t>
        </is>
      </c>
      <c r="B1369" s="1" t="n">
        <v>45840.63471064815</v>
      </c>
      <c r="C1369" s="1" t="n">
        <v>46092</v>
      </c>
      <c r="D1369" t="inlineStr">
        <is>
          <t>VÄRMLANDS LÄN</t>
        </is>
      </c>
      <c r="E1369" t="inlineStr">
        <is>
          <t>TORSBY</t>
        </is>
      </c>
      <c r="F1369" t="inlineStr">
        <is>
          <t>Bergvik skog väst AB</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22687-2023</t>
        </is>
      </c>
      <c r="B1370" s="1" t="n">
        <v>45071</v>
      </c>
      <c r="C1370" s="1" t="n">
        <v>46092</v>
      </c>
      <c r="D1370" t="inlineStr">
        <is>
          <t>VÄRMLANDS LÄN</t>
        </is>
      </c>
      <c r="E1370" t="inlineStr">
        <is>
          <t>TORSBY</t>
        </is>
      </c>
      <c r="F1370" t="inlineStr">
        <is>
          <t>Bergvik skog väst AB</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33567-2025</t>
        </is>
      </c>
      <c r="B1371" s="1" t="n">
        <v>45841.58232638889</v>
      </c>
      <c r="C1371" s="1" t="n">
        <v>46092</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8018-2025</t>
        </is>
      </c>
      <c r="B1372" s="1" t="n">
        <v>45707</v>
      </c>
      <c r="C1372" s="1" t="n">
        <v>46092</v>
      </c>
      <c r="D1372" t="inlineStr">
        <is>
          <t>VÄRMLANDS LÄN</t>
        </is>
      </c>
      <c r="E1372" t="inlineStr">
        <is>
          <t>TORSBY</t>
        </is>
      </c>
      <c r="G1372" t="n">
        <v>22.6</v>
      </c>
      <c r="H1372" t="n">
        <v>0</v>
      </c>
      <c r="I1372" t="n">
        <v>0</v>
      </c>
      <c r="J1372" t="n">
        <v>0</v>
      </c>
      <c r="K1372" t="n">
        <v>0</v>
      </c>
      <c r="L1372" t="n">
        <v>0</v>
      </c>
      <c r="M1372" t="n">
        <v>0</v>
      </c>
      <c r="N1372" t="n">
        <v>0</v>
      </c>
      <c r="O1372" t="n">
        <v>0</v>
      </c>
      <c r="P1372" t="n">
        <v>0</v>
      </c>
      <c r="Q1372" t="n">
        <v>0</v>
      </c>
      <c r="R1372" s="2" t="inlineStr"/>
    </row>
    <row r="1373" ht="15" customHeight="1">
      <c r="A1373" t="inlineStr">
        <is>
          <t>A 7356-2026</t>
        </is>
      </c>
      <c r="B1373" s="1" t="n">
        <v>46059.30347222222</v>
      </c>
      <c r="C1373" s="1" t="n">
        <v>46092</v>
      </c>
      <c r="D1373" t="inlineStr">
        <is>
          <t>VÄRMLANDS LÄN</t>
        </is>
      </c>
      <c r="E1373" t="inlineStr">
        <is>
          <t>TORSBY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375-2025</t>
        </is>
      </c>
      <c r="B1374" s="1" t="n">
        <v>45661</v>
      </c>
      <c r="C1374" s="1" t="n">
        <v>46092</v>
      </c>
      <c r="D1374" t="inlineStr">
        <is>
          <t>VÄRMLANDS LÄN</t>
        </is>
      </c>
      <c r="E1374" t="inlineStr">
        <is>
          <t>TORSBY</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52994-2025</t>
        </is>
      </c>
      <c r="B1375" s="1" t="n">
        <v>45957.72753472222</v>
      </c>
      <c r="C1375" s="1" t="n">
        <v>46092</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32983-2025</t>
        </is>
      </c>
      <c r="B1376" s="1" t="n">
        <v>45839.92967592592</v>
      </c>
      <c r="C1376" s="1" t="n">
        <v>46092</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52512-2025</t>
        </is>
      </c>
      <c r="B1377" s="1" t="n">
        <v>45954.50771990741</v>
      </c>
      <c r="C1377" s="1" t="n">
        <v>46092</v>
      </c>
      <c r="D1377" t="inlineStr">
        <is>
          <t>VÄRMLANDS LÄN</t>
        </is>
      </c>
      <c r="E1377" t="inlineStr">
        <is>
          <t>TORSBY</t>
        </is>
      </c>
      <c r="F1377" t="inlineStr">
        <is>
          <t>Bergvik skog väst AB</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52436-2025</t>
        </is>
      </c>
      <c r="B1378" s="1" t="n">
        <v>45954.39688657408</v>
      </c>
      <c r="C1378" s="1" t="n">
        <v>46092</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53652-2023</t>
        </is>
      </c>
      <c r="B1379" s="1" t="n">
        <v>45224</v>
      </c>
      <c r="C1379" s="1" t="n">
        <v>46092</v>
      </c>
      <c r="D1379" t="inlineStr">
        <is>
          <t>VÄRMLANDS LÄN</t>
        </is>
      </c>
      <c r="E1379" t="inlineStr">
        <is>
          <t>TORSBY</t>
        </is>
      </c>
      <c r="F1379" t="inlineStr">
        <is>
          <t>Övriga statliga verk och myndigheter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11909-2026</t>
        </is>
      </c>
      <c r="B1380" s="1" t="n">
        <v>46085.54694444445</v>
      </c>
      <c r="C1380" s="1" t="n">
        <v>46092</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3409-2026</t>
        </is>
      </c>
      <c r="B1381" s="1" t="n">
        <v>46042</v>
      </c>
      <c r="C1381" s="1" t="n">
        <v>46092</v>
      </c>
      <c r="D1381" t="inlineStr">
        <is>
          <t>VÄRMLANDS LÄN</t>
        </is>
      </c>
      <c r="E1381" t="inlineStr">
        <is>
          <t>TORSBY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43599-2023</t>
        </is>
      </c>
      <c r="B1382" s="1" t="n">
        <v>45184</v>
      </c>
      <c r="C1382" s="1" t="n">
        <v>46092</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3417-2026</t>
        </is>
      </c>
      <c r="B1383" s="1" t="n">
        <v>46042.42310185185</v>
      </c>
      <c r="C1383" s="1" t="n">
        <v>46092</v>
      </c>
      <c r="D1383" t="inlineStr">
        <is>
          <t>VÄRMLANDS LÄN</t>
        </is>
      </c>
      <c r="E1383" t="inlineStr">
        <is>
          <t>TORSBY</t>
        </is>
      </c>
      <c r="F1383" t="inlineStr">
        <is>
          <t>Bergvik skog väst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38076-2024</t>
        </is>
      </c>
      <c r="B1384" s="1" t="n">
        <v>45544</v>
      </c>
      <c r="C1384" s="1" t="n">
        <v>46092</v>
      </c>
      <c r="D1384" t="inlineStr">
        <is>
          <t>VÄRMLANDS LÄN</t>
        </is>
      </c>
      <c r="E1384" t="inlineStr">
        <is>
          <t>TORSBY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3411-2026</t>
        </is>
      </c>
      <c r="B1385" s="1" t="n">
        <v>46042.41546296296</v>
      </c>
      <c r="C1385" s="1" t="n">
        <v>46092</v>
      </c>
      <c r="D1385" t="inlineStr">
        <is>
          <t>VÄRMLANDS LÄN</t>
        </is>
      </c>
      <c r="E1385" t="inlineStr">
        <is>
          <t>TORSBY</t>
        </is>
      </c>
      <c r="F1385" t="inlineStr">
        <is>
          <t>Bergvik skog väst AB</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3414-2026</t>
        </is>
      </c>
      <c r="B1386" s="1" t="n">
        <v>46042.41920138889</v>
      </c>
      <c r="C1386" s="1" t="n">
        <v>46092</v>
      </c>
      <c r="D1386" t="inlineStr">
        <is>
          <t>VÄRMLANDS LÄN</t>
        </is>
      </c>
      <c r="E1386" t="inlineStr">
        <is>
          <t>TORSBY</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44325-2024</t>
        </is>
      </c>
      <c r="B1387" s="1" t="n">
        <v>45573</v>
      </c>
      <c r="C1387" s="1" t="n">
        <v>46092</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52982-2025</t>
        </is>
      </c>
      <c r="B1388" s="1" t="n">
        <v>45957.69270833334</v>
      </c>
      <c r="C1388" s="1" t="n">
        <v>46092</v>
      </c>
      <c r="D1388" t="inlineStr">
        <is>
          <t>VÄRMLANDS LÄN</t>
        </is>
      </c>
      <c r="E1388" t="inlineStr">
        <is>
          <t>TORSBY</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52995-2025</t>
        </is>
      </c>
      <c r="B1389" s="1" t="n">
        <v>45957</v>
      </c>
      <c r="C1389" s="1" t="n">
        <v>46092</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11901-2026</t>
        </is>
      </c>
      <c r="B1390" s="1" t="n">
        <v>46085.54050925926</v>
      </c>
      <c r="C1390" s="1" t="n">
        <v>46092</v>
      </c>
      <c r="D1390" t="inlineStr">
        <is>
          <t>VÄRMLANDS LÄN</t>
        </is>
      </c>
      <c r="E1390" t="inlineStr">
        <is>
          <t>TORSBY</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52489-2025</t>
        </is>
      </c>
      <c r="B1391" s="1" t="n">
        <v>45954.48056712963</v>
      </c>
      <c r="C1391" s="1" t="n">
        <v>46092</v>
      </c>
      <c r="D1391" t="inlineStr">
        <is>
          <t>VÄRMLANDS LÄN</t>
        </is>
      </c>
      <c r="E1391" t="inlineStr">
        <is>
          <t>TORSBY</t>
        </is>
      </c>
      <c r="F1391" t="inlineStr">
        <is>
          <t>Bergvik skog väst AB</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52787-2025</t>
        </is>
      </c>
      <c r="B1392" s="1" t="n">
        <v>45957.42736111111</v>
      </c>
      <c r="C1392" s="1" t="n">
        <v>46092</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52847-2025</t>
        </is>
      </c>
      <c r="B1393" s="1" t="n">
        <v>45957.48972222222</v>
      </c>
      <c r="C1393" s="1" t="n">
        <v>46092</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9056-2023</t>
        </is>
      </c>
      <c r="B1394" s="1" t="n">
        <v>44979</v>
      </c>
      <c r="C1394" s="1" t="n">
        <v>46092</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3884-2026</t>
        </is>
      </c>
      <c r="B1395" s="1" t="n">
        <v>46043</v>
      </c>
      <c r="C1395" s="1" t="n">
        <v>46092</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3680-2026</t>
        </is>
      </c>
      <c r="B1396" s="1" t="n">
        <v>46043.42990740741</v>
      </c>
      <c r="C1396" s="1" t="n">
        <v>46092</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3606-2026</t>
        </is>
      </c>
      <c r="B1397" s="1" t="n">
        <v>46042.88337962963</v>
      </c>
      <c r="C1397" s="1" t="n">
        <v>46092</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65301-2021</t>
        </is>
      </c>
      <c r="B1398" s="1" t="n">
        <v>44515</v>
      </c>
      <c r="C1398" s="1" t="n">
        <v>46092</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33161-2025</t>
        </is>
      </c>
      <c r="B1399" s="1" t="n">
        <v>45840.56846064814</v>
      </c>
      <c r="C1399" s="1" t="n">
        <v>46092</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52509-2025</t>
        </is>
      </c>
      <c r="B1400" s="1" t="n">
        <v>45954.50586805555</v>
      </c>
      <c r="C1400" s="1" t="n">
        <v>46092</v>
      </c>
      <c r="D1400" t="inlineStr">
        <is>
          <t>VÄRMLANDS LÄN</t>
        </is>
      </c>
      <c r="E1400" t="inlineStr">
        <is>
          <t>TORSBY</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52852-2025</t>
        </is>
      </c>
      <c r="B1401" s="1" t="n">
        <v>45957.49319444445</v>
      </c>
      <c r="C1401" s="1" t="n">
        <v>46092</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52891-2025</t>
        </is>
      </c>
      <c r="B1402" s="1" t="n">
        <v>45957.57776620371</v>
      </c>
      <c r="C1402" s="1" t="n">
        <v>46092</v>
      </c>
      <c r="D1402" t="inlineStr">
        <is>
          <t>VÄRMLANDS LÄN</t>
        </is>
      </c>
      <c r="E1402" t="inlineStr">
        <is>
          <t>TORSBY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52741-2025</t>
        </is>
      </c>
      <c r="B1403" s="1" t="n">
        <v>45957.3778587963</v>
      </c>
      <c r="C1403" s="1" t="n">
        <v>46092</v>
      </c>
      <c r="D1403" t="inlineStr">
        <is>
          <t>VÄRMLANDS LÄN</t>
        </is>
      </c>
      <c r="E1403" t="inlineStr">
        <is>
          <t>TORSBY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52754-2025</t>
        </is>
      </c>
      <c r="B1404" s="1" t="n">
        <v>45957.39010416667</v>
      </c>
      <c r="C1404" s="1" t="n">
        <v>46092</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52772-2025</t>
        </is>
      </c>
      <c r="B1405" s="1" t="n">
        <v>45957.41255787037</v>
      </c>
      <c r="C1405" s="1" t="n">
        <v>46092</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52774-2025</t>
        </is>
      </c>
      <c r="B1406" s="1" t="n">
        <v>45957.41480324074</v>
      </c>
      <c r="C1406" s="1" t="n">
        <v>46092</v>
      </c>
      <c r="D1406" t="inlineStr">
        <is>
          <t>VÄRMLANDS LÄN</t>
        </is>
      </c>
      <c r="E1406" t="inlineStr">
        <is>
          <t>TORSBY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11274-2026</t>
        </is>
      </c>
      <c r="B1407" s="1" t="n">
        <v>46080</v>
      </c>
      <c r="C1407" s="1" t="n">
        <v>46092</v>
      </c>
      <c r="D1407" t="inlineStr">
        <is>
          <t>VÄRMLANDS LÄN</t>
        </is>
      </c>
      <c r="E1407" t="inlineStr">
        <is>
          <t>TORSBY</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53113-2025</t>
        </is>
      </c>
      <c r="B1408" s="1" t="n">
        <v>45958.44431712963</v>
      </c>
      <c r="C1408" s="1" t="n">
        <v>46092</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53123-2025</t>
        </is>
      </c>
      <c r="B1409" s="1" t="n">
        <v>45958.45204861111</v>
      </c>
      <c r="C1409" s="1" t="n">
        <v>46092</v>
      </c>
      <c r="D1409" t="inlineStr">
        <is>
          <t>VÄRMLANDS LÄN</t>
        </is>
      </c>
      <c r="E1409" t="inlineStr">
        <is>
          <t>TORSBY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3737-2026</t>
        </is>
      </c>
      <c r="B1410" s="1" t="n">
        <v>46043.52572916666</v>
      </c>
      <c r="C1410" s="1" t="n">
        <v>46092</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11722-2026</t>
        </is>
      </c>
      <c r="B1411" s="1" t="n">
        <v>46084</v>
      </c>
      <c r="C1411" s="1" t="n">
        <v>46092</v>
      </c>
      <c r="D1411" t="inlineStr">
        <is>
          <t>VÄRMLANDS LÄN</t>
        </is>
      </c>
      <c r="E1411" t="inlineStr">
        <is>
          <t>TORSBY</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11765-2026</t>
        </is>
      </c>
      <c r="B1412" s="1" t="n">
        <v>46084</v>
      </c>
      <c r="C1412" s="1" t="n">
        <v>46092</v>
      </c>
      <c r="D1412" t="inlineStr">
        <is>
          <t>VÄRMLANDS LÄN</t>
        </is>
      </c>
      <c r="E1412" t="inlineStr">
        <is>
          <t>TORSBY</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53383-2025</t>
        </is>
      </c>
      <c r="B1413" s="1" t="n">
        <v>45959.54097222222</v>
      </c>
      <c r="C1413" s="1" t="n">
        <v>46092</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11583-2026</t>
        </is>
      </c>
      <c r="B1414" s="1" t="n">
        <v>46084</v>
      </c>
      <c r="C1414" s="1" t="n">
        <v>46092</v>
      </c>
      <c r="D1414" t="inlineStr">
        <is>
          <t>VÄRMLANDS LÄN</t>
        </is>
      </c>
      <c r="E1414" t="inlineStr">
        <is>
          <t>TORSBY</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3658-2026</t>
        </is>
      </c>
      <c r="B1415" s="1" t="n">
        <v>46043.38148148148</v>
      </c>
      <c r="C1415" s="1" t="n">
        <v>46092</v>
      </c>
      <c r="D1415" t="inlineStr">
        <is>
          <t>VÄRMLANDS LÄN</t>
        </is>
      </c>
      <c r="E1415" t="inlineStr">
        <is>
          <t>TORSBY</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34268-2025</t>
        </is>
      </c>
      <c r="B1416" s="1" t="n">
        <v>45845</v>
      </c>
      <c r="C1416" s="1" t="n">
        <v>46092</v>
      </c>
      <c r="D1416" t="inlineStr">
        <is>
          <t>VÄRMLANDS LÄN</t>
        </is>
      </c>
      <c r="E1416" t="inlineStr">
        <is>
          <t>TORSBY</t>
        </is>
      </c>
      <c r="F1416" t="inlineStr">
        <is>
          <t>Bergvik skog väst AB</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20298-2023</t>
        </is>
      </c>
      <c r="B1417" s="1" t="n">
        <v>45056</v>
      </c>
      <c r="C1417" s="1" t="n">
        <v>46092</v>
      </c>
      <c r="D1417" t="inlineStr">
        <is>
          <t>VÄRMLANDS LÄN</t>
        </is>
      </c>
      <c r="E1417" t="inlineStr">
        <is>
          <t>TORSBY</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53107-2025</t>
        </is>
      </c>
      <c r="B1418" s="1" t="n">
        <v>45958.43576388889</v>
      </c>
      <c r="C1418" s="1" t="n">
        <v>46092</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53165-2025</t>
        </is>
      </c>
      <c r="B1419" s="1" t="n">
        <v>45958.50232638889</v>
      </c>
      <c r="C1419" s="1" t="n">
        <v>46092</v>
      </c>
      <c r="D1419" t="inlineStr">
        <is>
          <t>VÄRMLANDS LÄN</t>
        </is>
      </c>
      <c r="E1419" t="inlineStr">
        <is>
          <t>TORSBY</t>
        </is>
      </c>
      <c r="F1419" t="inlineStr">
        <is>
          <t>Bergvik skog väst AB</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33897-2025</t>
        </is>
      </c>
      <c r="B1420" s="1" t="n">
        <v>45842</v>
      </c>
      <c r="C1420" s="1" t="n">
        <v>46092</v>
      </c>
      <c r="D1420" t="inlineStr">
        <is>
          <t>VÄRMLANDS LÄN</t>
        </is>
      </c>
      <c r="E1420" t="inlineStr">
        <is>
          <t>TORSBY</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53266-2025</t>
        </is>
      </c>
      <c r="B1421" s="1" t="n">
        <v>45958.6834837963</v>
      </c>
      <c r="C1421" s="1" t="n">
        <v>46092</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11711-2026</t>
        </is>
      </c>
      <c r="B1422" s="1" t="n">
        <v>46084</v>
      </c>
      <c r="C1422" s="1" t="n">
        <v>46092</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34140-2025</t>
        </is>
      </c>
      <c r="B1423" s="1" t="n">
        <v>45845.54896990741</v>
      </c>
      <c r="C1423" s="1" t="n">
        <v>46092</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53014-2025</t>
        </is>
      </c>
      <c r="B1424" s="1" t="n">
        <v>45957.81865740741</v>
      </c>
      <c r="C1424" s="1" t="n">
        <v>46092</v>
      </c>
      <c r="D1424" t="inlineStr">
        <is>
          <t>VÄRMLANDS LÄN</t>
        </is>
      </c>
      <c r="E1424" t="inlineStr">
        <is>
          <t>TORSBY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53049-2025</t>
        </is>
      </c>
      <c r="B1425" s="1" t="n">
        <v>45958.36173611111</v>
      </c>
      <c r="C1425" s="1" t="n">
        <v>46092</v>
      </c>
      <c r="D1425" t="inlineStr">
        <is>
          <t>VÄRMLANDS LÄN</t>
        </is>
      </c>
      <c r="E1425" t="inlineStr">
        <is>
          <t>TORSBY</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53272-2025</t>
        </is>
      </c>
      <c r="B1426" s="1" t="n">
        <v>45958.71019675926</v>
      </c>
      <c r="C1426" s="1" t="n">
        <v>46092</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60525-2023</t>
        </is>
      </c>
      <c r="B1427" s="1" t="n">
        <v>45259</v>
      </c>
      <c r="C1427" s="1" t="n">
        <v>46092</v>
      </c>
      <c r="D1427" t="inlineStr">
        <is>
          <t>VÄRMLANDS LÄN</t>
        </is>
      </c>
      <c r="E1427" t="inlineStr">
        <is>
          <t>TORSBY</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55428-2022</t>
        </is>
      </c>
      <c r="B1428" s="1" t="n">
        <v>44887.60894675926</v>
      </c>
      <c r="C1428" s="1" t="n">
        <v>46092</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53605-2025</t>
        </is>
      </c>
      <c r="B1429" s="1" t="n">
        <v>45960.46434027778</v>
      </c>
      <c r="C1429" s="1" t="n">
        <v>46092</v>
      </c>
      <c r="D1429" t="inlineStr">
        <is>
          <t>VÄRMLANDS LÄN</t>
        </is>
      </c>
      <c r="E1429" t="inlineStr">
        <is>
          <t>TORSBY</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3685-2026</t>
        </is>
      </c>
      <c r="B1430" s="1" t="n">
        <v>46043</v>
      </c>
      <c r="C1430" s="1" t="n">
        <v>46092</v>
      </c>
      <c r="D1430" t="inlineStr">
        <is>
          <t>VÄRMLANDS LÄN</t>
        </is>
      </c>
      <c r="E1430" t="inlineStr">
        <is>
          <t>TORSBY</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43037-2024</t>
        </is>
      </c>
      <c r="B1431" s="1" t="n">
        <v>45567</v>
      </c>
      <c r="C1431" s="1" t="n">
        <v>46092</v>
      </c>
      <c r="D1431" t="inlineStr">
        <is>
          <t>VÄRMLANDS LÄN</t>
        </is>
      </c>
      <c r="E1431" t="inlineStr">
        <is>
          <t>TORSBY</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23572-2023</t>
        </is>
      </c>
      <c r="B1432" s="1" t="n">
        <v>45077</v>
      </c>
      <c r="C1432" s="1" t="n">
        <v>46092</v>
      </c>
      <c r="D1432" t="inlineStr">
        <is>
          <t>VÄRMLANDS LÄN</t>
        </is>
      </c>
      <c r="E1432" t="inlineStr">
        <is>
          <t>TORSBY</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53499-2023</t>
        </is>
      </c>
      <c r="B1433" s="1" t="n">
        <v>45223</v>
      </c>
      <c r="C1433" s="1" t="n">
        <v>46092</v>
      </c>
      <c r="D1433" t="inlineStr">
        <is>
          <t>VÄRMLANDS LÄN</t>
        </is>
      </c>
      <c r="E1433" t="inlineStr">
        <is>
          <t>TORSBY</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53493-2025</t>
        </is>
      </c>
      <c r="B1434" s="1" t="n">
        <v>45960</v>
      </c>
      <c r="C1434" s="1" t="n">
        <v>46092</v>
      </c>
      <c r="D1434" t="inlineStr">
        <is>
          <t>VÄRMLANDS LÄN</t>
        </is>
      </c>
      <c r="E1434" t="inlineStr">
        <is>
          <t>TORSBY</t>
        </is>
      </c>
      <c r="F1434" t="inlineStr">
        <is>
          <t>Bergvik skog väst AB</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53677-2025</t>
        </is>
      </c>
      <c r="B1435" s="1" t="n">
        <v>45960.56180555555</v>
      </c>
      <c r="C1435" s="1" t="n">
        <v>46092</v>
      </c>
      <c r="D1435" t="inlineStr">
        <is>
          <t>VÄRMLANDS LÄN</t>
        </is>
      </c>
      <c r="E1435" t="inlineStr">
        <is>
          <t>TORSBY</t>
        </is>
      </c>
      <c r="F1435" t="inlineStr">
        <is>
          <t>Bergvik skog väst AB</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54528-2023</t>
        </is>
      </c>
      <c r="B1436" s="1" t="n">
        <v>45233.59122685185</v>
      </c>
      <c r="C1436" s="1" t="n">
        <v>46092</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52239-2024</t>
        </is>
      </c>
      <c r="B1437" s="1" t="n">
        <v>45608.61837962963</v>
      </c>
      <c r="C1437" s="1" t="n">
        <v>46092</v>
      </c>
      <c r="D1437" t="inlineStr">
        <is>
          <t>VÄRMLANDS LÄN</t>
        </is>
      </c>
      <c r="E1437" t="inlineStr">
        <is>
          <t>TORSBY</t>
        </is>
      </c>
      <c r="F1437" t="inlineStr">
        <is>
          <t>Bergvik skog väst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53520-2025</t>
        </is>
      </c>
      <c r="B1438" s="1" t="n">
        <v>45960.35893518518</v>
      </c>
      <c r="C1438" s="1" t="n">
        <v>46092</v>
      </c>
      <c r="D1438" t="inlineStr">
        <is>
          <t>VÄRMLANDS LÄN</t>
        </is>
      </c>
      <c r="E1438" t="inlineStr">
        <is>
          <t>TORSBY</t>
        </is>
      </c>
      <c r="F1438" t="inlineStr">
        <is>
          <t>Bergvik skog väst AB</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8281-2023</t>
        </is>
      </c>
      <c r="B1439" s="1" t="n">
        <v>44974</v>
      </c>
      <c r="C1439" s="1" t="n">
        <v>46092</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46424-2023</t>
        </is>
      </c>
      <c r="B1440" s="1" t="n">
        <v>45197.56141203704</v>
      </c>
      <c r="C1440" s="1" t="n">
        <v>46092</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11692-2026</t>
        </is>
      </c>
      <c r="B1441" s="1" t="n">
        <v>46084</v>
      </c>
      <c r="C1441" s="1" t="n">
        <v>46092</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53763-2025</t>
        </is>
      </c>
      <c r="B1442" s="1" t="n">
        <v>45960.67592592593</v>
      </c>
      <c r="C1442" s="1" t="n">
        <v>46092</v>
      </c>
      <c r="D1442" t="inlineStr">
        <is>
          <t>VÄRMLANDS LÄN</t>
        </is>
      </c>
      <c r="E1442" t="inlineStr">
        <is>
          <t>TORSBY</t>
        </is>
      </c>
      <c r="F1442" t="inlineStr">
        <is>
          <t>Bergvik skog väst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8025-2025</t>
        </is>
      </c>
      <c r="B1443" s="1" t="n">
        <v>45707</v>
      </c>
      <c r="C1443" s="1" t="n">
        <v>46092</v>
      </c>
      <c r="D1443" t="inlineStr">
        <is>
          <t>VÄRMLANDS LÄN</t>
        </is>
      </c>
      <c r="E1443" t="inlineStr">
        <is>
          <t>TORSBY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53596-2025</t>
        </is>
      </c>
      <c r="B1444" s="1" t="n">
        <v>45960.44909722222</v>
      </c>
      <c r="C1444" s="1" t="n">
        <v>46092</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34136-2025</t>
        </is>
      </c>
      <c r="B1445" s="1" t="n">
        <v>45845.54184027778</v>
      </c>
      <c r="C1445" s="1" t="n">
        <v>46092</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34667-2022</t>
        </is>
      </c>
      <c r="B1446" s="1" t="n">
        <v>44795</v>
      </c>
      <c r="C1446" s="1" t="n">
        <v>46092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4171-2026</t>
        </is>
      </c>
      <c r="B1447" s="1" t="n">
        <v>46044.6733912037</v>
      </c>
      <c r="C1447" s="1" t="n">
        <v>46092</v>
      </c>
      <c r="D1447" t="inlineStr">
        <is>
          <t>VÄRMLANDS LÄN</t>
        </is>
      </c>
      <c r="E1447" t="inlineStr">
        <is>
          <t>TORSBY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53848-2025</t>
        </is>
      </c>
      <c r="B1448" s="1" t="n">
        <v>45961.36832175926</v>
      </c>
      <c r="C1448" s="1" t="n">
        <v>46092</v>
      </c>
      <c r="D1448" t="inlineStr">
        <is>
          <t>VÄRMLANDS LÄN</t>
        </is>
      </c>
      <c r="E1448" t="inlineStr">
        <is>
          <t>TORSBY</t>
        </is>
      </c>
      <c r="G1448" t="n">
        <v>19.1</v>
      </c>
      <c r="H1448" t="n">
        <v>0</v>
      </c>
      <c r="I1448" t="n">
        <v>0</v>
      </c>
      <c r="J1448" t="n">
        <v>0</v>
      </c>
      <c r="K1448" t="n">
        <v>0</v>
      </c>
      <c r="L1448" t="n">
        <v>0</v>
      </c>
      <c r="M1448" t="n">
        <v>0</v>
      </c>
      <c r="N1448" t="n">
        <v>0</v>
      </c>
      <c r="O1448" t="n">
        <v>0</v>
      </c>
      <c r="P1448" t="n">
        <v>0</v>
      </c>
      <c r="Q1448" t="n">
        <v>0</v>
      </c>
      <c r="R1448" s="2" t="inlineStr"/>
    </row>
    <row r="1449" ht="15" customHeight="1">
      <c r="A1449" t="inlineStr">
        <is>
          <t>A 34179-2025</t>
        </is>
      </c>
      <c r="B1449" s="1" t="n">
        <v>45845</v>
      </c>
      <c r="C1449" s="1" t="n">
        <v>46092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34145-2025</t>
        </is>
      </c>
      <c r="B1450" s="1" t="n">
        <v>45845.55372685185</v>
      </c>
      <c r="C1450" s="1" t="n">
        <v>46092</v>
      </c>
      <c r="D1450" t="inlineStr">
        <is>
          <t>VÄRMLANDS LÄN</t>
        </is>
      </c>
      <c r="E1450" t="inlineStr">
        <is>
          <t>TORSBY</t>
        </is>
      </c>
      <c r="G1450" t="n">
        <v>19.2</v>
      </c>
      <c r="H1450" t="n">
        <v>0</v>
      </c>
      <c r="I1450" t="n">
        <v>0</v>
      </c>
      <c r="J1450" t="n">
        <v>0</v>
      </c>
      <c r="K1450" t="n">
        <v>0</v>
      </c>
      <c r="L1450" t="n">
        <v>0</v>
      </c>
      <c r="M1450" t="n">
        <v>0</v>
      </c>
      <c r="N1450" t="n">
        <v>0</v>
      </c>
      <c r="O1450" t="n">
        <v>0</v>
      </c>
      <c r="P1450" t="n">
        <v>0</v>
      </c>
      <c r="Q1450" t="n">
        <v>0</v>
      </c>
      <c r="R1450" s="2" t="inlineStr"/>
    </row>
    <row r="1451" ht="15" customHeight="1">
      <c r="A1451" t="inlineStr">
        <is>
          <t>A 16017-2025</t>
        </is>
      </c>
      <c r="B1451" s="1" t="n">
        <v>45749</v>
      </c>
      <c r="C1451" s="1" t="n">
        <v>46092</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12933-2023</t>
        </is>
      </c>
      <c r="B1452" s="1" t="n">
        <v>45001</v>
      </c>
      <c r="C1452" s="1" t="n">
        <v>46092</v>
      </c>
      <c r="D1452" t="inlineStr">
        <is>
          <t>VÄRMLANDS LÄN</t>
        </is>
      </c>
      <c r="E1452" t="inlineStr">
        <is>
          <t>TORSBY</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18447-2025</t>
        </is>
      </c>
      <c r="B1453" s="1" t="n">
        <v>45762</v>
      </c>
      <c r="C1453" s="1" t="n">
        <v>46092</v>
      </c>
      <c r="D1453" t="inlineStr">
        <is>
          <t>VÄRMLANDS LÄN</t>
        </is>
      </c>
      <c r="E1453" t="inlineStr">
        <is>
          <t>TORSBY</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34137-2025</t>
        </is>
      </c>
      <c r="B1454" s="1" t="n">
        <v>45845.54340277778</v>
      </c>
      <c r="C1454" s="1" t="n">
        <v>46092</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34138-2025</t>
        </is>
      </c>
      <c r="B1455" s="1" t="n">
        <v>45845.54486111111</v>
      </c>
      <c r="C1455" s="1" t="n">
        <v>46092</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34146-2025</t>
        </is>
      </c>
      <c r="B1456" s="1" t="n">
        <v>45845.56008101852</v>
      </c>
      <c r="C1456" s="1" t="n">
        <v>46092</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34046-2025</t>
        </is>
      </c>
      <c r="B1457" s="1" t="n">
        <v>45845.38671296297</v>
      </c>
      <c r="C1457" s="1" t="n">
        <v>46092</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34398-2025</t>
        </is>
      </c>
      <c r="B1458" s="1" t="n">
        <v>45846.60688657407</v>
      </c>
      <c r="C1458" s="1" t="n">
        <v>46092</v>
      </c>
      <c r="D1458" t="inlineStr">
        <is>
          <t>VÄRMLANDS LÄN</t>
        </is>
      </c>
      <c r="E1458" t="inlineStr">
        <is>
          <t>TORSBY</t>
        </is>
      </c>
      <c r="F1458" t="inlineStr">
        <is>
          <t>Bergvik skog väst AB</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34399-2025</t>
        </is>
      </c>
      <c r="B1459" s="1" t="n">
        <v>45846.610625</v>
      </c>
      <c r="C1459" s="1" t="n">
        <v>46092</v>
      </c>
      <c r="D1459" t="inlineStr">
        <is>
          <t>VÄRMLANDS LÄN</t>
        </is>
      </c>
      <c r="E1459" t="inlineStr">
        <is>
          <t>TORSBY</t>
        </is>
      </c>
      <c r="F1459" t="inlineStr">
        <is>
          <t>Bergvik skog väst AB</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34355-2025</t>
        </is>
      </c>
      <c r="B1460" s="1" t="n">
        <v>45846.48114583334</v>
      </c>
      <c r="C1460" s="1" t="n">
        <v>46092</v>
      </c>
      <c r="D1460" t="inlineStr">
        <is>
          <t>VÄRMLANDS LÄN</t>
        </is>
      </c>
      <c r="E1460" t="inlineStr">
        <is>
          <t>TORSBY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34358-2025</t>
        </is>
      </c>
      <c r="B1461" s="1" t="n">
        <v>45846.48637731482</v>
      </c>
      <c r="C1461" s="1" t="n">
        <v>46092</v>
      </c>
      <c r="D1461" t="inlineStr">
        <is>
          <t>VÄRMLANDS LÄN</t>
        </is>
      </c>
      <c r="E1461" t="inlineStr">
        <is>
          <t>TORSBY</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12271-2026</t>
        </is>
      </c>
      <c r="B1462" s="1" t="n">
        <v>46087.51574074074</v>
      </c>
      <c r="C1462" s="1" t="n">
        <v>46092</v>
      </c>
      <c r="D1462" t="inlineStr">
        <is>
          <t>VÄRMLANDS LÄN</t>
        </is>
      </c>
      <c r="E1462" t="inlineStr">
        <is>
          <t>TORSBY</t>
        </is>
      </c>
      <c r="F1462" t="inlineStr">
        <is>
          <t>Bergvik skog väst AB</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53601-2025</t>
        </is>
      </c>
      <c r="B1463" s="1" t="n">
        <v>45960.45984953704</v>
      </c>
      <c r="C1463" s="1" t="n">
        <v>46092</v>
      </c>
      <c r="D1463" t="inlineStr">
        <is>
          <t>VÄRMLANDS LÄN</t>
        </is>
      </c>
      <c r="E1463" t="inlineStr">
        <is>
          <t>TORSBY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22030-2023</t>
        </is>
      </c>
      <c r="B1464" s="1" t="n">
        <v>45069</v>
      </c>
      <c r="C1464" s="1" t="n">
        <v>46092</v>
      </c>
      <c r="D1464" t="inlineStr">
        <is>
          <t>VÄRMLANDS LÄN</t>
        </is>
      </c>
      <c r="E1464" t="inlineStr">
        <is>
          <t>TORSBY</t>
        </is>
      </c>
      <c r="F1464" t="inlineStr">
        <is>
          <t>Bergvik skog väst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34365-2025</t>
        </is>
      </c>
      <c r="B1465" s="1" t="n">
        <v>45846.49326388889</v>
      </c>
      <c r="C1465" s="1" t="n">
        <v>46092</v>
      </c>
      <c r="D1465" t="inlineStr">
        <is>
          <t>VÄRMLANDS LÄN</t>
        </is>
      </c>
      <c r="E1465" t="inlineStr">
        <is>
          <t>TORSBY</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34451-2025</t>
        </is>
      </c>
      <c r="B1466" s="1" t="n">
        <v>45846.85114583333</v>
      </c>
      <c r="C1466" s="1" t="n">
        <v>46092</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34480-2025</t>
        </is>
      </c>
      <c r="B1467" s="1" t="n">
        <v>45847.37582175926</v>
      </c>
      <c r="C1467" s="1" t="n">
        <v>46092</v>
      </c>
      <c r="D1467" t="inlineStr">
        <is>
          <t>VÄRMLANDS LÄN</t>
        </is>
      </c>
      <c r="E1467" t="inlineStr">
        <is>
          <t>TORSBY</t>
        </is>
      </c>
      <c r="F1467" t="inlineStr">
        <is>
          <t>Övriga Aktiebolag</t>
        </is>
      </c>
      <c r="G1467" t="n">
        <v>13.4</v>
      </c>
      <c r="H1467" t="n">
        <v>0</v>
      </c>
      <c r="I1467" t="n">
        <v>0</v>
      </c>
      <c r="J1467" t="n">
        <v>0</v>
      </c>
      <c r="K1467" t="n">
        <v>0</v>
      </c>
      <c r="L1467" t="n">
        <v>0</v>
      </c>
      <c r="M1467" t="n">
        <v>0</v>
      </c>
      <c r="N1467" t="n">
        <v>0</v>
      </c>
      <c r="O1467" t="n">
        <v>0</v>
      </c>
      <c r="P1467" t="n">
        <v>0</v>
      </c>
      <c r="Q1467" t="n">
        <v>0</v>
      </c>
      <c r="R1467" s="2" t="inlineStr"/>
    </row>
    <row r="1468" ht="15" customHeight="1">
      <c r="A1468" t="inlineStr">
        <is>
          <t>A 34495-2025</t>
        </is>
      </c>
      <c r="B1468" s="1" t="n">
        <v>45847.42686342593</v>
      </c>
      <c r="C1468" s="1" t="n">
        <v>46092</v>
      </c>
      <c r="D1468" t="inlineStr">
        <is>
          <t>VÄRMLANDS LÄN</t>
        </is>
      </c>
      <c r="E1468" t="inlineStr">
        <is>
          <t>TORSBY</t>
        </is>
      </c>
      <c r="F1468" t="inlineStr">
        <is>
          <t>Övriga Aktiebolag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60385-2024</t>
        </is>
      </c>
      <c r="B1469" s="1" t="n">
        <v>45643</v>
      </c>
      <c r="C1469" s="1" t="n">
        <v>46092</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10976-2026</t>
        </is>
      </c>
      <c r="B1470" s="1" t="n">
        <v>46079</v>
      </c>
      <c r="C1470" s="1" t="n">
        <v>46092</v>
      </c>
      <c r="D1470" t="inlineStr">
        <is>
          <t>VÄRMLANDS LÄN</t>
        </is>
      </c>
      <c r="E1470" t="inlineStr">
        <is>
          <t>TORSBY</t>
        </is>
      </c>
      <c r="F1470" t="inlineStr">
        <is>
          <t>Bergvik skog väst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34517-2025</t>
        </is>
      </c>
      <c r="B1471" s="1" t="n">
        <v>45847.46900462963</v>
      </c>
      <c r="C1471" s="1" t="n">
        <v>46092</v>
      </c>
      <c r="D1471" t="inlineStr">
        <is>
          <t>VÄRMLANDS LÄN</t>
        </is>
      </c>
      <c r="E1471" t="inlineStr">
        <is>
          <t>TORSBY</t>
        </is>
      </c>
      <c r="F1471" t="inlineStr">
        <is>
          <t>Övriga Aktiebolag</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34256-2024</t>
        </is>
      </c>
      <c r="B1472" s="1" t="n">
        <v>45524.59434027778</v>
      </c>
      <c r="C1472" s="1" t="n">
        <v>46092</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12289-2026</t>
        </is>
      </c>
      <c r="B1473" s="1" t="n">
        <v>46087.55357638889</v>
      </c>
      <c r="C1473" s="1" t="n">
        <v>46092</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30531-2023</t>
        </is>
      </c>
      <c r="B1474" s="1" t="n">
        <v>45111.68223379629</v>
      </c>
      <c r="C1474" s="1" t="n">
        <v>46092</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14413-2025</t>
        </is>
      </c>
      <c r="B1475" s="1" t="n">
        <v>45741</v>
      </c>
      <c r="C1475" s="1" t="n">
        <v>46092</v>
      </c>
      <c r="D1475" t="inlineStr">
        <is>
          <t>VÄRMLANDS LÄN</t>
        </is>
      </c>
      <c r="E1475" t="inlineStr">
        <is>
          <t>TORSBY</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14419-2025</t>
        </is>
      </c>
      <c r="B1476" s="1" t="n">
        <v>45741</v>
      </c>
      <c r="C1476" s="1" t="n">
        <v>46092</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44838-2024</t>
        </is>
      </c>
      <c r="B1477" s="1" t="n">
        <v>45574.7069675926</v>
      </c>
      <c r="C1477" s="1" t="n">
        <v>46092</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16362-2025</t>
        </is>
      </c>
      <c r="B1478" s="1" t="n">
        <v>45751</v>
      </c>
      <c r="C1478" s="1" t="n">
        <v>46092</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20060-2025</t>
        </is>
      </c>
      <c r="B1479" s="1" t="n">
        <v>45772.41831018519</v>
      </c>
      <c r="C1479" s="1" t="n">
        <v>46092</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34388-2025</t>
        </is>
      </c>
      <c r="B1480" s="1" t="n">
        <v>45846.57305555556</v>
      </c>
      <c r="C1480" s="1" t="n">
        <v>46092</v>
      </c>
      <c r="D1480" t="inlineStr">
        <is>
          <t>VÄRMLANDS LÄN</t>
        </is>
      </c>
      <c r="E1480" t="inlineStr">
        <is>
          <t>TORSBY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54412-2025</t>
        </is>
      </c>
      <c r="B1481" s="1" t="n">
        <v>45965.46076388889</v>
      </c>
      <c r="C1481" s="1" t="n">
        <v>46092</v>
      </c>
      <c r="D1481" t="inlineStr">
        <is>
          <t>VÄRMLANDS LÄN</t>
        </is>
      </c>
      <c r="E1481" t="inlineStr">
        <is>
          <t>TORSBY</t>
        </is>
      </c>
      <c r="F1481" t="inlineStr">
        <is>
          <t>Bergvik skog väst AB</t>
        </is>
      </c>
      <c r="G1481" t="n">
        <v>37.8</v>
      </c>
      <c r="H1481" t="n">
        <v>0</v>
      </c>
      <c r="I1481" t="n">
        <v>0</v>
      </c>
      <c r="J1481" t="n">
        <v>0</v>
      </c>
      <c r="K1481" t="n">
        <v>0</v>
      </c>
      <c r="L1481" t="n">
        <v>0</v>
      </c>
      <c r="M1481" t="n">
        <v>0</v>
      </c>
      <c r="N1481" t="n">
        <v>0</v>
      </c>
      <c r="O1481" t="n">
        <v>0</v>
      </c>
      <c r="P1481" t="n">
        <v>0</v>
      </c>
      <c r="Q1481" t="n">
        <v>0</v>
      </c>
      <c r="R1481" s="2" t="inlineStr"/>
    </row>
    <row r="1482" ht="15" customHeight="1">
      <c r="A1482" t="inlineStr">
        <is>
          <t>A 34372-2025</t>
        </is>
      </c>
      <c r="B1482" s="1" t="n">
        <v>45846.5134837963</v>
      </c>
      <c r="C1482" s="1" t="n">
        <v>46092</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54101-2025</t>
        </is>
      </c>
      <c r="B1483" s="1" t="n">
        <v>45964.42424768519</v>
      </c>
      <c r="C1483" s="1" t="n">
        <v>46092</v>
      </c>
      <c r="D1483" t="inlineStr">
        <is>
          <t>VÄRMLANDS LÄN</t>
        </is>
      </c>
      <c r="E1483" t="inlineStr">
        <is>
          <t>TORSBY</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54079-2025</t>
        </is>
      </c>
      <c r="B1484" s="1" t="n">
        <v>45964</v>
      </c>
      <c r="C1484" s="1" t="n">
        <v>46092</v>
      </c>
      <c r="D1484" t="inlineStr">
        <is>
          <t>VÄRMLANDS LÄN</t>
        </is>
      </c>
      <c r="E1484" t="inlineStr">
        <is>
          <t>TORSBY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53570-2024</t>
        </is>
      </c>
      <c r="B1485" s="1" t="n">
        <v>45614.65956018519</v>
      </c>
      <c r="C1485" s="1" t="n">
        <v>46092</v>
      </c>
      <c r="D1485" t="inlineStr">
        <is>
          <t>VÄRMLANDS LÄN</t>
        </is>
      </c>
      <c r="E1485" t="inlineStr">
        <is>
          <t>TORSBY</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11489-2026</t>
        </is>
      </c>
      <c r="B1486" s="1" t="n">
        <v>46083</v>
      </c>
      <c r="C1486" s="1" t="n">
        <v>46092</v>
      </c>
      <c r="D1486" t="inlineStr">
        <is>
          <t>VÄRMLANDS LÄN</t>
        </is>
      </c>
      <c r="E1486" t="inlineStr">
        <is>
          <t>TORSBY</t>
        </is>
      </c>
      <c r="F1486" t="inlineStr">
        <is>
          <t>Bergvik skog väst AB</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29702-2025</t>
        </is>
      </c>
      <c r="B1487" s="1" t="n">
        <v>45825.55667824074</v>
      </c>
      <c r="C1487" s="1" t="n">
        <v>46092</v>
      </c>
      <c r="D1487" t="inlineStr">
        <is>
          <t>VÄRMLANDS LÄN</t>
        </is>
      </c>
      <c r="E1487" t="inlineStr">
        <is>
          <t>TORSBY</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38397-2025</t>
        </is>
      </c>
      <c r="B1488" s="1" t="n">
        <v>45883</v>
      </c>
      <c r="C1488" s="1" t="n">
        <v>46092</v>
      </c>
      <c r="D1488" t="inlineStr">
        <is>
          <t>VÄRMLANDS LÄN</t>
        </is>
      </c>
      <c r="E1488" t="inlineStr">
        <is>
          <t>TORSBY</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39390-2023</t>
        </is>
      </c>
      <c r="B1489" s="1" t="n">
        <v>45166.65104166666</v>
      </c>
      <c r="C1489" s="1" t="n">
        <v>46092</v>
      </c>
      <c r="D1489" t="inlineStr">
        <is>
          <t>VÄRMLANDS LÄN</t>
        </is>
      </c>
      <c r="E1489" t="inlineStr">
        <is>
          <t>TORSBY</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37381-2025</t>
        </is>
      </c>
      <c r="B1490" s="1" t="n">
        <v>45877</v>
      </c>
      <c r="C1490" s="1" t="n">
        <v>46092</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34363-2025</t>
        </is>
      </c>
      <c r="B1491" s="1" t="n">
        <v>45846.49144675926</v>
      </c>
      <c r="C1491" s="1" t="n">
        <v>46092</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15126-2024</t>
        </is>
      </c>
      <c r="B1492" s="1" t="n">
        <v>45399</v>
      </c>
      <c r="C1492" s="1" t="n">
        <v>46092</v>
      </c>
      <c r="D1492" t="inlineStr">
        <is>
          <t>VÄRMLANDS LÄN</t>
        </is>
      </c>
      <c r="E1492" t="inlineStr">
        <is>
          <t>TORSBY</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15127-2024</t>
        </is>
      </c>
      <c r="B1493" s="1" t="n">
        <v>45399.76815972223</v>
      </c>
      <c r="C1493" s="1" t="n">
        <v>46092</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34370-2025</t>
        </is>
      </c>
      <c r="B1494" s="1" t="n">
        <v>45846.51056712963</v>
      </c>
      <c r="C1494" s="1" t="n">
        <v>46092</v>
      </c>
      <c r="D1494" t="inlineStr">
        <is>
          <t>VÄRMLANDS LÄN</t>
        </is>
      </c>
      <c r="E1494" t="inlineStr">
        <is>
          <t>TORSBY</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54144-2025</t>
        </is>
      </c>
      <c r="B1495" s="1" t="n">
        <v>45964.48305555555</v>
      </c>
      <c r="C1495" s="1" t="n">
        <v>46092</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34533-2025</t>
        </is>
      </c>
      <c r="B1496" s="1" t="n">
        <v>45847.50868055555</v>
      </c>
      <c r="C1496" s="1" t="n">
        <v>46092</v>
      </c>
      <c r="D1496" t="inlineStr">
        <is>
          <t>VÄRMLANDS LÄN</t>
        </is>
      </c>
      <c r="E1496" t="inlineStr">
        <is>
          <t>TORSBY</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3940-2026</t>
        </is>
      </c>
      <c r="B1497" s="1" t="n">
        <v>46043.88917824074</v>
      </c>
      <c r="C1497" s="1" t="n">
        <v>46092</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12250-2026</t>
        </is>
      </c>
      <c r="B1498" s="1" t="n">
        <v>46087.4499537037</v>
      </c>
      <c r="C1498" s="1" t="n">
        <v>46092</v>
      </c>
      <c r="D1498" t="inlineStr">
        <is>
          <t>VÄRMLANDS LÄN</t>
        </is>
      </c>
      <c r="E1498" t="inlineStr">
        <is>
          <t>TORSBY</t>
        </is>
      </c>
      <c r="F1498" t="inlineStr">
        <is>
          <t>Bergvik skog väst AB</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20872-2024</t>
        </is>
      </c>
      <c r="B1499" s="1" t="n">
        <v>45439.44173611111</v>
      </c>
      <c r="C1499" s="1" t="n">
        <v>46092</v>
      </c>
      <c r="D1499" t="inlineStr">
        <is>
          <t>VÄRMLANDS LÄN</t>
        </is>
      </c>
      <c r="E1499" t="inlineStr">
        <is>
          <t>TORSBY</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8054-2022</t>
        </is>
      </c>
      <c r="B1500" s="1" t="n">
        <v>44609</v>
      </c>
      <c r="C1500" s="1" t="n">
        <v>46092</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48721-2024</t>
        </is>
      </c>
      <c r="B1501" s="1" t="n">
        <v>45593.54752314815</v>
      </c>
      <c r="C1501" s="1" t="n">
        <v>46092</v>
      </c>
      <c r="D1501" t="inlineStr">
        <is>
          <t>VÄRMLANDS LÄN</t>
        </is>
      </c>
      <c r="E1501" t="inlineStr">
        <is>
          <t>TORSBY</t>
        </is>
      </c>
      <c r="F1501" t="inlineStr">
        <is>
          <t>Bergvik skog väst AB</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49073-2022</t>
        </is>
      </c>
      <c r="B1502" s="1" t="n">
        <v>44860</v>
      </c>
      <c r="C1502" s="1" t="n">
        <v>46092</v>
      </c>
      <c r="D1502" t="inlineStr">
        <is>
          <t>VÄRMLANDS LÄN</t>
        </is>
      </c>
      <c r="E1502" t="inlineStr">
        <is>
          <t>TORSBY</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46915-2024</t>
        </is>
      </c>
      <c r="B1503" s="1" t="n">
        <v>45583</v>
      </c>
      <c r="C1503" s="1" t="n">
        <v>46092</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34846-2025</t>
        </is>
      </c>
      <c r="B1504" s="1" t="n">
        <v>45849.41454861111</v>
      </c>
      <c r="C1504" s="1" t="n">
        <v>46092</v>
      </c>
      <c r="D1504" t="inlineStr">
        <is>
          <t>VÄRMLANDS LÄN</t>
        </is>
      </c>
      <c r="E1504" t="inlineStr">
        <is>
          <t>TORSBY</t>
        </is>
      </c>
      <c r="F1504" t="inlineStr">
        <is>
          <t>Bergvik skog väst AB</t>
        </is>
      </c>
      <c r="G1504" t="n">
        <v>12.2</v>
      </c>
      <c r="H1504" t="n">
        <v>0</v>
      </c>
      <c r="I1504" t="n">
        <v>0</v>
      </c>
      <c r="J1504" t="n">
        <v>0</v>
      </c>
      <c r="K1504" t="n">
        <v>0</v>
      </c>
      <c r="L1504" t="n">
        <v>0</v>
      </c>
      <c r="M1504" t="n">
        <v>0</v>
      </c>
      <c r="N1504" t="n">
        <v>0</v>
      </c>
      <c r="O1504" t="n">
        <v>0</v>
      </c>
      <c r="P1504" t="n">
        <v>0</v>
      </c>
      <c r="Q1504" t="n">
        <v>0</v>
      </c>
      <c r="R1504" s="2" t="inlineStr"/>
    </row>
    <row r="1505" ht="15" customHeight="1">
      <c r="A1505" t="inlineStr">
        <is>
          <t>A 50147-2023</t>
        </is>
      </c>
      <c r="B1505" s="1" t="n">
        <v>45215</v>
      </c>
      <c r="C1505" s="1" t="n">
        <v>46092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54091-2025</t>
        </is>
      </c>
      <c r="B1506" s="1" t="n">
        <v>45964.39363425926</v>
      </c>
      <c r="C1506" s="1" t="n">
        <v>46092</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7766-2026</t>
        </is>
      </c>
      <c r="B1507" s="1" t="n">
        <v>46059</v>
      </c>
      <c r="C1507" s="1" t="n">
        <v>46092</v>
      </c>
      <c r="D1507" t="inlineStr">
        <is>
          <t>VÄRMLANDS LÄN</t>
        </is>
      </c>
      <c r="E1507" t="inlineStr">
        <is>
          <t>TORSBY</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33189-2025</t>
        </is>
      </c>
      <c r="B1508" s="1" t="n">
        <v>45840.59884259259</v>
      </c>
      <c r="C1508" s="1" t="n">
        <v>46092</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33196-2025</t>
        </is>
      </c>
      <c r="B1509" s="1" t="n">
        <v>45840.60381944444</v>
      </c>
      <c r="C1509" s="1" t="n">
        <v>46092</v>
      </c>
      <c r="D1509" t="inlineStr">
        <is>
          <t>VÄRMLANDS LÄN</t>
        </is>
      </c>
      <c r="E1509" t="inlineStr">
        <is>
          <t>TORSBY</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11447-2022</t>
        </is>
      </c>
      <c r="B1510" s="1" t="n">
        <v>44630</v>
      </c>
      <c r="C1510" s="1" t="n">
        <v>46092</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44470-2024</t>
        </is>
      </c>
      <c r="B1511" s="1" t="n">
        <v>45574</v>
      </c>
      <c r="C1511" s="1" t="n">
        <v>46092</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44497-2023</t>
        </is>
      </c>
      <c r="B1512" s="1" t="n">
        <v>45189.45701388889</v>
      </c>
      <c r="C1512" s="1" t="n">
        <v>46092</v>
      </c>
      <c r="D1512" t="inlineStr">
        <is>
          <t>VÄRMLANDS LÄN</t>
        </is>
      </c>
      <c r="E1512" t="inlineStr">
        <is>
          <t>TORSBY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41936-2024</t>
        </is>
      </c>
      <c r="B1513" s="1" t="n">
        <v>45561</v>
      </c>
      <c r="C1513" s="1" t="n">
        <v>46092</v>
      </c>
      <c r="D1513" t="inlineStr">
        <is>
          <t>VÄRMLANDS LÄN</t>
        </is>
      </c>
      <c r="E1513" t="inlineStr">
        <is>
          <t>TORSBY</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54071-2025</t>
        </is>
      </c>
      <c r="B1514" s="1" t="n">
        <v>45962</v>
      </c>
      <c r="C1514" s="1" t="n">
        <v>46092</v>
      </c>
      <c r="D1514" t="inlineStr">
        <is>
          <t>VÄRMLANDS LÄN</t>
        </is>
      </c>
      <c r="E1514" t="inlineStr">
        <is>
          <t>TORSBY</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54505-2025</t>
        </is>
      </c>
      <c r="B1515" s="1" t="n">
        <v>45965.6169212963</v>
      </c>
      <c r="C1515" s="1" t="n">
        <v>46092</v>
      </c>
      <c r="D1515" t="inlineStr">
        <is>
          <t>VÄRMLANDS LÄN</t>
        </is>
      </c>
      <c r="E1515" t="inlineStr">
        <is>
          <t>TORSBY</t>
        </is>
      </c>
      <c r="F1515" t="inlineStr">
        <is>
          <t>Bergvik skog väst AB</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40807-2024</t>
        </is>
      </c>
      <c r="B1516" s="1" t="n">
        <v>45558</v>
      </c>
      <c r="C1516" s="1" t="n">
        <v>46092</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11362-2026</t>
        </is>
      </c>
      <c r="B1517" s="1" t="n">
        <v>46083</v>
      </c>
      <c r="C1517" s="1" t="n">
        <v>46092</v>
      </c>
      <c r="D1517" t="inlineStr">
        <is>
          <t>VÄRMLANDS LÄN</t>
        </is>
      </c>
      <c r="E1517" t="inlineStr">
        <is>
          <t>TORSBY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53583-2024</t>
        </is>
      </c>
      <c r="B1518" s="1" t="n">
        <v>45614.66449074074</v>
      </c>
      <c r="C1518" s="1" t="n">
        <v>46092</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17488-2023</t>
        </is>
      </c>
      <c r="B1519" s="1" t="n">
        <v>45036</v>
      </c>
      <c r="C1519" s="1" t="n">
        <v>46092</v>
      </c>
      <c r="D1519" t="inlineStr">
        <is>
          <t>VÄRMLANDS LÄN</t>
        </is>
      </c>
      <c r="E1519" t="inlineStr">
        <is>
          <t>TORSBY</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44262-2023</t>
        </is>
      </c>
      <c r="B1520" s="1" t="n">
        <v>45188.59809027778</v>
      </c>
      <c r="C1520" s="1" t="n">
        <v>46092</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15885-2025</t>
        </is>
      </c>
      <c r="B1521" s="1" t="n">
        <v>45749</v>
      </c>
      <c r="C1521" s="1" t="n">
        <v>46092</v>
      </c>
      <c r="D1521" t="inlineStr">
        <is>
          <t>VÄRMLANDS LÄN</t>
        </is>
      </c>
      <c r="E1521" t="inlineStr">
        <is>
          <t>TORSBY</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54168-2025</t>
        </is>
      </c>
      <c r="B1522" s="1" t="n">
        <v>45964.52528935186</v>
      </c>
      <c r="C1522" s="1" t="n">
        <v>46092</v>
      </c>
      <c r="D1522" t="inlineStr">
        <is>
          <t>VÄRMLANDS LÄN</t>
        </is>
      </c>
      <c r="E1522" t="inlineStr">
        <is>
          <t>TORSBY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31316-2025</t>
        </is>
      </c>
      <c r="B1523" s="1" t="n">
        <v>45833.40241898148</v>
      </c>
      <c r="C1523" s="1" t="n">
        <v>46092</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8447-2023</t>
        </is>
      </c>
      <c r="B1524" s="1" t="n">
        <v>44977</v>
      </c>
      <c r="C1524" s="1" t="n">
        <v>46092</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34997-2025</t>
        </is>
      </c>
      <c r="B1525" s="1" t="n">
        <v>45849.87340277778</v>
      </c>
      <c r="C1525" s="1" t="n">
        <v>46092</v>
      </c>
      <c r="D1525" t="inlineStr">
        <is>
          <t>VÄRMLANDS LÄN</t>
        </is>
      </c>
      <c r="E1525" t="inlineStr">
        <is>
          <t>TORSBY</t>
        </is>
      </c>
      <c r="G1525" t="n">
        <v>24.4</v>
      </c>
      <c r="H1525" t="n">
        <v>0</v>
      </c>
      <c r="I1525" t="n">
        <v>0</v>
      </c>
      <c r="J1525" t="n">
        <v>0</v>
      </c>
      <c r="K1525" t="n">
        <v>0</v>
      </c>
      <c r="L1525" t="n">
        <v>0</v>
      </c>
      <c r="M1525" t="n">
        <v>0</v>
      </c>
      <c r="N1525" t="n">
        <v>0</v>
      </c>
      <c r="O1525" t="n">
        <v>0</v>
      </c>
      <c r="P1525" t="n">
        <v>0</v>
      </c>
      <c r="Q1525" t="n">
        <v>0</v>
      </c>
      <c r="R1525" s="2" t="inlineStr"/>
    </row>
    <row r="1526" ht="15" customHeight="1">
      <c r="A1526" t="inlineStr">
        <is>
          <t>A 35185-2025</t>
        </is>
      </c>
      <c r="B1526" s="1" t="n">
        <v>45853.30383101852</v>
      </c>
      <c r="C1526" s="1" t="n">
        <v>46092</v>
      </c>
      <c r="D1526" t="inlineStr">
        <is>
          <t>VÄRMLANDS LÄN</t>
        </is>
      </c>
      <c r="E1526" t="inlineStr">
        <is>
          <t>TORSBY</t>
        </is>
      </c>
      <c r="F1526" t="inlineStr">
        <is>
          <t>Bergvik skog väst AB</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12458-2023</t>
        </is>
      </c>
      <c r="B1527" s="1" t="n">
        <v>44999</v>
      </c>
      <c r="C1527" s="1" t="n">
        <v>46092</v>
      </c>
      <c r="D1527" t="inlineStr">
        <is>
          <t>VÄRMLANDS LÄN</t>
        </is>
      </c>
      <c r="E1527" t="inlineStr">
        <is>
          <t>TORSBY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11153-2024</t>
        </is>
      </c>
      <c r="B1528" s="1" t="n">
        <v>45371.4759837963</v>
      </c>
      <c r="C1528" s="1" t="n">
        <v>46092</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45548-2024</t>
        </is>
      </c>
      <c r="B1529" s="1" t="n">
        <v>45579</v>
      </c>
      <c r="C1529" s="1" t="n">
        <v>46092</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52057-2024</t>
        </is>
      </c>
      <c r="B1530" s="1" t="n">
        <v>45608</v>
      </c>
      <c r="C1530" s="1" t="n">
        <v>46092</v>
      </c>
      <c r="D1530" t="inlineStr">
        <is>
          <t>VÄRMLANDS LÄN</t>
        </is>
      </c>
      <c r="E1530" t="inlineStr">
        <is>
          <t>TORSBY</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52062-2024</t>
        </is>
      </c>
      <c r="B1531" s="1" t="n">
        <v>45608</v>
      </c>
      <c r="C1531" s="1" t="n">
        <v>46092</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4707-2023</t>
        </is>
      </c>
      <c r="B1532" s="1" t="n">
        <v>44957</v>
      </c>
      <c r="C1532" s="1" t="n">
        <v>46092</v>
      </c>
      <c r="D1532" t="inlineStr">
        <is>
          <t>VÄRMLANDS LÄN</t>
        </is>
      </c>
      <c r="E1532" t="inlineStr">
        <is>
          <t>TORSBY</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54762-2025</t>
        </is>
      </c>
      <c r="B1533" s="1" t="n">
        <v>45966.60082175926</v>
      </c>
      <c r="C1533" s="1" t="n">
        <v>46092</v>
      </c>
      <c r="D1533" t="inlineStr">
        <is>
          <t>VÄRMLANDS LÄN</t>
        </is>
      </c>
      <c r="E1533" t="inlineStr">
        <is>
          <t>TORSBY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25264-2024</t>
        </is>
      </c>
      <c r="B1534" s="1" t="n">
        <v>45462.61859953704</v>
      </c>
      <c r="C1534" s="1" t="n">
        <v>46092</v>
      </c>
      <c r="D1534" t="inlineStr">
        <is>
          <t>VÄRMLANDS LÄN</t>
        </is>
      </c>
      <c r="E1534" t="inlineStr">
        <is>
          <t>TORSBY</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55071-2025</t>
        </is>
      </c>
      <c r="B1535" s="1" t="n">
        <v>45967</v>
      </c>
      <c r="C1535" s="1" t="n">
        <v>46092</v>
      </c>
      <c r="D1535" t="inlineStr">
        <is>
          <t>VÄRMLANDS LÄN</t>
        </is>
      </c>
      <c r="E1535" t="inlineStr">
        <is>
          <t>TORSBY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53714-2025</t>
        </is>
      </c>
      <c r="B1536" s="1" t="n">
        <v>45960</v>
      </c>
      <c r="C1536" s="1" t="n">
        <v>46092</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11670-2025</t>
        </is>
      </c>
      <c r="B1537" s="1" t="n">
        <v>45727</v>
      </c>
      <c r="C1537" s="1" t="n">
        <v>46092</v>
      </c>
      <c r="D1537" t="inlineStr">
        <is>
          <t>VÄRMLANDS LÄN</t>
        </is>
      </c>
      <c r="E1537" t="inlineStr">
        <is>
          <t>TORSBY</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11672-2025</t>
        </is>
      </c>
      <c r="B1538" s="1" t="n">
        <v>45727</v>
      </c>
      <c r="C1538" s="1" t="n">
        <v>46092</v>
      </c>
      <c r="D1538" t="inlineStr">
        <is>
          <t>VÄRMLANDS LÄN</t>
        </is>
      </c>
      <c r="E1538" t="inlineStr">
        <is>
          <t>TORSBY</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15873-2025</t>
        </is>
      </c>
      <c r="B1539" s="1" t="n">
        <v>45749.3759375</v>
      </c>
      <c r="C1539" s="1" t="n">
        <v>46092</v>
      </c>
      <c r="D1539" t="inlineStr">
        <is>
          <t>VÄRMLANDS LÄN</t>
        </is>
      </c>
      <c r="E1539" t="inlineStr">
        <is>
          <t>TORSBY</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28380-2025</t>
        </is>
      </c>
      <c r="B1540" s="1" t="n">
        <v>45819.30581018519</v>
      </c>
      <c r="C1540" s="1" t="n">
        <v>46092</v>
      </c>
      <c r="D1540" t="inlineStr">
        <is>
          <t>VÄRMLANDS LÄN</t>
        </is>
      </c>
      <c r="E1540" t="inlineStr">
        <is>
          <t>TORSBY</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54732-2025</t>
        </is>
      </c>
      <c r="B1541" s="1" t="n">
        <v>45966.56212962963</v>
      </c>
      <c r="C1541" s="1" t="n">
        <v>46092</v>
      </c>
      <c r="D1541" t="inlineStr">
        <is>
          <t>VÄRMLANDS LÄN</t>
        </is>
      </c>
      <c r="E1541" t="inlineStr">
        <is>
          <t>TORSBY</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54734-2025</t>
        </is>
      </c>
      <c r="B1542" s="1" t="n">
        <v>45966.56431712963</v>
      </c>
      <c r="C1542" s="1" t="n">
        <v>46092</v>
      </c>
      <c r="D1542" t="inlineStr">
        <is>
          <t>VÄRMLANDS LÄN</t>
        </is>
      </c>
      <c r="E1542" t="inlineStr">
        <is>
          <t>TORSBY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4908-2024</t>
        </is>
      </c>
      <c r="B1543" s="1" t="n">
        <v>45329</v>
      </c>
      <c r="C1543" s="1" t="n">
        <v>46092</v>
      </c>
      <c r="D1543" t="inlineStr">
        <is>
          <t>VÄRMLANDS LÄN</t>
        </is>
      </c>
      <c r="E1543" t="inlineStr">
        <is>
          <t>TORSBY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54784-2025</t>
        </is>
      </c>
      <c r="B1544" s="1" t="n">
        <v>45966.62114583333</v>
      </c>
      <c r="C1544" s="1" t="n">
        <v>46092</v>
      </c>
      <c r="D1544" t="inlineStr">
        <is>
          <t>VÄRMLANDS LÄN</t>
        </is>
      </c>
      <c r="E1544" t="inlineStr">
        <is>
          <t>TORSBY</t>
        </is>
      </c>
      <c r="F1544" t="inlineStr">
        <is>
          <t>Bergvik skog väst AB</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51644-2025</t>
        </is>
      </c>
      <c r="B1545" s="1" t="n">
        <v>45951</v>
      </c>
      <c r="C1545" s="1" t="n">
        <v>46092</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20985-2024</t>
        </is>
      </c>
      <c r="B1546" s="1" t="n">
        <v>45439</v>
      </c>
      <c r="C1546" s="1" t="n">
        <v>46092</v>
      </c>
      <c r="D1546" t="inlineStr">
        <is>
          <t>VÄRMLANDS LÄN</t>
        </is>
      </c>
      <c r="E1546" t="inlineStr">
        <is>
          <t>TORSBY</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35191-2025</t>
        </is>
      </c>
      <c r="B1547" s="1" t="n">
        <v>45853.3469675926</v>
      </c>
      <c r="C1547" s="1" t="n">
        <v>46092</v>
      </c>
      <c r="D1547" t="inlineStr">
        <is>
          <t>VÄRMLANDS LÄN</t>
        </is>
      </c>
      <c r="E1547" t="inlineStr">
        <is>
          <t>TORSBY</t>
        </is>
      </c>
      <c r="F1547" t="inlineStr">
        <is>
          <t>Bergvik skog väst AB</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54729-2025</t>
        </is>
      </c>
      <c r="B1548" s="1" t="n">
        <v>45966</v>
      </c>
      <c r="C1548" s="1" t="n">
        <v>46092</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54817-2025</t>
        </is>
      </c>
      <c r="B1549" s="1" t="n">
        <v>45966.65671296296</v>
      </c>
      <c r="C1549" s="1" t="n">
        <v>46092</v>
      </c>
      <c r="D1549" t="inlineStr">
        <is>
          <t>VÄRMLANDS LÄN</t>
        </is>
      </c>
      <c r="E1549" t="inlineStr">
        <is>
          <t>TORSBY</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35194-2025</t>
        </is>
      </c>
      <c r="B1550" s="1" t="n">
        <v>45853.35740740741</v>
      </c>
      <c r="C1550" s="1" t="n">
        <v>46092</v>
      </c>
      <c r="D1550" t="inlineStr">
        <is>
          <t>VÄRMLANDS LÄN</t>
        </is>
      </c>
      <c r="E1550" t="inlineStr">
        <is>
          <t>TORSBY</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21581-2024</t>
        </is>
      </c>
      <c r="B1551" s="1" t="n">
        <v>45441</v>
      </c>
      <c r="C1551" s="1" t="n">
        <v>46092</v>
      </c>
      <c r="D1551" t="inlineStr">
        <is>
          <t>VÄRMLANDS LÄN</t>
        </is>
      </c>
      <c r="E1551" t="inlineStr">
        <is>
          <t>TORSBY</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35408-2025</t>
        </is>
      </c>
      <c r="B1552" s="1" t="n">
        <v>45855.37256944444</v>
      </c>
      <c r="C1552" s="1" t="n">
        <v>46092</v>
      </c>
      <c r="D1552" t="inlineStr">
        <is>
          <t>VÄRMLANDS LÄN</t>
        </is>
      </c>
      <c r="E1552" t="inlineStr">
        <is>
          <t>TORSBY</t>
        </is>
      </c>
      <c r="F1552" t="inlineStr">
        <is>
          <t>Bergvik skog väst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54780-2025</t>
        </is>
      </c>
      <c r="B1553" s="1" t="n">
        <v>45966</v>
      </c>
      <c r="C1553" s="1" t="n">
        <v>46092</v>
      </c>
      <c r="D1553" t="inlineStr">
        <is>
          <t>VÄRMLANDS LÄN</t>
        </is>
      </c>
      <c r="E1553" t="inlineStr">
        <is>
          <t>TORSBY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8979-2025</t>
        </is>
      </c>
      <c r="B1554" s="1" t="n">
        <v>45713</v>
      </c>
      <c r="C1554" s="1" t="n">
        <v>46092</v>
      </c>
      <c r="D1554" t="inlineStr">
        <is>
          <t>VÄRMLANDS LÄN</t>
        </is>
      </c>
      <c r="E1554" t="inlineStr">
        <is>
          <t>TORSBY</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4782-2026</t>
        </is>
      </c>
      <c r="B1555" s="1" t="n">
        <v>46048</v>
      </c>
      <c r="C1555" s="1" t="n">
        <v>46092</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54692-2025</t>
        </is>
      </c>
      <c r="B1556" s="1" t="n">
        <v>45966</v>
      </c>
      <c r="C1556" s="1" t="n">
        <v>46092</v>
      </c>
      <c r="D1556" t="inlineStr">
        <is>
          <t>VÄRMLANDS LÄN</t>
        </is>
      </c>
      <c r="E1556" t="inlineStr">
        <is>
          <t>TORSBY</t>
        </is>
      </c>
      <c r="G1556" t="n">
        <v>8.6</v>
      </c>
      <c r="H1556" t="n">
        <v>0</v>
      </c>
      <c r="I1556" t="n">
        <v>0</v>
      </c>
      <c r="J1556" t="n">
        <v>0</v>
      </c>
      <c r="K1556" t="n">
        <v>0</v>
      </c>
      <c r="L1556" t="n">
        <v>0</v>
      </c>
      <c r="M1556" t="n">
        <v>0</v>
      </c>
      <c r="N1556" t="n">
        <v>0</v>
      </c>
      <c r="O1556" t="n">
        <v>0</v>
      </c>
      <c r="P1556" t="n">
        <v>0</v>
      </c>
      <c r="Q1556" t="n">
        <v>0</v>
      </c>
      <c r="R1556" s="2" t="inlineStr"/>
    </row>
    <row r="1557" ht="15" customHeight="1">
      <c r="A1557" t="inlineStr">
        <is>
          <t>A 35334-2025</t>
        </is>
      </c>
      <c r="B1557" s="1" t="n">
        <v>45854.57973379629</v>
      </c>
      <c r="C1557" s="1" t="n">
        <v>46092</v>
      </c>
      <c r="D1557" t="inlineStr">
        <is>
          <t>VÄRMLANDS LÄN</t>
        </is>
      </c>
      <c r="E1557" t="inlineStr">
        <is>
          <t>TORSBY</t>
        </is>
      </c>
      <c r="F1557" t="inlineStr">
        <is>
          <t>Bergvik skog väst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39003-2021</t>
        </is>
      </c>
      <c r="B1558" s="1" t="n">
        <v>44412</v>
      </c>
      <c r="C1558" s="1" t="n">
        <v>46092</v>
      </c>
      <c r="D1558" t="inlineStr">
        <is>
          <t>VÄRMLANDS LÄN</t>
        </is>
      </c>
      <c r="E1558" t="inlineStr">
        <is>
          <t>TORSBY</t>
        </is>
      </c>
      <c r="F1558" t="inlineStr">
        <is>
          <t>Bergvik skog väst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60148-2024</t>
        </is>
      </c>
      <c r="B1559" s="1" t="n">
        <v>45642</v>
      </c>
      <c r="C1559" s="1" t="n">
        <v>46092</v>
      </c>
      <c r="D1559" t="inlineStr">
        <is>
          <t>VÄRMLANDS LÄN</t>
        </is>
      </c>
      <c r="E1559" t="inlineStr">
        <is>
          <t>TORSBY</t>
        </is>
      </c>
      <c r="G1559" t="n">
        <v>12.4</v>
      </c>
      <c r="H1559" t="n">
        <v>0</v>
      </c>
      <c r="I1559" t="n">
        <v>0</v>
      </c>
      <c r="J1559" t="n">
        <v>0</v>
      </c>
      <c r="K1559" t="n">
        <v>0</v>
      </c>
      <c r="L1559" t="n">
        <v>0</v>
      </c>
      <c r="M1559" t="n">
        <v>0</v>
      </c>
      <c r="N1559" t="n">
        <v>0</v>
      </c>
      <c r="O1559" t="n">
        <v>0</v>
      </c>
      <c r="P1559" t="n">
        <v>0</v>
      </c>
      <c r="Q1559" t="n">
        <v>0</v>
      </c>
      <c r="R1559" s="2" t="inlineStr"/>
    </row>
    <row r="1560" ht="15" customHeight="1">
      <c r="A1560" t="inlineStr">
        <is>
          <t>A 1803-2024</t>
        </is>
      </c>
      <c r="B1560" s="1" t="n">
        <v>45307</v>
      </c>
      <c r="C1560" s="1" t="n">
        <v>46092</v>
      </c>
      <c r="D1560" t="inlineStr">
        <is>
          <t>VÄRMLANDS LÄN</t>
        </is>
      </c>
      <c r="E1560" t="inlineStr">
        <is>
          <t>TORSBY</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54996-2025</t>
        </is>
      </c>
      <c r="B1561" s="1" t="n">
        <v>45967</v>
      </c>
      <c r="C1561" s="1" t="n">
        <v>46092</v>
      </c>
      <c r="D1561" t="inlineStr">
        <is>
          <t>VÄRMLANDS LÄN</t>
        </is>
      </c>
      <c r="E1561" t="inlineStr">
        <is>
          <t>TORSBY</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38084-2023</t>
        </is>
      </c>
      <c r="B1562" s="1" t="n">
        <v>45160</v>
      </c>
      <c r="C1562" s="1" t="n">
        <v>46092</v>
      </c>
      <c r="D1562" t="inlineStr">
        <is>
          <t>VÄRMLANDS LÄN</t>
        </is>
      </c>
      <c r="E1562" t="inlineStr">
        <is>
          <t>TORSBY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35367-2025</t>
        </is>
      </c>
      <c r="B1563" s="1" t="n">
        <v>45854</v>
      </c>
      <c r="C1563" s="1" t="n">
        <v>46092</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12707-2026</t>
        </is>
      </c>
      <c r="B1564" s="1" t="n">
        <v>46091.58415509259</v>
      </c>
      <c r="C1564" s="1" t="n">
        <v>46092</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48903-2024</t>
        </is>
      </c>
      <c r="B1565" s="1" t="n">
        <v>45594</v>
      </c>
      <c r="C1565" s="1" t="n">
        <v>46092</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52357-2025</t>
        </is>
      </c>
      <c r="B1566" s="1" t="n">
        <v>45952</v>
      </c>
      <c r="C1566" s="1" t="n">
        <v>46092</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52362-2025</t>
        </is>
      </c>
      <c r="B1567" s="1" t="n">
        <v>45952</v>
      </c>
      <c r="C1567" s="1" t="n">
        <v>46092</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10728-2026</t>
        </is>
      </c>
      <c r="B1568" s="1" t="n">
        <v>46078</v>
      </c>
      <c r="C1568" s="1" t="n">
        <v>46092</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21516-2022</t>
        </is>
      </c>
      <c r="B1569" s="1" t="n">
        <v>44706</v>
      </c>
      <c r="C1569" s="1" t="n">
        <v>46092</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11896-2026</t>
        </is>
      </c>
      <c r="B1570" s="1" t="n">
        <v>46085</v>
      </c>
      <c r="C1570" s="1" t="n">
        <v>46092</v>
      </c>
      <c r="D1570" t="inlineStr">
        <is>
          <t>VÄRMLANDS LÄN</t>
        </is>
      </c>
      <c r="E1570" t="inlineStr">
        <is>
          <t>TORSBY</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40036-2022</t>
        </is>
      </c>
      <c r="B1571" s="1" t="n">
        <v>44820.43179398148</v>
      </c>
      <c r="C1571" s="1" t="n">
        <v>46092</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5088-2026</t>
        </is>
      </c>
      <c r="B1572" s="1" t="n">
        <v>46049.55236111111</v>
      </c>
      <c r="C1572" s="1" t="n">
        <v>46092</v>
      </c>
      <c r="D1572" t="inlineStr">
        <is>
          <t>VÄRMLANDS LÄN</t>
        </is>
      </c>
      <c r="E1572" t="inlineStr">
        <is>
          <t>TORSBY</t>
        </is>
      </c>
      <c r="F1572" t="inlineStr">
        <is>
          <t>Bergvik skog väst AB</t>
        </is>
      </c>
      <c r="G1572" t="n">
        <v>18.3</v>
      </c>
      <c r="H1572" t="n">
        <v>0</v>
      </c>
      <c r="I1572" t="n">
        <v>0</v>
      </c>
      <c r="J1572" t="n">
        <v>0</v>
      </c>
      <c r="K1572" t="n">
        <v>0</v>
      </c>
      <c r="L1572" t="n">
        <v>0</v>
      </c>
      <c r="M1572" t="n">
        <v>0</v>
      </c>
      <c r="N1572" t="n">
        <v>0</v>
      </c>
      <c r="O1572" t="n">
        <v>0</v>
      </c>
      <c r="P1572" t="n">
        <v>0</v>
      </c>
      <c r="Q1572" t="n">
        <v>0</v>
      </c>
      <c r="R1572" s="2" t="inlineStr"/>
    </row>
    <row r="1573" ht="15" customHeight="1">
      <c r="A1573" t="inlineStr">
        <is>
          <t>A 5052-2025</t>
        </is>
      </c>
      <c r="B1573" s="1" t="n">
        <v>45691</v>
      </c>
      <c r="C1573" s="1" t="n">
        <v>46092</v>
      </c>
      <c r="D1573" t="inlineStr">
        <is>
          <t>VÄRMLANDS LÄN</t>
        </is>
      </c>
      <c r="E1573" t="inlineStr">
        <is>
          <t>TORSBY</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55269-2025</t>
        </is>
      </c>
      <c r="B1574" s="1" t="n">
        <v>45968</v>
      </c>
      <c r="C1574" s="1" t="n">
        <v>46092</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43256-2024</t>
        </is>
      </c>
      <c r="B1575" s="1" t="n">
        <v>45568</v>
      </c>
      <c r="C1575" s="1" t="n">
        <v>46092</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17562-2024</t>
        </is>
      </c>
      <c r="B1576" s="1" t="n">
        <v>45415</v>
      </c>
      <c r="C1576" s="1" t="n">
        <v>46092</v>
      </c>
      <c r="D1576" t="inlineStr">
        <is>
          <t>VÄRMLANDS LÄN</t>
        </is>
      </c>
      <c r="E1576" t="inlineStr">
        <is>
          <t>TORSBY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55386-2025</t>
        </is>
      </c>
      <c r="B1577" s="1" t="n">
        <v>45971</v>
      </c>
      <c r="C1577" s="1" t="n">
        <v>46092</v>
      </c>
      <c r="D1577" t="inlineStr">
        <is>
          <t>VÄRMLANDS LÄN</t>
        </is>
      </c>
      <c r="E1577" t="inlineStr">
        <is>
          <t>TORSBY</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55177-2025</t>
        </is>
      </c>
      <c r="B1578" s="1" t="n">
        <v>45968</v>
      </c>
      <c r="C1578" s="1" t="n">
        <v>46092</v>
      </c>
      <c r="D1578" t="inlineStr">
        <is>
          <t>VÄRMLANDS LÄN</t>
        </is>
      </c>
      <c r="E1578" t="inlineStr">
        <is>
          <t>TORSBY</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35552-2025</t>
        </is>
      </c>
      <c r="B1579" s="1" t="n">
        <v>45856.49702546297</v>
      </c>
      <c r="C1579" s="1" t="n">
        <v>46092</v>
      </c>
      <c r="D1579" t="inlineStr">
        <is>
          <t>VÄRMLANDS LÄN</t>
        </is>
      </c>
      <c r="E1579" t="inlineStr">
        <is>
          <t>TORSBY</t>
        </is>
      </c>
      <c r="F1579" t="inlineStr">
        <is>
          <t>Bergvik skog väst AB</t>
        </is>
      </c>
      <c r="G1579" t="n">
        <v>12.3</v>
      </c>
      <c r="H1579" t="n">
        <v>0</v>
      </c>
      <c r="I1579" t="n">
        <v>0</v>
      </c>
      <c r="J1579" t="n">
        <v>0</v>
      </c>
      <c r="K1579" t="n">
        <v>0</v>
      </c>
      <c r="L1579" t="n">
        <v>0</v>
      </c>
      <c r="M1579" t="n">
        <v>0</v>
      </c>
      <c r="N1579" t="n">
        <v>0</v>
      </c>
      <c r="O1579" t="n">
        <v>0</v>
      </c>
      <c r="P1579" t="n">
        <v>0</v>
      </c>
      <c r="Q1579" t="n">
        <v>0</v>
      </c>
      <c r="R1579" s="2" t="inlineStr"/>
    </row>
    <row r="1580" ht="15" customHeight="1">
      <c r="A1580" t="inlineStr">
        <is>
          <t>A 53368-2024</t>
        </is>
      </c>
      <c r="B1580" s="1" t="n">
        <v>45614</v>
      </c>
      <c r="C1580" s="1" t="n">
        <v>46092</v>
      </c>
      <c r="D1580" t="inlineStr">
        <is>
          <t>VÄRMLANDS LÄN</t>
        </is>
      </c>
      <c r="E1580" t="inlineStr">
        <is>
          <t>TORSBY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35817-2025</t>
        </is>
      </c>
      <c r="B1581" s="1" t="n">
        <v>45861.44365740741</v>
      </c>
      <c r="C1581" s="1" t="n">
        <v>46092</v>
      </c>
      <c r="D1581" t="inlineStr">
        <is>
          <t>VÄRMLANDS LÄN</t>
        </is>
      </c>
      <c r="E1581" t="inlineStr">
        <is>
          <t>TORSBY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55296-2025</t>
        </is>
      </c>
      <c r="B1582" s="1" t="n">
        <v>45969.53423611111</v>
      </c>
      <c r="C1582" s="1" t="n">
        <v>46092</v>
      </c>
      <c r="D1582" t="inlineStr">
        <is>
          <t>VÄRMLANDS LÄN</t>
        </is>
      </c>
      <c r="E1582" t="inlineStr">
        <is>
          <t>TORSBY</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57809-2024</t>
        </is>
      </c>
      <c r="B1583" s="1" t="n">
        <v>45631</v>
      </c>
      <c r="C1583" s="1" t="n">
        <v>46092</v>
      </c>
      <c r="D1583" t="inlineStr">
        <is>
          <t>VÄRMLANDS LÄN</t>
        </is>
      </c>
      <c r="E1583" t="inlineStr">
        <is>
          <t>TORSBY</t>
        </is>
      </c>
      <c r="F1583" t="inlineStr">
        <is>
          <t>Bergvik skog väst AB</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14800-2025</t>
        </is>
      </c>
      <c r="B1584" s="1" t="n">
        <v>45743</v>
      </c>
      <c r="C1584" s="1" t="n">
        <v>46092</v>
      </c>
      <c r="D1584" t="inlineStr">
        <is>
          <t>VÄRMLANDS LÄN</t>
        </is>
      </c>
      <c r="E1584" t="inlineStr">
        <is>
          <t>TORSBY</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35855-2025</t>
        </is>
      </c>
      <c r="B1585" s="1" t="n">
        <v>45861.61864583333</v>
      </c>
      <c r="C1585" s="1" t="n">
        <v>46092</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4789-2026</t>
        </is>
      </c>
      <c r="B1586" s="1" t="n">
        <v>46048</v>
      </c>
      <c r="C1586" s="1" t="n">
        <v>46092</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32138-2024</t>
        </is>
      </c>
      <c r="B1587" s="1" t="n">
        <v>45511</v>
      </c>
      <c r="C1587" s="1" t="n">
        <v>46092</v>
      </c>
      <c r="D1587" t="inlineStr">
        <is>
          <t>VÄRMLANDS LÄN</t>
        </is>
      </c>
      <c r="E1587" t="inlineStr">
        <is>
          <t>TORSBY</t>
        </is>
      </c>
      <c r="F1587" t="inlineStr">
        <is>
          <t>Bergvik skog väst AB</t>
        </is>
      </c>
      <c r="G1587" t="n">
        <v>26.3</v>
      </c>
      <c r="H1587" t="n">
        <v>0</v>
      </c>
      <c r="I1587" t="n">
        <v>0</v>
      </c>
      <c r="J1587" t="n">
        <v>0</v>
      </c>
      <c r="K1587" t="n">
        <v>0</v>
      </c>
      <c r="L1587" t="n">
        <v>0</v>
      </c>
      <c r="M1587" t="n">
        <v>0</v>
      </c>
      <c r="N1587" t="n">
        <v>0</v>
      </c>
      <c r="O1587" t="n">
        <v>0</v>
      </c>
      <c r="P1587" t="n">
        <v>0</v>
      </c>
      <c r="Q1587" t="n">
        <v>0</v>
      </c>
      <c r="R1587" s="2" t="inlineStr"/>
    </row>
    <row r="1588" ht="15" customHeight="1">
      <c r="A1588" t="inlineStr">
        <is>
          <t>A 4703-2026</t>
        </is>
      </c>
      <c r="B1588" s="1" t="n">
        <v>46048.45079861111</v>
      </c>
      <c r="C1588" s="1" t="n">
        <v>46092</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4988-2026</t>
        </is>
      </c>
      <c r="B1589" s="1" t="n">
        <v>46049</v>
      </c>
      <c r="C1589" s="1" t="n">
        <v>46092</v>
      </c>
      <c r="D1589" t="inlineStr">
        <is>
          <t>VÄRMLANDS LÄN</t>
        </is>
      </c>
      <c r="E1589" t="inlineStr">
        <is>
          <t>TORSBY</t>
        </is>
      </c>
      <c r="F1589" t="inlineStr">
        <is>
          <t>Bergvik skog väst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35980-2025</t>
        </is>
      </c>
      <c r="B1590" s="1" t="n">
        <v>45863</v>
      </c>
      <c r="C1590" s="1" t="n">
        <v>46092</v>
      </c>
      <c r="D1590" t="inlineStr">
        <is>
          <t>VÄRMLANDS LÄN</t>
        </is>
      </c>
      <c r="E1590" t="inlineStr">
        <is>
          <t>TORSBY</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35965-2025</t>
        </is>
      </c>
      <c r="B1591" s="1" t="n">
        <v>45863.39790509259</v>
      </c>
      <c r="C1591" s="1" t="n">
        <v>46092</v>
      </c>
      <c r="D1591" t="inlineStr">
        <is>
          <t>VÄRMLANDS LÄN</t>
        </is>
      </c>
      <c r="E1591" t="inlineStr">
        <is>
          <t>TORSBY</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35987-2025</t>
        </is>
      </c>
      <c r="B1592" s="1" t="n">
        <v>45863.46144675926</v>
      </c>
      <c r="C1592" s="1" t="n">
        <v>46092</v>
      </c>
      <c r="D1592" t="inlineStr">
        <is>
          <t>VÄRMLANDS LÄN</t>
        </is>
      </c>
      <c r="E1592" t="inlineStr">
        <is>
          <t>TORSBY</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41065-2022</t>
        </is>
      </c>
      <c r="B1593" s="1" t="n">
        <v>44825.59258101852</v>
      </c>
      <c r="C1593" s="1" t="n">
        <v>46092</v>
      </c>
      <c r="D1593" t="inlineStr">
        <is>
          <t>VÄRMLANDS LÄN</t>
        </is>
      </c>
      <c r="E1593" t="inlineStr">
        <is>
          <t>TORSBY</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20130-2023</t>
        </is>
      </c>
      <c r="B1594" s="1" t="n">
        <v>45055.38503472223</v>
      </c>
      <c r="C1594" s="1" t="n">
        <v>46092</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36239-2023</t>
        </is>
      </c>
      <c r="B1595" s="1" t="n">
        <v>45150</v>
      </c>
      <c r="C1595" s="1" t="n">
        <v>46092</v>
      </c>
      <c r="D1595" t="inlineStr">
        <is>
          <t>VÄRMLANDS LÄN</t>
        </is>
      </c>
      <c r="E1595" t="inlineStr">
        <is>
          <t>TORSBY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21585-2024</t>
        </is>
      </c>
      <c r="B1596" s="1" t="n">
        <v>45441</v>
      </c>
      <c r="C1596" s="1" t="n">
        <v>46092</v>
      </c>
      <c r="D1596" t="inlineStr">
        <is>
          <t>VÄRMLANDS LÄN</t>
        </is>
      </c>
      <c r="E1596" t="inlineStr">
        <is>
          <t>TORSBY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7378-2025</t>
        </is>
      </c>
      <c r="B1597" s="1" t="n">
        <v>45705</v>
      </c>
      <c r="C1597" s="1" t="n">
        <v>46092</v>
      </c>
      <c r="D1597" t="inlineStr">
        <is>
          <t>VÄRMLANDS LÄN</t>
        </is>
      </c>
      <c r="E1597" t="inlineStr">
        <is>
          <t>TORSBY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30958-2025</t>
        </is>
      </c>
      <c r="B1598" s="1" t="n">
        <v>45832.43880787037</v>
      </c>
      <c r="C1598" s="1" t="n">
        <v>46092</v>
      </c>
      <c r="D1598" t="inlineStr">
        <is>
          <t>VÄRMLANDS LÄN</t>
        </is>
      </c>
      <c r="E1598" t="inlineStr">
        <is>
          <t>TORSBY</t>
        </is>
      </c>
      <c r="G1598" t="n">
        <v>28.5</v>
      </c>
      <c r="H1598" t="n">
        <v>0</v>
      </c>
      <c r="I1598" t="n">
        <v>0</v>
      </c>
      <c r="J1598" t="n">
        <v>0</v>
      </c>
      <c r="K1598" t="n">
        <v>0</v>
      </c>
      <c r="L1598" t="n">
        <v>0</v>
      </c>
      <c r="M1598" t="n">
        <v>0</v>
      </c>
      <c r="N1598" t="n">
        <v>0</v>
      </c>
      <c r="O1598" t="n">
        <v>0</v>
      </c>
      <c r="P1598" t="n">
        <v>0</v>
      </c>
      <c r="Q1598" t="n">
        <v>0</v>
      </c>
      <c r="R1598" s="2" t="inlineStr"/>
    </row>
    <row r="1599" ht="15" customHeight="1">
      <c r="A1599" t="inlineStr">
        <is>
          <t>A 14292-2023</t>
        </is>
      </c>
      <c r="B1599" s="1" t="n">
        <v>45011</v>
      </c>
      <c r="C1599" s="1" t="n">
        <v>46092</v>
      </c>
      <c r="D1599" t="inlineStr">
        <is>
          <t>VÄRMLANDS LÄN</t>
        </is>
      </c>
      <c r="E1599" t="inlineStr">
        <is>
          <t>TORSBY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14293-2023</t>
        </is>
      </c>
      <c r="B1600" s="1" t="n">
        <v>45011</v>
      </c>
      <c r="C1600" s="1" t="n">
        <v>46092</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12434-2026</t>
        </is>
      </c>
      <c r="B1601" s="1" t="n">
        <v>46090.46603009259</v>
      </c>
      <c r="C1601" s="1" t="n">
        <v>46092</v>
      </c>
      <c r="D1601" t="inlineStr">
        <is>
          <t>VÄRMLANDS LÄN</t>
        </is>
      </c>
      <c r="E1601" t="inlineStr">
        <is>
          <t>TORSBY</t>
        </is>
      </c>
      <c r="G1601" t="n">
        <v>15.4</v>
      </c>
      <c r="H1601" t="n">
        <v>0</v>
      </c>
      <c r="I1601" t="n">
        <v>0</v>
      </c>
      <c r="J1601" t="n">
        <v>0</v>
      </c>
      <c r="K1601" t="n">
        <v>0</v>
      </c>
      <c r="L1601" t="n">
        <v>0</v>
      </c>
      <c r="M1601" t="n">
        <v>0</v>
      </c>
      <c r="N1601" t="n">
        <v>0</v>
      </c>
      <c r="O1601" t="n">
        <v>0</v>
      </c>
      <c r="P1601" t="n">
        <v>0</v>
      </c>
      <c r="Q1601" t="n">
        <v>0</v>
      </c>
      <c r="R1601" s="2" t="inlineStr"/>
    </row>
    <row r="1602" ht="15" customHeight="1">
      <c r="A1602" t="inlineStr">
        <is>
          <t>A 36287-2025</t>
        </is>
      </c>
      <c r="B1602" s="1" t="n">
        <v>45867.65814814815</v>
      </c>
      <c r="C1602" s="1" t="n">
        <v>46092</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5084-2026</t>
        </is>
      </c>
      <c r="B1603" s="1" t="n">
        <v>46049.54569444444</v>
      </c>
      <c r="C1603" s="1" t="n">
        <v>46092</v>
      </c>
      <c r="D1603" t="inlineStr">
        <is>
          <t>VÄRMLANDS LÄN</t>
        </is>
      </c>
      <c r="E1603" t="inlineStr">
        <is>
          <t>TORSBY</t>
        </is>
      </c>
      <c r="F1603" t="inlineStr">
        <is>
          <t>Bergvik skog väst AB</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30836-2025</t>
        </is>
      </c>
      <c r="B1604" s="1" t="n">
        <v>45831.70571759259</v>
      </c>
      <c r="C1604" s="1" t="n">
        <v>46092</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2195-2025</t>
        </is>
      </c>
      <c r="B1605" s="1" t="n">
        <v>45673.38138888889</v>
      </c>
      <c r="C1605" s="1" t="n">
        <v>46092</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2699-2022</t>
        </is>
      </c>
      <c r="B1606" s="1" t="n">
        <v>44580.62828703703</v>
      </c>
      <c r="C1606" s="1" t="n">
        <v>46092</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6532-2025</t>
        </is>
      </c>
      <c r="B1607" s="1" t="n">
        <v>45699</v>
      </c>
      <c r="C1607" s="1" t="n">
        <v>46092</v>
      </c>
      <c r="D1607" t="inlineStr">
        <is>
          <t>VÄRMLANDS LÄN</t>
        </is>
      </c>
      <c r="E1607" t="inlineStr">
        <is>
          <t>TORSBY</t>
        </is>
      </c>
      <c r="F1607" t="inlineStr">
        <is>
          <t>Kommuner</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32624-2025</t>
        </is>
      </c>
      <c r="B1608" s="1" t="n">
        <v>45838.64796296296</v>
      </c>
      <c r="C1608" s="1" t="n">
        <v>46092</v>
      </c>
      <c r="D1608" t="inlineStr">
        <is>
          <t>VÄRMLANDS LÄN</t>
        </is>
      </c>
      <c r="E1608" t="inlineStr">
        <is>
          <t>TORSBY</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36256-2025</t>
        </is>
      </c>
      <c r="B1609" s="1" t="n">
        <v>45867.58938657407</v>
      </c>
      <c r="C1609" s="1" t="n">
        <v>46092</v>
      </c>
      <c r="D1609" t="inlineStr">
        <is>
          <t>VÄRMLANDS LÄN</t>
        </is>
      </c>
      <c r="E1609" t="inlineStr">
        <is>
          <t>TORSBY</t>
        </is>
      </c>
      <c r="F1609" t="inlineStr">
        <is>
          <t>Bergvik skog väst AB</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36258-2025</t>
        </is>
      </c>
      <c r="B1610" s="1" t="n">
        <v>45867.59559027778</v>
      </c>
      <c r="C1610" s="1" t="n">
        <v>46092</v>
      </c>
      <c r="D1610" t="inlineStr">
        <is>
          <t>VÄRMLANDS LÄN</t>
        </is>
      </c>
      <c r="E1610" t="inlineStr">
        <is>
          <t>TORSBY</t>
        </is>
      </c>
      <c r="F1610" t="inlineStr">
        <is>
          <t>Bergvik skog väst AB</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36288-2025</t>
        </is>
      </c>
      <c r="B1611" s="1" t="n">
        <v>45867.6619212963</v>
      </c>
      <c r="C1611" s="1" t="n">
        <v>46092</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36289-2025</t>
        </is>
      </c>
      <c r="B1612" s="1" t="n">
        <v>45867.66329861111</v>
      </c>
      <c r="C1612" s="1" t="n">
        <v>46092</v>
      </c>
      <c r="D1612" t="inlineStr">
        <is>
          <t>VÄRMLANDS LÄN</t>
        </is>
      </c>
      <c r="E1612" t="inlineStr">
        <is>
          <t>TORSBY</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5193-2026</t>
        </is>
      </c>
      <c r="B1613" s="1" t="n">
        <v>46049</v>
      </c>
      <c r="C1613" s="1" t="n">
        <v>46092</v>
      </c>
      <c r="D1613" t="inlineStr">
        <is>
          <t>VÄRMLANDS LÄN</t>
        </is>
      </c>
      <c r="E1613" t="inlineStr">
        <is>
          <t>TORSBY</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36279-2025</t>
        </is>
      </c>
      <c r="B1614" s="1" t="n">
        <v>45867.638125</v>
      </c>
      <c r="C1614" s="1" t="n">
        <v>46092</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20191-2025</t>
        </is>
      </c>
      <c r="B1615" s="1" t="n">
        <v>45772</v>
      </c>
      <c r="C1615" s="1" t="n">
        <v>46092</v>
      </c>
      <c r="D1615" t="inlineStr">
        <is>
          <t>VÄRMLANDS LÄN</t>
        </is>
      </c>
      <c r="E1615" t="inlineStr">
        <is>
          <t>TORSBY</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25961-2025</t>
        </is>
      </c>
      <c r="B1616" s="1" t="n">
        <v>45804</v>
      </c>
      <c r="C1616" s="1" t="n">
        <v>46092</v>
      </c>
      <c r="D1616" t="inlineStr">
        <is>
          <t>VÄRMLANDS LÄN</t>
        </is>
      </c>
      <c r="E1616" t="inlineStr">
        <is>
          <t>TORSBY</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12178-2026</t>
        </is>
      </c>
      <c r="B1617" s="1" t="n">
        <v>46086</v>
      </c>
      <c r="C1617" s="1" t="n">
        <v>46092</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53744-2024</t>
        </is>
      </c>
      <c r="B1618" s="1" t="n">
        <v>45615</v>
      </c>
      <c r="C1618" s="1" t="n">
        <v>46092</v>
      </c>
      <c r="D1618" t="inlineStr">
        <is>
          <t>VÄRMLANDS LÄN</t>
        </is>
      </c>
      <c r="E1618" t="inlineStr">
        <is>
          <t>TORSBY</t>
        </is>
      </c>
      <c r="G1618" t="n">
        <v>16.9</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45133.68835648148</v>
      </c>
      <c r="C1619" s="1" t="n">
        <v>46092</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66978-2021</t>
        </is>
      </c>
      <c r="B1620" s="1" t="n">
        <v>44522</v>
      </c>
      <c r="C1620" s="1" t="n">
        <v>46092</v>
      </c>
      <c r="D1620" t="inlineStr">
        <is>
          <t>VÄRMLANDS LÄN</t>
        </is>
      </c>
      <c r="E1620" t="inlineStr">
        <is>
          <t>TORSBY</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36477-2025</t>
        </is>
      </c>
      <c r="B1621" s="1" t="n">
        <v>45869</v>
      </c>
      <c r="C1621" s="1" t="n">
        <v>46092</v>
      </c>
      <c r="D1621" t="inlineStr">
        <is>
          <t>VÄRMLANDS LÄN</t>
        </is>
      </c>
      <c r="E1621" t="inlineStr">
        <is>
          <t>TORSBY</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36548-2025</t>
        </is>
      </c>
      <c r="B1622" s="1" t="n">
        <v>45869.74849537037</v>
      </c>
      <c r="C1622" s="1" t="n">
        <v>46092</v>
      </c>
      <c r="D1622" t="inlineStr">
        <is>
          <t>VÄRMLANDS LÄN</t>
        </is>
      </c>
      <c r="E1622" t="inlineStr">
        <is>
          <t>TORSBY</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36483-2025</t>
        </is>
      </c>
      <c r="B1623" s="1" t="n">
        <v>45869</v>
      </c>
      <c r="C1623" s="1" t="n">
        <v>46092</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18480-2025</t>
        </is>
      </c>
      <c r="B1624" s="1" t="n">
        <v>45762.9171412037</v>
      </c>
      <c r="C1624" s="1" t="n">
        <v>46092</v>
      </c>
      <c r="D1624" t="inlineStr">
        <is>
          <t>VÄRMLANDS LÄN</t>
        </is>
      </c>
      <c r="E1624" t="inlineStr">
        <is>
          <t>TORSBY</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15488-2023</t>
        </is>
      </c>
      <c r="B1625" s="1" t="n">
        <v>45020</v>
      </c>
      <c r="C1625" s="1" t="n">
        <v>46092</v>
      </c>
      <c r="D1625" t="inlineStr">
        <is>
          <t>VÄRMLANDS LÄN</t>
        </is>
      </c>
      <c r="E1625" t="inlineStr">
        <is>
          <t>TORSBY</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56473-2022</t>
        </is>
      </c>
      <c r="B1626" s="1" t="n">
        <v>44893</v>
      </c>
      <c r="C1626" s="1" t="n">
        <v>46092</v>
      </c>
      <c r="D1626" t="inlineStr">
        <is>
          <t>VÄRMLANDS LÄN</t>
        </is>
      </c>
      <c r="E1626" t="inlineStr">
        <is>
          <t>TORSBY</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36530-2025</t>
        </is>
      </c>
      <c r="B1627" s="1" t="n">
        <v>45869.61282407407</v>
      </c>
      <c r="C1627" s="1" t="n">
        <v>46092</v>
      </c>
      <c r="D1627" t="inlineStr">
        <is>
          <t>VÄRMLANDS LÄN</t>
        </is>
      </c>
      <c r="E1627" t="inlineStr">
        <is>
          <t>TORSBY</t>
        </is>
      </c>
      <c r="F1627" t="inlineStr">
        <is>
          <t>Bergvik skog väst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20321-2023</t>
        </is>
      </c>
      <c r="B1628" s="1" t="n">
        <v>45056.45232638889</v>
      </c>
      <c r="C1628" s="1" t="n">
        <v>46092</v>
      </c>
      <c r="D1628" t="inlineStr">
        <is>
          <t>VÄRMLANDS LÄN</t>
        </is>
      </c>
      <c r="E1628" t="inlineStr">
        <is>
          <t>TORSBY</t>
        </is>
      </c>
      <c r="F1628" t="inlineStr">
        <is>
          <t>Kyrkan</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1512-2025</t>
        </is>
      </c>
      <c r="B1629" s="1" t="n">
        <v>45670.45255787037</v>
      </c>
      <c r="C1629" s="1" t="n">
        <v>46092</v>
      </c>
      <c r="D1629" t="inlineStr">
        <is>
          <t>VÄRMLANDS LÄN</t>
        </is>
      </c>
      <c r="E1629" t="inlineStr">
        <is>
          <t>TORSBY</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10589-2024</t>
        </is>
      </c>
      <c r="B1630" s="1" t="n">
        <v>45366</v>
      </c>
      <c r="C1630" s="1" t="n">
        <v>46092</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36498-2025</t>
        </is>
      </c>
      <c r="B1631" s="1" t="n">
        <v>45869</v>
      </c>
      <c r="C1631" s="1" t="n">
        <v>46092</v>
      </c>
      <c r="D1631" t="inlineStr">
        <is>
          <t>VÄRMLANDS LÄN</t>
        </is>
      </c>
      <c r="E1631" t="inlineStr">
        <is>
          <t>TORSBY</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36500-2025</t>
        </is>
      </c>
      <c r="B1632" s="1" t="n">
        <v>45869</v>
      </c>
      <c r="C1632" s="1" t="n">
        <v>46092</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21587-2024</t>
        </is>
      </c>
      <c r="B1633" s="1" t="n">
        <v>45441</v>
      </c>
      <c r="C1633" s="1" t="n">
        <v>46092</v>
      </c>
      <c r="D1633" t="inlineStr">
        <is>
          <t>VÄRMLANDS LÄN</t>
        </is>
      </c>
      <c r="E1633" t="inlineStr">
        <is>
          <t>TORSBY</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17001-2024</t>
        </is>
      </c>
      <c r="B1634" s="1" t="n">
        <v>45412.35605324074</v>
      </c>
      <c r="C1634" s="1" t="n">
        <v>46092</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17018-2025</t>
        </is>
      </c>
      <c r="B1635" s="1" t="n">
        <v>45755</v>
      </c>
      <c r="C1635" s="1" t="n">
        <v>46092</v>
      </c>
      <c r="D1635" t="inlineStr">
        <is>
          <t>VÄRMLANDS LÄN</t>
        </is>
      </c>
      <c r="E1635" t="inlineStr">
        <is>
          <t>TORSBY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58707-2024</t>
        </is>
      </c>
      <c r="B1636" s="1" t="n">
        <v>45635</v>
      </c>
      <c r="C1636" s="1" t="n">
        <v>46092</v>
      </c>
      <c r="D1636" t="inlineStr">
        <is>
          <t>VÄRMLANDS LÄN</t>
        </is>
      </c>
      <c r="E1636" t="inlineStr">
        <is>
          <t>TORSBY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39069-2022</t>
        </is>
      </c>
      <c r="B1637" s="1" t="n">
        <v>44816</v>
      </c>
      <c r="C1637" s="1" t="n">
        <v>46092</v>
      </c>
      <c r="D1637" t="inlineStr">
        <is>
          <t>VÄRMLANDS LÄN</t>
        </is>
      </c>
      <c r="E1637" t="inlineStr">
        <is>
          <t>TORSBY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40788-2022</t>
        </is>
      </c>
      <c r="B1638" s="1" t="n">
        <v>44824</v>
      </c>
      <c r="C1638" s="1" t="n">
        <v>46092</v>
      </c>
      <c r="D1638" t="inlineStr">
        <is>
          <t>VÄRMLANDS LÄN</t>
        </is>
      </c>
      <c r="E1638" t="inlineStr">
        <is>
          <t>TORSBY</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52483-2022</t>
        </is>
      </c>
      <c r="B1639" s="1" t="n">
        <v>44874.48637731482</v>
      </c>
      <c r="C1639" s="1" t="n">
        <v>46092</v>
      </c>
      <c r="D1639" t="inlineStr">
        <is>
          <t>VÄRMLANDS LÄN</t>
        </is>
      </c>
      <c r="E1639" t="inlineStr">
        <is>
          <t>TORSBY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48762-2023</t>
        </is>
      </c>
      <c r="B1640" s="1" t="n">
        <v>45208</v>
      </c>
      <c r="C1640" s="1" t="n">
        <v>46092</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51661-2024</t>
        </is>
      </c>
      <c r="B1641" s="1" t="n">
        <v>45606.74392361111</v>
      </c>
      <c r="C1641" s="1" t="n">
        <v>46092</v>
      </c>
      <c r="D1641" t="inlineStr">
        <is>
          <t>VÄRMLANDS LÄN</t>
        </is>
      </c>
      <c r="E1641" t="inlineStr">
        <is>
          <t>TORSBY</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51663-2024</t>
        </is>
      </c>
      <c r="B1642" s="1" t="n">
        <v>45606.76396990741</v>
      </c>
      <c r="C1642" s="1" t="n">
        <v>46092</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3098-2023</t>
        </is>
      </c>
      <c r="B1643" s="1" t="n">
        <v>44946.46096064815</v>
      </c>
      <c r="C1643" s="1" t="n">
        <v>46092</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3103-2023</t>
        </is>
      </c>
      <c r="B1644" s="1" t="n">
        <v>44946</v>
      </c>
      <c r="C1644" s="1" t="n">
        <v>46092</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36920-2025</t>
        </is>
      </c>
      <c r="B1645" s="1" t="n">
        <v>45874</v>
      </c>
      <c r="C1645" s="1" t="n">
        <v>46092</v>
      </c>
      <c r="D1645" t="inlineStr">
        <is>
          <t>VÄRMLANDS LÄN</t>
        </is>
      </c>
      <c r="E1645" t="inlineStr">
        <is>
          <t>TORSBY</t>
        </is>
      </c>
      <c r="F1645" t="inlineStr">
        <is>
          <t>Bergvik skog väst AB</t>
        </is>
      </c>
      <c r="G1645" t="n">
        <v>15.9</v>
      </c>
      <c r="H1645" t="n">
        <v>0</v>
      </c>
      <c r="I1645" t="n">
        <v>0</v>
      </c>
      <c r="J1645" t="n">
        <v>0</v>
      </c>
      <c r="K1645" t="n">
        <v>0</v>
      </c>
      <c r="L1645" t="n">
        <v>0</v>
      </c>
      <c r="M1645" t="n">
        <v>0</v>
      </c>
      <c r="N1645" t="n">
        <v>0</v>
      </c>
      <c r="O1645" t="n">
        <v>0</v>
      </c>
      <c r="P1645" t="n">
        <v>0</v>
      </c>
      <c r="Q1645" t="n">
        <v>0</v>
      </c>
      <c r="R1645" s="2" t="inlineStr"/>
    </row>
    <row r="1646" ht="15" customHeight="1">
      <c r="A1646" t="inlineStr">
        <is>
          <t>A 36856-2025</t>
        </is>
      </c>
      <c r="B1646" s="1" t="n">
        <v>45874.40421296296</v>
      </c>
      <c r="C1646" s="1" t="n">
        <v>46092</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37260-2025</t>
        </is>
      </c>
      <c r="B1647" s="1" t="n">
        <v>45876</v>
      </c>
      <c r="C1647" s="1" t="n">
        <v>46092</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20898-2023</t>
        </is>
      </c>
      <c r="B1648" s="1" t="n">
        <v>45059</v>
      </c>
      <c r="C1648" s="1" t="n">
        <v>46092</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60314-2023</t>
        </is>
      </c>
      <c r="B1649" s="1" t="n">
        <v>45258.87101851852</v>
      </c>
      <c r="C1649" s="1" t="n">
        <v>46092</v>
      </c>
      <c r="D1649" t="inlineStr">
        <is>
          <t>VÄRMLANDS LÄN</t>
        </is>
      </c>
      <c r="E1649" t="inlineStr">
        <is>
          <t>TORSBY</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41270-2023</t>
        </is>
      </c>
      <c r="B1650" s="1" t="n">
        <v>45174.54952546296</v>
      </c>
      <c r="C1650" s="1" t="n">
        <v>46092</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32932-2024</t>
        </is>
      </c>
      <c r="B1651" s="1" t="n">
        <v>45517.31537037037</v>
      </c>
      <c r="C1651" s="1" t="n">
        <v>46092</v>
      </c>
      <c r="D1651" t="inlineStr">
        <is>
          <t>VÄRMLANDS LÄN</t>
        </is>
      </c>
      <c r="E1651" t="inlineStr">
        <is>
          <t>TORSBY</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50852-2023</t>
        </is>
      </c>
      <c r="B1652" s="1" t="n">
        <v>45218.29837962963</v>
      </c>
      <c r="C1652" s="1" t="n">
        <v>46092</v>
      </c>
      <c r="D1652" t="inlineStr">
        <is>
          <t>VÄRMLANDS LÄN</t>
        </is>
      </c>
      <c r="E1652" t="inlineStr">
        <is>
          <t>TORSBY</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27677-2024</t>
        </is>
      </c>
      <c r="B1653" s="1" t="n">
        <v>45475</v>
      </c>
      <c r="C1653" s="1" t="n">
        <v>46092</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27678-2024</t>
        </is>
      </c>
      <c r="B1654" s="1" t="n">
        <v>45475</v>
      </c>
      <c r="C1654" s="1" t="n">
        <v>46092</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26042-2024</t>
        </is>
      </c>
      <c r="B1655" s="1" t="n">
        <v>45468.29846064815</v>
      </c>
      <c r="C1655" s="1" t="n">
        <v>46092</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15464-2025</t>
        </is>
      </c>
      <c r="B1656" s="1" t="n">
        <v>45747</v>
      </c>
      <c r="C1656" s="1" t="n">
        <v>46092</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52580-2023</t>
        </is>
      </c>
      <c r="B1657" s="1" t="n">
        <v>45225.59354166667</v>
      </c>
      <c r="C1657" s="1" t="n">
        <v>46092</v>
      </c>
      <c r="D1657" t="inlineStr">
        <is>
          <t>VÄRMLANDS LÄN</t>
        </is>
      </c>
      <c r="E1657" t="inlineStr">
        <is>
          <t>TORSBY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52591-2023</t>
        </is>
      </c>
      <c r="B1658" s="1" t="n">
        <v>45225</v>
      </c>
      <c r="C1658" s="1" t="n">
        <v>46092</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52982-2023</t>
        </is>
      </c>
      <c r="B1659" s="1" t="n">
        <v>45226.61299768519</v>
      </c>
      <c r="C1659" s="1" t="n">
        <v>46092</v>
      </c>
      <c r="D1659" t="inlineStr">
        <is>
          <t>VÄRMLANDS LÄN</t>
        </is>
      </c>
      <c r="E1659" t="inlineStr">
        <is>
          <t>TORSBY</t>
        </is>
      </c>
      <c r="G1659" t="n">
        <v>35.5</v>
      </c>
      <c r="H1659" t="n">
        <v>0</v>
      </c>
      <c r="I1659" t="n">
        <v>0</v>
      </c>
      <c r="J1659" t="n">
        <v>0</v>
      </c>
      <c r="K1659" t="n">
        <v>0</v>
      </c>
      <c r="L1659" t="n">
        <v>0</v>
      </c>
      <c r="M1659" t="n">
        <v>0</v>
      </c>
      <c r="N1659" t="n">
        <v>0</v>
      </c>
      <c r="O1659" t="n">
        <v>0</v>
      </c>
      <c r="P1659" t="n">
        <v>0</v>
      </c>
      <c r="Q1659" t="n">
        <v>0</v>
      </c>
      <c r="R1659" s="2" t="inlineStr"/>
    </row>
    <row r="1660" ht="15" customHeight="1">
      <c r="A1660" t="inlineStr">
        <is>
          <t>A 58976-2024</t>
        </is>
      </c>
      <c r="B1660" s="1" t="n">
        <v>45636.6081712963</v>
      </c>
      <c r="C1660" s="1" t="n">
        <v>46092</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59613-2024</t>
        </is>
      </c>
      <c r="B1661" s="1" t="n">
        <v>45638</v>
      </c>
      <c r="C1661" s="1" t="n">
        <v>46092</v>
      </c>
      <c r="D1661" t="inlineStr">
        <is>
          <t>VÄRMLANDS LÄN</t>
        </is>
      </c>
      <c r="E1661" t="inlineStr">
        <is>
          <t>TORSBY</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54033-2021</t>
        </is>
      </c>
      <c r="B1662" s="1" t="n">
        <v>44470.38454861111</v>
      </c>
      <c r="C1662" s="1" t="n">
        <v>46092</v>
      </c>
      <c r="D1662" t="inlineStr">
        <is>
          <t>VÄRMLANDS LÄN</t>
        </is>
      </c>
      <c r="E1662" t="inlineStr">
        <is>
          <t>TORSBY</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58062-2021</t>
        </is>
      </c>
      <c r="B1663" s="1" t="n">
        <v>44487</v>
      </c>
      <c r="C1663" s="1" t="n">
        <v>46092</v>
      </c>
      <c r="D1663" t="inlineStr">
        <is>
          <t>VÄRMLANDS LÄN</t>
        </is>
      </c>
      <c r="E1663" t="inlineStr">
        <is>
          <t>TORSBY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59941-2023</t>
        </is>
      </c>
      <c r="B1664" s="1" t="n">
        <v>45257.67721064815</v>
      </c>
      <c r="C1664" s="1" t="n">
        <v>46092</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49840-2024</t>
        </is>
      </c>
      <c r="B1665" s="1" t="n">
        <v>45597</v>
      </c>
      <c r="C1665" s="1" t="n">
        <v>46092</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13561-2023</t>
        </is>
      </c>
      <c r="B1666" s="1" t="n">
        <v>45006.47429398148</v>
      </c>
      <c r="C1666" s="1" t="n">
        <v>46092</v>
      </c>
      <c r="D1666" t="inlineStr">
        <is>
          <t>VÄRMLANDS LÄN</t>
        </is>
      </c>
      <c r="E1666" t="inlineStr">
        <is>
          <t>TORSBY</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18411-2023</t>
        </is>
      </c>
      <c r="B1667" s="1" t="n">
        <v>45042</v>
      </c>
      <c r="C1667" s="1" t="n">
        <v>46092</v>
      </c>
      <c r="D1667" t="inlineStr">
        <is>
          <t>VÄRMLANDS LÄN</t>
        </is>
      </c>
      <c r="E1667" t="inlineStr">
        <is>
          <t>TORSBY</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19675-2023</t>
        </is>
      </c>
      <c r="B1668" s="1" t="n">
        <v>45051</v>
      </c>
      <c r="C1668" s="1" t="n">
        <v>46092</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17941-2021</t>
        </is>
      </c>
      <c r="B1669" s="1" t="n">
        <v>44301</v>
      </c>
      <c r="C1669" s="1" t="n">
        <v>46092</v>
      </c>
      <c r="D1669" t="inlineStr">
        <is>
          <t>VÄRMLANDS LÄN</t>
        </is>
      </c>
      <c r="E1669" t="inlineStr">
        <is>
          <t>TORSBY</t>
        </is>
      </c>
      <c r="F1669" t="inlineStr">
        <is>
          <t>Kommuner</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57216-2023</t>
        </is>
      </c>
      <c r="B1670" s="1" t="n">
        <v>45245</v>
      </c>
      <c r="C1670" s="1" t="n">
        <v>46092</v>
      </c>
      <c r="D1670" t="inlineStr">
        <is>
          <t>VÄRMLANDS LÄN</t>
        </is>
      </c>
      <c r="E1670" t="inlineStr">
        <is>
          <t>TORSBY</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6653-2025</t>
        </is>
      </c>
      <c r="B1671" s="1" t="n">
        <v>45700.42601851852</v>
      </c>
      <c r="C1671" s="1" t="n">
        <v>46092</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61565-2024</t>
        </is>
      </c>
      <c r="B1672" s="1" t="n">
        <v>45646</v>
      </c>
      <c r="C1672" s="1" t="n">
        <v>46092</v>
      </c>
      <c r="D1672" t="inlineStr">
        <is>
          <t>VÄRMLANDS LÄN</t>
        </is>
      </c>
      <c r="E1672" t="inlineStr">
        <is>
          <t>TORSBY</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12528-2025</t>
        </is>
      </c>
      <c r="B1673" s="1" t="n">
        <v>45730</v>
      </c>
      <c r="C1673" s="1" t="n">
        <v>46092</v>
      </c>
      <c r="D1673" t="inlineStr">
        <is>
          <t>VÄRMLANDS LÄN</t>
        </is>
      </c>
      <c r="E1673" t="inlineStr">
        <is>
          <t>TORSBY</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12554-2025</t>
        </is>
      </c>
      <c r="B1674" s="1" t="n">
        <v>45731</v>
      </c>
      <c r="C1674" s="1" t="n">
        <v>46092</v>
      </c>
      <c r="D1674" t="inlineStr">
        <is>
          <t>VÄRMLANDS LÄN</t>
        </is>
      </c>
      <c r="E1674" t="inlineStr">
        <is>
          <t>TORSBY</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37300-2025</t>
        </is>
      </c>
      <c r="B1675" s="1" t="n">
        <v>45876</v>
      </c>
      <c r="C1675" s="1" t="n">
        <v>46092</v>
      </c>
      <c r="D1675" t="inlineStr">
        <is>
          <t>VÄRMLANDS LÄN</t>
        </is>
      </c>
      <c r="E1675" t="inlineStr">
        <is>
          <t>TORSBY</t>
        </is>
      </c>
      <c r="F1675" t="inlineStr">
        <is>
          <t>Bergvik skog väst AB</t>
        </is>
      </c>
      <c r="G1675" t="n">
        <v>33.6</v>
      </c>
      <c r="H1675" t="n">
        <v>0</v>
      </c>
      <c r="I1675" t="n">
        <v>0</v>
      </c>
      <c r="J1675" t="n">
        <v>0</v>
      </c>
      <c r="K1675" t="n">
        <v>0</v>
      </c>
      <c r="L1675" t="n">
        <v>0</v>
      </c>
      <c r="M1675" t="n">
        <v>0</v>
      </c>
      <c r="N1675" t="n">
        <v>0</v>
      </c>
      <c r="O1675" t="n">
        <v>0</v>
      </c>
      <c r="P1675" t="n">
        <v>0</v>
      </c>
      <c r="Q1675" t="n">
        <v>0</v>
      </c>
      <c r="R1675" s="2" t="inlineStr"/>
    </row>
    <row r="1676" ht="15" customHeight="1">
      <c r="A1676" t="inlineStr">
        <is>
          <t>A 36782-2024</t>
        </is>
      </c>
      <c r="B1676" s="1" t="n">
        <v>45538</v>
      </c>
      <c r="C1676" s="1" t="n">
        <v>46092</v>
      </c>
      <c r="D1676" t="inlineStr">
        <is>
          <t>VÄRMLANDS LÄN</t>
        </is>
      </c>
      <c r="E1676" t="inlineStr">
        <is>
          <t>TORSBY</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36790-2024</t>
        </is>
      </c>
      <c r="B1677" s="1" t="n">
        <v>45538.43484953704</v>
      </c>
      <c r="C1677" s="1" t="n">
        <v>46092</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50372-2024</t>
        </is>
      </c>
      <c r="B1678" s="1" t="n">
        <v>45601.25935185186</v>
      </c>
      <c r="C1678" s="1" t="n">
        <v>46092</v>
      </c>
      <c r="D1678" t="inlineStr">
        <is>
          <t>VÄRMLANDS LÄN</t>
        </is>
      </c>
      <c r="E1678" t="inlineStr">
        <is>
          <t>TORSBY</t>
        </is>
      </c>
      <c r="F1678" t="inlineStr">
        <is>
          <t>Övriga Aktiebolag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49845-2024</t>
        </is>
      </c>
      <c r="B1679" s="1" t="n">
        <v>45597</v>
      </c>
      <c r="C1679" s="1" t="n">
        <v>46092</v>
      </c>
      <c r="D1679" t="inlineStr">
        <is>
          <t>VÄRMLANDS LÄN</t>
        </is>
      </c>
      <c r="E1679" t="inlineStr">
        <is>
          <t>TORSBY</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37273-2025</t>
        </is>
      </c>
      <c r="B1680" s="1" t="n">
        <v>45876</v>
      </c>
      <c r="C1680" s="1" t="n">
        <v>46092</v>
      </c>
      <c r="D1680" t="inlineStr">
        <is>
          <t>VÄRMLANDS LÄN</t>
        </is>
      </c>
      <c r="E1680" t="inlineStr">
        <is>
          <t>TORSBY</t>
        </is>
      </c>
      <c r="F1680" t="inlineStr">
        <is>
          <t>Bergvik skog väst AB</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37334-2025</t>
        </is>
      </c>
      <c r="B1681" s="1" t="n">
        <v>45876.66663194444</v>
      </c>
      <c r="C1681" s="1" t="n">
        <v>46092</v>
      </c>
      <c r="D1681" t="inlineStr">
        <is>
          <t>VÄRMLANDS LÄN</t>
        </is>
      </c>
      <c r="E1681" t="inlineStr">
        <is>
          <t>TORSBY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37339-2025</t>
        </is>
      </c>
      <c r="B1682" s="1" t="n">
        <v>45876.68457175926</v>
      </c>
      <c r="C1682" s="1" t="n">
        <v>46092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54029-2021</t>
        </is>
      </c>
      <c r="B1683" s="1" t="n">
        <v>44470.37834490741</v>
      </c>
      <c r="C1683" s="1" t="n">
        <v>46092</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54160-2022</t>
        </is>
      </c>
      <c r="B1684" s="1" t="n">
        <v>44881</v>
      </c>
      <c r="C1684" s="1" t="n">
        <v>46092</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41315-2022</t>
        </is>
      </c>
      <c r="B1685" s="1" t="n">
        <v>44826</v>
      </c>
      <c r="C1685" s="1" t="n">
        <v>46092</v>
      </c>
      <c r="D1685" t="inlineStr">
        <is>
          <t>VÄRMLANDS LÄN</t>
        </is>
      </c>
      <c r="E1685" t="inlineStr">
        <is>
          <t>TORSBY</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41322-2022</t>
        </is>
      </c>
      <c r="B1686" s="1" t="n">
        <v>44826</v>
      </c>
      <c r="C1686" s="1" t="n">
        <v>46092</v>
      </c>
      <c r="D1686" t="inlineStr">
        <is>
          <t>VÄRMLANDS LÄN</t>
        </is>
      </c>
      <c r="E1686" t="inlineStr">
        <is>
          <t>TORSBY</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50138-2023</t>
        </is>
      </c>
      <c r="B1687" s="1" t="n">
        <v>45215.66738425926</v>
      </c>
      <c r="C1687" s="1" t="n">
        <v>46092</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7927-2024</t>
        </is>
      </c>
      <c r="B1688" s="1" t="n">
        <v>45350</v>
      </c>
      <c r="C1688" s="1" t="n">
        <v>46092</v>
      </c>
      <c r="D1688" t="inlineStr">
        <is>
          <t>VÄRMLANDS LÄN</t>
        </is>
      </c>
      <c r="E1688" t="inlineStr">
        <is>
          <t>TORSBY</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15660-2025</t>
        </is>
      </c>
      <c r="B1689" s="1" t="n">
        <v>45748</v>
      </c>
      <c r="C1689" s="1" t="n">
        <v>46092</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37230-2025</t>
        </is>
      </c>
      <c r="B1690" s="1" t="n">
        <v>45876</v>
      </c>
      <c r="C1690" s="1" t="n">
        <v>46092</v>
      </c>
      <c r="D1690" t="inlineStr">
        <is>
          <t>VÄRMLANDS LÄN</t>
        </is>
      </c>
      <c r="E1690" t="inlineStr">
        <is>
          <t>TORSBY</t>
        </is>
      </c>
      <c r="F1690" t="inlineStr">
        <is>
          <t>Bergvik skog väst AB</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31493-2021</t>
        </is>
      </c>
      <c r="B1691" s="1" t="n">
        <v>44369</v>
      </c>
      <c r="C1691" s="1" t="n">
        <v>46092</v>
      </c>
      <c r="D1691" t="inlineStr">
        <is>
          <t>VÄRMLANDS LÄN</t>
        </is>
      </c>
      <c r="E1691" t="inlineStr">
        <is>
          <t>TORSBY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40718-2022</t>
        </is>
      </c>
      <c r="B1692" s="1" t="n">
        <v>44824.49635416667</v>
      </c>
      <c r="C1692" s="1" t="n">
        <v>46092</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20737-2023</t>
        </is>
      </c>
      <c r="B1693" s="1" t="n">
        <v>45058</v>
      </c>
      <c r="C1693" s="1" t="n">
        <v>46092</v>
      </c>
      <c r="D1693" t="inlineStr">
        <is>
          <t>VÄRMLANDS LÄN</t>
        </is>
      </c>
      <c r="E1693" t="inlineStr">
        <is>
          <t>TORSBY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12402-2025</t>
        </is>
      </c>
      <c r="B1694" s="1" t="n">
        <v>45730.4228125</v>
      </c>
      <c r="C1694" s="1" t="n">
        <v>46092</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22386-2025</t>
        </is>
      </c>
      <c r="B1695" s="1" t="n">
        <v>45786.50703703704</v>
      </c>
      <c r="C1695" s="1" t="n">
        <v>46092</v>
      </c>
      <c r="D1695" t="inlineStr">
        <is>
          <t>VÄRMLANDS LÄN</t>
        </is>
      </c>
      <c r="E1695" t="inlineStr">
        <is>
          <t>TORSBY</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30299-2025</t>
        </is>
      </c>
      <c r="B1696" s="1" t="n">
        <v>45827</v>
      </c>
      <c r="C1696" s="1" t="n">
        <v>46092</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37348-2025</t>
        </is>
      </c>
      <c r="B1697" s="1" t="n">
        <v>45876.71136574074</v>
      </c>
      <c r="C1697" s="1" t="n">
        <v>46092</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17879-2024</t>
        </is>
      </c>
      <c r="B1698" s="1" t="n">
        <v>45419</v>
      </c>
      <c r="C1698" s="1" t="n">
        <v>46092</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36674-2023</t>
        </is>
      </c>
      <c r="B1699" s="1" t="n">
        <v>45153.5908912037</v>
      </c>
      <c r="C1699" s="1" t="n">
        <v>46092</v>
      </c>
      <c r="D1699" t="inlineStr">
        <is>
          <t>VÄRMLANDS LÄN</t>
        </is>
      </c>
      <c r="E1699" t="inlineStr">
        <is>
          <t>TORSBY</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28005-2024</t>
        </is>
      </c>
      <c r="B1700" s="1" t="n">
        <v>45476</v>
      </c>
      <c r="C1700" s="1" t="n">
        <v>46092</v>
      </c>
      <c r="D1700" t="inlineStr">
        <is>
          <t>VÄRMLANDS LÄN</t>
        </is>
      </c>
      <c r="E1700" t="inlineStr">
        <is>
          <t>TORSBY</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37236-2025</t>
        </is>
      </c>
      <c r="B1701" s="1" t="n">
        <v>45876.36116898148</v>
      </c>
      <c r="C1701" s="1" t="n">
        <v>46092</v>
      </c>
      <c r="D1701" t="inlineStr">
        <is>
          <t>VÄRMLANDS LÄN</t>
        </is>
      </c>
      <c r="E1701" t="inlineStr">
        <is>
          <t>TORSBY</t>
        </is>
      </c>
      <c r="F1701" t="inlineStr">
        <is>
          <t>Bergvik skog väst AB</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45152-2023</t>
        </is>
      </c>
      <c r="B1702" s="1" t="n">
        <v>45191</v>
      </c>
      <c r="C1702" s="1" t="n">
        <v>46092</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42701-2022</t>
        </is>
      </c>
      <c r="B1703" s="1" t="n">
        <v>44832</v>
      </c>
      <c r="C1703" s="1" t="n">
        <v>46092</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24150-2021</t>
        </is>
      </c>
      <c r="B1704" s="1" t="n">
        <v>44336</v>
      </c>
      <c r="C1704" s="1" t="n">
        <v>46092</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37583-2025</t>
        </is>
      </c>
      <c r="B1705" s="1" t="n">
        <v>45880</v>
      </c>
      <c r="C1705" s="1" t="n">
        <v>46092</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62250-2023</t>
        </is>
      </c>
      <c r="B1706" s="1" t="n">
        <v>45266</v>
      </c>
      <c r="C1706" s="1" t="n">
        <v>46092</v>
      </c>
      <c r="D1706" t="inlineStr">
        <is>
          <t>VÄRMLANDS LÄN</t>
        </is>
      </c>
      <c r="E1706" t="inlineStr">
        <is>
          <t>TORSBY</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8428-2025</t>
        </is>
      </c>
      <c r="B1707" s="1" t="n">
        <v>45709.41995370371</v>
      </c>
      <c r="C1707" s="1" t="n">
        <v>46092</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37566-2025</t>
        </is>
      </c>
      <c r="B1708" s="1" t="n">
        <v>45880</v>
      </c>
      <c r="C1708" s="1" t="n">
        <v>46092</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37937-2025</t>
        </is>
      </c>
      <c r="B1709" s="1" t="n">
        <v>45881</v>
      </c>
      <c r="C1709" s="1" t="n">
        <v>46092</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37546-2025</t>
        </is>
      </c>
      <c r="B1710" s="1" t="n">
        <v>45879</v>
      </c>
      <c r="C1710" s="1" t="n">
        <v>46092</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32496-2022</t>
        </is>
      </c>
      <c r="B1711" s="1" t="n">
        <v>44782</v>
      </c>
      <c r="C1711" s="1" t="n">
        <v>46092</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37547-2025</t>
        </is>
      </c>
      <c r="B1712" s="1" t="n">
        <v>45879</v>
      </c>
      <c r="C1712" s="1" t="n">
        <v>46092</v>
      </c>
      <c r="D1712" t="inlineStr">
        <is>
          <t>VÄRMLANDS LÄN</t>
        </is>
      </c>
      <c r="E1712" t="inlineStr">
        <is>
          <t>TORSBY</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37904-2025</t>
        </is>
      </c>
      <c r="B1713" s="1" t="n">
        <v>45881</v>
      </c>
      <c r="C1713" s="1" t="n">
        <v>46092</v>
      </c>
      <c r="D1713" t="inlineStr">
        <is>
          <t>VÄRMLANDS LÄN</t>
        </is>
      </c>
      <c r="E1713" t="inlineStr">
        <is>
          <t>TORSBY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37908-2025</t>
        </is>
      </c>
      <c r="B1714" s="1" t="n">
        <v>45881.5732175926</v>
      </c>
      <c r="C1714" s="1" t="n">
        <v>46092</v>
      </c>
      <c r="D1714" t="inlineStr">
        <is>
          <t>VÄRMLANDS LÄN</t>
        </is>
      </c>
      <c r="E1714" t="inlineStr">
        <is>
          <t>TORSBY</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37945-2025</t>
        </is>
      </c>
      <c r="B1715" s="1" t="n">
        <v>45881</v>
      </c>
      <c r="C1715" s="1" t="n">
        <v>46092</v>
      </c>
      <c r="D1715" t="inlineStr">
        <is>
          <t>VÄRMLANDS LÄN</t>
        </is>
      </c>
      <c r="E1715" t="inlineStr">
        <is>
          <t>TORSBY</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37575-2025</t>
        </is>
      </c>
      <c r="B1716" s="1" t="n">
        <v>45880.38028935185</v>
      </c>
      <c r="C1716" s="1" t="n">
        <v>46092</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37760-2025</t>
        </is>
      </c>
      <c r="B1717" s="1" t="n">
        <v>45880</v>
      </c>
      <c r="C1717" s="1" t="n">
        <v>46092</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11195-2025</t>
        </is>
      </c>
      <c r="B1718" s="1" t="n">
        <v>45725.85177083333</v>
      </c>
      <c r="C1718" s="1" t="n">
        <v>46092</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56170-2023</t>
        </is>
      </c>
      <c r="B1719" s="1" t="n">
        <v>45240.62975694444</v>
      </c>
      <c r="C1719" s="1" t="n">
        <v>46092</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9578-2023</t>
        </is>
      </c>
      <c r="B1720" s="1" t="n">
        <v>44982.69790509259</v>
      </c>
      <c r="C1720" s="1" t="n">
        <v>46092</v>
      </c>
      <c r="D1720" t="inlineStr">
        <is>
          <t>VÄRMLANDS LÄN</t>
        </is>
      </c>
      <c r="E1720" t="inlineStr">
        <is>
          <t>TORSBY</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47241-2023</t>
        </is>
      </c>
      <c r="B1721" s="1" t="n">
        <v>45202.39821759259</v>
      </c>
      <c r="C1721" s="1" t="n">
        <v>46092</v>
      </c>
      <c r="D1721" t="inlineStr">
        <is>
          <t>VÄRMLANDS LÄN</t>
        </is>
      </c>
      <c r="E1721" t="inlineStr">
        <is>
          <t>TORSBY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55811-2021</t>
        </is>
      </c>
      <c r="B1722" s="1" t="n">
        <v>44476</v>
      </c>
      <c r="C1722" s="1" t="n">
        <v>46092</v>
      </c>
      <c r="D1722" t="inlineStr">
        <is>
          <t>VÄRMLANDS LÄN</t>
        </is>
      </c>
      <c r="E1722" t="inlineStr">
        <is>
          <t>TORSBY</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37927-2025</t>
        </is>
      </c>
      <c r="B1723" s="1" t="n">
        <v>45881.58063657407</v>
      </c>
      <c r="C1723" s="1" t="n">
        <v>46092</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37736-2025</t>
        </is>
      </c>
      <c r="B1724" s="1" t="n">
        <v>45880</v>
      </c>
      <c r="C1724" s="1" t="n">
        <v>46092</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57980-2023</t>
        </is>
      </c>
      <c r="B1725" s="1" t="n">
        <v>45247.59328703704</v>
      </c>
      <c r="C1725" s="1" t="n">
        <v>46092</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25090-2023</t>
        </is>
      </c>
      <c r="B1726" s="1" t="n">
        <v>45086</v>
      </c>
      <c r="C1726" s="1" t="n">
        <v>46092</v>
      </c>
      <c r="D1726" t="inlineStr">
        <is>
          <t>VÄRMLANDS LÄN</t>
        </is>
      </c>
      <c r="E1726" t="inlineStr">
        <is>
          <t>TORSBY</t>
        </is>
      </c>
      <c r="F1726" t="inlineStr">
        <is>
          <t>Bergvik skog väst AB</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38056-2025</t>
        </is>
      </c>
      <c r="B1727" s="1" t="n">
        <v>45882</v>
      </c>
      <c r="C1727" s="1" t="n">
        <v>46092</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15315-2024</t>
        </is>
      </c>
      <c r="B1728" s="1" t="n">
        <v>45400</v>
      </c>
      <c r="C1728" s="1" t="n">
        <v>46092</v>
      </c>
      <c r="D1728" t="inlineStr">
        <is>
          <t>VÄRMLANDS LÄN</t>
        </is>
      </c>
      <c r="E1728" t="inlineStr">
        <is>
          <t>TORSBY</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38315-2025</t>
        </is>
      </c>
      <c r="B1729" s="1" t="n">
        <v>45883.47824074074</v>
      </c>
      <c r="C1729" s="1" t="n">
        <v>46092</v>
      </c>
      <c r="D1729" t="inlineStr">
        <is>
          <t>VÄRMLANDS LÄN</t>
        </is>
      </c>
      <c r="E1729" t="inlineStr">
        <is>
          <t>TORSBY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20182-2021</t>
        </is>
      </c>
      <c r="B1730" s="1" t="n">
        <v>44312</v>
      </c>
      <c r="C1730" s="1" t="n">
        <v>46092</v>
      </c>
      <c r="D1730" t="inlineStr">
        <is>
          <t>VÄRMLANDS LÄN</t>
        </is>
      </c>
      <c r="E1730" t="inlineStr">
        <is>
          <t>TORSBY</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46233-2023</t>
        </is>
      </c>
      <c r="B1731" s="1" t="n">
        <v>45196.69575231482</v>
      </c>
      <c r="C1731" s="1" t="n">
        <v>46092</v>
      </c>
      <c r="D1731" t="inlineStr">
        <is>
          <t>VÄRMLANDS LÄN</t>
        </is>
      </c>
      <c r="E1731" t="inlineStr">
        <is>
          <t>TORSBY</t>
        </is>
      </c>
      <c r="F1731" t="inlineStr">
        <is>
          <t>Kyrkan</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36850-2024</t>
        </is>
      </c>
      <c r="B1732" s="1" t="n">
        <v>45538</v>
      </c>
      <c r="C1732" s="1" t="n">
        <v>46092</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13924-2025</t>
        </is>
      </c>
      <c r="B1733" s="1" t="n">
        <v>45737</v>
      </c>
      <c r="C1733" s="1" t="n">
        <v>46092</v>
      </c>
      <c r="D1733" t="inlineStr">
        <is>
          <t>VÄRMLANDS LÄN</t>
        </is>
      </c>
      <c r="E1733" t="inlineStr">
        <is>
          <t>TORSBY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40987-2024</t>
        </is>
      </c>
      <c r="B1734" s="1" t="n">
        <v>45558</v>
      </c>
      <c r="C1734" s="1" t="n">
        <v>46092</v>
      </c>
      <c r="D1734" t="inlineStr">
        <is>
          <t>VÄRMLANDS LÄN</t>
        </is>
      </c>
      <c r="E1734" t="inlineStr">
        <is>
          <t>TORSBY</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32343-2024</t>
        </is>
      </c>
      <c r="B1735" s="1" t="n">
        <v>45512.520625</v>
      </c>
      <c r="C1735" s="1" t="n">
        <v>46092</v>
      </c>
      <c r="D1735" t="inlineStr">
        <is>
          <t>VÄRMLANDS LÄN</t>
        </is>
      </c>
      <c r="E1735" t="inlineStr">
        <is>
          <t>TORSBY</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38249-2025</t>
        </is>
      </c>
      <c r="B1736" s="1" t="n">
        <v>45883</v>
      </c>
      <c r="C1736" s="1" t="n">
        <v>46092</v>
      </c>
      <c r="D1736" t="inlineStr">
        <is>
          <t>VÄRMLANDS LÄN</t>
        </is>
      </c>
      <c r="E1736" t="inlineStr">
        <is>
          <t>TORSBY</t>
        </is>
      </c>
      <c r="F1736" t="inlineStr">
        <is>
          <t>Bergvik skog väst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31830-2024</t>
        </is>
      </c>
      <c r="B1737" s="1" t="n">
        <v>45509</v>
      </c>
      <c r="C1737" s="1" t="n">
        <v>46092</v>
      </c>
      <c r="D1737" t="inlineStr">
        <is>
          <t>VÄRMLANDS LÄN</t>
        </is>
      </c>
      <c r="E1737" t="inlineStr">
        <is>
          <t>TORSBY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37818-2025</t>
        </is>
      </c>
      <c r="B1738" s="1" t="n">
        <v>45881</v>
      </c>
      <c r="C1738" s="1" t="n">
        <v>46092</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38165-2025</t>
        </is>
      </c>
      <c r="B1739" s="1" t="n">
        <v>45882.63063657407</v>
      </c>
      <c r="C1739" s="1" t="n">
        <v>46092</v>
      </c>
      <c r="D1739" t="inlineStr">
        <is>
          <t>VÄRMLANDS LÄN</t>
        </is>
      </c>
      <c r="E1739" t="inlineStr">
        <is>
          <t>TORSBY</t>
        </is>
      </c>
      <c r="F1739" t="inlineStr">
        <is>
          <t>Bergvik skog väst AB</t>
        </is>
      </c>
      <c r="G1739" t="n">
        <v>15.2</v>
      </c>
      <c r="H1739" t="n">
        <v>0</v>
      </c>
      <c r="I1739" t="n">
        <v>0</v>
      </c>
      <c r="J1739" t="n">
        <v>0</v>
      </c>
      <c r="K1739" t="n">
        <v>0</v>
      </c>
      <c r="L1739" t="n">
        <v>0</v>
      </c>
      <c r="M1739" t="n">
        <v>0</v>
      </c>
      <c r="N1739" t="n">
        <v>0</v>
      </c>
      <c r="O1739" t="n">
        <v>0</v>
      </c>
      <c r="P1739" t="n">
        <v>0</v>
      </c>
      <c r="Q1739" t="n">
        <v>0</v>
      </c>
      <c r="R1739" s="2" t="inlineStr"/>
    </row>
    <row r="1740" ht="15" customHeight="1">
      <c r="A1740" t="inlineStr">
        <is>
          <t>A 37878-2025</t>
        </is>
      </c>
      <c r="B1740" s="1" t="n">
        <v>45881</v>
      </c>
      <c r="C1740" s="1" t="n">
        <v>46092</v>
      </c>
      <c r="D1740" t="inlineStr">
        <is>
          <t>VÄRMLANDS LÄN</t>
        </is>
      </c>
      <c r="E1740" t="inlineStr">
        <is>
          <t>TORSBY</t>
        </is>
      </c>
      <c r="F1740" t="inlineStr">
        <is>
          <t>Bergvik skog väst AB</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42428-2024</t>
        </is>
      </c>
      <c r="B1741" s="1" t="n">
        <v>45565</v>
      </c>
      <c r="C1741" s="1" t="n">
        <v>46092</v>
      </c>
      <c r="D1741" t="inlineStr">
        <is>
          <t>VÄRMLANDS LÄN</t>
        </is>
      </c>
      <c r="E1741" t="inlineStr">
        <is>
          <t>TORSBY</t>
        </is>
      </c>
      <c r="F1741" t="inlineStr">
        <is>
          <t>Bergvik skog väst AB</t>
        </is>
      </c>
      <c r="G1741" t="n">
        <v>20.7</v>
      </c>
      <c r="H1741" t="n">
        <v>0</v>
      </c>
      <c r="I1741" t="n">
        <v>0</v>
      </c>
      <c r="J1741" t="n">
        <v>0</v>
      </c>
      <c r="K1741" t="n">
        <v>0</v>
      </c>
      <c r="L1741" t="n">
        <v>0</v>
      </c>
      <c r="M1741" t="n">
        <v>0</v>
      </c>
      <c r="N1741" t="n">
        <v>0</v>
      </c>
      <c r="O1741" t="n">
        <v>0</v>
      </c>
      <c r="P1741" t="n">
        <v>0</v>
      </c>
      <c r="Q1741" t="n">
        <v>0</v>
      </c>
      <c r="R1741" s="2" t="inlineStr"/>
    </row>
    <row r="1742" ht="15" customHeight="1">
      <c r="A1742" t="inlineStr">
        <is>
          <t>A 38232-2025</t>
        </is>
      </c>
      <c r="B1742" s="1" t="n">
        <v>45883</v>
      </c>
      <c r="C1742" s="1" t="n">
        <v>46092</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7643-2025</t>
        </is>
      </c>
      <c r="B1743" s="1" t="n">
        <v>45705.78703703704</v>
      </c>
      <c r="C1743" s="1" t="n">
        <v>46092</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11259-2024</t>
        </is>
      </c>
      <c r="B1744" s="1" t="n">
        <v>45371</v>
      </c>
      <c r="C1744" s="1" t="n">
        <v>46092</v>
      </c>
      <c r="D1744" t="inlineStr">
        <is>
          <t>VÄRMLANDS LÄN</t>
        </is>
      </c>
      <c r="E1744" t="inlineStr">
        <is>
          <t>TORSBY</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34405-2023</t>
        </is>
      </c>
      <c r="B1745" s="1" t="n">
        <v>45139.55131944444</v>
      </c>
      <c r="C1745" s="1" t="n">
        <v>46092</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34697-2024</t>
        </is>
      </c>
      <c r="B1746" s="1" t="n">
        <v>45526.55518518519</v>
      </c>
      <c r="C1746" s="1" t="n">
        <v>46092</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60383-2024</t>
        </is>
      </c>
      <c r="B1747" s="1" t="n">
        <v>45643.47674768518</v>
      </c>
      <c r="C1747" s="1" t="n">
        <v>46092</v>
      </c>
      <c r="D1747" t="inlineStr">
        <is>
          <t>VÄRMLANDS LÄN</t>
        </is>
      </c>
      <c r="E1747" t="inlineStr">
        <is>
          <t>TORSBY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60386-2024</t>
        </is>
      </c>
      <c r="B1748" s="1" t="n">
        <v>45643</v>
      </c>
      <c r="C1748" s="1" t="n">
        <v>46092</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17065-2025</t>
        </is>
      </c>
      <c r="B1749" s="1" t="n">
        <v>45754</v>
      </c>
      <c r="C1749" s="1" t="n">
        <v>46092</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60477-2024</t>
        </is>
      </c>
      <c r="B1750" s="1" t="n">
        <v>45643</v>
      </c>
      <c r="C1750" s="1" t="n">
        <v>46092</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57647-2023</t>
        </is>
      </c>
      <c r="B1751" s="1" t="n">
        <v>45246.59627314815</v>
      </c>
      <c r="C1751" s="1" t="n">
        <v>46092</v>
      </c>
      <c r="D1751" t="inlineStr">
        <is>
          <t>VÄRMLANDS LÄN</t>
        </is>
      </c>
      <c r="E1751" t="inlineStr">
        <is>
          <t>TORSBY</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21089-2022</t>
        </is>
      </c>
      <c r="B1752" s="1" t="n">
        <v>44704</v>
      </c>
      <c r="C1752" s="1" t="n">
        <v>46092</v>
      </c>
      <c r="D1752" t="inlineStr">
        <is>
          <t>VÄRMLANDS LÄN</t>
        </is>
      </c>
      <c r="E1752" t="inlineStr">
        <is>
          <t>TORSBY</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53331-2024</t>
        </is>
      </c>
      <c r="B1753" s="1" t="n">
        <v>45614</v>
      </c>
      <c r="C1753" s="1" t="n">
        <v>46092</v>
      </c>
      <c r="D1753" t="inlineStr">
        <is>
          <t>VÄRMLANDS LÄN</t>
        </is>
      </c>
      <c r="E1753" t="inlineStr">
        <is>
          <t>TORSBY</t>
        </is>
      </c>
      <c r="F1753" t="inlineStr">
        <is>
          <t>Bergvik skog väst AB</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38497-2025</t>
        </is>
      </c>
      <c r="B1754" s="1" t="n">
        <v>45884</v>
      </c>
      <c r="C1754" s="1" t="n">
        <v>46092</v>
      </c>
      <c r="D1754" t="inlineStr">
        <is>
          <t>VÄRMLANDS LÄN</t>
        </is>
      </c>
      <c r="E1754" t="inlineStr">
        <is>
          <t>TORSBY</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9793-2024</t>
        </is>
      </c>
      <c r="B1755" s="1" t="n">
        <v>45362.71013888889</v>
      </c>
      <c r="C1755" s="1" t="n">
        <v>46092</v>
      </c>
      <c r="D1755" t="inlineStr">
        <is>
          <t>VÄRMLANDS LÄN</t>
        </is>
      </c>
      <c r="E1755" t="inlineStr">
        <is>
          <t>TORSBY</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38143-2025</t>
        </is>
      </c>
      <c r="B1756" s="1" t="n">
        <v>45882</v>
      </c>
      <c r="C1756" s="1" t="n">
        <v>46092</v>
      </c>
      <c r="D1756" t="inlineStr">
        <is>
          <t>VÄRMLANDS LÄN</t>
        </is>
      </c>
      <c r="E1756" t="inlineStr">
        <is>
          <t>TORSBY</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16591-2024</t>
        </is>
      </c>
      <c r="B1757" s="1" t="n">
        <v>45408.49420138889</v>
      </c>
      <c r="C1757" s="1" t="n">
        <v>46092</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56021-2023</t>
        </is>
      </c>
      <c r="B1758" s="1" t="n">
        <v>45240</v>
      </c>
      <c r="C1758" s="1" t="n">
        <v>46092</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32340-2024</t>
        </is>
      </c>
      <c r="B1759" s="1" t="n">
        <v>45512.50826388889</v>
      </c>
      <c r="C1759" s="1" t="n">
        <v>46092</v>
      </c>
      <c r="D1759" t="inlineStr">
        <is>
          <t>VÄRMLANDS LÄN</t>
        </is>
      </c>
      <c r="E1759" t="inlineStr">
        <is>
          <t>TORSBY</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36917-2024</t>
        </is>
      </c>
      <c r="B1760" s="1" t="n">
        <v>45538.65065972223</v>
      </c>
      <c r="C1760" s="1" t="n">
        <v>46092</v>
      </c>
      <c r="D1760" t="inlineStr">
        <is>
          <t>VÄRMLANDS LÄN</t>
        </is>
      </c>
      <c r="E1760" t="inlineStr">
        <is>
          <t>TORSBY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36922-2024</t>
        </is>
      </c>
      <c r="B1761" s="1" t="n">
        <v>45538</v>
      </c>
      <c r="C1761" s="1" t="n">
        <v>46092</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17941-2021</t>
        </is>
      </c>
      <c r="B1762" s="1" t="n">
        <v>44301</v>
      </c>
      <c r="C1762" s="1" t="n">
        <v>46092</v>
      </c>
      <c r="D1762" t="inlineStr">
        <is>
          <t>VÄRMLANDS LÄN</t>
        </is>
      </c>
      <c r="E1762" t="inlineStr">
        <is>
          <t>TORSBY</t>
        </is>
      </c>
      <c r="F1762" t="inlineStr">
        <is>
          <t>Kommuner</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58956-2022</t>
        </is>
      </c>
      <c r="B1763" s="1" t="n">
        <v>44903.65895833333</v>
      </c>
      <c r="C1763" s="1" t="n">
        <v>46092</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345-2023</t>
        </is>
      </c>
      <c r="B1764" s="1" t="n">
        <v>44923</v>
      </c>
      <c r="C1764" s="1" t="n">
        <v>46092</v>
      </c>
      <c r="D1764" t="inlineStr">
        <is>
          <t>VÄRMLANDS LÄN</t>
        </is>
      </c>
      <c r="E1764" t="inlineStr">
        <is>
          <t>TORSBY</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38662-2025</t>
        </is>
      </c>
      <c r="B1765" s="1" t="n">
        <v>45884.61193287037</v>
      </c>
      <c r="C1765" s="1" t="n">
        <v>46092</v>
      </c>
      <c r="D1765" t="inlineStr">
        <is>
          <t>VÄRMLANDS LÄN</t>
        </is>
      </c>
      <c r="E1765" t="inlineStr">
        <is>
          <t>TORSBY</t>
        </is>
      </c>
      <c r="F1765" t="inlineStr">
        <is>
          <t>Bergvik skog väst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11872-2025</t>
        </is>
      </c>
      <c r="B1766" s="1" t="n">
        <v>45728.43021990741</v>
      </c>
      <c r="C1766" s="1" t="n">
        <v>46092</v>
      </c>
      <c r="D1766" t="inlineStr">
        <is>
          <t>VÄRMLANDS LÄN</t>
        </is>
      </c>
      <c r="E1766" t="inlineStr">
        <is>
          <t>TORSBY</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9203-2024</t>
        </is>
      </c>
      <c r="B1767" s="1" t="n">
        <v>45358</v>
      </c>
      <c r="C1767" s="1" t="n">
        <v>46092</v>
      </c>
      <c r="D1767" t="inlineStr">
        <is>
          <t>VÄRMLANDS LÄN</t>
        </is>
      </c>
      <c r="E1767" t="inlineStr">
        <is>
          <t>TORSBY</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27090-2024</t>
        </is>
      </c>
      <c r="B1768" s="1" t="n">
        <v>45471</v>
      </c>
      <c r="C1768" s="1" t="n">
        <v>46092</v>
      </c>
      <c r="D1768" t="inlineStr">
        <is>
          <t>VÄRMLANDS LÄN</t>
        </is>
      </c>
      <c r="E1768" t="inlineStr">
        <is>
          <t>TORSBY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53748-2024</t>
        </is>
      </c>
      <c r="B1769" s="1" t="n">
        <v>45615.48322916667</v>
      </c>
      <c r="C1769" s="1" t="n">
        <v>46092</v>
      </c>
      <c r="D1769" t="inlineStr">
        <is>
          <t>VÄRMLANDS LÄN</t>
        </is>
      </c>
      <c r="E1769" t="inlineStr">
        <is>
          <t>TORSBY</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53358-2024</t>
        </is>
      </c>
      <c r="B1770" s="1" t="n">
        <v>45614</v>
      </c>
      <c r="C1770" s="1" t="n">
        <v>46092</v>
      </c>
      <c r="D1770" t="inlineStr">
        <is>
          <t>VÄRMLANDS LÄN</t>
        </is>
      </c>
      <c r="E1770" t="inlineStr">
        <is>
          <t>TORSBY</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44423-2024</t>
        </is>
      </c>
      <c r="B1771" s="1" t="n">
        <v>45573</v>
      </c>
      <c r="C1771" s="1" t="n">
        <v>46092</v>
      </c>
      <c r="D1771" t="inlineStr">
        <is>
          <t>VÄRMLANDS LÄN</t>
        </is>
      </c>
      <c r="E1771" t="inlineStr">
        <is>
          <t>TORSBY</t>
        </is>
      </c>
      <c r="G1771" t="n">
        <v>34.1</v>
      </c>
      <c r="H1771" t="n">
        <v>0</v>
      </c>
      <c r="I1771" t="n">
        <v>0</v>
      </c>
      <c r="J1771" t="n">
        <v>0</v>
      </c>
      <c r="K1771" t="n">
        <v>0</v>
      </c>
      <c r="L1771" t="n">
        <v>0</v>
      </c>
      <c r="M1771" t="n">
        <v>0</v>
      </c>
      <c r="N1771" t="n">
        <v>0</v>
      </c>
      <c r="O1771" t="n">
        <v>0</v>
      </c>
      <c r="P1771" t="n">
        <v>0</v>
      </c>
      <c r="Q1771" t="n">
        <v>0</v>
      </c>
      <c r="R1771" s="2" t="inlineStr"/>
    </row>
    <row r="1772" ht="15" customHeight="1">
      <c r="A1772" t="inlineStr">
        <is>
          <t>A 25579-2023</t>
        </is>
      </c>
      <c r="B1772" s="1" t="n">
        <v>45089.62266203704</v>
      </c>
      <c r="C1772" s="1" t="n">
        <v>46092</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7283-2023</t>
        </is>
      </c>
      <c r="B1773" s="1" t="n">
        <v>44970</v>
      </c>
      <c r="C1773" s="1" t="n">
        <v>46092</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54532-2023</t>
        </is>
      </c>
      <c r="B1774" s="1" t="n">
        <v>45233</v>
      </c>
      <c r="C1774" s="1" t="n">
        <v>46092</v>
      </c>
      <c r="D1774" t="inlineStr">
        <is>
          <t>VÄRMLANDS LÄN</t>
        </is>
      </c>
      <c r="E1774" t="inlineStr">
        <is>
          <t>TORSBY</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15899-2024</t>
        </is>
      </c>
      <c r="B1775" s="1" t="n">
        <v>45405.4034837963</v>
      </c>
      <c r="C1775" s="1" t="n">
        <v>46092</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13586-2023</t>
        </is>
      </c>
      <c r="B1776" s="1" t="n">
        <v>45006</v>
      </c>
      <c r="C1776" s="1" t="n">
        <v>46092</v>
      </c>
      <c r="D1776" t="inlineStr">
        <is>
          <t>VÄRMLANDS LÄN</t>
        </is>
      </c>
      <c r="E1776" t="inlineStr">
        <is>
          <t>TORSBY</t>
        </is>
      </c>
      <c r="F1776" t="inlineStr">
        <is>
          <t>Kommuner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62510-2023</t>
        </is>
      </c>
      <c r="B1777" s="1" t="n">
        <v>45268.61853009259</v>
      </c>
      <c r="C1777" s="1" t="n">
        <v>46092</v>
      </c>
      <c r="D1777" t="inlineStr">
        <is>
          <t>VÄRMLANDS LÄN</t>
        </is>
      </c>
      <c r="E1777" t="inlineStr">
        <is>
          <t>TORSBY</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15083-2024</t>
        </is>
      </c>
      <c r="B1778" s="1" t="n">
        <v>45399.63163194444</v>
      </c>
      <c r="C1778" s="1" t="n">
        <v>46092</v>
      </c>
      <c r="D1778" t="inlineStr">
        <is>
          <t>VÄRMLANDS LÄN</t>
        </is>
      </c>
      <c r="E1778" t="inlineStr">
        <is>
          <t>TORSBY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41022-2023</t>
        </is>
      </c>
      <c r="B1779" s="1" t="n">
        <v>45173</v>
      </c>
      <c r="C1779" s="1" t="n">
        <v>46092</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27115-2024</t>
        </is>
      </c>
      <c r="B1780" s="1" t="n">
        <v>45471</v>
      </c>
      <c r="C1780" s="1" t="n">
        <v>46092</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54609-2024</t>
        </is>
      </c>
      <c r="B1781" s="1" t="n">
        <v>45617</v>
      </c>
      <c r="C1781" s="1" t="n">
        <v>46092</v>
      </c>
      <c r="D1781" t="inlineStr">
        <is>
          <t>VÄRMLANDS LÄN</t>
        </is>
      </c>
      <c r="E1781" t="inlineStr">
        <is>
          <t>TORSBY</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67933-2021</t>
        </is>
      </c>
      <c r="B1782" s="1" t="n">
        <v>44525</v>
      </c>
      <c r="C1782" s="1" t="n">
        <v>46092</v>
      </c>
      <c r="D1782" t="inlineStr">
        <is>
          <t>VÄRMLANDS LÄN</t>
        </is>
      </c>
      <c r="E1782" t="inlineStr">
        <is>
          <t>TORSBY</t>
        </is>
      </c>
      <c r="F1782" t="inlineStr">
        <is>
          <t>Bergvik skog väst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34164-2024</t>
        </is>
      </c>
      <c r="B1783" s="1" t="n">
        <v>45524.41924768518</v>
      </c>
      <c r="C1783" s="1" t="n">
        <v>46092</v>
      </c>
      <c r="D1783" t="inlineStr">
        <is>
          <t>VÄRMLANDS LÄN</t>
        </is>
      </c>
      <c r="E1783" t="inlineStr">
        <is>
          <t>TORSBY</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4219-2024</t>
        </is>
      </c>
      <c r="B1784" s="1" t="n">
        <v>45324</v>
      </c>
      <c r="C1784" s="1" t="n">
        <v>46092</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13262-2024</t>
        </is>
      </c>
      <c r="B1785" s="1" t="n">
        <v>45386.59236111111</v>
      </c>
      <c r="C1785" s="1" t="n">
        <v>46092</v>
      </c>
      <c r="D1785" t="inlineStr">
        <is>
          <t>VÄRMLANDS LÄN</t>
        </is>
      </c>
      <c r="E1785" t="inlineStr">
        <is>
          <t>TORSBY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3223-2025</t>
        </is>
      </c>
      <c r="B1786" s="1" t="n">
        <v>45679</v>
      </c>
      <c r="C1786" s="1" t="n">
        <v>46092</v>
      </c>
      <c r="D1786" t="inlineStr">
        <is>
          <t>VÄRMLANDS LÄN</t>
        </is>
      </c>
      <c r="E1786" t="inlineStr">
        <is>
          <t>TORSBY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3226-2025</t>
        </is>
      </c>
      <c r="B1787" s="1" t="n">
        <v>45679.48003472222</v>
      </c>
      <c r="C1787" s="1" t="n">
        <v>46092</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60133-2023</t>
        </is>
      </c>
      <c r="B1788" s="1" t="n">
        <v>45258</v>
      </c>
      <c r="C1788" s="1" t="n">
        <v>46092</v>
      </c>
      <c r="D1788" t="inlineStr">
        <is>
          <t>VÄRMLANDS LÄN</t>
        </is>
      </c>
      <c r="E1788" t="inlineStr">
        <is>
          <t>TORSBY</t>
        </is>
      </c>
      <c r="F1788" t="inlineStr">
        <is>
          <t>Bergvik skog väst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7133-2023</t>
        </is>
      </c>
      <c r="B1789" s="1" t="n">
        <v>44970.43622685185</v>
      </c>
      <c r="C1789" s="1" t="n">
        <v>46092</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57393-2022</t>
        </is>
      </c>
      <c r="B1790" s="1" t="n">
        <v>44896.47630787037</v>
      </c>
      <c r="C1790" s="1" t="n">
        <v>46092</v>
      </c>
      <c r="D1790" t="inlineStr">
        <is>
          <t>VÄRMLANDS LÄN</t>
        </is>
      </c>
      <c r="E1790" t="inlineStr">
        <is>
          <t>TORSBY</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62258-2023</t>
        </is>
      </c>
      <c r="B1791" s="1" t="n">
        <v>45266</v>
      </c>
      <c r="C1791" s="1" t="n">
        <v>46092</v>
      </c>
      <c r="D1791" t="inlineStr">
        <is>
          <t>VÄRMLANDS LÄN</t>
        </is>
      </c>
      <c r="E1791" t="inlineStr">
        <is>
          <t>TORSBY</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19743-2025</t>
        </is>
      </c>
      <c r="B1792" s="1" t="n">
        <v>45771.37554398148</v>
      </c>
      <c r="C1792" s="1" t="n">
        <v>46092</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15022-2025</t>
        </is>
      </c>
      <c r="B1793" s="1" t="n">
        <v>45743</v>
      </c>
      <c r="C1793" s="1" t="n">
        <v>46092</v>
      </c>
      <c r="D1793" t="inlineStr">
        <is>
          <t>VÄRMLANDS LÄN</t>
        </is>
      </c>
      <c r="E1793" t="inlineStr">
        <is>
          <t>TORSBY</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11364-2023</t>
        </is>
      </c>
      <c r="B1794" s="1" t="n">
        <v>44993.43150462963</v>
      </c>
      <c r="C1794" s="1" t="n">
        <v>46092</v>
      </c>
      <c r="D1794" t="inlineStr">
        <is>
          <t>VÄRMLANDS LÄN</t>
        </is>
      </c>
      <c r="E1794" t="inlineStr">
        <is>
          <t>TORSBY</t>
        </is>
      </c>
      <c r="G1794" t="n">
        <v>31.9</v>
      </c>
      <c r="H1794" t="n">
        <v>0</v>
      </c>
      <c r="I1794" t="n">
        <v>0</v>
      </c>
      <c r="J1794" t="n">
        <v>0</v>
      </c>
      <c r="K1794" t="n">
        <v>0</v>
      </c>
      <c r="L1794" t="n">
        <v>0</v>
      </c>
      <c r="M1794" t="n">
        <v>0</v>
      </c>
      <c r="N1794" t="n">
        <v>0</v>
      </c>
      <c r="O1794" t="n">
        <v>0</v>
      </c>
      <c r="P1794" t="n">
        <v>0</v>
      </c>
      <c r="Q1794" t="n">
        <v>0</v>
      </c>
      <c r="R1794" s="2" t="inlineStr"/>
    </row>
    <row r="1795" ht="15" customHeight="1">
      <c r="A1795" t="inlineStr">
        <is>
          <t>A 46503-2024</t>
        </is>
      </c>
      <c r="B1795" s="1" t="n">
        <v>45582</v>
      </c>
      <c r="C1795" s="1" t="n">
        <v>46092</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14369-2025</t>
        </is>
      </c>
      <c r="B1796" s="1" t="n">
        <v>45741</v>
      </c>
      <c r="C1796" s="1" t="n">
        <v>46092</v>
      </c>
      <c r="D1796" t="inlineStr">
        <is>
          <t>VÄRMLANDS LÄN</t>
        </is>
      </c>
      <c r="E1796" t="inlineStr">
        <is>
          <t>TORSBY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54822-2023</t>
        </is>
      </c>
      <c r="B1797" s="1" t="n">
        <v>45229</v>
      </c>
      <c r="C1797" s="1" t="n">
        <v>46092</v>
      </c>
      <c r="D1797" t="inlineStr">
        <is>
          <t>VÄRMLANDS LÄN</t>
        </is>
      </c>
      <c r="E1797" t="inlineStr">
        <is>
          <t>TORSBY</t>
        </is>
      </c>
      <c r="F1797" t="inlineStr">
        <is>
          <t>Övriga Aktiebolag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36775-2024</t>
        </is>
      </c>
      <c r="B1798" s="1" t="n">
        <v>45538</v>
      </c>
      <c r="C1798" s="1" t="n">
        <v>46092</v>
      </c>
      <c r="D1798" t="inlineStr">
        <is>
          <t>VÄRMLANDS LÄN</t>
        </is>
      </c>
      <c r="E1798" t="inlineStr">
        <is>
          <t>TORSBY</t>
        </is>
      </c>
      <c r="F1798" t="inlineStr">
        <is>
          <t>Kyrkan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14730-2024</t>
        </is>
      </c>
      <c r="B1799" s="1" t="n">
        <v>45397.58518518518</v>
      </c>
      <c r="C1799" s="1" t="n">
        <v>46092</v>
      </c>
      <c r="D1799" t="inlineStr">
        <is>
          <t>VÄRMLANDS LÄN</t>
        </is>
      </c>
      <c r="E1799" t="inlineStr">
        <is>
          <t>TORSBY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36758-2024</t>
        </is>
      </c>
      <c r="B1800" s="1" t="n">
        <v>45538.35525462963</v>
      </c>
      <c r="C1800" s="1" t="n">
        <v>46092</v>
      </c>
      <c r="D1800" t="inlineStr">
        <is>
          <t>VÄRMLANDS LÄN</t>
        </is>
      </c>
      <c r="E1800" t="inlineStr">
        <is>
          <t>TORSBY</t>
        </is>
      </c>
      <c r="F1800" t="inlineStr">
        <is>
          <t>Kyrkan</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2390-2025</t>
        </is>
      </c>
      <c r="B1801" s="1" t="n">
        <v>45674.32071759259</v>
      </c>
      <c r="C1801" s="1" t="n">
        <v>46092</v>
      </c>
      <c r="D1801" t="inlineStr">
        <is>
          <t>VÄRMLANDS LÄN</t>
        </is>
      </c>
      <c r="E1801" t="inlineStr">
        <is>
          <t>TORSBY</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14613-2025</t>
        </is>
      </c>
      <c r="B1802" s="1" t="n">
        <v>45742.39615740741</v>
      </c>
      <c r="C1802" s="1" t="n">
        <v>46092</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37279-2022</t>
        </is>
      </c>
      <c r="B1803" s="1" t="n">
        <v>44807</v>
      </c>
      <c r="C1803" s="1" t="n">
        <v>46092</v>
      </c>
      <c r="D1803" t="inlineStr">
        <is>
          <t>VÄRMLANDS LÄN</t>
        </is>
      </c>
      <c r="E1803" t="inlineStr">
        <is>
          <t>TORSBY</t>
        </is>
      </c>
      <c r="G1803" t="n">
        <v>18.2</v>
      </c>
      <c r="H1803" t="n">
        <v>0</v>
      </c>
      <c r="I1803" t="n">
        <v>0</v>
      </c>
      <c r="J1803" t="n">
        <v>0</v>
      </c>
      <c r="K1803" t="n">
        <v>0</v>
      </c>
      <c r="L1803" t="n">
        <v>0</v>
      </c>
      <c r="M1803" t="n">
        <v>0</v>
      </c>
      <c r="N1803" t="n">
        <v>0</v>
      </c>
      <c r="O1803" t="n">
        <v>0</v>
      </c>
      <c r="P1803" t="n">
        <v>0</v>
      </c>
      <c r="Q1803" t="n">
        <v>0</v>
      </c>
      <c r="R1803" s="2" t="inlineStr"/>
    </row>
    <row r="1804" ht="15" customHeight="1">
      <c r="A1804" t="inlineStr">
        <is>
          <t>A 37340-2022</t>
        </is>
      </c>
      <c r="B1804" s="1" t="n">
        <v>44809</v>
      </c>
      <c r="C1804" s="1" t="n">
        <v>46092</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59236-2023</t>
        </is>
      </c>
      <c r="B1805" s="1" t="n">
        <v>45253</v>
      </c>
      <c r="C1805" s="1" t="n">
        <v>46092</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8022-2025</t>
        </is>
      </c>
      <c r="B1806" s="1" t="n">
        <v>45707.57733796296</v>
      </c>
      <c r="C1806" s="1" t="n">
        <v>46092</v>
      </c>
      <c r="D1806" t="inlineStr">
        <is>
          <t>VÄRMLANDS LÄN</t>
        </is>
      </c>
      <c r="E1806" t="inlineStr">
        <is>
          <t>TORSBY</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36184-2024</t>
        </is>
      </c>
      <c r="B1807" s="1" t="n">
        <v>45534.4178125</v>
      </c>
      <c r="C1807" s="1" t="n">
        <v>46092</v>
      </c>
      <c r="D1807" t="inlineStr">
        <is>
          <t>VÄRMLANDS LÄN</t>
        </is>
      </c>
      <c r="E1807" t="inlineStr">
        <is>
          <t>TORSBY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14801-2025</t>
        </is>
      </c>
      <c r="B1808" s="1" t="n">
        <v>45743</v>
      </c>
      <c r="C1808" s="1" t="n">
        <v>46092</v>
      </c>
      <c r="D1808" t="inlineStr">
        <is>
          <t>VÄRMLANDS LÄN</t>
        </is>
      </c>
      <c r="E1808" t="inlineStr">
        <is>
          <t>TORSBY</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23818-2022</t>
        </is>
      </c>
      <c r="B1809" s="1" t="n">
        <v>44722</v>
      </c>
      <c r="C1809" s="1" t="n">
        <v>46092</v>
      </c>
      <c r="D1809" t="inlineStr">
        <is>
          <t>VÄRMLANDS LÄN</t>
        </is>
      </c>
      <c r="E1809" t="inlineStr">
        <is>
          <t>TORSBY</t>
        </is>
      </c>
      <c r="G1809" t="n">
        <v>23.5</v>
      </c>
      <c r="H1809" t="n">
        <v>0</v>
      </c>
      <c r="I1809" t="n">
        <v>0</v>
      </c>
      <c r="J1809" t="n">
        <v>0</v>
      </c>
      <c r="K1809" t="n">
        <v>0</v>
      </c>
      <c r="L1809" t="n">
        <v>0</v>
      </c>
      <c r="M1809" t="n">
        <v>0</v>
      </c>
      <c r="N1809" t="n">
        <v>0</v>
      </c>
      <c r="O1809" t="n">
        <v>0</v>
      </c>
      <c r="P1809" t="n">
        <v>0</v>
      </c>
      <c r="Q1809" t="n">
        <v>0</v>
      </c>
      <c r="R1809" s="2" t="inlineStr"/>
    </row>
    <row r="1810" ht="15" customHeight="1">
      <c r="A1810" t="inlineStr">
        <is>
          <t>A 17548-2023</t>
        </is>
      </c>
      <c r="B1810" s="1" t="n">
        <v>45036</v>
      </c>
      <c r="C1810" s="1" t="n">
        <v>46092</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65134-2023</t>
        </is>
      </c>
      <c r="B1811" s="1" t="n">
        <v>45288.52010416667</v>
      </c>
      <c r="C1811" s="1" t="n">
        <v>46092</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40573-2024</t>
        </is>
      </c>
      <c r="B1812" s="1" t="n">
        <v>45555.69518518518</v>
      </c>
      <c r="C1812" s="1" t="n">
        <v>46092</v>
      </c>
      <c r="D1812" t="inlineStr">
        <is>
          <t>VÄRMLANDS LÄN</t>
        </is>
      </c>
      <c r="E1812" t="inlineStr">
        <is>
          <t>TORSBY</t>
        </is>
      </c>
      <c r="F1812" t="inlineStr">
        <is>
          <t>Bergvik skog väst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502-2024</t>
        </is>
      </c>
      <c r="B1813" s="1" t="n">
        <v>45299</v>
      </c>
      <c r="C1813" s="1" t="n">
        <v>46092</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4302-2025</t>
        </is>
      </c>
      <c r="B1814" s="1" t="n">
        <v>45685.67939814815</v>
      </c>
      <c r="C1814" s="1" t="n">
        <v>46092</v>
      </c>
      <c r="D1814" t="inlineStr">
        <is>
          <t>VÄRMLANDS LÄN</t>
        </is>
      </c>
      <c r="E1814" t="inlineStr">
        <is>
          <t>TORSBY</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2797-2025</t>
        </is>
      </c>
      <c r="B1815" s="1" t="n">
        <v>45677</v>
      </c>
      <c r="C1815" s="1" t="n">
        <v>46092</v>
      </c>
      <c r="D1815" t="inlineStr">
        <is>
          <t>VÄRMLANDS LÄN</t>
        </is>
      </c>
      <c r="E1815" t="inlineStr">
        <is>
          <t>TORSBY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63158-2023</t>
        </is>
      </c>
      <c r="B1816" s="1" t="n">
        <v>45273.51715277778</v>
      </c>
      <c r="C1816" s="1" t="n">
        <v>46092</v>
      </c>
      <c r="D1816" t="inlineStr">
        <is>
          <t>VÄRMLANDS LÄN</t>
        </is>
      </c>
      <c r="E1816" t="inlineStr">
        <is>
          <t>TORSBY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34568-2022</t>
        </is>
      </c>
      <c r="B1817" s="1" t="n">
        <v>44795.28277777778</v>
      </c>
      <c r="C1817" s="1" t="n">
        <v>46092</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4516-2025</t>
        </is>
      </c>
      <c r="B1818" s="1" t="n">
        <v>45686.88212962963</v>
      </c>
      <c r="C1818" s="1" t="n">
        <v>46092</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4517-2025</t>
        </is>
      </c>
      <c r="B1819" s="1" t="n">
        <v>45686</v>
      </c>
      <c r="C1819" s="1" t="n">
        <v>46092</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25537-2022</t>
        </is>
      </c>
      <c r="B1820" s="1" t="n">
        <v>44732</v>
      </c>
      <c r="C1820" s="1" t="n">
        <v>46092</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57642-2023</t>
        </is>
      </c>
      <c r="B1821" s="1" t="n">
        <v>45246.5915625</v>
      </c>
      <c r="C1821" s="1" t="n">
        <v>46092</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58013-2023</t>
        </is>
      </c>
      <c r="B1822" s="1" t="n">
        <v>45247.62346064814</v>
      </c>
      <c r="C1822" s="1" t="n">
        <v>46092</v>
      </c>
      <c r="D1822" t="inlineStr">
        <is>
          <t>VÄRMLANDS LÄN</t>
        </is>
      </c>
      <c r="E1822" t="inlineStr">
        <is>
          <t>TORSBY</t>
        </is>
      </c>
      <c r="F1822" t="inlineStr">
        <is>
          <t>Bergvik skog väst AB</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36290-2022</t>
        </is>
      </c>
      <c r="B1823" s="1" t="n">
        <v>44803</v>
      </c>
      <c r="C1823" s="1" t="n">
        <v>46092</v>
      </c>
      <c r="D1823" t="inlineStr">
        <is>
          <t>VÄRMLANDS LÄN</t>
        </is>
      </c>
      <c r="E1823" t="inlineStr">
        <is>
          <t>TORSBY</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39075-2024</t>
        </is>
      </c>
      <c r="B1824" s="1" t="n">
        <v>45548</v>
      </c>
      <c r="C1824" s="1" t="n">
        <v>46092</v>
      </c>
      <c r="D1824" t="inlineStr">
        <is>
          <t>VÄRMLANDS LÄN</t>
        </is>
      </c>
      <c r="E1824" t="inlineStr">
        <is>
          <t>TORSBY</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40007-2023</t>
        </is>
      </c>
      <c r="B1825" s="1" t="n">
        <v>45168</v>
      </c>
      <c r="C1825" s="1" t="n">
        <v>46092</v>
      </c>
      <c r="D1825" t="inlineStr">
        <is>
          <t>VÄRMLANDS LÄN</t>
        </is>
      </c>
      <c r="E1825" t="inlineStr">
        <is>
          <t>TORSBY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7745-2023</t>
        </is>
      </c>
      <c r="B1826" s="1" t="n">
        <v>44973.35336805556</v>
      </c>
      <c r="C1826" s="1" t="n">
        <v>46092</v>
      </c>
      <c r="D1826" t="inlineStr">
        <is>
          <t>VÄRMLANDS LÄN</t>
        </is>
      </c>
      <c r="E1826" t="inlineStr">
        <is>
          <t>TORSBY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22826-2022</t>
        </is>
      </c>
      <c r="B1827" s="1" t="n">
        <v>44714</v>
      </c>
      <c r="C1827" s="1" t="n">
        <v>46092</v>
      </c>
      <c r="D1827" t="inlineStr">
        <is>
          <t>VÄRMLANDS LÄN</t>
        </is>
      </c>
      <c r="E1827" t="inlineStr">
        <is>
          <t>TORSBY</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34717-2024</t>
        </is>
      </c>
      <c r="B1828" s="1" t="n">
        <v>45526.56409722222</v>
      </c>
      <c r="C1828" s="1" t="n">
        <v>46092</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14304-2023</t>
        </is>
      </c>
      <c r="B1829" s="1" t="n">
        <v>45011.76541666667</v>
      </c>
      <c r="C1829" s="1" t="n">
        <v>46092</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33620-2024</t>
        </is>
      </c>
      <c r="B1830" s="1" t="n">
        <v>45520.41530092592</v>
      </c>
      <c r="C1830" s="1" t="n">
        <v>46092</v>
      </c>
      <c r="D1830" t="inlineStr">
        <is>
          <t>VÄRMLANDS LÄN</t>
        </is>
      </c>
      <c r="E1830" t="inlineStr">
        <is>
          <t>TORSBY</t>
        </is>
      </c>
      <c r="F1830" t="inlineStr">
        <is>
          <t>Bergvik skog väst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42613-2023</t>
        </is>
      </c>
      <c r="B1831" s="1" t="n">
        <v>45181</v>
      </c>
      <c r="C1831" s="1" t="n">
        <v>46092</v>
      </c>
      <c r="D1831" t="inlineStr">
        <is>
          <t>VÄRMLANDS LÄN</t>
        </is>
      </c>
      <c r="E1831" t="inlineStr">
        <is>
          <t>TORSBY</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40971-2023</t>
        </is>
      </c>
      <c r="B1832" s="1" t="n">
        <v>45173</v>
      </c>
      <c r="C1832" s="1" t="n">
        <v>46092</v>
      </c>
      <c r="D1832" t="inlineStr">
        <is>
          <t>VÄRMLANDS LÄN</t>
        </is>
      </c>
      <c r="E1832" t="inlineStr">
        <is>
          <t>TORSBY</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18314-2025</t>
        </is>
      </c>
      <c r="B1833" s="1" t="n">
        <v>45762.44986111111</v>
      </c>
      <c r="C1833" s="1" t="n">
        <v>46092</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34961-2024</t>
        </is>
      </c>
      <c r="B1834" s="1" t="n">
        <v>45527.48923611111</v>
      </c>
      <c r="C1834" s="1" t="n">
        <v>46092</v>
      </c>
      <c r="D1834" t="inlineStr">
        <is>
          <t>VÄRMLANDS LÄN</t>
        </is>
      </c>
      <c r="E1834" t="inlineStr">
        <is>
          <t>TORSBY</t>
        </is>
      </c>
      <c r="F1834" t="inlineStr">
        <is>
          <t>Bergvik skog väst AB</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39746-2024</t>
        </is>
      </c>
      <c r="B1835" s="1" t="n">
        <v>45552</v>
      </c>
      <c r="C1835" s="1" t="n">
        <v>46092</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15460-2022</t>
        </is>
      </c>
      <c r="B1836" s="1" t="n">
        <v>44661</v>
      </c>
      <c r="C1836" s="1" t="n">
        <v>46092</v>
      </c>
      <c r="D1836" t="inlineStr">
        <is>
          <t>VÄRMLANDS LÄN</t>
        </is>
      </c>
      <c r="E1836" t="inlineStr">
        <is>
          <t>TORSBY</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51987-2024</t>
        </is>
      </c>
      <c r="B1837" s="1" t="n">
        <v>45607</v>
      </c>
      <c r="C1837" s="1" t="n">
        <v>46092</v>
      </c>
      <c r="D1837" t="inlineStr">
        <is>
          <t>VÄRMLANDS LÄN</t>
        </is>
      </c>
      <c r="E1837" t="inlineStr">
        <is>
          <t>TORSBY</t>
        </is>
      </c>
      <c r="G1837" t="n">
        <v>17.7</v>
      </c>
      <c r="H1837" t="n">
        <v>0</v>
      </c>
      <c r="I1837" t="n">
        <v>0</v>
      </c>
      <c r="J1837" t="n">
        <v>0</v>
      </c>
      <c r="K1837" t="n">
        <v>0</v>
      </c>
      <c r="L1837" t="n">
        <v>0</v>
      </c>
      <c r="M1837" t="n">
        <v>0</v>
      </c>
      <c r="N1837" t="n">
        <v>0</v>
      </c>
      <c r="O1837" t="n">
        <v>0</v>
      </c>
      <c r="P1837" t="n">
        <v>0</v>
      </c>
      <c r="Q1837" t="n">
        <v>0</v>
      </c>
      <c r="R1837" s="2" t="inlineStr"/>
    </row>
    <row r="1838" ht="15" customHeight="1">
      <c r="A1838" t="inlineStr">
        <is>
          <t>A 57726-2022</t>
        </is>
      </c>
      <c r="B1838" s="1" t="n">
        <v>44897.56420138889</v>
      </c>
      <c r="C1838" s="1" t="n">
        <v>46092</v>
      </c>
      <c r="D1838" t="inlineStr">
        <is>
          <t>VÄRMLANDS LÄN</t>
        </is>
      </c>
      <c r="E1838" t="inlineStr">
        <is>
          <t>TORSBY</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20528-2023</t>
        </is>
      </c>
      <c r="B1839" s="1" t="n">
        <v>45057</v>
      </c>
      <c r="C1839" s="1" t="n">
        <v>46092</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18876-2023</t>
        </is>
      </c>
      <c r="B1840" s="1" t="n">
        <v>45044.50101851852</v>
      </c>
      <c r="C1840" s="1" t="n">
        <v>46092</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28624-2024</t>
        </is>
      </c>
      <c r="B1841" s="1" t="n">
        <v>45478.44297453704</v>
      </c>
      <c r="C1841" s="1" t="n">
        <v>46092</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11214-2024</t>
        </is>
      </c>
      <c r="B1842" s="1" t="n">
        <v>45371</v>
      </c>
      <c r="C1842" s="1" t="n">
        <v>46092</v>
      </c>
      <c r="D1842" t="inlineStr">
        <is>
          <t>VÄRMLANDS LÄN</t>
        </is>
      </c>
      <c r="E1842" t="inlineStr">
        <is>
          <t>TORSBY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43179-2023</t>
        </is>
      </c>
      <c r="B1843" s="1" t="n">
        <v>45183.37615740741</v>
      </c>
      <c r="C1843" s="1" t="n">
        <v>46092</v>
      </c>
      <c r="D1843" t="inlineStr">
        <is>
          <t>VÄRMLANDS LÄN</t>
        </is>
      </c>
      <c r="E1843" t="inlineStr">
        <is>
          <t>TORSBY</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2308-2024</t>
        </is>
      </c>
      <c r="B1844" s="1" t="n">
        <v>45310</v>
      </c>
      <c r="C1844" s="1" t="n">
        <v>46092</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46195-2023</t>
        </is>
      </c>
      <c r="B1845" s="1" t="n">
        <v>45196</v>
      </c>
      <c r="C1845" s="1" t="n">
        <v>46092</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18959-2024</t>
        </is>
      </c>
      <c r="B1846" s="1" t="n">
        <v>45427.53032407408</v>
      </c>
      <c r="C1846" s="1" t="n">
        <v>46092</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19630-2025</t>
        </is>
      </c>
      <c r="B1847" s="1" t="n">
        <v>45770.64239583333</v>
      </c>
      <c r="C1847" s="1" t="n">
        <v>46092</v>
      </c>
      <c r="D1847" t="inlineStr">
        <is>
          <t>VÄRMLANDS LÄN</t>
        </is>
      </c>
      <c r="E1847" t="inlineStr">
        <is>
          <t>TORSBY</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29921-2022</t>
        </is>
      </c>
      <c r="B1848" s="1" t="n">
        <v>44756</v>
      </c>
      <c r="C1848" s="1" t="n">
        <v>46092</v>
      </c>
      <c r="D1848" t="inlineStr">
        <is>
          <t>VÄRMLANDS LÄN</t>
        </is>
      </c>
      <c r="E1848" t="inlineStr">
        <is>
          <t>TORSBY</t>
        </is>
      </c>
      <c r="F1848" t="inlineStr">
        <is>
          <t>Kommuner</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64641-2023</t>
        </is>
      </c>
      <c r="B1849" s="1" t="n">
        <v>45281.55908564815</v>
      </c>
      <c r="C1849" s="1" t="n">
        <v>46092</v>
      </c>
      <c r="D1849" t="inlineStr">
        <is>
          <t>VÄRMLANDS LÄN</t>
        </is>
      </c>
      <c r="E1849" t="inlineStr">
        <is>
          <t>TORSBY</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11569-2025</t>
        </is>
      </c>
      <c r="B1850" s="1" t="n">
        <v>45727.37971064815</v>
      </c>
      <c r="C1850" s="1" t="n">
        <v>46092</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16427-2023</t>
        </is>
      </c>
      <c r="B1851" s="1" t="n">
        <v>45022</v>
      </c>
      <c r="C1851" s="1" t="n">
        <v>46092</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34434-2022</t>
        </is>
      </c>
      <c r="B1852" s="1" t="n">
        <v>44792</v>
      </c>
      <c r="C1852" s="1" t="n">
        <v>46092</v>
      </c>
      <c r="D1852" t="inlineStr">
        <is>
          <t>VÄRMLANDS LÄN</t>
        </is>
      </c>
      <c r="E1852" t="inlineStr">
        <is>
          <t>TORSBY</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7636-2024</t>
        </is>
      </c>
      <c r="B1853" s="1" t="n">
        <v>45348</v>
      </c>
      <c r="C1853" s="1" t="n">
        <v>46092</v>
      </c>
      <c r="D1853" t="inlineStr">
        <is>
          <t>VÄRMLANDS LÄN</t>
        </is>
      </c>
      <c r="E1853" t="inlineStr">
        <is>
          <t>TORSBY</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3590-2024</t>
        </is>
      </c>
      <c r="B1854" s="1" t="n">
        <v>45320</v>
      </c>
      <c r="C1854" s="1" t="n">
        <v>46092</v>
      </c>
      <c r="D1854" t="inlineStr">
        <is>
          <t>VÄRMLANDS LÄN</t>
        </is>
      </c>
      <c r="E1854" t="inlineStr">
        <is>
          <t>TORSBY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18258-2025</t>
        </is>
      </c>
      <c r="B1855" s="1" t="n">
        <v>45762.35762731481</v>
      </c>
      <c r="C1855" s="1" t="n">
        <v>46092</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37822-2023</t>
        </is>
      </c>
      <c r="B1856" s="1" t="n">
        <v>45160.30215277777</v>
      </c>
      <c r="C1856" s="1" t="n">
        <v>46092</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21825-2024</t>
        </is>
      </c>
      <c r="B1857" s="1" t="n">
        <v>45442</v>
      </c>
      <c r="C1857" s="1" t="n">
        <v>46092</v>
      </c>
      <c r="D1857" t="inlineStr">
        <is>
          <t>VÄRMLANDS LÄN</t>
        </is>
      </c>
      <c r="E1857" t="inlineStr">
        <is>
          <t>TORSBY</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20721-2023</t>
        </is>
      </c>
      <c r="B1858" s="1" t="n">
        <v>45058</v>
      </c>
      <c r="C1858" s="1" t="n">
        <v>46092</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16369-2024</t>
        </is>
      </c>
      <c r="B1859" s="1" t="n">
        <v>45407</v>
      </c>
      <c r="C1859" s="1" t="n">
        <v>46092</v>
      </c>
      <c r="D1859" t="inlineStr">
        <is>
          <t>VÄRMLANDS LÄN</t>
        </is>
      </c>
      <c r="E1859" t="inlineStr">
        <is>
          <t>TORSBY</t>
        </is>
      </c>
      <c r="F1859" t="inlineStr">
        <is>
          <t>Kommuner</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42615-2021</t>
        </is>
      </c>
      <c r="B1860" s="1" t="n">
        <v>44428</v>
      </c>
      <c r="C1860" s="1" t="n">
        <v>46092</v>
      </c>
      <c r="D1860" t="inlineStr">
        <is>
          <t>VÄRMLANDS LÄN</t>
        </is>
      </c>
      <c r="E1860" t="inlineStr">
        <is>
          <t>TORSBY</t>
        </is>
      </c>
      <c r="F1860" t="inlineStr">
        <is>
          <t>Bergvik skog väst AB</t>
        </is>
      </c>
      <c r="G1860" t="n">
        <v>37.2</v>
      </c>
      <c r="H1860" t="n">
        <v>0</v>
      </c>
      <c r="I1860" t="n">
        <v>0</v>
      </c>
      <c r="J1860" t="n">
        <v>0</v>
      </c>
      <c r="K1860" t="n">
        <v>0</v>
      </c>
      <c r="L1860" t="n">
        <v>0</v>
      </c>
      <c r="M1860" t="n">
        <v>0</v>
      </c>
      <c r="N1860" t="n">
        <v>0</v>
      </c>
      <c r="O1860" t="n">
        <v>0</v>
      </c>
      <c r="P1860" t="n">
        <v>0</v>
      </c>
      <c r="Q1860" t="n">
        <v>0</v>
      </c>
      <c r="R1860" s="2" t="inlineStr"/>
    </row>
    <row r="1861" ht="15" customHeight="1">
      <c r="A1861" t="inlineStr">
        <is>
          <t>A 18337-2024</t>
        </is>
      </c>
      <c r="B1861" s="1" t="n">
        <v>45422</v>
      </c>
      <c r="C1861" s="1" t="n">
        <v>46092</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43111-2022</t>
        </is>
      </c>
      <c r="B1862" s="1" t="n">
        <v>44833</v>
      </c>
      <c r="C1862" s="1" t="n">
        <v>46092</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392-2025</t>
        </is>
      </c>
      <c r="B1863" s="1" t="n">
        <v>45663.35111111111</v>
      </c>
      <c r="C1863" s="1" t="n">
        <v>46092</v>
      </c>
      <c r="D1863" t="inlineStr">
        <is>
          <t>VÄRMLANDS LÄN</t>
        </is>
      </c>
      <c r="E1863" t="inlineStr">
        <is>
          <t>TORSBY</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19964-2025</t>
        </is>
      </c>
      <c r="B1864" s="1" t="n">
        <v>45771.67315972222</v>
      </c>
      <c r="C1864" s="1" t="n">
        <v>46092</v>
      </c>
      <c r="D1864" t="inlineStr">
        <is>
          <t>VÄRMLANDS LÄN</t>
        </is>
      </c>
      <c r="E1864" t="inlineStr">
        <is>
          <t>TORSBY</t>
        </is>
      </c>
      <c r="F1864" t="inlineStr">
        <is>
          <t>Bergvik skog väst AB</t>
        </is>
      </c>
      <c r="G1864" t="n">
        <v>23.8</v>
      </c>
      <c r="H1864" t="n">
        <v>0</v>
      </c>
      <c r="I1864" t="n">
        <v>0</v>
      </c>
      <c r="J1864" t="n">
        <v>0</v>
      </c>
      <c r="K1864" t="n">
        <v>0</v>
      </c>
      <c r="L1864" t="n">
        <v>0</v>
      </c>
      <c r="M1864" t="n">
        <v>0</v>
      </c>
      <c r="N1864" t="n">
        <v>0</v>
      </c>
      <c r="O1864" t="n">
        <v>0</v>
      </c>
      <c r="P1864" t="n">
        <v>0</v>
      </c>
      <c r="Q1864" t="n">
        <v>0</v>
      </c>
      <c r="R1864" s="2" t="inlineStr"/>
    </row>
    <row r="1865" ht="15" customHeight="1">
      <c r="A1865" t="inlineStr">
        <is>
          <t>A 27273-2024</t>
        </is>
      </c>
      <c r="B1865" s="1" t="n">
        <v>45471.84013888889</v>
      </c>
      <c r="C1865" s="1" t="n">
        <v>46092</v>
      </c>
      <c r="D1865" t="inlineStr">
        <is>
          <t>VÄRMLANDS LÄN</t>
        </is>
      </c>
      <c r="E1865" t="inlineStr">
        <is>
          <t>TORSBY</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27275-2024</t>
        </is>
      </c>
      <c r="B1866" s="1" t="n">
        <v>45471.85645833334</v>
      </c>
      <c r="C1866" s="1" t="n">
        <v>46092</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1947-2023</t>
        </is>
      </c>
      <c r="B1867" s="1" t="n">
        <v>44939</v>
      </c>
      <c r="C1867" s="1" t="n">
        <v>46092</v>
      </c>
      <c r="D1867" t="inlineStr">
        <is>
          <t>VÄRMLANDS LÄN</t>
        </is>
      </c>
      <c r="E1867" t="inlineStr">
        <is>
          <t>TORSBY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60537-2024</t>
        </is>
      </c>
      <c r="B1868" s="1" t="n">
        <v>45643.77138888889</v>
      </c>
      <c r="C1868" s="1" t="n">
        <v>46092</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44342-2024</t>
        </is>
      </c>
      <c r="B1869" s="1" t="n">
        <v>45573.61793981482</v>
      </c>
      <c r="C1869" s="1" t="n">
        <v>46092</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52809-2024</t>
        </is>
      </c>
      <c r="B1870" s="1" t="n">
        <v>45610</v>
      </c>
      <c r="C1870" s="1" t="n">
        <v>46092</v>
      </c>
      <c r="D1870" t="inlineStr">
        <is>
          <t>VÄRMLANDS LÄN</t>
        </is>
      </c>
      <c r="E1870" t="inlineStr">
        <is>
          <t>TORSBY</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10979-2025</t>
        </is>
      </c>
      <c r="B1871" s="1" t="n">
        <v>45723.39988425926</v>
      </c>
      <c r="C1871" s="1" t="n">
        <v>46092</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27292-2024</t>
        </is>
      </c>
      <c r="B1872" s="1" t="n">
        <v>45471.93378472222</v>
      </c>
      <c r="C1872" s="1" t="n">
        <v>46092</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53044-2024</t>
        </is>
      </c>
      <c r="B1873" s="1" t="n">
        <v>45611.44701388889</v>
      </c>
      <c r="C1873" s="1" t="n">
        <v>46092</v>
      </c>
      <c r="D1873" t="inlineStr">
        <is>
          <t>VÄRMLANDS LÄN</t>
        </is>
      </c>
      <c r="E1873" t="inlineStr">
        <is>
          <t>TORSBY</t>
        </is>
      </c>
      <c r="F1873" t="inlineStr">
        <is>
          <t>Kyrkan</t>
        </is>
      </c>
      <c r="G1873" t="n">
        <v>25.8</v>
      </c>
      <c r="H1873" t="n">
        <v>0</v>
      </c>
      <c r="I1873" t="n">
        <v>0</v>
      </c>
      <c r="J1873" t="n">
        <v>0</v>
      </c>
      <c r="K1873" t="n">
        <v>0</v>
      </c>
      <c r="L1873" t="n">
        <v>0</v>
      </c>
      <c r="M1873" t="n">
        <v>0</v>
      </c>
      <c r="N1873" t="n">
        <v>0</v>
      </c>
      <c r="O1873" t="n">
        <v>0</v>
      </c>
      <c r="P1873" t="n">
        <v>0</v>
      </c>
      <c r="Q1873" t="n">
        <v>0</v>
      </c>
      <c r="R1873" s="2" t="inlineStr"/>
    </row>
    <row r="1874" ht="15" customHeight="1">
      <c r="A1874" t="inlineStr">
        <is>
          <t>A 17039-2025</t>
        </is>
      </c>
      <c r="B1874" s="1" t="n">
        <v>45754</v>
      </c>
      <c r="C1874" s="1" t="n">
        <v>46092</v>
      </c>
      <c r="D1874" t="inlineStr">
        <is>
          <t>VÄRMLANDS LÄN</t>
        </is>
      </c>
      <c r="E1874" t="inlineStr">
        <is>
          <t>TORSBY</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17062-2025</t>
        </is>
      </c>
      <c r="B1875" s="1" t="n">
        <v>45754</v>
      </c>
      <c r="C1875" s="1" t="n">
        <v>46092</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11575-2024</t>
        </is>
      </c>
      <c r="B1876" s="1" t="n">
        <v>45373</v>
      </c>
      <c r="C1876" s="1" t="n">
        <v>46092</v>
      </c>
      <c r="D1876" t="inlineStr">
        <is>
          <t>VÄRMLANDS LÄN</t>
        </is>
      </c>
      <c r="E1876" t="inlineStr">
        <is>
          <t>TORSBY</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39642-2021</t>
        </is>
      </c>
      <c r="B1877" s="1" t="n">
        <v>44417</v>
      </c>
      <c r="C1877" s="1" t="n">
        <v>46092</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14945-2023</t>
        </is>
      </c>
      <c r="B1878" s="1" t="n">
        <v>45014</v>
      </c>
      <c r="C1878" s="1" t="n">
        <v>46092</v>
      </c>
      <c r="D1878" t="inlineStr">
        <is>
          <t>VÄRMLANDS LÄN</t>
        </is>
      </c>
      <c r="E1878" t="inlineStr">
        <is>
          <t>TORSBY</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55100-2023</t>
        </is>
      </c>
      <c r="B1879" s="1" t="n">
        <v>45237.45715277778</v>
      </c>
      <c r="C1879" s="1" t="n">
        <v>46092</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59423-2024</t>
        </is>
      </c>
      <c r="B1880" s="1" t="n">
        <v>45638</v>
      </c>
      <c r="C1880" s="1" t="n">
        <v>46092</v>
      </c>
      <c r="D1880" t="inlineStr">
        <is>
          <t>VÄRMLANDS LÄN</t>
        </is>
      </c>
      <c r="E1880" t="inlineStr">
        <is>
          <t>TORSBY</t>
        </is>
      </c>
      <c r="G1880" t="n">
        <v>23.7</v>
      </c>
      <c r="H1880" t="n">
        <v>0</v>
      </c>
      <c r="I1880" t="n">
        <v>0</v>
      </c>
      <c r="J1880" t="n">
        <v>0</v>
      </c>
      <c r="K1880" t="n">
        <v>0</v>
      </c>
      <c r="L1880" t="n">
        <v>0</v>
      </c>
      <c r="M1880" t="n">
        <v>0</v>
      </c>
      <c r="N1880" t="n">
        <v>0</v>
      </c>
      <c r="O1880" t="n">
        <v>0</v>
      </c>
      <c r="P1880" t="n">
        <v>0</v>
      </c>
      <c r="Q1880" t="n">
        <v>0</v>
      </c>
      <c r="R1880" s="2" t="inlineStr"/>
    </row>
    <row r="1881" ht="15" customHeight="1">
      <c r="A1881" t="inlineStr">
        <is>
          <t>A 27086-2024</t>
        </is>
      </c>
      <c r="B1881" s="1" t="n">
        <v>45471</v>
      </c>
      <c r="C1881" s="1" t="n">
        <v>46092</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15274-2024</t>
        </is>
      </c>
      <c r="B1882" s="1" t="n">
        <v>45400.58201388889</v>
      </c>
      <c r="C1882" s="1" t="n">
        <v>46092</v>
      </c>
      <c r="D1882" t="inlineStr">
        <is>
          <t>VÄRMLANDS LÄN</t>
        </is>
      </c>
      <c r="E1882" t="inlineStr">
        <is>
          <t>TORSBY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34966-2024</t>
        </is>
      </c>
      <c r="B1883" s="1" t="n">
        <v>45527.49600694444</v>
      </c>
      <c r="C1883" s="1" t="n">
        <v>46092</v>
      </c>
      <c r="D1883" t="inlineStr">
        <is>
          <t>VÄRMLANDS LÄN</t>
        </is>
      </c>
      <c r="E1883" t="inlineStr">
        <is>
          <t>TORSBY</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44670-2023</t>
        </is>
      </c>
      <c r="B1884" s="1" t="n">
        <v>45189</v>
      </c>
      <c r="C1884" s="1" t="n">
        <v>46092</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44710-2023</t>
        </is>
      </c>
      <c r="B1885" s="1" t="n">
        <v>45190</v>
      </c>
      <c r="C1885" s="1" t="n">
        <v>46092</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16488-2024</t>
        </is>
      </c>
      <c r="B1886" s="1" t="n">
        <v>45408.34597222223</v>
      </c>
      <c r="C1886" s="1" t="n">
        <v>46092</v>
      </c>
      <c r="D1886" t="inlineStr">
        <is>
          <t>VÄRMLANDS LÄN</t>
        </is>
      </c>
      <c r="E1886" t="inlineStr">
        <is>
          <t>TORSBY</t>
        </is>
      </c>
      <c r="F1886" t="inlineStr">
        <is>
          <t>Bergvik skog väst AB</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16592-2024</t>
        </is>
      </c>
      <c r="B1887" s="1" t="n">
        <v>45408.49623842593</v>
      </c>
      <c r="C1887" s="1" t="n">
        <v>46092</v>
      </c>
      <c r="D1887" t="inlineStr">
        <is>
          <t>VÄRMLANDS LÄN</t>
        </is>
      </c>
      <c r="E1887" t="inlineStr">
        <is>
          <t>TORSBY</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54014-2024</t>
        </is>
      </c>
      <c r="B1888" s="1" t="n">
        <v>45616.38003472222</v>
      </c>
      <c r="C1888" s="1" t="n">
        <v>46092</v>
      </c>
      <c r="D1888" t="inlineStr">
        <is>
          <t>VÄRMLANDS LÄN</t>
        </is>
      </c>
      <c r="E1888" t="inlineStr">
        <is>
          <t>TORSBY</t>
        </is>
      </c>
      <c r="F1888" t="inlineStr">
        <is>
          <t>Kommuner</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44448-2024</t>
        </is>
      </c>
      <c r="B1889" s="1" t="n">
        <v>45574</v>
      </c>
      <c r="C1889" s="1" t="n">
        <v>46092</v>
      </c>
      <c r="D1889" t="inlineStr">
        <is>
          <t>VÄRMLANDS LÄN</t>
        </is>
      </c>
      <c r="E1889" t="inlineStr">
        <is>
          <t>TORSBY</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739-2022</t>
        </is>
      </c>
      <c r="B1890" s="1" t="n">
        <v>44568</v>
      </c>
      <c r="C1890" s="1" t="n">
        <v>46092</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36318-2022</t>
        </is>
      </c>
      <c r="B1891" s="1" t="n">
        <v>44803</v>
      </c>
      <c r="C1891" s="1" t="n">
        <v>46092</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50380-2024</t>
        </is>
      </c>
      <c r="B1892" s="1" t="n">
        <v>45601.30582175926</v>
      </c>
      <c r="C1892" s="1" t="n">
        <v>46092</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32444-2022</t>
        </is>
      </c>
      <c r="B1893" s="1" t="n">
        <v>44782</v>
      </c>
      <c r="C1893" s="1" t="n">
        <v>46092</v>
      </c>
      <c r="D1893" t="inlineStr">
        <is>
          <t>VÄRMLANDS LÄN</t>
        </is>
      </c>
      <c r="E1893" t="inlineStr">
        <is>
          <t>TORSBY</t>
        </is>
      </c>
      <c r="F1893" t="inlineStr">
        <is>
          <t>Bergvik skog väst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15773-2023</t>
        </is>
      </c>
      <c r="B1894" s="1" t="n">
        <v>45021</v>
      </c>
      <c r="C1894" s="1" t="n">
        <v>46092</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15992-2023</t>
        </is>
      </c>
      <c r="B1895" s="1" t="n">
        <v>45023.5066087963</v>
      </c>
      <c r="C1895" s="1" t="n">
        <v>46092</v>
      </c>
      <c r="D1895" t="inlineStr">
        <is>
          <t>VÄRMLANDS LÄN</t>
        </is>
      </c>
      <c r="E1895" t="inlineStr">
        <is>
          <t>TORSBY</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16044-2023</t>
        </is>
      </c>
      <c r="B1896" s="1" t="n">
        <v>45027</v>
      </c>
      <c r="C1896" s="1" t="n">
        <v>46092</v>
      </c>
      <c r="D1896" t="inlineStr">
        <is>
          <t>VÄRMLANDS LÄN</t>
        </is>
      </c>
      <c r="E1896" t="inlineStr">
        <is>
          <t>TORSBY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10288-2025</t>
        </is>
      </c>
      <c r="B1897" s="1" t="n">
        <v>45720.41396990741</v>
      </c>
      <c r="C1897" s="1" t="n">
        <v>46092</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14367-2025</t>
        </is>
      </c>
      <c r="B1898" s="1" t="n">
        <v>45741.38988425926</v>
      </c>
      <c r="C1898" s="1" t="n">
        <v>46092</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36050-2023</t>
        </is>
      </c>
      <c r="B1899" s="1" t="n">
        <v>45149</v>
      </c>
      <c r="C1899" s="1" t="n">
        <v>46092</v>
      </c>
      <c r="D1899" t="inlineStr">
        <is>
          <t>VÄRMLANDS LÄN</t>
        </is>
      </c>
      <c r="E1899" t="inlineStr">
        <is>
          <t>TORSBY</t>
        </is>
      </c>
      <c r="F1899" t="inlineStr">
        <is>
          <t>Kommuner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11187-2024</t>
        </is>
      </c>
      <c r="B1900" s="1" t="n">
        <v>45371</v>
      </c>
      <c r="C1900" s="1" t="n">
        <v>46092</v>
      </c>
      <c r="D1900" t="inlineStr">
        <is>
          <t>VÄRMLANDS LÄN</t>
        </is>
      </c>
      <c r="E1900" t="inlineStr">
        <is>
          <t>TORSBY</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67457-2021</t>
        </is>
      </c>
      <c r="B1901" s="1" t="n">
        <v>44524</v>
      </c>
      <c r="C1901" s="1" t="n">
        <v>46092</v>
      </c>
      <c r="D1901" t="inlineStr">
        <is>
          <t>VÄRMLANDS LÄN</t>
        </is>
      </c>
      <c r="E1901" t="inlineStr">
        <is>
          <t>TORSBY</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21308-2024</t>
        </is>
      </c>
      <c r="B1902" s="1" t="n">
        <v>45440</v>
      </c>
      <c r="C1902" s="1" t="n">
        <v>46092</v>
      </c>
      <c r="D1902" t="inlineStr">
        <is>
          <t>VÄRMLANDS LÄN</t>
        </is>
      </c>
      <c r="E1902" t="inlineStr">
        <is>
          <t>TORSBY</t>
        </is>
      </c>
      <c r="G1902" t="n">
        <v>18.9</v>
      </c>
      <c r="H1902" t="n">
        <v>0</v>
      </c>
      <c r="I1902" t="n">
        <v>0</v>
      </c>
      <c r="J1902" t="n">
        <v>0</v>
      </c>
      <c r="K1902" t="n">
        <v>0</v>
      </c>
      <c r="L1902" t="n">
        <v>0</v>
      </c>
      <c r="M1902" t="n">
        <v>0</v>
      </c>
      <c r="N1902" t="n">
        <v>0</v>
      </c>
      <c r="O1902" t="n">
        <v>0</v>
      </c>
      <c r="P1902" t="n">
        <v>0</v>
      </c>
      <c r="Q1902" t="n">
        <v>0</v>
      </c>
      <c r="R1902" s="2" t="inlineStr"/>
    </row>
    <row r="1903" ht="15" customHeight="1">
      <c r="A1903" t="inlineStr">
        <is>
          <t>A 9067-2023</t>
        </is>
      </c>
      <c r="B1903" s="1" t="n">
        <v>44979</v>
      </c>
      <c r="C1903" s="1" t="n">
        <v>46092</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19887-2024</t>
        </is>
      </c>
      <c r="B1904" s="1" t="n">
        <v>45433</v>
      </c>
      <c r="C1904" s="1" t="n">
        <v>46092</v>
      </c>
      <c r="D1904" t="inlineStr">
        <is>
          <t>VÄRMLANDS LÄN</t>
        </is>
      </c>
      <c r="E1904" t="inlineStr">
        <is>
          <t>TORSBY</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24965-2023</t>
        </is>
      </c>
      <c r="B1905" s="1" t="n">
        <v>45085</v>
      </c>
      <c r="C1905" s="1" t="n">
        <v>46092</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24969-2023</t>
        </is>
      </c>
      <c r="B1906" s="1" t="n">
        <v>45085.61429398148</v>
      </c>
      <c r="C1906" s="1" t="n">
        <v>46092</v>
      </c>
      <c r="D1906" t="inlineStr">
        <is>
          <t>VÄRMLANDS LÄN</t>
        </is>
      </c>
      <c r="E1906" t="inlineStr">
        <is>
          <t>TORSBY</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43137-2024</t>
        </is>
      </c>
      <c r="B1907" s="1" t="n">
        <v>45567</v>
      </c>
      <c r="C1907" s="1" t="n">
        <v>46092</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17554-2023</t>
        </is>
      </c>
      <c r="B1908" s="1" t="n">
        <v>45034</v>
      </c>
      <c r="C1908" s="1" t="n">
        <v>46092</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44150-2023</t>
        </is>
      </c>
      <c r="B1909" s="1" t="n">
        <v>45188.47791666666</v>
      </c>
      <c r="C1909" s="1" t="n">
        <v>46092</v>
      </c>
      <c r="D1909" t="inlineStr">
        <is>
          <t>VÄRMLANDS LÄN</t>
        </is>
      </c>
      <c r="E1909" t="inlineStr">
        <is>
          <t>TORSBY</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37081-2023</t>
        </is>
      </c>
      <c r="B1910" s="1" t="n">
        <v>45155</v>
      </c>
      <c r="C1910" s="1" t="n">
        <v>46092</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62507-2023</t>
        </is>
      </c>
      <c r="B1911" s="1" t="n">
        <v>45267</v>
      </c>
      <c r="C1911" s="1" t="n">
        <v>46092</v>
      </c>
      <c r="D1911" t="inlineStr">
        <is>
          <t>VÄRMLANDS LÄN</t>
        </is>
      </c>
      <c r="E1911" t="inlineStr">
        <is>
          <t>TORSBY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15087-2023</t>
        </is>
      </c>
      <c r="B1912" s="1" t="n">
        <v>45016</v>
      </c>
      <c r="C1912" s="1" t="n">
        <v>46092</v>
      </c>
      <c r="D1912" t="inlineStr">
        <is>
          <t>VÄRMLANDS LÄN</t>
        </is>
      </c>
      <c r="E1912" t="inlineStr">
        <is>
          <t>TORSBY</t>
        </is>
      </c>
      <c r="F1912" t="inlineStr">
        <is>
          <t>Bergvik skog väst AB</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20647-2024</t>
        </is>
      </c>
      <c r="B1913" s="1" t="n">
        <v>45436</v>
      </c>
      <c r="C1913" s="1" t="n">
        <v>46092</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17898-2023</t>
        </is>
      </c>
      <c r="B1914" s="1" t="n">
        <v>45039.72086805556</v>
      </c>
      <c r="C1914" s="1" t="n">
        <v>46092</v>
      </c>
      <c r="D1914" t="inlineStr">
        <is>
          <t>VÄRMLANDS LÄN</t>
        </is>
      </c>
      <c r="E1914" t="inlineStr">
        <is>
          <t>TORSBY</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13785-2023</t>
        </is>
      </c>
      <c r="B1915" s="1" t="n">
        <v>45007</v>
      </c>
      <c r="C1915" s="1" t="n">
        <v>46092</v>
      </c>
      <c r="D1915" t="inlineStr">
        <is>
          <t>VÄRMLANDS LÄN</t>
        </is>
      </c>
      <c r="E1915" t="inlineStr">
        <is>
          <t>TORSBY</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35134-2022</t>
        </is>
      </c>
      <c r="B1916" s="1" t="n">
        <v>44797</v>
      </c>
      <c r="C1916" s="1" t="n">
        <v>46092</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8048-2022</t>
        </is>
      </c>
      <c r="B1917" s="1" t="n">
        <v>44609</v>
      </c>
      <c r="C1917" s="1" t="n">
        <v>46092</v>
      </c>
      <c r="D1917" t="inlineStr">
        <is>
          <t>VÄRMLANDS LÄN</t>
        </is>
      </c>
      <c r="E1917" t="inlineStr">
        <is>
          <t>TORSBY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55794-2021</t>
        </is>
      </c>
      <c r="B1918" s="1" t="n">
        <v>44476</v>
      </c>
      <c r="C1918" s="1" t="n">
        <v>46092</v>
      </c>
      <c r="D1918" t="inlineStr">
        <is>
          <t>VÄRMLANDS LÄN</t>
        </is>
      </c>
      <c r="E1918" t="inlineStr">
        <is>
          <t>TORSBY</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41631-2024</t>
        </is>
      </c>
      <c r="B1919" s="1" t="n">
        <v>45560</v>
      </c>
      <c r="C1919" s="1" t="n">
        <v>46092</v>
      </c>
      <c r="D1919" t="inlineStr">
        <is>
          <t>VÄRMLANDS LÄN</t>
        </is>
      </c>
      <c r="E1919" t="inlineStr">
        <is>
          <t>TORSBY</t>
        </is>
      </c>
      <c r="F1919" t="inlineStr">
        <is>
          <t>Bergvik skog väst AB</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70658-2021</t>
        </is>
      </c>
      <c r="B1920" s="1" t="n">
        <v>44537.52368055555</v>
      </c>
      <c r="C1920" s="1" t="n">
        <v>46092</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1979-2023</t>
        </is>
      </c>
      <c r="B1921" s="1" t="n">
        <v>44939</v>
      </c>
      <c r="C1921" s="1" t="n">
        <v>46092</v>
      </c>
      <c r="D1921" t="inlineStr">
        <is>
          <t>VÄRMLANDS LÄN</t>
        </is>
      </c>
      <c r="E1921" t="inlineStr">
        <is>
          <t>TORSBY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46909-2024</t>
        </is>
      </c>
      <c r="B1922" s="1" t="n">
        <v>45583</v>
      </c>
      <c r="C1922" s="1" t="n">
        <v>46092</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26887-2024</t>
        </is>
      </c>
      <c r="B1923" s="1" t="n">
        <v>45470.64864583333</v>
      </c>
      <c r="C1923" s="1" t="n">
        <v>46092</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58727-2021</t>
        </is>
      </c>
      <c r="B1924" s="1" t="n">
        <v>44489.49052083334</v>
      </c>
      <c r="C1924" s="1" t="n">
        <v>46092</v>
      </c>
      <c r="D1924" t="inlineStr">
        <is>
          <t>VÄRMLANDS LÄN</t>
        </is>
      </c>
      <c r="E1924" t="inlineStr">
        <is>
          <t>TORSBY</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36700-2021</t>
        </is>
      </c>
      <c r="B1925" s="1" t="n">
        <v>44392</v>
      </c>
      <c r="C1925" s="1" t="n">
        <v>46092</v>
      </c>
      <c r="D1925" t="inlineStr">
        <is>
          <t>VÄRMLANDS LÄN</t>
        </is>
      </c>
      <c r="E1925" t="inlineStr">
        <is>
          <t>TORSBY</t>
        </is>
      </c>
      <c r="F1925" t="inlineStr">
        <is>
          <t>Bergvik skog väst AB</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25163-2023</t>
        </is>
      </c>
      <c r="B1926" s="1" t="n">
        <v>45086</v>
      </c>
      <c r="C1926" s="1" t="n">
        <v>46092</v>
      </c>
      <c r="D1926" t="inlineStr">
        <is>
          <t>VÄRMLANDS LÄN</t>
        </is>
      </c>
      <c r="E1926" t="inlineStr">
        <is>
          <t>TORSBY</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47651-2024</t>
        </is>
      </c>
      <c r="B1927" s="1" t="n">
        <v>45588</v>
      </c>
      <c r="C1927" s="1" t="n">
        <v>46092</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61367-2022</t>
        </is>
      </c>
      <c r="B1928" s="1" t="n">
        <v>44915.82997685186</v>
      </c>
      <c r="C1928" s="1" t="n">
        <v>46092</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30110-2023</t>
        </is>
      </c>
      <c r="B1929" s="1" t="n">
        <v>45110</v>
      </c>
      <c r="C1929" s="1" t="n">
        <v>46092</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44340-2022</t>
        </is>
      </c>
      <c r="B1930" s="1" t="n">
        <v>44838</v>
      </c>
      <c r="C1930" s="1" t="n">
        <v>46092</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49206-2022</t>
        </is>
      </c>
      <c r="B1931" s="1" t="n">
        <v>44860.95984953704</v>
      </c>
      <c r="C1931" s="1" t="n">
        <v>46092</v>
      </c>
      <c r="D1931" t="inlineStr">
        <is>
          <t>VÄRMLANDS LÄN</t>
        </is>
      </c>
      <c r="E1931" t="inlineStr">
        <is>
          <t>TORSBY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18101-2022</t>
        </is>
      </c>
      <c r="B1932" s="1" t="n">
        <v>44684</v>
      </c>
      <c r="C1932" s="1" t="n">
        <v>46092</v>
      </c>
      <c r="D1932" t="inlineStr">
        <is>
          <t>VÄRMLANDS LÄN</t>
        </is>
      </c>
      <c r="E1932" t="inlineStr">
        <is>
          <t>TORSBY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21076-2023</t>
        </is>
      </c>
      <c r="B1933" s="1" t="n">
        <v>45061</v>
      </c>
      <c r="C1933" s="1" t="n">
        <v>46092</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18244-2023</t>
        </is>
      </c>
      <c r="B1934" s="1" t="n">
        <v>45041</v>
      </c>
      <c r="C1934" s="1" t="n">
        <v>46092</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20968-2024</t>
        </is>
      </c>
      <c r="B1935" s="1" t="n">
        <v>45439</v>
      </c>
      <c r="C1935" s="1" t="n">
        <v>46092</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19148-2025</t>
        </is>
      </c>
      <c r="B1936" s="1" t="n">
        <v>45769</v>
      </c>
      <c r="C1936" s="1" t="n">
        <v>46092</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54452-2022</t>
        </is>
      </c>
      <c r="B1937" s="1" t="n">
        <v>44880</v>
      </c>
      <c r="C1937" s="1" t="n">
        <v>46092</v>
      </c>
      <c r="D1937" t="inlineStr">
        <is>
          <t>VÄRMLANDS LÄN</t>
        </is>
      </c>
      <c r="E1937" t="inlineStr">
        <is>
          <t>TORSBY</t>
        </is>
      </c>
      <c r="F1937" t="inlineStr">
        <is>
          <t>Kyrkan</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41843-2023</t>
        </is>
      </c>
      <c r="B1938" s="1" t="n">
        <v>45176.60533564815</v>
      </c>
      <c r="C1938" s="1" t="n">
        <v>46092</v>
      </c>
      <c r="D1938" t="inlineStr">
        <is>
          <t>VÄRMLANDS LÄN</t>
        </is>
      </c>
      <c r="E1938" t="inlineStr">
        <is>
          <t>TORSBY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41264-2022</t>
        </is>
      </c>
      <c r="B1939" s="1" t="n">
        <v>44823</v>
      </c>
      <c r="C1939" s="1" t="n">
        <v>46092</v>
      </c>
      <c r="D1939" t="inlineStr">
        <is>
          <t>VÄRMLANDS LÄN</t>
        </is>
      </c>
      <c r="E1939" t="inlineStr">
        <is>
          <t>TORSBY</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64902-2021</t>
        </is>
      </c>
      <c r="B1940" s="1" t="n">
        <v>44512.64336805556</v>
      </c>
      <c r="C1940" s="1" t="n">
        <v>46092</v>
      </c>
      <c r="D1940" t="inlineStr">
        <is>
          <t>VÄRMLANDS LÄN</t>
        </is>
      </c>
      <c r="E1940" t="inlineStr">
        <is>
          <t>TORSBY</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61546-2024</t>
        </is>
      </c>
      <c r="B1941" s="1" t="n">
        <v>45645</v>
      </c>
      <c r="C1941" s="1" t="n">
        <v>46092</v>
      </c>
      <c r="D1941" t="inlineStr">
        <is>
          <t>VÄRMLANDS LÄN</t>
        </is>
      </c>
      <c r="E1941" t="inlineStr">
        <is>
          <t>TORSBY</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276-2024</t>
        </is>
      </c>
      <c r="B1942" s="1" t="n">
        <v>45295</v>
      </c>
      <c r="C1942" s="1" t="n">
        <v>46092</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11135-2024</t>
        </is>
      </c>
      <c r="B1943" s="1" t="n">
        <v>45371</v>
      </c>
      <c r="C1943" s="1" t="n">
        <v>46092</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21258-2023</t>
        </is>
      </c>
      <c r="B1944" s="1" t="n">
        <v>45058</v>
      </c>
      <c r="C1944" s="1" t="n">
        <v>46092</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53988-2022</t>
        </is>
      </c>
      <c r="B1945" s="1" t="n">
        <v>44876</v>
      </c>
      <c r="C1945" s="1" t="n">
        <v>46092</v>
      </c>
      <c r="D1945" t="inlineStr">
        <is>
          <t>VÄRMLANDS LÄN</t>
        </is>
      </c>
      <c r="E1945" t="inlineStr">
        <is>
          <t>TORSBY</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61128-2022</t>
        </is>
      </c>
      <c r="B1946" s="1" t="n">
        <v>44915.4455787037</v>
      </c>
      <c r="C1946" s="1" t="n">
        <v>46092</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21390-2023</t>
        </is>
      </c>
      <c r="B1947" s="1" t="n">
        <v>45063</v>
      </c>
      <c r="C1947" s="1" t="n">
        <v>46092</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7215-2025</t>
        </is>
      </c>
      <c r="B1948" s="1" t="n">
        <v>45702</v>
      </c>
      <c r="C1948" s="1" t="n">
        <v>46092</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56101-2024</t>
        </is>
      </c>
      <c r="B1949" s="1" t="n">
        <v>45624</v>
      </c>
      <c r="C1949" s="1" t="n">
        <v>46092</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45849-2024</t>
        </is>
      </c>
      <c r="B1950" s="1" t="n">
        <v>45580</v>
      </c>
      <c r="C1950" s="1" t="n">
        <v>46092</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41781-2022</t>
        </is>
      </c>
      <c r="B1951" s="1" t="n">
        <v>44827.70537037037</v>
      </c>
      <c r="C1951" s="1" t="n">
        <v>46092</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3387-2025</t>
        </is>
      </c>
      <c r="B1952" s="1" t="n">
        <v>45680</v>
      </c>
      <c r="C1952" s="1" t="n">
        <v>46092</v>
      </c>
      <c r="D1952" t="inlineStr">
        <is>
          <t>VÄRMLANDS LÄN</t>
        </is>
      </c>
      <c r="E1952" t="inlineStr">
        <is>
          <t>TORSBY</t>
        </is>
      </c>
      <c r="F1952" t="inlineStr">
        <is>
          <t>Kommuner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55522-2023</t>
        </is>
      </c>
      <c r="B1953" s="1" t="n">
        <v>45238</v>
      </c>
      <c r="C1953" s="1" t="n">
        <v>46092</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44659-2024</t>
        </is>
      </c>
      <c r="B1954" s="1" t="n">
        <v>45574</v>
      </c>
      <c r="C1954" s="1" t="n">
        <v>46092</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26166-2024</t>
        </is>
      </c>
      <c r="B1955" s="1" t="n">
        <v>45468.55357638889</v>
      </c>
      <c r="C1955" s="1" t="n">
        <v>46092</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6828-2024</t>
        </is>
      </c>
      <c r="B1956" s="1" t="n">
        <v>45342</v>
      </c>
      <c r="C1956" s="1" t="n">
        <v>46092</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33268-2023</t>
        </is>
      </c>
      <c r="B1957" s="1" t="n">
        <v>45127.58094907407</v>
      </c>
      <c r="C1957" s="1" t="n">
        <v>46092</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50445-2023</t>
        </is>
      </c>
      <c r="B1958" s="1" t="n">
        <v>45216</v>
      </c>
      <c r="C1958" s="1" t="n">
        <v>46092</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22426-2024</t>
        </is>
      </c>
      <c r="B1959" s="1" t="n">
        <v>45446</v>
      </c>
      <c r="C1959" s="1" t="n">
        <v>46092</v>
      </c>
      <c r="D1959" t="inlineStr">
        <is>
          <t>VÄRMLANDS LÄN</t>
        </is>
      </c>
      <c r="E1959" t="inlineStr">
        <is>
          <t>TORSBY</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60454-2024</t>
        </is>
      </c>
      <c r="B1960" s="1" t="n">
        <v>45643</v>
      </c>
      <c r="C1960" s="1" t="n">
        <v>46092</v>
      </c>
      <c r="D1960" t="inlineStr">
        <is>
          <t>VÄRMLANDS LÄN</t>
        </is>
      </c>
      <c r="E1960" t="inlineStr">
        <is>
          <t>TORSBY</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60458-2024</t>
        </is>
      </c>
      <c r="B1961" s="1" t="n">
        <v>45643</v>
      </c>
      <c r="C1961" s="1" t="n">
        <v>46092</v>
      </c>
      <c r="D1961" t="inlineStr">
        <is>
          <t>VÄRMLANDS LÄN</t>
        </is>
      </c>
      <c r="E1961" t="inlineStr">
        <is>
          <t>TORSBY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10587-2024</t>
        </is>
      </c>
      <c r="B1962" s="1" t="n">
        <v>45366</v>
      </c>
      <c r="C1962" s="1" t="n">
        <v>46092</v>
      </c>
      <c r="D1962" t="inlineStr">
        <is>
          <t>VÄRMLANDS LÄN</t>
        </is>
      </c>
      <c r="E1962" t="inlineStr">
        <is>
          <t>TORSBY</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1095-2025</t>
        </is>
      </c>
      <c r="B1963" s="1" t="n">
        <v>45666.63681712963</v>
      </c>
      <c r="C1963" s="1" t="n">
        <v>46092</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53705-2021</t>
        </is>
      </c>
      <c r="B1964" s="1" t="n">
        <v>44469</v>
      </c>
      <c r="C1964" s="1" t="n">
        <v>46092</v>
      </c>
      <c r="D1964" t="inlineStr">
        <is>
          <t>VÄRMLANDS LÄN</t>
        </is>
      </c>
      <c r="E1964" t="inlineStr">
        <is>
          <t>TORSBY</t>
        </is>
      </c>
      <c r="F1964" t="inlineStr">
        <is>
          <t>Kyrkan</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53396-2024</t>
        </is>
      </c>
      <c r="B1965" s="1" t="n">
        <v>45614</v>
      </c>
      <c r="C1965" s="1" t="n">
        <v>46092</v>
      </c>
      <c r="D1965" t="inlineStr">
        <is>
          <t>VÄRMLANDS LÄN</t>
        </is>
      </c>
      <c r="E1965" t="inlineStr">
        <is>
          <t>TORSBY</t>
        </is>
      </c>
      <c r="F1965" t="inlineStr">
        <is>
          <t>Bergvik skog väst AB</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60781-2024</t>
        </is>
      </c>
      <c r="B1966" s="1" t="n">
        <v>45642</v>
      </c>
      <c r="C1966" s="1" t="n">
        <v>46092</v>
      </c>
      <c r="D1966" t="inlineStr">
        <is>
          <t>VÄRMLANDS LÄN</t>
        </is>
      </c>
      <c r="E1966" t="inlineStr">
        <is>
          <t>TORSBY</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21280-2024</t>
        </is>
      </c>
      <c r="B1967" s="1" t="n">
        <v>45440</v>
      </c>
      <c r="C1967" s="1" t="n">
        <v>46092</v>
      </c>
      <c r="D1967" t="inlineStr">
        <is>
          <t>VÄRMLANDS LÄN</t>
        </is>
      </c>
      <c r="E1967" t="inlineStr">
        <is>
          <t>TORSBY</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36327-2021</t>
        </is>
      </c>
      <c r="B1968" s="1" t="n">
        <v>44390</v>
      </c>
      <c r="C1968" s="1" t="n">
        <v>46092</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27346-2024</t>
        </is>
      </c>
      <c r="B1969" s="1" t="n">
        <v>45473.58984953703</v>
      </c>
      <c r="C1969" s="1" t="n">
        <v>46092</v>
      </c>
      <c r="D1969" t="inlineStr">
        <is>
          <t>VÄRMLANDS LÄN</t>
        </is>
      </c>
      <c r="E1969" t="inlineStr">
        <is>
          <t>TORSBY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27349-2024</t>
        </is>
      </c>
      <c r="B1970" s="1" t="n">
        <v>45473.65679398148</v>
      </c>
      <c r="C1970" s="1" t="n">
        <v>46092</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44532-2022</t>
        </is>
      </c>
      <c r="B1971" s="1" t="n">
        <v>44840</v>
      </c>
      <c r="C1971" s="1" t="n">
        <v>46092</v>
      </c>
      <c r="D1971" t="inlineStr">
        <is>
          <t>VÄRMLANDS LÄN</t>
        </is>
      </c>
      <c r="E1971" t="inlineStr">
        <is>
          <t>TORSBY</t>
        </is>
      </c>
      <c r="G1971" t="n">
        <v>12.3</v>
      </c>
      <c r="H1971" t="n">
        <v>0</v>
      </c>
      <c r="I1971" t="n">
        <v>0</v>
      </c>
      <c r="J1971" t="n">
        <v>0</v>
      </c>
      <c r="K1971" t="n">
        <v>0</v>
      </c>
      <c r="L1971" t="n">
        <v>0</v>
      </c>
      <c r="M1971" t="n">
        <v>0</v>
      </c>
      <c r="N1971" t="n">
        <v>0</v>
      </c>
      <c r="O1971" t="n">
        <v>0</v>
      </c>
      <c r="P1971" t="n">
        <v>0</v>
      </c>
      <c r="Q1971" t="n">
        <v>0</v>
      </c>
      <c r="R1971" s="2" t="inlineStr"/>
    </row>
    <row r="1972" ht="15" customHeight="1">
      <c r="A1972" t="inlineStr">
        <is>
          <t>A 16073-2024</t>
        </is>
      </c>
      <c r="B1972" s="1" t="n">
        <v>45406</v>
      </c>
      <c r="C1972" s="1" t="n">
        <v>46092</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1042-2024</t>
        </is>
      </c>
      <c r="B1973" s="1" t="n">
        <v>45301</v>
      </c>
      <c r="C1973" s="1" t="n">
        <v>46092</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48540-2024</t>
        </is>
      </c>
      <c r="B1974" s="1" t="n">
        <v>45593</v>
      </c>
      <c r="C1974" s="1" t="n">
        <v>46092</v>
      </c>
      <c r="D1974" t="inlineStr">
        <is>
          <t>VÄRMLANDS LÄN</t>
        </is>
      </c>
      <c r="E1974" t="inlineStr">
        <is>
          <t>TORSBY</t>
        </is>
      </c>
      <c r="G1974" t="n">
        <v>16.5</v>
      </c>
      <c r="H1974" t="n">
        <v>0</v>
      </c>
      <c r="I1974" t="n">
        <v>0</v>
      </c>
      <c r="J1974" t="n">
        <v>0</v>
      </c>
      <c r="K1974" t="n">
        <v>0</v>
      </c>
      <c r="L1974" t="n">
        <v>0</v>
      </c>
      <c r="M1974" t="n">
        <v>0</v>
      </c>
      <c r="N1974" t="n">
        <v>0</v>
      </c>
      <c r="O1974" t="n">
        <v>0</v>
      </c>
      <c r="P1974" t="n">
        <v>0</v>
      </c>
      <c r="Q1974" t="n">
        <v>0</v>
      </c>
      <c r="R1974" s="2" t="inlineStr"/>
    </row>
    <row r="1975" ht="15" customHeight="1">
      <c r="A1975" t="inlineStr">
        <is>
          <t>A 43060-2021</t>
        </is>
      </c>
      <c r="B1975" s="1" t="n">
        <v>44431</v>
      </c>
      <c r="C1975" s="1" t="n">
        <v>46092</v>
      </c>
      <c r="D1975" t="inlineStr">
        <is>
          <t>VÄRMLANDS LÄN</t>
        </is>
      </c>
      <c r="E1975" t="inlineStr">
        <is>
          <t>TORSBY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58948-2024</t>
        </is>
      </c>
      <c r="B1976" s="1" t="n">
        <v>45636</v>
      </c>
      <c r="C1976" s="1" t="n">
        <v>46092</v>
      </c>
      <c r="D1976" t="inlineStr">
        <is>
          <t>VÄRMLANDS LÄN</t>
        </is>
      </c>
      <c r="E1976" t="inlineStr">
        <is>
          <t>TORSBY</t>
        </is>
      </c>
      <c r="F1976" t="inlineStr">
        <is>
          <t>Bergvik skog väst AB</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18676-2025</t>
        </is>
      </c>
      <c r="B1977" s="1" t="n">
        <v>45763</v>
      </c>
      <c r="C1977" s="1" t="n">
        <v>46092</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46092</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55836-2024</t>
        </is>
      </c>
      <c r="B1979" s="1" t="n">
        <v>45623.49150462963</v>
      </c>
      <c r="C1979" s="1" t="n">
        <v>46092</v>
      </c>
      <c r="D1979" t="inlineStr">
        <is>
          <t>VÄRMLANDS LÄN</t>
        </is>
      </c>
      <c r="E1979" t="inlineStr">
        <is>
          <t>TORSBY</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37357-2023</t>
        </is>
      </c>
      <c r="B1980" s="1" t="n">
        <v>45156.48006944444</v>
      </c>
      <c r="C1980" s="1" t="n">
        <v>46092</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5763-2023</t>
        </is>
      </c>
      <c r="B1981" s="1" t="n">
        <v>44963.36383101852</v>
      </c>
      <c r="C1981" s="1" t="n">
        <v>46092</v>
      </c>
      <c r="D1981" t="inlineStr">
        <is>
          <t>VÄRMLANDS LÄN</t>
        </is>
      </c>
      <c r="E1981" t="inlineStr">
        <is>
          <t>TORSBY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38467-2021</t>
        </is>
      </c>
      <c r="B1982" s="1" t="n">
        <v>44405</v>
      </c>
      <c r="C1982" s="1" t="n">
        <v>46092</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46092</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9904-2024</t>
        </is>
      </c>
      <c r="B1984" s="1" t="n">
        <v>45363</v>
      </c>
      <c r="C1984" s="1" t="n">
        <v>46092</v>
      </c>
      <c r="D1984" t="inlineStr">
        <is>
          <t>VÄRMLANDS LÄN</t>
        </is>
      </c>
      <c r="E1984" t="inlineStr">
        <is>
          <t>TORSBY</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9908-2024</t>
        </is>
      </c>
      <c r="B1985" s="1" t="n">
        <v>45363</v>
      </c>
      <c r="C1985" s="1" t="n">
        <v>46092</v>
      </c>
      <c r="D1985" t="inlineStr">
        <is>
          <t>VÄRMLANDS LÄN</t>
        </is>
      </c>
      <c r="E1985" t="inlineStr">
        <is>
          <t>TORSBY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4585-2023</t>
        </is>
      </c>
      <c r="B1986" s="1" t="n">
        <v>44956.79790509259</v>
      </c>
      <c r="C1986" s="1" t="n">
        <v>46092</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29925-2024</t>
        </is>
      </c>
      <c r="B1987" s="1" t="n">
        <v>45488</v>
      </c>
      <c r="C1987" s="1" t="n">
        <v>46092</v>
      </c>
      <c r="D1987" t="inlineStr">
        <is>
          <t>VÄRMLANDS LÄN</t>
        </is>
      </c>
      <c r="E1987" t="inlineStr">
        <is>
          <t>TORSBY</t>
        </is>
      </c>
      <c r="F1987" t="inlineStr">
        <is>
          <t>Kyrkan</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15101-2024</t>
        </is>
      </c>
      <c r="B1988" s="1" t="n">
        <v>45399.66148148148</v>
      </c>
      <c r="C1988" s="1" t="n">
        <v>46092</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41253-2021</t>
        </is>
      </c>
      <c r="B1989" s="1" t="n">
        <v>44424</v>
      </c>
      <c r="C1989" s="1" t="n">
        <v>46092</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52669-2024</t>
        </is>
      </c>
      <c r="B1990" s="1" t="n">
        <v>45610</v>
      </c>
      <c r="C1990" s="1" t="n">
        <v>46092</v>
      </c>
      <c r="D1990" t="inlineStr">
        <is>
          <t>VÄRMLANDS LÄN</t>
        </is>
      </c>
      <c r="E1990" t="inlineStr">
        <is>
          <t>TORSBY</t>
        </is>
      </c>
      <c r="F1990" t="inlineStr">
        <is>
          <t>Kyrkan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23804-2022</t>
        </is>
      </c>
      <c r="B1991" s="1" t="n">
        <v>44722</v>
      </c>
      <c r="C1991" s="1" t="n">
        <v>46092</v>
      </c>
      <c r="D1991" t="inlineStr">
        <is>
          <t>VÄRMLANDS LÄN</t>
        </is>
      </c>
      <c r="E1991" t="inlineStr">
        <is>
          <t>TORSBY</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42457-2024</t>
        </is>
      </c>
      <c r="B1992" s="1" t="n">
        <v>45565.46346064815</v>
      </c>
      <c r="C1992" s="1" t="n">
        <v>46092</v>
      </c>
      <c r="D1992" t="inlineStr">
        <is>
          <t>VÄRMLANDS LÄN</t>
        </is>
      </c>
      <c r="E1992" t="inlineStr">
        <is>
          <t>TORSBY</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8728-2024</t>
        </is>
      </c>
      <c r="B1993" s="1" t="n">
        <v>45356.42799768518</v>
      </c>
      <c r="C1993" s="1" t="n">
        <v>46092</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39771-2024</t>
        </is>
      </c>
      <c r="B1994" s="1" t="n">
        <v>45552</v>
      </c>
      <c r="C1994" s="1" t="n">
        <v>46092</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71679-2021</t>
        </is>
      </c>
      <c r="B1995" s="1" t="n">
        <v>44543</v>
      </c>
      <c r="C1995" s="1" t="n">
        <v>46092</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22124-2022</t>
        </is>
      </c>
      <c r="B1996" s="1" t="n">
        <v>44712</v>
      </c>
      <c r="C1996" s="1" t="n">
        <v>46092</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22943-2023</t>
        </is>
      </c>
      <c r="B1997" s="1" t="n">
        <v>45072</v>
      </c>
      <c r="C1997" s="1" t="n">
        <v>46092</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38497-2024</t>
        </is>
      </c>
      <c r="B1998" s="1" t="n">
        <v>45546.51869212963</v>
      </c>
      <c r="C1998" s="1" t="n">
        <v>46092</v>
      </c>
      <c r="D1998" t="inlineStr">
        <is>
          <t>VÄRMLANDS LÄN</t>
        </is>
      </c>
      <c r="E1998" t="inlineStr">
        <is>
          <t>TORSBY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17931-2024</t>
        </is>
      </c>
      <c r="B1999" s="1" t="n">
        <v>45419</v>
      </c>
      <c r="C1999" s="1" t="n">
        <v>46092</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54006-2024</t>
        </is>
      </c>
      <c r="B2000" s="1" t="n">
        <v>45616.3717824074</v>
      </c>
      <c r="C2000" s="1" t="n">
        <v>46092</v>
      </c>
      <c r="D2000" t="inlineStr">
        <is>
          <t>VÄRMLANDS LÄN</t>
        </is>
      </c>
      <c r="E2000" t="inlineStr">
        <is>
          <t>TORSBY</t>
        </is>
      </c>
      <c r="F2000" t="inlineStr">
        <is>
          <t>Kommuner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32847-2024</t>
        </is>
      </c>
      <c r="B2001" s="1" t="n">
        <v>45516.63021990741</v>
      </c>
      <c r="C2001" s="1" t="n">
        <v>46092</v>
      </c>
      <c r="D2001" t="inlineStr">
        <is>
          <t>VÄRMLANDS LÄN</t>
        </is>
      </c>
      <c r="E2001" t="inlineStr">
        <is>
          <t>TORSBY</t>
        </is>
      </c>
      <c r="F2001" t="inlineStr">
        <is>
          <t>Bergvik skog väst AB</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8016-2023</t>
        </is>
      </c>
      <c r="B2002" s="1" t="n">
        <v>44973</v>
      </c>
      <c r="C2002" s="1" t="n">
        <v>46092</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68136-2021</t>
        </is>
      </c>
      <c r="B2003" s="1" t="n">
        <v>44526.40984953703</v>
      </c>
      <c r="C2003" s="1" t="n">
        <v>46092</v>
      </c>
      <c r="D2003" t="inlineStr">
        <is>
          <t>VÄRMLANDS LÄN</t>
        </is>
      </c>
      <c r="E2003" t="inlineStr">
        <is>
          <t>TORSBY</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40227-2024</t>
        </is>
      </c>
      <c r="B2004" s="1" t="n">
        <v>45554</v>
      </c>
      <c r="C2004" s="1" t="n">
        <v>46092</v>
      </c>
      <c r="D2004" t="inlineStr">
        <is>
          <t>VÄRMLANDS LÄN</t>
        </is>
      </c>
      <c r="E2004" t="inlineStr">
        <is>
          <t>TORSBY</t>
        </is>
      </c>
      <c r="F2004" t="inlineStr">
        <is>
          <t>Bergvik skog väst AB</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41501-2024</t>
        </is>
      </c>
      <c r="B2005" s="1" t="n">
        <v>45560</v>
      </c>
      <c r="C2005" s="1" t="n">
        <v>46092</v>
      </c>
      <c r="D2005" t="inlineStr">
        <is>
          <t>VÄRMLANDS LÄN</t>
        </is>
      </c>
      <c r="E2005" t="inlineStr">
        <is>
          <t>TORSBY</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3922-2024</t>
        </is>
      </c>
      <c r="B2006" s="1" t="n">
        <v>45322.57271990741</v>
      </c>
      <c r="C2006" s="1" t="n">
        <v>46092</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17944-2021</t>
        </is>
      </c>
      <c r="B2007" s="1" t="n">
        <v>44301</v>
      </c>
      <c r="C2007" s="1" t="n">
        <v>46092</v>
      </c>
      <c r="D2007" t="inlineStr">
        <is>
          <t>VÄRMLANDS LÄN</t>
        </is>
      </c>
      <c r="E2007" t="inlineStr">
        <is>
          <t>TORSBY</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27195-2023</t>
        </is>
      </c>
      <c r="B2008" s="1" t="n">
        <v>45096</v>
      </c>
      <c r="C2008" s="1" t="n">
        <v>46092</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60796-2024</t>
        </is>
      </c>
      <c r="B2009" s="1" t="n">
        <v>45642</v>
      </c>
      <c r="C2009" s="1" t="n">
        <v>46092</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18344-2021</t>
        </is>
      </c>
      <c r="B2010" s="1" t="n">
        <v>44305</v>
      </c>
      <c r="C2010" s="1" t="n">
        <v>46092</v>
      </c>
      <c r="D2010" t="inlineStr">
        <is>
          <t>VÄRMLANDS LÄN</t>
        </is>
      </c>
      <c r="E2010" t="inlineStr">
        <is>
          <t>TORSBY</t>
        </is>
      </c>
      <c r="F2010" t="inlineStr">
        <is>
          <t>Kommuner</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57990-2023</t>
        </is>
      </c>
      <c r="B2011" s="1" t="n">
        <v>45247.60293981482</v>
      </c>
      <c r="C2011" s="1" t="n">
        <v>46092</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27223-2022</t>
        </is>
      </c>
      <c r="B2012" s="1" t="n">
        <v>44741</v>
      </c>
      <c r="C2012" s="1" t="n">
        <v>46092</v>
      </c>
      <c r="D2012" t="inlineStr">
        <is>
          <t>VÄRMLANDS LÄN</t>
        </is>
      </c>
      <c r="E2012" t="inlineStr">
        <is>
          <t>TORSBY</t>
        </is>
      </c>
      <c r="F2012" t="inlineStr">
        <is>
          <t>Bergvik skog väst AB</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423-2024</t>
        </is>
      </c>
      <c r="B2013" s="1" t="n">
        <v>45296.53034722222</v>
      </c>
      <c r="C2013" s="1" t="n">
        <v>46092</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12365-2022</t>
        </is>
      </c>
      <c r="B2014" s="1" t="n">
        <v>44637.70670138889</v>
      </c>
      <c r="C2014" s="1" t="n">
        <v>46092</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58430-2023</t>
        </is>
      </c>
      <c r="B2015" s="1" t="n">
        <v>45250.80646990741</v>
      </c>
      <c r="C2015" s="1" t="n">
        <v>46092</v>
      </c>
      <c r="D2015" t="inlineStr">
        <is>
          <t>VÄRMLANDS LÄN</t>
        </is>
      </c>
      <c r="E2015" t="inlineStr">
        <is>
          <t>TORSBY</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27270-2024</t>
        </is>
      </c>
      <c r="B2016" s="1" t="n">
        <v>45471.81967592592</v>
      </c>
      <c r="C2016" s="1" t="n">
        <v>46092</v>
      </c>
      <c r="D2016" t="inlineStr">
        <is>
          <t>VÄRMLANDS LÄN</t>
        </is>
      </c>
      <c r="E2016" t="inlineStr">
        <is>
          <t>TORSBY</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40180-2024</t>
        </is>
      </c>
      <c r="B2017" s="1" t="n">
        <v>45554.55413194445</v>
      </c>
      <c r="C2017" s="1" t="n">
        <v>46092</v>
      </c>
      <c r="D2017" t="inlineStr">
        <is>
          <t>VÄRMLANDS LÄN</t>
        </is>
      </c>
      <c r="E2017" t="inlineStr">
        <is>
          <t>TORSBY</t>
        </is>
      </c>
      <c r="F2017" t="inlineStr">
        <is>
          <t>Bergvik skog väst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10584-2023</t>
        </is>
      </c>
      <c r="B2018" s="1" t="n">
        <v>44988.36736111111</v>
      </c>
      <c r="C2018" s="1" t="n">
        <v>46092</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42632-2023</t>
        </is>
      </c>
      <c r="B2019" s="1" t="n">
        <v>45181</v>
      </c>
      <c r="C2019" s="1" t="n">
        <v>46092</v>
      </c>
      <c r="D2019" t="inlineStr">
        <is>
          <t>VÄRMLANDS LÄN</t>
        </is>
      </c>
      <c r="E2019" t="inlineStr">
        <is>
          <t>TORSBY</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42635-2023</t>
        </is>
      </c>
      <c r="B2020" s="1" t="n">
        <v>45181.49310185185</v>
      </c>
      <c r="C2020" s="1" t="n">
        <v>46092</v>
      </c>
      <c r="D2020" t="inlineStr">
        <is>
          <t>VÄRMLANDS LÄN</t>
        </is>
      </c>
      <c r="E2020" t="inlineStr">
        <is>
          <t>TORSBY</t>
        </is>
      </c>
      <c r="G2020" t="n">
        <v>16.1</v>
      </c>
      <c r="H2020" t="n">
        <v>0</v>
      </c>
      <c r="I2020" t="n">
        <v>0</v>
      </c>
      <c r="J2020" t="n">
        <v>0</v>
      </c>
      <c r="K2020" t="n">
        <v>0</v>
      </c>
      <c r="L2020" t="n">
        <v>0</v>
      </c>
      <c r="M2020" t="n">
        <v>0</v>
      </c>
      <c r="N2020" t="n">
        <v>0</v>
      </c>
      <c r="O2020" t="n">
        <v>0</v>
      </c>
      <c r="P2020" t="n">
        <v>0</v>
      </c>
      <c r="Q2020" t="n">
        <v>0</v>
      </c>
      <c r="R2020" s="2" t="inlineStr"/>
    </row>
    <row r="2021" ht="15" customHeight="1">
      <c r="A2021" t="inlineStr">
        <is>
          <t>A 4510-2023</t>
        </is>
      </c>
      <c r="B2021" s="1" t="n">
        <v>44956.57528935185</v>
      </c>
      <c r="C2021" s="1" t="n">
        <v>46092</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33499-2024</t>
        </is>
      </c>
      <c r="B2022" s="1" t="n">
        <v>45519.62280092593</v>
      </c>
      <c r="C2022" s="1" t="n">
        <v>46092</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31052-2023</t>
        </is>
      </c>
      <c r="B2023" s="1" t="n">
        <v>45113</v>
      </c>
      <c r="C2023" s="1" t="n">
        <v>46092</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27358-2024</t>
        </is>
      </c>
      <c r="B2024" s="1" t="n">
        <v>45473.71635416667</v>
      </c>
      <c r="C2024" s="1" t="n">
        <v>46092</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27360-2024</t>
        </is>
      </c>
      <c r="B2025" s="1" t="n">
        <v>45473</v>
      </c>
      <c r="C2025" s="1" t="n">
        <v>46092</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39768-2024</t>
        </is>
      </c>
      <c r="B2026" s="1" t="n">
        <v>45552</v>
      </c>
      <c r="C2026" s="1" t="n">
        <v>46092</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31936-2023</t>
        </is>
      </c>
      <c r="B2027" s="1" t="n">
        <v>45107</v>
      </c>
      <c r="C2027" s="1" t="n">
        <v>46092</v>
      </c>
      <c r="D2027" t="inlineStr">
        <is>
          <t>VÄRMLANDS LÄN</t>
        </is>
      </c>
      <c r="E2027" t="inlineStr">
        <is>
          <t>TORSBY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54011-2024</t>
        </is>
      </c>
      <c r="B2028" s="1" t="n">
        <v>45616.37576388889</v>
      </c>
      <c r="C2028" s="1" t="n">
        <v>46092</v>
      </c>
      <c r="D2028" t="inlineStr">
        <is>
          <t>VÄRMLANDS LÄN</t>
        </is>
      </c>
      <c r="E2028" t="inlineStr">
        <is>
          <t>TORSBY</t>
        </is>
      </c>
      <c r="F2028" t="inlineStr">
        <is>
          <t>Kommuner</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54026-2024</t>
        </is>
      </c>
      <c r="B2029" s="1" t="n">
        <v>45616</v>
      </c>
      <c r="C2029" s="1" t="n">
        <v>46092</v>
      </c>
      <c r="D2029" t="inlineStr">
        <is>
          <t>VÄRMLANDS LÄN</t>
        </is>
      </c>
      <c r="E2029" t="inlineStr">
        <is>
          <t>TORSBY</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56509-2024</t>
        </is>
      </c>
      <c r="B2030" s="1" t="n">
        <v>45625</v>
      </c>
      <c r="C2030" s="1" t="n">
        <v>46092</v>
      </c>
      <c r="D2030" t="inlineStr">
        <is>
          <t>VÄRMLANDS LÄN</t>
        </is>
      </c>
      <c r="E2030" t="inlineStr">
        <is>
          <t>TORSBY</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54223-2023</t>
        </is>
      </c>
      <c r="B2031" s="1" t="n">
        <v>45232</v>
      </c>
      <c r="C2031" s="1" t="n">
        <v>46092</v>
      </c>
      <c r="D2031" t="inlineStr">
        <is>
          <t>VÄRMLANDS LÄN</t>
        </is>
      </c>
      <c r="E2031" t="inlineStr">
        <is>
          <t>TORSBY</t>
        </is>
      </c>
      <c r="F2031" t="inlineStr">
        <is>
          <t>Bergvik skog väst AB</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40157-2024</t>
        </is>
      </c>
      <c r="B2032" s="1" t="n">
        <v>45554</v>
      </c>
      <c r="C2032" s="1" t="n">
        <v>46092</v>
      </c>
      <c r="D2032" t="inlineStr">
        <is>
          <t>VÄRMLANDS LÄN</t>
        </is>
      </c>
      <c r="E2032" t="inlineStr">
        <is>
          <t>TORSBY</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56880-2023</t>
        </is>
      </c>
      <c r="B2033" s="1" t="n">
        <v>45244</v>
      </c>
      <c r="C2033" s="1" t="n">
        <v>46092</v>
      </c>
      <c r="D2033" t="inlineStr">
        <is>
          <t>VÄRMLANDS LÄN</t>
        </is>
      </c>
      <c r="E2033" t="inlineStr">
        <is>
          <t>TORSBY</t>
        </is>
      </c>
      <c r="F2033" t="inlineStr">
        <is>
          <t>Övriga Aktiebolag</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40207-2023</t>
        </is>
      </c>
      <c r="B2034" s="1" t="n">
        <v>45169.44604166667</v>
      </c>
      <c r="C2034" s="1" t="n">
        <v>46092</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55485-2023</t>
        </is>
      </c>
      <c r="B2035" s="1" t="n">
        <v>45238.52023148148</v>
      </c>
      <c r="C2035" s="1" t="n">
        <v>46092</v>
      </c>
      <c r="D2035" t="inlineStr">
        <is>
          <t>VÄRMLANDS LÄN</t>
        </is>
      </c>
      <c r="E2035" t="inlineStr">
        <is>
          <t>TORSBY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54714-2023</t>
        </is>
      </c>
      <c r="B2036" s="1" t="n">
        <v>45236.3515162037</v>
      </c>
      <c r="C2036" s="1" t="n">
        <v>46092</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21094-2022</t>
        </is>
      </c>
      <c r="B2037" s="1" t="n">
        <v>44704</v>
      </c>
      <c r="C2037" s="1" t="n">
        <v>46092</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50973-2023</t>
        </is>
      </c>
      <c r="B2038" s="1" t="n">
        <v>45218.50408564815</v>
      </c>
      <c r="C2038" s="1" t="n">
        <v>46092</v>
      </c>
      <c r="D2038" t="inlineStr">
        <is>
          <t>VÄRMLANDS LÄN</t>
        </is>
      </c>
      <c r="E2038" t="inlineStr">
        <is>
          <t>TORSBY</t>
        </is>
      </c>
      <c r="G2038" t="n">
        <v>10.7</v>
      </c>
      <c r="H2038" t="n">
        <v>0</v>
      </c>
      <c r="I2038" t="n">
        <v>0</v>
      </c>
      <c r="J2038" t="n">
        <v>0</v>
      </c>
      <c r="K2038" t="n">
        <v>0</v>
      </c>
      <c r="L2038" t="n">
        <v>0</v>
      </c>
      <c r="M2038" t="n">
        <v>0</v>
      </c>
      <c r="N2038" t="n">
        <v>0</v>
      </c>
      <c r="O2038" t="n">
        <v>0</v>
      </c>
      <c r="P2038" t="n">
        <v>0</v>
      </c>
      <c r="Q2038" t="n">
        <v>0</v>
      </c>
      <c r="R2038" s="2" t="inlineStr"/>
    </row>
    <row r="2039" ht="15" customHeight="1">
      <c r="A2039" t="inlineStr">
        <is>
          <t>A 51836-2024</t>
        </is>
      </c>
      <c r="B2039" s="1" t="n">
        <v>45607</v>
      </c>
      <c r="C2039" s="1" t="n">
        <v>46092</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54489-2024</t>
        </is>
      </c>
      <c r="B2040" s="1" t="n">
        <v>45617.56674768519</v>
      </c>
      <c r="C2040" s="1" t="n">
        <v>46092</v>
      </c>
      <c r="D2040" t="inlineStr">
        <is>
          <t>VÄRMLANDS LÄN</t>
        </is>
      </c>
      <c r="E2040" t="inlineStr">
        <is>
          <t>TORSBY</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924-2024</t>
        </is>
      </c>
      <c r="B2041" s="1" t="n">
        <v>45301</v>
      </c>
      <c r="C2041" s="1" t="n">
        <v>46092</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20309-2025</t>
        </is>
      </c>
      <c r="B2042" s="1" t="n">
        <v>45775.28427083333</v>
      </c>
      <c r="C2042" s="1" t="n">
        <v>46092</v>
      </c>
      <c r="D2042" t="inlineStr">
        <is>
          <t>VÄRMLANDS LÄN</t>
        </is>
      </c>
      <c r="E2042" t="inlineStr">
        <is>
          <t>TORSBY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16498-2022</t>
        </is>
      </c>
      <c r="B2043" s="1" t="n">
        <v>44671</v>
      </c>
      <c r="C2043" s="1" t="n">
        <v>46092</v>
      </c>
      <c r="D2043" t="inlineStr">
        <is>
          <t>VÄRMLANDS LÄN</t>
        </is>
      </c>
      <c r="E2043" t="inlineStr">
        <is>
          <t>TORSBY</t>
        </is>
      </c>
      <c r="F2043" t="inlineStr">
        <is>
          <t>Kommuner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21411-2023</t>
        </is>
      </c>
      <c r="B2044" s="1" t="n">
        <v>45063.38505787037</v>
      </c>
      <c r="C2044" s="1" t="n">
        <v>46092</v>
      </c>
      <c r="D2044" t="inlineStr">
        <is>
          <t>VÄRMLANDS LÄN</t>
        </is>
      </c>
      <c r="E2044" t="inlineStr">
        <is>
          <t>TORSBY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48320-2022</t>
        </is>
      </c>
      <c r="B2045" s="1" t="n">
        <v>44853</v>
      </c>
      <c r="C2045" s="1" t="n">
        <v>46092</v>
      </c>
      <c r="D2045" t="inlineStr">
        <is>
          <t>VÄRMLANDS LÄN</t>
        </is>
      </c>
      <c r="E2045" t="inlineStr">
        <is>
          <t>TORSBY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3841-2022</t>
        </is>
      </c>
      <c r="B2046" s="1" t="n">
        <v>44587</v>
      </c>
      <c r="C2046" s="1" t="n">
        <v>46092</v>
      </c>
      <c r="D2046" t="inlineStr">
        <is>
          <t>VÄRMLANDS LÄN</t>
        </is>
      </c>
      <c r="E2046" t="inlineStr">
        <is>
          <t>TORSBY</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58185-2023</t>
        </is>
      </c>
      <c r="B2047" s="1" t="n">
        <v>45250.41873842593</v>
      </c>
      <c r="C2047" s="1" t="n">
        <v>46092</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27038-2024</t>
        </is>
      </c>
      <c r="B2048" s="1" t="n">
        <v>45471</v>
      </c>
      <c r="C2048" s="1" t="n">
        <v>46092</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27045-2024</t>
        </is>
      </c>
      <c r="B2049" s="1" t="n">
        <v>45471</v>
      </c>
      <c r="C2049" s="1" t="n">
        <v>46092</v>
      </c>
      <c r="D2049" t="inlineStr">
        <is>
          <t>VÄRMLANDS LÄN</t>
        </is>
      </c>
      <c r="E2049" t="inlineStr">
        <is>
          <t>TORSBY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27920-2023</t>
        </is>
      </c>
      <c r="B2050" s="1" t="n">
        <v>45098.64269675926</v>
      </c>
      <c r="C2050" s="1" t="n">
        <v>46092</v>
      </c>
      <c r="D2050" t="inlineStr">
        <is>
          <t>VÄRMLANDS LÄN</t>
        </is>
      </c>
      <c r="E2050" t="inlineStr">
        <is>
          <t>TORSBY</t>
        </is>
      </c>
      <c r="F2050" t="inlineStr">
        <is>
          <t>Kyrkan</t>
        </is>
      </c>
      <c r="G2050" t="n">
        <v>14.7</v>
      </c>
      <c r="H2050" t="n">
        <v>0</v>
      </c>
      <c r="I2050" t="n">
        <v>0</v>
      </c>
      <c r="J2050" t="n">
        <v>0</v>
      </c>
      <c r="K2050" t="n">
        <v>0</v>
      </c>
      <c r="L2050" t="n">
        <v>0</v>
      </c>
      <c r="M2050" t="n">
        <v>0</v>
      </c>
      <c r="N2050" t="n">
        <v>0</v>
      </c>
      <c r="O2050" t="n">
        <v>0</v>
      </c>
      <c r="P2050" t="n">
        <v>0</v>
      </c>
      <c r="Q2050" t="n">
        <v>0</v>
      </c>
      <c r="R2050" s="2" t="inlineStr"/>
    </row>
    <row r="2051" ht="15" customHeight="1">
      <c r="A2051" t="inlineStr">
        <is>
          <t>A 14614-2025</t>
        </is>
      </c>
      <c r="B2051" s="1" t="n">
        <v>45742</v>
      </c>
      <c r="C2051" s="1" t="n">
        <v>46092</v>
      </c>
      <c r="D2051" t="inlineStr">
        <is>
          <t>VÄRMLANDS LÄN</t>
        </is>
      </c>
      <c r="E2051" t="inlineStr">
        <is>
          <t>TORSBY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24639-2023</t>
        </is>
      </c>
      <c r="B2052" s="1" t="n">
        <v>45084</v>
      </c>
      <c r="C2052" s="1" t="n">
        <v>46092</v>
      </c>
      <c r="D2052" t="inlineStr">
        <is>
          <t>VÄRMLANDS LÄN</t>
        </is>
      </c>
      <c r="E2052" t="inlineStr">
        <is>
          <t>TORSBY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57072-2022</t>
        </is>
      </c>
      <c r="B2053" s="1" t="n">
        <v>44895.4252662037</v>
      </c>
      <c r="C2053" s="1" t="n">
        <v>46092</v>
      </c>
      <c r="D2053" t="inlineStr">
        <is>
          <t>VÄRMLANDS LÄN</t>
        </is>
      </c>
      <c r="E2053" t="inlineStr">
        <is>
          <t>TORSBY</t>
        </is>
      </c>
      <c r="F2053" t="inlineStr">
        <is>
          <t>Övriga statliga verk och myndigheter</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18544-2023</t>
        </is>
      </c>
      <c r="B2054" s="1" t="n">
        <v>45041</v>
      </c>
      <c r="C2054" s="1" t="n">
        <v>46092</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52581-2024</t>
        </is>
      </c>
      <c r="B2055" s="1" t="n">
        <v>45609</v>
      </c>
      <c r="C2055" s="1" t="n">
        <v>46092</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44708-2022</t>
        </is>
      </c>
      <c r="B2056" s="1" t="n">
        <v>44840.73633101852</v>
      </c>
      <c r="C2056" s="1" t="n">
        <v>46092</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56970-2023</t>
        </is>
      </c>
      <c r="B2057" s="1" t="n">
        <v>45244.63689814815</v>
      </c>
      <c r="C2057" s="1" t="n">
        <v>46092</v>
      </c>
      <c r="D2057" t="inlineStr">
        <is>
          <t>VÄRMLANDS LÄN</t>
        </is>
      </c>
      <c r="E2057" t="inlineStr">
        <is>
          <t>TORSBY</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38100-2024</t>
        </is>
      </c>
      <c r="B2058" s="1" t="n">
        <v>45545</v>
      </c>
      <c r="C2058" s="1" t="n">
        <v>46092</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41529-2024</t>
        </is>
      </c>
      <c r="B2059" s="1" t="n">
        <v>45560.48552083333</v>
      </c>
      <c r="C2059" s="1" t="n">
        <v>46092</v>
      </c>
      <c r="D2059" t="inlineStr">
        <is>
          <t>VÄRMLANDS LÄN</t>
        </is>
      </c>
      <c r="E2059" t="inlineStr">
        <is>
          <t>TORSBY</t>
        </is>
      </c>
      <c r="F2059" t="inlineStr">
        <is>
          <t>Bergvik skog väst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56281-2022</t>
        </is>
      </c>
      <c r="B2060" s="1" t="n">
        <v>44890</v>
      </c>
      <c r="C2060" s="1" t="n">
        <v>46092</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47355-2023</t>
        </is>
      </c>
      <c r="B2061" s="1" t="n">
        <v>45202</v>
      </c>
      <c r="C2061" s="1" t="n">
        <v>46092</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40997-2022</t>
        </is>
      </c>
      <c r="B2062" s="1" t="n">
        <v>44825.50576388889</v>
      </c>
      <c r="C2062" s="1" t="n">
        <v>46092</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39770-2024</t>
        </is>
      </c>
      <c r="B2063" s="1" t="n">
        <v>45552</v>
      </c>
      <c r="C2063" s="1" t="n">
        <v>46092</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18682-2024</t>
        </is>
      </c>
      <c r="B2064" s="1" t="n">
        <v>45426.37251157407</v>
      </c>
      <c r="C2064" s="1" t="n">
        <v>46092</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3542-2023</t>
        </is>
      </c>
      <c r="B2065" s="1" t="n">
        <v>44950</v>
      </c>
      <c r="C2065" s="1" t="n">
        <v>46092</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60737-2022</t>
        </is>
      </c>
      <c r="B2066" s="1" t="n">
        <v>44913.88537037037</v>
      </c>
      <c r="C2066" s="1" t="n">
        <v>46092</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37929-2022</t>
        </is>
      </c>
      <c r="B2067" s="1" t="n">
        <v>44811.45628472222</v>
      </c>
      <c r="C2067" s="1" t="n">
        <v>46092</v>
      </c>
      <c r="D2067" t="inlineStr">
        <is>
          <t>VÄRMLANDS LÄN</t>
        </is>
      </c>
      <c r="E2067" t="inlineStr">
        <is>
          <t>TORSBY</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53297-2024</t>
        </is>
      </c>
      <c r="B2068" s="1" t="n">
        <v>45614.38802083334</v>
      </c>
      <c r="C2068" s="1" t="n">
        <v>46092</v>
      </c>
      <c r="D2068" t="inlineStr">
        <is>
          <t>VÄRMLANDS LÄN</t>
        </is>
      </c>
      <c r="E2068" t="inlineStr">
        <is>
          <t>TORSBY</t>
        </is>
      </c>
      <c r="F2068" t="inlineStr">
        <is>
          <t>Bergvik skog väst AB</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22973-2024</t>
        </is>
      </c>
      <c r="B2069" s="1" t="n">
        <v>45449</v>
      </c>
      <c r="C2069" s="1" t="n">
        <v>46092</v>
      </c>
      <c r="D2069" t="inlineStr">
        <is>
          <t>VÄRMLANDS LÄN</t>
        </is>
      </c>
      <c r="E2069" t="inlineStr">
        <is>
          <t>TORSBY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9057-2022</t>
        </is>
      </c>
      <c r="B2070" s="1" t="n">
        <v>44615</v>
      </c>
      <c r="C2070" s="1" t="n">
        <v>46092</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13189-2025</t>
        </is>
      </c>
      <c r="B2071" s="1" t="n">
        <v>45735.39708333334</v>
      </c>
      <c r="C2071" s="1" t="n">
        <v>46092</v>
      </c>
      <c r="D2071" t="inlineStr">
        <is>
          <t>VÄRMLANDS LÄN</t>
        </is>
      </c>
      <c r="E2071" t="inlineStr">
        <is>
          <t>TORSBY</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46092</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10329-2025</t>
        </is>
      </c>
      <c r="B2073" s="1" t="n">
        <v>45720</v>
      </c>
      <c r="C2073" s="1" t="n">
        <v>46092</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10343-2025</t>
        </is>
      </c>
      <c r="B2074" s="1" t="n">
        <v>45720</v>
      </c>
      <c r="C2074" s="1" t="n">
        <v>46092</v>
      </c>
      <c r="D2074" t="inlineStr">
        <is>
          <t>VÄRMLANDS LÄN</t>
        </is>
      </c>
      <c r="E2074" t="inlineStr">
        <is>
          <t>TORSBY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52901-2022</t>
        </is>
      </c>
      <c r="B2075" s="1" t="n">
        <v>44872</v>
      </c>
      <c r="C2075" s="1" t="n">
        <v>46092</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47077-2023</t>
        </is>
      </c>
      <c r="B2076" s="1" t="n">
        <v>45201</v>
      </c>
      <c r="C2076" s="1" t="n">
        <v>46092</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20745-2023</t>
        </is>
      </c>
      <c r="B2077" s="1" t="n">
        <v>45058</v>
      </c>
      <c r="C2077" s="1" t="n">
        <v>46092</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70926-2021</t>
        </is>
      </c>
      <c r="B2078" s="1" t="n">
        <v>44538</v>
      </c>
      <c r="C2078" s="1" t="n">
        <v>46092</v>
      </c>
      <c r="D2078" t="inlineStr">
        <is>
          <t>VÄRMLANDS LÄN</t>
        </is>
      </c>
      <c r="E2078" t="inlineStr">
        <is>
          <t>TORSBY</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72200-2021</t>
        </is>
      </c>
      <c r="B2079" s="1" t="n">
        <v>44544.67358796296</v>
      </c>
      <c r="C2079" s="1" t="n">
        <v>46092</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52592-2024</t>
        </is>
      </c>
      <c r="B2080" s="1" t="n">
        <v>45609</v>
      </c>
      <c r="C2080" s="1" t="n">
        <v>46092</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18877-2022</t>
        </is>
      </c>
      <c r="B2081" s="1" t="n">
        <v>44690.52556712963</v>
      </c>
      <c r="C2081" s="1" t="n">
        <v>46092</v>
      </c>
      <c r="D2081" t="inlineStr">
        <is>
          <t>VÄRMLANDS LÄN</t>
        </is>
      </c>
      <c r="E2081" t="inlineStr">
        <is>
          <t>TORSBY</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5830-2023</t>
        </is>
      </c>
      <c r="B2082" s="1" t="n">
        <v>44963</v>
      </c>
      <c r="C2082" s="1" t="n">
        <v>46092</v>
      </c>
      <c r="D2082" t="inlineStr">
        <is>
          <t>VÄRMLANDS LÄN</t>
        </is>
      </c>
      <c r="E2082" t="inlineStr">
        <is>
          <t>TORSBY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22158-2022</t>
        </is>
      </c>
      <c r="B2083" s="1" t="n">
        <v>44708</v>
      </c>
      <c r="C2083" s="1" t="n">
        <v>46092</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20175-2022</t>
        </is>
      </c>
      <c r="B2084" s="1" t="n">
        <v>44698</v>
      </c>
      <c r="C2084" s="1" t="n">
        <v>46092</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6646-2024</t>
        </is>
      </c>
      <c r="B2085" s="1" t="n">
        <v>45341.66643518519</v>
      </c>
      <c r="C2085" s="1" t="n">
        <v>46092</v>
      </c>
      <c r="D2085" t="inlineStr">
        <is>
          <t>VÄRMLANDS LÄN</t>
        </is>
      </c>
      <c r="E2085" t="inlineStr">
        <is>
          <t>TORSBY</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6648-2024</t>
        </is>
      </c>
      <c r="B2086" s="1" t="n">
        <v>45341</v>
      </c>
      <c r="C2086" s="1" t="n">
        <v>46092</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41841-2023</t>
        </is>
      </c>
      <c r="B2087" s="1" t="n">
        <v>45176.60436342593</v>
      </c>
      <c r="C2087" s="1" t="n">
        <v>46092</v>
      </c>
      <c r="D2087" t="inlineStr">
        <is>
          <t>VÄRMLANDS LÄN</t>
        </is>
      </c>
      <c r="E2087" t="inlineStr">
        <is>
          <t>TORSBY</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6713-2023</t>
        </is>
      </c>
      <c r="B2088" s="1" t="n">
        <v>44960</v>
      </c>
      <c r="C2088" s="1" t="n">
        <v>46092</v>
      </c>
      <c r="D2088" t="inlineStr">
        <is>
          <t>VÄRMLANDS LÄN</t>
        </is>
      </c>
      <c r="E2088" t="inlineStr">
        <is>
          <t>TORSBY</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63409-2023</t>
        </is>
      </c>
      <c r="B2089" s="1" t="n">
        <v>45274.51719907407</v>
      </c>
      <c r="C2089" s="1" t="n">
        <v>46092</v>
      </c>
      <c r="D2089" t="inlineStr">
        <is>
          <t>VÄRMLANDS LÄN</t>
        </is>
      </c>
      <c r="E2089" t="inlineStr">
        <is>
          <t>TORSBY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12051-2024</t>
        </is>
      </c>
      <c r="B2090" s="1" t="n">
        <v>45377</v>
      </c>
      <c r="C2090" s="1" t="n">
        <v>46092</v>
      </c>
      <c r="D2090" t="inlineStr">
        <is>
          <t>VÄRMLANDS LÄN</t>
        </is>
      </c>
      <c r="E2090" t="inlineStr">
        <is>
          <t>TORSBY</t>
        </is>
      </c>
      <c r="F2090" t="inlineStr">
        <is>
          <t>Bergvik skog väst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73553-2021</t>
        </is>
      </c>
      <c r="B2091" s="1" t="n">
        <v>44551</v>
      </c>
      <c r="C2091" s="1" t="n">
        <v>46092</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18099-2022</t>
        </is>
      </c>
      <c r="B2092" s="1" t="n">
        <v>44684</v>
      </c>
      <c r="C2092" s="1" t="n">
        <v>46092</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54306-2024</t>
        </is>
      </c>
      <c r="B2093" s="1" t="n">
        <v>45617</v>
      </c>
      <c r="C2093" s="1" t="n">
        <v>46092</v>
      </c>
      <c r="D2093" t="inlineStr">
        <is>
          <t>VÄRMLANDS LÄN</t>
        </is>
      </c>
      <c r="E2093" t="inlineStr">
        <is>
          <t>TORSBY</t>
        </is>
      </c>
      <c r="F2093" t="inlineStr">
        <is>
          <t>Bergvik skog väst AB</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54265-2024</t>
        </is>
      </c>
      <c r="B2094" s="1" t="n">
        <v>45616</v>
      </c>
      <c r="C2094" s="1" t="n">
        <v>46092</v>
      </c>
      <c r="D2094" t="inlineStr">
        <is>
          <t>VÄRMLANDS LÄN</t>
        </is>
      </c>
      <c r="E2094" t="inlineStr">
        <is>
          <t>TORSBY</t>
        </is>
      </c>
      <c r="F2094" t="inlineStr">
        <is>
          <t>Kommuner</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1161-2025</t>
        </is>
      </c>
      <c r="B2095" s="1" t="n">
        <v>45666</v>
      </c>
      <c r="C2095" s="1" t="n">
        <v>46092</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14301-2025</t>
        </is>
      </c>
      <c r="B2096" s="1" t="n">
        <v>45740</v>
      </c>
      <c r="C2096" s="1" t="n">
        <v>46092</v>
      </c>
      <c r="D2096" t="inlineStr">
        <is>
          <t>VÄRMLANDS LÄN</t>
        </is>
      </c>
      <c r="E2096" t="inlineStr">
        <is>
          <t>TORSBY</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11395-2025</t>
        </is>
      </c>
      <c r="B2097" s="1" t="n">
        <v>45726.5728125</v>
      </c>
      <c r="C2097" s="1" t="n">
        <v>46092</v>
      </c>
      <c r="D2097" t="inlineStr">
        <is>
          <t>VÄRMLANDS LÄN</t>
        </is>
      </c>
      <c r="E2097" t="inlineStr">
        <is>
          <t>TORSBY</t>
        </is>
      </c>
      <c r="G2097" t="n">
        <v>25.3</v>
      </c>
      <c r="H2097" t="n">
        <v>0</v>
      </c>
      <c r="I2097" t="n">
        <v>0</v>
      </c>
      <c r="J2097" t="n">
        <v>0</v>
      </c>
      <c r="K2097" t="n">
        <v>0</v>
      </c>
      <c r="L2097" t="n">
        <v>0</v>
      </c>
      <c r="M2097" t="n">
        <v>0</v>
      </c>
      <c r="N2097" t="n">
        <v>0</v>
      </c>
      <c r="O2097" t="n">
        <v>0</v>
      </c>
      <c r="P2097" t="n">
        <v>0</v>
      </c>
      <c r="Q2097" t="n">
        <v>0</v>
      </c>
      <c r="R2097" s="2" t="inlineStr"/>
    </row>
    <row r="2098" ht="15" customHeight="1">
      <c r="A2098" t="inlineStr">
        <is>
          <t>A 19575-2025</t>
        </is>
      </c>
      <c r="B2098" s="1" t="n">
        <v>45770.55957175926</v>
      </c>
      <c r="C2098" s="1" t="n">
        <v>46092</v>
      </c>
      <c r="D2098" t="inlineStr">
        <is>
          <t>VÄRMLANDS LÄN</t>
        </is>
      </c>
      <c r="E2098" t="inlineStr">
        <is>
          <t>TORSBY</t>
        </is>
      </c>
      <c r="F2098" t="inlineStr">
        <is>
          <t>Bergvik skog väst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1100-2025</t>
        </is>
      </c>
      <c r="B2099" s="1" t="n">
        <v>45666.64099537037</v>
      </c>
      <c r="C2099" s="1" t="n">
        <v>46092</v>
      </c>
      <c r="D2099" t="inlineStr">
        <is>
          <t>VÄRMLANDS LÄN</t>
        </is>
      </c>
      <c r="E2099" t="inlineStr">
        <is>
          <t>TORSBY</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49982-2023</t>
        </is>
      </c>
      <c r="B2100" s="1" t="n">
        <v>45215.4216087963</v>
      </c>
      <c r="C2100" s="1" t="n">
        <v>46092</v>
      </c>
      <c r="D2100" t="inlineStr">
        <is>
          <t>VÄRMLANDS LÄN</t>
        </is>
      </c>
      <c r="E2100" t="inlineStr">
        <is>
          <t>TORSBY</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48874-2024</t>
        </is>
      </c>
      <c r="B2101" s="1" t="n">
        <v>45594</v>
      </c>
      <c r="C2101" s="1" t="n">
        <v>46092</v>
      </c>
      <c r="D2101" t="inlineStr">
        <is>
          <t>VÄRMLANDS LÄN</t>
        </is>
      </c>
      <c r="E2101" t="inlineStr">
        <is>
          <t>TORSBY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10027-2023</t>
        </is>
      </c>
      <c r="B2102" s="1" t="n">
        <v>44979</v>
      </c>
      <c r="C2102" s="1" t="n">
        <v>46092</v>
      </c>
      <c r="D2102" t="inlineStr">
        <is>
          <t>VÄRMLANDS LÄN</t>
        </is>
      </c>
      <c r="E2102" t="inlineStr">
        <is>
          <t>TORSBY</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26343-2023</t>
        </is>
      </c>
      <c r="B2103" s="1" t="n">
        <v>45091</v>
      </c>
      <c r="C2103" s="1" t="n">
        <v>46092</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24148-2024</t>
        </is>
      </c>
      <c r="B2104" s="1" t="n">
        <v>45456</v>
      </c>
      <c r="C2104" s="1" t="n">
        <v>46092</v>
      </c>
      <c r="D2104" t="inlineStr">
        <is>
          <t>VÄRMLANDS LÄN</t>
        </is>
      </c>
      <c r="E2104" t="inlineStr">
        <is>
          <t>TORSBY</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34427-2023</t>
        </is>
      </c>
      <c r="B2105" s="1" t="n">
        <v>45139.61741898148</v>
      </c>
      <c r="C2105" s="1" t="n">
        <v>46092</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23264-2022</t>
        </is>
      </c>
      <c r="B2106" s="1" t="n">
        <v>44720.40818287037</v>
      </c>
      <c r="C2106" s="1" t="n">
        <v>46092</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9574-2023</t>
        </is>
      </c>
      <c r="B2107" s="1" t="n">
        <v>44982.55168981481</v>
      </c>
      <c r="C2107" s="1" t="n">
        <v>46092</v>
      </c>
      <c r="D2107" t="inlineStr">
        <is>
          <t>VÄRMLANDS LÄN</t>
        </is>
      </c>
      <c r="E2107" t="inlineStr">
        <is>
          <t>TORSBY</t>
        </is>
      </c>
      <c r="F2107" t="inlineStr">
        <is>
          <t>Övriga statliga verk och myndigheter</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35777-2024</t>
        </is>
      </c>
      <c r="B2108" s="1" t="n">
        <v>45532</v>
      </c>
      <c r="C2108" s="1" t="n">
        <v>46092</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37752-2022</t>
        </is>
      </c>
      <c r="B2109" s="1" t="n">
        <v>44810</v>
      </c>
      <c r="C2109" s="1" t="n">
        <v>46092</v>
      </c>
      <c r="D2109" t="inlineStr">
        <is>
          <t>VÄRMLANDS LÄN</t>
        </is>
      </c>
      <c r="E2109" t="inlineStr">
        <is>
          <t>TORSBY</t>
        </is>
      </c>
      <c r="F2109" t="inlineStr">
        <is>
          <t>Kyrkan</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17841-2025</t>
        </is>
      </c>
      <c r="B2110" s="1" t="n">
        <v>45758</v>
      </c>
      <c r="C2110" s="1" t="n">
        <v>46092</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41156-2023</t>
        </is>
      </c>
      <c r="B2111" s="1" t="n">
        <v>45174</v>
      </c>
      <c r="C2111" s="1" t="n">
        <v>46092</v>
      </c>
      <c r="D2111" t="inlineStr">
        <is>
          <t>VÄRMLANDS LÄN</t>
        </is>
      </c>
      <c r="E2111" t="inlineStr">
        <is>
          <t>TORSBY</t>
        </is>
      </c>
      <c r="F2111" t="inlineStr">
        <is>
          <t>Kyrkan</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64672-2023</t>
        </is>
      </c>
      <c r="B2112" s="1" t="n">
        <v>45281.61913194445</v>
      </c>
      <c r="C2112" s="1" t="n">
        <v>46092</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55031-2023</t>
        </is>
      </c>
      <c r="B2113" s="1" t="n">
        <v>45237.34733796296</v>
      </c>
      <c r="C2113" s="1" t="n">
        <v>46092</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9871-2024</t>
        </is>
      </c>
      <c r="B2114" s="1" t="n">
        <v>45363</v>
      </c>
      <c r="C2114" s="1" t="n">
        <v>46092</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29043-2023</t>
        </is>
      </c>
      <c r="B2115" s="1" t="n">
        <v>45104</v>
      </c>
      <c r="C2115" s="1" t="n">
        <v>46092</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60058-2023</t>
        </is>
      </c>
      <c r="B2116" s="1" t="n">
        <v>45258.37978009259</v>
      </c>
      <c r="C2116" s="1" t="n">
        <v>46092</v>
      </c>
      <c r="D2116" t="inlineStr">
        <is>
          <t>VÄRMLANDS LÄN</t>
        </is>
      </c>
      <c r="E2116" t="inlineStr">
        <is>
          <t>TORSBY</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27363-2024</t>
        </is>
      </c>
      <c r="B2117" s="1" t="n">
        <v>45473</v>
      </c>
      <c r="C2117" s="1" t="n">
        <v>46092</v>
      </c>
      <c r="D2117" t="inlineStr">
        <is>
          <t>VÄRMLANDS LÄN</t>
        </is>
      </c>
      <c r="E2117" t="inlineStr">
        <is>
          <t>TORSBY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8197-2025</t>
        </is>
      </c>
      <c r="B2118" s="1" t="n">
        <v>45708.4318287037</v>
      </c>
      <c r="C2118" s="1" t="n">
        <v>46092</v>
      </c>
      <c r="D2118" t="inlineStr">
        <is>
          <t>VÄRMLANDS LÄN</t>
        </is>
      </c>
      <c r="E2118" t="inlineStr">
        <is>
          <t>TORSBY</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56571-2024</t>
        </is>
      </c>
      <c r="B2119" s="1" t="n">
        <v>45625</v>
      </c>
      <c r="C2119" s="1" t="n">
        <v>46092</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33232-2024</t>
        </is>
      </c>
      <c r="B2120" s="1" t="n">
        <v>45518</v>
      </c>
      <c r="C2120" s="1" t="n">
        <v>46092</v>
      </c>
      <c r="D2120" t="inlineStr">
        <is>
          <t>VÄRMLANDS LÄN</t>
        </is>
      </c>
      <c r="E2120" t="inlineStr">
        <is>
          <t>TORSBY</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48253-2024</t>
        </is>
      </c>
      <c r="B2121" s="1" t="n">
        <v>45590</v>
      </c>
      <c r="C2121" s="1" t="n">
        <v>46092</v>
      </c>
      <c r="D2121" t="inlineStr">
        <is>
          <t>VÄRMLANDS LÄN</t>
        </is>
      </c>
      <c r="E2121" t="inlineStr">
        <is>
          <t>TORSBY</t>
        </is>
      </c>
      <c r="F2121" t="inlineStr">
        <is>
          <t>Bergvik skog väst AB</t>
        </is>
      </c>
      <c r="G2121" t="n">
        <v>20.7</v>
      </c>
      <c r="H2121" t="n">
        <v>0</v>
      </c>
      <c r="I2121" t="n">
        <v>0</v>
      </c>
      <c r="J2121" t="n">
        <v>0</v>
      </c>
      <c r="K2121" t="n">
        <v>0</v>
      </c>
      <c r="L2121" t="n">
        <v>0</v>
      </c>
      <c r="M2121" t="n">
        <v>0</v>
      </c>
      <c r="N2121" t="n">
        <v>0</v>
      </c>
      <c r="O2121" t="n">
        <v>0</v>
      </c>
      <c r="P2121" t="n">
        <v>0</v>
      </c>
      <c r="Q2121" t="n">
        <v>0</v>
      </c>
      <c r="R2121" s="2" t="inlineStr"/>
    </row>
    <row r="2122" ht="15" customHeight="1">
      <c r="A2122" t="inlineStr">
        <is>
          <t>A 43301-2024</t>
        </is>
      </c>
      <c r="B2122" s="1" t="n">
        <v>45568</v>
      </c>
      <c r="C2122" s="1" t="n">
        <v>46092</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24004-2024</t>
        </is>
      </c>
      <c r="B2123" s="1" t="n">
        <v>45456</v>
      </c>
      <c r="C2123" s="1" t="n">
        <v>46092</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37623-2023</t>
        </is>
      </c>
      <c r="B2124" s="1" t="n">
        <v>45159.45560185185</v>
      </c>
      <c r="C2124" s="1" t="n">
        <v>46092</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42347-2021</t>
        </is>
      </c>
      <c r="B2125" s="1" t="n">
        <v>44427</v>
      </c>
      <c r="C2125" s="1" t="n">
        <v>46092</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23044-2024</t>
        </is>
      </c>
      <c r="B2126" s="1" t="n">
        <v>45450</v>
      </c>
      <c r="C2126" s="1" t="n">
        <v>46092</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18354-2021</t>
        </is>
      </c>
      <c r="B2127" s="1" t="n">
        <v>44305.56186342592</v>
      </c>
      <c r="C2127" s="1" t="n">
        <v>46092</v>
      </c>
      <c r="D2127" t="inlineStr">
        <is>
          <t>VÄRMLANDS LÄN</t>
        </is>
      </c>
      <c r="E2127" t="inlineStr">
        <is>
          <t>TORSBY</t>
        </is>
      </c>
      <c r="F2127" t="inlineStr">
        <is>
          <t>Kommuner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17184-2023</t>
        </is>
      </c>
      <c r="B2128" s="1" t="n">
        <v>45034.69127314815</v>
      </c>
      <c r="C2128" s="1" t="n">
        <v>46092</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44424-2024</t>
        </is>
      </c>
      <c r="B2129" s="1" t="n">
        <v>45573</v>
      </c>
      <c r="C2129" s="1" t="n">
        <v>46092</v>
      </c>
      <c r="D2129" t="inlineStr">
        <is>
          <t>VÄRMLANDS LÄN</t>
        </is>
      </c>
      <c r="E2129" t="inlineStr">
        <is>
          <t>TORSBY</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33853-2021</t>
        </is>
      </c>
      <c r="B2130" s="1" t="n">
        <v>44378.61460648148</v>
      </c>
      <c r="C2130" s="1" t="n">
        <v>46092</v>
      </c>
      <c r="D2130" t="inlineStr">
        <is>
          <t>VÄRMLANDS LÄN</t>
        </is>
      </c>
      <c r="E2130" t="inlineStr">
        <is>
          <t>TORSBY</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49936-2024</t>
        </is>
      </c>
      <c r="B2131" s="1" t="n">
        <v>45597</v>
      </c>
      <c r="C2131" s="1" t="n">
        <v>46092</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33072-2023</t>
        </is>
      </c>
      <c r="B2132" s="1" t="n">
        <v>45126</v>
      </c>
      <c r="C2132" s="1" t="n">
        <v>46092</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52078-2023</t>
        </is>
      </c>
      <c r="B2133" s="1" t="n">
        <v>45223</v>
      </c>
      <c r="C2133" s="1" t="n">
        <v>46092</v>
      </c>
      <c r="D2133" t="inlineStr">
        <is>
          <t>VÄRMLANDS LÄN</t>
        </is>
      </c>
      <c r="E2133" t="inlineStr">
        <is>
          <t>TORSBY</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3670-2023</t>
        </is>
      </c>
      <c r="B2134" s="1" t="n">
        <v>44950</v>
      </c>
      <c r="C2134" s="1" t="n">
        <v>46092</v>
      </c>
      <c r="D2134" t="inlineStr">
        <is>
          <t>VÄRMLANDS LÄN</t>
        </is>
      </c>
      <c r="E2134" t="inlineStr">
        <is>
          <t>TORSBY</t>
        </is>
      </c>
      <c r="G2134" t="n">
        <v>15.4</v>
      </c>
      <c r="H2134" t="n">
        <v>0</v>
      </c>
      <c r="I2134" t="n">
        <v>0</v>
      </c>
      <c r="J2134" t="n">
        <v>0</v>
      </c>
      <c r="K2134" t="n">
        <v>0</v>
      </c>
      <c r="L2134" t="n">
        <v>0</v>
      </c>
      <c r="M2134" t="n">
        <v>0</v>
      </c>
      <c r="N2134" t="n">
        <v>0</v>
      </c>
      <c r="O2134" t="n">
        <v>0</v>
      </c>
      <c r="P2134" t="n">
        <v>0</v>
      </c>
      <c r="Q2134" t="n">
        <v>0</v>
      </c>
      <c r="R2134" s="2" t="inlineStr"/>
    </row>
    <row r="2135" ht="15" customHeight="1">
      <c r="A2135" t="inlineStr">
        <is>
          <t>A 26979-2023</t>
        </is>
      </c>
      <c r="B2135" s="1" t="n">
        <v>45091</v>
      </c>
      <c r="C2135" s="1" t="n">
        <v>46092</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22702-2023</t>
        </is>
      </c>
      <c r="B2136" s="1" t="n">
        <v>45071</v>
      </c>
      <c r="C2136" s="1" t="n">
        <v>46092</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8188-2025</t>
        </is>
      </c>
      <c r="B2137" s="1" t="n">
        <v>45708.40246527778</v>
      </c>
      <c r="C2137" s="1" t="n">
        <v>46092</v>
      </c>
      <c r="D2137" t="inlineStr">
        <is>
          <t>VÄRMLANDS LÄN</t>
        </is>
      </c>
      <c r="E2137" t="inlineStr">
        <is>
          <t>TORSBY</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10888-2023</t>
        </is>
      </c>
      <c r="B2138" s="1" t="n">
        <v>44985</v>
      </c>
      <c r="C2138" s="1" t="n">
        <v>46092</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50608-2023</t>
        </is>
      </c>
      <c r="B2139" s="1" t="n">
        <v>45217</v>
      </c>
      <c r="C2139" s="1" t="n">
        <v>46092</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56716-2023</t>
        </is>
      </c>
      <c r="B2140" s="1" t="n">
        <v>45238</v>
      </c>
      <c r="C2140" s="1" t="n">
        <v>46092</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54556-2023</t>
        </is>
      </c>
      <c r="B2141" s="1" t="n">
        <v>45233.63445601852</v>
      </c>
      <c r="C2141" s="1" t="n">
        <v>46092</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30700-2024</t>
        </is>
      </c>
      <c r="B2142" s="1" t="n">
        <v>45496.35869212963</v>
      </c>
      <c r="C2142" s="1" t="n">
        <v>46092</v>
      </c>
      <c r="D2142" t="inlineStr">
        <is>
          <t>VÄRMLANDS LÄN</t>
        </is>
      </c>
      <c r="E2142" t="inlineStr">
        <is>
          <t>TORSBY</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30705-2024</t>
        </is>
      </c>
      <c r="B2143" s="1" t="n">
        <v>45496.38092592593</v>
      </c>
      <c r="C2143" s="1" t="n">
        <v>46092</v>
      </c>
      <c r="D2143" t="inlineStr">
        <is>
          <t>VÄRMLANDS LÄN</t>
        </is>
      </c>
      <c r="E2143" t="inlineStr">
        <is>
          <t>TORSBY</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26686-2022</t>
        </is>
      </c>
      <c r="B2144" s="1" t="n">
        <v>44739.67833333334</v>
      </c>
      <c r="C2144" s="1" t="n">
        <v>46092</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63266-2023</t>
        </is>
      </c>
      <c r="B2145" s="1" t="n">
        <v>45273.741875</v>
      </c>
      <c r="C2145" s="1" t="n">
        <v>46092</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38914-2022</t>
        </is>
      </c>
      <c r="B2146" s="1" t="n">
        <v>44816.61194444444</v>
      </c>
      <c r="C2146" s="1" t="n">
        <v>46092</v>
      </c>
      <c r="D2146" t="inlineStr">
        <is>
          <t>VÄRMLANDS LÄN</t>
        </is>
      </c>
      <c r="E2146" t="inlineStr">
        <is>
          <t>TORSBY</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38882-2022</t>
        </is>
      </c>
      <c r="B2147" s="1" t="n">
        <v>44816.565625</v>
      </c>
      <c r="C2147" s="1" t="n">
        <v>46092</v>
      </c>
      <c r="D2147" t="inlineStr">
        <is>
          <t>VÄRMLANDS LÄN</t>
        </is>
      </c>
      <c r="E2147" t="inlineStr">
        <is>
          <t>TORSBY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10895-2024</t>
        </is>
      </c>
      <c r="B2148" s="1" t="n">
        <v>45370.34901620371</v>
      </c>
      <c r="C2148" s="1" t="n">
        <v>46092</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44170-2022</t>
        </is>
      </c>
      <c r="B2149" s="1" t="n">
        <v>44838</v>
      </c>
      <c r="C2149" s="1" t="n">
        <v>46092</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7907-2025</t>
        </is>
      </c>
      <c r="B2150" s="1" t="n">
        <v>45707</v>
      </c>
      <c r="C2150" s="1" t="n">
        <v>46092</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6529-2025</t>
        </is>
      </c>
      <c r="B2151" s="1" t="n">
        <v>45699</v>
      </c>
      <c r="C2151" s="1" t="n">
        <v>46092</v>
      </c>
      <c r="D2151" t="inlineStr">
        <is>
          <t>VÄRMLANDS LÄN</t>
        </is>
      </c>
      <c r="E2151" t="inlineStr">
        <is>
          <t>TORSBY</t>
        </is>
      </c>
      <c r="F2151" t="inlineStr">
        <is>
          <t>Kommuner</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33469-2024</t>
        </is>
      </c>
      <c r="B2152" s="1" t="n">
        <v>45519.5996875</v>
      </c>
      <c r="C2152" s="1" t="n">
        <v>46092</v>
      </c>
      <c r="D2152" t="inlineStr">
        <is>
          <t>VÄRMLANDS LÄN</t>
        </is>
      </c>
      <c r="E2152" t="inlineStr">
        <is>
          <t>TORSBY</t>
        </is>
      </c>
      <c r="F2152" t="inlineStr">
        <is>
          <t>Bergvik skog väst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3071-2022</t>
        </is>
      </c>
      <c r="B2153" s="1" t="n">
        <v>44582.42109953704</v>
      </c>
      <c r="C2153" s="1" t="n">
        <v>46092</v>
      </c>
      <c r="D2153" t="inlineStr">
        <is>
          <t>VÄRMLANDS LÄN</t>
        </is>
      </c>
      <c r="E2153" t="inlineStr">
        <is>
          <t>TORSBY</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15154-2025</t>
        </is>
      </c>
      <c r="B2154" s="1" t="n">
        <v>45744.46157407408</v>
      </c>
      <c r="C2154" s="1" t="n">
        <v>46092</v>
      </c>
      <c r="D2154" t="inlineStr">
        <is>
          <t>VÄRMLANDS LÄN</t>
        </is>
      </c>
      <c r="E2154" t="inlineStr">
        <is>
          <t>TORSBY</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19307-2022</t>
        </is>
      </c>
      <c r="B2155" s="1" t="n">
        <v>44692.55497685185</v>
      </c>
      <c r="C2155" s="1" t="n">
        <v>46092</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58945-2024</t>
        </is>
      </c>
      <c r="B2156" s="1" t="n">
        <v>45636</v>
      </c>
      <c r="C2156" s="1" t="n">
        <v>46092</v>
      </c>
      <c r="D2156" t="inlineStr">
        <is>
          <t>VÄRMLANDS LÄN</t>
        </is>
      </c>
      <c r="E2156" t="inlineStr">
        <is>
          <t>TORSBY</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58386-2023</t>
        </is>
      </c>
      <c r="B2157" s="1" t="n">
        <v>45250</v>
      </c>
      <c r="C2157" s="1" t="n">
        <v>46092</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61138-2022</t>
        </is>
      </c>
      <c r="B2158" s="1" t="n">
        <v>44915</v>
      </c>
      <c r="C2158" s="1" t="n">
        <v>46092</v>
      </c>
      <c r="D2158" t="inlineStr">
        <is>
          <t>VÄRMLANDS LÄN</t>
        </is>
      </c>
      <c r="E2158" t="inlineStr">
        <is>
          <t>TORSBY</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3904-2025</t>
        </is>
      </c>
      <c r="B2159" s="1" t="n">
        <v>45684</v>
      </c>
      <c r="C2159" s="1" t="n">
        <v>46092</v>
      </c>
      <c r="D2159" t="inlineStr">
        <is>
          <t>VÄRMLANDS LÄN</t>
        </is>
      </c>
      <c r="E2159" t="inlineStr">
        <is>
          <t>TORSBY</t>
        </is>
      </c>
      <c r="F2159" t="inlineStr">
        <is>
          <t>Övriga statliga verk och myndigheter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3951-2025</t>
        </is>
      </c>
      <c r="B2160" s="1" t="n">
        <v>45684.49333333333</v>
      </c>
      <c r="C2160" s="1" t="n">
        <v>46092</v>
      </c>
      <c r="D2160" t="inlineStr">
        <is>
          <t>VÄRMLANDS LÄN</t>
        </is>
      </c>
      <c r="E2160" t="inlineStr">
        <is>
          <t>TORSBY</t>
        </is>
      </c>
      <c r="F2160" t="inlineStr">
        <is>
          <t>Bergvik skog väst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4030-2024</t>
        </is>
      </c>
      <c r="B2161" s="1" t="n">
        <v>45323</v>
      </c>
      <c r="C2161" s="1" t="n">
        <v>46092</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46092</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46092</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46092</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38991-2023</t>
        </is>
      </c>
      <c r="B2165" s="1" t="n">
        <v>45163.65929398148</v>
      </c>
      <c r="C2165" s="1" t="n">
        <v>46092</v>
      </c>
      <c r="D2165" t="inlineStr">
        <is>
          <t>VÄRMLANDS LÄN</t>
        </is>
      </c>
      <c r="E2165" t="inlineStr">
        <is>
          <t>TORSBY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16949-2025</t>
        </is>
      </c>
      <c r="B2166" s="1" t="n">
        <v>45755</v>
      </c>
      <c r="C2166" s="1" t="n">
        <v>46092</v>
      </c>
      <c r="D2166" t="inlineStr">
        <is>
          <t>VÄRMLANDS LÄN</t>
        </is>
      </c>
      <c r="E2166" t="inlineStr">
        <is>
          <t>TORSBY</t>
        </is>
      </c>
      <c r="F2166" t="inlineStr">
        <is>
          <t>Bergvik skog väst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55436-2022</t>
        </is>
      </c>
      <c r="B2167" s="1" t="n">
        <v>44887</v>
      </c>
      <c r="C2167" s="1" t="n">
        <v>46092</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1911-2022</t>
        </is>
      </c>
      <c r="B2168" s="1" t="n">
        <v>44575</v>
      </c>
      <c r="C2168" s="1" t="n">
        <v>46092</v>
      </c>
      <c r="D2168" t="inlineStr">
        <is>
          <t>VÄRMLANDS LÄN</t>
        </is>
      </c>
      <c r="E2168" t="inlineStr">
        <is>
          <t>TORSBY</t>
        </is>
      </c>
      <c r="F2168" t="inlineStr">
        <is>
          <t>Kommuner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53921-2023</t>
        </is>
      </c>
      <c r="B2169" s="1" t="n">
        <v>45231</v>
      </c>
      <c r="C2169" s="1" t="n">
        <v>46092</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4342-2025</t>
        </is>
      </c>
      <c r="B2170" s="1" t="n">
        <v>45685</v>
      </c>
      <c r="C2170" s="1" t="n">
        <v>46092</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45812-2024</t>
        </is>
      </c>
      <c r="B2171" s="1" t="n">
        <v>45579</v>
      </c>
      <c r="C2171" s="1" t="n">
        <v>46092</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49814-2022</t>
        </is>
      </c>
      <c r="B2172" s="1" t="n">
        <v>44859</v>
      </c>
      <c r="C2172" s="1" t="n">
        <v>46092</v>
      </c>
      <c r="D2172" t="inlineStr">
        <is>
          <t>VÄRMLANDS LÄN</t>
        </is>
      </c>
      <c r="E2172" t="inlineStr">
        <is>
          <t>TORSBY</t>
        </is>
      </c>
      <c r="F2172" t="inlineStr">
        <is>
          <t>Kyrkan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40541-2024</t>
        </is>
      </c>
      <c r="B2173" s="1" t="n">
        <v>45555.62736111111</v>
      </c>
      <c r="C2173" s="1" t="n">
        <v>46092</v>
      </c>
      <c r="D2173" t="inlineStr">
        <is>
          <t>VÄRMLANDS LÄN</t>
        </is>
      </c>
      <c r="E2173" t="inlineStr">
        <is>
          <t>TORSBY</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234-2024</t>
        </is>
      </c>
      <c r="B2174" s="1" t="n">
        <v>45294.8253587963</v>
      </c>
      <c r="C2174" s="1" t="n">
        <v>46092</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236-2024</t>
        </is>
      </c>
      <c r="B2175" s="1" t="n">
        <v>45294.85927083333</v>
      </c>
      <c r="C2175" s="1" t="n">
        <v>46092</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30104-2023</t>
        </is>
      </c>
      <c r="B2176" s="1" t="n">
        <v>45110</v>
      </c>
      <c r="C2176" s="1" t="n">
        <v>46092</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1839-2022</t>
        </is>
      </c>
      <c r="B2177" s="1" t="n">
        <v>44574</v>
      </c>
      <c r="C2177" s="1" t="n">
        <v>46092</v>
      </c>
      <c r="D2177" t="inlineStr">
        <is>
          <t>VÄRMLANDS LÄN</t>
        </is>
      </c>
      <c r="E2177" t="inlineStr">
        <is>
          <t>TORSBY</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21465-2022</t>
        </is>
      </c>
      <c r="B2178" s="1" t="n">
        <v>44706.38893518518</v>
      </c>
      <c r="C2178" s="1" t="n">
        <v>46092</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21078-2023</t>
        </is>
      </c>
      <c r="B2179" s="1" t="n">
        <v>45061</v>
      </c>
      <c r="C2179" s="1" t="n">
        <v>46092</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36718-2024</t>
        </is>
      </c>
      <c r="B2180" s="1" t="n">
        <v>45537</v>
      </c>
      <c r="C2180" s="1" t="n">
        <v>46092</v>
      </c>
      <c r="D2180" t="inlineStr">
        <is>
          <t>VÄRMLANDS LÄN</t>
        </is>
      </c>
      <c r="E2180" t="inlineStr">
        <is>
          <t>TORSBY</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15019-2025</t>
        </is>
      </c>
      <c r="B2181" s="1" t="n">
        <v>45743.63811342593</v>
      </c>
      <c r="C2181" s="1" t="n">
        <v>46092</v>
      </c>
      <c r="D2181" t="inlineStr">
        <is>
          <t>VÄRMLANDS LÄN</t>
        </is>
      </c>
      <c r="E2181" t="inlineStr">
        <is>
          <t>TORSBY</t>
        </is>
      </c>
      <c r="F2181" t="inlineStr">
        <is>
          <t>Övriga statliga verk och myndigheter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45328-2022</t>
        </is>
      </c>
      <c r="B2182" s="1" t="n">
        <v>44844</v>
      </c>
      <c r="C2182" s="1" t="n">
        <v>46092</v>
      </c>
      <c r="D2182" t="inlineStr">
        <is>
          <t>VÄRMLANDS LÄN</t>
        </is>
      </c>
      <c r="E2182" t="inlineStr">
        <is>
          <t>TORSBY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10608-2022</t>
        </is>
      </c>
      <c r="B2183" s="1" t="n">
        <v>44624</v>
      </c>
      <c r="C2183" s="1" t="n">
        <v>46092</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33429-2024</t>
        </is>
      </c>
      <c r="B2184" s="1" t="n">
        <v>45519.52792824074</v>
      </c>
      <c r="C2184" s="1" t="n">
        <v>46092</v>
      </c>
      <c r="D2184" t="inlineStr">
        <is>
          <t>VÄRMLANDS LÄN</t>
        </is>
      </c>
      <c r="E2184" t="inlineStr">
        <is>
          <t>TORSBY</t>
        </is>
      </c>
      <c r="F2184" t="inlineStr">
        <is>
          <t>Bergvik skog väst AB</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61073-2024</t>
        </is>
      </c>
      <c r="B2185" s="1" t="n">
        <v>45645.50665509259</v>
      </c>
      <c r="C2185" s="1" t="n">
        <v>46092</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1997-2025</t>
        </is>
      </c>
      <c r="B2186" s="1" t="n">
        <v>45672.44431712963</v>
      </c>
      <c r="C2186" s="1" t="n">
        <v>46092</v>
      </c>
      <c r="D2186" t="inlineStr">
        <is>
          <t>VÄRMLANDS LÄN</t>
        </is>
      </c>
      <c r="E2186" t="inlineStr">
        <is>
          <t>TORSBY</t>
        </is>
      </c>
      <c r="G2186" t="n">
        <v>20.1</v>
      </c>
      <c r="H2186" t="n">
        <v>0</v>
      </c>
      <c r="I2186" t="n">
        <v>0</v>
      </c>
      <c r="J2186" t="n">
        <v>0</v>
      </c>
      <c r="K2186" t="n">
        <v>0</v>
      </c>
      <c r="L2186" t="n">
        <v>0</v>
      </c>
      <c r="M2186" t="n">
        <v>0</v>
      </c>
      <c r="N2186" t="n">
        <v>0</v>
      </c>
      <c r="O2186" t="n">
        <v>0</v>
      </c>
      <c r="P2186" t="n">
        <v>0</v>
      </c>
      <c r="Q2186" t="n">
        <v>0</v>
      </c>
      <c r="R2186" s="2" t="inlineStr"/>
    </row>
    <row r="2187" ht="15" customHeight="1">
      <c r="A2187" t="inlineStr">
        <is>
          <t>A 25932-2024</t>
        </is>
      </c>
      <c r="B2187" s="1" t="n">
        <v>45467.62097222222</v>
      </c>
      <c r="C2187" s="1" t="n">
        <v>46092</v>
      </c>
      <c r="D2187" t="inlineStr">
        <is>
          <t>VÄRMLANDS LÄN</t>
        </is>
      </c>
      <c r="E2187" t="inlineStr">
        <is>
          <t>TORSBY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48185-2024</t>
        </is>
      </c>
      <c r="B2188" s="1" t="n">
        <v>45589.90284722222</v>
      </c>
      <c r="C2188" s="1" t="n">
        <v>46092</v>
      </c>
      <c r="D2188" t="inlineStr">
        <is>
          <t>VÄRMLANDS LÄN</t>
        </is>
      </c>
      <c r="E2188" t="inlineStr">
        <is>
          <t>TORSBY</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38541-2023</t>
        </is>
      </c>
      <c r="B2189" s="1" t="n">
        <v>45162</v>
      </c>
      <c r="C2189" s="1" t="n">
        <v>46092</v>
      </c>
      <c r="D2189" t="inlineStr">
        <is>
          <t>VÄRMLANDS LÄN</t>
        </is>
      </c>
      <c r="E2189" t="inlineStr">
        <is>
          <t>TORSBY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19878-2025</t>
        </is>
      </c>
      <c r="B2190" s="1" t="n">
        <v>45771.55361111111</v>
      </c>
      <c r="C2190" s="1" t="n">
        <v>46092</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2616-2025</t>
        </is>
      </c>
      <c r="B2191" s="1" t="n">
        <v>45675</v>
      </c>
      <c r="C2191" s="1" t="n">
        <v>46092</v>
      </c>
      <c r="D2191" t="inlineStr">
        <is>
          <t>VÄRMLANDS LÄN</t>
        </is>
      </c>
      <c r="E2191" t="inlineStr">
        <is>
          <t>TORSBY</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14026-2025</t>
        </is>
      </c>
      <c r="B2192" s="1" t="n">
        <v>45740.35003472222</v>
      </c>
      <c r="C2192" s="1" t="n">
        <v>46092</v>
      </c>
      <c r="D2192" t="inlineStr">
        <is>
          <t>VÄRMLANDS LÄN</t>
        </is>
      </c>
      <c r="E2192" t="inlineStr">
        <is>
          <t>TORSBY</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32747-2021</t>
        </is>
      </c>
      <c r="B2193" s="1" t="n">
        <v>44375</v>
      </c>
      <c r="C2193" s="1" t="n">
        <v>46092</v>
      </c>
      <c r="D2193" t="inlineStr">
        <is>
          <t>VÄRMLANDS LÄN</t>
        </is>
      </c>
      <c r="E2193" t="inlineStr">
        <is>
          <t>TORSBY</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9286-2025</t>
        </is>
      </c>
      <c r="B2194" s="1" t="n">
        <v>45714</v>
      </c>
      <c r="C2194" s="1" t="n">
        <v>46092</v>
      </c>
      <c r="D2194" t="inlineStr">
        <is>
          <t>VÄRMLANDS LÄN</t>
        </is>
      </c>
      <c r="E2194" t="inlineStr">
        <is>
          <t>TORSBY</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51505-2021</t>
        </is>
      </c>
      <c r="B2195" s="1" t="n">
        <v>44460</v>
      </c>
      <c r="C2195" s="1" t="n">
        <v>46092</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15052-2024</t>
        </is>
      </c>
      <c r="B2196" s="1" t="n">
        <v>45399.52613425926</v>
      </c>
      <c r="C2196" s="1" t="n">
        <v>46092</v>
      </c>
      <c r="D2196" t="inlineStr">
        <is>
          <t>VÄRMLANDS LÄN</t>
        </is>
      </c>
      <c r="E2196" t="inlineStr">
        <is>
          <t>TORSBY</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19787-2025</t>
        </is>
      </c>
      <c r="B2197" s="1" t="n">
        <v>45771.4408912037</v>
      </c>
      <c r="C2197" s="1" t="n">
        <v>46092</v>
      </c>
      <c r="D2197" t="inlineStr">
        <is>
          <t>VÄRMLANDS LÄN</t>
        </is>
      </c>
      <c r="E2197" t="inlineStr">
        <is>
          <t>TORSBY</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49298-2024</t>
        </is>
      </c>
      <c r="B2198" s="1" t="n">
        <v>45595.54357638889</v>
      </c>
      <c r="C2198" s="1" t="n">
        <v>46092</v>
      </c>
      <c r="D2198" t="inlineStr">
        <is>
          <t>VÄRMLANDS LÄN</t>
        </is>
      </c>
      <c r="E2198" t="inlineStr">
        <is>
          <t>TORSBY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1040-2024</t>
        </is>
      </c>
      <c r="B2199" s="1" t="n">
        <v>45301</v>
      </c>
      <c r="C2199" s="1" t="n">
        <v>46092</v>
      </c>
      <c r="D2199" t="inlineStr">
        <is>
          <t>VÄRMLANDS LÄN</t>
        </is>
      </c>
      <c r="E2199" t="inlineStr">
        <is>
          <t>TORSBY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14303-2023</t>
        </is>
      </c>
      <c r="B2200" s="1" t="n">
        <v>45011.75886574074</v>
      </c>
      <c r="C2200" s="1" t="n">
        <v>46092</v>
      </c>
      <c r="D2200" t="inlineStr">
        <is>
          <t>VÄRMLANDS LÄN</t>
        </is>
      </c>
      <c r="E2200" t="inlineStr">
        <is>
          <t>TORSBY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21828-2024</t>
        </is>
      </c>
      <c r="B2201" s="1" t="n">
        <v>45442</v>
      </c>
      <c r="C2201" s="1" t="n">
        <v>46092</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17153-2025</t>
        </is>
      </c>
      <c r="B2202" s="1" t="n">
        <v>45756</v>
      </c>
      <c r="C2202" s="1" t="n">
        <v>46092</v>
      </c>
      <c r="D2202" t="inlineStr">
        <is>
          <t>VÄRMLANDS LÄN</t>
        </is>
      </c>
      <c r="E2202" t="inlineStr">
        <is>
          <t>TORSBY</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41671-2021</t>
        </is>
      </c>
      <c r="B2203" s="1" t="n">
        <v>44425</v>
      </c>
      <c r="C2203" s="1" t="n">
        <v>46092</v>
      </c>
      <c r="D2203" t="inlineStr">
        <is>
          <t>VÄRMLANDS LÄN</t>
        </is>
      </c>
      <c r="E2203" t="inlineStr">
        <is>
          <t>TORSBY</t>
        </is>
      </c>
      <c r="F2203" t="inlineStr">
        <is>
          <t>Övriga Aktiebolag</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13191-2025</t>
        </is>
      </c>
      <c r="B2204" s="1" t="n">
        <v>45735.40501157408</v>
      </c>
      <c r="C2204" s="1" t="n">
        <v>46092</v>
      </c>
      <c r="D2204" t="inlineStr">
        <is>
          <t>VÄRMLANDS LÄN</t>
        </is>
      </c>
      <c r="E2204" t="inlineStr">
        <is>
          <t>TORSBY</t>
        </is>
      </c>
      <c r="G2204" t="n">
        <v>10.6</v>
      </c>
      <c r="H2204" t="n">
        <v>0</v>
      </c>
      <c r="I2204" t="n">
        <v>0</v>
      </c>
      <c r="J2204" t="n">
        <v>0</v>
      </c>
      <c r="K2204" t="n">
        <v>0</v>
      </c>
      <c r="L2204" t="n">
        <v>0</v>
      </c>
      <c r="M2204" t="n">
        <v>0</v>
      </c>
      <c r="N2204" t="n">
        <v>0</v>
      </c>
      <c r="O2204" t="n">
        <v>0</v>
      </c>
      <c r="P2204" t="n">
        <v>0</v>
      </c>
      <c r="Q2204" t="n">
        <v>0</v>
      </c>
      <c r="R2204" s="2" t="inlineStr"/>
    </row>
    <row r="2205" ht="15" customHeight="1">
      <c r="A2205" t="inlineStr">
        <is>
          <t>A 33133-2024</t>
        </is>
      </c>
      <c r="B2205" s="1" t="n">
        <v>45518.31722222222</v>
      </c>
      <c r="C2205" s="1" t="n">
        <v>46092</v>
      </c>
      <c r="D2205" t="inlineStr">
        <is>
          <t>VÄRMLANDS LÄN</t>
        </is>
      </c>
      <c r="E2205" t="inlineStr">
        <is>
          <t>TORSBY</t>
        </is>
      </c>
      <c r="F2205" t="inlineStr">
        <is>
          <t>Bergvik skog väst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14162-2025</t>
        </is>
      </c>
      <c r="B2206" s="1" t="n">
        <v>45740</v>
      </c>
      <c r="C2206" s="1" t="n">
        <v>46092</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43545-2024</t>
        </is>
      </c>
      <c r="B2207" s="1" t="n">
        <v>45569.36980324074</v>
      </c>
      <c r="C2207" s="1" t="n">
        <v>46092</v>
      </c>
      <c r="D2207" t="inlineStr">
        <is>
          <t>VÄRMLANDS LÄN</t>
        </is>
      </c>
      <c r="E2207" t="inlineStr">
        <is>
          <t>TORSBY</t>
        </is>
      </c>
      <c r="F2207" t="inlineStr">
        <is>
          <t>Bergvik skog väst AB</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21365-2023</t>
        </is>
      </c>
      <c r="B2208" s="1" t="n">
        <v>45063.26761574074</v>
      </c>
      <c r="C2208" s="1" t="n">
        <v>46092</v>
      </c>
      <c r="D2208" t="inlineStr">
        <is>
          <t>VÄRMLANDS LÄN</t>
        </is>
      </c>
      <c r="E2208" t="inlineStr">
        <is>
          <t>TORSBY</t>
        </is>
      </c>
      <c r="F2208" t="inlineStr">
        <is>
          <t>Kyrkan</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19527-2023</t>
        </is>
      </c>
      <c r="B2209" s="1" t="n">
        <v>45050</v>
      </c>
      <c r="C2209" s="1" t="n">
        <v>46092</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4236-2023</t>
        </is>
      </c>
      <c r="B2210" s="1" t="n">
        <v>44953.48950231481</v>
      </c>
      <c r="C2210" s="1" t="n">
        <v>46092</v>
      </c>
      <c r="D2210" t="inlineStr">
        <is>
          <t>VÄRMLANDS LÄN</t>
        </is>
      </c>
      <c r="E2210" t="inlineStr">
        <is>
          <t>TORSBY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4250-2023</t>
        </is>
      </c>
      <c r="B2211" s="1" t="n">
        <v>44953.51747685186</v>
      </c>
      <c r="C2211" s="1" t="n">
        <v>46092</v>
      </c>
      <c r="D2211" t="inlineStr">
        <is>
          <t>VÄRMLANDS LÄN</t>
        </is>
      </c>
      <c r="E2211" t="inlineStr">
        <is>
          <t>TORSBY</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29256-2023</t>
        </is>
      </c>
      <c r="B2212" s="1" t="n">
        <v>45105.65310185185</v>
      </c>
      <c r="C2212" s="1" t="n">
        <v>46092</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29990-2022</t>
        </is>
      </c>
      <c r="B2213" s="1" t="n">
        <v>44756.73530092592</v>
      </c>
      <c r="C2213" s="1" t="n">
        <v>46092</v>
      </c>
      <c r="D2213" t="inlineStr">
        <is>
          <t>VÄRMLANDS LÄN</t>
        </is>
      </c>
      <c r="E2213" t="inlineStr">
        <is>
          <t>TORSBY</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18308-2024</t>
        </is>
      </c>
      <c r="B2214" s="1" t="n">
        <v>45422</v>
      </c>
      <c r="C2214" s="1" t="n">
        <v>46092</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25355-2024</t>
        </is>
      </c>
      <c r="B2215" s="1" t="n">
        <v>45462.92868055555</v>
      </c>
      <c r="C2215" s="1" t="n">
        <v>46092</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12701-2024</t>
        </is>
      </c>
      <c r="B2216" s="1" t="n">
        <v>45384</v>
      </c>
      <c r="C2216" s="1" t="n">
        <v>46092</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39781-2022</t>
        </is>
      </c>
      <c r="B2217" s="1" t="n">
        <v>44819</v>
      </c>
      <c r="C2217" s="1" t="n">
        <v>46092</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6013-2024</t>
        </is>
      </c>
      <c r="B2218" s="1" t="n">
        <v>45336.60763888889</v>
      </c>
      <c r="C2218" s="1" t="n">
        <v>46092</v>
      </c>
      <c r="D2218" t="inlineStr">
        <is>
          <t>VÄRMLANDS LÄN</t>
        </is>
      </c>
      <c r="E2218" t="inlineStr">
        <is>
          <t>TORSBY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43289-2022</t>
        </is>
      </c>
      <c r="B2219" s="1" t="n">
        <v>44834.51623842592</v>
      </c>
      <c r="C2219" s="1" t="n">
        <v>46092</v>
      </c>
      <c r="D2219" t="inlineStr">
        <is>
          <t>VÄRMLANDS LÄN</t>
        </is>
      </c>
      <c r="E2219" t="inlineStr">
        <is>
          <t>TORSBY</t>
        </is>
      </c>
      <c r="G2219" t="n">
        <v>11.2</v>
      </c>
      <c r="H2219" t="n">
        <v>0</v>
      </c>
      <c r="I2219" t="n">
        <v>0</v>
      </c>
      <c r="J2219" t="n">
        <v>0</v>
      </c>
      <c r="K2219" t="n">
        <v>0</v>
      </c>
      <c r="L2219" t="n">
        <v>0</v>
      </c>
      <c r="M2219" t="n">
        <v>0</v>
      </c>
      <c r="N2219" t="n">
        <v>0</v>
      </c>
      <c r="O2219" t="n">
        <v>0</v>
      </c>
      <c r="P2219" t="n">
        <v>0</v>
      </c>
      <c r="Q2219" t="n">
        <v>0</v>
      </c>
      <c r="R2219" s="2" t="inlineStr"/>
    </row>
    <row r="2220" ht="15" customHeight="1">
      <c r="A2220" t="inlineStr">
        <is>
          <t>A 35553-2023</t>
        </is>
      </c>
      <c r="B2220" s="1" t="n">
        <v>45147</v>
      </c>
      <c r="C2220" s="1" t="n">
        <v>46092</v>
      </c>
      <c r="D2220" t="inlineStr">
        <is>
          <t>VÄRMLANDS LÄN</t>
        </is>
      </c>
      <c r="E2220" t="inlineStr">
        <is>
          <t>TORSBY</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60272-2024</t>
        </is>
      </c>
      <c r="B2221" s="1" t="n">
        <v>45642</v>
      </c>
      <c r="C2221" s="1" t="n">
        <v>46092</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37075-2021</t>
        </is>
      </c>
      <c r="B2222" s="1" t="n">
        <v>44394</v>
      </c>
      <c r="C2222" s="1" t="n">
        <v>46092</v>
      </c>
      <c r="D2222" t="inlineStr">
        <is>
          <t>VÄRMLANDS LÄN</t>
        </is>
      </c>
      <c r="E2222" t="inlineStr">
        <is>
          <t>TORSBY</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22565-2024</t>
        </is>
      </c>
      <c r="B2223" s="1" t="n">
        <v>45447</v>
      </c>
      <c r="C2223" s="1" t="n">
        <v>46092</v>
      </c>
      <c r="D2223" t="inlineStr">
        <is>
          <t>VÄRMLANDS LÄN</t>
        </is>
      </c>
      <c r="E2223" t="inlineStr">
        <is>
          <t>TORSBY</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53460-2024</t>
        </is>
      </c>
      <c r="B2224" s="1" t="n">
        <v>45611</v>
      </c>
      <c r="C2224" s="1" t="n">
        <v>46092</v>
      </c>
      <c r="D2224" t="inlineStr">
        <is>
          <t>VÄRMLANDS LÄN</t>
        </is>
      </c>
      <c r="E2224" t="inlineStr">
        <is>
          <t>TORSBY</t>
        </is>
      </c>
      <c r="G2224" t="n">
        <v>12.7</v>
      </c>
      <c r="H2224" t="n">
        <v>0</v>
      </c>
      <c r="I2224" t="n">
        <v>0</v>
      </c>
      <c r="J2224" t="n">
        <v>0</v>
      </c>
      <c r="K2224" t="n">
        <v>0</v>
      </c>
      <c r="L2224" t="n">
        <v>0</v>
      </c>
      <c r="M2224" t="n">
        <v>0</v>
      </c>
      <c r="N2224" t="n">
        <v>0</v>
      </c>
      <c r="O2224" t="n">
        <v>0</v>
      </c>
      <c r="P2224" t="n">
        <v>0</v>
      </c>
      <c r="Q2224" t="n">
        <v>0</v>
      </c>
      <c r="R2224" s="2" t="inlineStr"/>
    </row>
    <row r="2225" ht="15" customHeight="1">
      <c r="A2225" t="inlineStr">
        <is>
          <t>A 46914-2024</t>
        </is>
      </c>
      <c r="B2225" s="1" t="n">
        <v>45583.7577662037</v>
      </c>
      <c r="C2225" s="1" t="n">
        <v>46092</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35057-2023</t>
        </is>
      </c>
      <c r="B2226" s="1" t="n">
        <v>45145.3909375</v>
      </c>
      <c r="C2226" s="1" t="n">
        <v>46092</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8012-2023</t>
        </is>
      </c>
      <c r="B2227" s="1" t="n">
        <v>44973</v>
      </c>
      <c r="C2227" s="1" t="n">
        <v>46092</v>
      </c>
      <c r="D2227" t="inlineStr">
        <is>
          <t>VÄRMLANDS LÄN</t>
        </is>
      </c>
      <c r="E2227" t="inlineStr">
        <is>
          <t>TORSBY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27446-2021</t>
        </is>
      </c>
      <c r="B2228" s="1" t="n">
        <v>44351</v>
      </c>
      <c r="C2228" s="1" t="n">
        <v>46092</v>
      </c>
      <c r="D2228" t="inlineStr">
        <is>
          <t>VÄRMLANDS LÄN</t>
        </is>
      </c>
      <c r="E2228" t="inlineStr">
        <is>
          <t>TORSBY</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28559-2021</t>
        </is>
      </c>
      <c r="B2229" s="1" t="n">
        <v>44356</v>
      </c>
      <c r="C2229" s="1" t="n">
        <v>46092</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21757-2024</t>
        </is>
      </c>
      <c r="B2230" s="1" t="n">
        <v>45442</v>
      </c>
      <c r="C2230" s="1" t="n">
        <v>46092</v>
      </c>
      <c r="D2230" t="inlineStr">
        <is>
          <t>VÄRMLANDS LÄN</t>
        </is>
      </c>
      <c r="E2230" t="inlineStr">
        <is>
          <t>TORSBY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34430-2023</t>
        </is>
      </c>
      <c r="B2231" s="1" t="n">
        <v>45139.62216435185</v>
      </c>
      <c r="C2231" s="1" t="n">
        <v>46092</v>
      </c>
      <c r="D2231" t="inlineStr">
        <is>
          <t>VÄRMLANDS LÄN</t>
        </is>
      </c>
      <c r="E2231" t="inlineStr">
        <is>
          <t>TORSBY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43988-2024</t>
        </is>
      </c>
      <c r="B2232" s="1" t="n">
        <v>45572</v>
      </c>
      <c r="C2232" s="1" t="n">
        <v>46092</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18331-2025</t>
        </is>
      </c>
      <c r="B2233" s="1" t="n">
        <v>45762</v>
      </c>
      <c r="C2233" s="1" t="n">
        <v>46092</v>
      </c>
      <c r="D2233" t="inlineStr">
        <is>
          <t>VÄRMLANDS LÄN</t>
        </is>
      </c>
      <c r="E2233" t="inlineStr">
        <is>
          <t>TORSBY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47271-2021</t>
        </is>
      </c>
      <c r="B2234" s="1" t="n">
        <v>44447</v>
      </c>
      <c r="C2234" s="1" t="n">
        <v>46092</v>
      </c>
      <c r="D2234" t="inlineStr">
        <is>
          <t>VÄRMLANDS LÄN</t>
        </is>
      </c>
      <c r="E2234" t="inlineStr">
        <is>
          <t>TORSBY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50680-2023</t>
        </is>
      </c>
      <c r="B2235" s="1" t="n">
        <v>45217.5165625</v>
      </c>
      <c r="C2235" s="1" t="n">
        <v>46092</v>
      </c>
      <c r="D2235" t="inlineStr">
        <is>
          <t>VÄRMLANDS LÄN</t>
        </is>
      </c>
      <c r="E2235" t="inlineStr">
        <is>
          <t>TORSBY</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21409-2023</t>
        </is>
      </c>
      <c r="B2236" s="1" t="n">
        <v>45063</v>
      </c>
      <c r="C2236" s="1" t="n">
        <v>46092</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15939-2021</t>
        </is>
      </c>
      <c r="B2237" s="1" t="n">
        <v>44287</v>
      </c>
      <c r="C2237" s="1" t="n">
        <v>46092</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14025-2025</t>
        </is>
      </c>
      <c r="B2238" s="1" t="n">
        <v>45740</v>
      </c>
      <c r="C2238" s="1" t="n">
        <v>46092</v>
      </c>
      <c r="D2238" t="inlineStr">
        <is>
          <t>VÄRMLANDS LÄN</t>
        </is>
      </c>
      <c r="E2238" t="inlineStr">
        <is>
          <t>TORSBY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42945-2024</t>
        </is>
      </c>
      <c r="B2239" s="1" t="n">
        <v>45567</v>
      </c>
      <c r="C2239" s="1" t="n">
        <v>46092</v>
      </c>
      <c r="D2239" t="inlineStr">
        <is>
          <t>VÄRMLANDS LÄN</t>
        </is>
      </c>
      <c r="E2239" t="inlineStr">
        <is>
          <t>TORSBY</t>
        </is>
      </c>
      <c r="F2239" t="inlineStr">
        <is>
          <t>Bergvik skog väst AB</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20725-2024</t>
        </is>
      </c>
      <c r="B2240" s="1" t="n">
        <v>45436.65284722222</v>
      </c>
      <c r="C2240" s="1" t="n">
        <v>46092</v>
      </c>
      <c r="D2240" t="inlineStr">
        <is>
          <t>VÄRMLANDS LÄN</t>
        </is>
      </c>
      <c r="E2240" t="inlineStr">
        <is>
          <t>TORSBY</t>
        </is>
      </c>
      <c r="F2240" t="inlineStr">
        <is>
          <t>Bergvik skog väst AB</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20461-2025</t>
        </is>
      </c>
      <c r="B2241" s="1" t="n">
        <v>45775.53158564815</v>
      </c>
      <c r="C2241" s="1" t="n">
        <v>46092</v>
      </c>
      <c r="D2241" t="inlineStr">
        <is>
          <t>VÄRMLANDS LÄN</t>
        </is>
      </c>
      <c r="E2241" t="inlineStr">
        <is>
          <t>TORSBY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11211-2024</t>
        </is>
      </c>
      <c r="B2242" s="1" t="n">
        <v>45371</v>
      </c>
      <c r="C2242" s="1" t="n">
        <v>46092</v>
      </c>
      <c r="D2242" t="inlineStr">
        <is>
          <t>VÄRMLANDS LÄN</t>
        </is>
      </c>
      <c r="E2242" t="inlineStr">
        <is>
          <t>TORSBY</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31547-2023</t>
        </is>
      </c>
      <c r="B2243" s="1" t="n">
        <v>45117</v>
      </c>
      <c r="C2243" s="1" t="n">
        <v>46092</v>
      </c>
      <c r="D2243" t="inlineStr">
        <is>
          <t>VÄRMLANDS LÄN</t>
        </is>
      </c>
      <c r="E2243" t="inlineStr">
        <is>
          <t>TORSBY</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22301-2023</t>
        </is>
      </c>
      <c r="B2244" s="1" t="n">
        <v>45070</v>
      </c>
      <c r="C2244" s="1" t="n">
        <v>46092</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14709-2023</t>
        </is>
      </c>
      <c r="B2245" s="1" t="n">
        <v>45014.41900462963</v>
      </c>
      <c r="C2245" s="1" t="n">
        <v>46092</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19489-2022</t>
        </is>
      </c>
      <c r="B2246" s="1" t="n">
        <v>44693</v>
      </c>
      <c r="C2246" s="1" t="n">
        <v>46092</v>
      </c>
      <c r="D2246" t="inlineStr">
        <is>
          <t>VÄRMLANDS LÄN</t>
        </is>
      </c>
      <c r="E2246" t="inlineStr">
        <is>
          <t>TORSBY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36558-2024</t>
        </is>
      </c>
      <c r="B2247" s="1" t="n">
        <v>45537</v>
      </c>
      <c r="C2247" s="1" t="n">
        <v>46092</v>
      </c>
      <c r="D2247" t="inlineStr">
        <is>
          <t>VÄRMLANDS LÄN</t>
        </is>
      </c>
      <c r="E2247" t="inlineStr">
        <is>
          <t>TORSBY</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11581-2025</t>
        </is>
      </c>
      <c r="B2248" s="1" t="n">
        <v>45727</v>
      </c>
      <c r="C2248" s="1" t="n">
        <v>46092</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23073-2023</t>
        </is>
      </c>
      <c r="B2249" s="1" t="n">
        <v>45070</v>
      </c>
      <c r="C2249" s="1" t="n">
        <v>46092</v>
      </c>
      <c r="D2249" t="inlineStr">
        <is>
          <t>VÄRMLANDS LÄN</t>
        </is>
      </c>
      <c r="E2249" t="inlineStr">
        <is>
          <t>TORSBY</t>
        </is>
      </c>
      <c r="G2249" t="n">
        <v>15.1</v>
      </c>
      <c r="H2249" t="n">
        <v>0</v>
      </c>
      <c r="I2249" t="n">
        <v>0</v>
      </c>
      <c r="J2249" t="n">
        <v>0</v>
      </c>
      <c r="K2249" t="n">
        <v>0</v>
      </c>
      <c r="L2249" t="n">
        <v>0</v>
      </c>
      <c r="M2249" t="n">
        <v>0</v>
      </c>
      <c r="N2249" t="n">
        <v>0</v>
      </c>
      <c r="O2249" t="n">
        <v>0</v>
      </c>
      <c r="P2249" t="n">
        <v>0</v>
      </c>
      <c r="Q2249" t="n">
        <v>0</v>
      </c>
      <c r="R2249" s="2" t="inlineStr"/>
    </row>
    <row r="2250" ht="15" customHeight="1">
      <c r="A2250" t="inlineStr">
        <is>
          <t>A 63083-2023</t>
        </is>
      </c>
      <c r="B2250" s="1" t="n">
        <v>45273.348125</v>
      </c>
      <c r="C2250" s="1" t="n">
        <v>46092</v>
      </c>
      <c r="D2250" t="inlineStr">
        <is>
          <t>VÄRMLANDS LÄN</t>
        </is>
      </c>
      <c r="E2250" t="inlineStr">
        <is>
          <t>TORSBY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54004-2024</t>
        </is>
      </c>
      <c r="B2251" s="1" t="n">
        <v>45616.36659722222</v>
      </c>
      <c r="C2251" s="1" t="n">
        <v>46092</v>
      </c>
      <c r="D2251" t="inlineStr">
        <is>
          <t>VÄRMLANDS LÄN</t>
        </is>
      </c>
      <c r="E2251" t="inlineStr">
        <is>
          <t>TORSBY</t>
        </is>
      </c>
      <c r="F2251" t="inlineStr">
        <is>
          <t>Kommuner</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33862-2024</t>
        </is>
      </c>
      <c r="B2252" s="1" t="n">
        <v>45520.69163194444</v>
      </c>
      <c r="C2252" s="1" t="n">
        <v>46092</v>
      </c>
      <c r="D2252" t="inlineStr">
        <is>
          <t>VÄRMLANDS LÄN</t>
        </is>
      </c>
      <c r="E2252" t="inlineStr">
        <is>
          <t>TORSBY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57536-2024</t>
        </is>
      </c>
      <c r="B2253" s="1" t="n">
        <v>45630.43023148148</v>
      </c>
      <c r="C2253" s="1" t="n">
        <v>46092</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26086-2024</t>
        </is>
      </c>
      <c r="B2254" s="1" t="n">
        <v>45468</v>
      </c>
      <c r="C2254" s="1" t="n">
        <v>46092</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22536-2024</t>
        </is>
      </c>
      <c r="B2255" s="1" t="n">
        <v>45447</v>
      </c>
      <c r="C2255" s="1" t="n">
        <v>46092</v>
      </c>
      <c r="D2255" t="inlineStr">
        <is>
          <t>VÄRMLANDS LÄN</t>
        </is>
      </c>
      <c r="E2255" t="inlineStr">
        <is>
          <t>TORSBY</t>
        </is>
      </c>
      <c r="G2255" t="n">
        <v>25.2</v>
      </c>
      <c r="H2255" t="n">
        <v>0</v>
      </c>
      <c r="I2255" t="n">
        <v>0</v>
      </c>
      <c r="J2255" t="n">
        <v>0</v>
      </c>
      <c r="K2255" t="n">
        <v>0</v>
      </c>
      <c r="L2255" t="n">
        <v>0</v>
      </c>
      <c r="M2255" t="n">
        <v>0</v>
      </c>
      <c r="N2255" t="n">
        <v>0</v>
      </c>
      <c r="O2255" t="n">
        <v>0</v>
      </c>
      <c r="P2255" t="n">
        <v>0</v>
      </c>
      <c r="Q2255" t="n">
        <v>0</v>
      </c>
      <c r="R2255" s="2" t="inlineStr"/>
    </row>
    <row r="2256" ht="15" customHeight="1">
      <c r="A2256" t="inlineStr">
        <is>
          <t>A 62574-2022</t>
        </is>
      </c>
      <c r="B2256" s="1" t="n">
        <v>44924.85943287037</v>
      </c>
      <c r="C2256" s="1" t="n">
        <v>46092</v>
      </c>
      <c r="D2256" t="inlineStr">
        <is>
          <t>VÄRMLANDS LÄN</t>
        </is>
      </c>
      <c r="E2256" t="inlineStr">
        <is>
          <t>TORSBY</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59005-2024</t>
        </is>
      </c>
      <c r="B2257" s="1" t="n">
        <v>45636.65234953703</v>
      </c>
      <c r="C2257" s="1" t="n">
        <v>46092</v>
      </c>
      <c r="D2257" t="inlineStr">
        <is>
          <t>VÄRMLANDS LÄN</t>
        </is>
      </c>
      <c r="E2257" t="inlineStr">
        <is>
          <t>TORSBY</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21580-2024</t>
        </is>
      </c>
      <c r="B2258" s="1" t="n">
        <v>45441</v>
      </c>
      <c r="C2258" s="1" t="n">
        <v>46092</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45587-2023</t>
        </is>
      </c>
      <c r="B2259" s="1" t="n">
        <v>45194.62877314815</v>
      </c>
      <c r="C2259" s="1" t="n">
        <v>46092</v>
      </c>
      <c r="D2259" t="inlineStr">
        <is>
          <t>VÄRMLANDS LÄN</t>
        </is>
      </c>
      <c r="E2259" t="inlineStr">
        <is>
          <t>TORSBY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20393-2023</t>
        </is>
      </c>
      <c r="B2260" s="1" t="n">
        <v>45056</v>
      </c>
      <c r="C2260" s="1" t="n">
        <v>46092</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14917-2023</t>
        </is>
      </c>
      <c r="B2261" s="1" t="n">
        <v>45015.39938657408</v>
      </c>
      <c r="C2261" s="1" t="n">
        <v>46092</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19614-2022</t>
        </is>
      </c>
      <c r="B2262" s="1" t="n">
        <v>44694</v>
      </c>
      <c r="C2262" s="1" t="n">
        <v>46092</v>
      </c>
      <c r="D2262" t="inlineStr">
        <is>
          <t>VÄRMLANDS LÄN</t>
        </is>
      </c>
      <c r="E2262" t="inlineStr">
        <is>
          <t>TORSBY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1547-2024</t>
        </is>
      </c>
      <c r="B2263" s="1" t="n">
        <v>45306.48456018518</v>
      </c>
      <c r="C2263" s="1" t="n">
        <v>46092</v>
      </c>
      <c r="D2263" t="inlineStr">
        <is>
          <t>VÄRMLANDS LÄN</t>
        </is>
      </c>
      <c r="E2263" t="inlineStr">
        <is>
          <t>TORSBY</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11842-2025</t>
        </is>
      </c>
      <c r="B2264" s="1" t="n">
        <v>45728.36950231482</v>
      </c>
      <c r="C2264" s="1" t="n">
        <v>46092</v>
      </c>
      <c r="D2264" t="inlineStr">
        <is>
          <t>VÄRMLANDS LÄN</t>
        </is>
      </c>
      <c r="E2264" t="inlineStr">
        <is>
          <t>TORSBY</t>
        </is>
      </c>
      <c r="F2264" t="inlineStr">
        <is>
          <t>Bergvik skog väst AB</t>
        </is>
      </c>
      <c r="G2264" t="n">
        <v>32.1</v>
      </c>
      <c r="H2264" t="n">
        <v>0</v>
      </c>
      <c r="I2264" t="n">
        <v>0</v>
      </c>
      <c r="J2264" t="n">
        <v>0</v>
      </c>
      <c r="K2264" t="n">
        <v>0</v>
      </c>
      <c r="L2264" t="n">
        <v>0</v>
      </c>
      <c r="M2264" t="n">
        <v>0</v>
      </c>
      <c r="N2264" t="n">
        <v>0</v>
      </c>
      <c r="O2264" t="n">
        <v>0</v>
      </c>
      <c r="P2264" t="n">
        <v>0</v>
      </c>
      <c r="Q2264" t="n">
        <v>0</v>
      </c>
      <c r="R2264" s="2" t="inlineStr"/>
    </row>
    <row r="2265" ht="15" customHeight="1">
      <c r="A2265" t="inlineStr">
        <is>
          <t>A 34968-2024</t>
        </is>
      </c>
      <c r="B2265" s="1" t="n">
        <v>45527.49986111111</v>
      </c>
      <c r="C2265" s="1" t="n">
        <v>46092</v>
      </c>
      <c r="D2265" t="inlineStr">
        <is>
          <t>VÄRMLANDS LÄN</t>
        </is>
      </c>
      <c r="E2265" t="inlineStr">
        <is>
          <t>TORSBY</t>
        </is>
      </c>
      <c r="F2265" t="inlineStr">
        <is>
          <t>Bergvik skog väst AB</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22705-2023</t>
        </is>
      </c>
      <c r="B2266" s="1" t="n">
        <v>45071</v>
      </c>
      <c r="C2266" s="1" t="n">
        <v>46092</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61206-2024</t>
        </is>
      </c>
      <c r="B2267" s="1" t="n">
        <v>45645.64626157407</v>
      </c>
      <c r="C2267" s="1" t="n">
        <v>46092</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59781-2023</t>
        </is>
      </c>
      <c r="B2268" s="1" t="n">
        <v>45257.44043981482</v>
      </c>
      <c r="C2268" s="1" t="n">
        <v>46092</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20843-2025</t>
        </is>
      </c>
      <c r="B2269" s="1" t="n">
        <v>45776.9233912037</v>
      </c>
      <c r="C2269" s="1" t="n">
        <v>46092</v>
      </c>
      <c r="D2269" t="inlineStr">
        <is>
          <t>VÄRMLANDS LÄN</t>
        </is>
      </c>
      <c r="E2269" t="inlineStr">
        <is>
          <t>TORSBY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20816-2025</t>
        </is>
      </c>
      <c r="B2270" s="1" t="n">
        <v>45776</v>
      </c>
      <c r="C2270" s="1" t="n">
        <v>46092</v>
      </c>
      <c r="D2270" t="inlineStr">
        <is>
          <t>VÄRMLANDS LÄN</t>
        </is>
      </c>
      <c r="E2270" t="inlineStr">
        <is>
          <t>TORSBY</t>
        </is>
      </c>
      <c r="F2270" t="inlineStr">
        <is>
          <t>Bergvik skog väst AB</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20740-2025</t>
        </is>
      </c>
      <c r="B2271" s="1" t="n">
        <v>45776.54284722222</v>
      </c>
      <c r="C2271" s="1" t="n">
        <v>46092</v>
      </c>
      <c r="D2271" t="inlineStr">
        <is>
          <t>VÄRMLANDS LÄN</t>
        </is>
      </c>
      <c r="E2271" t="inlineStr">
        <is>
          <t>TORSBY</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20914-2025</t>
        </is>
      </c>
      <c r="B2272" s="1" t="n">
        <v>45777</v>
      </c>
      <c r="C2272" s="1" t="n">
        <v>46092</v>
      </c>
      <c r="D2272" t="inlineStr">
        <is>
          <t>VÄRMLANDS LÄN</t>
        </is>
      </c>
      <c r="E2272" t="inlineStr">
        <is>
          <t>TORSBY</t>
        </is>
      </c>
      <c r="F2272" t="inlineStr">
        <is>
          <t>Bergvik skog väst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20773-2025</t>
        </is>
      </c>
      <c r="B2273" s="1" t="n">
        <v>45776.59321759259</v>
      </c>
      <c r="C2273" s="1" t="n">
        <v>46092</v>
      </c>
      <c r="D2273" t="inlineStr">
        <is>
          <t>VÄRMLANDS LÄN</t>
        </is>
      </c>
      <c r="E2273" t="inlineStr">
        <is>
          <t>TORSBY</t>
        </is>
      </c>
      <c r="F2273" t="inlineStr">
        <is>
          <t>Bergvik skog väst AB</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21274-2025</t>
        </is>
      </c>
      <c r="B2274" s="1" t="n">
        <v>45779.62877314815</v>
      </c>
      <c r="C2274" s="1" t="n">
        <v>46092</v>
      </c>
      <c r="D2274" t="inlineStr">
        <is>
          <t>VÄRMLANDS LÄN</t>
        </is>
      </c>
      <c r="E2274" t="inlineStr">
        <is>
          <t>TORSBY</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21462-2025</t>
        </is>
      </c>
      <c r="B2275" s="1" t="n">
        <v>45782.56770833334</v>
      </c>
      <c r="C2275" s="1" t="n">
        <v>46092</v>
      </c>
      <c r="D2275" t="inlineStr">
        <is>
          <t>VÄRMLANDS LÄN</t>
        </is>
      </c>
      <c r="E2275" t="inlineStr">
        <is>
          <t>TORSBY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21808-2025</t>
        </is>
      </c>
      <c r="B2276" s="1" t="n">
        <v>45783.70846064815</v>
      </c>
      <c r="C2276" s="1" t="n">
        <v>46092</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21759-2025</t>
        </is>
      </c>
      <c r="B2277" s="1" t="n">
        <v>45783</v>
      </c>
      <c r="C2277" s="1" t="n">
        <v>46092</v>
      </c>
      <c r="D2277" t="inlineStr">
        <is>
          <t>VÄRMLANDS LÄN</t>
        </is>
      </c>
      <c r="E2277" t="inlineStr">
        <is>
          <t>TORSBY</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21324-2025</t>
        </is>
      </c>
      <c r="B2278" s="1" t="n">
        <v>45782.34947916667</v>
      </c>
      <c r="C2278" s="1" t="n">
        <v>46092</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21576-2025</t>
        </is>
      </c>
      <c r="B2279" s="1" t="n">
        <v>45782.86440972222</v>
      </c>
      <c r="C2279" s="1" t="n">
        <v>46092</v>
      </c>
      <c r="D2279" t="inlineStr">
        <is>
          <t>VÄRMLANDS LÄN</t>
        </is>
      </c>
      <c r="E2279" t="inlineStr">
        <is>
          <t>TORSBY</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41633-2021</t>
        </is>
      </c>
      <c r="B2280" s="1" t="n">
        <v>44425</v>
      </c>
      <c r="C2280" s="1" t="n">
        <v>46092</v>
      </c>
      <c r="D2280" t="inlineStr">
        <is>
          <t>VÄRMLANDS LÄN</t>
        </is>
      </c>
      <c r="E2280" t="inlineStr">
        <is>
          <t>TORSBY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25313-2024</t>
        </is>
      </c>
      <c r="B2281" s="1" t="n">
        <v>45462</v>
      </c>
      <c r="C2281" s="1" t="n">
        <v>46092</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33495-2024</t>
        </is>
      </c>
      <c r="B2282" s="1" t="n">
        <v>45519</v>
      </c>
      <c r="C2282" s="1" t="n">
        <v>46092</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33085-2024</t>
        </is>
      </c>
      <c r="B2283" s="1" t="n">
        <v>45517.67784722222</v>
      </c>
      <c r="C2283" s="1" t="n">
        <v>46092</v>
      </c>
      <c r="D2283" t="inlineStr">
        <is>
          <t>VÄRMLANDS LÄN</t>
        </is>
      </c>
      <c r="E2283" t="inlineStr">
        <is>
          <t>TORSBY</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6448-2025</t>
        </is>
      </c>
      <c r="B2284" s="1" t="n">
        <v>45699</v>
      </c>
      <c r="C2284" s="1" t="n">
        <v>46092</v>
      </c>
      <c r="D2284" t="inlineStr">
        <is>
          <t>VÄRMLANDS LÄN</t>
        </is>
      </c>
      <c r="E2284" t="inlineStr">
        <is>
          <t>TORSBY</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21744-2024</t>
        </is>
      </c>
      <c r="B2285" s="1" t="n">
        <v>45442</v>
      </c>
      <c r="C2285" s="1" t="n">
        <v>46092</v>
      </c>
      <c r="D2285" t="inlineStr">
        <is>
          <t>VÄRMLANDS LÄN</t>
        </is>
      </c>
      <c r="E2285" t="inlineStr">
        <is>
          <t>TORSBY</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20170-2021</t>
        </is>
      </c>
      <c r="B2286" s="1" t="n">
        <v>44312</v>
      </c>
      <c r="C2286" s="1" t="n">
        <v>46092</v>
      </c>
      <c r="D2286" t="inlineStr">
        <is>
          <t>VÄRMLANDS LÄN</t>
        </is>
      </c>
      <c r="E2286" t="inlineStr">
        <is>
          <t>TORSBY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22090-2025</t>
        </is>
      </c>
      <c r="B2287" s="1" t="n">
        <v>45785.45212962963</v>
      </c>
      <c r="C2287" s="1" t="n">
        <v>46092</v>
      </c>
      <c r="D2287" t="inlineStr">
        <is>
          <t>VÄRMLANDS LÄN</t>
        </is>
      </c>
      <c r="E2287" t="inlineStr">
        <is>
          <t>TORSBY</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21963-2025</t>
        </is>
      </c>
      <c r="B2288" s="1" t="n">
        <v>45784</v>
      </c>
      <c r="C2288" s="1" t="n">
        <v>46092</v>
      </c>
      <c r="D2288" t="inlineStr">
        <is>
          <t>VÄRMLANDS LÄN</t>
        </is>
      </c>
      <c r="E2288" t="inlineStr">
        <is>
          <t>TORSBY</t>
        </is>
      </c>
      <c r="F2288" t="inlineStr">
        <is>
          <t>Bergvik skog väst AB</t>
        </is>
      </c>
      <c r="G2288" t="n">
        <v>12.3</v>
      </c>
      <c r="H2288" t="n">
        <v>0</v>
      </c>
      <c r="I2288" t="n">
        <v>0</v>
      </c>
      <c r="J2288" t="n">
        <v>0</v>
      </c>
      <c r="K2288" t="n">
        <v>0</v>
      </c>
      <c r="L2288" t="n">
        <v>0</v>
      </c>
      <c r="M2288" t="n">
        <v>0</v>
      </c>
      <c r="N2288" t="n">
        <v>0</v>
      </c>
      <c r="O2288" t="n">
        <v>0</v>
      </c>
      <c r="P2288" t="n">
        <v>0</v>
      </c>
      <c r="Q2288" t="n">
        <v>0</v>
      </c>
      <c r="R2288" s="2" t="inlineStr"/>
    </row>
    <row r="2289">
      <c r="A2289" t="inlineStr">
        <is>
          <t>A 21974-2025</t>
        </is>
      </c>
      <c r="B2289" s="1" t="n">
        <v>45784.63689814815</v>
      </c>
      <c r="C2289" s="1" t="n">
        <v>46092</v>
      </c>
      <c r="D2289" t="inlineStr">
        <is>
          <t>VÄRMLANDS LÄN</t>
        </is>
      </c>
      <c r="E2289" t="inlineStr">
        <is>
          <t>TORSBY</t>
        </is>
      </c>
      <c r="F2289" t="inlineStr">
        <is>
          <t>Bergvik skog väst AB</t>
        </is>
      </c>
      <c r="G2289" t="n">
        <v>6.9</v>
      </c>
      <c r="H2289" t="n">
        <v>0</v>
      </c>
      <c r="I2289" t="n">
        <v>0</v>
      </c>
      <c r="J2289" t="n">
        <v>0</v>
      </c>
      <c r="K2289" t="n">
        <v>0</v>
      </c>
      <c r="L2289" t="n">
        <v>0</v>
      </c>
      <c r="M2289" t="n">
        <v>0</v>
      </c>
      <c r="N2289" t="n">
        <v>0</v>
      </c>
      <c r="O2289" t="n">
        <v>0</v>
      </c>
      <c r="P2289" t="n">
        <v>0</v>
      </c>
      <c r="Q2289" t="n">
        <v>0</v>
      </c>
      <c r="R2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2026-03-11T11:21:59Z</dcterms:created>
  <dcterms:modified xmlns:dcterms="http://purl.org/dc/terms/" xmlns:xsi="http://www.w3.org/2001/XMLSchema-instance" xsi:type="dcterms:W3CDTF">2026-03-11T11:22:01Z</dcterms:modified>
</cp:coreProperties>
</file>