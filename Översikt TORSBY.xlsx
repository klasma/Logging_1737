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45637</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45637</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45637</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45637</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45637</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45637</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45637</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45637</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45637</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45637</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45637</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45637</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45637</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45637</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45637</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45637</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45637</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45637</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45637</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45637</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45637</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45637</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45637</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45637</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45637</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45637</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45637</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45637</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45637</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45637</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45637</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45637</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45637</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45637</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45637</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45637</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45637</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45637</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45637</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45637</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45637</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45637</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45637</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45637</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45637</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45637</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45637</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45637</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45637</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45637</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45637</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45637</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45637</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45637</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45637</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45637</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45637</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45637</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45637</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45637</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45637</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45637</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45637</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45637</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45637</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45637</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45637</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45637</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45637</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45637</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45637</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45637</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45637</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45637</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45637</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45637</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45637</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45637</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45637</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45637</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45637</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45637</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45637</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45637</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45637</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45637</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45637</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45637</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45637</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45637</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45637</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45637</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45637</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45637</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45637</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45637</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45637</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45637</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45637</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45637</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45637</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45637</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45637</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45637</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45637</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45637</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45637</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45637</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45637</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45637</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45637</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45637</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45637</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45637</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45637</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45637</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45637</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45637</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45637</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45637</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45637</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45637</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45637</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45637</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45637</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45637</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45637</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45637</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45637</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45637</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45637</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45637</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45637</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45637</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45637</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45637</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45637</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45637</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45637</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45637</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45637</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45637</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45637</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45637</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45637</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45637</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45637</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45637</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54009-2024</t>
        </is>
      </c>
      <c r="B160" s="1" t="n">
        <v>45616</v>
      </c>
      <c r="C160" s="1" t="n">
        <v>45637</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54029-2024</t>
        </is>
      </c>
      <c r="B161" s="1" t="n">
        <v>45616</v>
      </c>
      <c r="C161" s="1" t="n">
        <v>45637</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54788-2024</t>
        </is>
      </c>
      <c r="B162" s="1" t="n">
        <v>45618</v>
      </c>
      <c r="C162" s="1" t="n">
        <v>45637</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54786-2024</t>
        </is>
      </c>
      <c r="B163" s="1" t="n">
        <v>45618</v>
      </c>
      <c r="C163" s="1" t="n">
        <v>45637</v>
      </c>
      <c r="D163" t="inlineStr">
        <is>
          <t>VÄRMLANDS LÄN</t>
        </is>
      </c>
      <c r="E163" t="inlineStr">
        <is>
          <t>TORSBY</t>
        </is>
      </c>
      <c r="G163" t="n">
        <v>3.8</v>
      </c>
      <c r="H163" t="n">
        <v>0</v>
      </c>
      <c r="I163" t="n">
        <v>0</v>
      </c>
      <c r="J163" t="n">
        <v>1</v>
      </c>
      <c r="K163" t="n">
        <v>0</v>
      </c>
      <c r="L163" t="n">
        <v>0</v>
      </c>
      <c r="M163" t="n">
        <v>0</v>
      </c>
      <c r="N163" t="n">
        <v>0</v>
      </c>
      <c r="O163" t="n">
        <v>1</v>
      </c>
      <c r="P163" t="n">
        <v>0</v>
      </c>
      <c r="Q163" t="n">
        <v>1</v>
      </c>
      <c r="R163" s="2" t="inlineStr">
        <is>
          <t>Dvärgbägarlav</t>
        </is>
      </c>
      <c r="S163">
        <f>HYPERLINK("https://klasma.github.io/Logging_1737/artfynd/A 54786-2024 artfynd.xlsx", "A 54786-2024")</f>
        <v/>
      </c>
      <c r="T163">
        <f>HYPERLINK("https://klasma.github.io/Logging_1737/kartor/A 54786-2024 karta.png", "A 54786-2024")</f>
        <v/>
      </c>
      <c r="V163">
        <f>HYPERLINK("https://klasma.github.io/Logging_1737/klagomål/A 54786-2024 FSC-klagomål.docx", "A 54786-2024")</f>
        <v/>
      </c>
      <c r="W163">
        <f>HYPERLINK("https://klasma.github.io/Logging_1737/klagomålsmail/A 54786-2024 FSC-klagomål mail.docx", "A 54786-2024")</f>
        <v/>
      </c>
      <c r="X163">
        <f>HYPERLINK("https://klasma.github.io/Logging_1737/tillsyn/A 54786-2024 tillsynsbegäran.docx", "A 54786-2024")</f>
        <v/>
      </c>
      <c r="Y163">
        <f>HYPERLINK("https://klasma.github.io/Logging_1737/tillsynsmail/A 54786-2024 tillsynsbegäran mail.docx", "A 54786-2024")</f>
        <v/>
      </c>
    </row>
    <row r="164" ht="15" customHeight="1">
      <c r="A164" t="inlineStr">
        <is>
          <t>A 56133-2024</t>
        </is>
      </c>
      <c r="B164" s="1" t="n">
        <v>45624</v>
      </c>
      <c r="C164" s="1" t="n">
        <v>45637</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45637</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45637</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45637</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45637</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45637</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45637</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45637</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45637</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45637</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45637</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45637</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45637</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45637</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45637</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45637</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45637</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45637</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45637</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45637</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45637</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45637</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45637</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45637</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45637</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45637</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45637</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45637</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45637</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45637</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45637</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45637</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45637</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45637</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45637</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45637</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45637</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45637</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45637</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45637</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45637</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45637</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45637</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45637</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45637</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45637</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45637</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45637</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45637</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45637</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45637</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45637</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45637</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45637</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45637</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45637</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45637</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45637</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45637</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45637</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45637</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45637</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45637</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45637</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45637</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45637</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45637</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45637</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45637</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45637</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45637</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45637</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45637</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45637</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45637</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45637</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45637</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45637</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45637</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45637</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45637</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45637</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45637</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45637</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45637</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45637</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45637</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45637</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45637</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45637</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45637</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45637</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45637</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45637</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45637</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45637</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45637</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45637</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45637</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45637</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45637</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45637</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45637</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45637</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45637</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45637</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45637</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45637</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45637</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45637</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45637</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45637</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45637</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45637</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45637</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45637</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45637</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45637</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45637</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45637</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45637</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45637</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45637</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45637</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45637</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45637</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45637</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45637</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45637</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45637</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45637</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45637</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45637</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45637</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45637</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45637</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45637</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45637</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45637</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45637</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45637</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45637</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45637</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45637</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45637</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45637</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45637</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45637</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45637</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45637</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45637</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45637</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45637</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45637</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45637</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45637</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45637</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45637</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45637</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45637</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45637</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45637</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45637</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45637</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45637</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45637</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45637</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45637</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45637</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45637</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45637</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45637</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45637</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45637</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45637</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45637</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45637</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45637</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45637</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45637</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45637</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45637</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45637</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45637</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45637</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45637</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45637</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45637</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45637</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45637</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45637</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45637</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45637</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45637</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45637</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45637</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45637</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45637</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45637</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45637</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45637</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45637</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45637</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45637</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45637</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45637</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45637</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45637</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45637</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45637</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45637</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45637</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45637</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45637</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45637</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45637</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45637</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45637</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45637</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45637</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45637</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45637</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45637</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45637</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45637</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45637</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45637</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45637</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45637</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45637</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45637</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45637</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45637</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45637</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45637</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45637</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45637</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45637</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45637</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45637</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45637</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45637</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45637</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45637</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45637</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45637</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45637</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45637</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45637</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45637</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45637</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45637</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45637</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45637</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45637</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45637</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45637</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45637</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45637</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45637</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45637</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45637</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45637</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45637</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45637</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45637</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45637</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45637</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45637</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45637</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45637</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45637</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45637</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45637</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45637</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45637</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45637</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45637</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45637</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45637</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45637</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45637</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45637</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45637</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45637</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45637</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45637</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45637</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45637</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45637</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45637</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45637</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45637</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45637</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45637</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45637</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45637</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45637</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45637</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45637</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45637</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45637</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45637</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45637</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45637</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45637</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45637</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45637</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45637</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45637</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45637</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45637</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45637</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45637</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45637</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45637</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45637</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45637</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45637</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45637</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45637</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45637</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45637</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45637</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45637</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45637</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45637</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45637</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45637</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45637</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45637</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45637</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45637</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45637</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45637</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45637</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45637</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45637</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45637</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45637</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45637</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45637</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45637</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45637</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45637</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45637</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45637</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45637</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45637</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45637</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45637</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45637</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45637</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45637</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45637</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45637</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45637</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45637</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45637</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45637</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45637</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45637</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45637</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45637</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45637</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45637</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45637</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45637</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45637</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45637</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45637</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45637</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45637</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45637</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45637</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45637</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45637</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45637</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45637</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45637</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45637</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45637</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45637</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45637</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45637</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45637</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45637</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45637</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45637</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45637</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45637</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45637</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45637</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45637</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45637</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45637</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45637</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45637</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45637</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45637</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45637</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45637</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45637</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45637</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45637</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45637</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45637</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45637</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45637</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45637</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45637</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45637</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45637</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45637</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45637</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45637</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45637</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45637</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45637</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45637</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45637</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45637</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45637</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45637</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45637</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45637</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45637</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45637</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45637</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45637</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45637</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45637</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45637</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45637</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45637</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45637</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45637</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45637</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45637</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45637</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45637</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45637</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45637</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45637</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45637</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45637</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45637</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45637</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45637</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45637</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45637</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45637</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45637</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45637</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45637</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45637</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45637</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45637</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45637</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45637</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45637</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45637</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45637</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45637</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45637</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45637</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45637</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45637</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45637</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45637</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45637</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45637</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45637</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45637</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45637</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45637</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45637</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45637</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45637</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45637</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45637</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45637</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45637</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45637</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45637</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45637</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45637</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45637</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45637</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45637</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45637</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45637</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45637</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45637</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45637</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45637</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45637</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45637</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45637</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45637</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45637</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45637</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45637</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45637</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45637</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45637</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45637</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45637</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45637</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45637</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45637</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45637</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45637</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45637</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45637</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45637</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45637</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45637</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45637</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45637</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45637</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45637</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45637</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45637</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45637</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45637</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45637</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45637</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45637</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45637</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45637</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45637</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45637</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45637</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45637</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45637</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45637</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45637</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45637</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45637</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45637</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45637</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45637</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45637</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45637</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45637</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45637</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45637</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45637</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45637</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45637</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45637</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45637</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45637</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45637</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45637</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45637</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45637</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45637</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45637</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45637</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45637</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45637</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45637</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45637</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45637</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45637</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45637</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45637</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45637</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45637</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45637</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45637</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45637</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45637</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45637</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45637</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45637</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45637</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45637</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45637</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45637</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45637</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45637</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45637</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45637</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45637</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45637</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45637</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45637</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45637</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45637</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45637</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45637</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45637</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45637</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45637</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45637</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45637</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45637</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45637</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45637</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45637</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45637</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45637</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45637</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45637</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45637</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45637</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45637</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45637</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45637</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45637</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45637</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45637</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45637</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45637</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45637</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45637</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45637</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45637</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45637</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45637</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45637</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45637</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45637</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45637</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45637</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45637</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45637</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45637</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45637</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45637</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45637</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45637</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45637</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45637</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45637</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45637</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45637</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45637</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45637</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45637</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45637</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45637</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45637</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45637</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45637</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45637</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45637</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45637</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45637</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45637</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45637</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45637</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45637</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45637</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45637</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45637</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45637</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45637</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45637</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45637</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45637</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45637</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45637</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45637</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45637</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45637</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45637</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45637</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45637</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45637</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45637</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45637</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45637</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45637</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45637</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45637</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45637</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45637</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45637</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45637</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45637</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45637</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45637</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45637</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45637</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45637</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45637</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45637</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45637</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45637</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45637</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45637</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45637</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45637</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45637</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45637</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45637</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45637</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45637</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45637</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45637</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45637</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45637</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45637</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45637</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45637</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45637</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45637</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45637</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45637</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45637</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45637</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45637</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45637</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45637</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45637</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45637</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45637</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45637</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45637</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45637</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45637</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45637</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45637</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45637</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45637</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45637</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45637</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45637</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45637</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45637</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45637</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45637</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45637</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45637</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45637</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45637</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45637</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45637</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45637</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45637</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45637</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45637</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45637</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45637</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45637</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45637</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45637</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45637</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45637</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45637</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45637</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45637</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45637</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45637</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45637</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45637</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45637</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45637</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45637</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45637</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45637</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45637</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45637</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45637</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45637</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45637</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45637</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45637</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45637</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45637</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45637</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45637</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45637</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45637</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45637</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45637</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45637</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45637</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45637</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45637</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45637</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45637</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45637</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45637</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45637</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45637</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45637</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45637</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45637</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45637</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45637</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45637</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45637</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45637</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45637</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45637</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45637</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45637</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45637</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45637</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45637</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45637</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45637</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45637</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45637</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45637</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45637</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45637</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45637</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45637</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45637</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45637</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45637</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45637</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45637</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45637</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45637</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45637</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45637</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45637</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45637</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45637</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45637</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45637</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45637</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45637</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45637</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45637</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45637</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45637</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45637</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45637</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45637</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45637</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45637</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45637</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45637</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45637</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45637</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45637</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45637</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45637</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45637</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45637</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45637</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45637</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45637</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45637</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45637</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45637</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45637</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45637</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45637</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45637</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45637</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45637</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45637</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45637</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45637</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45637</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45637</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45637</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45637</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45637</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45637</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45637</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45637</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45637</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45637</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45637</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45637</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45637</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45637</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45637</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45637</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45637</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45637</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45637</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45637</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45637</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45637</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45637</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45637</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45637</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45637</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45637</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45637</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45637</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45637</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45637</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45637</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45637</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45637</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45637</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45637</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45637</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45637</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45637</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45637</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45637</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45637</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45637</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45637</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45637</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45637</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45637</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45637</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45637</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45637</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45637</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45637</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45637</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45637</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45637</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45637</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45637</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45637</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45637</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45637</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45637</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45637</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45637</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45637</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45637</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45637</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45637</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45637</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45637</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45637</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45637</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45637</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45637</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45637</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45637</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45637</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45637</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45637</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45637</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45637</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45637</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45637</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45637</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45637</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45637</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45637</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45637</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45637</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45637</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45637</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45637</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45637</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45637</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45637</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45637</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45637</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45637</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45637</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45637</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45637</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45637</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45637</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45637</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45637</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45637</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45637</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45637</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45637</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45637</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45637</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45637</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45637</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45637</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45637</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45637</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45637</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45637</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45637</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45637</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45637</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45637</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45637</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45637</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45637</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45637</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45637</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45637</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45637</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45637</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45637</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45637</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45637</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45637</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45637</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45637</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45637</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45637</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45637</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45637</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45637</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45637</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45637</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45637</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45637</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45637</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45637</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45637</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45637</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45637</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45637</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45637</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45637</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45637</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45637</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45637</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45637</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45637</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45637</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45637</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45637</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45637</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45637</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45637</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45637</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45637</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45637</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45637</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45637</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45637</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45637</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45637</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45637</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45637</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45637</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45637</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45637</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45637</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45637</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45637</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45637</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45637</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45637</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45637</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45637</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45637</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45637</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45637</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45637</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45637</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45637</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45637</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45637</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45637</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45637</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45637</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45637</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45637</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45637</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45637</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45637</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45637</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45637</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45637</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45637</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45637</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45637</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45637</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45637</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45637</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45637</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45637</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45637</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45637</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45637</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45637</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45637</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45637</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45637</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45637</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45637</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45637</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45637</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45637</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45637</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45637</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45637</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45637</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45637</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45637</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45637</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45637</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45637</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45637</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45637</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45637</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45637</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45637</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45637</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45637</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45637</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45637</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45637</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45637</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45637</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45637</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45637</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45637</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45637</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45637</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45637</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45637</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45637</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45637</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45637</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45637</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45637</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45637</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45637</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45637</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45637</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45637</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45637</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45637</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45637</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45637</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45637</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45637</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45637</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45637</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45637</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45637</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45637</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45637</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45637</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45637</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45637</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45637</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45637</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45637</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45637</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45637</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45637</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45637</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45637</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45637</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45637</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45637</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45637</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45637</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45637</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45637</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45637</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45637</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45637</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45637</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45637</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45637</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45637</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45637</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45637</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45637</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45637</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45637</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45637</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45637</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45637</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45637</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45637</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45637</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45637</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45637</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45637</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45637</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45637</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45637</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45637</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45637</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45637</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45637</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45637</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45637</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45637</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45637</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45637</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45637</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45637</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45637</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45637</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45637</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45637</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45637</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45637</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45637</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45637</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45637</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45637</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45637</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45637</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45637</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45637</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45637</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45637</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45637</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45637</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45637</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45637</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45637</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45637</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45637</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45637</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45637</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45637</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45637</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45637</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45637</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45637</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45637</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45637</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45637</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45637</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45637</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45637</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45637</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45637</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45637</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45637</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45637</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45637</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45637</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45637</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45637</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45637</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45637</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45637</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45637</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45637</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45637</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45637</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45637</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45637</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45637</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45637</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45637</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45637</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45637</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45637</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45637</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45637</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45637</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45637</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45637</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45637</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45637</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45637</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45637</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45637</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45637</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45637</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45637</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45637</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45637</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45637</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45637</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45637</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45637</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45637</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45637</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45637</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45637</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45637</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45637</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45637</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45637</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45637</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45637</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45637</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45637</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45637</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45637</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45637</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45637</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45637</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45637</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45637</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45637</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45637</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45637</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45637</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45637</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45637</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45637</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45637</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45637</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45637</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45637</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45637</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45637</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45637</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45637</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45637</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45637</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45637</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45637</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45637</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45637</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45637</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45637</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45637</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45637</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45637</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45637</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45637</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45637</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45637</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45637</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45637</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45637</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45637</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45637</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45637</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45637</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45637</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45637</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45637</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45637</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45637</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45637</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45637</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45637</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45637</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45637</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45637</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45637</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45637</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45637</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45637</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45637</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45637</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45637</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45637</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45637</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45637</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45637</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45637</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45637</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45637</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45637</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45637</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45637</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45637</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45637</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45637</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45637</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45637</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45637</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45637</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45637</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45637</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45637</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45637</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45637</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45637</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45637</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45637</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45637</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45637</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45637</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45637</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45637</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45637</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45637</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45637</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45637</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45637</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45637</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45637</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45637</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45637</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45637</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45637</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45637</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45637</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45637</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45637</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45637</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45637</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45637</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45637</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45637</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45637</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45637</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45637</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45637</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45637</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45637</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45637</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45637</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45637</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45637</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45637</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45637</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45637</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45637</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45637</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45637</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45637</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45637</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45637</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45637</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45637</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45637</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45637</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45637</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45637</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45637</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45637</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45637</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45637</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45637</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45637</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45637</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45637</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45637</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45637</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45637</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45637</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45637</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45637</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45637</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45637</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45637</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45637</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45637</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45637</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45637</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45637</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45637</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45637</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45637</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45637</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45637</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45637</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45637</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45637</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45637</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45637</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45637</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45637</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45637</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45637</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45637</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45637</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45637</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45637</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45637</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45637</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45637</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45637</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45637</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45637</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45637</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45637</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45637</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45637</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45637</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45637</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45637</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45637</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45637</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45637</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45637</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45637</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45637</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45637</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45637</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45637</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45637</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45637</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45637</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45637</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45637</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45637</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45637</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45637</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45637</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45637</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45637</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45637</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45637</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45637</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45637</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45637</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45637</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45637</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45637</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45637</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45637</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45637</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45637</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45637</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45637</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45637</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45637</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45637</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45637</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45637</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45637</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45637</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45637</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45637</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45637</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45637</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45637</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45637</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45637</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45637</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45637</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45637</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45637</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45637</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45637</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45637</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45637</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45637</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45637</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45637</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45637</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45637</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45637</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45637</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45637</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45637</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45637</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45637</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45637</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45637</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45637</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45637</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45637</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45637</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45637</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45637</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45637</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45637</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45637</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45637</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45637</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45637</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45637</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45637</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45637</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45637</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45637</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45637</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45637</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45637</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45637</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45637</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45637</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45637</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45637</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45637</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45637</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45637</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45637</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45637</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45637</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45637</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45637</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45637</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45637</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45637</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45637</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45637</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45637</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45637</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45637</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45637</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45637</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45637</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45637</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45637</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45637</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45637</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45637</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45637</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45637</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45637</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45637</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45637</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45637</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45637</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45637</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45637</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45637</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45637</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45637</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45637</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45637</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45637</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45637</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45637</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45637</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45637</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45637</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45637</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45637</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45637</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45637</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45637</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45637</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45637</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45637</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45637</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45637</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45637</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45637</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45637</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45637</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45637</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45637</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45637</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45637</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45637</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45637</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45637</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45637</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45637</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45637</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45637</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45637</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45637</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45637</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45637</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45637</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45637</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45637</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45637</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45637</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45637</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45637</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45637</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45637</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45637</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45637</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45637</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45637</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45637</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45637</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45637</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45637</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45637</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45637</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45637</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45637</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45637</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45637</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45637</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45637</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45637</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45637</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45637</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45637</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45637</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45637</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45637</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45637</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45637</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45637</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45637</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45637</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45637</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45637</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45637</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45637</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45637</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45637</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45637</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45637</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45637</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45637</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45637</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45637</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45637</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45637</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45637</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45637</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45637</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45637</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45637</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45637</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45637</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45637</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45637</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45637</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45637</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45637</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45637</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45637</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45637</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45637</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45637</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45637</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45637</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45637</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45637</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45637</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45637</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45637</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45637</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45637</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45637</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45637</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45637</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45637</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45637</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45637</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45637</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45637</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45637</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45637</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45637</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45637</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45637</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45637</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45637</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45637</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45637</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45637</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45637</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45637</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45637</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45637</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45637</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45637</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45637</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45637</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45637</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45637</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45637</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45637</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45637</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45637</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45637</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45637</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45637</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45637</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45637</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45637</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45637</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45637</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45637</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45637</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45637</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45637</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45637</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45637</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45637</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45637</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45637</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45637</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45637</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45637</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45637</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45637</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45637</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45637</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45637</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45637</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45637</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45637</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45637</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45637</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45637</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45637</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45637</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45637</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45637</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45637</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45637</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45637</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45637</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45637</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45637</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45637</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45637</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45637</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45637</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45637</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45637</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45637</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45637</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45637</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45637</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45637</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45637</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45637</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45637</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45637</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45637</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45637</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45637</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45637</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45637</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45637</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45637</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45637</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45637</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45637</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45637</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45637</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45637</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45637</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45637</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45637</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45637</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45637</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45637</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45637</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45637</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45637</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45637</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45637</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45637</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45637</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45637</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45637</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45637</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45637</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45637</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45637</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45637</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45637</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45637</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45637</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45637</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45637</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45637</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45637</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45637</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45637</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45637</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45637</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45637</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45637</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45637</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45637</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45637</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45637</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45637</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45637</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45637</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45637</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45637</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45637</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45637</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45637</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45637</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45637</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45637</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45637</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45637</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45637</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45637</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45637</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45637</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45637</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45637</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45637</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45637</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45637</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45637</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45637</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45637</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45637</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45637</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45637</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45637</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45637</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45637</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45637</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45637</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45637</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45637</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45637</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45637</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45637</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45637</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45637</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45637</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45637</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45637</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45637</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45637</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45637</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45637</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45637</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45637</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45637</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45637</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45637</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45637</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45637</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45637</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45637</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45637</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45637</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45637</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45637</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45637</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45637</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45637</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45637</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45637</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45637</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45637</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45637</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45637</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45637</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45637</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45637</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45637</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45637</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45637</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45637</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45637</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45637</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45637</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45637</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45637</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45637</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45637</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45637</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45637</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45637</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45637</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45637</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45637</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45637</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45637</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45637</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45637</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45637</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45637</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45637</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45637</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45637</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45637</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45637</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45637</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45637</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45637</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45637</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45637</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45637</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45637</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45637</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45637</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45637</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45637</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45637</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45637</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45637</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45637</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45637</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45637</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45637</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45637</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45637</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45637</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45637</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45637</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45637</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45637</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45637</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45637</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45637</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45637</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45637</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45637</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45637</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45637</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45637</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45637</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45637</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45637</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45637</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45637</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45637</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45637</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45637</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45637</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45637</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45637</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45637</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45637</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45637</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45637</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45637</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45637</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45637</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45637</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45637</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45637</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45637</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45637</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45637</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45637</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45637</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45637</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45637</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45637</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45637</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45637</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45637</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45637</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45637</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45637</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45637</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45637</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45637</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45637</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45637</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45637</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45637</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45637</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45637</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45637</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45637</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45637</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45637</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45637</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45637</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45637</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45637</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45637</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45637</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45637</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45637</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45637</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45637</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45637</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45637</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45637</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45637</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45637</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45637</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45637</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45637</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45637</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45637</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45637</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45637</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45637</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45637</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45637</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45637</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45637</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45637</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45637</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45637</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45637</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45637</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45637</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45637</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45637</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45637</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45637</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45637</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45637</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45637</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45637</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45637</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45637</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45637</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45637</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45637</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45637</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45637</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45637</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45637</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45637</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45637</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45637</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45637</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45637</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45637</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45637</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45637</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45637</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45637</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45637</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45637</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45637</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45637</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45637</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45637</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45637</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45637</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45637</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45637</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45637</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45637</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45637</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45637</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45637</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45637</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45637</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45637</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45637</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45637</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45637</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45637</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45637</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45637</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45637</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45637</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45637</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45637</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45637</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45637</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45637</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45637</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45637</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45637</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45637</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45637</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45637</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45637</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45637</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45637</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45637</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45637</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45637</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45637</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45637</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45637</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45637</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45637</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45637</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45637</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45637</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45637</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45637</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45637</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45637</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45637</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45637</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45637</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45637</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45637</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45637</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45637</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45637</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45637</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45637</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45637</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45637</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45637</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45637</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45637</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45637</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45637</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45637</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45637</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45637</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45637</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45637</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45637</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45637</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45637</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45637</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45637</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45637</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45637</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45637</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45637</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45637</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45637</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45637</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45637</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45637</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45637</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45637</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45637</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45637</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45637</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45637</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45637</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45637</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45637</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45637</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45637</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45637</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45637</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45637</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45637</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45637</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45637</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45637</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45637</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45637</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45637</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45637</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45637</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45637</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45637</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45637</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45637</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45637</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45637</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45637</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45637</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45637</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45637</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45637</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45637</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45637</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45637</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45637</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45637</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45637</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45637</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45637</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45637</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45637</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45637</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45637</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45637</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45637</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45637</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45637</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45637</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45637</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45637</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45637</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45637</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45637</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45637</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45637</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45637</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45637</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45637</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45637</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45637</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45637</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45637</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45637</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45637</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45637</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45637</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45637</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45637</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45637</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45637</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45637</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45637</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45637</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45637</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45637</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45637</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45637</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45637</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45637</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45637</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45637</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45637</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45637</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45637</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45637</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45637</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45637</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45637</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45637</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45637</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45637</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45637</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45637</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45637</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45637</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45637</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45637</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45637</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45637</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45637</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45637</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45637</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45637</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45637</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45637</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45637</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45637</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45637</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45637</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45637</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45637</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45637</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45637</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45637</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45637</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45637</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45637</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45637</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45637</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45637</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45637</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45637</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45637</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45637</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45637</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45637</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45637</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45637</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45637</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45637</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45637</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45637</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45637</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45637</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45637</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45637</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45637</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45637</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45637</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45637</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45637</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45637</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45637</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45637</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45637</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45637</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45637</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45637</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45637</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45637</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45637</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45637</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45637</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45637</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45637</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45637</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45637</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45637</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45637</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45637</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45637</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45637</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45637</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45637</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45637</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45637</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45637</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45637</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45637</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45637</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45637</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45637</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45637</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45637</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45637</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45637</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45637</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45637</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45637</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45637</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45637</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45637</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45637</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45637</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45637</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45637</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45637</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45637</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45637</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45637</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45637</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45637</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45637</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45637</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45637</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45637</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45637</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45637</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45637</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45637</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45637</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45637</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45637</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45637</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45637</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45637</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45637</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45637</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45637</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45637</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45637</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45637</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45637</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45637</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45637</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45637</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45637</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45637</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45637</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45637</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45637</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45637</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45637</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45637</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45637</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45637</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45637</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45637</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45637</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45637</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45637</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45637</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45637</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45637</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45637</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45637</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45637</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45637</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45637</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45637</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45637</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45637</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45637</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45637</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45637</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45637</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45637</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45637</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45637</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45637</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45637</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45637</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45637</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45637</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45637</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45637</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45637</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45637</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45637</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45637</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45637</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45637</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45637</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45637</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45637</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45637</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45637</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45637</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45637</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45637</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45637</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45637</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45637</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45637</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45637</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45637</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45637</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45637</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45637</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45637</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45637</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45637</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45637</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45637</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45637</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45637</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45637</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45637</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45637</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45637</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45637</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45637</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45637</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45637</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45637</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45637</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45637</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45637</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45637</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45637</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45637</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45637</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45637</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45637</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45637</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45637</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45637</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45637</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45637</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45637</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45637</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45637</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45637</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45637</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45637</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45637</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45637</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45637</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45637</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45637</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45637</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45637</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45637</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45637</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45637</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45637</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45637</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45637</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45637</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45637</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45637</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45637</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45637</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45637</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45637</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45637</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45637</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45637</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45637</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45637</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45637</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45637</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45637</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45637</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45637</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45637</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45637</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45637</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45637</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45637</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45637</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45637</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45637</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45637</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45637</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45637</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45637</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45637</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45637</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45637</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45637</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45637</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45637</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45637</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45637</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45637</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45637</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45637</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45637</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45637</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45637</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45637</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45637</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45637</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45637</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45637</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45637</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45637</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45637</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45637</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45637</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45637</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45637</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45637</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45637</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45637</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45637</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45637</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45637</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45637</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45637</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45637</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45637</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45637</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45637</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45637</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45637</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45637</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45637</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45637</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45637</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45637</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45637</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45637</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45637</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45637</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45637</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45637</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45637</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45637</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45637</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45637</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45637</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45637</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45637</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45637</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45637</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45637</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45637</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45637</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45637</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45637</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45637</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45637</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45637</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45637</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45637</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45637</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45637</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45637</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45637</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45637</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45637</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45637</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45637</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45637</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45637</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45637</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45637</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45637</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45637</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45637</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45637</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45637</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45637</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45637</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45637</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45637</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45637</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45637</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45637</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45637</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45637</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45637</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45637</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45637</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45637</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45637</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45637</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45637</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45637</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45637</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45637</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45637</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45637</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45637</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45637</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45637</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45637</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45637</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45637</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45637</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45637</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45637</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45637</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45637</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45637</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45637</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45637</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45637</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45637</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45637</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45637</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45637</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45637</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45637</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45637</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45637</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45637</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45637</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45637</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51661-2024</t>
        </is>
      </c>
      <c r="B2846" s="1" t="n">
        <v>45606</v>
      </c>
      <c r="C2846" s="1" t="n">
        <v>45637</v>
      </c>
      <c r="D2846" t="inlineStr">
        <is>
          <t>VÄRMLANDS LÄN</t>
        </is>
      </c>
      <c r="E2846" t="inlineStr">
        <is>
          <t>TORSBY</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51662-2024</t>
        </is>
      </c>
      <c r="B2847" s="1" t="n">
        <v>45606</v>
      </c>
      <c r="C2847" s="1" t="n">
        <v>45637</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45637</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51660-2024</t>
        </is>
      </c>
      <c r="B2849" s="1" t="n">
        <v>45606</v>
      </c>
      <c r="C2849" s="1" t="n">
        <v>45637</v>
      </c>
      <c r="D2849" t="inlineStr">
        <is>
          <t>VÄRMLANDS LÄN</t>
        </is>
      </c>
      <c r="E2849" t="inlineStr">
        <is>
          <t>TORSBY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51987-2024</t>
        </is>
      </c>
      <c r="B2850" s="1" t="n">
        <v>45607</v>
      </c>
      <c r="C2850" s="1" t="n">
        <v>45637</v>
      </c>
      <c r="D2850" t="inlineStr">
        <is>
          <t>VÄRMLANDS LÄN</t>
        </is>
      </c>
      <c r="E2850" t="inlineStr">
        <is>
          <t>TORSBY</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51836-2024</t>
        </is>
      </c>
      <c r="B2851" s="1" t="n">
        <v>45607</v>
      </c>
      <c r="C2851" s="1" t="n">
        <v>45637</v>
      </c>
      <c r="D2851" t="inlineStr">
        <is>
          <t>VÄRMLANDS LÄN</t>
        </is>
      </c>
      <c r="E2851" t="inlineStr">
        <is>
          <t>TORSBY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51823-2024</t>
        </is>
      </c>
      <c r="B2852" s="1" t="n">
        <v>45607</v>
      </c>
      <c r="C2852" s="1" t="n">
        <v>45637</v>
      </c>
      <c r="D2852" t="inlineStr">
        <is>
          <t>VÄRMLANDS LÄN</t>
        </is>
      </c>
      <c r="E2852" t="inlineStr">
        <is>
          <t>TORSBY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51785-2024</t>
        </is>
      </c>
      <c r="B2853" s="1" t="n">
        <v>45607</v>
      </c>
      <c r="C2853" s="1" t="n">
        <v>45637</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52051-2024</t>
        </is>
      </c>
      <c r="B2854" s="1" t="n">
        <v>45608</v>
      </c>
      <c r="C2854" s="1" t="n">
        <v>45637</v>
      </c>
      <c r="D2854" t="inlineStr">
        <is>
          <t>VÄRMLANDS LÄN</t>
        </is>
      </c>
      <c r="E2854" t="inlineStr">
        <is>
          <t>TORSBY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52062-2024</t>
        </is>
      </c>
      <c r="B2855" s="1" t="n">
        <v>45608</v>
      </c>
      <c r="C2855" s="1" t="n">
        <v>45637</v>
      </c>
      <c r="D2855" t="inlineStr">
        <is>
          <t>VÄRMLANDS LÄN</t>
        </is>
      </c>
      <c r="E2855" t="inlineStr">
        <is>
          <t>TORSBY</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52057-2024</t>
        </is>
      </c>
      <c r="B2856" s="1" t="n">
        <v>45608</v>
      </c>
      <c r="C2856" s="1" t="n">
        <v>45637</v>
      </c>
      <c r="D2856" t="inlineStr">
        <is>
          <t>VÄRMLANDS LÄN</t>
        </is>
      </c>
      <c r="E2856" t="inlineStr">
        <is>
          <t>TORSBY</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52262-2024</t>
        </is>
      </c>
      <c r="B2857" s="1" t="n">
        <v>45608</v>
      </c>
      <c r="C2857" s="1" t="n">
        <v>45637</v>
      </c>
      <c r="D2857" t="inlineStr">
        <is>
          <t>VÄRMLANDS LÄN</t>
        </is>
      </c>
      <c r="E2857" t="inlineStr">
        <is>
          <t>TORSBY</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45637</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45637</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45637</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45637</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52334-2024</t>
        </is>
      </c>
      <c r="B2862" s="1" t="n">
        <v>45609</v>
      </c>
      <c r="C2862" s="1" t="n">
        <v>45637</v>
      </c>
      <c r="D2862" t="inlineStr">
        <is>
          <t>VÄRMLANDS LÄN</t>
        </is>
      </c>
      <c r="E2862" t="inlineStr">
        <is>
          <t>TORSBY</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52386-2024</t>
        </is>
      </c>
      <c r="B2863" s="1" t="n">
        <v>45609</v>
      </c>
      <c r="C2863" s="1" t="n">
        <v>45637</v>
      </c>
      <c r="D2863" t="inlineStr">
        <is>
          <t>VÄRMLANDS LÄN</t>
        </is>
      </c>
      <c r="E2863" t="inlineStr">
        <is>
          <t>TORSBY</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52595-2024</t>
        </is>
      </c>
      <c r="B2864" s="1" t="n">
        <v>45609</v>
      </c>
      <c r="C2864" s="1" t="n">
        <v>45637</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52592-2024</t>
        </is>
      </c>
      <c r="B2865" s="1" t="n">
        <v>45609</v>
      </c>
      <c r="C2865" s="1" t="n">
        <v>45637</v>
      </c>
      <c r="D2865" t="inlineStr">
        <is>
          <t>VÄRMLANDS LÄN</t>
        </is>
      </c>
      <c r="E2865" t="inlineStr">
        <is>
          <t>TORSBY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52581-2024</t>
        </is>
      </c>
      <c r="B2866" s="1" t="n">
        <v>45609</v>
      </c>
      <c r="C2866" s="1" t="n">
        <v>45637</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52750-2024</t>
        </is>
      </c>
      <c r="B2867" s="1" t="n">
        <v>45610</v>
      </c>
      <c r="C2867" s="1" t="n">
        <v>45637</v>
      </c>
      <c r="D2867" t="inlineStr">
        <is>
          <t>VÄRMLANDS LÄN</t>
        </is>
      </c>
      <c r="E2867" t="inlineStr">
        <is>
          <t>TORSBY</t>
        </is>
      </c>
      <c r="F2867" t="inlineStr">
        <is>
          <t>Kyrkan</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45637</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52689-2024</t>
        </is>
      </c>
      <c r="B2869" s="1" t="n">
        <v>45610</v>
      </c>
      <c r="C2869" s="1" t="n">
        <v>45637</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52801-2024</t>
        </is>
      </c>
      <c r="B2870" s="1" t="n">
        <v>45610</v>
      </c>
      <c r="C2870" s="1" t="n">
        <v>45637</v>
      </c>
      <c r="D2870" t="inlineStr">
        <is>
          <t>VÄRMLANDS LÄN</t>
        </is>
      </c>
      <c r="E2870" t="inlineStr">
        <is>
          <t>TORSBY</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52809-2024</t>
        </is>
      </c>
      <c r="B2871" s="1" t="n">
        <v>45610</v>
      </c>
      <c r="C2871" s="1" t="n">
        <v>45637</v>
      </c>
      <c r="D2871" t="inlineStr">
        <is>
          <t>VÄRMLANDS LÄN</t>
        </is>
      </c>
      <c r="E2871" t="inlineStr">
        <is>
          <t>TORSBY</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52676-2024</t>
        </is>
      </c>
      <c r="B2872" s="1" t="n">
        <v>45610</v>
      </c>
      <c r="C2872" s="1" t="n">
        <v>45637</v>
      </c>
      <c r="D2872" t="inlineStr">
        <is>
          <t>VÄRMLANDS LÄN</t>
        </is>
      </c>
      <c r="E2872" t="inlineStr">
        <is>
          <t>TORSBY</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52949-2024</t>
        </is>
      </c>
      <c r="B2873" s="1" t="n">
        <v>45610</v>
      </c>
      <c r="C2873" s="1" t="n">
        <v>45637</v>
      </c>
      <c r="D2873" t="inlineStr">
        <is>
          <t>VÄRMLANDS LÄN</t>
        </is>
      </c>
      <c r="E2873" t="inlineStr">
        <is>
          <t>TORSBY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52957-2024</t>
        </is>
      </c>
      <c r="B2874" s="1" t="n">
        <v>45610</v>
      </c>
      <c r="C2874" s="1" t="n">
        <v>45637</v>
      </c>
      <c r="D2874" t="inlineStr">
        <is>
          <t>VÄRMLANDS LÄN</t>
        </is>
      </c>
      <c r="E2874" t="inlineStr">
        <is>
          <t>TORSBY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45637</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45637</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45637</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53035-2024</t>
        </is>
      </c>
      <c r="B2878" s="1" t="n">
        <v>45611</v>
      </c>
      <c r="C2878" s="1" t="n">
        <v>45637</v>
      </c>
      <c r="D2878" t="inlineStr">
        <is>
          <t>VÄRMLANDS LÄN</t>
        </is>
      </c>
      <c r="E2878" t="inlineStr">
        <is>
          <t>TORSBY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53044-2024</t>
        </is>
      </c>
      <c r="B2879" s="1" t="n">
        <v>45611</v>
      </c>
      <c r="C2879" s="1" t="n">
        <v>45637</v>
      </c>
      <c r="D2879" t="inlineStr">
        <is>
          <t>VÄRMLANDS LÄN</t>
        </is>
      </c>
      <c r="E2879" t="inlineStr">
        <is>
          <t>TORSBY</t>
        </is>
      </c>
      <c r="F2879" t="inlineStr">
        <is>
          <t>Kyrkan</t>
        </is>
      </c>
      <c r="G2879" t="n">
        <v>25.8</v>
      </c>
      <c r="H2879" t="n">
        <v>0</v>
      </c>
      <c r="I2879" t="n">
        <v>0</v>
      </c>
      <c r="J2879" t="n">
        <v>0</v>
      </c>
      <c r="K2879" t="n">
        <v>0</v>
      </c>
      <c r="L2879" t="n">
        <v>0</v>
      </c>
      <c r="M2879" t="n">
        <v>0</v>
      </c>
      <c r="N2879" t="n">
        <v>0</v>
      </c>
      <c r="O2879" t="n">
        <v>0</v>
      </c>
      <c r="P2879" t="n">
        <v>0</v>
      </c>
      <c r="Q2879" t="n">
        <v>0</v>
      </c>
      <c r="R2879" s="2" t="inlineStr"/>
    </row>
    <row r="2880" ht="15" customHeight="1">
      <c r="A2880" t="inlineStr">
        <is>
          <t>A 53025-2024</t>
        </is>
      </c>
      <c r="B2880" s="1" t="n">
        <v>45611</v>
      </c>
      <c r="C2880" s="1" t="n">
        <v>45637</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45637</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53038-2024</t>
        </is>
      </c>
      <c r="B2882" s="1" t="n">
        <v>45611</v>
      </c>
      <c r="C2882" s="1" t="n">
        <v>45637</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53099-2024</t>
        </is>
      </c>
      <c r="B2883" s="1" t="n">
        <v>45611</v>
      </c>
      <c r="C2883" s="1" t="n">
        <v>45637</v>
      </c>
      <c r="D2883" t="inlineStr">
        <is>
          <t>VÄRMLANDS LÄN</t>
        </is>
      </c>
      <c r="E2883" t="inlineStr">
        <is>
          <t>TORSBY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45637</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45637</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53297-2024</t>
        </is>
      </c>
      <c r="B2886" s="1" t="n">
        <v>45614</v>
      </c>
      <c r="C2886" s="1" t="n">
        <v>45637</v>
      </c>
      <c r="D2886" t="inlineStr">
        <is>
          <t>VÄRMLANDS LÄN</t>
        </is>
      </c>
      <c r="E2886" t="inlineStr">
        <is>
          <t>TORSBY</t>
        </is>
      </c>
      <c r="F2886" t="inlineStr">
        <is>
          <t>Bergvik skog väst AB</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53253-2024</t>
        </is>
      </c>
      <c r="B2887" s="1" t="n">
        <v>45614</v>
      </c>
      <c r="C2887" s="1" t="n">
        <v>45637</v>
      </c>
      <c r="D2887" t="inlineStr">
        <is>
          <t>VÄRMLANDS LÄN</t>
        </is>
      </c>
      <c r="E2887" t="inlineStr">
        <is>
          <t>TORSBY</t>
        </is>
      </c>
      <c r="F2887" t="inlineStr">
        <is>
          <t>Bergvik skog väst AB</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53331-2024</t>
        </is>
      </c>
      <c r="B2888" s="1" t="n">
        <v>45614</v>
      </c>
      <c r="C2888" s="1" t="n">
        <v>45637</v>
      </c>
      <c r="D2888" t="inlineStr">
        <is>
          <t>VÄRMLANDS LÄN</t>
        </is>
      </c>
      <c r="E2888" t="inlineStr">
        <is>
          <t>TORSBY</t>
        </is>
      </c>
      <c r="F2888" t="inlineStr">
        <is>
          <t>Bergvik skog väst AB</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53593-2024</t>
        </is>
      </c>
      <c r="B2889" s="1" t="n">
        <v>45614</v>
      </c>
      <c r="C2889" s="1" t="n">
        <v>45637</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53358-2024</t>
        </is>
      </c>
      <c r="B2890" s="1" t="n">
        <v>45614</v>
      </c>
      <c r="C2890" s="1" t="n">
        <v>45637</v>
      </c>
      <c r="D2890" t="inlineStr">
        <is>
          <t>VÄRMLANDS LÄN</t>
        </is>
      </c>
      <c r="E2890" t="inlineStr">
        <is>
          <t>TORSBY</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53368-2024</t>
        </is>
      </c>
      <c r="B2891" s="1" t="n">
        <v>45614</v>
      </c>
      <c r="C2891" s="1" t="n">
        <v>45637</v>
      </c>
      <c r="D2891" t="inlineStr">
        <is>
          <t>VÄRMLANDS LÄN</t>
        </is>
      </c>
      <c r="E2891" t="inlineStr">
        <is>
          <t>TORSBY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53396-2024</t>
        </is>
      </c>
      <c r="B2892" s="1" t="n">
        <v>45614</v>
      </c>
      <c r="C2892" s="1" t="n">
        <v>45637</v>
      </c>
      <c r="D2892" t="inlineStr">
        <is>
          <t>VÄRMLANDS LÄN</t>
        </is>
      </c>
      <c r="E2892" t="inlineStr">
        <is>
          <t>TORSBY</t>
        </is>
      </c>
      <c r="F2892" t="inlineStr">
        <is>
          <t>Bergvik skog väst AB</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53506-2024</t>
        </is>
      </c>
      <c r="B2893" s="1" t="n">
        <v>45614</v>
      </c>
      <c r="C2893" s="1" t="n">
        <v>45637</v>
      </c>
      <c r="D2893" t="inlineStr">
        <is>
          <t>VÄRMLANDS LÄN</t>
        </is>
      </c>
      <c r="E2893" t="inlineStr">
        <is>
          <t>TORSBY</t>
        </is>
      </c>
      <c r="F2893" t="inlineStr">
        <is>
          <t>Bergvik skog väst AB</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45637</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45637</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45637</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45637</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45637</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45637</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45637</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54023-2024</t>
        </is>
      </c>
      <c r="B2901" s="1" t="n">
        <v>45616</v>
      </c>
      <c r="C2901" s="1" t="n">
        <v>45637</v>
      </c>
      <c r="D2901" t="inlineStr">
        <is>
          <t>VÄRMLANDS LÄN</t>
        </is>
      </c>
      <c r="E2901" t="inlineStr">
        <is>
          <t>TORSBY</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54004-2024</t>
        </is>
      </c>
      <c r="B2902" s="1" t="n">
        <v>45616</v>
      </c>
      <c r="C2902" s="1" t="n">
        <v>45637</v>
      </c>
      <c r="D2902" t="inlineStr">
        <is>
          <t>VÄRMLANDS LÄN</t>
        </is>
      </c>
      <c r="E2902" t="inlineStr">
        <is>
          <t>TORSBY</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54011-2024</t>
        </is>
      </c>
      <c r="B2903" s="1" t="n">
        <v>45616</v>
      </c>
      <c r="C2903" s="1" t="n">
        <v>45637</v>
      </c>
      <c r="D2903" t="inlineStr">
        <is>
          <t>VÄRMLANDS LÄN</t>
        </is>
      </c>
      <c r="E2903" t="inlineStr">
        <is>
          <t>TORSBY</t>
        </is>
      </c>
      <c r="F2903" t="inlineStr">
        <is>
          <t>Kommuner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45637</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54265-2024</t>
        </is>
      </c>
      <c r="B2905" s="1" t="n">
        <v>45616</v>
      </c>
      <c r="C2905" s="1" t="n">
        <v>45637</v>
      </c>
      <c r="D2905" t="inlineStr">
        <is>
          <t>VÄRMLANDS LÄN</t>
        </is>
      </c>
      <c r="E2905" t="inlineStr">
        <is>
          <t>TORSBY</t>
        </is>
      </c>
      <c r="F2905" t="inlineStr">
        <is>
          <t>Kommuner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54006-2024</t>
        </is>
      </c>
      <c r="B2906" s="1" t="n">
        <v>45616</v>
      </c>
      <c r="C2906" s="1" t="n">
        <v>45637</v>
      </c>
      <c r="D2906" t="inlineStr">
        <is>
          <t>VÄRMLANDS LÄN</t>
        </is>
      </c>
      <c r="E2906" t="inlineStr">
        <is>
          <t>TORSBY</t>
        </is>
      </c>
      <c r="F2906" t="inlineStr">
        <is>
          <t>Kommuner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54014-2024</t>
        </is>
      </c>
      <c r="B2907" s="1" t="n">
        <v>45616</v>
      </c>
      <c r="C2907" s="1" t="n">
        <v>45637</v>
      </c>
      <c r="D2907" t="inlineStr">
        <is>
          <t>VÄRMLANDS LÄN</t>
        </is>
      </c>
      <c r="E2907" t="inlineStr">
        <is>
          <t>TORSBY</t>
        </is>
      </c>
      <c r="F2907" t="inlineStr">
        <is>
          <t>Kommuner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54027-2024</t>
        </is>
      </c>
      <c r="B2908" s="1" t="n">
        <v>45616</v>
      </c>
      <c r="C2908" s="1" t="n">
        <v>45637</v>
      </c>
      <c r="D2908" t="inlineStr">
        <is>
          <t>VÄRMLANDS LÄN</t>
        </is>
      </c>
      <c r="E2908" t="inlineStr">
        <is>
          <t>TORSBY</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45637</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54306-2024</t>
        </is>
      </c>
      <c r="B2910" s="1" t="n">
        <v>45617</v>
      </c>
      <c r="C2910" s="1" t="n">
        <v>45637</v>
      </c>
      <c r="D2910" t="inlineStr">
        <is>
          <t>VÄRMLANDS LÄN</t>
        </is>
      </c>
      <c r="E2910" t="inlineStr">
        <is>
          <t>TORSBY</t>
        </is>
      </c>
      <c r="F2910" t="inlineStr">
        <is>
          <t>Bergvik skog väst AB</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54489-2024</t>
        </is>
      </c>
      <c r="B2911" s="1" t="n">
        <v>45617</v>
      </c>
      <c r="C2911" s="1" t="n">
        <v>45637</v>
      </c>
      <c r="D2911" t="inlineStr">
        <is>
          <t>VÄRMLANDS LÄN</t>
        </is>
      </c>
      <c r="E2911" t="inlineStr">
        <is>
          <t>TORSBY</t>
        </is>
      </c>
      <c r="F2911" t="inlineStr">
        <is>
          <t>Bergvik skog väst AB</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54374-2024</t>
        </is>
      </c>
      <c r="B2912" s="1" t="n">
        <v>45617</v>
      </c>
      <c r="C2912" s="1" t="n">
        <v>45637</v>
      </c>
      <c r="D2912" t="inlineStr">
        <is>
          <t>VÄRMLANDS LÄN</t>
        </is>
      </c>
      <c r="E2912" t="inlineStr">
        <is>
          <t>TORSBY</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45637</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54618-2024</t>
        </is>
      </c>
      <c r="B2914" s="1" t="n">
        <v>45617</v>
      </c>
      <c r="C2914" s="1" t="n">
        <v>45637</v>
      </c>
      <c r="D2914" t="inlineStr">
        <is>
          <t>VÄRMLANDS LÄN</t>
        </is>
      </c>
      <c r="E2914" t="inlineStr">
        <is>
          <t>TORSBY</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45637</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45637</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54664-2024</t>
        </is>
      </c>
      <c r="B2917" s="1" t="n">
        <v>45618</v>
      </c>
      <c r="C2917" s="1" t="n">
        <v>45637</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45637</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54813-2024</t>
        </is>
      </c>
      <c r="B2919" s="1" t="n">
        <v>45618</v>
      </c>
      <c r="C2919" s="1" t="n">
        <v>45637</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54790-2024</t>
        </is>
      </c>
      <c r="B2920" s="1" t="n">
        <v>45618</v>
      </c>
      <c r="C2920" s="1" t="n">
        <v>45637</v>
      </c>
      <c r="D2920" t="inlineStr">
        <is>
          <t>VÄRMLANDS LÄN</t>
        </is>
      </c>
      <c r="E2920" t="inlineStr">
        <is>
          <t>TORSBY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45637</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55036-2024</t>
        </is>
      </c>
      <c r="B2922" s="1" t="n">
        <v>45621</v>
      </c>
      <c r="C2922" s="1" t="n">
        <v>45637</v>
      </c>
      <c r="D2922" t="inlineStr">
        <is>
          <t>VÄRMLANDS LÄN</t>
        </is>
      </c>
      <c r="E2922" t="inlineStr">
        <is>
          <t>TORSBY</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55072-2024</t>
        </is>
      </c>
      <c r="B2923" s="1" t="n">
        <v>45621</v>
      </c>
      <c r="C2923" s="1" t="n">
        <v>45637</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55386-2024</t>
        </is>
      </c>
      <c r="B2924" s="1" t="n">
        <v>45622</v>
      </c>
      <c r="C2924" s="1" t="n">
        <v>45637</v>
      </c>
      <c r="D2924" t="inlineStr">
        <is>
          <t>VÄRMLANDS LÄN</t>
        </is>
      </c>
      <c r="E2924" t="inlineStr">
        <is>
          <t>TORSBY</t>
        </is>
      </c>
      <c r="F2924" t="inlineStr">
        <is>
          <t>Bergvik skog väst AB</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45637</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55543-2024</t>
        </is>
      </c>
      <c r="B2926" s="1" t="n">
        <v>45622</v>
      </c>
      <c r="C2926" s="1" t="n">
        <v>45637</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55546-2024</t>
        </is>
      </c>
      <c r="B2927" s="1" t="n">
        <v>45622</v>
      </c>
      <c r="C2927" s="1" t="n">
        <v>45637</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55808-2024</t>
        </is>
      </c>
      <c r="B2928" s="1" t="n">
        <v>45622</v>
      </c>
      <c r="C2928" s="1" t="n">
        <v>45637</v>
      </c>
      <c r="D2928" t="inlineStr">
        <is>
          <t>VÄRMLANDS LÄN</t>
        </is>
      </c>
      <c r="E2928" t="inlineStr">
        <is>
          <t>TORSBY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55814-2024</t>
        </is>
      </c>
      <c r="B2929" s="1" t="n">
        <v>45623</v>
      </c>
      <c r="C2929" s="1" t="n">
        <v>45637</v>
      </c>
      <c r="D2929" t="inlineStr">
        <is>
          <t>VÄRMLANDS LÄN</t>
        </is>
      </c>
      <c r="E2929" t="inlineStr">
        <is>
          <t>TORSBY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55750-2024</t>
        </is>
      </c>
      <c r="B2930" s="1" t="n">
        <v>45623</v>
      </c>
      <c r="C2930" s="1" t="n">
        <v>45637</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55836-2024</t>
        </is>
      </c>
      <c r="B2931" s="1" t="n">
        <v>45623</v>
      </c>
      <c r="C2931" s="1" t="n">
        <v>45637</v>
      </c>
      <c r="D2931" t="inlineStr">
        <is>
          <t>VÄRMLANDS LÄN</t>
        </is>
      </c>
      <c r="E2931" t="inlineStr">
        <is>
          <t>TORSBY</t>
        </is>
      </c>
      <c r="F2931" t="inlineStr">
        <is>
          <t>Kommuner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55845-2024</t>
        </is>
      </c>
      <c r="B2932" s="1" t="n">
        <v>45623</v>
      </c>
      <c r="C2932" s="1" t="n">
        <v>45637</v>
      </c>
      <c r="D2932" t="inlineStr">
        <is>
          <t>VÄRMLANDS LÄN</t>
        </is>
      </c>
      <c r="E2932" t="inlineStr">
        <is>
          <t>TORSBY</t>
        </is>
      </c>
      <c r="F2932" t="inlineStr">
        <is>
          <t>Kommuner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45637</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55839-2024</t>
        </is>
      </c>
      <c r="B2934" s="1" t="n">
        <v>45623</v>
      </c>
      <c r="C2934" s="1" t="n">
        <v>45637</v>
      </c>
      <c r="D2934" t="inlineStr">
        <is>
          <t>VÄRMLANDS LÄN</t>
        </is>
      </c>
      <c r="E2934" t="inlineStr">
        <is>
          <t>TORSBY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55987-2024</t>
        </is>
      </c>
      <c r="B2935" s="1" t="n">
        <v>45623</v>
      </c>
      <c r="C2935" s="1" t="n">
        <v>45637</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45637</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45637</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56107-2024</t>
        </is>
      </c>
      <c r="B2938" s="1" t="n">
        <v>45624</v>
      </c>
      <c r="C2938" s="1" t="n">
        <v>45637</v>
      </c>
      <c r="D2938" t="inlineStr">
        <is>
          <t>VÄRMLANDS LÄN</t>
        </is>
      </c>
      <c r="E2938" t="inlineStr">
        <is>
          <t>TORSBY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56056-2024</t>
        </is>
      </c>
      <c r="B2939" s="1" t="n">
        <v>45624</v>
      </c>
      <c r="C2939" s="1" t="n">
        <v>45637</v>
      </c>
      <c r="D2939" t="inlineStr">
        <is>
          <t>VÄRMLANDS LÄN</t>
        </is>
      </c>
      <c r="E2939" t="inlineStr">
        <is>
          <t>TORSBY</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56098-2024</t>
        </is>
      </c>
      <c r="B2940" s="1" t="n">
        <v>45624</v>
      </c>
      <c r="C2940" s="1" t="n">
        <v>45637</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45637</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45637</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56430-2024</t>
        </is>
      </c>
      <c r="B2943" s="1" t="n">
        <v>45625</v>
      </c>
      <c r="C2943" s="1" t="n">
        <v>45637</v>
      </c>
      <c r="D2943" t="inlineStr">
        <is>
          <t>VÄRMLANDS LÄN</t>
        </is>
      </c>
      <c r="E2943" t="inlineStr">
        <is>
          <t>TORSBY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56509-2024</t>
        </is>
      </c>
      <c r="B2944" s="1" t="n">
        <v>45625</v>
      </c>
      <c r="C2944" s="1" t="n">
        <v>45637</v>
      </c>
      <c r="D2944" t="inlineStr">
        <is>
          <t>VÄRMLANDS LÄN</t>
        </is>
      </c>
      <c r="E2944" t="inlineStr">
        <is>
          <t>TORSBY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56534-2024</t>
        </is>
      </c>
      <c r="B2945" s="1" t="n">
        <v>45625</v>
      </c>
      <c r="C2945" s="1" t="n">
        <v>45637</v>
      </c>
      <c r="D2945" t="inlineStr">
        <is>
          <t>VÄRMLANDS LÄN</t>
        </is>
      </c>
      <c r="E2945" t="inlineStr">
        <is>
          <t>TORSBY</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56635-2024</t>
        </is>
      </c>
      <c r="B2946" s="1" t="n">
        <v>45625</v>
      </c>
      <c r="C2946" s="1" t="n">
        <v>45637</v>
      </c>
      <c r="D2946" t="inlineStr">
        <is>
          <t>VÄRMLANDS LÄN</t>
        </is>
      </c>
      <c r="E2946" t="inlineStr">
        <is>
          <t>TORSBY</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45637</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45637</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56630-2024</t>
        </is>
      </c>
      <c r="B2949" s="1" t="n">
        <v>45625</v>
      </c>
      <c r="C2949" s="1" t="n">
        <v>45637</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56634-2024</t>
        </is>
      </c>
      <c r="B2950" s="1" t="n">
        <v>45625</v>
      </c>
      <c r="C2950" s="1" t="n">
        <v>45637</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45637</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57190-2024</t>
        </is>
      </c>
      <c r="B2952" s="1" t="n">
        <v>45629</v>
      </c>
      <c r="C2952" s="1" t="n">
        <v>45637</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45637</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57469-2024</t>
        </is>
      </c>
      <c r="B2954" s="1" t="n">
        <v>45630</v>
      </c>
      <c r="C2954" s="1" t="n">
        <v>45637</v>
      </c>
      <c r="D2954" t="inlineStr">
        <is>
          <t>VÄRMLANDS LÄN</t>
        </is>
      </c>
      <c r="E2954" t="inlineStr">
        <is>
          <t>TORSBY</t>
        </is>
      </c>
      <c r="F2954" t="inlineStr">
        <is>
          <t>Bergvik skog väst AB</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57481-2024</t>
        </is>
      </c>
      <c r="B2955" s="1" t="n">
        <v>45630</v>
      </c>
      <c r="C2955" s="1" t="n">
        <v>45637</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45637</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57532-2024</t>
        </is>
      </c>
      <c r="B2957" s="1" t="n">
        <v>45630</v>
      </c>
      <c r="C2957" s="1" t="n">
        <v>45637</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57536-2024</t>
        </is>
      </c>
      <c r="B2958" s="1" t="n">
        <v>45630</v>
      </c>
      <c r="C2958" s="1" t="n">
        <v>45637</v>
      </c>
      <c r="D2958" t="inlineStr">
        <is>
          <t>VÄRMLANDS LÄN</t>
        </is>
      </c>
      <c r="E2958" t="inlineStr">
        <is>
          <t>TORSBY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57545-2024</t>
        </is>
      </c>
      <c r="B2959" s="1" t="n">
        <v>45630</v>
      </c>
      <c r="C2959" s="1" t="n">
        <v>45637</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57723-2024</t>
        </is>
      </c>
      <c r="B2960" s="1" t="n">
        <v>45630</v>
      </c>
      <c r="C2960" s="1" t="n">
        <v>45637</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57722-2024</t>
        </is>
      </c>
      <c r="B2961" s="1" t="n">
        <v>45630</v>
      </c>
      <c r="C2961" s="1" t="n">
        <v>45637</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57662-2024</t>
        </is>
      </c>
      <c r="B2962" s="1" t="n">
        <v>45630</v>
      </c>
      <c r="C2962" s="1" t="n">
        <v>45637</v>
      </c>
      <c r="D2962" t="inlineStr">
        <is>
          <t>VÄRMLANDS LÄN</t>
        </is>
      </c>
      <c r="E2962" t="inlineStr">
        <is>
          <t>TORSBY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57709-2024</t>
        </is>
      </c>
      <c r="B2963" s="1" t="n">
        <v>45630</v>
      </c>
      <c r="C2963" s="1" t="n">
        <v>45637</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57725-2024</t>
        </is>
      </c>
      <c r="B2964" s="1" t="n">
        <v>45630</v>
      </c>
      <c r="C2964" s="1" t="n">
        <v>45637</v>
      </c>
      <c r="D2964" t="inlineStr">
        <is>
          <t>VÄRMLANDS LÄN</t>
        </is>
      </c>
      <c r="E2964" t="inlineStr">
        <is>
          <t>TORSBY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57774-2024</t>
        </is>
      </c>
      <c r="B2965" s="1" t="n">
        <v>45630</v>
      </c>
      <c r="C2965" s="1" t="n">
        <v>45637</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57785-2024</t>
        </is>
      </c>
      <c r="B2966" s="1" t="n">
        <v>45631</v>
      </c>
      <c r="C2966" s="1" t="n">
        <v>45637</v>
      </c>
      <c r="D2966" t="inlineStr">
        <is>
          <t>VÄRMLANDS LÄN</t>
        </is>
      </c>
      <c r="E2966" t="inlineStr">
        <is>
          <t>TORSBY</t>
        </is>
      </c>
      <c r="F2966" t="inlineStr">
        <is>
          <t>Bergvik skog väst AB</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57809-2024</t>
        </is>
      </c>
      <c r="B2967" s="1" t="n">
        <v>45631</v>
      </c>
      <c r="C2967" s="1" t="n">
        <v>45637</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58051-2024</t>
        </is>
      </c>
      <c r="B2968" s="1" t="n">
        <v>45631</v>
      </c>
      <c r="C2968" s="1" t="n">
        <v>45637</v>
      </c>
      <c r="D2968" t="inlineStr">
        <is>
          <t>VÄRMLANDS LÄN</t>
        </is>
      </c>
      <c r="E2968" t="inlineStr">
        <is>
          <t>TORSBY</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58023-2024</t>
        </is>
      </c>
      <c r="B2969" s="1" t="n">
        <v>45631</v>
      </c>
      <c r="C2969" s="1" t="n">
        <v>45637</v>
      </c>
      <c r="D2969" t="inlineStr">
        <is>
          <t>VÄRMLANDS LÄN</t>
        </is>
      </c>
      <c r="E2969" t="inlineStr">
        <is>
          <t>TORSBY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45637</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58304-2024</t>
        </is>
      </c>
      <c r="B2971" s="1" t="n">
        <v>45632</v>
      </c>
      <c r="C2971" s="1" t="n">
        <v>45637</v>
      </c>
      <c r="D2971" t="inlineStr">
        <is>
          <t>VÄRMLANDS LÄN</t>
        </is>
      </c>
      <c r="E2971" t="inlineStr">
        <is>
          <t>TORSBY</t>
        </is>
      </c>
      <c r="F2971" t="inlineStr">
        <is>
          <t>Bergvik skog väst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45637</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45637</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45637</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45637</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58707-2024</t>
        </is>
      </c>
      <c r="B2976" s="1" t="n">
        <v>45635</v>
      </c>
      <c r="C2976" s="1" t="n">
        <v>45637</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58786-2024</t>
        </is>
      </c>
      <c r="B2977" s="1" t="n">
        <v>45635</v>
      </c>
      <c r="C2977" s="1" t="n">
        <v>45637</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58948-2024</t>
        </is>
      </c>
      <c r="B2978" s="1" t="n">
        <v>45636</v>
      </c>
      <c r="C2978" s="1" t="n">
        <v>45637</v>
      </c>
      <c r="D2978" t="inlineStr">
        <is>
          <t>VÄRMLANDS LÄN</t>
        </is>
      </c>
      <c r="E2978" t="inlineStr">
        <is>
          <t>TORSBY</t>
        </is>
      </c>
      <c r="F2978" t="inlineStr">
        <is>
          <t>Bergvik skog väst AB</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59005-2024</t>
        </is>
      </c>
      <c r="B2979" s="1" t="n">
        <v>45636</v>
      </c>
      <c r="C2979" s="1" t="n">
        <v>45637</v>
      </c>
      <c r="D2979" t="inlineStr">
        <is>
          <t>VÄRMLANDS LÄN</t>
        </is>
      </c>
      <c r="E2979" t="inlineStr">
        <is>
          <t>TORSBY</t>
        </is>
      </c>
      <c r="G2979" t="n">
        <v>9.6</v>
      </c>
      <c r="H2979" t="n">
        <v>0</v>
      </c>
      <c r="I2979" t="n">
        <v>0</v>
      </c>
      <c r="J2979" t="n">
        <v>0</v>
      </c>
      <c r="K2979" t="n">
        <v>0</v>
      </c>
      <c r="L2979" t="n">
        <v>0</v>
      </c>
      <c r="M2979" t="n">
        <v>0</v>
      </c>
      <c r="N2979" t="n">
        <v>0</v>
      </c>
      <c r="O2979" t="n">
        <v>0</v>
      </c>
      <c r="P2979" t="n">
        <v>0</v>
      </c>
      <c r="Q2979" t="n">
        <v>0</v>
      </c>
      <c r="R2979" s="2" t="inlineStr"/>
    </row>
    <row r="2980" ht="15" customHeight="1">
      <c r="A2980" t="inlineStr">
        <is>
          <t>A 58945-2024</t>
        </is>
      </c>
      <c r="B2980" s="1" t="n">
        <v>45636</v>
      </c>
      <c r="C2980" s="1" t="n">
        <v>45637</v>
      </c>
      <c r="D2980" t="inlineStr">
        <is>
          <t>VÄRMLANDS LÄN</t>
        </is>
      </c>
      <c r="E2980" t="inlineStr">
        <is>
          <t>TORSBY</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c r="A2981" t="inlineStr">
        <is>
          <t>A 58976-2024</t>
        </is>
      </c>
      <c r="B2981" s="1" t="n">
        <v>45636</v>
      </c>
      <c r="C2981" s="1" t="n">
        <v>45637</v>
      </c>
      <c r="D2981" t="inlineStr">
        <is>
          <t>VÄRMLANDS LÄN</t>
        </is>
      </c>
      <c r="E2981" t="inlineStr">
        <is>
          <t>TORSBY</t>
        </is>
      </c>
      <c r="G2981" t="n">
        <v>0.6</v>
      </c>
      <c r="H2981" t="n">
        <v>0</v>
      </c>
      <c r="I2981" t="n">
        <v>0</v>
      </c>
      <c r="J2981" t="n">
        <v>0</v>
      </c>
      <c r="K2981" t="n">
        <v>0</v>
      </c>
      <c r="L2981" t="n">
        <v>0</v>
      </c>
      <c r="M2981" t="n">
        <v>0</v>
      </c>
      <c r="N2981" t="n">
        <v>0</v>
      </c>
      <c r="O2981" t="n">
        <v>0</v>
      </c>
      <c r="P2981" t="n">
        <v>0</v>
      </c>
      <c r="Q2981" t="n">
        <v>0</v>
      </c>
      <c r="R2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2024-12-11T15:07:32Z</dcterms:created>
  <dcterms:modified xmlns:dcterms="http://purl.org/dc/terms/" xmlns:xsi="http://www.w3.org/2001/XMLSchema-instance" xsi:type="dcterms:W3CDTF">2024-12-11T15:07:35Z</dcterms:modified>
</cp:coreProperties>
</file>