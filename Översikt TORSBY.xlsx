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45889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45889</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45889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45889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45889</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45889</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45889</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45889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45889</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45889</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45889</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45889</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45889</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45889</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45889</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45889</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49109-2021</t>
        </is>
      </c>
      <c r="B33" s="1" t="n">
        <v>44453</v>
      </c>
      <c r="C33" s="1" t="n">
        <v>45889</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45889</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45889</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45889</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4555-2021</t>
        </is>
      </c>
      <c r="B37" s="1" t="n">
        <v>44224</v>
      </c>
      <c r="C37" s="1" t="n">
        <v>45889</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9573-2023</t>
        </is>
      </c>
      <c r="B38" s="1" t="n">
        <v>44982</v>
      </c>
      <c r="C38" s="1" t="n">
        <v>45889</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22604-2025</t>
        </is>
      </c>
      <c r="B39" s="1" t="n">
        <v>45789.41592592592</v>
      </c>
      <c r="C39" s="1" t="n">
        <v>45889</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45889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36543-2025</t>
        </is>
      </c>
      <c r="B41" s="1" t="n">
        <v>45869.66658564815</v>
      </c>
      <c r="C41" s="1" t="n">
        <v>45889</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32986-2025</t>
        </is>
      </c>
      <c r="B42" s="1" t="n">
        <v>45839.96859953704</v>
      </c>
      <c r="C42" s="1" t="n">
        <v>45889</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2938-2025</t>
        </is>
      </c>
      <c r="B43" s="1" t="n">
        <v>45678</v>
      </c>
      <c r="C43" s="1" t="n">
        <v>45889</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15086-2025</t>
        </is>
      </c>
      <c r="B44" s="1" t="n">
        <v>45743</v>
      </c>
      <c r="C44" s="1" t="n">
        <v>45889</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173-2021</t>
        </is>
      </c>
      <c r="B45" s="1" t="n">
        <v>44200</v>
      </c>
      <c r="C45" s="1" t="n">
        <v>45889</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45889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25899-2024</t>
        </is>
      </c>
      <c r="B47" s="1" t="n">
        <v>45467</v>
      </c>
      <c r="C47" s="1" t="n">
        <v>45889</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20763-2025</t>
        </is>
      </c>
      <c r="B48" s="1" t="n">
        <v>45776.57929398148</v>
      </c>
      <c r="C48" s="1" t="n">
        <v>45889</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45889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45889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45889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8514-2022</t>
        </is>
      </c>
      <c r="B52" s="1" t="n">
        <v>44613.43620370371</v>
      </c>
      <c r="C52" s="1" t="n">
        <v>45889</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45889</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45889</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45889</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18306-2024</t>
        </is>
      </c>
      <c r="B56" s="1" t="n">
        <v>45422</v>
      </c>
      <c r="C56" s="1" t="n">
        <v>45889</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3099-2024</t>
        </is>
      </c>
      <c r="B57" s="1" t="n">
        <v>45316</v>
      </c>
      <c r="C57" s="1" t="n">
        <v>45889</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46200-2020</t>
        </is>
      </c>
      <c r="B58" s="1" t="n">
        <v>44092</v>
      </c>
      <c r="C58" s="1" t="n">
        <v>45889</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57190-2024</t>
        </is>
      </c>
      <c r="B59" s="1" t="n">
        <v>45629</v>
      </c>
      <c r="C59" s="1" t="n">
        <v>45889</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31835-2024</t>
        </is>
      </c>
      <c r="B60" s="1" t="n">
        <v>45509</v>
      </c>
      <c r="C60" s="1" t="n">
        <v>45889</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45889</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45889</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15044-2025</t>
        </is>
      </c>
      <c r="B63" s="1" t="n">
        <v>45743</v>
      </c>
      <c r="C63" s="1" t="n">
        <v>45889</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19030-2025</t>
        </is>
      </c>
      <c r="B64" s="1" t="n">
        <v>45764.65658564815</v>
      </c>
      <c r="C64" s="1" t="n">
        <v>45889</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45889</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23576-2022</t>
        </is>
      </c>
      <c r="B66" s="1" t="n">
        <v>44721</v>
      </c>
      <c r="C66" s="1" t="n">
        <v>45889</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67528-2021</t>
        </is>
      </c>
      <c r="B67" s="1" t="n">
        <v>44524</v>
      </c>
      <c r="C67" s="1" t="n">
        <v>45889</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45889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46016-2023</t>
        </is>
      </c>
      <c r="B69" s="1" t="n">
        <v>45196</v>
      </c>
      <c r="C69" s="1" t="n">
        <v>45889</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53198-2020</t>
        </is>
      </c>
      <c r="B70" s="1" t="n">
        <v>44122</v>
      </c>
      <c r="C70" s="1" t="n">
        <v>45889</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45889</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45889</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16011-2025</t>
        </is>
      </c>
      <c r="B73" s="1" t="n">
        <v>45749</v>
      </c>
      <c r="C73" s="1" t="n">
        <v>45889</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23091-2024</t>
        </is>
      </c>
      <c r="B74" s="1" t="n">
        <v>45450</v>
      </c>
      <c r="C74" s="1" t="n">
        <v>45889</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34930-2022</t>
        </is>
      </c>
      <c r="B75" s="1" t="n">
        <v>44796</v>
      </c>
      <c r="C75" s="1" t="n">
        <v>45889</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16442-2023</t>
        </is>
      </c>
      <c r="B76" s="1" t="n">
        <v>45026</v>
      </c>
      <c r="C76" s="1" t="n">
        <v>45889</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2000-2023</t>
        </is>
      </c>
      <c r="B77" s="1" t="n">
        <v>44939</v>
      </c>
      <c r="C77" s="1" t="n">
        <v>45889</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62955-2023</t>
        </is>
      </c>
      <c r="B78" s="1" t="n">
        <v>45271</v>
      </c>
      <c r="C78" s="1" t="n">
        <v>45889</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16414-2023</t>
        </is>
      </c>
      <c r="B79" s="1" t="n">
        <v>45022</v>
      </c>
      <c r="C79" s="1" t="n">
        <v>45889</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45889</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45889</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45889</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4718-2023</t>
        </is>
      </c>
      <c r="B83" s="1" t="n">
        <v>44957</v>
      </c>
      <c r="C83" s="1" t="n">
        <v>45889</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28156-2022</t>
        </is>
      </c>
      <c r="B84" s="1" t="n">
        <v>44746</v>
      </c>
      <c r="C84" s="1" t="n">
        <v>45889</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48292-2023</t>
        </is>
      </c>
      <c r="B85" s="1" t="n">
        <v>45205</v>
      </c>
      <c r="C85" s="1" t="n">
        <v>45889</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61950-2024</t>
        </is>
      </c>
      <c r="B86" s="1" t="n">
        <v>45653</v>
      </c>
      <c r="C86" s="1" t="n">
        <v>45889</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17747-2025</t>
        </is>
      </c>
      <c r="B87" s="1" t="n">
        <v>45758</v>
      </c>
      <c r="C87" s="1" t="n">
        <v>45889</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37388-2025</t>
        </is>
      </c>
      <c r="B88" s="1" t="n">
        <v>45877</v>
      </c>
      <c r="C88" s="1" t="n">
        <v>45889</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45889</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33906-2025</t>
        </is>
      </c>
      <c r="B90" s="1" t="n">
        <v>45842.59878472222</v>
      </c>
      <c r="C90" s="1" t="n">
        <v>45889</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34853-2021</t>
        </is>
      </c>
      <c r="B91" s="1" t="n">
        <v>44383</v>
      </c>
      <c r="C91" s="1" t="n">
        <v>45889</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45889</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45889</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45889</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45889</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45889</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45889</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14212-2025</t>
        </is>
      </c>
      <c r="B98" s="1" t="n">
        <v>45740</v>
      </c>
      <c r="C98" s="1" t="n">
        <v>45889</v>
      </c>
      <c r="D98" t="inlineStr">
        <is>
          <t>VÄRMLANDS LÄN</t>
        </is>
      </c>
      <c r="E98" t="inlineStr">
        <is>
          <t>TORSBY</t>
        </is>
      </c>
      <c r="F98" t="inlineStr">
        <is>
          <t>Övriga statliga verk och myndigheter</t>
        </is>
      </c>
      <c r="G98" t="n">
        <v>2</v>
      </c>
      <c r="H98" t="n">
        <v>0</v>
      </c>
      <c r="I98" t="n">
        <v>0</v>
      </c>
      <c r="J98" t="n">
        <v>0</v>
      </c>
      <c r="K98" t="n">
        <v>1</v>
      </c>
      <c r="L98" t="n">
        <v>0</v>
      </c>
      <c r="M98" t="n">
        <v>0</v>
      </c>
      <c r="N98" t="n">
        <v>0</v>
      </c>
      <c r="O98" t="n">
        <v>1</v>
      </c>
      <c r="P98" t="n">
        <v>1</v>
      </c>
      <c r="Q98" t="n">
        <v>1</v>
      </c>
      <c r="R98" s="2" t="inlineStr">
        <is>
          <t>Raggbock</t>
        </is>
      </c>
      <c r="S98">
        <f>HYPERLINK("https://klasma.github.io/Logging_1737/artfynd/A 14212-2025 artfynd.xlsx", "A 14212-2025")</f>
        <v/>
      </c>
      <c r="T98">
        <f>HYPERLINK("https://klasma.github.io/Logging_1737/kartor/A 14212-2025 karta.png", "A 14212-2025")</f>
        <v/>
      </c>
      <c r="V98">
        <f>HYPERLINK("https://klasma.github.io/Logging_1737/klagomål/A 14212-2025 FSC-klagomål.docx", "A 14212-2025")</f>
        <v/>
      </c>
      <c r="W98">
        <f>HYPERLINK("https://klasma.github.io/Logging_1737/klagomålsmail/A 14212-2025 FSC-klagomål mail.docx", "A 14212-2025")</f>
        <v/>
      </c>
      <c r="X98">
        <f>HYPERLINK("https://klasma.github.io/Logging_1737/tillsyn/A 14212-2025 tillsynsbegäran.docx", "A 14212-2025")</f>
        <v/>
      </c>
      <c r="Y98">
        <f>HYPERLINK("https://klasma.github.io/Logging_1737/tillsynsmail/A 14212-2025 tillsynsbegäran mail.docx", "A 14212-2025")</f>
        <v/>
      </c>
    </row>
    <row r="99" ht="15" customHeight="1">
      <c r="A99" t="inlineStr">
        <is>
          <t>A 16164-2025</t>
        </is>
      </c>
      <c r="B99" s="1" t="n">
        <v>45750</v>
      </c>
      <c r="C99" s="1" t="n">
        <v>45889</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Tallriska</t>
        </is>
      </c>
      <c r="S99">
        <f>HYPERLINK("https://klasma.github.io/Logging_1737/artfynd/A 16164-2025 artfynd.xlsx", "A 16164-2025")</f>
        <v/>
      </c>
      <c r="T99">
        <f>HYPERLINK("https://klasma.github.io/Logging_1737/kartor/A 16164-2025 karta.png", "A 16164-2025")</f>
        <v/>
      </c>
      <c r="V99">
        <f>HYPERLINK("https://klasma.github.io/Logging_1737/klagomål/A 16164-2025 FSC-klagomål.docx", "A 16164-2025")</f>
        <v/>
      </c>
      <c r="W99">
        <f>HYPERLINK("https://klasma.github.io/Logging_1737/klagomålsmail/A 16164-2025 FSC-klagomål mail.docx", "A 16164-2025")</f>
        <v/>
      </c>
      <c r="X99">
        <f>HYPERLINK("https://klasma.github.io/Logging_1737/tillsyn/A 16164-2025 tillsynsbegäran.docx", "A 16164-2025")</f>
        <v/>
      </c>
      <c r="Y99">
        <f>HYPERLINK("https://klasma.github.io/Logging_1737/tillsynsmail/A 16164-2025 tillsynsbegäran mail.docx", "A 16164-2025")</f>
        <v/>
      </c>
    </row>
    <row r="100" ht="15" customHeight="1">
      <c r="A100" t="inlineStr">
        <is>
          <t>A 40033-2024</t>
        </is>
      </c>
      <c r="B100" s="1" t="n">
        <v>45553</v>
      </c>
      <c r="C100" s="1" t="n">
        <v>45889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42500-2022</t>
        </is>
      </c>
      <c r="B101" s="1" t="n">
        <v>44831</v>
      </c>
      <c r="C101" s="1" t="n">
        <v>45889</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45889</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54982-2021</t>
        </is>
      </c>
      <c r="B103" s="1" t="n">
        <v>44469</v>
      </c>
      <c r="C103" s="1" t="n">
        <v>45889</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16572-2022</t>
        </is>
      </c>
      <c r="B104" s="1" t="n">
        <v>44672</v>
      </c>
      <c r="C104" s="1" t="n">
        <v>45889</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39681-2023</t>
        </is>
      </c>
      <c r="B105" s="1" t="n">
        <v>45167</v>
      </c>
      <c r="C105" s="1" t="n">
        <v>45889</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45889</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45889</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54009-2024</t>
        </is>
      </c>
      <c r="B108" s="1" t="n">
        <v>45616</v>
      </c>
      <c r="C108" s="1" t="n">
        <v>45889</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26747-2023</t>
        </is>
      </c>
      <c r="B109" s="1" t="n">
        <v>45090</v>
      </c>
      <c r="C109" s="1" t="n">
        <v>45889</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51288-2022</t>
        </is>
      </c>
      <c r="B110" s="1" t="n">
        <v>44868</v>
      </c>
      <c r="C110" s="1" t="n">
        <v>45889</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58470-2021</t>
        </is>
      </c>
      <c r="B111" s="1" t="n">
        <v>44488</v>
      </c>
      <c r="C111" s="1" t="n">
        <v>45889</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40934-2024</t>
        </is>
      </c>
      <c r="B112" s="1" t="n">
        <v>45558</v>
      </c>
      <c r="C112" s="1" t="n">
        <v>45889</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Lunglav</t>
        </is>
      </c>
      <c r="S112">
        <f>HYPERLINK("https://klasma.github.io/Logging_1737/artfynd/A 40934-2024 artfynd.xlsx", "A 40934-2024")</f>
        <v/>
      </c>
      <c r="T112">
        <f>HYPERLINK("https://klasma.github.io/Logging_1737/kartor/A 40934-2024 karta.png", "A 40934-2024")</f>
        <v/>
      </c>
      <c r="V112">
        <f>HYPERLINK("https://klasma.github.io/Logging_1737/klagomål/A 40934-2024 FSC-klagomål.docx", "A 40934-2024")</f>
        <v/>
      </c>
      <c r="W112">
        <f>HYPERLINK("https://klasma.github.io/Logging_1737/klagomålsmail/A 40934-2024 FSC-klagomål mail.docx", "A 40934-2024")</f>
        <v/>
      </c>
      <c r="X112">
        <f>HYPERLINK("https://klasma.github.io/Logging_1737/tillsyn/A 40934-2024 tillsynsbegäran.docx", "A 40934-2024")</f>
        <v/>
      </c>
      <c r="Y112">
        <f>HYPERLINK("https://klasma.github.io/Logging_1737/tillsynsmail/A 40934-2024 tillsynsbegäran mail.docx", "A 40934-2024")</f>
        <v/>
      </c>
    </row>
    <row r="113" ht="15" customHeight="1">
      <c r="A113" t="inlineStr">
        <is>
          <t>A 54029-2024</t>
        </is>
      </c>
      <c r="B113" s="1" t="n">
        <v>45616</v>
      </c>
      <c r="C113" s="1" t="n">
        <v>45889</v>
      </c>
      <c r="D113" t="inlineStr">
        <is>
          <t>VÄRMLANDS LÄN</t>
        </is>
      </c>
      <c r="E113" t="inlineStr">
        <is>
          <t>TORSBY</t>
        </is>
      </c>
      <c r="G113" t="n">
        <v>10.2</v>
      </c>
      <c r="H113" t="n">
        <v>0</v>
      </c>
      <c r="I113" t="n">
        <v>1</v>
      </c>
      <c r="J113" t="n">
        <v>0</v>
      </c>
      <c r="K113" t="n">
        <v>0</v>
      </c>
      <c r="L113" t="n">
        <v>0</v>
      </c>
      <c r="M113" t="n">
        <v>0</v>
      </c>
      <c r="N113" t="n">
        <v>0</v>
      </c>
      <c r="O113" t="n">
        <v>0</v>
      </c>
      <c r="P113" t="n">
        <v>0</v>
      </c>
      <c r="Q113" t="n">
        <v>1</v>
      </c>
      <c r="R113" s="2" t="inlineStr">
        <is>
          <t>Vedticka</t>
        </is>
      </c>
      <c r="S113">
        <f>HYPERLINK("https://klasma.github.io/Logging_1737/artfynd/A 54029-2024 artfynd.xlsx", "A 54029-2024")</f>
        <v/>
      </c>
      <c r="T113">
        <f>HYPERLINK("https://klasma.github.io/Logging_1737/kartor/A 54029-2024 karta.png", "A 54029-2024")</f>
        <v/>
      </c>
      <c r="V113">
        <f>HYPERLINK("https://klasma.github.io/Logging_1737/klagomål/A 54029-2024 FSC-klagomål.docx", "A 54029-2024")</f>
        <v/>
      </c>
      <c r="W113">
        <f>HYPERLINK("https://klasma.github.io/Logging_1737/klagomålsmail/A 54029-2024 FSC-klagomål mail.docx", "A 54029-2024")</f>
        <v/>
      </c>
      <c r="X113">
        <f>HYPERLINK("https://klasma.github.io/Logging_1737/tillsyn/A 54029-2024 tillsynsbegäran.docx", "A 54029-2024")</f>
        <v/>
      </c>
      <c r="Y113">
        <f>HYPERLINK("https://klasma.github.io/Logging_1737/tillsynsmail/A 54029-2024 tillsynsbegäran mail.docx", "A 54029-2024")</f>
        <v/>
      </c>
    </row>
    <row r="114" ht="15" customHeight="1">
      <c r="A114" t="inlineStr">
        <is>
          <t>A 46099-2023</t>
        </is>
      </c>
      <c r="B114" s="1" t="n">
        <v>45196</v>
      </c>
      <c r="C114" s="1" t="n">
        <v>45889</v>
      </c>
      <c r="D114" t="inlineStr">
        <is>
          <t>VÄRMLANDS LÄN</t>
        </is>
      </c>
      <c r="E114" t="inlineStr">
        <is>
          <t>TORSBY</t>
        </is>
      </c>
      <c r="G114" t="n">
        <v>8.4</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46099-2023 artfynd.xlsx", "A 46099-2023")</f>
        <v/>
      </c>
      <c r="T114">
        <f>HYPERLINK("https://klasma.github.io/Logging_1737/kartor/A 46099-2023 karta.png", "A 46099-2023")</f>
        <v/>
      </c>
      <c r="V114">
        <f>HYPERLINK("https://klasma.github.io/Logging_1737/klagomål/A 46099-2023 FSC-klagomål.docx", "A 46099-2023")</f>
        <v/>
      </c>
      <c r="W114">
        <f>HYPERLINK("https://klasma.github.io/Logging_1737/klagomålsmail/A 46099-2023 FSC-klagomål mail.docx", "A 46099-2023")</f>
        <v/>
      </c>
      <c r="X114">
        <f>HYPERLINK("https://klasma.github.io/Logging_1737/tillsyn/A 46099-2023 tillsynsbegäran.docx", "A 46099-2023")</f>
        <v/>
      </c>
      <c r="Y114">
        <f>HYPERLINK("https://klasma.github.io/Logging_1737/tillsynsmail/A 46099-2023 tillsynsbegäran mail.docx", "A 46099-2023")</f>
        <v/>
      </c>
    </row>
    <row r="115" ht="15" customHeight="1">
      <c r="A115" t="inlineStr">
        <is>
          <t>A 1811-2024</t>
        </is>
      </c>
      <c r="B115" s="1" t="n">
        <v>45307</v>
      </c>
      <c r="C115" s="1" t="n">
        <v>45889</v>
      </c>
      <c r="D115" t="inlineStr">
        <is>
          <t>VÄRMLANDS LÄN</t>
        </is>
      </c>
      <c r="E115" t="inlineStr">
        <is>
          <t>TORSBY</t>
        </is>
      </c>
      <c r="G115" t="n">
        <v>12.1</v>
      </c>
      <c r="H115" t="n">
        <v>1</v>
      </c>
      <c r="I115" t="n">
        <v>0</v>
      </c>
      <c r="J115" t="n">
        <v>0</v>
      </c>
      <c r="K115" t="n">
        <v>0</v>
      </c>
      <c r="L115" t="n">
        <v>0</v>
      </c>
      <c r="M115" t="n">
        <v>0</v>
      </c>
      <c r="N115" t="n">
        <v>0</v>
      </c>
      <c r="O115" t="n">
        <v>0</v>
      </c>
      <c r="P115" t="n">
        <v>0</v>
      </c>
      <c r="Q115" t="n">
        <v>1</v>
      </c>
      <c r="R115" s="2" t="inlineStr">
        <is>
          <t>Revlummer</t>
        </is>
      </c>
      <c r="S115">
        <f>HYPERLINK("https://klasma.github.io/Logging_1737/artfynd/A 1811-2024 artfynd.xlsx", "A 1811-2024")</f>
        <v/>
      </c>
      <c r="T115">
        <f>HYPERLINK("https://klasma.github.io/Logging_1737/kartor/A 1811-2024 karta.png", "A 1811-2024")</f>
        <v/>
      </c>
      <c r="V115">
        <f>HYPERLINK("https://klasma.github.io/Logging_1737/klagomål/A 1811-2024 FSC-klagomål.docx", "A 1811-2024")</f>
        <v/>
      </c>
      <c r="W115">
        <f>HYPERLINK("https://klasma.github.io/Logging_1737/klagomålsmail/A 1811-2024 FSC-klagomål mail.docx", "A 1811-2024")</f>
        <v/>
      </c>
      <c r="X115">
        <f>HYPERLINK("https://klasma.github.io/Logging_1737/tillsyn/A 1811-2024 tillsynsbegäran.docx", "A 1811-2024")</f>
        <v/>
      </c>
      <c r="Y115">
        <f>HYPERLINK("https://klasma.github.io/Logging_1737/tillsynsmail/A 1811-2024 tillsynsbegäran mail.docx", "A 1811-2024")</f>
        <v/>
      </c>
    </row>
    <row r="116" ht="15" customHeight="1">
      <c r="A116" t="inlineStr">
        <is>
          <t>A 49724-2023</t>
        </is>
      </c>
      <c r="B116" s="1" t="n">
        <v>45208</v>
      </c>
      <c r="C116" s="1" t="n">
        <v>45889</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24042-2021</t>
        </is>
      </c>
      <c r="B117" s="1" t="n">
        <v>44336</v>
      </c>
      <c r="C117" s="1" t="n">
        <v>45889</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41477-2024</t>
        </is>
      </c>
      <c r="B118" s="1" t="n">
        <v>45560</v>
      </c>
      <c r="C118" s="1" t="n">
        <v>45889</v>
      </c>
      <c r="D118" t="inlineStr">
        <is>
          <t>VÄRMLANDS LÄN</t>
        </is>
      </c>
      <c r="E118" t="inlineStr">
        <is>
          <t>TORSBY</t>
        </is>
      </c>
      <c r="G118" t="n">
        <v>6.7</v>
      </c>
      <c r="H118" t="n">
        <v>0</v>
      </c>
      <c r="I118" t="n">
        <v>0</v>
      </c>
      <c r="J118" t="n">
        <v>1</v>
      </c>
      <c r="K118" t="n">
        <v>0</v>
      </c>
      <c r="L118" t="n">
        <v>0</v>
      </c>
      <c r="M118" t="n">
        <v>0</v>
      </c>
      <c r="N118" t="n">
        <v>0</v>
      </c>
      <c r="O118" t="n">
        <v>1</v>
      </c>
      <c r="P118" t="n">
        <v>0</v>
      </c>
      <c r="Q118" t="n">
        <v>1</v>
      </c>
      <c r="R118" s="2" t="inlineStr">
        <is>
          <t>Garnlav</t>
        </is>
      </c>
      <c r="S118">
        <f>HYPERLINK("https://klasma.github.io/Logging_1737/artfynd/A 41477-2024 artfynd.xlsx", "A 41477-2024")</f>
        <v/>
      </c>
      <c r="T118">
        <f>HYPERLINK("https://klasma.github.io/Logging_1737/kartor/A 41477-2024 karta.png", "A 41477-2024")</f>
        <v/>
      </c>
      <c r="V118">
        <f>HYPERLINK("https://klasma.github.io/Logging_1737/klagomål/A 41477-2024 FSC-klagomål.docx", "A 41477-2024")</f>
        <v/>
      </c>
      <c r="W118">
        <f>HYPERLINK("https://klasma.github.io/Logging_1737/klagomålsmail/A 41477-2024 FSC-klagomål mail.docx", "A 41477-2024")</f>
        <v/>
      </c>
      <c r="X118">
        <f>HYPERLINK("https://klasma.github.io/Logging_1737/tillsyn/A 41477-2024 tillsynsbegäran.docx", "A 41477-2024")</f>
        <v/>
      </c>
      <c r="Y118">
        <f>HYPERLINK("https://klasma.github.io/Logging_1737/tillsynsmail/A 41477-2024 tillsynsbegäran mail.docx", "A 41477-2024")</f>
        <v/>
      </c>
    </row>
    <row r="119" ht="15" customHeight="1">
      <c r="A119" t="inlineStr">
        <is>
          <t>A 50318-2024</t>
        </is>
      </c>
      <c r="B119" s="1" t="n">
        <v>45600</v>
      </c>
      <c r="C119" s="1" t="n">
        <v>45889</v>
      </c>
      <c r="D119" t="inlineStr">
        <is>
          <t>VÄRMLANDS LÄN</t>
        </is>
      </c>
      <c r="E119" t="inlineStr">
        <is>
          <t>TORSBY</t>
        </is>
      </c>
      <c r="F119" t="inlineStr">
        <is>
          <t>Bergvik skog väst AB</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50318-2024 artfynd.xlsx", "A 50318-2024")</f>
        <v/>
      </c>
      <c r="T119">
        <f>HYPERLINK("https://klasma.github.io/Logging_1737/kartor/A 50318-2024 karta.png", "A 50318-2024")</f>
        <v/>
      </c>
      <c r="V119">
        <f>HYPERLINK("https://klasma.github.io/Logging_1737/klagomål/A 50318-2024 FSC-klagomål.docx", "A 50318-2024")</f>
        <v/>
      </c>
      <c r="W119">
        <f>HYPERLINK("https://klasma.github.io/Logging_1737/klagomålsmail/A 50318-2024 FSC-klagomål mail.docx", "A 50318-2024")</f>
        <v/>
      </c>
      <c r="X119">
        <f>HYPERLINK("https://klasma.github.io/Logging_1737/tillsyn/A 50318-2024 tillsynsbegäran.docx", "A 50318-2024")</f>
        <v/>
      </c>
      <c r="Y119">
        <f>HYPERLINK("https://klasma.github.io/Logging_1737/tillsynsmail/A 50318-2024 tillsynsbegäran mail.docx", "A 50318-2024")</f>
        <v/>
      </c>
    </row>
    <row r="120" ht="15" customHeight="1">
      <c r="A120" t="inlineStr">
        <is>
          <t>A 25217-2025</t>
        </is>
      </c>
      <c r="B120" s="1" t="n">
        <v>45800.4756712963</v>
      </c>
      <c r="C120" s="1" t="n">
        <v>45889</v>
      </c>
      <c r="D120" t="inlineStr">
        <is>
          <t>VÄRMLANDS LÄN</t>
        </is>
      </c>
      <c r="E120" t="inlineStr">
        <is>
          <t>TORSBY</t>
        </is>
      </c>
      <c r="G120" t="n">
        <v>10.9</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25217-2025 artfynd.xlsx", "A 25217-2025")</f>
        <v/>
      </c>
      <c r="T120">
        <f>HYPERLINK("https://klasma.github.io/Logging_1737/kartor/A 25217-2025 karta.png", "A 25217-2025")</f>
        <v/>
      </c>
      <c r="V120">
        <f>HYPERLINK("https://klasma.github.io/Logging_1737/klagomål/A 25217-2025 FSC-klagomål.docx", "A 25217-2025")</f>
        <v/>
      </c>
      <c r="W120">
        <f>HYPERLINK("https://klasma.github.io/Logging_1737/klagomålsmail/A 25217-2025 FSC-klagomål mail.docx", "A 25217-2025")</f>
        <v/>
      </c>
      <c r="X120">
        <f>HYPERLINK("https://klasma.github.io/Logging_1737/tillsyn/A 25217-2025 tillsynsbegäran.docx", "A 25217-2025")</f>
        <v/>
      </c>
      <c r="Y120">
        <f>HYPERLINK("https://klasma.github.io/Logging_1737/tillsynsmail/A 25217-2025 tillsynsbegäran mail.docx", "A 25217-2025")</f>
        <v/>
      </c>
    </row>
    <row r="121" ht="15" customHeight="1">
      <c r="A121" t="inlineStr">
        <is>
          <t>A 25276-2025</t>
        </is>
      </c>
      <c r="B121" s="1" t="n">
        <v>45800.55424768518</v>
      </c>
      <c r="C121" s="1" t="n">
        <v>45889</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25802-2025</t>
        </is>
      </c>
      <c r="B122" s="1" t="n">
        <v>45804.40766203704</v>
      </c>
      <c r="C122" s="1" t="n">
        <v>45889</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8747-2021</t>
        </is>
      </c>
      <c r="B123" s="1" t="n">
        <v>44246</v>
      </c>
      <c r="C123" s="1" t="n">
        <v>45889</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13359-2023</t>
        </is>
      </c>
      <c r="B124" s="1" t="n">
        <v>45005.46405092593</v>
      </c>
      <c r="C124" s="1" t="n">
        <v>45889</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45889</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45889</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27301-2025</t>
        </is>
      </c>
      <c r="B127" s="1" t="n">
        <v>45812.57186342592</v>
      </c>
      <c r="C127" s="1" t="n">
        <v>45889</v>
      </c>
      <c r="D127" t="inlineStr">
        <is>
          <t>VÄRMLANDS LÄN</t>
        </is>
      </c>
      <c r="E127" t="inlineStr">
        <is>
          <t>TORSBY</t>
        </is>
      </c>
      <c r="G127" t="n">
        <v>2.7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27301-2025 artfynd.xlsx", "A 27301-2025")</f>
        <v/>
      </c>
      <c r="T127">
        <f>HYPERLINK("https://klasma.github.io/Logging_1737/kartor/A 27301-2025 karta.png", "A 27301-2025")</f>
        <v/>
      </c>
      <c r="V127">
        <f>HYPERLINK("https://klasma.github.io/Logging_1737/klagomål/A 27301-2025 FSC-klagomål.docx", "A 27301-2025")</f>
        <v/>
      </c>
      <c r="W127">
        <f>HYPERLINK("https://klasma.github.io/Logging_1737/klagomålsmail/A 27301-2025 FSC-klagomål mail.docx", "A 27301-2025")</f>
        <v/>
      </c>
      <c r="X127">
        <f>HYPERLINK("https://klasma.github.io/Logging_1737/tillsyn/A 27301-2025 tillsynsbegäran.docx", "A 27301-2025")</f>
        <v/>
      </c>
      <c r="Y127">
        <f>HYPERLINK("https://klasma.github.io/Logging_1737/tillsynsmail/A 27301-2025 tillsynsbegäran mail.docx", "A 27301-2025")</f>
        <v/>
      </c>
    </row>
    <row r="128" ht="15" customHeight="1">
      <c r="A128" t="inlineStr">
        <is>
          <t>A 27108-2025</t>
        </is>
      </c>
      <c r="B128" s="1" t="n">
        <v>45811.72777777778</v>
      </c>
      <c r="C128" s="1" t="n">
        <v>45889</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54786-2024</t>
        </is>
      </c>
      <c r="B129" s="1" t="n">
        <v>45618</v>
      </c>
      <c r="C129" s="1" t="n">
        <v>45889</v>
      </c>
      <c r="D129" t="inlineStr">
        <is>
          <t>VÄRMLANDS LÄN</t>
        </is>
      </c>
      <c r="E129" t="inlineStr">
        <is>
          <t>TORSBY</t>
        </is>
      </c>
      <c r="G129" t="n">
        <v>3.8</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54786-2024 artfynd.xlsx", "A 54786-2024")</f>
        <v/>
      </c>
      <c r="T129">
        <f>HYPERLINK("https://klasma.github.io/Logging_1737/kartor/A 54786-2024 karta.png", "A 54786-2024")</f>
        <v/>
      </c>
      <c r="V129">
        <f>HYPERLINK("https://klasma.github.io/Logging_1737/klagomål/A 54786-2024 FSC-klagomål.docx", "A 54786-2024")</f>
        <v/>
      </c>
      <c r="W129">
        <f>HYPERLINK("https://klasma.github.io/Logging_1737/klagomålsmail/A 54786-2024 FSC-klagomål mail.docx", "A 54786-2024")</f>
        <v/>
      </c>
      <c r="X129">
        <f>HYPERLINK("https://klasma.github.io/Logging_1737/tillsyn/A 54786-2024 tillsynsbegäran.docx", "A 54786-2024")</f>
        <v/>
      </c>
      <c r="Y129">
        <f>HYPERLINK("https://klasma.github.io/Logging_1737/tillsynsmail/A 54786-2024 tillsynsbegäran mail.docx", "A 54786-2024")</f>
        <v/>
      </c>
    </row>
    <row r="130" ht="15" customHeight="1">
      <c r="A130" t="inlineStr">
        <is>
          <t>A 15872-2025</t>
        </is>
      </c>
      <c r="B130" s="1" t="n">
        <v>45749</v>
      </c>
      <c r="C130" s="1" t="n">
        <v>45889</v>
      </c>
      <c r="D130" t="inlineStr">
        <is>
          <t>VÄRMLANDS LÄN</t>
        </is>
      </c>
      <c r="E130" t="inlineStr">
        <is>
          <t>TORSBY</t>
        </is>
      </c>
      <c r="F130" t="inlineStr">
        <is>
          <t>Bergvik skog väst AB</t>
        </is>
      </c>
      <c r="G130" t="n">
        <v>10.8</v>
      </c>
      <c r="H130" t="n">
        <v>1</v>
      </c>
      <c r="I130" t="n">
        <v>1</v>
      </c>
      <c r="J130" t="n">
        <v>0</v>
      </c>
      <c r="K130" t="n">
        <v>0</v>
      </c>
      <c r="L130" t="n">
        <v>0</v>
      </c>
      <c r="M130" t="n">
        <v>0</v>
      </c>
      <c r="N130" t="n">
        <v>0</v>
      </c>
      <c r="O130" t="n">
        <v>0</v>
      </c>
      <c r="P130" t="n">
        <v>0</v>
      </c>
      <c r="Q130" t="n">
        <v>1</v>
      </c>
      <c r="R130" s="2" t="inlineStr">
        <is>
          <t>Korallrot</t>
        </is>
      </c>
      <c r="S130">
        <f>HYPERLINK("https://klasma.github.io/Logging_1737/artfynd/A 15872-2025 artfynd.xlsx", "A 15872-2025")</f>
        <v/>
      </c>
      <c r="T130">
        <f>HYPERLINK("https://klasma.github.io/Logging_1737/kartor/A 15872-2025 karta.png", "A 15872-2025")</f>
        <v/>
      </c>
      <c r="V130">
        <f>HYPERLINK("https://klasma.github.io/Logging_1737/klagomål/A 15872-2025 FSC-klagomål.docx", "A 15872-2025")</f>
        <v/>
      </c>
      <c r="W130">
        <f>HYPERLINK("https://klasma.github.io/Logging_1737/klagomålsmail/A 15872-2025 FSC-klagomål mail.docx", "A 15872-2025")</f>
        <v/>
      </c>
      <c r="X130">
        <f>HYPERLINK("https://klasma.github.io/Logging_1737/tillsyn/A 15872-2025 tillsynsbegäran.docx", "A 15872-2025")</f>
        <v/>
      </c>
      <c r="Y130">
        <f>HYPERLINK("https://klasma.github.io/Logging_1737/tillsynsmail/A 15872-2025 tillsynsbegäran mail.docx", "A 15872-2025")</f>
        <v/>
      </c>
    </row>
    <row r="131" ht="15" customHeight="1">
      <c r="A131" t="inlineStr">
        <is>
          <t>A 5726-2025</t>
        </is>
      </c>
      <c r="B131" s="1" t="n">
        <v>45694</v>
      </c>
      <c r="C131" s="1" t="n">
        <v>45889</v>
      </c>
      <c r="D131" t="inlineStr">
        <is>
          <t>VÄRMLANDS LÄN</t>
        </is>
      </c>
      <c r="E131" t="inlineStr">
        <is>
          <t>TORSBY</t>
        </is>
      </c>
      <c r="G131" t="n">
        <v>3.5</v>
      </c>
      <c r="H131" t="n">
        <v>0</v>
      </c>
      <c r="I131" t="n">
        <v>1</v>
      </c>
      <c r="J131" t="n">
        <v>0</v>
      </c>
      <c r="K131" t="n">
        <v>0</v>
      </c>
      <c r="L131" t="n">
        <v>0</v>
      </c>
      <c r="M131" t="n">
        <v>0</v>
      </c>
      <c r="N131" t="n">
        <v>0</v>
      </c>
      <c r="O131" t="n">
        <v>0</v>
      </c>
      <c r="P131" t="n">
        <v>0</v>
      </c>
      <c r="Q131" t="n">
        <v>1</v>
      </c>
      <c r="R131" s="2" t="inlineStr">
        <is>
          <t>Vedticka</t>
        </is>
      </c>
      <c r="S131">
        <f>HYPERLINK("https://klasma.github.io/Logging_1737/artfynd/A 5726-2025 artfynd.xlsx", "A 5726-2025")</f>
        <v/>
      </c>
      <c r="T131">
        <f>HYPERLINK("https://klasma.github.io/Logging_1737/kartor/A 5726-2025 karta.png", "A 5726-2025")</f>
        <v/>
      </c>
      <c r="V131">
        <f>HYPERLINK("https://klasma.github.io/Logging_1737/klagomål/A 5726-2025 FSC-klagomål.docx", "A 5726-2025")</f>
        <v/>
      </c>
      <c r="W131">
        <f>HYPERLINK("https://klasma.github.io/Logging_1737/klagomålsmail/A 5726-2025 FSC-klagomål mail.docx", "A 5726-2025")</f>
        <v/>
      </c>
      <c r="X131">
        <f>HYPERLINK("https://klasma.github.io/Logging_1737/tillsyn/A 5726-2025 tillsynsbegäran.docx", "A 5726-2025")</f>
        <v/>
      </c>
      <c r="Y131">
        <f>HYPERLINK("https://klasma.github.io/Logging_1737/tillsynsmail/A 5726-2025 tillsynsbegäran mail.docx", "A 5726-2025")</f>
        <v/>
      </c>
    </row>
    <row r="132" ht="15" customHeight="1">
      <c r="A132" t="inlineStr">
        <is>
          <t>A 47689-2024</t>
        </is>
      </c>
      <c r="B132" s="1" t="n">
        <v>45588</v>
      </c>
      <c r="C132" s="1" t="n">
        <v>45889</v>
      </c>
      <c r="D132" t="inlineStr">
        <is>
          <t>VÄRMLANDS LÄN</t>
        </is>
      </c>
      <c r="E132" t="inlineStr">
        <is>
          <t>TORSBY</t>
        </is>
      </c>
      <c r="G132" t="n">
        <v>3.1</v>
      </c>
      <c r="H132" t="n">
        <v>0</v>
      </c>
      <c r="I132" t="n">
        <v>0</v>
      </c>
      <c r="J132" t="n">
        <v>1</v>
      </c>
      <c r="K132" t="n">
        <v>0</v>
      </c>
      <c r="L132" t="n">
        <v>0</v>
      </c>
      <c r="M132" t="n">
        <v>0</v>
      </c>
      <c r="N132" t="n">
        <v>0</v>
      </c>
      <c r="O132" t="n">
        <v>1</v>
      </c>
      <c r="P132" t="n">
        <v>0</v>
      </c>
      <c r="Q132" t="n">
        <v>1</v>
      </c>
      <c r="R132" s="2" t="inlineStr">
        <is>
          <t>Garnlav</t>
        </is>
      </c>
      <c r="S132">
        <f>HYPERLINK("https://klasma.github.io/Logging_1737/artfynd/A 47689-2024 artfynd.xlsx", "A 47689-2024")</f>
        <v/>
      </c>
      <c r="T132">
        <f>HYPERLINK("https://klasma.github.io/Logging_1737/kartor/A 47689-2024 karta.png", "A 47689-2024")</f>
        <v/>
      </c>
      <c r="V132">
        <f>HYPERLINK("https://klasma.github.io/Logging_1737/klagomål/A 47689-2024 FSC-klagomål.docx", "A 47689-2024")</f>
        <v/>
      </c>
      <c r="W132">
        <f>HYPERLINK("https://klasma.github.io/Logging_1737/klagomålsmail/A 47689-2024 FSC-klagomål mail.docx", "A 47689-2024")</f>
        <v/>
      </c>
      <c r="X132">
        <f>HYPERLINK("https://klasma.github.io/Logging_1737/tillsyn/A 47689-2024 tillsynsbegäran.docx", "A 47689-2024")</f>
        <v/>
      </c>
      <c r="Y132">
        <f>HYPERLINK("https://klasma.github.io/Logging_1737/tillsynsmail/A 47689-2024 tillsynsbegäran mail.docx", "A 47689-2024")</f>
        <v/>
      </c>
    </row>
    <row r="133" ht="15" customHeight="1">
      <c r="A133" t="inlineStr">
        <is>
          <t>A 29756-2025</t>
        </is>
      </c>
      <c r="B133" s="1" t="n">
        <v>45825.61525462963</v>
      </c>
      <c r="C133" s="1" t="n">
        <v>45889</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15548-2023</t>
        </is>
      </c>
      <c r="B134" s="1" t="n">
        <v>45020</v>
      </c>
      <c r="C134" s="1" t="n">
        <v>45889</v>
      </c>
      <c r="D134" t="inlineStr">
        <is>
          <t>VÄRMLANDS LÄN</t>
        </is>
      </c>
      <c r="E134" t="inlineStr">
        <is>
          <t>TORSBY</t>
        </is>
      </c>
      <c r="G134" t="n">
        <v>0.6</v>
      </c>
      <c r="H134" t="n">
        <v>1</v>
      </c>
      <c r="I134" t="n">
        <v>0</v>
      </c>
      <c r="J134" t="n">
        <v>1</v>
      </c>
      <c r="K134" t="n">
        <v>0</v>
      </c>
      <c r="L134" t="n">
        <v>0</v>
      </c>
      <c r="M134" t="n">
        <v>0</v>
      </c>
      <c r="N134" t="n">
        <v>0</v>
      </c>
      <c r="O134" t="n">
        <v>1</v>
      </c>
      <c r="P134" t="n">
        <v>0</v>
      </c>
      <c r="Q134" t="n">
        <v>1</v>
      </c>
      <c r="R134" s="2" t="inlineStr">
        <is>
          <t>Spillkråka</t>
        </is>
      </c>
      <c r="S134">
        <f>HYPERLINK("https://klasma.github.io/Logging_1737/artfynd/A 15548-2023 artfynd.xlsx", "A 15548-2023")</f>
        <v/>
      </c>
      <c r="T134">
        <f>HYPERLINK("https://klasma.github.io/Logging_1737/kartor/A 15548-2023 karta.png", "A 15548-2023")</f>
        <v/>
      </c>
      <c r="V134">
        <f>HYPERLINK("https://klasma.github.io/Logging_1737/klagomål/A 15548-2023 FSC-klagomål.docx", "A 15548-2023")</f>
        <v/>
      </c>
      <c r="W134">
        <f>HYPERLINK("https://klasma.github.io/Logging_1737/klagomålsmail/A 15548-2023 FSC-klagomål mail.docx", "A 15548-2023")</f>
        <v/>
      </c>
      <c r="X134">
        <f>HYPERLINK("https://klasma.github.io/Logging_1737/tillsyn/A 15548-2023 tillsynsbegäran.docx", "A 15548-2023")</f>
        <v/>
      </c>
      <c r="Y134">
        <f>HYPERLINK("https://klasma.github.io/Logging_1737/tillsynsmail/A 15548-2023 tillsynsbegäran mail.docx", "A 15548-2023")</f>
        <v/>
      </c>
      <c r="Z134">
        <f>HYPERLINK("https://klasma.github.io/Logging_1737/fåglar/A 15548-2023 prioriterade fågelarter.docx", "A 15548-2023")</f>
        <v/>
      </c>
    </row>
    <row r="135" ht="15" customHeight="1">
      <c r="A135" t="inlineStr">
        <is>
          <t>A 37327-2025</t>
        </is>
      </c>
      <c r="B135" s="1" t="n">
        <v>45876.64902777778</v>
      </c>
      <c r="C135" s="1" t="n">
        <v>45889</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32328-2025</t>
        </is>
      </c>
      <c r="B136" s="1" t="n">
        <v>45836.46289351852</v>
      </c>
      <c r="C136" s="1" t="n">
        <v>45889</v>
      </c>
      <c r="D136" t="inlineStr">
        <is>
          <t>VÄRMLANDS LÄN</t>
        </is>
      </c>
      <c r="E136" t="inlineStr">
        <is>
          <t>TORSBY</t>
        </is>
      </c>
      <c r="G136" t="n">
        <v>1.1</v>
      </c>
      <c r="H136" t="n">
        <v>0</v>
      </c>
      <c r="I136" t="n">
        <v>0</v>
      </c>
      <c r="J136" t="n">
        <v>1</v>
      </c>
      <c r="K136" t="n">
        <v>0</v>
      </c>
      <c r="L136" t="n">
        <v>0</v>
      </c>
      <c r="M136" t="n">
        <v>0</v>
      </c>
      <c r="N136" t="n">
        <v>0</v>
      </c>
      <c r="O136" t="n">
        <v>1</v>
      </c>
      <c r="P136" t="n">
        <v>0</v>
      </c>
      <c r="Q136" t="n">
        <v>1</v>
      </c>
      <c r="R136" s="2" t="inlineStr">
        <is>
          <t>Ullticka</t>
        </is>
      </c>
      <c r="S136">
        <f>HYPERLINK("https://klasma.github.io/Logging_1737/artfynd/A 32328-2025 artfynd.xlsx", "A 32328-2025")</f>
        <v/>
      </c>
      <c r="T136">
        <f>HYPERLINK("https://klasma.github.io/Logging_1737/kartor/A 32328-2025 karta.png", "A 32328-2025")</f>
        <v/>
      </c>
      <c r="V136">
        <f>HYPERLINK("https://klasma.github.io/Logging_1737/klagomål/A 32328-2025 FSC-klagomål.docx", "A 32328-2025")</f>
        <v/>
      </c>
      <c r="W136">
        <f>HYPERLINK("https://klasma.github.io/Logging_1737/klagomålsmail/A 32328-2025 FSC-klagomål mail.docx", "A 32328-2025")</f>
        <v/>
      </c>
      <c r="X136">
        <f>HYPERLINK("https://klasma.github.io/Logging_1737/tillsyn/A 32328-2025 tillsynsbegäran.docx", "A 32328-2025")</f>
        <v/>
      </c>
      <c r="Y136">
        <f>HYPERLINK("https://klasma.github.io/Logging_1737/tillsynsmail/A 32328-2025 tillsynsbegäran mail.docx", "A 32328-2025")</f>
        <v/>
      </c>
    </row>
    <row r="137" ht="15" customHeight="1">
      <c r="A137" t="inlineStr">
        <is>
          <t>A 37292-2024</t>
        </is>
      </c>
      <c r="B137" s="1" t="n">
        <v>45540</v>
      </c>
      <c r="C137" s="1" t="n">
        <v>45889</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37548-2025</t>
        </is>
      </c>
      <c r="B138" s="1" t="n">
        <v>45879</v>
      </c>
      <c r="C138" s="1" t="n">
        <v>45889</v>
      </c>
      <c r="D138" t="inlineStr">
        <is>
          <t>VÄRMLANDS LÄN</t>
        </is>
      </c>
      <c r="E138" t="inlineStr">
        <is>
          <t>TORSBY</t>
        </is>
      </c>
      <c r="G138" t="n">
        <v>9.5</v>
      </c>
      <c r="H138" t="n">
        <v>1</v>
      </c>
      <c r="I138" t="n">
        <v>0</v>
      </c>
      <c r="J138" t="n">
        <v>1</v>
      </c>
      <c r="K138" t="n">
        <v>0</v>
      </c>
      <c r="L138" t="n">
        <v>0</v>
      </c>
      <c r="M138" t="n">
        <v>0</v>
      </c>
      <c r="N138" t="n">
        <v>0</v>
      </c>
      <c r="O138" t="n">
        <v>1</v>
      </c>
      <c r="P138" t="n">
        <v>0</v>
      </c>
      <c r="Q138" t="n">
        <v>1</v>
      </c>
      <c r="R138" s="2" t="inlineStr">
        <is>
          <t>Talltita</t>
        </is>
      </c>
      <c r="S138">
        <f>HYPERLINK("https://klasma.github.io/Logging_1737/artfynd/A 37548-2025 artfynd.xlsx", "A 37548-2025")</f>
        <v/>
      </c>
      <c r="T138">
        <f>HYPERLINK("https://klasma.github.io/Logging_1737/kartor/A 37548-2025 karta.png", "A 37548-2025")</f>
        <v/>
      </c>
      <c r="V138">
        <f>HYPERLINK("https://klasma.github.io/Logging_1737/klagomål/A 37548-2025 FSC-klagomål.docx", "A 37548-2025")</f>
        <v/>
      </c>
      <c r="W138">
        <f>HYPERLINK("https://klasma.github.io/Logging_1737/klagomålsmail/A 37548-2025 FSC-klagomål mail.docx", "A 37548-2025")</f>
        <v/>
      </c>
      <c r="X138">
        <f>HYPERLINK("https://klasma.github.io/Logging_1737/tillsyn/A 37548-2025 tillsynsbegäran.docx", "A 37548-2025")</f>
        <v/>
      </c>
      <c r="Y138">
        <f>HYPERLINK("https://klasma.github.io/Logging_1737/tillsynsmail/A 37548-2025 tillsynsbegäran mail.docx", "A 37548-2025")</f>
        <v/>
      </c>
      <c r="Z138">
        <f>HYPERLINK("https://klasma.github.io/Logging_1737/fåglar/A 37548-2025 prioriterade fågelarter.docx", "A 37548-2025")</f>
        <v/>
      </c>
    </row>
    <row r="139" ht="15" customHeight="1">
      <c r="A139" t="inlineStr">
        <is>
          <t>A 38015-2025</t>
        </is>
      </c>
      <c r="B139" s="1" t="n">
        <v>45882</v>
      </c>
      <c r="C139" s="1" t="n">
        <v>45889</v>
      </c>
      <c r="D139" t="inlineStr">
        <is>
          <t>VÄRMLANDS LÄN</t>
        </is>
      </c>
      <c r="E139" t="inlineStr">
        <is>
          <t>TORSBY</t>
        </is>
      </c>
      <c r="F139" t="inlineStr">
        <is>
          <t>Bergvik skog väst AB</t>
        </is>
      </c>
      <c r="G139" t="n">
        <v>5</v>
      </c>
      <c r="H139" t="n">
        <v>0</v>
      </c>
      <c r="I139" t="n">
        <v>0</v>
      </c>
      <c r="J139" t="n">
        <v>1</v>
      </c>
      <c r="K139" t="n">
        <v>0</v>
      </c>
      <c r="L139" t="n">
        <v>0</v>
      </c>
      <c r="M139" t="n">
        <v>0</v>
      </c>
      <c r="N139" t="n">
        <v>0</v>
      </c>
      <c r="O139" t="n">
        <v>1</v>
      </c>
      <c r="P139" t="n">
        <v>0</v>
      </c>
      <c r="Q139" t="n">
        <v>1</v>
      </c>
      <c r="R139" s="2" t="inlineStr">
        <is>
          <t>Mörk kolflarnlav</t>
        </is>
      </c>
      <c r="S139">
        <f>HYPERLINK("https://klasma.github.io/Logging_1737/artfynd/A 38015-2025 artfynd.xlsx", "A 38015-2025")</f>
        <v/>
      </c>
      <c r="T139">
        <f>HYPERLINK("https://klasma.github.io/Logging_1737/kartor/A 38015-2025 karta.png", "A 38015-2025")</f>
        <v/>
      </c>
      <c r="V139">
        <f>HYPERLINK("https://klasma.github.io/Logging_1737/klagomål/A 38015-2025 FSC-klagomål.docx", "A 38015-2025")</f>
        <v/>
      </c>
      <c r="W139">
        <f>HYPERLINK("https://klasma.github.io/Logging_1737/klagomålsmail/A 38015-2025 FSC-klagomål mail.docx", "A 38015-2025")</f>
        <v/>
      </c>
      <c r="X139">
        <f>HYPERLINK("https://klasma.github.io/Logging_1737/tillsyn/A 38015-2025 tillsynsbegäran.docx", "A 38015-2025")</f>
        <v/>
      </c>
      <c r="Y139">
        <f>HYPERLINK("https://klasma.github.io/Logging_1737/tillsynsmail/A 38015-2025 tillsynsbegäran mail.docx", "A 38015-2025")</f>
        <v/>
      </c>
    </row>
    <row r="140" ht="15" customHeight="1">
      <c r="A140" t="inlineStr">
        <is>
          <t>A 37699-2025</t>
        </is>
      </c>
      <c r="B140" s="1" t="n">
        <v>45880</v>
      </c>
      <c r="C140" s="1" t="n">
        <v>45889</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1526-2021</t>
        </is>
      </c>
      <c r="B141" s="1" t="n">
        <v>44209</v>
      </c>
      <c r="C141" s="1" t="n">
        <v>45889</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45889</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45889</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45889</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45889</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45889</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15854-2021</t>
        </is>
      </c>
      <c r="B147" s="1" t="n">
        <v>44286</v>
      </c>
      <c r="C147" s="1" t="n">
        <v>45889</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45889</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45889</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45889</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45889</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45889</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45889</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45889</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45889</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45889</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45889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45889</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45889</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45889</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45889</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45889</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45889</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45889</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45889</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45889</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45889</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45889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45889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45889</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45889</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45889</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45889</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45889</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45889</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45889</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45889</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45889</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45889</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45889</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45889</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45889</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45889</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45889</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45889</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45889</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45889</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45889</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45889</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45889</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45889</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45889</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45889</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45889</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45889</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45889</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45889</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45889</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45889</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45889</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16299-2021</t>
        </is>
      </c>
      <c r="B203" s="1" t="n">
        <v>44292</v>
      </c>
      <c r="C203" s="1" t="n">
        <v>45889</v>
      </c>
      <c r="D203" t="inlineStr">
        <is>
          <t>VÄRMLANDS LÄN</t>
        </is>
      </c>
      <c r="E203" t="inlineStr">
        <is>
          <t>TORSBY</t>
        </is>
      </c>
      <c r="G203" t="n">
        <v>3.4</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45889</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45889</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45889</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45889</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45889</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45889</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45889</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45889</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45889</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45889</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51522-2021</t>
        </is>
      </c>
      <c r="B214" s="1" t="n">
        <v>44462</v>
      </c>
      <c r="C214" s="1" t="n">
        <v>45889</v>
      </c>
      <c r="D214" t="inlineStr">
        <is>
          <t>VÄRMLANDS LÄN</t>
        </is>
      </c>
      <c r="E214" t="inlineStr">
        <is>
          <t>TORSBY</t>
        </is>
      </c>
      <c r="G214" t="n">
        <v>0.3</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45889</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45889</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45889</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45889</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45889</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45889</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42701-2022</t>
        </is>
      </c>
      <c r="B221" s="1" t="n">
        <v>44832</v>
      </c>
      <c r="C221" s="1" t="n">
        <v>45889</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50084-2020</t>
        </is>
      </c>
      <c r="B222" s="1" t="n">
        <v>44109</v>
      </c>
      <c r="C222" s="1" t="n">
        <v>45889</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45889</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69245-2020</t>
        </is>
      </c>
      <c r="B224" s="1" t="n">
        <v>44192</v>
      </c>
      <c r="C224" s="1" t="n">
        <v>45889</v>
      </c>
      <c r="D224" t="inlineStr">
        <is>
          <t>VÄRMLANDS LÄN</t>
        </is>
      </c>
      <c r="E224" t="inlineStr">
        <is>
          <t>TORSBY</t>
        </is>
      </c>
      <c r="G224" t="n">
        <v>0.2</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45889</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51385-2020</t>
        </is>
      </c>
      <c r="B226" s="1" t="n">
        <v>44113</v>
      </c>
      <c r="C226" s="1" t="n">
        <v>45889</v>
      </c>
      <c r="D226" t="inlineStr">
        <is>
          <t>VÄRMLANDS LÄN</t>
        </is>
      </c>
      <c r="E226" t="inlineStr">
        <is>
          <t>TORSBY</t>
        </is>
      </c>
      <c r="G226" t="n">
        <v>6.8</v>
      </c>
      <c r="H226" t="n">
        <v>0</v>
      </c>
      <c r="I226" t="n">
        <v>0</v>
      </c>
      <c r="J226" t="n">
        <v>0</v>
      </c>
      <c r="K226" t="n">
        <v>0</v>
      </c>
      <c r="L226" t="n">
        <v>0</v>
      </c>
      <c r="M226" t="n">
        <v>0</v>
      </c>
      <c r="N226" t="n">
        <v>0</v>
      </c>
      <c r="O226" t="n">
        <v>0</v>
      </c>
      <c r="P226" t="n">
        <v>0</v>
      </c>
      <c r="Q226" t="n">
        <v>0</v>
      </c>
      <c r="R226" s="2" t="inlineStr"/>
    </row>
    <row r="227" ht="15" customHeight="1">
      <c r="A227" t="inlineStr">
        <is>
          <t>A 51386-2020</t>
        </is>
      </c>
      <c r="B227" s="1" t="n">
        <v>44113.2850462963</v>
      </c>
      <c r="C227" s="1" t="n">
        <v>45889</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45889</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45889</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45889</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42391-2020</t>
        </is>
      </c>
      <c r="B231" s="1" t="n">
        <v>44076</v>
      </c>
      <c r="C231" s="1" t="n">
        <v>45889</v>
      </c>
      <c r="D231" t="inlineStr">
        <is>
          <t>VÄRMLANDS LÄN</t>
        </is>
      </c>
      <c r="E231" t="inlineStr">
        <is>
          <t>TORSBY</t>
        </is>
      </c>
      <c r="G231" t="n">
        <v>3.9</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45889</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45889</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45889</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50988-2021</t>
        </is>
      </c>
      <c r="B235" s="1" t="n">
        <v>44460</v>
      </c>
      <c r="C235" s="1" t="n">
        <v>45889</v>
      </c>
      <c r="D235" t="inlineStr">
        <is>
          <t>VÄRMLANDS LÄN</t>
        </is>
      </c>
      <c r="E235" t="inlineStr">
        <is>
          <t>TORSBY</t>
        </is>
      </c>
      <c r="G235" t="n">
        <v>14.3</v>
      </c>
      <c r="H235" t="n">
        <v>0</v>
      </c>
      <c r="I235" t="n">
        <v>0</v>
      </c>
      <c r="J235" t="n">
        <v>0</v>
      </c>
      <c r="K235" t="n">
        <v>0</v>
      </c>
      <c r="L235" t="n">
        <v>0</v>
      </c>
      <c r="M235" t="n">
        <v>0</v>
      </c>
      <c r="N235" t="n">
        <v>0</v>
      </c>
      <c r="O235" t="n">
        <v>0</v>
      </c>
      <c r="P235" t="n">
        <v>0</v>
      </c>
      <c r="Q235" t="n">
        <v>0</v>
      </c>
      <c r="R235" s="2" t="inlineStr"/>
    </row>
    <row r="236" ht="15" customHeight="1">
      <c r="A236" t="inlineStr">
        <is>
          <t>A 52979-2020</t>
        </is>
      </c>
      <c r="B236" s="1" t="n">
        <v>44120</v>
      </c>
      <c r="C236" s="1" t="n">
        <v>45889</v>
      </c>
      <c r="D236" t="inlineStr">
        <is>
          <t>VÄRMLANDS LÄN</t>
        </is>
      </c>
      <c r="E236" t="inlineStr">
        <is>
          <t>TORSBY</t>
        </is>
      </c>
      <c r="G236" t="n">
        <v>3.6</v>
      </c>
      <c r="H236" t="n">
        <v>0</v>
      </c>
      <c r="I236" t="n">
        <v>0</v>
      </c>
      <c r="J236" t="n">
        <v>0</v>
      </c>
      <c r="K236" t="n">
        <v>0</v>
      </c>
      <c r="L236" t="n">
        <v>0</v>
      </c>
      <c r="M236" t="n">
        <v>0</v>
      </c>
      <c r="N236" t="n">
        <v>0</v>
      </c>
      <c r="O236" t="n">
        <v>0</v>
      </c>
      <c r="P236" t="n">
        <v>0</v>
      </c>
      <c r="Q236" t="n">
        <v>0</v>
      </c>
      <c r="R236" s="2" t="inlineStr"/>
    </row>
    <row r="237" ht="15" customHeight="1">
      <c r="A237" t="inlineStr">
        <is>
          <t>A 3369-2022</t>
        </is>
      </c>
      <c r="B237" s="1" t="n">
        <v>44585</v>
      </c>
      <c r="C237" s="1" t="n">
        <v>45889</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2421-2022</t>
        </is>
      </c>
      <c r="B238" s="1" t="n">
        <v>44579.50670138889</v>
      </c>
      <c r="C238" s="1" t="n">
        <v>45889</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66080-2021</t>
        </is>
      </c>
      <c r="B239" s="1" t="n">
        <v>44517.66700231482</v>
      </c>
      <c r="C239" s="1" t="n">
        <v>45889</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28955-2022</t>
        </is>
      </c>
      <c r="B240" s="1" t="n">
        <v>44749.61657407408</v>
      </c>
      <c r="C240" s="1" t="n">
        <v>45889</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40993-2020</t>
        </is>
      </c>
      <c r="B241" s="1" t="n">
        <v>44070</v>
      </c>
      <c r="C241" s="1" t="n">
        <v>45889</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53906-2022</t>
        </is>
      </c>
      <c r="B242" s="1" t="n">
        <v>44880</v>
      </c>
      <c r="C242" s="1" t="n">
        <v>45889</v>
      </c>
      <c r="D242" t="inlineStr">
        <is>
          <t>VÄRMLANDS LÄN</t>
        </is>
      </c>
      <c r="E242" t="inlineStr">
        <is>
          <t>TORSBY</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69275-2021</t>
        </is>
      </c>
      <c r="B243" s="1" t="n">
        <v>44526</v>
      </c>
      <c r="C243" s="1" t="n">
        <v>45889</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45889</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27932-2021</t>
        </is>
      </c>
      <c r="B245" s="1" t="n">
        <v>44354</v>
      </c>
      <c r="C245" s="1" t="n">
        <v>45889</v>
      </c>
      <c r="D245" t="inlineStr">
        <is>
          <t>VÄRMLANDS LÄN</t>
        </is>
      </c>
      <c r="E245" t="inlineStr">
        <is>
          <t>TORSBY</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4711-2021</t>
        </is>
      </c>
      <c r="B246" s="1" t="n">
        <v>44225</v>
      </c>
      <c r="C246" s="1" t="n">
        <v>45889</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68220-2020</t>
        </is>
      </c>
      <c r="B247" s="1" t="n">
        <v>44183</v>
      </c>
      <c r="C247" s="1" t="n">
        <v>45889</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63565-2020</t>
        </is>
      </c>
      <c r="B248" s="1" t="n">
        <v>44165</v>
      </c>
      <c r="C248" s="1" t="n">
        <v>45889</v>
      </c>
      <c r="D248" t="inlineStr">
        <is>
          <t>VÄRMLANDS LÄN</t>
        </is>
      </c>
      <c r="E248" t="inlineStr">
        <is>
          <t>TORSBY</t>
        </is>
      </c>
      <c r="G248" t="n">
        <v>10.3</v>
      </c>
      <c r="H248" t="n">
        <v>0</v>
      </c>
      <c r="I248" t="n">
        <v>0</v>
      </c>
      <c r="J248" t="n">
        <v>0</v>
      </c>
      <c r="K248" t="n">
        <v>0</v>
      </c>
      <c r="L248" t="n">
        <v>0</v>
      </c>
      <c r="M248" t="n">
        <v>0</v>
      </c>
      <c r="N248" t="n">
        <v>0</v>
      </c>
      <c r="O248" t="n">
        <v>0</v>
      </c>
      <c r="P248" t="n">
        <v>0</v>
      </c>
      <c r="Q248" t="n">
        <v>0</v>
      </c>
      <c r="R248" s="2" t="inlineStr"/>
    </row>
    <row r="249" ht="15" customHeight="1">
      <c r="A249" t="inlineStr">
        <is>
          <t>A 8034-2021</t>
        </is>
      </c>
      <c r="B249" s="1" t="n">
        <v>44243</v>
      </c>
      <c r="C249" s="1" t="n">
        <v>45889</v>
      </c>
      <c r="D249" t="inlineStr">
        <is>
          <t>VÄRMLANDS LÄN</t>
        </is>
      </c>
      <c r="E249" t="inlineStr">
        <is>
          <t>TORSBY</t>
        </is>
      </c>
      <c r="G249" t="n">
        <v>15.4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45889</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28940-2021</t>
        </is>
      </c>
      <c r="B251" s="1" t="n">
        <v>44358</v>
      </c>
      <c r="C251" s="1" t="n">
        <v>45889</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45889</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45889</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40987-2020</t>
        </is>
      </c>
      <c r="B254" s="1" t="n">
        <v>44070</v>
      </c>
      <c r="C254" s="1" t="n">
        <v>45889</v>
      </c>
      <c r="D254" t="inlineStr">
        <is>
          <t>VÄRMLANDS LÄN</t>
        </is>
      </c>
      <c r="E254" t="inlineStr">
        <is>
          <t>TORSBY</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41678-2021</t>
        </is>
      </c>
      <c r="B255" s="1" t="n">
        <v>44425</v>
      </c>
      <c r="C255" s="1" t="n">
        <v>45889</v>
      </c>
      <c r="D255" t="inlineStr">
        <is>
          <t>VÄRMLANDS LÄN</t>
        </is>
      </c>
      <c r="E255" t="inlineStr">
        <is>
          <t>TORSBY</t>
        </is>
      </c>
      <c r="G255" t="n">
        <v>4.3</v>
      </c>
      <c r="H255" t="n">
        <v>0</v>
      </c>
      <c r="I255" t="n">
        <v>0</v>
      </c>
      <c r="J255" t="n">
        <v>0</v>
      </c>
      <c r="K255" t="n">
        <v>0</v>
      </c>
      <c r="L255" t="n">
        <v>0</v>
      </c>
      <c r="M255" t="n">
        <v>0</v>
      </c>
      <c r="N255" t="n">
        <v>0</v>
      </c>
      <c r="O255" t="n">
        <v>0</v>
      </c>
      <c r="P255" t="n">
        <v>0</v>
      </c>
      <c r="Q255" t="n">
        <v>0</v>
      </c>
      <c r="R255" s="2" t="inlineStr"/>
    </row>
    <row r="256" ht="15" customHeight="1">
      <c r="A256" t="inlineStr">
        <is>
          <t>A 10118-2021</t>
        </is>
      </c>
      <c r="B256" s="1" t="n">
        <v>44256</v>
      </c>
      <c r="C256" s="1" t="n">
        <v>45889</v>
      </c>
      <c r="D256" t="inlineStr">
        <is>
          <t>VÄRMLANDS LÄN</t>
        </is>
      </c>
      <c r="E256" t="inlineStr">
        <is>
          <t>TORSBY</t>
        </is>
      </c>
      <c r="G256" t="n">
        <v>12.5</v>
      </c>
      <c r="H256" t="n">
        <v>0</v>
      </c>
      <c r="I256" t="n">
        <v>0</v>
      </c>
      <c r="J256" t="n">
        <v>0</v>
      </c>
      <c r="K256" t="n">
        <v>0</v>
      </c>
      <c r="L256" t="n">
        <v>0</v>
      </c>
      <c r="M256" t="n">
        <v>0</v>
      </c>
      <c r="N256" t="n">
        <v>0</v>
      </c>
      <c r="O256" t="n">
        <v>0</v>
      </c>
      <c r="P256" t="n">
        <v>0</v>
      </c>
      <c r="Q256" t="n">
        <v>0</v>
      </c>
      <c r="R256" s="2" t="inlineStr"/>
    </row>
    <row r="257" ht="15" customHeight="1">
      <c r="A257" t="inlineStr">
        <is>
          <t>A 13857-2021</t>
        </is>
      </c>
      <c r="B257" s="1" t="n">
        <v>44277</v>
      </c>
      <c r="C257" s="1" t="n">
        <v>45889</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54811-2022</t>
        </is>
      </c>
      <c r="B258" s="1" t="n">
        <v>44883.7496875</v>
      </c>
      <c r="C258" s="1" t="n">
        <v>45889</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18174-2021</t>
        </is>
      </c>
      <c r="B259" s="1" t="n">
        <v>44302.63314814815</v>
      </c>
      <c r="C259" s="1" t="n">
        <v>45889</v>
      </c>
      <c r="D259" t="inlineStr">
        <is>
          <t>VÄRMLANDS LÄN</t>
        </is>
      </c>
      <c r="E259" t="inlineStr">
        <is>
          <t>TORSBY</t>
        </is>
      </c>
      <c r="G259" t="n">
        <v>4.5</v>
      </c>
      <c r="H259" t="n">
        <v>0</v>
      </c>
      <c r="I259" t="n">
        <v>0</v>
      </c>
      <c r="J259" t="n">
        <v>0</v>
      </c>
      <c r="K259" t="n">
        <v>0</v>
      </c>
      <c r="L259" t="n">
        <v>0</v>
      </c>
      <c r="M259" t="n">
        <v>0</v>
      </c>
      <c r="N259" t="n">
        <v>0</v>
      </c>
      <c r="O259" t="n">
        <v>0</v>
      </c>
      <c r="P259" t="n">
        <v>0</v>
      </c>
      <c r="Q259" t="n">
        <v>0</v>
      </c>
      <c r="R259" s="2" t="inlineStr"/>
    </row>
    <row r="260" ht="15" customHeight="1">
      <c r="A260" t="inlineStr">
        <is>
          <t>A 44923-2021</t>
        </is>
      </c>
      <c r="B260" s="1" t="n">
        <v>44438.6662037037</v>
      </c>
      <c r="C260" s="1" t="n">
        <v>45889</v>
      </c>
      <c r="D260" t="inlineStr">
        <is>
          <t>VÄRMLANDS LÄN</t>
        </is>
      </c>
      <c r="E260" t="inlineStr">
        <is>
          <t>TORSBY</t>
        </is>
      </c>
      <c r="G260" t="n">
        <v>1.9</v>
      </c>
      <c r="H260" t="n">
        <v>0</v>
      </c>
      <c r="I260" t="n">
        <v>0</v>
      </c>
      <c r="J260" t="n">
        <v>0</v>
      </c>
      <c r="K260" t="n">
        <v>0</v>
      </c>
      <c r="L260" t="n">
        <v>0</v>
      </c>
      <c r="M260" t="n">
        <v>0</v>
      </c>
      <c r="N260" t="n">
        <v>0</v>
      </c>
      <c r="O260" t="n">
        <v>0</v>
      </c>
      <c r="P260" t="n">
        <v>0</v>
      </c>
      <c r="Q260" t="n">
        <v>0</v>
      </c>
      <c r="R260" s="2" t="inlineStr"/>
    </row>
    <row r="261" ht="15" customHeight="1">
      <c r="A261" t="inlineStr">
        <is>
          <t>A 10778-2021</t>
        </is>
      </c>
      <c r="B261" s="1" t="n">
        <v>44259</v>
      </c>
      <c r="C261" s="1" t="n">
        <v>45889</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68238-2020</t>
        </is>
      </c>
      <c r="B262" s="1" t="n">
        <v>44183</v>
      </c>
      <c r="C262" s="1" t="n">
        <v>45889</v>
      </c>
      <c r="D262" t="inlineStr">
        <is>
          <t>VÄRMLANDS LÄN</t>
        </is>
      </c>
      <c r="E262" t="inlineStr">
        <is>
          <t>TORSBY</t>
        </is>
      </c>
      <c r="F262" t="inlineStr">
        <is>
          <t>Bergvik skog väst AB</t>
        </is>
      </c>
      <c r="G262" t="n">
        <v>6.7</v>
      </c>
      <c r="H262" t="n">
        <v>0</v>
      </c>
      <c r="I262" t="n">
        <v>0</v>
      </c>
      <c r="J262" t="n">
        <v>0</v>
      </c>
      <c r="K262" t="n">
        <v>0</v>
      </c>
      <c r="L262" t="n">
        <v>0</v>
      </c>
      <c r="M262" t="n">
        <v>0</v>
      </c>
      <c r="N262" t="n">
        <v>0</v>
      </c>
      <c r="O262" t="n">
        <v>0</v>
      </c>
      <c r="P262" t="n">
        <v>0</v>
      </c>
      <c r="Q262" t="n">
        <v>0</v>
      </c>
      <c r="R262" s="2" t="inlineStr"/>
    </row>
    <row r="263" ht="15" customHeight="1">
      <c r="A263" t="inlineStr">
        <is>
          <t>A 5105-2021</t>
        </is>
      </c>
      <c r="B263" s="1" t="n">
        <v>44228</v>
      </c>
      <c r="C263" s="1" t="n">
        <v>45889</v>
      </c>
      <c r="D263" t="inlineStr">
        <is>
          <t>VÄRMLANDS LÄN</t>
        </is>
      </c>
      <c r="E263" t="inlineStr">
        <is>
          <t>TORSBY</t>
        </is>
      </c>
      <c r="G263" t="n">
        <v>5.6</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45889</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30802-2021</t>
        </is>
      </c>
      <c r="B265" s="1" t="n">
        <v>44365.52390046296</v>
      </c>
      <c r="C265" s="1" t="n">
        <v>45889</v>
      </c>
      <c r="D265" t="inlineStr">
        <is>
          <t>VÄRMLANDS LÄN</t>
        </is>
      </c>
      <c r="E265" t="inlineStr">
        <is>
          <t>TORSBY</t>
        </is>
      </c>
      <c r="G265" t="n">
        <v>0.6</v>
      </c>
      <c r="H265" t="n">
        <v>0</v>
      </c>
      <c r="I265" t="n">
        <v>0</v>
      </c>
      <c r="J265" t="n">
        <v>0</v>
      </c>
      <c r="K265" t="n">
        <v>0</v>
      </c>
      <c r="L265" t="n">
        <v>0</v>
      </c>
      <c r="M265" t="n">
        <v>0</v>
      </c>
      <c r="N265" t="n">
        <v>0</v>
      </c>
      <c r="O265" t="n">
        <v>0</v>
      </c>
      <c r="P265" t="n">
        <v>0</v>
      </c>
      <c r="Q265" t="n">
        <v>0</v>
      </c>
      <c r="R265" s="2" t="inlineStr"/>
    </row>
    <row r="266" ht="15" customHeight="1">
      <c r="A266" t="inlineStr">
        <is>
          <t>A 23803-2022</t>
        </is>
      </c>
      <c r="B266" s="1" t="n">
        <v>44720</v>
      </c>
      <c r="C266" s="1" t="n">
        <v>45889</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45889</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45889</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45889</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45889</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45889</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65827-2020</t>
        </is>
      </c>
      <c r="B272" s="1" t="n">
        <v>44173</v>
      </c>
      <c r="C272" s="1" t="n">
        <v>45889</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45889</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45889</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28172-2022</t>
        </is>
      </c>
      <c r="B275" s="1" t="n">
        <v>44746</v>
      </c>
      <c r="C275" s="1" t="n">
        <v>45889</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58062-2021</t>
        </is>
      </c>
      <c r="B276" s="1" t="n">
        <v>44487</v>
      </c>
      <c r="C276" s="1" t="n">
        <v>45889</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37225-2021</t>
        </is>
      </c>
      <c r="B277" s="1" t="n">
        <v>44396</v>
      </c>
      <c r="C277" s="1" t="n">
        <v>45889</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44018-2021</t>
        </is>
      </c>
      <c r="B278" s="1" t="n">
        <v>44434</v>
      </c>
      <c r="C278" s="1" t="n">
        <v>45889</v>
      </c>
      <c r="D278" t="inlineStr">
        <is>
          <t>VÄRMLANDS LÄN</t>
        </is>
      </c>
      <c r="E278" t="inlineStr">
        <is>
          <t>TORSBY</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34626-2021</t>
        </is>
      </c>
      <c r="B279" s="1" t="n">
        <v>44382</v>
      </c>
      <c r="C279" s="1" t="n">
        <v>45889</v>
      </c>
      <c r="D279" t="inlineStr">
        <is>
          <t>VÄRMLANDS LÄN</t>
        </is>
      </c>
      <c r="E279" t="inlineStr">
        <is>
          <t>TORSBY</t>
        </is>
      </c>
      <c r="G279" t="n">
        <v>2.1</v>
      </c>
      <c r="H279" t="n">
        <v>0</v>
      </c>
      <c r="I279" t="n">
        <v>0</v>
      </c>
      <c r="J279" t="n">
        <v>0</v>
      </c>
      <c r="K279" t="n">
        <v>0</v>
      </c>
      <c r="L279" t="n">
        <v>0</v>
      </c>
      <c r="M279" t="n">
        <v>0</v>
      </c>
      <c r="N279" t="n">
        <v>0</v>
      </c>
      <c r="O279" t="n">
        <v>0</v>
      </c>
      <c r="P279" t="n">
        <v>0</v>
      </c>
      <c r="Q279" t="n">
        <v>0</v>
      </c>
      <c r="R279" s="2" t="inlineStr"/>
    </row>
    <row r="280" ht="15" customHeight="1">
      <c r="A280" t="inlineStr">
        <is>
          <t>A 51381-2020</t>
        </is>
      </c>
      <c r="B280" s="1" t="n">
        <v>44113</v>
      </c>
      <c r="C280" s="1" t="n">
        <v>45889</v>
      </c>
      <c r="D280" t="inlineStr">
        <is>
          <t>VÄRMLANDS LÄN</t>
        </is>
      </c>
      <c r="E280" t="inlineStr">
        <is>
          <t>TORSBY</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34885-2021</t>
        </is>
      </c>
      <c r="B281" s="1" t="n">
        <v>44383</v>
      </c>
      <c r="C281" s="1" t="n">
        <v>45889</v>
      </c>
      <c r="D281" t="inlineStr">
        <is>
          <t>VÄRMLANDS LÄN</t>
        </is>
      </c>
      <c r="E281" t="inlineStr">
        <is>
          <t>TORSBY</t>
        </is>
      </c>
      <c r="G281" t="n">
        <v>8.9</v>
      </c>
      <c r="H281" t="n">
        <v>0</v>
      </c>
      <c r="I281" t="n">
        <v>0</v>
      </c>
      <c r="J281" t="n">
        <v>0</v>
      </c>
      <c r="K281" t="n">
        <v>0</v>
      </c>
      <c r="L281" t="n">
        <v>0</v>
      </c>
      <c r="M281" t="n">
        <v>0</v>
      </c>
      <c r="N281" t="n">
        <v>0</v>
      </c>
      <c r="O281" t="n">
        <v>0</v>
      </c>
      <c r="P281" t="n">
        <v>0</v>
      </c>
      <c r="Q281" t="n">
        <v>0</v>
      </c>
      <c r="R281" s="2" t="inlineStr"/>
    </row>
    <row r="282" ht="15" customHeight="1">
      <c r="A282" t="inlineStr">
        <is>
          <t>A 65959-2021</t>
        </is>
      </c>
      <c r="B282" s="1" t="n">
        <v>44517</v>
      </c>
      <c r="C282" s="1" t="n">
        <v>45889</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69265-2021</t>
        </is>
      </c>
      <c r="B283" s="1" t="n">
        <v>44526</v>
      </c>
      <c r="C283" s="1" t="n">
        <v>45889</v>
      </c>
      <c r="D283" t="inlineStr">
        <is>
          <t>VÄRMLANDS LÄN</t>
        </is>
      </c>
      <c r="E283" t="inlineStr">
        <is>
          <t>TORSBY</t>
        </is>
      </c>
      <c r="G283" t="n">
        <v>11.1</v>
      </c>
      <c r="H283" t="n">
        <v>0</v>
      </c>
      <c r="I283" t="n">
        <v>0</v>
      </c>
      <c r="J283" t="n">
        <v>0</v>
      </c>
      <c r="K283" t="n">
        <v>0</v>
      </c>
      <c r="L283" t="n">
        <v>0</v>
      </c>
      <c r="M283" t="n">
        <v>0</v>
      </c>
      <c r="N283" t="n">
        <v>0</v>
      </c>
      <c r="O283" t="n">
        <v>0</v>
      </c>
      <c r="P283" t="n">
        <v>0</v>
      </c>
      <c r="Q283" t="n">
        <v>0</v>
      </c>
      <c r="R283" s="2" t="inlineStr"/>
    </row>
    <row r="284" ht="15" customHeight="1">
      <c r="A284" t="inlineStr">
        <is>
          <t>A 19877-2021</t>
        </is>
      </c>
      <c r="B284" s="1" t="n">
        <v>44313</v>
      </c>
      <c r="C284" s="1" t="n">
        <v>45889</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54033-2021</t>
        </is>
      </c>
      <c r="B285" s="1" t="n">
        <v>44470.38454861111</v>
      </c>
      <c r="C285" s="1" t="n">
        <v>45889</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62576-2021</t>
        </is>
      </c>
      <c r="B286" s="1" t="n">
        <v>44502</v>
      </c>
      <c r="C286" s="1" t="n">
        <v>45889</v>
      </c>
      <c r="D286" t="inlineStr">
        <is>
          <t>VÄRMLANDS LÄN</t>
        </is>
      </c>
      <c r="E286" t="inlineStr">
        <is>
          <t>TORSBY</t>
        </is>
      </c>
      <c r="G286" t="n">
        <v>3.3</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45889</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45889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45889</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20199-2021</t>
        </is>
      </c>
      <c r="B290" s="1" t="n">
        <v>44312</v>
      </c>
      <c r="C290" s="1" t="n">
        <v>45889</v>
      </c>
      <c r="D290" t="inlineStr">
        <is>
          <t>VÄRMLANDS LÄN</t>
        </is>
      </c>
      <c r="E290" t="inlineStr">
        <is>
          <t>TORSBY</t>
        </is>
      </c>
      <c r="G290" t="n">
        <v>11.4</v>
      </c>
      <c r="H290" t="n">
        <v>0</v>
      </c>
      <c r="I290" t="n">
        <v>0</v>
      </c>
      <c r="J290" t="n">
        <v>0</v>
      </c>
      <c r="K290" t="n">
        <v>0</v>
      </c>
      <c r="L290" t="n">
        <v>0</v>
      </c>
      <c r="M290" t="n">
        <v>0</v>
      </c>
      <c r="N290" t="n">
        <v>0</v>
      </c>
      <c r="O290" t="n">
        <v>0</v>
      </c>
      <c r="P290" t="n">
        <v>0</v>
      </c>
      <c r="Q290" t="n">
        <v>0</v>
      </c>
      <c r="R290" s="2" t="inlineStr"/>
    </row>
    <row r="291" ht="15" customHeight="1">
      <c r="A291" t="inlineStr">
        <is>
          <t>A 14942-2021</t>
        </is>
      </c>
      <c r="B291" s="1" t="n">
        <v>44281</v>
      </c>
      <c r="C291" s="1" t="n">
        <v>45889</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46551-2022</t>
        </is>
      </c>
      <c r="B292" s="1" t="n">
        <v>44848</v>
      </c>
      <c r="C292" s="1" t="n">
        <v>45889</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35545-2021</t>
        </is>
      </c>
      <c r="B293" s="1" t="n">
        <v>44385</v>
      </c>
      <c r="C293" s="1" t="n">
        <v>45889</v>
      </c>
      <c r="D293" t="inlineStr">
        <is>
          <t>VÄRMLANDS LÄN</t>
        </is>
      </c>
      <c r="E293" t="inlineStr">
        <is>
          <t>TORSBY</t>
        </is>
      </c>
      <c r="G293" t="n">
        <v>6</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45889</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25247-2021</t>
        </is>
      </c>
      <c r="B295" s="1" t="n">
        <v>44342</v>
      </c>
      <c r="C295" s="1" t="n">
        <v>45889</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52543-2022</t>
        </is>
      </c>
      <c r="B296" s="1" t="n">
        <v>44874</v>
      </c>
      <c r="C296" s="1" t="n">
        <v>45889</v>
      </c>
      <c r="D296" t="inlineStr">
        <is>
          <t>VÄRMLANDS LÄN</t>
        </is>
      </c>
      <c r="E296" t="inlineStr">
        <is>
          <t>TORSBY</t>
        </is>
      </c>
      <c r="G296" t="n">
        <v>10.1</v>
      </c>
      <c r="H296" t="n">
        <v>0</v>
      </c>
      <c r="I296" t="n">
        <v>0</v>
      </c>
      <c r="J296" t="n">
        <v>0</v>
      </c>
      <c r="K296" t="n">
        <v>0</v>
      </c>
      <c r="L296" t="n">
        <v>0</v>
      </c>
      <c r="M296" t="n">
        <v>0</v>
      </c>
      <c r="N296" t="n">
        <v>0</v>
      </c>
      <c r="O296" t="n">
        <v>0</v>
      </c>
      <c r="P296" t="n">
        <v>0</v>
      </c>
      <c r="Q296" t="n">
        <v>0</v>
      </c>
      <c r="R296" s="2" t="inlineStr"/>
    </row>
    <row r="297" ht="15" customHeight="1">
      <c r="A297" t="inlineStr">
        <is>
          <t>A 43095-2021</t>
        </is>
      </c>
      <c r="B297" s="1" t="n">
        <v>44431</v>
      </c>
      <c r="C297" s="1" t="n">
        <v>45889</v>
      </c>
      <c r="D297" t="inlineStr">
        <is>
          <t>VÄRMLANDS LÄN</t>
        </is>
      </c>
      <c r="E297" t="inlineStr">
        <is>
          <t>TORSBY</t>
        </is>
      </c>
      <c r="G297" t="n">
        <v>1.4</v>
      </c>
      <c r="H297" t="n">
        <v>0</v>
      </c>
      <c r="I297" t="n">
        <v>0</v>
      </c>
      <c r="J297" t="n">
        <v>0</v>
      </c>
      <c r="K297" t="n">
        <v>0</v>
      </c>
      <c r="L297" t="n">
        <v>0</v>
      </c>
      <c r="M297" t="n">
        <v>0</v>
      </c>
      <c r="N297" t="n">
        <v>0</v>
      </c>
      <c r="O297" t="n">
        <v>0</v>
      </c>
      <c r="P297" t="n">
        <v>0</v>
      </c>
      <c r="Q297" t="n">
        <v>0</v>
      </c>
      <c r="R297" s="2" t="inlineStr"/>
    </row>
    <row r="298" ht="15" customHeight="1">
      <c r="A298" t="inlineStr">
        <is>
          <t>A 61009-2020</t>
        </is>
      </c>
      <c r="B298" s="1" t="n">
        <v>44154</v>
      </c>
      <c r="C298" s="1" t="n">
        <v>45889</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45889</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45889</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65398-2020</t>
        </is>
      </c>
      <c r="B301" s="1" t="n">
        <v>44169</v>
      </c>
      <c r="C301" s="1" t="n">
        <v>45889</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17765-2022</t>
        </is>
      </c>
      <c r="B302" s="1" t="n">
        <v>44681.41195601852</v>
      </c>
      <c r="C302" s="1" t="n">
        <v>45889</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49192-2021</t>
        </is>
      </c>
      <c r="B303" s="1" t="n">
        <v>44454.33175925926</v>
      </c>
      <c r="C303" s="1" t="n">
        <v>45889</v>
      </c>
      <c r="D303" t="inlineStr">
        <is>
          <t>VÄRMLANDS LÄN</t>
        </is>
      </c>
      <c r="E303" t="inlineStr">
        <is>
          <t>TORSBY</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28562-2021</t>
        </is>
      </c>
      <c r="B304" s="1" t="n">
        <v>44356.69538194445</v>
      </c>
      <c r="C304" s="1" t="n">
        <v>45889</v>
      </c>
      <c r="D304" t="inlineStr">
        <is>
          <t>VÄRMLANDS LÄN</t>
        </is>
      </c>
      <c r="E304" t="inlineStr">
        <is>
          <t>TORSBY</t>
        </is>
      </c>
      <c r="G304" t="n">
        <v>4.4</v>
      </c>
      <c r="H304" t="n">
        <v>0</v>
      </c>
      <c r="I304" t="n">
        <v>0</v>
      </c>
      <c r="J304" t="n">
        <v>0</v>
      </c>
      <c r="K304" t="n">
        <v>0</v>
      </c>
      <c r="L304" t="n">
        <v>0</v>
      </c>
      <c r="M304" t="n">
        <v>0</v>
      </c>
      <c r="N304" t="n">
        <v>0</v>
      </c>
      <c r="O304" t="n">
        <v>0</v>
      </c>
      <c r="P304" t="n">
        <v>0</v>
      </c>
      <c r="Q304" t="n">
        <v>0</v>
      </c>
      <c r="R304" s="2" t="inlineStr"/>
    </row>
    <row r="305" ht="15" customHeight="1">
      <c r="A305" t="inlineStr">
        <is>
          <t>A 56062-2021</t>
        </is>
      </c>
      <c r="B305" s="1" t="n">
        <v>44477.51216435185</v>
      </c>
      <c r="C305" s="1" t="n">
        <v>45889</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33149-2021</t>
        </is>
      </c>
      <c r="B306" s="1" t="n">
        <v>44376.67658564815</v>
      </c>
      <c r="C306" s="1" t="n">
        <v>45889</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33515-2021</t>
        </is>
      </c>
      <c r="B307" s="1" t="n">
        <v>44377</v>
      </c>
      <c r="C307" s="1" t="n">
        <v>45889</v>
      </c>
      <c r="D307" t="inlineStr">
        <is>
          <t>VÄRMLANDS LÄN</t>
        </is>
      </c>
      <c r="E307" t="inlineStr">
        <is>
          <t>TORSBY</t>
        </is>
      </c>
      <c r="G307" t="n">
        <v>3.5</v>
      </c>
      <c r="H307" t="n">
        <v>0</v>
      </c>
      <c r="I307" t="n">
        <v>0</v>
      </c>
      <c r="J307" t="n">
        <v>0</v>
      </c>
      <c r="K307" t="n">
        <v>0</v>
      </c>
      <c r="L307" t="n">
        <v>0</v>
      </c>
      <c r="M307" t="n">
        <v>0</v>
      </c>
      <c r="N307" t="n">
        <v>0</v>
      </c>
      <c r="O307" t="n">
        <v>0</v>
      </c>
      <c r="P307" t="n">
        <v>0</v>
      </c>
      <c r="Q307" t="n">
        <v>0</v>
      </c>
      <c r="R307" s="2" t="inlineStr"/>
    </row>
    <row r="308" ht="15" customHeight="1">
      <c r="A308" t="inlineStr">
        <is>
          <t>A 33517-2021</t>
        </is>
      </c>
      <c r="B308" s="1" t="n">
        <v>44377</v>
      </c>
      <c r="C308" s="1" t="n">
        <v>45889</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20045-2022</t>
        </is>
      </c>
      <c r="B309" s="1" t="n">
        <v>44697</v>
      </c>
      <c r="C309" s="1" t="n">
        <v>45889</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21031-2021</t>
        </is>
      </c>
      <c r="B310" s="1" t="n">
        <v>44319</v>
      </c>
      <c r="C310" s="1" t="n">
        <v>45889</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14320-2022</t>
        </is>
      </c>
      <c r="B311" s="1" t="n">
        <v>44652</v>
      </c>
      <c r="C311" s="1" t="n">
        <v>45889</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43136-2021</t>
        </is>
      </c>
      <c r="B312" s="1" t="n">
        <v>44431.6690625</v>
      </c>
      <c r="C312" s="1" t="n">
        <v>45889</v>
      </c>
      <c r="D312" t="inlineStr">
        <is>
          <t>VÄRMLANDS LÄN</t>
        </is>
      </c>
      <c r="E312" t="inlineStr">
        <is>
          <t>TORSBY</t>
        </is>
      </c>
      <c r="G312" t="n">
        <v>14.4</v>
      </c>
      <c r="H312" t="n">
        <v>0</v>
      </c>
      <c r="I312" t="n">
        <v>0</v>
      </c>
      <c r="J312" t="n">
        <v>0</v>
      </c>
      <c r="K312" t="n">
        <v>0</v>
      </c>
      <c r="L312" t="n">
        <v>0</v>
      </c>
      <c r="M312" t="n">
        <v>0</v>
      </c>
      <c r="N312" t="n">
        <v>0</v>
      </c>
      <c r="O312" t="n">
        <v>0</v>
      </c>
      <c r="P312" t="n">
        <v>0</v>
      </c>
      <c r="Q312" t="n">
        <v>0</v>
      </c>
      <c r="R312" s="2" t="inlineStr"/>
    </row>
    <row r="313" ht="15" customHeight="1">
      <c r="A313" t="inlineStr">
        <is>
          <t>A 46934-2021</t>
        </is>
      </c>
      <c r="B313" s="1" t="n">
        <v>44446.49893518518</v>
      </c>
      <c r="C313" s="1" t="n">
        <v>45889</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8739-2022</t>
        </is>
      </c>
      <c r="B314" s="1" t="n">
        <v>44615</v>
      </c>
      <c r="C314" s="1" t="n">
        <v>45889</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18628-2022</t>
        </is>
      </c>
      <c r="B315" s="1" t="n">
        <v>44687</v>
      </c>
      <c r="C315" s="1" t="n">
        <v>45889</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3382-2022</t>
        </is>
      </c>
      <c r="B316" s="1" t="n">
        <v>44585</v>
      </c>
      <c r="C316" s="1" t="n">
        <v>45889</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71255-2021</t>
        </is>
      </c>
      <c r="B317" s="1" t="n">
        <v>44538</v>
      </c>
      <c r="C317" s="1" t="n">
        <v>45889</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45889</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45889</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38179-2022</t>
        </is>
      </c>
      <c r="B320" s="1" t="n">
        <v>44812</v>
      </c>
      <c r="C320" s="1" t="n">
        <v>45889</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37917-2022</t>
        </is>
      </c>
      <c r="B321" s="1" t="n">
        <v>44811.44335648148</v>
      </c>
      <c r="C321" s="1" t="n">
        <v>45889</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52386-2022</t>
        </is>
      </c>
      <c r="B322" s="1" t="n">
        <v>44874.3750462963</v>
      </c>
      <c r="C322" s="1" t="n">
        <v>45889</v>
      </c>
      <c r="D322" t="inlineStr">
        <is>
          <t>VÄRMLANDS LÄN</t>
        </is>
      </c>
      <c r="E322" t="inlineStr">
        <is>
          <t>TORSBY</t>
        </is>
      </c>
      <c r="G322" t="n">
        <v>6.7</v>
      </c>
      <c r="H322" t="n">
        <v>0</v>
      </c>
      <c r="I322" t="n">
        <v>0</v>
      </c>
      <c r="J322" t="n">
        <v>0</v>
      </c>
      <c r="K322" t="n">
        <v>0</v>
      </c>
      <c r="L322" t="n">
        <v>0</v>
      </c>
      <c r="M322" t="n">
        <v>0</v>
      </c>
      <c r="N322" t="n">
        <v>0</v>
      </c>
      <c r="O322" t="n">
        <v>0</v>
      </c>
      <c r="P322" t="n">
        <v>0</v>
      </c>
      <c r="Q322" t="n">
        <v>0</v>
      </c>
      <c r="R322" s="2" t="inlineStr"/>
    </row>
    <row r="323" ht="15" customHeight="1">
      <c r="A323" t="inlineStr">
        <is>
          <t>A 30162-2021</t>
        </is>
      </c>
      <c r="B323" s="1" t="n">
        <v>44363</v>
      </c>
      <c r="C323" s="1" t="n">
        <v>45889</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47466-2022</t>
        </is>
      </c>
      <c r="B324" s="1" t="n">
        <v>44852</v>
      </c>
      <c r="C324" s="1" t="n">
        <v>45889</v>
      </c>
      <c r="D324" t="inlineStr">
        <is>
          <t>VÄRMLANDS LÄN</t>
        </is>
      </c>
      <c r="E324" t="inlineStr">
        <is>
          <t>TORSBY</t>
        </is>
      </c>
      <c r="G324" t="n">
        <v>3</v>
      </c>
      <c r="H324" t="n">
        <v>0</v>
      </c>
      <c r="I324" t="n">
        <v>0</v>
      </c>
      <c r="J324" t="n">
        <v>0</v>
      </c>
      <c r="K324" t="n">
        <v>0</v>
      </c>
      <c r="L324" t="n">
        <v>0</v>
      </c>
      <c r="M324" t="n">
        <v>0</v>
      </c>
      <c r="N324" t="n">
        <v>0</v>
      </c>
      <c r="O324" t="n">
        <v>0</v>
      </c>
      <c r="P324" t="n">
        <v>0</v>
      </c>
      <c r="Q324" t="n">
        <v>0</v>
      </c>
      <c r="R324" s="2" t="inlineStr"/>
    </row>
    <row r="325" ht="15" customHeight="1">
      <c r="A325" t="inlineStr">
        <is>
          <t>A 51838-2020</t>
        </is>
      </c>
      <c r="B325" s="1" t="n">
        <v>44116</v>
      </c>
      <c r="C325" s="1" t="n">
        <v>45889</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14145-2022</t>
        </is>
      </c>
      <c r="B326" s="1" t="n">
        <v>44651</v>
      </c>
      <c r="C326" s="1" t="n">
        <v>45889</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30384-2021</t>
        </is>
      </c>
      <c r="B327" s="1" t="n">
        <v>44364.4903587963</v>
      </c>
      <c r="C327" s="1" t="n">
        <v>45889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44327-2022</t>
        </is>
      </c>
      <c r="B328" s="1" t="n">
        <v>44839</v>
      </c>
      <c r="C328" s="1" t="n">
        <v>45889</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48712-2022</t>
        </is>
      </c>
      <c r="B329" s="1" t="n">
        <v>44859.49574074074</v>
      </c>
      <c r="C329" s="1" t="n">
        <v>45889</v>
      </c>
      <c r="D329" t="inlineStr">
        <is>
          <t>VÄRMLANDS LÄN</t>
        </is>
      </c>
      <c r="E329" t="inlineStr">
        <is>
          <t>TORSBY</t>
        </is>
      </c>
      <c r="F329" t="inlineStr">
        <is>
          <t>Bergvik skog väst AB</t>
        </is>
      </c>
      <c r="G329" t="n">
        <v>22.7</v>
      </c>
      <c r="H329" t="n">
        <v>0</v>
      </c>
      <c r="I329" t="n">
        <v>0</v>
      </c>
      <c r="J329" t="n">
        <v>0</v>
      </c>
      <c r="K329" t="n">
        <v>0</v>
      </c>
      <c r="L329" t="n">
        <v>0</v>
      </c>
      <c r="M329" t="n">
        <v>0</v>
      </c>
      <c r="N329" t="n">
        <v>0</v>
      </c>
      <c r="O329" t="n">
        <v>0</v>
      </c>
      <c r="P329" t="n">
        <v>0</v>
      </c>
      <c r="Q329" t="n">
        <v>0</v>
      </c>
      <c r="R329" s="2" t="inlineStr"/>
    </row>
    <row r="330" ht="15" customHeight="1">
      <c r="A330" t="inlineStr">
        <is>
          <t>A 35606-2022</t>
        </is>
      </c>
      <c r="B330" s="1" t="n">
        <v>44799</v>
      </c>
      <c r="C330" s="1" t="n">
        <v>45889</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21516-2022</t>
        </is>
      </c>
      <c r="B331" s="1" t="n">
        <v>44706</v>
      </c>
      <c r="C331" s="1" t="n">
        <v>45889</v>
      </c>
      <c r="D331" t="inlineStr">
        <is>
          <t>VÄRMLANDS LÄN</t>
        </is>
      </c>
      <c r="E331" t="inlineStr">
        <is>
          <t>TORSBY</t>
        </is>
      </c>
      <c r="G331" t="n">
        <v>2.2</v>
      </c>
      <c r="H331" t="n">
        <v>0</v>
      </c>
      <c r="I331" t="n">
        <v>0</v>
      </c>
      <c r="J331" t="n">
        <v>0</v>
      </c>
      <c r="K331" t="n">
        <v>0</v>
      </c>
      <c r="L331" t="n">
        <v>0</v>
      </c>
      <c r="M331" t="n">
        <v>0</v>
      </c>
      <c r="N331" t="n">
        <v>0</v>
      </c>
      <c r="O331" t="n">
        <v>0</v>
      </c>
      <c r="P331" t="n">
        <v>0</v>
      </c>
      <c r="Q331" t="n">
        <v>0</v>
      </c>
      <c r="R331" s="2" t="inlineStr"/>
    </row>
    <row r="332" ht="15" customHeight="1">
      <c r="A332" t="inlineStr">
        <is>
          <t>A 51380-2020</t>
        </is>
      </c>
      <c r="B332" s="1" t="n">
        <v>44113</v>
      </c>
      <c r="C332" s="1" t="n">
        <v>45889</v>
      </c>
      <c r="D332" t="inlineStr">
        <is>
          <t>VÄRMLANDS LÄN</t>
        </is>
      </c>
      <c r="E332" t="inlineStr">
        <is>
          <t>TORSBY</t>
        </is>
      </c>
      <c r="G332" t="n">
        <v>1.4</v>
      </c>
      <c r="H332" t="n">
        <v>0</v>
      </c>
      <c r="I332" t="n">
        <v>0</v>
      </c>
      <c r="J332" t="n">
        <v>0</v>
      </c>
      <c r="K332" t="n">
        <v>0</v>
      </c>
      <c r="L332" t="n">
        <v>0</v>
      </c>
      <c r="M332" t="n">
        <v>0</v>
      </c>
      <c r="N332" t="n">
        <v>0</v>
      </c>
      <c r="O332" t="n">
        <v>0</v>
      </c>
      <c r="P332" t="n">
        <v>0</v>
      </c>
      <c r="Q332" t="n">
        <v>0</v>
      </c>
      <c r="R332" s="2" t="inlineStr"/>
    </row>
    <row r="333" ht="15" customHeight="1">
      <c r="A333" t="inlineStr">
        <is>
          <t>A 47206-2022</t>
        </is>
      </c>
      <c r="B333" s="1" t="n">
        <v>44852.67550925926</v>
      </c>
      <c r="C333" s="1" t="n">
        <v>45889</v>
      </c>
      <c r="D333" t="inlineStr">
        <is>
          <t>VÄRMLANDS LÄN</t>
        </is>
      </c>
      <c r="E333" t="inlineStr">
        <is>
          <t>TORSBY</t>
        </is>
      </c>
      <c r="G333" t="n">
        <v>8.5</v>
      </c>
      <c r="H333" t="n">
        <v>0</v>
      </c>
      <c r="I333" t="n">
        <v>0</v>
      </c>
      <c r="J333" t="n">
        <v>0</v>
      </c>
      <c r="K333" t="n">
        <v>0</v>
      </c>
      <c r="L333" t="n">
        <v>0</v>
      </c>
      <c r="M333" t="n">
        <v>0</v>
      </c>
      <c r="N333" t="n">
        <v>0</v>
      </c>
      <c r="O333" t="n">
        <v>0</v>
      </c>
      <c r="P333" t="n">
        <v>0</v>
      </c>
      <c r="Q333" t="n">
        <v>0</v>
      </c>
      <c r="R333" s="2" t="inlineStr"/>
    </row>
    <row r="334" ht="15" customHeight="1">
      <c r="A334" t="inlineStr">
        <is>
          <t>A 16375-2021</t>
        </is>
      </c>
      <c r="B334" s="1" t="n">
        <v>44292</v>
      </c>
      <c r="C334" s="1" t="n">
        <v>45889</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51382-2020</t>
        </is>
      </c>
      <c r="B335" s="1" t="n">
        <v>44113</v>
      </c>
      <c r="C335" s="1" t="n">
        <v>45889</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19375-2021</t>
        </is>
      </c>
      <c r="B336" s="1" t="n">
        <v>44309.6765625</v>
      </c>
      <c r="C336" s="1" t="n">
        <v>45889</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44666-2020</t>
        </is>
      </c>
      <c r="B337" s="1" t="n">
        <v>44085</v>
      </c>
      <c r="C337" s="1" t="n">
        <v>45889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52799-2020</t>
        </is>
      </c>
      <c r="B338" s="1" t="n">
        <v>44119.5903125</v>
      </c>
      <c r="C338" s="1" t="n">
        <v>45889</v>
      </c>
      <c r="D338" t="inlineStr">
        <is>
          <t>VÄRMLANDS LÄN</t>
        </is>
      </c>
      <c r="E338" t="inlineStr">
        <is>
          <t>TORSBY</t>
        </is>
      </c>
      <c r="G338" t="n">
        <v>6.2</v>
      </c>
      <c r="H338" t="n">
        <v>0</v>
      </c>
      <c r="I338" t="n">
        <v>0</v>
      </c>
      <c r="J338" t="n">
        <v>0</v>
      </c>
      <c r="K338" t="n">
        <v>0</v>
      </c>
      <c r="L338" t="n">
        <v>0</v>
      </c>
      <c r="M338" t="n">
        <v>0</v>
      </c>
      <c r="N338" t="n">
        <v>0</v>
      </c>
      <c r="O338" t="n">
        <v>0</v>
      </c>
      <c r="P338" t="n">
        <v>0</v>
      </c>
      <c r="Q338" t="n">
        <v>0</v>
      </c>
      <c r="R338" s="2" t="inlineStr"/>
    </row>
    <row r="339" ht="15" customHeight="1">
      <c r="A339" t="inlineStr">
        <is>
          <t>A 60167-2020</t>
        </is>
      </c>
      <c r="B339" s="1" t="n">
        <v>44152</v>
      </c>
      <c r="C339" s="1" t="n">
        <v>45889</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34694-2021</t>
        </is>
      </c>
      <c r="B340" s="1" t="n">
        <v>44382.61398148148</v>
      </c>
      <c r="C340" s="1" t="n">
        <v>45889</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47083-2021</t>
        </is>
      </c>
      <c r="B341" s="1" t="n">
        <v>44446.66114583334</v>
      </c>
      <c r="C341" s="1" t="n">
        <v>45889</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47098-2021</t>
        </is>
      </c>
      <c r="B342" s="1" t="n">
        <v>44446.67429398148</v>
      </c>
      <c r="C342" s="1" t="n">
        <v>45889</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22113-2021</t>
        </is>
      </c>
      <c r="B343" s="1" t="n">
        <v>44323</v>
      </c>
      <c r="C343" s="1" t="n">
        <v>45889</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33182-2021</t>
        </is>
      </c>
      <c r="B344" s="1" t="n">
        <v>44376</v>
      </c>
      <c r="C344" s="1" t="n">
        <v>45889</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58078-2020</t>
        </is>
      </c>
      <c r="B345" s="1" t="n">
        <v>44144</v>
      </c>
      <c r="C345" s="1" t="n">
        <v>45889</v>
      </c>
      <c r="D345" t="inlineStr">
        <is>
          <t>VÄRMLANDS LÄN</t>
        </is>
      </c>
      <c r="E345" t="inlineStr">
        <is>
          <t>TORSBY</t>
        </is>
      </c>
      <c r="G345" t="n">
        <v>1.6</v>
      </c>
      <c r="H345" t="n">
        <v>0</v>
      </c>
      <c r="I345" t="n">
        <v>0</v>
      </c>
      <c r="J345" t="n">
        <v>0</v>
      </c>
      <c r="K345" t="n">
        <v>0</v>
      </c>
      <c r="L345" t="n">
        <v>0</v>
      </c>
      <c r="M345" t="n">
        <v>0</v>
      </c>
      <c r="N345" t="n">
        <v>0</v>
      </c>
      <c r="O345" t="n">
        <v>0</v>
      </c>
      <c r="P345" t="n">
        <v>0</v>
      </c>
      <c r="Q345" t="n">
        <v>0</v>
      </c>
      <c r="R345" s="2" t="inlineStr"/>
    </row>
    <row r="346" ht="15" customHeight="1">
      <c r="A346" t="inlineStr">
        <is>
          <t>A 61998-2020</t>
        </is>
      </c>
      <c r="B346" s="1" t="n">
        <v>44158</v>
      </c>
      <c r="C346" s="1" t="n">
        <v>45889</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29495-2021</t>
        </is>
      </c>
      <c r="B347" s="1" t="n">
        <v>44361</v>
      </c>
      <c r="C347" s="1" t="n">
        <v>45889</v>
      </c>
      <c r="D347" t="inlineStr">
        <is>
          <t>VÄRMLANDS LÄN</t>
        </is>
      </c>
      <c r="E347" t="inlineStr">
        <is>
          <t>TORSBY</t>
        </is>
      </c>
      <c r="F347" t="inlineStr">
        <is>
          <t>Övriga Aktiebolag</t>
        </is>
      </c>
      <c r="G347" t="n">
        <v>38.2</v>
      </c>
      <c r="H347" t="n">
        <v>0</v>
      </c>
      <c r="I347" t="n">
        <v>0</v>
      </c>
      <c r="J347" t="n">
        <v>0</v>
      </c>
      <c r="K347" t="n">
        <v>0</v>
      </c>
      <c r="L347" t="n">
        <v>0</v>
      </c>
      <c r="M347" t="n">
        <v>0</v>
      </c>
      <c r="N347" t="n">
        <v>0</v>
      </c>
      <c r="O347" t="n">
        <v>0</v>
      </c>
      <c r="P347" t="n">
        <v>0</v>
      </c>
      <c r="Q347" t="n">
        <v>0</v>
      </c>
      <c r="R347" s="2" t="inlineStr"/>
    </row>
    <row r="348" ht="15" customHeight="1">
      <c r="A348" t="inlineStr">
        <is>
          <t>A 24960-2022</t>
        </is>
      </c>
      <c r="B348" s="1" t="n">
        <v>44728</v>
      </c>
      <c r="C348" s="1" t="n">
        <v>45889</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29142-2022</t>
        </is>
      </c>
      <c r="B349" s="1" t="n">
        <v>44750</v>
      </c>
      <c r="C349" s="1" t="n">
        <v>45889</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45889</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43128-2021</t>
        </is>
      </c>
      <c r="B351" s="1" t="n">
        <v>44431.65930555556</v>
      </c>
      <c r="C351" s="1" t="n">
        <v>45889</v>
      </c>
      <c r="D351" t="inlineStr">
        <is>
          <t>VÄRMLANDS LÄN</t>
        </is>
      </c>
      <c r="E351" t="inlineStr">
        <is>
          <t>TORSBY</t>
        </is>
      </c>
      <c r="G351" t="n">
        <v>10.9</v>
      </c>
      <c r="H351" t="n">
        <v>0</v>
      </c>
      <c r="I351" t="n">
        <v>0</v>
      </c>
      <c r="J351" t="n">
        <v>0</v>
      </c>
      <c r="K351" t="n">
        <v>0</v>
      </c>
      <c r="L351" t="n">
        <v>0</v>
      </c>
      <c r="M351" t="n">
        <v>0</v>
      </c>
      <c r="N351" t="n">
        <v>0</v>
      </c>
      <c r="O351" t="n">
        <v>0</v>
      </c>
      <c r="P351" t="n">
        <v>0</v>
      </c>
      <c r="Q351" t="n">
        <v>0</v>
      </c>
      <c r="R351" s="2" t="inlineStr"/>
    </row>
    <row r="352" ht="15" customHeight="1">
      <c r="A352" t="inlineStr">
        <is>
          <t>A 43169-2021</t>
        </is>
      </c>
      <c r="B352" s="1" t="n">
        <v>44431</v>
      </c>
      <c r="C352" s="1" t="n">
        <v>45889</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32438-2022</t>
        </is>
      </c>
      <c r="B353" s="1" t="n">
        <v>44782</v>
      </c>
      <c r="C353" s="1" t="n">
        <v>45889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69281-2021</t>
        </is>
      </c>
      <c r="B354" s="1" t="n">
        <v>44526</v>
      </c>
      <c r="C354" s="1" t="n">
        <v>45889</v>
      </c>
      <c r="D354" t="inlineStr">
        <is>
          <t>VÄRMLANDS LÄN</t>
        </is>
      </c>
      <c r="E354" t="inlineStr">
        <is>
          <t>TORSBY</t>
        </is>
      </c>
      <c r="G354" t="n">
        <v>7.5</v>
      </c>
      <c r="H354" t="n">
        <v>0</v>
      </c>
      <c r="I354" t="n">
        <v>0</v>
      </c>
      <c r="J354" t="n">
        <v>0</v>
      </c>
      <c r="K354" t="n">
        <v>0</v>
      </c>
      <c r="L354" t="n">
        <v>0</v>
      </c>
      <c r="M354" t="n">
        <v>0</v>
      </c>
      <c r="N354" t="n">
        <v>0</v>
      </c>
      <c r="O354" t="n">
        <v>0</v>
      </c>
      <c r="P354" t="n">
        <v>0</v>
      </c>
      <c r="Q354" t="n">
        <v>0</v>
      </c>
      <c r="R354" s="2" t="inlineStr"/>
    </row>
    <row r="355" ht="15" customHeight="1">
      <c r="A355" t="inlineStr">
        <is>
          <t>A 60428-2021</t>
        </is>
      </c>
      <c r="B355" s="1" t="n">
        <v>44496.42145833333</v>
      </c>
      <c r="C355" s="1" t="n">
        <v>45889</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42646-2021</t>
        </is>
      </c>
      <c r="B356" s="1" t="n">
        <v>44428.45663194444</v>
      </c>
      <c r="C356" s="1" t="n">
        <v>45889</v>
      </c>
      <c r="D356" t="inlineStr">
        <is>
          <t>VÄRMLANDS LÄN</t>
        </is>
      </c>
      <c r="E356" t="inlineStr">
        <is>
          <t>TORSBY</t>
        </is>
      </c>
      <c r="F356" t="inlineStr">
        <is>
          <t>Bergvik skog väst AB</t>
        </is>
      </c>
      <c r="G356" t="n">
        <v>21.4</v>
      </c>
      <c r="H356" t="n">
        <v>0</v>
      </c>
      <c r="I356" t="n">
        <v>0</v>
      </c>
      <c r="J356" t="n">
        <v>0</v>
      </c>
      <c r="K356" t="n">
        <v>0</v>
      </c>
      <c r="L356" t="n">
        <v>0</v>
      </c>
      <c r="M356" t="n">
        <v>0</v>
      </c>
      <c r="N356" t="n">
        <v>0</v>
      </c>
      <c r="O356" t="n">
        <v>0</v>
      </c>
      <c r="P356" t="n">
        <v>0</v>
      </c>
      <c r="Q356" t="n">
        <v>0</v>
      </c>
      <c r="R356" s="2" t="inlineStr"/>
    </row>
    <row r="357" ht="15" customHeight="1">
      <c r="A357" t="inlineStr">
        <is>
          <t>A 61594-2020</t>
        </is>
      </c>
      <c r="B357" s="1" t="n">
        <v>44154</v>
      </c>
      <c r="C357" s="1" t="n">
        <v>45889</v>
      </c>
      <c r="D357" t="inlineStr">
        <is>
          <t>VÄRMLANDS LÄN</t>
        </is>
      </c>
      <c r="E357" t="inlineStr">
        <is>
          <t>TORSBY</t>
        </is>
      </c>
      <c r="G357" t="n">
        <v>6</v>
      </c>
      <c r="H357" t="n">
        <v>0</v>
      </c>
      <c r="I357" t="n">
        <v>0</v>
      </c>
      <c r="J357" t="n">
        <v>0</v>
      </c>
      <c r="K357" t="n">
        <v>0</v>
      </c>
      <c r="L357" t="n">
        <v>0</v>
      </c>
      <c r="M357" t="n">
        <v>0</v>
      </c>
      <c r="N357" t="n">
        <v>0</v>
      </c>
      <c r="O357" t="n">
        <v>0</v>
      </c>
      <c r="P357" t="n">
        <v>0</v>
      </c>
      <c r="Q357" t="n">
        <v>0</v>
      </c>
      <c r="R357" s="2" t="inlineStr"/>
    </row>
    <row r="358" ht="15" customHeight="1">
      <c r="A358" t="inlineStr">
        <is>
          <t>A 45872-2020</t>
        </is>
      </c>
      <c r="B358" s="1" t="n">
        <v>44091</v>
      </c>
      <c r="C358" s="1" t="n">
        <v>45889</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27686-2022</t>
        </is>
      </c>
      <c r="B359" s="1" t="n">
        <v>44743.43273148148</v>
      </c>
      <c r="C359" s="1" t="n">
        <v>45889</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73442-2021</t>
        </is>
      </c>
      <c r="B360" s="1" t="n">
        <v>44551.55063657407</v>
      </c>
      <c r="C360" s="1" t="n">
        <v>45889</v>
      </c>
      <c r="D360" t="inlineStr">
        <is>
          <t>VÄRMLANDS LÄN</t>
        </is>
      </c>
      <c r="E360" t="inlineStr">
        <is>
          <t>TORSBY</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1516-2021</t>
        </is>
      </c>
      <c r="B361" s="1" t="n">
        <v>44209</v>
      </c>
      <c r="C361" s="1" t="n">
        <v>45889</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70775-2021</t>
        </is>
      </c>
      <c r="B362" s="1" t="n">
        <v>44537</v>
      </c>
      <c r="C362" s="1" t="n">
        <v>45889</v>
      </c>
      <c r="D362" t="inlineStr">
        <is>
          <t>VÄRMLANDS LÄN</t>
        </is>
      </c>
      <c r="E362" t="inlineStr">
        <is>
          <t>TORSBY</t>
        </is>
      </c>
      <c r="G362" t="n">
        <v>0.3</v>
      </c>
      <c r="H362" t="n">
        <v>0</v>
      </c>
      <c r="I362" t="n">
        <v>0</v>
      </c>
      <c r="J362" t="n">
        <v>0</v>
      </c>
      <c r="K362" t="n">
        <v>0</v>
      </c>
      <c r="L362" t="n">
        <v>0</v>
      </c>
      <c r="M362" t="n">
        <v>0</v>
      </c>
      <c r="N362" t="n">
        <v>0</v>
      </c>
      <c r="O362" t="n">
        <v>0</v>
      </c>
      <c r="P362" t="n">
        <v>0</v>
      </c>
      <c r="Q362" t="n">
        <v>0</v>
      </c>
      <c r="R362" s="2" t="inlineStr"/>
    </row>
    <row r="363" ht="15" customHeight="1">
      <c r="A363" t="inlineStr">
        <is>
          <t>A 23011-2022</t>
        </is>
      </c>
      <c r="B363" s="1" t="n">
        <v>44719.35471064815</v>
      </c>
      <c r="C363" s="1" t="n">
        <v>45889</v>
      </c>
      <c r="D363" t="inlineStr">
        <is>
          <t>VÄRMLANDS LÄN</t>
        </is>
      </c>
      <c r="E363" t="inlineStr">
        <is>
          <t>TORSBY</t>
        </is>
      </c>
      <c r="F363" t="inlineStr">
        <is>
          <t>Bergvik skog väst AB</t>
        </is>
      </c>
      <c r="G363" t="n">
        <v>5.2</v>
      </c>
      <c r="H363" t="n">
        <v>0</v>
      </c>
      <c r="I363" t="n">
        <v>0</v>
      </c>
      <c r="J363" t="n">
        <v>0</v>
      </c>
      <c r="K363" t="n">
        <v>0</v>
      </c>
      <c r="L363" t="n">
        <v>0</v>
      </c>
      <c r="M363" t="n">
        <v>0</v>
      </c>
      <c r="N363" t="n">
        <v>0</v>
      </c>
      <c r="O363" t="n">
        <v>0</v>
      </c>
      <c r="P363" t="n">
        <v>0</v>
      </c>
      <c r="Q363" t="n">
        <v>0</v>
      </c>
      <c r="R363" s="2" t="inlineStr"/>
    </row>
    <row r="364" ht="15" customHeight="1">
      <c r="A364" t="inlineStr">
        <is>
          <t>A 32003-2022</t>
        </is>
      </c>
      <c r="B364" s="1" t="n">
        <v>44778</v>
      </c>
      <c r="C364" s="1" t="n">
        <v>45889</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23194-2021</t>
        </is>
      </c>
      <c r="B365" s="1" t="n">
        <v>44328</v>
      </c>
      <c r="C365" s="1" t="n">
        <v>45889</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70253-2021</t>
        </is>
      </c>
      <c r="B366" s="1" t="n">
        <v>44536</v>
      </c>
      <c r="C366" s="1" t="n">
        <v>45889</v>
      </c>
      <c r="D366" t="inlineStr">
        <is>
          <t>VÄRMLANDS LÄN</t>
        </is>
      </c>
      <c r="E366" t="inlineStr">
        <is>
          <t>TORSBY</t>
        </is>
      </c>
      <c r="G366" t="n">
        <v>4.3</v>
      </c>
      <c r="H366" t="n">
        <v>0</v>
      </c>
      <c r="I366" t="n">
        <v>0</v>
      </c>
      <c r="J366" t="n">
        <v>0</v>
      </c>
      <c r="K366" t="n">
        <v>0</v>
      </c>
      <c r="L366" t="n">
        <v>0</v>
      </c>
      <c r="M366" t="n">
        <v>0</v>
      </c>
      <c r="N366" t="n">
        <v>0</v>
      </c>
      <c r="O366" t="n">
        <v>0</v>
      </c>
      <c r="P366" t="n">
        <v>0</v>
      </c>
      <c r="Q366" t="n">
        <v>0</v>
      </c>
      <c r="R366" s="2" t="inlineStr"/>
    </row>
    <row r="367" ht="15" customHeight="1">
      <c r="A367" t="inlineStr">
        <is>
          <t>A 23823-2022</t>
        </is>
      </c>
      <c r="B367" s="1" t="n">
        <v>44722</v>
      </c>
      <c r="C367" s="1" t="n">
        <v>45889</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35909-2021</t>
        </is>
      </c>
      <c r="B368" s="1" t="n">
        <v>44387</v>
      </c>
      <c r="C368" s="1" t="n">
        <v>45889</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45889</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45889</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45889</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39186-2022</t>
        </is>
      </c>
      <c r="B372" s="1" t="n">
        <v>44817.51549768518</v>
      </c>
      <c r="C372" s="1" t="n">
        <v>45889</v>
      </c>
      <c r="D372" t="inlineStr">
        <is>
          <t>VÄRMLANDS LÄN</t>
        </is>
      </c>
      <c r="E372" t="inlineStr">
        <is>
          <t>TORSBY</t>
        </is>
      </c>
      <c r="F372" t="inlineStr">
        <is>
          <t>Bergvik skog väst AB</t>
        </is>
      </c>
      <c r="G372" t="n">
        <v>20.3</v>
      </c>
      <c r="H372" t="n">
        <v>0</v>
      </c>
      <c r="I372" t="n">
        <v>0</v>
      </c>
      <c r="J372" t="n">
        <v>0</v>
      </c>
      <c r="K372" t="n">
        <v>0</v>
      </c>
      <c r="L372" t="n">
        <v>0</v>
      </c>
      <c r="M372" t="n">
        <v>0</v>
      </c>
      <c r="N372" t="n">
        <v>0</v>
      </c>
      <c r="O372" t="n">
        <v>0</v>
      </c>
      <c r="P372" t="n">
        <v>0</v>
      </c>
      <c r="Q372" t="n">
        <v>0</v>
      </c>
      <c r="R372" s="2" t="inlineStr"/>
    </row>
    <row r="373" ht="15" customHeight="1">
      <c r="A373" t="inlineStr">
        <is>
          <t>A 36527-2022</t>
        </is>
      </c>
      <c r="B373" s="1" t="n">
        <v>44804</v>
      </c>
      <c r="C373" s="1" t="n">
        <v>45889</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36572-2022</t>
        </is>
      </c>
      <c r="B374" s="1" t="n">
        <v>44804.60271990741</v>
      </c>
      <c r="C374" s="1" t="n">
        <v>45889</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35851-2022</t>
        </is>
      </c>
      <c r="B375" s="1" t="n">
        <v>44802</v>
      </c>
      <c r="C375" s="1" t="n">
        <v>45889</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7921-2022</t>
        </is>
      </c>
      <c r="B376" s="1" t="n">
        <v>44608</v>
      </c>
      <c r="C376" s="1" t="n">
        <v>45889</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11664-2022</t>
        </is>
      </c>
      <c r="B377" s="1" t="n">
        <v>44632.86525462963</v>
      </c>
      <c r="C377" s="1" t="n">
        <v>45889</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53044-2022</t>
        </is>
      </c>
      <c r="B378" s="1" t="n">
        <v>44876</v>
      </c>
      <c r="C378" s="1" t="n">
        <v>45889</v>
      </c>
      <c r="D378" t="inlineStr">
        <is>
          <t>VÄRMLANDS LÄN</t>
        </is>
      </c>
      <c r="E378" t="inlineStr">
        <is>
          <t>TORSBY</t>
        </is>
      </c>
      <c r="G378" t="n">
        <v>0.2</v>
      </c>
      <c r="H378" t="n">
        <v>0</v>
      </c>
      <c r="I378" t="n">
        <v>0</v>
      </c>
      <c r="J378" t="n">
        <v>0</v>
      </c>
      <c r="K378" t="n">
        <v>0</v>
      </c>
      <c r="L378" t="n">
        <v>0</v>
      </c>
      <c r="M378" t="n">
        <v>0</v>
      </c>
      <c r="N378" t="n">
        <v>0</v>
      </c>
      <c r="O378" t="n">
        <v>0</v>
      </c>
      <c r="P378" t="n">
        <v>0</v>
      </c>
      <c r="Q378" t="n">
        <v>0</v>
      </c>
      <c r="R378" s="2" t="inlineStr"/>
    </row>
    <row r="379" ht="15" customHeight="1">
      <c r="A379" t="inlineStr">
        <is>
          <t>A 53076-2022</t>
        </is>
      </c>
      <c r="B379" s="1" t="n">
        <v>44876.38284722222</v>
      </c>
      <c r="C379" s="1" t="n">
        <v>45889</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40278-2021</t>
        </is>
      </c>
      <c r="B380" s="1" t="n">
        <v>44419</v>
      </c>
      <c r="C380" s="1" t="n">
        <v>45889</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45445-2021</t>
        </is>
      </c>
      <c r="B381" s="1" t="n">
        <v>44440</v>
      </c>
      <c r="C381" s="1" t="n">
        <v>45889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33937-2021</t>
        </is>
      </c>
      <c r="B382" s="1" t="n">
        <v>44378.79297453703</v>
      </c>
      <c r="C382" s="1" t="n">
        <v>45889</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43052-2021</t>
        </is>
      </c>
      <c r="B383" s="1" t="n">
        <v>44431</v>
      </c>
      <c r="C383" s="1" t="n">
        <v>45889</v>
      </c>
      <c r="D383" t="inlineStr">
        <is>
          <t>VÄRMLANDS LÄN</t>
        </is>
      </c>
      <c r="E383" t="inlineStr">
        <is>
          <t>TORSBY</t>
        </is>
      </c>
      <c r="G383" t="n">
        <v>25.1</v>
      </c>
      <c r="H383" t="n">
        <v>0</v>
      </c>
      <c r="I383" t="n">
        <v>0</v>
      </c>
      <c r="J383" t="n">
        <v>0</v>
      </c>
      <c r="K383" t="n">
        <v>0</v>
      </c>
      <c r="L383" t="n">
        <v>0</v>
      </c>
      <c r="M383" t="n">
        <v>0</v>
      </c>
      <c r="N383" t="n">
        <v>0</v>
      </c>
      <c r="O383" t="n">
        <v>0</v>
      </c>
      <c r="P383" t="n">
        <v>0</v>
      </c>
      <c r="Q383" t="n">
        <v>0</v>
      </c>
      <c r="R383" s="2" t="inlineStr"/>
    </row>
    <row r="384" ht="15" customHeight="1">
      <c r="A384" t="inlineStr">
        <is>
          <t>A 41995-2022</t>
        </is>
      </c>
      <c r="B384" s="1" t="n">
        <v>44830</v>
      </c>
      <c r="C384" s="1" t="n">
        <v>45889</v>
      </c>
      <c r="D384" t="inlineStr">
        <is>
          <t>VÄRMLANDS LÄN</t>
        </is>
      </c>
      <c r="E384" t="inlineStr">
        <is>
          <t>TORSBY</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48159-2021</t>
        </is>
      </c>
      <c r="B385" s="1" t="n">
        <v>44449.51302083334</v>
      </c>
      <c r="C385" s="1" t="n">
        <v>45889</v>
      </c>
      <c r="D385" t="inlineStr">
        <is>
          <t>VÄRMLANDS LÄN</t>
        </is>
      </c>
      <c r="E385" t="inlineStr">
        <is>
          <t>TORSBY</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57287-2021</t>
        </is>
      </c>
      <c r="B386" s="1" t="n">
        <v>44482</v>
      </c>
      <c r="C386" s="1" t="n">
        <v>45889</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45303-2022</t>
        </is>
      </c>
      <c r="B387" s="1" t="n">
        <v>44844</v>
      </c>
      <c r="C387" s="1" t="n">
        <v>45889</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53557-2020</t>
        </is>
      </c>
      <c r="B388" s="1" t="n">
        <v>44104</v>
      </c>
      <c r="C388" s="1" t="n">
        <v>45889</v>
      </c>
      <c r="D388" t="inlineStr">
        <is>
          <t>VÄRMLANDS LÄN</t>
        </is>
      </c>
      <c r="E388" t="inlineStr">
        <is>
          <t>TORSBY</t>
        </is>
      </c>
      <c r="F388" t="inlineStr">
        <is>
          <t>Övriga statliga verk och myndigheter</t>
        </is>
      </c>
      <c r="G388" t="n">
        <v>1</v>
      </c>
      <c r="H388" t="n">
        <v>0</v>
      </c>
      <c r="I388" t="n">
        <v>0</v>
      </c>
      <c r="J388" t="n">
        <v>0</v>
      </c>
      <c r="K388" t="n">
        <v>0</v>
      </c>
      <c r="L388" t="n">
        <v>0</v>
      </c>
      <c r="M388" t="n">
        <v>0</v>
      </c>
      <c r="N388" t="n">
        <v>0</v>
      </c>
      <c r="O388" t="n">
        <v>0</v>
      </c>
      <c r="P388" t="n">
        <v>0</v>
      </c>
      <c r="Q388" t="n">
        <v>0</v>
      </c>
      <c r="R388" s="2" t="inlineStr"/>
    </row>
    <row r="389" ht="15" customHeight="1">
      <c r="A389" t="inlineStr">
        <is>
          <t>A 54029-2021</t>
        </is>
      </c>
      <c r="B389" s="1" t="n">
        <v>44470.37834490741</v>
      </c>
      <c r="C389" s="1" t="n">
        <v>45889</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22671-2021</t>
        </is>
      </c>
      <c r="B390" s="1" t="n">
        <v>44327</v>
      </c>
      <c r="C390" s="1" t="n">
        <v>45889</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36587-2022</t>
        </is>
      </c>
      <c r="B391" s="1" t="n">
        <v>44804.62511574074</v>
      </c>
      <c r="C391" s="1" t="n">
        <v>45889</v>
      </c>
      <c r="D391" t="inlineStr">
        <is>
          <t>VÄRMLANDS LÄN</t>
        </is>
      </c>
      <c r="E391" t="inlineStr">
        <is>
          <t>TORSBY</t>
        </is>
      </c>
      <c r="G391" t="n">
        <v>4.4</v>
      </c>
      <c r="H391" t="n">
        <v>0</v>
      </c>
      <c r="I391" t="n">
        <v>0</v>
      </c>
      <c r="J391" t="n">
        <v>0</v>
      </c>
      <c r="K391" t="n">
        <v>0</v>
      </c>
      <c r="L391" t="n">
        <v>0</v>
      </c>
      <c r="M391" t="n">
        <v>0</v>
      </c>
      <c r="N391" t="n">
        <v>0</v>
      </c>
      <c r="O391" t="n">
        <v>0</v>
      </c>
      <c r="P391" t="n">
        <v>0</v>
      </c>
      <c r="Q391" t="n">
        <v>0</v>
      </c>
      <c r="R391" s="2" t="inlineStr"/>
    </row>
    <row r="392" ht="15" customHeight="1">
      <c r="A392" t="inlineStr">
        <is>
          <t>A 34581-2022</t>
        </is>
      </c>
      <c r="B392" s="1" t="n">
        <v>44792</v>
      </c>
      <c r="C392" s="1" t="n">
        <v>45889</v>
      </c>
      <c r="D392" t="inlineStr">
        <is>
          <t>VÄRMLANDS LÄN</t>
        </is>
      </c>
      <c r="E392" t="inlineStr">
        <is>
          <t>TORSBY</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37754-2022</t>
        </is>
      </c>
      <c r="B393" s="1" t="n">
        <v>44810</v>
      </c>
      <c r="C393" s="1" t="n">
        <v>45889</v>
      </c>
      <c r="D393" t="inlineStr">
        <is>
          <t>VÄRMLANDS LÄN</t>
        </is>
      </c>
      <c r="E393" t="inlineStr">
        <is>
          <t>TORSBY</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33958-2022</t>
        </is>
      </c>
      <c r="B394" s="1" t="n">
        <v>44790.67916666667</v>
      </c>
      <c r="C394" s="1" t="n">
        <v>45889</v>
      </c>
      <c r="D394" t="inlineStr">
        <is>
          <t>VÄRMLANDS LÄN</t>
        </is>
      </c>
      <c r="E394" t="inlineStr">
        <is>
          <t>TORSBY</t>
        </is>
      </c>
      <c r="G394" t="n">
        <v>13.2</v>
      </c>
      <c r="H394" t="n">
        <v>0</v>
      </c>
      <c r="I394" t="n">
        <v>0</v>
      </c>
      <c r="J394" t="n">
        <v>0</v>
      </c>
      <c r="K394" t="n">
        <v>0</v>
      </c>
      <c r="L394" t="n">
        <v>0</v>
      </c>
      <c r="M394" t="n">
        <v>0</v>
      </c>
      <c r="N394" t="n">
        <v>0</v>
      </c>
      <c r="O394" t="n">
        <v>0</v>
      </c>
      <c r="P394" t="n">
        <v>0</v>
      </c>
      <c r="Q394" t="n">
        <v>0</v>
      </c>
      <c r="R394" s="2" t="inlineStr"/>
    </row>
    <row r="395" ht="15" customHeight="1">
      <c r="A395" t="inlineStr">
        <is>
          <t>A 64434-2020</t>
        </is>
      </c>
      <c r="B395" s="1" t="n">
        <v>44168</v>
      </c>
      <c r="C395" s="1" t="n">
        <v>45889</v>
      </c>
      <c r="D395" t="inlineStr">
        <is>
          <t>VÄRMLANDS LÄN</t>
        </is>
      </c>
      <c r="E395" t="inlineStr">
        <is>
          <t>TORSBY</t>
        </is>
      </c>
      <c r="G395" t="n">
        <v>7.7</v>
      </c>
      <c r="H395" t="n">
        <v>0</v>
      </c>
      <c r="I395" t="n">
        <v>0</v>
      </c>
      <c r="J395" t="n">
        <v>0</v>
      </c>
      <c r="K395" t="n">
        <v>0</v>
      </c>
      <c r="L395" t="n">
        <v>0</v>
      </c>
      <c r="M395" t="n">
        <v>0</v>
      </c>
      <c r="N395" t="n">
        <v>0</v>
      </c>
      <c r="O395" t="n">
        <v>0</v>
      </c>
      <c r="P395" t="n">
        <v>0</v>
      </c>
      <c r="Q395" t="n">
        <v>0</v>
      </c>
      <c r="R395" s="2" t="inlineStr"/>
    </row>
    <row r="396" ht="15" customHeight="1">
      <c r="A396" t="inlineStr">
        <is>
          <t>A 49983-2022</t>
        </is>
      </c>
      <c r="B396" s="1" t="n">
        <v>44865</v>
      </c>
      <c r="C396" s="1" t="n">
        <v>45889</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55401-2020</t>
        </is>
      </c>
      <c r="B397" s="1" t="n">
        <v>44131</v>
      </c>
      <c r="C397" s="1" t="n">
        <v>45889</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52141-2020</t>
        </is>
      </c>
      <c r="B398" s="1" t="n">
        <v>44117</v>
      </c>
      <c r="C398" s="1" t="n">
        <v>45889</v>
      </c>
      <c r="D398" t="inlineStr">
        <is>
          <t>VÄRMLANDS LÄN</t>
        </is>
      </c>
      <c r="E398" t="inlineStr">
        <is>
          <t>TORSBY</t>
        </is>
      </c>
      <c r="G398" t="n">
        <v>4.1</v>
      </c>
      <c r="H398" t="n">
        <v>0</v>
      </c>
      <c r="I398" t="n">
        <v>0</v>
      </c>
      <c r="J398" t="n">
        <v>0</v>
      </c>
      <c r="K398" t="n">
        <v>0</v>
      </c>
      <c r="L398" t="n">
        <v>0</v>
      </c>
      <c r="M398" t="n">
        <v>0</v>
      </c>
      <c r="N398" t="n">
        <v>0</v>
      </c>
      <c r="O398" t="n">
        <v>0</v>
      </c>
      <c r="P398" t="n">
        <v>0</v>
      </c>
      <c r="Q398" t="n">
        <v>0</v>
      </c>
      <c r="R398" s="2" t="inlineStr"/>
    </row>
    <row r="399" ht="15" customHeight="1">
      <c r="A399" t="inlineStr">
        <is>
          <t>A 65369-2020</t>
        </is>
      </c>
      <c r="B399" s="1" t="n">
        <v>44169</v>
      </c>
      <c r="C399" s="1" t="n">
        <v>45889</v>
      </c>
      <c r="D399" t="inlineStr">
        <is>
          <t>VÄRMLANDS LÄN</t>
        </is>
      </c>
      <c r="E399" t="inlineStr">
        <is>
          <t>TORSBY</t>
        </is>
      </c>
      <c r="G399" t="n">
        <v>32.5</v>
      </c>
      <c r="H399" t="n">
        <v>0</v>
      </c>
      <c r="I399" t="n">
        <v>0</v>
      </c>
      <c r="J399" t="n">
        <v>0</v>
      </c>
      <c r="K399" t="n">
        <v>0</v>
      </c>
      <c r="L399" t="n">
        <v>0</v>
      </c>
      <c r="M399" t="n">
        <v>0</v>
      </c>
      <c r="N399" t="n">
        <v>0</v>
      </c>
      <c r="O399" t="n">
        <v>0</v>
      </c>
      <c r="P399" t="n">
        <v>0</v>
      </c>
      <c r="Q399" t="n">
        <v>0</v>
      </c>
      <c r="R399" s="2" t="inlineStr"/>
    </row>
    <row r="400" ht="15" customHeight="1">
      <c r="A400" t="inlineStr">
        <is>
          <t>A 52900-2021</t>
        </is>
      </c>
      <c r="B400" s="1" t="n">
        <v>44467</v>
      </c>
      <c r="C400" s="1" t="n">
        <v>45889</v>
      </c>
      <c r="D400" t="inlineStr">
        <is>
          <t>VÄRMLANDS LÄN</t>
        </is>
      </c>
      <c r="E400" t="inlineStr">
        <is>
          <t>TORSBY</t>
        </is>
      </c>
      <c r="G400" t="n">
        <v>3.8</v>
      </c>
      <c r="H400" t="n">
        <v>0</v>
      </c>
      <c r="I400" t="n">
        <v>0</v>
      </c>
      <c r="J400" t="n">
        <v>0</v>
      </c>
      <c r="K400" t="n">
        <v>0</v>
      </c>
      <c r="L400" t="n">
        <v>0</v>
      </c>
      <c r="M400" t="n">
        <v>0</v>
      </c>
      <c r="N400" t="n">
        <v>0</v>
      </c>
      <c r="O400" t="n">
        <v>0</v>
      </c>
      <c r="P400" t="n">
        <v>0</v>
      </c>
      <c r="Q400" t="n">
        <v>0</v>
      </c>
      <c r="R400" s="2" t="inlineStr"/>
    </row>
    <row r="401" ht="15" customHeight="1">
      <c r="A401" t="inlineStr">
        <is>
          <t>A 29509-2022</t>
        </is>
      </c>
      <c r="B401" s="1" t="n">
        <v>44753</v>
      </c>
      <c r="C401" s="1" t="n">
        <v>45889</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42982-2020</t>
        </is>
      </c>
      <c r="B402" s="1" t="n">
        <v>44078</v>
      </c>
      <c r="C402" s="1" t="n">
        <v>45889</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20907-2022</t>
        </is>
      </c>
      <c r="B403" s="1" t="n">
        <v>44701.60076388889</v>
      </c>
      <c r="C403" s="1" t="n">
        <v>45889</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57119-2020</t>
        </is>
      </c>
      <c r="B404" s="1" t="n">
        <v>44139</v>
      </c>
      <c r="C404" s="1" t="n">
        <v>45889</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20182-2021</t>
        </is>
      </c>
      <c r="B405" s="1" t="n">
        <v>44312</v>
      </c>
      <c r="C405" s="1" t="n">
        <v>45889</v>
      </c>
      <c r="D405" t="inlineStr">
        <is>
          <t>VÄRMLANDS LÄN</t>
        </is>
      </c>
      <c r="E405" t="inlineStr">
        <is>
          <t>TORSBY</t>
        </is>
      </c>
      <c r="G405" t="n">
        <v>14.4</v>
      </c>
      <c r="H405" t="n">
        <v>0</v>
      </c>
      <c r="I405" t="n">
        <v>0</v>
      </c>
      <c r="J405" t="n">
        <v>0</v>
      </c>
      <c r="K405" t="n">
        <v>0</v>
      </c>
      <c r="L405" t="n">
        <v>0</v>
      </c>
      <c r="M405" t="n">
        <v>0</v>
      </c>
      <c r="N405" t="n">
        <v>0</v>
      </c>
      <c r="O405" t="n">
        <v>0</v>
      </c>
      <c r="P405" t="n">
        <v>0</v>
      </c>
      <c r="Q405" t="n">
        <v>0</v>
      </c>
      <c r="R405" s="2" t="inlineStr"/>
    </row>
    <row r="406" ht="15" customHeight="1">
      <c r="A406" t="inlineStr">
        <is>
          <t>A 997-2022</t>
        </is>
      </c>
      <c r="B406" s="1" t="n">
        <v>44571</v>
      </c>
      <c r="C406" s="1" t="n">
        <v>45889</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26558-2021</t>
        </is>
      </c>
      <c r="B407" s="1" t="n">
        <v>44348</v>
      </c>
      <c r="C407" s="1" t="n">
        <v>45889</v>
      </c>
      <c r="D407" t="inlineStr">
        <is>
          <t>VÄRMLANDS LÄN</t>
        </is>
      </c>
      <c r="E407" t="inlineStr">
        <is>
          <t>TORSBY</t>
        </is>
      </c>
      <c r="G407" t="n">
        <v>19.7</v>
      </c>
      <c r="H407" t="n">
        <v>0</v>
      </c>
      <c r="I407" t="n">
        <v>0</v>
      </c>
      <c r="J407" t="n">
        <v>0</v>
      </c>
      <c r="K407" t="n">
        <v>0</v>
      </c>
      <c r="L407" t="n">
        <v>0</v>
      </c>
      <c r="M407" t="n">
        <v>0</v>
      </c>
      <c r="N407" t="n">
        <v>0</v>
      </c>
      <c r="O407" t="n">
        <v>0</v>
      </c>
      <c r="P407" t="n">
        <v>0</v>
      </c>
      <c r="Q407" t="n">
        <v>0</v>
      </c>
      <c r="R407" s="2" t="inlineStr"/>
    </row>
    <row r="408" ht="15" customHeight="1">
      <c r="A408" t="inlineStr">
        <is>
          <t>A 5050-2021</t>
        </is>
      </c>
      <c r="B408" s="1" t="n">
        <v>44228.5018287037</v>
      </c>
      <c r="C408" s="1" t="n">
        <v>45889</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46795-2021</t>
        </is>
      </c>
      <c r="B409" s="1" t="n">
        <v>44446</v>
      </c>
      <c r="C409" s="1" t="n">
        <v>45889</v>
      </c>
      <c r="D409" t="inlineStr">
        <is>
          <t>VÄRMLANDS LÄN</t>
        </is>
      </c>
      <c r="E409" t="inlineStr">
        <is>
          <t>TORSBY</t>
        </is>
      </c>
      <c r="G409" t="n">
        <v>6</v>
      </c>
      <c r="H409" t="n">
        <v>0</v>
      </c>
      <c r="I409" t="n">
        <v>0</v>
      </c>
      <c r="J409" t="n">
        <v>0</v>
      </c>
      <c r="K409" t="n">
        <v>0</v>
      </c>
      <c r="L409" t="n">
        <v>0</v>
      </c>
      <c r="M409" t="n">
        <v>0</v>
      </c>
      <c r="N409" t="n">
        <v>0</v>
      </c>
      <c r="O409" t="n">
        <v>0</v>
      </c>
      <c r="P409" t="n">
        <v>0</v>
      </c>
      <c r="Q409" t="n">
        <v>0</v>
      </c>
      <c r="R409" s="2" t="inlineStr"/>
    </row>
    <row r="410" ht="15" customHeight="1">
      <c r="A410" t="inlineStr">
        <is>
          <t>A 54916-2020</t>
        </is>
      </c>
      <c r="B410" s="1" t="n">
        <v>44127</v>
      </c>
      <c r="C410" s="1" t="n">
        <v>45889</v>
      </c>
      <c r="D410" t="inlineStr">
        <is>
          <t>VÄRMLANDS LÄN</t>
        </is>
      </c>
      <c r="E410" t="inlineStr">
        <is>
          <t>TORSBY</t>
        </is>
      </c>
      <c r="F410" t="inlineStr">
        <is>
          <t>Kyrkan</t>
        </is>
      </c>
      <c r="G410" t="n">
        <v>0.7</v>
      </c>
      <c r="H410" t="n">
        <v>0</v>
      </c>
      <c r="I410" t="n">
        <v>0</v>
      </c>
      <c r="J410" t="n">
        <v>0</v>
      </c>
      <c r="K410" t="n">
        <v>0</v>
      </c>
      <c r="L410" t="n">
        <v>0</v>
      </c>
      <c r="M410" t="n">
        <v>0</v>
      </c>
      <c r="N410" t="n">
        <v>0</v>
      </c>
      <c r="O410" t="n">
        <v>0</v>
      </c>
      <c r="P410" t="n">
        <v>0</v>
      </c>
      <c r="Q410" t="n">
        <v>0</v>
      </c>
      <c r="R410" s="2" t="inlineStr"/>
    </row>
    <row r="411" ht="15" customHeight="1">
      <c r="A411" t="inlineStr">
        <is>
          <t>A 40015-2020</t>
        </is>
      </c>
      <c r="B411" s="1" t="n">
        <v>44067</v>
      </c>
      <c r="C411" s="1" t="n">
        <v>45889</v>
      </c>
      <c r="D411" t="inlineStr">
        <is>
          <t>VÄRMLANDS LÄN</t>
        </is>
      </c>
      <c r="E411" t="inlineStr">
        <is>
          <t>TORSBY</t>
        </is>
      </c>
      <c r="G411" t="n">
        <v>5.7</v>
      </c>
      <c r="H411" t="n">
        <v>0</v>
      </c>
      <c r="I411" t="n">
        <v>0</v>
      </c>
      <c r="J411" t="n">
        <v>0</v>
      </c>
      <c r="K411" t="n">
        <v>0</v>
      </c>
      <c r="L411" t="n">
        <v>0</v>
      </c>
      <c r="M411" t="n">
        <v>0</v>
      </c>
      <c r="N411" t="n">
        <v>0</v>
      </c>
      <c r="O411" t="n">
        <v>0</v>
      </c>
      <c r="P411" t="n">
        <v>0</v>
      </c>
      <c r="Q411" t="n">
        <v>0</v>
      </c>
      <c r="R411" s="2" t="inlineStr"/>
    </row>
    <row r="412" ht="15" customHeight="1">
      <c r="A412" t="inlineStr">
        <is>
          <t>A 40994-2020</t>
        </is>
      </c>
      <c r="B412" s="1" t="n">
        <v>44070</v>
      </c>
      <c r="C412" s="1" t="n">
        <v>45889</v>
      </c>
      <c r="D412" t="inlineStr">
        <is>
          <t>VÄRMLANDS LÄN</t>
        </is>
      </c>
      <c r="E412" t="inlineStr">
        <is>
          <t>TORSBY</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40218-2020</t>
        </is>
      </c>
      <c r="B413" s="1" t="n">
        <v>44064</v>
      </c>
      <c r="C413" s="1" t="n">
        <v>45889</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66103-2021</t>
        </is>
      </c>
      <c r="B414" s="1" t="n">
        <v>44517</v>
      </c>
      <c r="C414" s="1" t="n">
        <v>45889</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23735-2022</t>
        </is>
      </c>
      <c r="B415" s="1" t="n">
        <v>44722.35103009259</v>
      </c>
      <c r="C415" s="1" t="n">
        <v>45889</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55217-2020</t>
        </is>
      </c>
      <c r="B416" s="1" t="n">
        <v>44130</v>
      </c>
      <c r="C416" s="1" t="n">
        <v>45889</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8910-2021</t>
        </is>
      </c>
      <c r="B417" s="1" t="n">
        <v>44246</v>
      </c>
      <c r="C417" s="1" t="n">
        <v>45889</v>
      </c>
      <c r="D417" t="inlineStr">
        <is>
          <t>VÄRMLANDS LÄN</t>
        </is>
      </c>
      <c r="E417" t="inlineStr">
        <is>
          <t>TORSBY</t>
        </is>
      </c>
      <c r="G417" t="n">
        <v>3.7</v>
      </c>
      <c r="H417" t="n">
        <v>0</v>
      </c>
      <c r="I417" t="n">
        <v>0</v>
      </c>
      <c r="J417" t="n">
        <v>0</v>
      </c>
      <c r="K417" t="n">
        <v>0</v>
      </c>
      <c r="L417" t="n">
        <v>0</v>
      </c>
      <c r="M417" t="n">
        <v>0</v>
      </c>
      <c r="N417" t="n">
        <v>0</v>
      </c>
      <c r="O417" t="n">
        <v>0</v>
      </c>
      <c r="P417" t="n">
        <v>0</v>
      </c>
      <c r="Q417" t="n">
        <v>0</v>
      </c>
      <c r="R417" s="2" t="inlineStr"/>
    </row>
    <row r="418" ht="15" customHeight="1">
      <c r="A418" t="inlineStr">
        <is>
          <t>A 37608-2021</t>
        </is>
      </c>
      <c r="B418" s="1" t="n">
        <v>44399</v>
      </c>
      <c r="C418" s="1" t="n">
        <v>45889</v>
      </c>
      <c r="D418" t="inlineStr">
        <is>
          <t>VÄRMLANDS LÄN</t>
        </is>
      </c>
      <c r="E418" t="inlineStr">
        <is>
          <t>TORSBY</t>
        </is>
      </c>
      <c r="G418" t="n">
        <v>1.7</v>
      </c>
      <c r="H418" t="n">
        <v>0</v>
      </c>
      <c r="I418" t="n">
        <v>0</v>
      </c>
      <c r="J418" t="n">
        <v>0</v>
      </c>
      <c r="K418" t="n">
        <v>0</v>
      </c>
      <c r="L418" t="n">
        <v>0</v>
      </c>
      <c r="M418" t="n">
        <v>0</v>
      </c>
      <c r="N418" t="n">
        <v>0</v>
      </c>
      <c r="O418" t="n">
        <v>0</v>
      </c>
      <c r="P418" t="n">
        <v>0</v>
      </c>
      <c r="Q418" t="n">
        <v>0</v>
      </c>
      <c r="R418" s="2" t="inlineStr"/>
    </row>
    <row r="419" ht="15" customHeight="1">
      <c r="A419" t="inlineStr">
        <is>
          <t>A 29720-2022</t>
        </is>
      </c>
      <c r="B419" s="1" t="n">
        <v>44755</v>
      </c>
      <c r="C419" s="1" t="n">
        <v>45889</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73165-2021</t>
        </is>
      </c>
      <c r="B420" s="1" t="n">
        <v>44550</v>
      </c>
      <c r="C420" s="1" t="n">
        <v>45889</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67734-2020</t>
        </is>
      </c>
      <c r="B421" s="1" t="n">
        <v>44182</v>
      </c>
      <c r="C421" s="1" t="n">
        <v>45889</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7898-2021</t>
        </is>
      </c>
      <c r="B422" s="1" t="n">
        <v>44243</v>
      </c>
      <c r="C422" s="1" t="n">
        <v>45889</v>
      </c>
      <c r="D422" t="inlineStr">
        <is>
          <t>VÄRMLANDS LÄN</t>
        </is>
      </c>
      <c r="E422" t="inlineStr">
        <is>
          <t>TORSBY</t>
        </is>
      </c>
      <c r="G422" t="n">
        <v>1.7</v>
      </c>
      <c r="H422" t="n">
        <v>0</v>
      </c>
      <c r="I422" t="n">
        <v>0</v>
      </c>
      <c r="J422" t="n">
        <v>0</v>
      </c>
      <c r="K422" t="n">
        <v>0</v>
      </c>
      <c r="L422" t="n">
        <v>0</v>
      </c>
      <c r="M422" t="n">
        <v>0</v>
      </c>
      <c r="N422" t="n">
        <v>0</v>
      </c>
      <c r="O422" t="n">
        <v>0</v>
      </c>
      <c r="P422" t="n">
        <v>0</v>
      </c>
      <c r="Q422" t="n">
        <v>0</v>
      </c>
      <c r="R422" s="2" t="inlineStr"/>
    </row>
    <row r="423" ht="15" customHeight="1">
      <c r="A423" t="inlineStr">
        <is>
          <t>A 47707-2020</t>
        </is>
      </c>
      <c r="B423" s="1" t="n">
        <v>44096</v>
      </c>
      <c r="C423" s="1" t="n">
        <v>45889</v>
      </c>
      <c r="D423" t="inlineStr">
        <is>
          <t>VÄRMLANDS LÄN</t>
        </is>
      </c>
      <c r="E423" t="inlineStr">
        <is>
          <t>TORSBY</t>
        </is>
      </c>
      <c r="F423" t="inlineStr">
        <is>
          <t>Kyrkan</t>
        </is>
      </c>
      <c r="G423" t="n">
        <v>1.2</v>
      </c>
      <c r="H423" t="n">
        <v>0</v>
      </c>
      <c r="I423" t="n">
        <v>0</v>
      </c>
      <c r="J423" t="n">
        <v>0</v>
      </c>
      <c r="K423" t="n">
        <v>0</v>
      </c>
      <c r="L423" t="n">
        <v>0</v>
      </c>
      <c r="M423" t="n">
        <v>0</v>
      </c>
      <c r="N423" t="n">
        <v>0</v>
      </c>
      <c r="O423" t="n">
        <v>0</v>
      </c>
      <c r="P423" t="n">
        <v>0</v>
      </c>
      <c r="Q423" t="n">
        <v>0</v>
      </c>
      <c r="R423" s="2" t="inlineStr"/>
    </row>
    <row r="424" ht="15" customHeight="1">
      <c r="A424" t="inlineStr">
        <is>
          <t>A 47709-2020</t>
        </is>
      </c>
      <c r="B424" s="1" t="n">
        <v>44096</v>
      </c>
      <c r="C424" s="1" t="n">
        <v>45889</v>
      </c>
      <c r="D424" t="inlineStr">
        <is>
          <t>VÄRMLANDS LÄN</t>
        </is>
      </c>
      <c r="E424" t="inlineStr">
        <is>
          <t>TORSBY</t>
        </is>
      </c>
      <c r="F424" t="inlineStr">
        <is>
          <t>Kyrkan</t>
        </is>
      </c>
      <c r="G424" t="n">
        <v>1.8</v>
      </c>
      <c r="H424" t="n">
        <v>0</v>
      </c>
      <c r="I424" t="n">
        <v>0</v>
      </c>
      <c r="J424" t="n">
        <v>0</v>
      </c>
      <c r="K424" t="n">
        <v>0</v>
      </c>
      <c r="L424" t="n">
        <v>0</v>
      </c>
      <c r="M424" t="n">
        <v>0</v>
      </c>
      <c r="N424" t="n">
        <v>0</v>
      </c>
      <c r="O424" t="n">
        <v>0</v>
      </c>
      <c r="P424" t="n">
        <v>0</v>
      </c>
      <c r="Q424" t="n">
        <v>0</v>
      </c>
      <c r="R424" s="2" t="inlineStr"/>
    </row>
    <row r="425" ht="15" customHeight="1">
      <c r="A425" t="inlineStr">
        <is>
          <t>A 46221-2023</t>
        </is>
      </c>
      <c r="B425" s="1" t="n">
        <v>45196.66636574074</v>
      </c>
      <c r="C425" s="1" t="n">
        <v>45889</v>
      </c>
      <c r="D425" t="inlineStr">
        <is>
          <t>VÄRMLANDS LÄN</t>
        </is>
      </c>
      <c r="E425" t="inlineStr">
        <is>
          <t>TORSBY</t>
        </is>
      </c>
      <c r="G425" t="n">
        <v>6.5</v>
      </c>
      <c r="H425" t="n">
        <v>0</v>
      </c>
      <c r="I425" t="n">
        <v>0</v>
      </c>
      <c r="J425" t="n">
        <v>0</v>
      </c>
      <c r="K425" t="n">
        <v>0</v>
      </c>
      <c r="L425" t="n">
        <v>0</v>
      </c>
      <c r="M425" t="n">
        <v>0</v>
      </c>
      <c r="N425" t="n">
        <v>0</v>
      </c>
      <c r="O425" t="n">
        <v>0</v>
      </c>
      <c r="P425" t="n">
        <v>0</v>
      </c>
      <c r="Q425" t="n">
        <v>0</v>
      </c>
      <c r="R425" s="2" t="inlineStr"/>
    </row>
    <row r="426" ht="15" customHeight="1">
      <c r="A426" t="inlineStr">
        <is>
          <t>A 8428-2025</t>
        </is>
      </c>
      <c r="B426" s="1" t="n">
        <v>45709.41995370371</v>
      </c>
      <c r="C426" s="1" t="n">
        <v>45889</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67147-2021</t>
        </is>
      </c>
      <c r="B427" s="1" t="n">
        <v>44523</v>
      </c>
      <c r="C427" s="1" t="n">
        <v>45889</v>
      </c>
      <c r="D427" t="inlineStr">
        <is>
          <t>VÄRMLANDS LÄN</t>
        </is>
      </c>
      <c r="E427" t="inlineStr">
        <is>
          <t>TORSBY</t>
        </is>
      </c>
      <c r="G427" t="n">
        <v>1.3</v>
      </c>
      <c r="H427" t="n">
        <v>0</v>
      </c>
      <c r="I427" t="n">
        <v>0</v>
      </c>
      <c r="J427" t="n">
        <v>0</v>
      </c>
      <c r="K427" t="n">
        <v>0</v>
      </c>
      <c r="L427" t="n">
        <v>0</v>
      </c>
      <c r="M427" t="n">
        <v>0</v>
      </c>
      <c r="N427" t="n">
        <v>0</v>
      </c>
      <c r="O427" t="n">
        <v>0</v>
      </c>
      <c r="P427" t="n">
        <v>0</v>
      </c>
      <c r="Q427" t="n">
        <v>0</v>
      </c>
      <c r="R427" s="2" t="inlineStr"/>
    </row>
    <row r="428" ht="15" customHeight="1">
      <c r="A428" t="inlineStr">
        <is>
          <t>A 12440-2025</t>
        </is>
      </c>
      <c r="B428" s="1" t="n">
        <v>45730</v>
      </c>
      <c r="C428" s="1" t="n">
        <v>45889</v>
      </c>
      <c r="D428" t="inlineStr">
        <is>
          <t>VÄRMLANDS LÄN</t>
        </is>
      </c>
      <c r="E428" t="inlineStr">
        <is>
          <t>TORSBY</t>
        </is>
      </c>
      <c r="G428" t="n">
        <v>4.7</v>
      </c>
      <c r="H428" t="n">
        <v>0</v>
      </c>
      <c r="I428" t="n">
        <v>0</v>
      </c>
      <c r="J428" t="n">
        <v>0</v>
      </c>
      <c r="K428" t="n">
        <v>0</v>
      </c>
      <c r="L428" t="n">
        <v>0</v>
      </c>
      <c r="M428" t="n">
        <v>0</v>
      </c>
      <c r="N428" t="n">
        <v>0</v>
      </c>
      <c r="O428" t="n">
        <v>0</v>
      </c>
      <c r="P428" t="n">
        <v>0</v>
      </c>
      <c r="Q428" t="n">
        <v>0</v>
      </c>
      <c r="R428" s="2" t="inlineStr"/>
    </row>
    <row r="429" ht="15" customHeight="1">
      <c r="A429" t="inlineStr">
        <is>
          <t>A 56021-2023</t>
        </is>
      </c>
      <c r="B429" s="1" t="n">
        <v>45240</v>
      </c>
      <c r="C429" s="1" t="n">
        <v>45889</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27292-2024</t>
        </is>
      </c>
      <c r="B430" s="1" t="n">
        <v>45471.93378472222</v>
      </c>
      <c r="C430" s="1" t="n">
        <v>45889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7543-2022</t>
        </is>
      </c>
      <c r="B431" s="1" t="n">
        <v>44607</v>
      </c>
      <c r="C431" s="1" t="n">
        <v>45889</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37081-2023</t>
        </is>
      </c>
      <c r="B432" s="1" t="n">
        <v>45155</v>
      </c>
      <c r="C432" s="1" t="n">
        <v>45889</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62039-2021</t>
        </is>
      </c>
      <c r="B433" s="1" t="n">
        <v>44502</v>
      </c>
      <c r="C433" s="1" t="n">
        <v>45889</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67084-2020</t>
        </is>
      </c>
      <c r="B434" s="1" t="n">
        <v>44179</v>
      </c>
      <c r="C434" s="1" t="n">
        <v>45889</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24150-2021</t>
        </is>
      </c>
      <c r="B435" s="1" t="n">
        <v>44336</v>
      </c>
      <c r="C435" s="1" t="n">
        <v>45889</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7221-2024</t>
        </is>
      </c>
      <c r="B436" s="1" t="n">
        <v>45344.63927083334</v>
      </c>
      <c r="C436" s="1" t="n">
        <v>45889</v>
      </c>
      <c r="D436" t="inlineStr">
        <is>
          <t>VÄRMLANDS LÄN</t>
        </is>
      </c>
      <c r="E436" t="inlineStr">
        <is>
          <t>TORSBY</t>
        </is>
      </c>
      <c r="G436" t="n">
        <v>8.1</v>
      </c>
      <c r="H436" t="n">
        <v>0</v>
      </c>
      <c r="I436" t="n">
        <v>0</v>
      </c>
      <c r="J436" t="n">
        <v>0</v>
      </c>
      <c r="K436" t="n">
        <v>0</v>
      </c>
      <c r="L436" t="n">
        <v>0</v>
      </c>
      <c r="M436" t="n">
        <v>0</v>
      </c>
      <c r="N436" t="n">
        <v>0</v>
      </c>
      <c r="O436" t="n">
        <v>0</v>
      </c>
      <c r="P436" t="n">
        <v>0</v>
      </c>
      <c r="Q436" t="n">
        <v>0</v>
      </c>
      <c r="R436" s="2" t="inlineStr"/>
    </row>
    <row r="437" ht="15" customHeight="1">
      <c r="A437" t="inlineStr">
        <is>
          <t>A 3269-2025</t>
        </is>
      </c>
      <c r="B437" s="1" t="n">
        <v>45679.58148148148</v>
      </c>
      <c r="C437" s="1" t="n">
        <v>45889</v>
      </c>
      <c r="D437" t="inlineStr">
        <is>
          <t>VÄRMLANDS LÄN</t>
        </is>
      </c>
      <c r="E437" t="inlineStr">
        <is>
          <t>TORSBY</t>
        </is>
      </c>
      <c r="G437" t="n">
        <v>6.9</v>
      </c>
      <c r="H437" t="n">
        <v>0</v>
      </c>
      <c r="I437" t="n">
        <v>0</v>
      </c>
      <c r="J437" t="n">
        <v>0</v>
      </c>
      <c r="K437" t="n">
        <v>0</v>
      </c>
      <c r="L437" t="n">
        <v>0</v>
      </c>
      <c r="M437" t="n">
        <v>0</v>
      </c>
      <c r="N437" t="n">
        <v>0</v>
      </c>
      <c r="O437" t="n">
        <v>0</v>
      </c>
      <c r="P437" t="n">
        <v>0</v>
      </c>
      <c r="Q437" t="n">
        <v>0</v>
      </c>
      <c r="R437" s="2" t="inlineStr"/>
    </row>
    <row r="438" ht="15" customHeight="1">
      <c r="A438" t="inlineStr">
        <is>
          <t>A 44710-2023</t>
        </is>
      </c>
      <c r="B438" s="1" t="n">
        <v>45190</v>
      </c>
      <c r="C438" s="1" t="n">
        <v>45889</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4960-2022</t>
        </is>
      </c>
      <c r="B439" s="1" t="n">
        <v>44593</v>
      </c>
      <c r="C439" s="1" t="n">
        <v>45889</v>
      </c>
      <c r="D439" t="inlineStr">
        <is>
          <t>VÄRMLANDS LÄN</t>
        </is>
      </c>
      <c r="E439" t="inlineStr">
        <is>
          <t>TORSBY</t>
        </is>
      </c>
      <c r="G439" t="n">
        <v>4.8</v>
      </c>
      <c r="H439" t="n">
        <v>0</v>
      </c>
      <c r="I439" t="n">
        <v>0</v>
      </c>
      <c r="J439" t="n">
        <v>0</v>
      </c>
      <c r="K439" t="n">
        <v>0</v>
      </c>
      <c r="L439" t="n">
        <v>0</v>
      </c>
      <c r="M439" t="n">
        <v>0</v>
      </c>
      <c r="N439" t="n">
        <v>0</v>
      </c>
      <c r="O439" t="n">
        <v>0</v>
      </c>
      <c r="P439" t="n">
        <v>0</v>
      </c>
      <c r="Q439" t="n">
        <v>0</v>
      </c>
      <c r="R439" s="2" t="inlineStr"/>
    </row>
    <row r="440" ht="15" customHeight="1">
      <c r="A440" t="inlineStr">
        <is>
          <t>A 39781-2022</t>
        </is>
      </c>
      <c r="B440" s="1" t="n">
        <v>44819</v>
      </c>
      <c r="C440" s="1" t="n">
        <v>45889</v>
      </c>
      <c r="D440" t="inlineStr">
        <is>
          <t>VÄRMLANDS LÄN</t>
        </is>
      </c>
      <c r="E440" t="inlineStr">
        <is>
          <t>TORSBY</t>
        </is>
      </c>
      <c r="G440" t="n">
        <v>1.5</v>
      </c>
      <c r="H440" t="n">
        <v>0</v>
      </c>
      <c r="I440" t="n">
        <v>0</v>
      </c>
      <c r="J440" t="n">
        <v>0</v>
      </c>
      <c r="K440" t="n">
        <v>0</v>
      </c>
      <c r="L440" t="n">
        <v>0</v>
      </c>
      <c r="M440" t="n">
        <v>0</v>
      </c>
      <c r="N440" t="n">
        <v>0</v>
      </c>
      <c r="O440" t="n">
        <v>0</v>
      </c>
      <c r="P440" t="n">
        <v>0</v>
      </c>
      <c r="Q440" t="n">
        <v>0</v>
      </c>
      <c r="R440" s="2" t="inlineStr"/>
    </row>
    <row r="441" ht="15" customHeight="1">
      <c r="A441" t="inlineStr">
        <is>
          <t>A 9942-2025</t>
        </is>
      </c>
      <c r="B441" s="1" t="n">
        <v>45719</v>
      </c>
      <c r="C441" s="1" t="n">
        <v>45889</v>
      </c>
      <c r="D441" t="inlineStr">
        <is>
          <t>VÄRMLANDS LÄN</t>
        </is>
      </c>
      <c r="E441" t="inlineStr">
        <is>
          <t>TORSBY</t>
        </is>
      </c>
      <c r="G441" t="n">
        <v>2.6</v>
      </c>
      <c r="H441" t="n">
        <v>0</v>
      </c>
      <c r="I441" t="n">
        <v>0</v>
      </c>
      <c r="J441" t="n">
        <v>0</v>
      </c>
      <c r="K441" t="n">
        <v>0</v>
      </c>
      <c r="L441" t="n">
        <v>0</v>
      </c>
      <c r="M441" t="n">
        <v>0</v>
      </c>
      <c r="N441" t="n">
        <v>0</v>
      </c>
      <c r="O441" t="n">
        <v>0</v>
      </c>
      <c r="P441" t="n">
        <v>0</v>
      </c>
      <c r="Q441" t="n">
        <v>0</v>
      </c>
      <c r="R441" s="2" t="inlineStr"/>
    </row>
    <row r="442" ht="15" customHeight="1">
      <c r="A442" t="inlineStr">
        <is>
          <t>A 38699-2022</t>
        </is>
      </c>
      <c r="B442" s="1" t="n">
        <v>44814.53259259259</v>
      </c>
      <c r="C442" s="1" t="n">
        <v>45889</v>
      </c>
      <c r="D442" t="inlineStr">
        <is>
          <t>VÄRMLANDS LÄN</t>
        </is>
      </c>
      <c r="E442" t="inlineStr">
        <is>
          <t>TORSBY</t>
        </is>
      </c>
      <c r="F442" t="inlineStr">
        <is>
          <t>Bergvik skog väst AB</t>
        </is>
      </c>
      <c r="G442" t="n">
        <v>22.6</v>
      </c>
      <c r="H442" t="n">
        <v>0</v>
      </c>
      <c r="I442" t="n">
        <v>0</v>
      </c>
      <c r="J442" t="n">
        <v>0</v>
      </c>
      <c r="K442" t="n">
        <v>0</v>
      </c>
      <c r="L442" t="n">
        <v>0</v>
      </c>
      <c r="M442" t="n">
        <v>0</v>
      </c>
      <c r="N442" t="n">
        <v>0</v>
      </c>
      <c r="O442" t="n">
        <v>0</v>
      </c>
      <c r="P442" t="n">
        <v>0</v>
      </c>
      <c r="Q442" t="n">
        <v>0</v>
      </c>
      <c r="R442" s="2" t="inlineStr"/>
    </row>
    <row r="443" ht="15" customHeight="1">
      <c r="A443" t="inlineStr">
        <is>
          <t>A 11143-2024</t>
        </is>
      </c>
      <c r="B443" s="1" t="n">
        <v>45371</v>
      </c>
      <c r="C443" s="1" t="n">
        <v>45889</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13698-2022</t>
        </is>
      </c>
      <c r="B444" s="1" t="n">
        <v>44648</v>
      </c>
      <c r="C444" s="1" t="n">
        <v>45889</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57980-2023</t>
        </is>
      </c>
      <c r="B445" s="1" t="n">
        <v>45247.59328703704</v>
      </c>
      <c r="C445" s="1" t="n">
        <v>45889</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14613-2025</t>
        </is>
      </c>
      <c r="B446" s="1" t="n">
        <v>45742.39615740741</v>
      </c>
      <c r="C446" s="1" t="n">
        <v>45889</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19662-2025</t>
        </is>
      </c>
      <c r="B447" s="1" t="n">
        <v>45770</v>
      </c>
      <c r="C447" s="1" t="n">
        <v>45889</v>
      </c>
      <c r="D447" t="inlineStr">
        <is>
          <t>VÄRMLANDS LÄN</t>
        </is>
      </c>
      <c r="E447" t="inlineStr">
        <is>
          <t>TORSBY</t>
        </is>
      </c>
      <c r="F447" t="inlineStr">
        <is>
          <t>Bergvik skog väst AB</t>
        </is>
      </c>
      <c r="G447" t="n">
        <v>11.6</v>
      </c>
      <c r="H447" t="n">
        <v>0</v>
      </c>
      <c r="I447" t="n">
        <v>0</v>
      </c>
      <c r="J447" t="n">
        <v>0</v>
      </c>
      <c r="K447" t="n">
        <v>0</v>
      </c>
      <c r="L447" t="n">
        <v>0</v>
      </c>
      <c r="M447" t="n">
        <v>0</v>
      </c>
      <c r="N447" t="n">
        <v>0</v>
      </c>
      <c r="O447" t="n">
        <v>0</v>
      </c>
      <c r="P447" t="n">
        <v>0</v>
      </c>
      <c r="Q447" t="n">
        <v>0</v>
      </c>
      <c r="R447" s="2" t="inlineStr"/>
    </row>
    <row r="448" ht="15" customHeight="1">
      <c r="A448" t="inlineStr">
        <is>
          <t>A 29457-2021</t>
        </is>
      </c>
      <c r="B448" s="1" t="n">
        <v>44361</v>
      </c>
      <c r="C448" s="1" t="n">
        <v>45889</v>
      </c>
      <c r="D448" t="inlineStr">
        <is>
          <t>VÄRMLANDS LÄN</t>
        </is>
      </c>
      <c r="E448" t="inlineStr">
        <is>
          <t>TORSBY</t>
        </is>
      </c>
      <c r="G448" t="n">
        <v>7.6</v>
      </c>
      <c r="H448" t="n">
        <v>0</v>
      </c>
      <c r="I448" t="n">
        <v>0</v>
      </c>
      <c r="J448" t="n">
        <v>0</v>
      </c>
      <c r="K448" t="n">
        <v>0</v>
      </c>
      <c r="L448" t="n">
        <v>0</v>
      </c>
      <c r="M448" t="n">
        <v>0</v>
      </c>
      <c r="N448" t="n">
        <v>0</v>
      </c>
      <c r="O448" t="n">
        <v>0</v>
      </c>
      <c r="P448" t="n">
        <v>0</v>
      </c>
      <c r="Q448" t="n">
        <v>0</v>
      </c>
      <c r="R448" s="2" t="inlineStr"/>
    </row>
    <row r="449" ht="15" customHeight="1">
      <c r="A449" t="inlineStr">
        <is>
          <t>A 19763-2025</t>
        </is>
      </c>
      <c r="B449" s="1" t="n">
        <v>45771.40707175926</v>
      </c>
      <c r="C449" s="1" t="n">
        <v>45889</v>
      </c>
      <c r="D449" t="inlineStr">
        <is>
          <t>VÄRMLANDS LÄN</t>
        </is>
      </c>
      <c r="E449" t="inlineStr">
        <is>
          <t>TORSBY</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19159-2025</t>
        </is>
      </c>
      <c r="B450" s="1" t="n">
        <v>45769</v>
      </c>
      <c r="C450" s="1" t="n">
        <v>45889</v>
      </c>
      <c r="D450" t="inlineStr">
        <is>
          <t>VÄRMLANDS LÄN</t>
        </is>
      </c>
      <c r="E450" t="inlineStr">
        <is>
          <t>TORSBY</t>
        </is>
      </c>
      <c r="F450" t="inlineStr">
        <is>
          <t>Bergvik skog väst AB</t>
        </is>
      </c>
      <c r="G450" t="n">
        <v>10.2</v>
      </c>
      <c r="H450" t="n">
        <v>0</v>
      </c>
      <c r="I450" t="n">
        <v>0</v>
      </c>
      <c r="J450" t="n">
        <v>0</v>
      </c>
      <c r="K450" t="n">
        <v>0</v>
      </c>
      <c r="L450" t="n">
        <v>0</v>
      </c>
      <c r="M450" t="n">
        <v>0</v>
      </c>
      <c r="N450" t="n">
        <v>0</v>
      </c>
      <c r="O450" t="n">
        <v>0</v>
      </c>
      <c r="P450" t="n">
        <v>0</v>
      </c>
      <c r="Q450" t="n">
        <v>0</v>
      </c>
      <c r="R450" s="2" t="inlineStr"/>
    </row>
    <row r="451" ht="15" customHeight="1">
      <c r="A451" t="inlineStr">
        <is>
          <t>A 40180-2024</t>
        </is>
      </c>
      <c r="B451" s="1" t="n">
        <v>45554.55413194445</v>
      </c>
      <c r="C451" s="1" t="n">
        <v>45889</v>
      </c>
      <c r="D451" t="inlineStr">
        <is>
          <t>VÄRMLANDS LÄN</t>
        </is>
      </c>
      <c r="E451" t="inlineStr">
        <is>
          <t>TORSBY</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71084-2021</t>
        </is>
      </c>
      <c r="B452" s="1" t="n">
        <v>44538.96543981481</v>
      </c>
      <c r="C452" s="1" t="n">
        <v>45889</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41808-2021</t>
        </is>
      </c>
      <c r="B453" s="1" t="n">
        <v>44425</v>
      </c>
      <c r="C453" s="1" t="n">
        <v>45889</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9775-2021</t>
        </is>
      </c>
      <c r="B454" s="1" t="n">
        <v>44252</v>
      </c>
      <c r="C454" s="1" t="n">
        <v>45889</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20461-2025</t>
        </is>
      </c>
      <c r="B455" s="1" t="n">
        <v>45775.53158564815</v>
      </c>
      <c r="C455" s="1" t="n">
        <v>45889</v>
      </c>
      <c r="D455" t="inlineStr">
        <is>
          <t>VÄRMLANDS LÄN</t>
        </is>
      </c>
      <c r="E455" t="inlineStr">
        <is>
          <t>TORSBY</t>
        </is>
      </c>
      <c r="G455" t="n">
        <v>16</v>
      </c>
      <c r="H455" t="n">
        <v>0</v>
      </c>
      <c r="I455" t="n">
        <v>0</v>
      </c>
      <c r="J455" t="n">
        <v>0</v>
      </c>
      <c r="K455" t="n">
        <v>0</v>
      </c>
      <c r="L455" t="n">
        <v>0</v>
      </c>
      <c r="M455" t="n">
        <v>0</v>
      </c>
      <c r="N455" t="n">
        <v>0</v>
      </c>
      <c r="O455" t="n">
        <v>0</v>
      </c>
      <c r="P455" t="n">
        <v>0</v>
      </c>
      <c r="Q455" t="n">
        <v>0</v>
      </c>
      <c r="R455" s="2" t="inlineStr"/>
    </row>
    <row r="456" ht="15" customHeight="1">
      <c r="A456" t="inlineStr">
        <is>
          <t>A 34093-2024</t>
        </is>
      </c>
      <c r="B456" s="1" t="n">
        <v>45523</v>
      </c>
      <c r="C456" s="1" t="n">
        <v>45889</v>
      </c>
      <c r="D456" t="inlineStr">
        <is>
          <t>VÄRMLANDS LÄN</t>
        </is>
      </c>
      <c r="E456" t="inlineStr">
        <is>
          <t>TORSBY</t>
        </is>
      </c>
      <c r="F456" t="inlineStr">
        <is>
          <t>Bergvik skog väst AB</t>
        </is>
      </c>
      <c r="G456" t="n">
        <v>5.9</v>
      </c>
      <c r="H456" t="n">
        <v>0</v>
      </c>
      <c r="I456" t="n">
        <v>0</v>
      </c>
      <c r="J456" t="n">
        <v>0</v>
      </c>
      <c r="K456" t="n">
        <v>0</v>
      </c>
      <c r="L456" t="n">
        <v>0</v>
      </c>
      <c r="M456" t="n">
        <v>0</v>
      </c>
      <c r="N456" t="n">
        <v>0</v>
      </c>
      <c r="O456" t="n">
        <v>0</v>
      </c>
      <c r="P456" t="n">
        <v>0</v>
      </c>
      <c r="Q456" t="n">
        <v>0</v>
      </c>
      <c r="R456" s="2" t="inlineStr"/>
    </row>
    <row r="457" ht="15" customHeight="1">
      <c r="A457" t="inlineStr">
        <is>
          <t>A 3387-2025</t>
        </is>
      </c>
      <c r="B457" s="1" t="n">
        <v>45680</v>
      </c>
      <c r="C457" s="1" t="n">
        <v>45889</v>
      </c>
      <c r="D457" t="inlineStr">
        <is>
          <t>VÄRMLANDS LÄN</t>
        </is>
      </c>
      <c r="E457" t="inlineStr">
        <is>
          <t>TORSBY</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34434-2022</t>
        </is>
      </c>
      <c r="B458" s="1" t="n">
        <v>44792</v>
      </c>
      <c r="C458" s="1" t="n">
        <v>45889</v>
      </c>
      <c r="D458" t="inlineStr">
        <is>
          <t>VÄRMLANDS LÄN</t>
        </is>
      </c>
      <c r="E458" t="inlineStr">
        <is>
          <t>TORSBY</t>
        </is>
      </c>
      <c r="G458" t="n">
        <v>4.6</v>
      </c>
      <c r="H458" t="n">
        <v>0</v>
      </c>
      <c r="I458" t="n">
        <v>0</v>
      </c>
      <c r="J458" t="n">
        <v>0</v>
      </c>
      <c r="K458" t="n">
        <v>0</v>
      </c>
      <c r="L458" t="n">
        <v>0</v>
      </c>
      <c r="M458" t="n">
        <v>0</v>
      </c>
      <c r="N458" t="n">
        <v>0</v>
      </c>
      <c r="O458" t="n">
        <v>0</v>
      </c>
      <c r="P458" t="n">
        <v>0</v>
      </c>
      <c r="Q458" t="n">
        <v>0</v>
      </c>
      <c r="R458" s="2" t="inlineStr"/>
    </row>
    <row r="459" ht="15" customHeight="1">
      <c r="A459" t="inlineStr">
        <is>
          <t>A 6317-2025</t>
        </is>
      </c>
      <c r="B459" s="1" t="n">
        <v>45698.74826388889</v>
      </c>
      <c r="C459" s="1" t="n">
        <v>45889</v>
      </c>
      <c r="D459" t="inlineStr">
        <is>
          <t>VÄRMLANDS LÄN</t>
        </is>
      </c>
      <c r="E459" t="inlineStr">
        <is>
          <t>TORSBY</t>
        </is>
      </c>
      <c r="G459" t="n">
        <v>5.8</v>
      </c>
      <c r="H459" t="n">
        <v>0</v>
      </c>
      <c r="I459" t="n">
        <v>0</v>
      </c>
      <c r="J459" t="n">
        <v>0</v>
      </c>
      <c r="K459" t="n">
        <v>0</v>
      </c>
      <c r="L459" t="n">
        <v>0</v>
      </c>
      <c r="M459" t="n">
        <v>0</v>
      </c>
      <c r="N459" t="n">
        <v>0</v>
      </c>
      <c r="O459" t="n">
        <v>0</v>
      </c>
      <c r="P459" t="n">
        <v>0</v>
      </c>
      <c r="Q459" t="n">
        <v>0</v>
      </c>
      <c r="R459" s="2" t="inlineStr"/>
    </row>
    <row r="460" ht="15" customHeight="1">
      <c r="A460" t="inlineStr">
        <is>
          <t>A 38298-2021</t>
        </is>
      </c>
      <c r="B460" s="1" t="n">
        <v>44406</v>
      </c>
      <c r="C460" s="1" t="n">
        <v>45889</v>
      </c>
      <c r="D460" t="inlineStr">
        <is>
          <t>VÄRMLANDS LÄN</t>
        </is>
      </c>
      <c r="E460" t="inlineStr">
        <is>
          <t>TORSBY</t>
        </is>
      </c>
      <c r="G460" t="n">
        <v>3.3</v>
      </c>
      <c r="H460" t="n">
        <v>0</v>
      </c>
      <c r="I460" t="n">
        <v>0</v>
      </c>
      <c r="J460" t="n">
        <v>0</v>
      </c>
      <c r="K460" t="n">
        <v>0</v>
      </c>
      <c r="L460" t="n">
        <v>0</v>
      </c>
      <c r="M460" t="n">
        <v>0</v>
      </c>
      <c r="N460" t="n">
        <v>0</v>
      </c>
      <c r="O460" t="n">
        <v>0</v>
      </c>
      <c r="P460" t="n">
        <v>0</v>
      </c>
      <c r="Q460" t="n">
        <v>0</v>
      </c>
      <c r="R460" s="2" t="inlineStr"/>
    </row>
    <row r="461" ht="15" customHeight="1">
      <c r="A461" t="inlineStr">
        <is>
          <t>A 13285-2025</t>
        </is>
      </c>
      <c r="B461" s="1" t="n">
        <v>45735</v>
      </c>
      <c r="C461" s="1" t="n">
        <v>45889</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31830-2024</t>
        </is>
      </c>
      <c r="B462" s="1" t="n">
        <v>45509</v>
      </c>
      <c r="C462" s="1" t="n">
        <v>45889</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36589-2021</t>
        </is>
      </c>
      <c r="B463" s="1" t="n">
        <v>44391</v>
      </c>
      <c r="C463" s="1" t="n">
        <v>45889</v>
      </c>
      <c r="D463" t="inlineStr">
        <is>
          <t>VÄRMLANDS LÄN</t>
        </is>
      </c>
      <c r="E463" t="inlineStr">
        <is>
          <t>TORSBY</t>
        </is>
      </c>
      <c r="G463" t="n">
        <v>3.9</v>
      </c>
      <c r="H463" t="n">
        <v>0</v>
      </c>
      <c r="I463" t="n">
        <v>0</v>
      </c>
      <c r="J463" t="n">
        <v>0</v>
      </c>
      <c r="K463" t="n">
        <v>0</v>
      </c>
      <c r="L463" t="n">
        <v>0</v>
      </c>
      <c r="M463" t="n">
        <v>0</v>
      </c>
      <c r="N463" t="n">
        <v>0</v>
      </c>
      <c r="O463" t="n">
        <v>0</v>
      </c>
      <c r="P463" t="n">
        <v>0</v>
      </c>
      <c r="Q463" t="n">
        <v>0</v>
      </c>
      <c r="R463" s="2" t="inlineStr"/>
    </row>
    <row r="464" ht="15" customHeight="1">
      <c r="A464" t="inlineStr">
        <is>
          <t>A 67913-2021</t>
        </is>
      </c>
      <c r="B464" s="1" t="n">
        <v>44525.60017361111</v>
      </c>
      <c r="C464" s="1" t="n">
        <v>45889</v>
      </c>
      <c r="D464" t="inlineStr">
        <is>
          <t>VÄRMLANDS LÄN</t>
        </is>
      </c>
      <c r="E464" t="inlineStr">
        <is>
          <t>TORSBY</t>
        </is>
      </c>
      <c r="F464" t="inlineStr">
        <is>
          <t>Bergvik skog väst AB</t>
        </is>
      </c>
      <c r="G464" t="n">
        <v>8</v>
      </c>
      <c r="H464" t="n">
        <v>0</v>
      </c>
      <c r="I464" t="n">
        <v>0</v>
      </c>
      <c r="J464" t="n">
        <v>0</v>
      </c>
      <c r="K464" t="n">
        <v>0</v>
      </c>
      <c r="L464" t="n">
        <v>0</v>
      </c>
      <c r="M464" t="n">
        <v>0</v>
      </c>
      <c r="N464" t="n">
        <v>0</v>
      </c>
      <c r="O464" t="n">
        <v>0</v>
      </c>
      <c r="P464" t="n">
        <v>0</v>
      </c>
      <c r="Q464" t="n">
        <v>0</v>
      </c>
      <c r="R464" s="2" t="inlineStr"/>
    </row>
    <row r="465" ht="15" customHeight="1">
      <c r="A465" t="inlineStr">
        <is>
          <t>A 54885-2022</t>
        </is>
      </c>
      <c r="B465" s="1" t="n">
        <v>44886</v>
      </c>
      <c r="C465" s="1" t="n">
        <v>45889</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39217-2022</t>
        </is>
      </c>
      <c r="B466" s="1" t="n">
        <v>44817.57174768519</v>
      </c>
      <c r="C466" s="1" t="n">
        <v>45889</v>
      </c>
      <c r="D466" t="inlineStr">
        <is>
          <t>VÄRMLANDS LÄN</t>
        </is>
      </c>
      <c r="E466" t="inlineStr">
        <is>
          <t>TORSBY</t>
        </is>
      </c>
      <c r="G466" t="n">
        <v>4.6</v>
      </c>
      <c r="H466" t="n">
        <v>0</v>
      </c>
      <c r="I466" t="n">
        <v>0</v>
      </c>
      <c r="J466" t="n">
        <v>0</v>
      </c>
      <c r="K466" t="n">
        <v>0</v>
      </c>
      <c r="L466" t="n">
        <v>0</v>
      </c>
      <c r="M466" t="n">
        <v>0</v>
      </c>
      <c r="N466" t="n">
        <v>0</v>
      </c>
      <c r="O466" t="n">
        <v>0</v>
      </c>
      <c r="P466" t="n">
        <v>0</v>
      </c>
      <c r="Q466" t="n">
        <v>0</v>
      </c>
      <c r="R466" s="2" t="inlineStr"/>
    </row>
    <row r="467" ht="15" customHeight="1">
      <c r="A467" t="inlineStr">
        <is>
          <t>A 39221-2022</t>
        </is>
      </c>
      <c r="B467" s="1" t="n">
        <v>44817.57484953704</v>
      </c>
      <c r="C467" s="1" t="n">
        <v>45889</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43536-2023</t>
        </is>
      </c>
      <c r="B468" s="1" t="n">
        <v>45181</v>
      </c>
      <c r="C468" s="1" t="n">
        <v>45889</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63158-2023</t>
        </is>
      </c>
      <c r="B469" s="1" t="n">
        <v>45273.51715277778</v>
      </c>
      <c r="C469" s="1" t="n">
        <v>45889</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23073-2023</t>
        </is>
      </c>
      <c r="B470" s="1" t="n">
        <v>45070</v>
      </c>
      <c r="C470" s="1" t="n">
        <v>45889</v>
      </c>
      <c r="D470" t="inlineStr">
        <is>
          <t>VÄRMLANDS LÄN</t>
        </is>
      </c>
      <c r="E470" t="inlineStr">
        <is>
          <t>TORSBY</t>
        </is>
      </c>
      <c r="G470" t="n">
        <v>15.1</v>
      </c>
      <c r="H470" t="n">
        <v>0</v>
      </c>
      <c r="I470" t="n">
        <v>0</v>
      </c>
      <c r="J470" t="n">
        <v>0</v>
      </c>
      <c r="K470" t="n">
        <v>0</v>
      </c>
      <c r="L470" t="n">
        <v>0</v>
      </c>
      <c r="M470" t="n">
        <v>0</v>
      </c>
      <c r="N470" t="n">
        <v>0</v>
      </c>
      <c r="O470" t="n">
        <v>0</v>
      </c>
      <c r="P470" t="n">
        <v>0</v>
      </c>
      <c r="Q470" t="n">
        <v>0</v>
      </c>
      <c r="R470" s="2" t="inlineStr"/>
    </row>
    <row r="471" ht="15" customHeight="1">
      <c r="A471" t="inlineStr">
        <is>
          <t>A 2390-2025</t>
        </is>
      </c>
      <c r="B471" s="1" t="n">
        <v>45674.32071759259</v>
      </c>
      <c r="C471" s="1" t="n">
        <v>45889</v>
      </c>
      <c r="D471" t="inlineStr">
        <is>
          <t>VÄRMLANDS LÄN</t>
        </is>
      </c>
      <c r="E471" t="inlineStr">
        <is>
          <t>TORSBY</t>
        </is>
      </c>
      <c r="G471" t="n">
        <v>4.6</v>
      </c>
      <c r="H471" t="n">
        <v>0</v>
      </c>
      <c r="I471" t="n">
        <v>0</v>
      </c>
      <c r="J471" t="n">
        <v>0</v>
      </c>
      <c r="K471" t="n">
        <v>0</v>
      </c>
      <c r="L471" t="n">
        <v>0</v>
      </c>
      <c r="M471" t="n">
        <v>0</v>
      </c>
      <c r="N471" t="n">
        <v>0</v>
      </c>
      <c r="O471" t="n">
        <v>0</v>
      </c>
      <c r="P471" t="n">
        <v>0</v>
      </c>
      <c r="Q471" t="n">
        <v>0</v>
      </c>
      <c r="R471" s="2" t="inlineStr"/>
    </row>
    <row r="472" ht="15" customHeight="1">
      <c r="A472" t="inlineStr">
        <is>
          <t>A 68136-2021</t>
        </is>
      </c>
      <c r="B472" s="1" t="n">
        <v>44526.40984953703</v>
      </c>
      <c r="C472" s="1" t="n">
        <v>45889</v>
      </c>
      <c r="D472" t="inlineStr">
        <is>
          <t>VÄRMLANDS LÄN</t>
        </is>
      </c>
      <c r="E472" t="inlineStr">
        <is>
          <t>TORSBY</t>
        </is>
      </c>
      <c r="G472" t="n">
        <v>2.9</v>
      </c>
      <c r="H472" t="n">
        <v>0</v>
      </c>
      <c r="I472" t="n">
        <v>0</v>
      </c>
      <c r="J472" t="n">
        <v>0</v>
      </c>
      <c r="K472" t="n">
        <v>0</v>
      </c>
      <c r="L472" t="n">
        <v>0</v>
      </c>
      <c r="M472" t="n">
        <v>0</v>
      </c>
      <c r="N472" t="n">
        <v>0</v>
      </c>
      <c r="O472" t="n">
        <v>0</v>
      </c>
      <c r="P472" t="n">
        <v>0</v>
      </c>
      <c r="Q472" t="n">
        <v>0</v>
      </c>
      <c r="R472" s="2" t="inlineStr"/>
    </row>
    <row r="473" ht="15" customHeight="1">
      <c r="A473" t="inlineStr">
        <is>
          <t>A 4516-2025</t>
        </is>
      </c>
      <c r="B473" s="1" t="n">
        <v>45686.88212962963</v>
      </c>
      <c r="C473" s="1" t="n">
        <v>45889</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4517-2025</t>
        </is>
      </c>
      <c r="B474" s="1" t="n">
        <v>45686</v>
      </c>
      <c r="C474" s="1" t="n">
        <v>45889</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62507-2023</t>
        </is>
      </c>
      <c r="B475" s="1" t="n">
        <v>45267</v>
      </c>
      <c r="C475" s="1" t="n">
        <v>45889</v>
      </c>
      <c r="D475" t="inlineStr">
        <is>
          <t>VÄRMLANDS LÄN</t>
        </is>
      </c>
      <c r="E475" t="inlineStr">
        <is>
          <t>TORSBY</t>
        </is>
      </c>
      <c r="G475" t="n">
        <v>3.3</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45889</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11872-2025</t>
        </is>
      </c>
      <c r="B477" s="1" t="n">
        <v>45728.43021990741</v>
      </c>
      <c r="C477" s="1" t="n">
        <v>45889</v>
      </c>
      <c r="D477" t="inlineStr">
        <is>
          <t>VÄRMLANDS LÄN</t>
        </is>
      </c>
      <c r="E477" t="inlineStr">
        <is>
          <t>TORSBY</t>
        </is>
      </c>
      <c r="G477" t="n">
        <v>7.4</v>
      </c>
      <c r="H477" t="n">
        <v>0</v>
      </c>
      <c r="I477" t="n">
        <v>0</v>
      </c>
      <c r="J477" t="n">
        <v>0</v>
      </c>
      <c r="K477" t="n">
        <v>0</v>
      </c>
      <c r="L477" t="n">
        <v>0</v>
      </c>
      <c r="M477" t="n">
        <v>0</v>
      </c>
      <c r="N477" t="n">
        <v>0</v>
      </c>
      <c r="O477" t="n">
        <v>0</v>
      </c>
      <c r="P477" t="n">
        <v>0</v>
      </c>
      <c r="Q477" t="n">
        <v>0</v>
      </c>
      <c r="R477" s="2" t="inlineStr"/>
    </row>
    <row r="478" ht="15" customHeight="1">
      <c r="A478" t="inlineStr">
        <is>
          <t>A 11214-2024</t>
        </is>
      </c>
      <c r="B478" s="1" t="n">
        <v>45371</v>
      </c>
      <c r="C478" s="1" t="n">
        <v>45889</v>
      </c>
      <c r="D478" t="inlineStr">
        <is>
          <t>VÄRMLANDS LÄN</t>
        </is>
      </c>
      <c r="E478" t="inlineStr">
        <is>
          <t>TORSBY</t>
        </is>
      </c>
      <c r="G478" t="n">
        <v>0.4</v>
      </c>
      <c r="H478" t="n">
        <v>0</v>
      </c>
      <c r="I478" t="n">
        <v>0</v>
      </c>
      <c r="J478" t="n">
        <v>0</v>
      </c>
      <c r="K478" t="n">
        <v>0</v>
      </c>
      <c r="L478" t="n">
        <v>0</v>
      </c>
      <c r="M478" t="n">
        <v>0</v>
      </c>
      <c r="N478" t="n">
        <v>0</v>
      </c>
      <c r="O478" t="n">
        <v>0</v>
      </c>
      <c r="P478" t="n">
        <v>0</v>
      </c>
      <c r="Q478" t="n">
        <v>0</v>
      </c>
      <c r="R478" s="2" t="inlineStr"/>
    </row>
    <row r="479" ht="15" customHeight="1">
      <c r="A479" t="inlineStr">
        <is>
          <t>A 3951-2025</t>
        </is>
      </c>
      <c r="B479" s="1" t="n">
        <v>45684.49333333333</v>
      </c>
      <c r="C479" s="1" t="n">
        <v>45889</v>
      </c>
      <c r="D479" t="inlineStr">
        <is>
          <t>VÄRMLANDS LÄN</t>
        </is>
      </c>
      <c r="E479" t="inlineStr">
        <is>
          <t>TORSBY</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24244-2023</t>
        </is>
      </c>
      <c r="B480" s="1" t="n">
        <v>45079.61969907407</v>
      </c>
      <c r="C480" s="1" t="n">
        <v>45889</v>
      </c>
      <c r="D480" t="inlineStr">
        <is>
          <t>VÄRMLANDS LÄN</t>
        </is>
      </c>
      <c r="E480" t="inlineStr">
        <is>
          <t>TORSBY</t>
        </is>
      </c>
      <c r="G480" t="n">
        <v>3</v>
      </c>
      <c r="H480" t="n">
        <v>0</v>
      </c>
      <c r="I480" t="n">
        <v>0</v>
      </c>
      <c r="J480" t="n">
        <v>0</v>
      </c>
      <c r="K480" t="n">
        <v>0</v>
      </c>
      <c r="L480" t="n">
        <v>0</v>
      </c>
      <c r="M480" t="n">
        <v>0</v>
      </c>
      <c r="N480" t="n">
        <v>0</v>
      </c>
      <c r="O480" t="n">
        <v>0</v>
      </c>
      <c r="P480" t="n">
        <v>0</v>
      </c>
      <c r="Q480" t="n">
        <v>0</v>
      </c>
      <c r="R480" s="2" t="inlineStr"/>
    </row>
    <row r="481" ht="15" customHeight="1">
      <c r="A481" t="inlineStr">
        <is>
          <t>A 34430-2023</t>
        </is>
      </c>
      <c r="B481" s="1" t="n">
        <v>45139.62216435185</v>
      </c>
      <c r="C481" s="1" t="n">
        <v>45889</v>
      </c>
      <c r="D481" t="inlineStr">
        <is>
          <t>VÄRMLANDS LÄN</t>
        </is>
      </c>
      <c r="E481" t="inlineStr">
        <is>
          <t>TORSBY</t>
        </is>
      </c>
      <c r="G481" t="n">
        <v>3.3</v>
      </c>
      <c r="H481" t="n">
        <v>0</v>
      </c>
      <c r="I481" t="n">
        <v>0</v>
      </c>
      <c r="J481" t="n">
        <v>0</v>
      </c>
      <c r="K481" t="n">
        <v>0</v>
      </c>
      <c r="L481" t="n">
        <v>0</v>
      </c>
      <c r="M481" t="n">
        <v>0</v>
      </c>
      <c r="N481" t="n">
        <v>0</v>
      </c>
      <c r="O481" t="n">
        <v>0</v>
      </c>
      <c r="P481" t="n">
        <v>0</v>
      </c>
      <c r="Q481" t="n">
        <v>0</v>
      </c>
      <c r="R481" s="2" t="inlineStr"/>
    </row>
    <row r="482" ht="15" customHeight="1">
      <c r="A482" t="inlineStr">
        <is>
          <t>A 1839-2022</t>
        </is>
      </c>
      <c r="B482" s="1" t="n">
        <v>44574</v>
      </c>
      <c r="C482" s="1" t="n">
        <v>45889</v>
      </c>
      <c r="D482" t="inlineStr">
        <is>
          <t>VÄRMLANDS LÄN</t>
        </is>
      </c>
      <c r="E482" t="inlineStr">
        <is>
          <t>TORSBY</t>
        </is>
      </c>
      <c r="G482" t="n">
        <v>5.3</v>
      </c>
      <c r="H482" t="n">
        <v>0</v>
      </c>
      <c r="I482" t="n">
        <v>0</v>
      </c>
      <c r="J482" t="n">
        <v>0</v>
      </c>
      <c r="K482" t="n">
        <v>0</v>
      </c>
      <c r="L482" t="n">
        <v>0</v>
      </c>
      <c r="M482" t="n">
        <v>0</v>
      </c>
      <c r="N482" t="n">
        <v>0</v>
      </c>
      <c r="O482" t="n">
        <v>0</v>
      </c>
      <c r="P482" t="n">
        <v>0</v>
      </c>
      <c r="Q482" t="n">
        <v>0</v>
      </c>
      <c r="R482" s="2" t="inlineStr"/>
    </row>
    <row r="483" ht="15" customHeight="1">
      <c r="A483" t="inlineStr">
        <is>
          <t>A 47602-2021</t>
        </is>
      </c>
      <c r="B483" s="1" t="n">
        <v>44448</v>
      </c>
      <c r="C483" s="1" t="n">
        <v>45889</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63251-2021</t>
        </is>
      </c>
      <c r="B484" s="1" t="n">
        <v>44508.37935185185</v>
      </c>
      <c r="C484" s="1" t="n">
        <v>45889</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36327-2021</t>
        </is>
      </c>
      <c r="B485" s="1" t="n">
        <v>44390</v>
      </c>
      <c r="C485" s="1" t="n">
        <v>45889</v>
      </c>
      <c r="D485" t="inlineStr">
        <is>
          <t>VÄRMLANDS LÄN</t>
        </is>
      </c>
      <c r="E485" t="inlineStr">
        <is>
          <t>TORSBY</t>
        </is>
      </c>
      <c r="G485" t="n">
        <v>1</v>
      </c>
      <c r="H485" t="n">
        <v>0</v>
      </c>
      <c r="I485" t="n">
        <v>0</v>
      </c>
      <c r="J485" t="n">
        <v>0</v>
      </c>
      <c r="K485" t="n">
        <v>0</v>
      </c>
      <c r="L485" t="n">
        <v>0</v>
      </c>
      <c r="M485" t="n">
        <v>0</v>
      </c>
      <c r="N485" t="n">
        <v>0</v>
      </c>
      <c r="O485" t="n">
        <v>0</v>
      </c>
      <c r="P485" t="n">
        <v>0</v>
      </c>
      <c r="Q485" t="n">
        <v>0</v>
      </c>
      <c r="R485" s="2" t="inlineStr"/>
    </row>
    <row r="486" ht="15" customHeight="1">
      <c r="A486" t="inlineStr">
        <is>
          <t>A 52483-2022</t>
        </is>
      </c>
      <c r="B486" s="1" t="n">
        <v>44874.48637731482</v>
      </c>
      <c r="C486" s="1" t="n">
        <v>45889</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49073-2022</t>
        </is>
      </c>
      <c r="B487" s="1" t="n">
        <v>44860</v>
      </c>
      <c r="C487" s="1" t="n">
        <v>45889</v>
      </c>
      <c r="D487" t="inlineStr">
        <is>
          <t>VÄRMLANDS LÄN</t>
        </is>
      </c>
      <c r="E487" t="inlineStr">
        <is>
          <t>TORSBY</t>
        </is>
      </c>
      <c r="G487" t="n">
        <v>4.7</v>
      </c>
      <c r="H487" t="n">
        <v>0</v>
      </c>
      <c r="I487" t="n">
        <v>0</v>
      </c>
      <c r="J487" t="n">
        <v>0</v>
      </c>
      <c r="K487" t="n">
        <v>0</v>
      </c>
      <c r="L487" t="n">
        <v>0</v>
      </c>
      <c r="M487" t="n">
        <v>0</v>
      </c>
      <c r="N487" t="n">
        <v>0</v>
      </c>
      <c r="O487" t="n">
        <v>0</v>
      </c>
      <c r="P487" t="n">
        <v>0</v>
      </c>
      <c r="Q487" t="n">
        <v>0</v>
      </c>
      <c r="R487" s="2" t="inlineStr"/>
    </row>
    <row r="488" ht="15" customHeight="1">
      <c r="A488" t="inlineStr">
        <is>
          <t>A 54452-2022</t>
        </is>
      </c>
      <c r="B488" s="1" t="n">
        <v>44880</v>
      </c>
      <c r="C488" s="1" t="n">
        <v>45889</v>
      </c>
      <c r="D488" t="inlineStr">
        <is>
          <t>VÄRMLANDS LÄN</t>
        </is>
      </c>
      <c r="E488" t="inlineStr">
        <is>
          <t>TORSBY</t>
        </is>
      </c>
      <c r="F488" t="inlineStr">
        <is>
          <t>Kyrkan</t>
        </is>
      </c>
      <c r="G488" t="n">
        <v>10.6</v>
      </c>
      <c r="H488" t="n">
        <v>0</v>
      </c>
      <c r="I488" t="n">
        <v>0</v>
      </c>
      <c r="J488" t="n">
        <v>0</v>
      </c>
      <c r="K488" t="n">
        <v>0</v>
      </c>
      <c r="L488" t="n">
        <v>0</v>
      </c>
      <c r="M488" t="n">
        <v>0</v>
      </c>
      <c r="N488" t="n">
        <v>0</v>
      </c>
      <c r="O488" t="n">
        <v>0</v>
      </c>
      <c r="P488" t="n">
        <v>0</v>
      </c>
      <c r="Q488" t="n">
        <v>0</v>
      </c>
      <c r="R488" s="2" t="inlineStr"/>
    </row>
    <row r="489" ht="15" customHeight="1">
      <c r="A489" t="inlineStr">
        <is>
          <t>A 54556-2023</t>
        </is>
      </c>
      <c r="B489" s="1" t="n">
        <v>45233.63445601852</v>
      </c>
      <c r="C489" s="1" t="n">
        <v>45889</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34405-2023</t>
        </is>
      </c>
      <c r="B490" s="1" t="n">
        <v>45139.55131944444</v>
      </c>
      <c r="C490" s="1" t="n">
        <v>45889</v>
      </c>
      <c r="D490" t="inlineStr">
        <is>
          <t>VÄRMLANDS LÄN</t>
        </is>
      </c>
      <c r="E490" t="inlineStr">
        <is>
          <t>TORSBY</t>
        </is>
      </c>
      <c r="G490" t="n">
        <v>4.6</v>
      </c>
      <c r="H490" t="n">
        <v>0</v>
      </c>
      <c r="I490" t="n">
        <v>0</v>
      </c>
      <c r="J490" t="n">
        <v>0</v>
      </c>
      <c r="K490" t="n">
        <v>0</v>
      </c>
      <c r="L490" t="n">
        <v>0</v>
      </c>
      <c r="M490" t="n">
        <v>0</v>
      </c>
      <c r="N490" t="n">
        <v>0</v>
      </c>
      <c r="O490" t="n">
        <v>0</v>
      </c>
      <c r="P490" t="n">
        <v>0</v>
      </c>
      <c r="Q490" t="n">
        <v>0</v>
      </c>
      <c r="R490" s="2" t="inlineStr"/>
    </row>
    <row r="491" ht="15" customHeight="1">
      <c r="A491" t="inlineStr">
        <is>
          <t>A 44340-2022</t>
        </is>
      </c>
      <c r="B491" s="1" t="n">
        <v>44838</v>
      </c>
      <c r="C491" s="1" t="n">
        <v>45889</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41065-2022</t>
        </is>
      </c>
      <c r="B492" s="1" t="n">
        <v>44825.59258101852</v>
      </c>
      <c r="C492" s="1" t="n">
        <v>45889</v>
      </c>
      <c r="D492" t="inlineStr">
        <is>
          <t>VÄRMLANDS LÄN</t>
        </is>
      </c>
      <c r="E492" t="inlineStr">
        <is>
          <t>TORSBY</t>
        </is>
      </c>
      <c r="F492" t="inlineStr">
        <is>
          <t>Kommuner</t>
        </is>
      </c>
      <c r="G492" t="n">
        <v>1.8</v>
      </c>
      <c r="H492" t="n">
        <v>0</v>
      </c>
      <c r="I492" t="n">
        <v>0</v>
      </c>
      <c r="J492" t="n">
        <v>0</v>
      </c>
      <c r="K492" t="n">
        <v>0</v>
      </c>
      <c r="L492" t="n">
        <v>0</v>
      </c>
      <c r="M492" t="n">
        <v>0</v>
      </c>
      <c r="N492" t="n">
        <v>0</v>
      </c>
      <c r="O492" t="n">
        <v>0</v>
      </c>
      <c r="P492" t="n">
        <v>0</v>
      </c>
      <c r="Q492" t="n">
        <v>0</v>
      </c>
      <c r="R492" s="2" t="inlineStr"/>
    </row>
    <row r="493" ht="15" customHeight="1">
      <c r="A493" t="inlineStr">
        <is>
          <t>A 6711-2023</t>
        </is>
      </c>
      <c r="B493" s="1" t="n">
        <v>44960</v>
      </c>
      <c r="C493" s="1" t="n">
        <v>45889</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6715-2023</t>
        </is>
      </c>
      <c r="B494" s="1" t="n">
        <v>44960</v>
      </c>
      <c r="C494" s="1" t="n">
        <v>45889</v>
      </c>
      <c r="D494" t="inlineStr">
        <is>
          <t>VÄRMLANDS LÄN</t>
        </is>
      </c>
      <c r="E494" t="inlineStr">
        <is>
          <t>TORSBY</t>
        </is>
      </c>
      <c r="G494" t="n">
        <v>4.8</v>
      </c>
      <c r="H494" t="n">
        <v>0</v>
      </c>
      <c r="I494" t="n">
        <v>0</v>
      </c>
      <c r="J494" t="n">
        <v>0</v>
      </c>
      <c r="K494" t="n">
        <v>0</v>
      </c>
      <c r="L494" t="n">
        <v>0</v>
      </c>
      <c r="M494" t="n">
        <v>0</v>
      </c>
      <c r="N494" t="n">
        <v>0</v>
      </c>
      <c r="O494" t="n">
        <v>0</v>
      </c>
      <c r="P494" t="n">
        <v>0</v>
      </c>
      <c r="Q494" t="n">
        <v>0</v>
      </c>
      <c r="R494" s="2" t="inlineStr"/>
    </row>
    <row r="495" ht="15" customHeight="1">
      <c r="A495" t="inlineStr">
        <is>
          <t>A 41270-2023</t>
        </is>
      </c>
      <c r="B495" s="1" t="n">
        <v>45174.54952546296</v>
      </c>
      <c r="C495" s="1" t="n">
        <v>45889</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30104-2023</t>
        </is>
      </c>
      <c r="B496" s="1" t="n">
        <v>45110</v>
      </c>
      <c r="C496" s="1" t="n">
        <v>45889</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24696-2023</t>
        </is>
      </c>
      <c r="B497" s="1" t="n">
        <v>45084</v>
      </c>
      <c r="C497" s="1" t="n">
        <v>45889</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61565-2024</t>
        </is>
      </c>
      <c r="B498" s="1" t="n">
        <v>45646</v>
      </c>
      <c r="C498" s="1" t="n">
        <v>45889</v>
      </c>
      <c r="D498" t="inlineStr">
        <is>
          <t>VÄRMLANDS LÄN</t>
        </is>
      </c>
      <c r="E498" t="inlineStr">
        <is>
          <t>TORSBY</t>
        </is>
      </c>
      <c r="F498" t="inlineStr">
        <is>
          <t>Bergvik skog väst AB</t>
        </is>
      </c>
      <c r="G498" t="n">
        <v>14.1</v>
      </c>
      <c r="H498" t="n">
        <v>0</v>
      </c>
      <c r="I498" t="n">
        <v>0</v>
      </c>
      <c r="J498" t="n">
        <v>0</v>
      </c>
      <c r="K498" t="n">
        <v>0</v>
      </c>
      <c r="L498" t="n">
        <v>0</v>
      </c>
      <c r="M498" t="n">
        <v>0</v>
      </c>
      <c r="N498" t="n">
        <v>0</v>
      </c>
      <c r="O498" t="n">
        <v>0</v>
      </c>
      <c r="P498" t="n">
        <v>0</v>
      </c>
      <c r="Q498" t="n">
        <v>0</v>
      </c>
      <c r="R498" s="2" t="inlineStr"/>
    </row>
    <row r="499" ht="15" customHeight="1">
      <c r="A499" t="inlineStr">
        <is>
          <t>A 53460-2024</t>
        </is>
      </c>
      <c r="B499" s="1" t="n">
        <v>45611</v>
      </c>
      <c r="C499" s="1" t="n">
        <v>45889</v>
      </c>
      <c r="D499" t="inlineStr">
        <is>
          <t>VÄRMLANDS LÄN</t>
        </is>
      </c>
      <c r="E499" t="inlineStr">
        <is>
          <t>TORSBY</t>
        </is>
      </c>
      <c r="G499" t="n">
        <v>12.7</v>
      </c>
      <c r="H499" t="n">
        <v>0</v>
      </c>
      <c r="I499" t="n">
        <v>0</v>
      </c>
      <c r="J499" t="n">
        <v>0</v>
      </c>
      <c r="K499" t="n">
        <v>0</v>
      </c>
      <c r="L499" t="n">
        <v>0</v>
      </c>
      <c r="M499" t="n">
        <v>0</v>
      </c>
      <c r="N499" t="n">
        <v>0</v>
      </c>
      <c r="O499" t="n">
        <v>0</v>
      </c>
      <c r="P499" t="n">
        <v>0</v>
      </c>
      <c r="Q499" t="n">
        <v>0</v>
      </c>
      <c r="R499" s="2" t="inlineStr"/>
    </row>
    <row r="500" ht="15" customHeight="1">
      <c r="A500" t="inlineStr">
        <is>
          <t>A 52239-2024</t>
        </is>
      </c>
      <c r="B500" s="1" t="n">
        <v>45608.61837962963</v>
      </c>
      <c r="C500" s="1" t="n">
        <v>45889</v>
      </c>
      <c r="D500" t="inlineStr">
        <is>
          <t>VÄRMLANDS LÄN</t>
        </is>
      </c>
      <c r="E500" t="inlineStr">
        <is>
          <t>TORSBY</t>
        </is>
      </c>
      <c r="F500" t="inlineStr">
        <is>
          <t>Bergvik skog väst AB</t>
        </is>
      </c>
      <c r="G500" t="n">
        <v>3.4</v>
      </c>
      <c r="H500" t="n">
        <v>0</v>
      </c>
      <c r="I500" t="n">
        <v>0</v>
      </c>
      <c r="J500" t="n">
        <v>0</v>
      </c>
      <c r="K500" t="n">
        <v>0</v>
      </c>
      <c r="L500" t="n">
        <v>0</v>
      </c>
      <c r="M500" t="n">
        <v>0</v>
      </c>
      <c r="N500" t="n">
        <v>0</v>
      </c>
      <c r="O500" t="n">
        <v>0</v>
      </c>
      <c r="P500" t="n">
        <v>0</v>
      </c>
      <c r="Q500" t="n">
        <v>0</v>
      </c>
      <c r="R500" s="2" t="inlineStr"/>
    </row>
    <row r="501" ht="15" customHeight="1">
      <c r="A501" t="inlineStr">
        <is>
          <t>A 51490-2022</t>
        </is>
      </c>
      <c r="B501" s="1" t="n">
        <v>44869.59972222222</v>
      </c>
      <c r="C501" s="1" t="n">
        <v>45889</v>
      </c>
      <c r="D501" t="inlineStr">
        <is>
          <t>VÄRMLANDS LÄN</t>
        </is>
      </c>
      <c r="E501" t="inlineStr">
        <is>
          <t>TORSBY</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62250-2023</t>
        </is>
      </c>
      <c r="B502" s="1" t="n">
        <v>45266</v>
      </c>
      <c r="C502" s="1" t="n">
        <v>45889</v>
      </c>
      <c r="D502" t="inlineStr">
        <is>
          <t>VÄRMLANDS LÄN</t>
        </is>
      </c>
      <c r="E502" t="inlineStr">
        <is>
          <t>TORSBY</t>
        </is>
      </c>
      <c r="G502" t="n">
        <v>4.7</v>
      </c>
      <c r="H502" t="n">
        <v>0</v>
      </c>
      <c r="I502" t="n">
        <v>0</v>
      </c>
      <c r="J502" t="n">
        <v>0</v>
      </c>
      <c r="K502" t="n">
        <v>0</v>
      </c>
      <c r="L502" t="n">
        <v>0</v>
      </c>
      <c r="M502" t="n">
        <v>0</v>
      </c>
      <c r="N502" t="n">
        <v>0</v>
      </c>
      <c r="O502" t="n">
        <v>0</v>
      </c>
      <c r="P502" t="n">
        <v>0</v>
      </c>
      <c r="Q502" t="n">
        <v>0</v>
      </c>
      <c r="R502" s="2" t="inlineStr"/>
    </row>
    <row r="503" ht="15" customHeight="1">
      <c r="A503" t="inlineStr">
        <is>
          <t>A 32340-2024</t>
        </is>
      </c>
      <c r="B503" s="1" t="n">
        <v>45512.50826388889</v>
      </c>
      <c r="C503" s="1" t="n">
        <v>45889</v>
      </c>
      <c r="D503" t="inlineStr">
        <is>
          <t>VÄRMLANDS LÄN</t>
        </is>
      </c>
      <c r="E503" t="inlineStr">
        <is>
          <t>TORSBY</t>
        </is>
      </c>
      <c r="G503" t="n">
        <v>9.9</v>
      </c>
      <c r="H503" t="n">
        <v>0</v>
      </c>
      <c r="I503" t="n">
        <v>0</v>
      </c>
      <c r="J503" t="n">
        <v>0</v>
      </c>
      <c r="K503" t="n">
        <v>0</v>
      </c>
      <c r="L503" t="n">
        <v>0</v>
      </c>
      <c r="M503" t="n">
        <v>0</v>
      </c>
      <c r="N503" t="n">
        <v>0</v>
      </c>
      <c r="O503" t="n">
        <v>0</v>
      </c>
      <c r="P503" t="n">
        <v>0</v>
      </c>
      <c r="Q503" t="n">
        <v>0</v>
      </c>
      <c r="R503" s="2" t="inlineStr"/>
    </row>
    <row r="504" ht="15" customHeight="1">
      <c r="A504" t="inlineStr">
        <is>
          <t>A 56473-2022</t>
        </is>
      </c>
      <c r="B504" s="1" t="n">
        <v>44893</v>
      </c>
      <c r="C504" s="1" t="n">
        <v>45889</v>
      </c>
      <c r="D504" t="inlineStr">
        <is>
          <t>VÄRMLANDS LÄN</t>
        </is>
      </c>
      <c r="E504" t="inlineStr">
        <is>
          <t>TORSBY</t>
        </is>
      </c>
      <c r="G504" t="n">
        <v>5.4</v>
      </c>
      <c r="H504" t="n">
        <v>0</v>
      </c>
      <c r="I504" t="n">
        <v>0</v>
      </c>
      <c r="J504" t="n">
        <v>0</v>
      </c>
      <c r="K504" t="n">
        <v>0</v>
      </c>
      <c r="L504" t="n">
        <v>0</v>
      </c>
      <c r="M504" t="n">
        <v>0</v>
      </c>
      <c r="N504" t="n">
        <v>0</v>
      </c>
      <c r="O504" t="n">
        <v>0</v>
      </c>
      <c r="P504" t="n">
        <v>0</v>
      </c>
      <c r="Q504" t="n">
        <v>0</v>
      </c>
      <c r="R504" s="2" t="inlineStr"/>
    </row>
    <row r="505" ht="15" customHeight="1">
      <c r="A505" t="inlineStr">
        <is>
          <t>A 45328-2022</t>
        </is>
      </c>
      <c r="B505" s="1" t="n">
        <v>44844</v>
      </c>
      <c r="C505" s="1" t="n">
        <v>45889</v>
      </c>
      <c r="D505" t="inlineStr">
        <is>
          <t>VÄRMLANDS LÄN</t>
        </is>
      </c>
      <c r="E505" t="inlineStr">
        <is>
          <t>TORSBY</t>
        </is>
      </c>
      <c r="G505" t="n">
        <v>2.4</v>
      </c>
      <c r="H505" t="n">
        <v>0</v>
      </c>
      <c r="I505" t="n">
        <v>0</v>
      </c>
      <c r="J505" t="n">
        <v>0</v>
      </c>
      <c r="K505" t="n">
        <v>0</v>
      </c>
      <c r="L505" t="n">
        <v>0</v>
      </c>
      <c r="M505" t="n">
        <v>0</v>
      </c>
      <c r="N505" t="n">
        <v>0</v>
      </c>
      <c r="O505" t="n">
        <v>0</v>
      </c>
      <c r="P505" t="n">
        <v>0</v>
      </c>
      <c r="Q505" t="n">
        <v>0</v>
      </c>
      <c r="R505" s="2" t="inlineStr"/>
    </row>
    <row r="506" ht="15" customHeight="1">
      <c r="A506" t="inlineStr">
        <is>
          <t>A 70658-2021</t>
        </is>
      </c>
      <c r="B506" s="1" t="n">
        <v>44537.52368055555</v>
      </c>
      <c r="C506" s="1" t="n">
        <v>45889</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37401-2022</t>
        </is>
      </c>
      <c r="B507" s="1" t="n">
        <v>44809</v>
      </c>
      <c r="C507" s="1" t="n">
        <v>45889</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20298-2023</t>
        </is>
      </c>
      <c r="B508" s="1" t="n">
        <v>45056</v>
      </c>
      <c r="C508" s="1" t="n">
        <v>45889</v>
      </c>
      <c r="D508" t="inlineStr">
        <is>
          <t>VÄRMLANDS LÄN</t>
        </is>
      </c>
      <c r="E508" t="inlineStr">
        <is>
          <t>TORSBY</t>
        </is>
      </c>
      <c r="F508" t="inlineStr">
        <is>
          <t>Kyrkan</t>
        </is>
      </c>
      <c r="G508" t="n">
        <v>2</v>
      </c>
      <c r="H508" t="n">
        <v>0</v>
      </c>
      <c r="I508" t="n">
        <v>0</v>
      </c>
      <c r="J508" t="n">
        <v>0</v>
      </c>
      <c r="K508" t="n">
        <v>0</v>
      </c>
      <c r="L508" t="n">
        <v>0</v>
      </c>
      <c r="M508" t="n">
        <v>0</v>
      </c>
      <c r="N508" t="n">
        <v>0</v>
      </c>
      <c r="O508" t="n">
        <v>0</v>
      </c>
      <c r="P508" t="n">
        <v>0</v>
      </c>
      <c r="Q508" t="n">
        <v>0</v>
      </c>
      <c r="R508" s="2" t="inlineStr"/>
    </row>
    <row r="509" ht="15" customHeight="1">
      <c r="A509" t="inlineStr">
        <is>
          <t>A 27273-2024</t>
        </is>
      </c>
      <c r="B509" s="1" t="n">
        <v>45471.84013888889</v>
      </c>
      <c r="C509" s="1" t="n">
        <v>45889</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27275-2024</t>
        </is>
      </c>
      <c r="B510" s="1" t="n">
        <v>45471.85645833334</v>
      </c>
      <c r="C510" s="1" t="n">
        <v>45889</v>
      </c>
      <c r="D510" t="inlineStr">
        <is>
          <t>VÄRMLANDS LÄN</t>
        </is>
      </c>
      <c r="E510" t="inlineStr">
        <is>
          <t>TORSBY</t>
        </is>
      </c>
      <c r="G510" t="n">
        <v>0.6</v>
      </c>
      <c r="H510" t="n">
        <v>0</v>
      </c>
      <c r="I510" t="n">
        <v>0</v>
      </c>
      <c r="J510" t="n">
        <v>0</v>
      </c>
      <c r="K510" t="n">
        <v>0</v>
      </c>
      <c r="L510" t="n">
        <v>0</v>
      </c>
      <c r="M510" t="n">
        <v>0</v>
      </c>
      <c r="N510" t="n">
        <v>0</v>
      </c>
      <c r="O510" t="n">
        <v>0</v>
      </c>
      <c r="P510" t="n">
        <v>0</v>
      </c>
      <c r="Q510" t="n">
        <v>0</v>
      </c>
      <c r="R510" s="2" t="inlineStr"/>
    </row>
    <row r="511" ht="15" customHeight="1">
      <c r="A511" t="inlineStr">
        <is>
          <t>A 22030-2023</t>
        </is>
      </c>
      <c r="B511" s="1" t="n">
        <v>45069</v>
      </c>
      <c r="C511" s="1" t="n">
        <v>45889</v>
      </c>
      <c r="D511" t="inlineStr">
        <is>
          <t>VÄRMLANDS LÄN</t>
        </is>
      </c>
      <c r="E511" t="inlineStr">
        <is>
          <t>TORSBY</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37929-2022</t>
        </is>
      </c>
      <c r="B512" s="1" t="n">
        <v>44811.45628472222</v>
      </c>
      <c r="C512" s="1" t="n">
        <v>45889</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25355-2024</t>
        </is>
      </c>
      <c r="B513" s="1" t="n">
        <v>45462.92868055555</v>
      </c>
      <c r="C513" s="1" t="n">
        <v>45889</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6653-2025</t>
        </is>
      </c>
      <c r="B514" s="1" t="n">
        <v>45700.42601851852</v>
      </c>
      <c r="C514" s="1" t="n">
        <v>45889</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54204-2023</t>
        </is>
      </c>
      <c r="B515" s="1" t="n">
        <v>45232.56141203704</v>
      </c>
      <c r="C515" s="1" t="n">
        <v>45889</v>
      </c>
      <c r="D515" t="inlineStr">
        <is>
          <t>VÄRMLANDS LÄN</t>
        </is>
      </c>
      <c r="E515" t="inlineStr">
        <is>
          <t>TORSBY</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34534-2024</t>
        </is>
      </c>
      <c r="B516" s="1" t="n">
        <v>45525</v>
      </c>
      <c r="C516" s="1" t="n">
        <v>45889</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30074-2024</t>
        </is>
      </c>
      <c r="B517" s="1" t="n">
        <v>45489</v>
      </c>
      <c r="C517" s="1" t="n">
        <v>45889</v>
      </c>
      <c r="D517" t="inlineStr">
        <is>
          <t>VÄRMLANDS LÄN</t>
        </is>
      </c>
      <c r="E517" t="inlineStr">
        <is>
          <t>TORSBY</t>
        </is>
      </c>
      <c r="F517" t="inlineStr">
        <is>
          <t>Kyrkan</t>
        </is>
      </c>
      <c r="G517" t="n">
        <v>6.5</v>
      </c>
      <c r="H517" t="n">
        <v>0</v>
      </c>
      <c r="I517" t="n">
        <v>0</v>
      </c>
      <c r="J517" t="n">
        <v>0</v>
      </c>
      <c r="K517" t="n">
        <v>0</v>
      </c>
      <c r="L517" t="n">
        <v>0</v>
      </c>
      <c r="M517" t="n">
        <v>0</v>
      </c>
      <c r="N517" t="n">
        <v>0</v>
      </c>
      <c r="O517" t="n">
        <v>0</v>
      </c>
      <c r="P517" t="n">
        <v>0</v>
      </c>
      <c r="Q517" t="n">
        <v>0</v>
      </c>
      <c r="R517" s="2" t="inlineStr"/>
    </row>
    <row r="518" ht="15" customHeight="1">
      <c r="A518" t="inlineStr">
        <is>
          <t>A 7178-2025</t>
        </is>
      </c>
      <c r="B518" s="1" t="n">
        <v>45702.42493055556</v>
      </c>
      <c r="C518" s="1" t="n">
        <v>45889</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25579-2023</t>
        </is>
      </c>
      <c r="B519" s="1" t="n">
        <v>45089.62266203704</v>
      </c>
      <c r="C519" s="1" t="n">
        <v>45889</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55100-2023</t>
        </is>
      </c>
      <c r="B520" s="1" t="n">
        <v>45237.45715277778</v>
      </c>
      <c r="C520" s="1" t="n">
        <v>45889</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23823-2021</t>
        </is>
      </c>
      <c r="B521" s="1" t="n">
        <v>44335</v>
      </c>
      <c r="C521" s="1" t="n">
        <v>45889</v>
      </c>
      <c r="D521" t="inlineStr">
        <is>
          <t>VÄRMLANDS LÄN</t>
        </is>
      </c>
      <c r="E521" t="inlineStr">
        <is>
          <t>TORSBY</t>
        </is>
      </c>
      <c r="G521" t="n">
        <v>3.1</v>
      </c>
      <c r="H521" t="n">
        <v>0</v>
      </c>
      <c r="I521" t="n">
        <v>0</v>
      </c>
      <c r="J521" t="n">
        <v>0</v>
      </c>
      <c r="K521" t="n">
        <v>0</v>
      </c>
      <c r="L521" t="n">
        <v>0</v>
      </c>
      <c r="M521" t="n">
        <v>0</v>
      </c>
      <c r="N521" t="n">
        <v>0</v>
      </c>
      <c r="O521" t="n">
        <v>0</v>
      </c>
      <c r="P521" t="n">
        <v>0</v>
      </c>
      <c r="Q521" t="n">
        <v>0</v>
      </c>
      <c r="R521" s="2" t="inlineStr"/>
    </row>
    <row r="522" ht="15" customHeight="1">
      <c r="A522" t="inlineStr">
        <is>
          <t>A 39770-2024</t>
        </is>
      </c>
      <c r="B522" s="1" t="n">
        <v>45552</v>
      </c>
      <c r="C522" s="1" t="n">
        <v>45889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21258-2023</t>
        </is>
      </c>
      <c r="B523" s="1" t="n">
        <v>45058</v>
      </c>
      <c r="C523" s="1" t="n">
        <v>45889</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46195-2023</t>
        </is>
      </c>
      <c r="B524" s="1" t="n">
        <v>45196</v>
      </c>
      <c r="C524" s="1" t="n">
        <v>45889</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9729-2025</t>
        </is>
      </c>
      <c r="B525" s="1" t="n">
        <v>45715</v>
      </c>
      <c r="C525" s="1" t="n">
        <v>45889</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20528-2023</t>
        </is>
      </c>
      <c r="B526" s="1" t="n">
        <v>45057</v>
      </c>
      <c r="C526" s="1" t="n">
        <v>45889</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43060-2021</t>
        </is>
      </c>
      <c r="B527" s="1" t="n">
        <v>44431</v>
      </c>
      <c r="C527" s="1" t="n">
        <v>45889</v>
      </c>
      <c r="D527" t="inlineStr">
        <is>
          <t>VÄRMLANDS LÄN</t>
        </is>
      </c>
      <c r="E527" t="inlineStr">
        <is>
          <t>TORSBY</t>
        </is>
      </c>
      <c r="G527" t="n">
        <v>3.2</v>
      </c>
      <c r="H527" t="n">
        <v>0</v>
      </c>
      <c r="I527" t="n">
        <v>0</v>
      </c>
      <c r="J527" t="n">
        <v>0</v>
      </c>
      <c r="K527" t="n">
        <v>0</v>
      </c>
      <c r="L527" t="n">
        <v>0</v>
      </c>
      <c r="M527" t="n">
        <v>0</v>
      </c>
      <c r="N527" t="n">
        <v>0</v>
      </c>
      <c r="O527" t="n">
        <v>0</v>
      </c>
      <c r="P527" t="n">
        <v>0</v>
      </c>
      <c r="Q527" t="n">
        <v>0</v>
      </c>
      <c r="R527" s="2" t="inlineStr"/>
    </row>
    <row r="528" ht="15" customHeight="1">
      <c r="A528" t="inlineStr">
        <is>
          <t>A 22687-2023</t>
        </is>
      </c>
      <c r="B528" s="1" t="n">
        <v>45071</v>
      </c>
      <c r="C528" s="1" t="n">
        <v>45889</v>
      </c>
      <c r="D528" t="inlineStr">
        <is>
          <t>VÄRMLANDS LÄN</t>
        </is>
      </c>
      <c r="E528" t="inlineStr">
        <is>
          <t>TORSBY</t>
        </is>
      </c>
      <c r="F528" t="inlineStr">
        <is>
          <t>Bergvik skog väst AB</t>
        </is>
      </c>
      <c r="G528" t="n">
        <v>5.8</v>
      </c>
      <c r="H528" t="n">
        <v>0</v>
      </c>
      <c r="I528" t="n">
        <v>0</v>
      </c>
      <c r="J528" t="n">
        <v>0</v>
      </c>
      <c r="K528" t="n">
        <v>0</v>
      </c>
      <c r="L528" t="n">
        <v>0</v>
      </c>
      <c r="M528" t="n">
        <v>0</v>
      </c>
      <c r="N528" t="n">
        <v>0</v>
      </c>
      <c r="O528" t="n">
        <v>0</v>
      </c>
      <c r="P528" t="n">
        <v>0</v>
      </c>
      <c r="Q528" t="n">
        <v>0</v>
      </c>
      <c r="R528" s="2" t="inlineStr"/>
    </row>
    <row r="529" ht="15" customHeight="1">
      <c r="A529" t="inlineStr">
        <is>
          <t>A 23572-2023</t>
        </is>
      </c>
      <c r="B529" s="1" t="n">
        <v>45077</v>
      </c>
      <c r="C529" s="1" t="n">
        <v>45889</v>
      </c>
      <c r="D529" t="inlineStr">
        <is>
          <t>VÄRMLANDS LÄN</t>
        </is>
      </c>
      <c r="E529" t="inlineStr">
        <is>
          <t>TORSBY</t>
        </is>
      </c>
      <c r="G529" t="n">
        <v>4.4</v>
      </c>
      <c r="H529" t="n">
        <v>0</v>
      </c>
      <c r="I529" t="n">
        <v>0</v>
      </c>
      <c r="J529" t="n">
        <v>0</v>
      </c>
      <c r="K529" t="n">
        <v>0</v>
      </c>
      <c r="L529" t="n">
        <v>0</v>
      </c>
      <c r="M529" t="n">
        <v>0</v>
      </c>
      <c r="N529" t="n">
        <v>0</v>
      </c>
      <c r="O529" t="n">
        <v>0</v>
      </c>
      <c r="P529" t="n">
        <v>0</v>
      </c>
      <c r="Q529" t="n">
        <v>0</v>
      </c>
      <c r="R529" s="2" t="inlineStr"/>
    </row>
    <row r="530" ht="15" customHeight="1">
      <c r="A530" t="inlineStr">
        <is>
          <t>A 19743-2025</t>
        </is>
      </c>
      <c r="B530" s="1" t="n">
        <v>45771.37554398148</v>
      </c>
      <c r="C530" s="1" t="n">
        <v>45889</v>
      </c>
      <c r="D530" t="inlineStr">
        <is>
          <t>VÄRMLANDS LÄN</t>
        </is>
      </c>
      <c r="E530" t="inlineStr">
        <is>
          <t>TORSBY</t>
        </is>
      </c>
      <c r="G530" t="n">
        <v>2</v>
      </c>
      <c r="H530" t="n">
        <v>0</v>
      </c>
      <c r="I530" t="n">
        <v>0</v>
      </c>
      <c r="J530" t="n">
        <v>0</v>
      </c>
      <c r="K530" t="n">
        <v>0</v>
      </c>
      <c r="L530" t="n">
        <v>0</v>
      </c>
      <c r="M530" t="n">
        <v>0</v>
      </c>
      <c r="N530" t="n">
        <v>0</v>
      </c>
      <c r="O530" t="n">
        <v>0</v>
      </c>
      <c r="P530" t="n">
        <v>0</v>
      </c>
      <c r="Q530" t="n">
        <v>0</v>
      </c>
      <c r="R530" s="2" t="inlineStr"/>
    </row>
    <row r="531" ht="15" customHeight="1">
      <c r="A531" t="inlineStr">
        <is>
          <t>A 38086-2023</t>
        </is>
      </c>
      <c r="B531" s="1" t="n">
        <v>45160</v>
      </c>
      <c r="C531" s="1" t="n">
        <v>45889</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48629-2024</t>
        </is>
      </c>
      <c r="B532" s="1" t="n">
        <v>45593.46605324074</v>
      </c>
      <c r="C532" s="1" t="n">
        <v>45889</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20721-2023</t>
        </is>
      </c>
      <c r="B533" s="1" t="n">
        <v>45058</v>
      </c>
      <c r="C533" s="1" t="n">
        <v>45889</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22635-2022</t>
        </is>
      </c>
      <c r="B534" s="1" t="n">
        <v>44714</v>
      </c>
      <c r="C534" s="1" t="n">
        <v>45889</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20149-2025</t>
        </is>
      </c>
      <c r="B535" s="1" t="n">
        <v>45772</v>
      </c>
      <c r="C535" s="1" t="n">
        <v>45889</v>
      </c>
      <c r="D535" t="inlineStr">
        <is>
          <t>VÄRMLANDS LÄN</t>
        </is>
      </c>
      <c r="E535" t="inlineStr">
        <is>
          <t>TORSBY</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11187-2024</t>
        </is>
      </c>
      <c r="B536" s="1" t="n">
        <v>45371</v>
      </c>
      <c r="C536" s="1" t="n">
        <v>45889</v>
      </c>
      <c r="D536" t="inlineStr">
        <is>
          <t>VÄRMLANDS LÄN</t>
        </is>
      </c>
      <c r="E536" t="inlineStr">
        <is>
          <t>TORSBY</t>
        </is>
      </c>
      <c r="G536" t="n">
        <v>8</v>
      </c>
      <c r="H536" t="n">
        <v>0</v>
      </c>
      <c r="I536" t="n">
        <v>0</v>
      </c>
      <c r="J536" t="n">
        <v>0</v>
      </c>
      <c r="K536" t="n">
        <v>0</v>
      </c>
      <c r="L536" t="n">
        <v>0</v>
      </c>
      <c r="M536" t="n">
        <v>0</v>
      </c>
      <c r="N536" t="n">
        <v>0</v>
      </c>
      <c r="O536" t="n">
        <v>0</v>
      </c>
      <c r="P536" t="n">
        <v>0</v>
      </c>
      <c r="Q536" t="n">
        <v>0</v>
      </c>
      <c r="R536" s="2" t="inlineStr"/>
    </row>
    <row r="537" ht="15" customHeight="1">
      <c r="A537" t="inlineStr">
        <is>
          <t>A 48106-2023</t>
        </is>
      </c>
      <c r="B537" s="1" t="n">
        <v>45205.3434837963</v>
      </c>
      <c r="C537" s="1" t="n">
        <v>45889</v>
      </c>
      <c r="D537" t="inlineStr">
        <is>
          <t>VÄRMLANDS LÄN</t>
        </is>
      </c>
      <c r="E537" t="inlineStr">
        <is>
          <t>TORSBY</t>
        </is>
      </c>
      <c r="G537" t="n">
        <v>3.9</v>
      </c>
      <c r="H537" t="n">
        <v>0</v>
      </c>
      <c r="I537" t="n">
        <v>0</v>
      </c>
      <c r="J537" t="n">
        <v>0</v>
      </c>
      <c r="K537" t="n">
        <v>0</v>
      </c>
      <c r="L537" t="n">
        <v>0</v>
      </c>
      <c r="M537" t="n">
        <v>0</v>
      </c>
      <c r="N537" t="n">
        <v>0</v>
      </c>
      <c r="O537" t="n">
        <v>0</v>
      </c>
      <c r="P537" t="n">
        <v>0</v>
      </c>
      <c r="Q537" t="n">
        <v>0</v>
      </c>
      <c r="R537" s="2" t="inlineStr"/>
    </row>
    <row r="538" ht="15" customHeight="1">
      <c r="A538" t="inlineStr">
        <is>
          <t>A 41130-2022</t>
        </is>
      </c>
      <c r="B538" s="1" t="n">
        <v>44825</v>
      </c>
      <c r="C538" s="1" t="n">
        <v>45889</v>
      </c>
      <c r="D538" t="inlineStr">
        <is>
          <t>VÄRMLANDS LÄN</t>
        </is>
      </c>
      <c r="E538" t="inlineStr">
        <is>
          <t>TORSBY</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43256-2024</t>
        </is>
      </c>
      <c r="B539" s="1" t="n">
        <v>45568</v>
      </c>
      <c r="C539" s="1" t="n">
        <v>45889</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54162-2023</t>
        </is>
      </c>
      <c r="B540" s="1" t="n">
        <v>45232.47539351852</v>
      </c>
      <c r="C540" s="1" t="n">
        <v>45889</v>
      </c>
      <c r="D540" t="inlineStr">
        <is>
          <t>VÄRMLANDS LÄN</t>
        </is>
      </c>
      <c r="E540" t="inlineStr">
        <is>
          <t>TORSBY</t>
        </is>
      </c>
      <c r="F540" t="inlineStr">
        <is>
          <t>Bergvik skog väst AB</t>
        </is>
      </c>
      <c r="G540" t="n">
        <v>8.4</v>
      </c>
      <c r="H540" t="n">
        <v>0</v>
      </c>
      <c r="I540" t="n">
        <v>0</v>
      </c>
      <c r="J540" t="n">
        <v>0</v>
      </c>
      <c r="K540" t="n">
        <v>0</v>
      </c>
      <c r="L540" t="n">
        <v>0</v>
      </c>
      <c r="M540" t="n">
        <v>0</v>
      </c>
      <c r="N540" t="n">
        <v>0</v>
      </c>
      <c r="O540" t="n">
        <v>0</v>
      </c>
      <c r="P540" t="n">
        <v>0</v>
      </c>
      <c r="Q540" t="n">
        <v>0</v>
      </c>
      <c r="R540" s="2" t="inlineStr"/>
    </row>
    <row r="541" ht="15" customHeight="1">
      <c r="A541" t="inlineStr">
        <is>
          <t>A 54191-2023</t>
        </is>
      </c>
      <c r="B541" s="1" t="n">
        <v>45232</v>
      </c>
      <c r="C541" s="1" t="n">
        <v>45889</v>
      </c>
      <c r="D541" t="inlineStr">
        <is>
          <t>VÄRMLANDS LÄN</t>
        </is>
      </c>
      <c r="E541" t="inlineStr">
        <is>
          <t>TORSBY</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16789-2024</t>
        </is>
      </c>
      <c r="B542" s="1" t="n">
        <v>45411</v>
      </c>
      <c r="C542" s="1" t="n">
        <v>45889</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20745-2023</t>
        </is>
      </c>
      <c r="B543" s="1" t="n">
        <v>45058</v>
      </c>
      <c r="C543" s="1" t="n">
        <v>45889</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53771-2020</t>
        </is>
      </c>
      <c r="B544" s="1" t="n">
        <v>44124</v>
      </c>
      <c r="C544" s="1" t="n">
        <v>45889</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21988-2023</t>
        </is>
      </c>
      <c r="B545" s="1" t="n">
        <v>45068</v>
      </c>
      <c r="C545" s="1" t="n">
        <v>45889</v>
      </c>
      <c r="D545" t="inlineStr">
        <is>
          <t>VÄRMLANDS LÄN</t>
        </is>
      </c>
      <c r="E545" t="inlineStr">
        <is>
          <t>TORSBY</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36850-2024</t>
        </is>
      </c>
      <c r="B546" s="1" t="n">
        <v>45538</v>
      </c>
      <c r="C546" s="1" t="n">
        <v>45889</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49814-2022</t>
        </is>
      </c>
      <c r="B547" s="1" t="n">
        <v>44859</v>
      </c>
      <c r="C547" s="1" t="n">
        <v>45889</v>
      </c>
      <c r="D547" t="inlineStr">
        <is>
          <t>VÄRMLANDS LÄN</t>
        </is>
      </c>
      <c r="E547" t="inlineStr">
        <is>
          <t>TORSBY</t>
        </is>
      </c>
      <c r="F547" t="inlineStr">
        <is>
          <t>Kyrkan</t>
        </is>
      </c>
      <c r="G547" t="n">
        <v>2.4</v>
      </c>
      <c r="H547" t="n">
        <v>0</v>
      </c>
      <c r="I547" t="n">
        <v>0</v>
      </c>
      <c r="J547" t="n">
        <v>0</v>
      </c>
      <c r="K547" t="n">
        <v>0</v>
      </c>
      <c r="L547" t="n">
        <v>0</v>
      </c>
      <c r="M547" t="n">
        <v>0</v>
      </c>
      <c r="N547" t="n">
        <v>0</v>
      </c>
      <c r="O547" t="n">
        <v>0</v>
      </c>
      <c r="P547" t="n">
        <v>0</v>
      </c>
      <c r="Q547" t="n">
        <v>0</v>
      </c>
      <c r="R547" s="2" t="inlineStr"/>
    </row>
    <row r="548" ht="15" customHeight="1">
      <c r="A548" t="inlineStr">
        <is>
          <t>A 15450-2023</t>
        </is>
      </c>
      <c r="B548" s="1" t="n">
        <v>45020</v>
      </c>
      <c r="C548" s="1" t="n">
        <v>45889</v>
      </c>
      <c r="D548" t="inlineStr">
        <is>
          <t>VÄRMLANDS LÄN</t>
        </is>
      </c>
      <c r="E548" t="inlineStr">
        <is>
          <t>TORSBY</t>
        </is>
      </c>
      <c r="G548" t="n">
        <v>3.8</v>
      </c>
      <c r="H548" t="n">
        <v>0</v>
      </c>
      <c r="I548" t="n">
        <v>0</v>
      </c>
      <c r="J548" t="n">
        <v>0</v>
      </c>
      <c r="K548" t="n">
        <v>0</v>
      </c>
      <c r="L548" t="n">
        <v>0</v>
      </c>
      <c r="M548" t="n">
        <v>0</v>
      </c>
      <c r="N548" t="n">
        <v>0</v>
      </c>
      <c r="O548" t="n">
        <v>0</v>
      </c>
      <c r="P548" t="n">
        <v>0</v>
      </c>
      <c r="Q548" t="n">
        <v>0</v>
      </c>
      <c r="R548" s="2" t="inlineStr"/>
    </row>
    <row r="549" ht="15" customHeight="1">
      <c r="A549" t="inlineStr">
        <is>
          <t>A 48305-2024</t>
        </is>
      </c>
      <c r="B549" s="1" t="n">
        <v>45590</v>
      </c>
      <c r="C549" s="1" t="n">
        <v>45889</v>
      </c>
      <c r="D549" t="inlineStr">
        <is>
          <t>VÄRMLANDS LÄN</t>
        </is>
      </c>
      <c r="E549" t="inlineStr">
        <is>
          <t>TORSBY</t>
        </is>
      </c>
      <c r="F549" t="inlineStr">
        <is>
          <t>Bergvik skog väst AB</t>
        </is>
      </c>
      <c r="G549" t="n">
        <v>5.9</v>
      </c>
      <c r="H549" t="n">
        <v>0</v>
      </c>
      <c r="I549" t="n">
        <v>0</v>
      </c>
      <c r="J549" t="n">
        <v>0</v>
      </c>
      <c r="K549" t="n">
        <v>0</v>
      </c>
      <c r="L549" t="n">
        <v>0</v>
      </c>
      <c r="M549" t="n">
        <v>0</v>
      </c>
      <c r="N549" t="n">
        <v>0</v>
      </c>
      <c r="O549" t="n">
        <v>0</v>
      </c>
      <c r="P549" t="n">
        <v>0</v>
      </c>
      <c r="Q549" t="n">
        <v>0</v>
      </c>
      <c r="R549" s="2" t="inlineStr"/>
    </row>
    <row r="550" ht="15" customHeight="1">
      <c r="A550" t="inlineStr">
        <is>
          <t>A 18314-2025</t>
        </is>
      </c>
      <c r="B550" s="1" t="n">
        <v>45762.44986111111</v>
      </c>
      <c r="C550" s="1" t="n">
        <v>45889</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235-2024</t>
        </is>
      </c>
      <c r="B551" s="1" t="n">
        <v>45294.85100694445</v>
      </c>
      <c r="C551" s="1" t="n">
        <v>45889</v>
      </c>
      <c r="D551" t="inlineStr">
        <is>
          <t>VÄRMLANDS LÄN</t>
        </is>
      </c>
      <c r="E551" t="inlineStr">
        <is>
          <t>TORSBY</t>
        </is>
      </c>
      <c r="G551" t="n">
        <v>0.8</v>
      </c>
      <c r="H551" t="n">
        <v>0</v>
      </c>
      <c r="I551" t="n">
        <v>0</v>
      </c>
      <c r="J551" t="n">
        <v>0</v>
      </c>
      <c r="K551" t="n">
        <v>0</v>
      </c>
      <c r="L551" t="n">
        <v>0</v>
      </c>
      <c r="M551" t="n">
        <v>0</v>
      </c>
      <c r="N551" t="n">
        <v>0</v>
      </c>
      <c r="O551" t="n">
        <v>0</v>
      </c>
      <c r="P551" t="n">
        <v>0</v>
      </c>
      <c r="Q551" t="n">
        <v>0</v>
      </c>
      <c r="R551" s="2" t="inlineStr"/>
    </row>
    <row r="552" ht="15" customHeight="1">
      <c r="A552" t="inlineStr">
        <is>
          <t>A 6529-2025</t>
        </is>
      </c>
      <c r="B552" s="1" t="n">
        <v>45699</v>
      </c>
      <c r="C552" s="1" t="n">
        <v>45889</v>
      </c>
      <c r="D552" t="inlineStr">
        <is>
          <t>VÄRMLANDS LÄN</t>
        </is>
      </c>
      <c r="E552" t="inlineStr">
        <is>
          <t>TORSBY</t>
        </is>
      </c>
      <c r="F552" t="inlineStr">
        <is>
          <t>Kommuner</t>
        </is>
      </c>
      <c r="G552" t="n">
        <v>0.2</v>
      </c>
      <c r="H552" t="n">
        <v>0</v>
      </c>
      <c r="I552" t="n">
        <v>0</v>
      </c>
      <c r="J552" t="n">
        <v>0</v>
      </c>
      <c r="K552" t="n">
        <v>0</v>
      </c>
      <c r="L552" t="n">
        <v>0</v>
      </c>
      <c r="M552" t="n">
        <v>0</v>
      </c>
      <c r="N552" t="n">
        <v>0</v>
      </c>
      <c r="O552" t="n">
        <v>0</v>
      </c>
      <c r="P552" t="n">
        <v>0</v>
      </c>
      <c r="Q552" t="n">
        <v>0</v>
      </c>
      <c r="R552" s="2" t="inlineStr"/>
    </row>
    <row r="553" ht="15" customHeight="1">
      <c r="A553" t="inlineStr">
        <is>
          <t>A 6532-2025</t>
        </is>
      </c>
      <c r="B553" s="1" t="n">
        <v>45699</v>
      </c>
      <c r="C553" s="1" t="n">
        <v>45889</v>
      </c>
      <c r="D553" t="inlineStr">
        <is>
          <t>VÄRMLANDS LÄN</t>
        </is>
      </c>
      <c r="E553" t="inlineStr">
        <is>
          <t>TORSBY</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7214-2025</t>
        </is>
      </c>
      <c r="B554" s="1" t="n">
        <v>45702</v>
      </c>
      <c r="C554" s="1" t="n">
        <v>45889</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18308-2024</t>
        </is>
      </c>
      <c r="B555" s="1" t="n">
        <v>45422</v>
      </c>
      <c r="C555" s="1" t="n">
        <v>45889</v>
      </c>
      <c r="D555" t="inlineStr">
        <is>
          <t>VÄRMLANDS LÄN</t>
        </is>
      </c>
      <c r="E555" t="inlineStr">
        <is>
          <t>TORSBY</t>
        </is>
      </c>
      <c r="G555" t="n">
        <v>1.8</v>
      </c>
      <c r="H555" t="n">
        <v>0</v>
      </c>
      <c r="I555" t="n">
        <v>0</v>
      </c>
      <c r="J555" t="n">
        <v>0</v>
      </c>
      <c r="K555" t="n">
        <v>0</v>
      </c>
      <c r="L555" t="n">
        <v>0</v>
      </c>
      <c r="M555" t="n">
        <v>0</v>
      </c>
      <c r="N555" t="n">
        <v>0</v>
      </c>
      <c r="O555" t="n">
        <v>0</v>
      </c>
      <c r="P555" t="n">
        <v>0</v>
      </c>
      <c r="Q555" t="n">
        <v>0</v>
      </c>
      <c r="R555" s="2" t="inlineStr"/>
    </row>
    <row r="556" ht="15" customHeight="1">
      <c r="A556" t="inlineStr">
        <is>
          <t>A 55475-2022</t>
        </is>
      </c>
      <c r="B556" s="1" t="n">
        <v>44887.66210648148</v>
      </c>
      <c r="C556" s="1" t="n">
        <v>45889</v>
      </c>
      <c r="D556" t="inlineStr">
        <is>
          <t>VÄRMLANDS LÄN</t>
        </is>
      </c>
      <c r="E556" t="inlineStr">
        <is>
          <t>TORSBY</t>
        </is>
      </c>
      <c r="G556" t="n">
        <v>2.7</v>
      </c>
      <c r="H556" t="n">
        <v>0</v>
      </c>
      <c r="I556" t="n">
        <v>0</v>
      </c>
      <c r="J556" t="n">
        <v>0</v>
      </c>
      <c r="K556" t="n">
        <v>0</v>
      </c>
      <c r="L556" t="n">
        <v>0</v>
      </c>
      <c r="M556" t="n">
        <v>0</v>
      </c>
      <c r="N556" t="n">
        <v>0</v>
      </c>
      <c r="O556" t="n">
        <v>0</v>
      </c>
      <c r="P556" t="n">
        <v>0</v>
      </c>
      <c r="Q556" t="n">
        <v>0</v>
      </c>
      <c r="R556" s="2" t="inlineStr"/>
    </row>
    <row r="557" ht="15" customHeight="1">
      <c r="A557" t="inlineStr">
        <is>
          <t>A 6863-2023</t>
        </is>
      </c>
      <c r="B557" s="1" t="n">
        <v>44964</v>
      </c>
      <c r="C557" s="1" t="n">
        <v>45889</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17931-2024</t>
        </is>
      </c>
      <c r="B558" s="1" t="n">
        <v>45419</v>
      </c>
      <c r="C558" s="1" t="n">
        <v>45889</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50372-2024</t>
        </is>
      </c>
      <c r="B559" s="1" t="n">
        <v>45601.25935185186</v>
      </c>
      <c r="C559" s="1" t="n">
        <v>45889</v>
      </c>
      <c r="D559" t="inlineStr">
        <is>
          <t>VÄRMLANDS LÄN</t>
        </is>
      </c>
      <c r="E559" t="inlineStr">
        <is>
          <t>TORSBY</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38497-2024</t>
        </is>
      </c>
      <c r="B560" s="1" t="n">
        <v>45546.51869212963</v>
      </c>
      <c r="C560" s="1" t="n">
        <v>45889</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51505-2021</t>
        </is>
      </c>
      <c r="B561" s="1" t="n">
        <v>44460</v>
      </c>
      <c r="C561" s="1" t="n">
        <v>45889</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27458-2023</t>
        </is>
      </c>
      <c r="B562" s="1" t="n">
        <v>45097</v>
      </c>
      <c r="C562" s="1" t="n">
        <v>45889</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34105-2023</t>
        </is>
      </c>
      <c r="B563" s="1" t="n">
        <v>45126</v>
      </c>
      <c r="C563" s="1" t="n">
        <v>45889</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14369-2025</t>
        </is>
      </c>
      <c r="B564" s="1" t="n">
        <v>45741</v>
      </c>
      <c r="C564" s="1" t="n">
        <v>45889</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14413-2025</t>
        </is>
      </c>
      <c r="B565" s="1" t="n">
        <v>45741</v>
      </c>
      <c r="C565" s="1" t="n">
        <v>45889</v>
      </c>
      <c r="D565" t="inlineStr">
        <is>
          <t>VÄRMLANDS LÄN</t>
        </is>
      </c>
      <c r="E565" t="inlineStr">
        <is>
          <t>TORSBY</t>
        </is>
      </c>
      <c r="G565" t="n">
        <v>4.1</v>
      </c>
      <c r="H565" t="n">
        <v>0</v>
      </c>
      <c r="I565" t="n">
        <v>0</v>
      </c>
      <c r="J565" t="n">
        <v>0</v>
      </c>
      <c r="K565" t="n">
        <v>0</v>
      </c>
      <c r="L565" t="n">
        <v>0</v>
      </c>
      <c r="M565" t="n">
        <v>0</v>
      </c>
      <c r="N565" t="n">
        <v>0</v>
      </c>
      <c r="O565" t="n">
        <v>0</v>
      </c>
      <c r="P565" t="n">
        <v>0</v>
      </c>
      <c r="Q565" t="n">
        <v>0</v>
      </c>
      <c r="R565" s="2" t="inlineStr"/>
    </row>
    <row r="566" ht="15" customHeight="1">
      <c r="A566" t="inlineStr">
        <is>
          <t>A 53492-2022</t>
        </is>
      </c>
      <c r="B566" s="1" t="n">
        <v>44879.56734953704</v>
      </c>
      <c r="C566" s="1" t="n">
        <v>45889</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9902-2024</t>
        </is>
      </c>
      <c r="B567" s="1" t="n">
        <v>45363</v>
      </c>
      <c r="C567" s="1" t="n">
        <v>45889</v>
      </c>
      <c r="D567" t="inlineStr">
        <is>
          <t>VÄRMLANDS LÄN</t>
        </is>
      </c>
      <c r="E567" t="inlineStr">
        <is>
          <t>TORSBY</t>
        </is>
      </c>
      <c r="G567" t="n">
        <v>4.4</v>
      </c>
      <c r="H567" t="n">
        <v>0</v>
      </c>
      <c r="I567" t="n">
        <v>0</v>
      </c>
      <c r="J567" t="n">
        <v>0</v>
      </c>
      <c r="K567" t="n">
        <v>0</v>
      </c>
      <c r="L567" t="n">
        <v>0</v>
      </c>
      <c r="M567" t="n">
        <v>0</v>
      </c>
      <c r="N567" t="n">
        <v>0</v>
      </c>
      <c r="O567" t="n">
        <v>0</v>
      </c>
      <c r="P567" t="n">
        <v>0</v>
      </c>
      <c r="Q567" t="n">
        <v>0</v>
      </c>
      <c r="R567" s="2" t="inlineStr"/>
    </row>
    <row r="568" ht="15" customHeight="1">
      <c r="A568" t="inlineStr">
        <is>
          <t>A 58707-2024</t>
        </is>
      </c>
      <c r="B568" s="1" t="n">
        <v>45635</v>
      </c>
      <c r="C568" s="1" t="n">
        <v>45889</v>
      </c>
      <c r="D568" t="inlineStr">
        <is>
          <t>VÄRMLANDS LÄN</t>
        </is>
      </c>
      <c r="E568" t="inlineStr">
        <is>
          <t>TORSBY</t>
        </is>
      </c>
      <c r="G568" t="n">
        <v>0.9</v>
      </c>
      <c r="H568" t="n">
        <v>0</v>
      </c>
      <c r="I568" t="n">
        <v>0</v>
      </c>
      <c r="J568" t="n">
        <v>0</v>
      </c>
      <c r="K568" t="n">
        <v>0</v>
      </c>
      <c r="L568" t="n">
        <v>0</v>
      </c>
      <c r="M568" t="n">
        <v>0</v>
      </c>
      <c r="N568" t="n">
        <v>0</v>
      </c>
      <c r="O568" t="n">
        <v>0</v>
      </c>
      <c r="P568" t="n">
        <v>0</v>
      </c>
      <c r="Q568" t="n">
        <v>0</v>
      </c>
      <c r="R568" s="2" t="inlineStr"/>
    </row>
    <row r="569" ht="15" customHeight="1">
      <c r="A569" t="inlineStr">
        <is>
          <t>A 17562-2024</t>
        </is>
      </c>
      <c r="B569" s="1" t="n">
        <v>45415</v>
      </c>
      <c r="C569" s="1" t="n">
        <v>45889</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18330-2024</t>
        </is>
      </c>
      <c r="B570" s="1" t="n">
        <v>45422</v>
      </c>
      <c r="C570" s="1" t="n">
        <v>45889</v>
      </c>
      <c r="D570" t="inlineStr">
        <is>
          <t>VÄRMLANDS LÄN</t>
        </is>
      </c>
      <c r="E570" t="inlineStr">
        <is>
          <t>TORSBY</t>
        </is>
      </c>
      <c r="G570" t="n">
        <v>1.4</v>
      </c>
      <c r="H570" t="n">
        <v>0</v>
      </c>
      <c r="I570" t="n">
        <v>0</v>
      </c>
      <c r="J570" t="n">
        <v>0</v>
      </c>
      <c r="K570" t="n">
        <v>0</v>
      </c>
      <c r="L570" t="n">
        <v>0</v>
      </c>
      <c r="M570" t="n">
        <v>0</v>
      </c>
      <c r="N570" t="n">
        <v>0</v>
      </c>
      <c r="O570" t="n">
        <v>0</v>
      </c>
      <c r="P570" t="n">
        <v>0</v>
      </c>
      <c r="Q570" t="n">
        <v>0</v>
      </c>
      <c r="R570" s="2" t="inlineStr"/>
    </row>
    <row r="571" ht="15" customHeight="1">
      <c r="A571" t="inlineStr">
        <is>
          <t>A 24896-2023</t>
        </is>
      </c>
      <c r="B571" s="1" t="n">
        <v>45085</v>
      </c>
      <c r="C571" s="1" t="n">
        <v>45889</v>
      </c>
      <c r="D571" t="inlineStr">
        <is>
          <t>VÄRMLANDS LÄN</t>
        </is>
      </c>
      <c r="E571" t="inlineStr">
        <is>
          <t>TORSBY</t>
        </is>
      </c>
      <c r="F571" t="inlineStr">
        <is>
          <t>Bergvik skog väst AB</t>
        </is>
      </c>
      <c r="G571" t="n">
        <v>4.7</v>
      </c>
      <c r="H571" t="n">
        <v>0</v>
      </c>
      <c r="I571" t="n">
        <v>0</v>
      </c>
      <c r="J571" t="n">
        <v>0</v>
      </c>
      <c r="K571" t="n">
        <v>0</v>
      </c>
      <c r="L571" t="n">
        <v>0</v>
      </c>
      <c r="M571" t="n">
        <v>0</v>
      </c>
      <c r="N571" t="n">
        <v>0</v>
      </c>
      <c r="O571" t="n">
        <v>0</v>
      </c>
      <c r="P571" t="n">
        <v>0</v>
      </c>
      <c r="Q571" t="n">
        <v>0</v>
      </c>
      <c r="R571" s="2" t="inlineStr"/>
    </row>
    <row r="572" ht="15" customHeight="1">
      <c r="A572" t="inlineStr">
        <is>
          <t>A 46698-2024</t>
        </is>
      </c>
      <c r="B572" s="1" t="n">
        <v>45583.43209490741</v>
      </c>
      <c r="C572" s="1" t="n">
        <v>45889</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18339-2024</t>
        </is>
      </c>
      <c r="B573" s="1" t="n">
        <v>45422.58119212963</v>
      </c>
      <c r="C573" s="1" t="n">
        <v>45889</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56634-2024</t>
        </is>
      </c>
      <c r="B574" s="1" t="n">
        <v>45625.68491898148</v>
      </c>
      <c r="C574" s="1" t="n">
        <v>45889</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27446-2021</t>
        </is>
      </c>
      <c r="B575" s="1" t="n">
        <v>44351</v>
      </c>
      <c r="C575" s="1" t="n">
        <v>45889</v>
      </c>
      <c r="D575" t="inlineStr">
        <is>
          <t>VÄRMLANDS LÄN</t>
        </is>
      </c>
      <c r="E575" t="inlineStr">
        <is>
          <t>TORSBY</t>
        </is>
      </c>
      <c r="G575" t="n">
        <v>7.6</v>
      </c>
      <c r="H575" t="n">
        <v>0</v>
      </c>
      <c r="I575" t="n">
        <v>0</v>
      </c>
      <c r="J575" t="n">
        <v>0</v>
      </c>
      <c r="K575" t="n">
        <v>0</v>
      </c>
      <c r="L575" t="n">
        <v>0</v>
      </c>
      <c r="M575" t="n">
        <v>0</v>
      </c>
      <c r="N575" t="n">
        <v>0</v>
      </c>
      <c r="O575" t="n">
        <v>0</v>
      </c>
      <c r="P575" t="n">
        <v>0</v>
      </c>
      <c r="Q575" t="n">
        <v>0</v>
      </c>
      <c r="R575" s="2" t="inlineStr"/>
    </row>
    <row r="576" ht="15" customHeight="1">
      <c r="A576" t="inlineStr">
        <is>
          <t>A 49717-2023</t>
        </is>
      </c>
      <c r="B576" s="1" t="n">
        <v>45208</v>
      </c>
      <c r="C576" s="1" t="n">
        <v>45889</v>
      </c>
      <c r="D576" t="inlineStr">
        <is>
          <t>VÄRMLANDS LÄN</t>
        </is>
      </c>
      <c r="E576" t="inlineStr">
        <is>
          <t>TORSBY</t>
        </is>
      </c>
      <c r="G576" t="n">
        <v>5.9</v>
      </c>
      <c r="H576" t="n">
        <v>0</v>
      </c>
      <c r="I576" t="n">
        <v>0</v>
      </c>
      <c r="J576" t="n">
        <v>0</v>
      </c>
      <c r="K576" t="n">
        <v>0</v>
      </c>
      <c r="L576" t="n">
        <v>0</v>
      </c>
      <c r="M576" t="n">
        <v>0</v>
      </c>
      <c r="N576" t="n">
        <v>0</v>
      </c>
      <c r="O576" t="n">
        <v>0</v>
      </c>
      <c r="P576" t="n">
        <v>0</v>
      </c>
      <c r="Q576" t="n">
        <v>0</v>
      </c>
      <c r="R576" s="2" t="inlineStr"/>
    </row>
    <row r="577" ht="15" customHeight="1">
      <c r="A577" t="inlineStr">
        <is>
          <t>A 54011-2024</t>
        </is>
      </c>
      <c r="B577" s="1" t="n">
        <v>45616.37576388889</v>
      </c>
      <c r="C577" s="1" t="n">
        <v>45889</v>
      </c>
      <c r="D577" t="inlineStr">
        <is>
          <t>VÄRMLANDS LÄN</t>
        </is>
      </c>
      <c r="E577" t="inlineStr">
        <is>
          <t>TORSBY</t>
        </is>
      </c>
      <c r="F577" t="inlineStr">
        <is>
          <t>Kommuner</t>
        </is>
      </c>
      <c r="G577" t="n">
        <v>0.9</v>
      </c>
      <c r="H577" t="n">
        <v>0</v>
      </c>
      <c r="I577" t="n">
        <v>0</v>
      </c>
      <c r="J577" t="n">
        <v>0</v>
      </c>
      <c r="K577" t="n">
        <v>0</v>
      </c>
      <c r="L577" t="n">
        <v>0</v>
      </c>
      <c r="M577" t="n">
        <v>0</v>
      </c>
      <c r="N577" t="n">
        <v>0</v>
      </c>
      <c r="O577" t="n">
        <v>0</v>
      </c>
      <c r="P577" t="n">
        <v>0</v>
      </c>
      <c r="Q577" t="n">
        <v>0</v>
      </c>
      <c r="R577" s="2" t="inlineStr"/>
    </row>
    <row r="578" ht="15" customHeight="1">
      <c r="A578" t="inlineStr">
        <is>
          <t>A 54026-2024</t>
        </is>
      </c>
      <c r="B578" s="1" t="n">
        <v>45616</v>
      </c>
      <c r="C578" s="1" t="n">
        <v>45889</v>
      </c>
      <c r="D578" t="inlineStr">
        <is>
          <t>VÄRMLANDS LÄN</t>
        </is>
      </c>
      <c r="E578" t="inlineStr">
        <is>
          <t>TORSBY</t>
        </is>
      </c>
      <c r="G578" t="n">
        <v>8.4</v>
      </c>
      <c r="H578" t="n">
        <v>0</v>
      </c>
      <c r="I578" t="n">
        <v>0</v>
      </c>
      <c r="J578" t="n">
        <v>0</v>
      </c>
      <c r="K578" t="n">
        <v>0</v>
      </c>
      <c r="L578" t="n">
        <v>0</v>
      </c>
      <c r="M578" t="n">
        <v>0</v>
      </c>
      <c r="N578" t="n">
        <v>0</v>
      </c>
      <c r="O578" t="n">
        <v>0</v>
      </c>
      <c r="P578" t="n">
        <v>0</v>
      </c>
      <c r="Q578" t="n">
        <v>0</v>
      </c>
      <c r="R578" s="2" t="inlineStr"/>
    </row>
    <row r="579" ht="15" customHeight="1">
      <c r="A579" t="inlineStr">
        <is>
          <t>A 61251-2024</t>
        </is>
      </c>
      <c r="B579" s="1" t="n">
        <v>45645</v>
      </c>
      <c r="C579" s="1" t="n">
        <v>45889</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61259-2024</t>
        </is>
      </c>
      <c r="B580" s="1" t="n">
        <v>45645.71188657408</v>
      </c>
      <c r="C580" s="1" t="n">
        <v>45889</v>
      </c>
      <c r="D580" t="inlineStr">
        <is>
          <t>VÄRMLANDS LÄN</t>
        </is>
      </c>
      <c r="E580" t="inlineStr">
        <is>
          <t>TORSBY</t>
        </is>
      </c>
      <c r="G580" t="n">
        <v>1.2</v>
      </c>
      <c r="H580" t="n">
        <v>0</v>
      </c>
      <c r="I580" t="n">
        <v>0</v>
      </c>
      <c r="J580" t="n">
        <v>0</v>
      </c>
      <c r="K580" t="n">
        <v>0</v>
      </c>
      <c r="L580" t="n">
        <v>0</v>
      </c>
      <c r="M580" t="n">
        <v>0</v>
      </c>
      <c r="N580" t="n">
        <v>0</v>
      </c>
      <c r="O580" t="n">
        <v>0</v>
      </c>
      <c r="P580" t="n">
        <v>0</v>
      </c>
      <c r="Q580" t="n">
        <v>0</v>
      </c>
      <c r="R580" s="2" t="inlineStr"/>
    </row>
    <row r="581" ht="15" customHeight="1">
      <c r="A581" t="inlineStr">
        <is>
          <t>A 11695-2021</t>
        </is>
      </c>
      <c r="B581" s="1" t="n">
        <v>44264.87736111111</v>
      </c>
      <c r="C581" s="1" t="n">
        <v>45889</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18564-2025</t>
        </is>
      </c>
      <c r="B582" s="1" t="n">
        <v>45763.45047453704</v>
      </c>
      <c r="C582" s="1" t="n">
        <v>45889</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22826-2022</t>
        </is>
      </c>
      <c r="B583" s="1" t="n">
        <v>44714</v>
      </c>
      <c r="C583" s="1" t="n">
        <v>45889</v>
      </c>
      <c r="D583" t="inlineStr">
        <is>
          <t>VÄRMLANDS LÄN</t>
        </is>
      </c>
      <c r="E583" t="inlineStr">
        <is>
          <t>TORSBY</t>
        </is>
      </c>
      <c r="G583" t="n">
        <v>6.2</v>
      </c>
      <c r="H583" t="n">
        <v>0</v>
      </c>
      <c r="I583" t="n">
        <v>0</v>
      </c>
      <c r="J583" t="n">
        <v>0</v>
      </c>
      <c r="K583" t="n">
        <v>0</v>
      </c>
      <c r="L583" t="n">
        <v>0</v>
      </c>
      <c r="M583" t="n">
        <v>0</v>
      </c>
      <c r="N583" t="n">
        <v>0</v>
      </c>
      <c r="O583" t="n">
        <v>0</v>
      </c>
      <c r="P583" t="n">
        <v>0</v>
      </c>
      <c r="Q583" t="n">
        <v>0</v>
      </c>
      <c r="R583" s="2" t="inlineStr"/>
    </row>
    <row r="584" ht="15" customHeight="1">
      <c r="A584" t="inlineStr">
        <is>
          <t>A 15101-2024</t>
        </is>
      </c>
      <c r="B584" s="1" t="n">
        <v>45399.66148148148</v>
      </c>
      <c r="C584" s="1" t="n">
        <v>45889</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2616-2025</t>
        </is>
      </c>
      <c r="B585" s="1" t="n">
        <v>45675</v>
      </c>
      <c r="C585" s="1" t="n">
        <v>45889</v>
      </c>
      <c r="D585" t="inlineStr">
        <is>
          <t>VÄRMLANDS LÄN</t>
        </is>
      </c>
      <c r="E585" t="inlineStr">
        <is>
          <t>TORSBY</t>
        </is>
      </c>
      <c r="G585" t="n">
        <v>4.1</v>
      </c>
      <c r="H585" t="n">
        <v>0</v>
      </c>
      <c r="I585" t="n">
        <v>0</v>
      </c>
      <c r="J585" t="n">
        <v>0</v>
      </c>
      <c r="K585" t="n">
        <v>0</v>
      </c>
      <c r="L585" t="n">
        <v>0</v>
      </c>
      <c r="M585" t="n">
        <v>0</v>
      </c>
      <c r="N585" t="n">
        <v>0</v>
      </c>
      <c r="O585" t="n">
        <v>0</v>
      </c>
      <c r="P585" t="n">
        <v>0</v>
      </c>
      <c r="Q585" t="n">
        <v>0</v>
      </c>
      <c r="R585" s="2" t="inlineStr"/>
    </row>
    <row r="586" ht="15" customHeight="1">
      <c r="A586" t="inlineStr">
        <is>
          <t>A 16192-2025</t>
        </is>
      </c>
      <c r="B586" s="1" t="n">
        <v>45750.59760416667</v>
      </c>
      <c r="C586" s="1" t="n">
        <v>45889</v>
      </c>
      <c r="D586" t="inlineStr">
        <is>
          <t>VÄRMLANDS LÄN</t>
        </is>
      </c>
      <c r="E586" t="inlineStr">
        <is>
          <t>TORSBY</t>
        </is>
      </c>
      <c r="G586" t="n">
        <v>1.8</v>
      </c>
      <c r="H586" t="n">
        <v>0</v>
      </c>
      <c r="I586" t="n">
        <v>0</v>
      </c>
      <c r="J586" t="n">
        <v>0</v>
      </c>
      <c r="K586" t="n">
        <v>0</v>
      </c>
      <c r="L586" t="n">
        <v>0</v>
      </c>
      <c r="M586" t="n">
        <v>0</v>
      </c>
      <c r="N586" t="n">
        <v>0</v>
      </c>
      <c r="O586" t="n">
        <v>0</v>
      </c>
      <c r="P586" t="n">
        <v>0</v>
      </c>
      <c r="Q586" t="n">
        <v>0</v>
      </c>
      <c r="R586" s="2" t="inlineStr"/>
    </row>
    <row r="587" ht="15" customHeight="1">
      <c r="A587" t="inlineStr">
        <is>
          <t>A 44722-2020</t>
        </is>
      </c>
      <c r="B587" s="1" t="n">
        <v>44078</v>
      </c>
      <c r="C587" s="1" t="n">
        <v>45889</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24170-2023</t>
        </is>
      </c>
      <c r="B588" s="1" t="n">
        <v>45079</v>
      </c>
      <c r="C588" s="1" t="n">
        <v>45889</v>
      </c>
      <c r="D588" t="inlineStr">
        <is>
          <t>VÄRMLANDS LÄN</t>
        </is>
      </c>
      <c r="E588" t="inlineStr">
        <is>
          <t>TORSBY</t>
        </is>
      </c>
      <c r="F588" t="inlineStr">
        <is>
          <t>Bergvik skog väst AB</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50486-2020</t>
        </is>
      </c>
      <c r="B589" s="1" t="n">
        <v>44110</v>
      </c>
      <c r="C589" s="1" t="n">
        <v>45889</v>
      </c>
      <c r="D589" t="inlineStr">
        <is>
          <t>VÄRMLANDS LÄN</t>
        </is>
      </c>
      <c r="E589" t="inlineStr">
        <is>
          <t>TORSBY</t>
        </is>
      </c>
      <c r="G589" t="n">
        <v>2.2</v>
      </c>
      <c r="H589" t="n">
        <v>0</v>
      </c>
      <c r="I589" t="n">
        <v>0</v>
      </c>
      <c r="J589" t="n">
        <v>0</v>
      </c>
      <c r="K589" t="n">
        <v>0</v>
      </c>
      <c r="L589" t="n">
        <v>0</v>
      </c>
      <c r="M589" t="n">
        <v>0</v>
      </c>
      <c r="N589" t="n">
        <v>0</v>
      </c>
      <c r="O589" t="n">
        <v>0</v>
      </c>
      <c r="P589" t="n">
        <v>0</v>
      </c>
      <c r="Q589" t="n">
        <v>0</v>
      </c>
      <c r="R589" s="2" t="inlineStr"/>
    </row>
    <row r="590" ht="15" customHeight="1">
      <c r="A590" t="inlineStr">
        <is>
          <t>A 50608-2023</t>
        </is>
      </c>
      <c r="B590" s="1" t="n">
        <v>45217</v>
      </c>
      <c r="C590" s="1" t="n">
        <v>45889</v>
      </c>
      <c r="D590" t="inlineStr">
        <is>
          <t>VÄRMLANDS LÄN</t>
        </is>
      </c>
      <c r="E590" t="inlineStr">
        <is>
          <t>TORSBY</t>
        </is>
      </c>
      <c r="G590" t="n">
        <v>2.9</v>
      </c>
      <c r="H590" t="n">
        <v>0</v>
      </c>
      <c r="I590" t="n">
        <v>0</v>
      </c>
      <c r="J590" t="n">
        <v>0</v>
      </c>
      <c r="K590" t="n">
        <v>0</v>
      </c>
      <c r="L590" t="n">
        <v>0</v>
      </c>
      <c r="M590" t="n">
        <v>0</v>
      </c>
      <c r="N590" t="n">
        <v>0</v>
      </c>
      <c r="O590" t="n">
        <v>0</v>
      </c>
      <c r="P590" t="n">
        <v>0</v>
      </c>
      <c r="Q590" t="n">
        <v>0</v>
      </c>
      <c r="R590" s="2" t="inlineStr"/>
    </row>
    <row r="591" ht="15" customHeight="1">
      <c r="A591" t="inlineStr">
        <is>
          <t>A 17018-2025</t>
        </is>
      </c>
      <c r="B591" s="1" t="n">
        <v>45755</v>
      </c>
      <c r="C591" s="1" t="n">
        <v>45889</v>
      </c>
      <c r="D591" t="inlineStr">
        <is>
          <t>VÄRMLANDS LÄN</t>
        </is>
      </c>
      <c r="E591" t="inlineStr">
        <is>
          <t>TORSBY</t>
        </is>
      </c>
      <c r="G591" t="n">
        <v>2.8</v>
      </c>
      <c r="H591" t="n">
        <v>0</v>
      </c>
      <c r="I591" t="n">
        <v>0</v>
      </c>
      <c r="J591" t="n">
        <v>0</v>
      </c>
      <c r="K591" t="n">
        <v>0</v>
      </c>
      <c r="L591" t="n">
        <v>0</v>
      </c>
      <c r="M591" t="n">
        <v>0</v>
      </c>
      <c r="N591" t="n">
        <v>0</v>
      </c>
      <c r="O591" t="n">
        <v>0</v>
      </c>
      <c r="P591" t="n">
        <v>0</v>
      </c>
      <c r="Q591" t="n">
        <v>0</v>
      </c>
      <c r="R591" s="2" t="inlineStr"/>
    </row>
    <row r="592" ht="15" customHeight="1">
      <c r="A592" t="inlineStr">
        <is>
          <t>A 54777-2023</t>
        </is>
      </c>
      <c r="B592" s="1" t="n">
        <v>45236</v>
      </c>
      <c r="C592" s="1" t="n">
        <v>45889</v>
      </c>
      <c r="D592" t="inlineStr">
        <is>
          <t>VÄRMLANDS LÄN</t>
        </is>
      </c>
      <c r="E592" t="inlineStr">
        <is>
          <t>TORSBY</t>
        </is>
      </c>
      <c r="F592" t="inlineStr">
        <is>
          <t>Bergvik skog väst AB</t>
        </is>
      </c>
      <c r="G592" t="n">
        <v>7.9</v>
      </c>
      <c r="H592" t="n">
        <v>0</v>
      </c>
      <c r="I592" t="n">
        <v>0</v>
      </c>
      <c r="J592" t="n">
        <v>0</v>
      </c>
      <c r="K592" t="n">
        <v>0</v>
      </c>
      <c r="L592" t="n">
        <v>0</v>
      </c>
      <c r="M592" t="n">
        <v>0</v>
      </c>
      <c r="N592" t="n">
        <v>0</v>
      </c>
      <c r="O592" t="n">
        <v>0</v>
      </c>
      <c r="P592" t="n">
        <v>0</v>
      </c>
      <c r="Q592" t="n">
        <v>0</v>
      </c>
      <c r="R592" s="2" t="inlineStr"/>
    </row>
    <row r="593" ht="15" customHeight="1">
      <c r="A593" t="inlineStr">
        <is>
          <t>A 3904-2025</t>
        </is>
      </c>
      <c r="B593" s="1" t="n">
        <v>45684</v>
      </c>
      <c r="C593" s="1" t="n">
        <v>45889</v>
      </c>
      <c r="D593" t="inlineStr">
        <is>
          <t>VÄRMLANDS LÄN</t>
        </is>
      </c>
      <c r="E593" t="inlineStr">
        <is>
          <t>TORSBY</t>
        </is>
      </c>
      <c r="F593" t="inlineStr">
        <is>
          <t>Övriga statliga verk och myndigheter</t>
        </is>
      </c>
      <c r="G593" t="n">
        <v>0.7</v>
      </c>
      <c r="H593" t="n">
        <v>0</v>
      </c>
      <c r="I593" t="n">
        <v>0</v>
      </c>
      <c r="J593" t="n">
        <v>0</v>
      </c>
      <c r="K593" t="n">
        <v>0</v>
      </c>
      <c r="L593" t="n">
        <v>0</v>
      </c>
      <c r="M593" t="n">
        <v>0</v>
      </c>
      <c r="N593" t="n">
        <v>0</v>
      </c>
      <c r="O593" t="n">
        <v>0</v>
      </c>
      <c r="P593" t="n">
        <v>0</v>
      </c>
      <c r="Q593" t="n">
        <v>0</v>
      </c>
      <c r="R593" s="2" t="inlineStr"/>
    </row>
    <row r="594" ht="15" customHeight="1">
      <c r="A594" t="inlineStr">
        <is>
          <t>A 56098-2024</t>
        </is>
      </c>
      <c r="B594" s="1" t="n">
        <v>45624.42371527778</v>
      </c>
      <c r="C594" s="1" t="n">
        <v>45889</v>
      </c>
      <c r="D594" t="inlineStr">
        <is>
          <t>VÄRMLANDS LÄN</t>
        </is>
      </c>
      <c r="E594" t="inlineStr">
        <is>
          <t>TORSBY</t>
        </is>
      </c>
      <c r="G594" t="n">
        <v>2.4</v>
      </c>
      <c r="H594" t="n">
        <v>0</v>
      </c>
      <c r="I594" t="n">
        <v>0</v>
      </c>
      <c r="J594" t="n">
        <v>0</v>
      </c>
      <c r="K594" t="n">
        <v>0</v>
      </c>
      <c r="L594" t="n">
        <v>0</v>
      </c>
      <c r="M594" t="n">
        <v>0</v>
      </c>
      <c r="N594" t="n">
        <v>0</v>
      </c>
      <c r="O594" t="n">
        <v>0</v>
      </c>
      <c r="P594" t="n">
        <v>0</v>
      </c>
      <c r="Q594" t="n">
        <v>0</v>
      </c>
      <c r="R594" s="2" t="inlineStr"/>
    </row>
    <row r="595" ht="15" customHeight="1">
      <c r="A595" t="inlineStr">
        <is>
          <t>A 16003-2025</t>
        </is>
      </c>
      <c r="B595" s="1" t="n">
        <v>45749</v>
      </c>
      <c r="C595" s="1" t="n">
        <v>45889</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41315-2022</t>
        </is>
      </c>
      <c r="B596" s="1" t="n">
        <v>44826</v>
      </c>
      <c r="C596" s="1" t="n">
        <v>45889</v>
      </c>
      <c r="D596" t="inlineStr">
        <is>
          <t>VÄRMLANDS LÄN</t>
        </is>
      </c>
      <c r="E596" t="inlineStr">
        <is>
          <t>TORSBY</t>
        </is>
      </c>
      <c r="G596" t="n">
        <v>5.5</v>
      </c>
      <c r="H596" t="n">
        <v>0</v>
      </c>
      <c r="I596" t="n">
        <v>0</v>
      </c>
      <c r="J596" t="n">
        <v>0</v>
      </c>
      <c r="K596" t="n">
        <v>0</v>
      </c>
      <c r="L596" t="n">
        <v>0</v>
      </c>
      <c r="M596" t="n">
        <v>0</v>
      </c>
      <c r="N596" t="n">
        <v>0</v>
      </c>
      <c r="O596" t="n">
        <v>0</v>
      </c>
      <c r="P596" t="n">
        <v>0</v>
      </c>
      <c r="Q596" t="n">
        <v>0</v>
      </c>
      <c r="R596" s="2" t="inlineStr"/>
    </row>
    <row r="597" ht="15" customHeight="1">
      <c r="A597" t="inlineStr">
        <is>
          <t>A 12701-2024</t>
        </is>
      </c>
      <c r="B597" s="1" t="n">
        <v>45384</v>
      </c>
      <c r="C597" s="1" t="n">
        <v>45889</v>
      </c>
      <c r="D597" t="inlineStr">
        <is>
          <t>VÄRMLANDS LÄN</t>
        </is>
      </c>
      <c r="E597" t="inlineStr">
        <is>
          <t>TORSBY</t>
        </is>
      </c>
      <c r="G597" t="n">
        <v>1.3</v>
      </c>
      <c r="H597" t="n">
        <v>0</v>
      </c>
      <c r="I597" t="n">
        <v>0</v>
      </c>
      <c r="J597" t="n">
        <v>0</v>
      </c>
      <c r="K597" t="n">
        <v>0</v>
      </c>
      <c r="L597" t="n">
        <v>0</v>
      </c>
      <c r="M597" t="n">
        <v>0</v>
      </c>
      <c r="N597" t="n">
        <v>0</v>
      </c>
      <c r="O597" t="n">
        <v>0</v>
      </c>
      <c r="P597" t="n">
        <v>0</v>
      </c>
      <c r="Q597" t="n">
        <v>0</v>
      </c>
      <c r="R597" s="2" t="inlineStr"/>
    </row>
    <row r="598" ht="15" customHeight="1">
      <c r="A598" t="inlineStr">
        <is>
          <t>A 56902-2023</t>
        </is>
      </c>
      <c r="B598" s="1" t="n">
        <v>45244</v>
      </c>
      <c r="C598" s="1" t="n">
        <v>45889</v>
      </c>
      <c r="D598" t="inlineStr">
        <is>
          <t>VÄRMLANDS LÄN</t>
        </is>
      </c>
      <c r="E598" t="inlineStr">
        <is>
          <t>TORSBY</t>
        </is>
      </c>
      <c r="G598" t="n">
        <v>17.4</v>
      </c>
      <c r="H598" t="n">
        <v>0</v>
      </c>
      <c r="I598" t="n">
        <v>0</v>
      </c>
      <c r="J598" t="n">
        <v>0</v>
      </c>
      <c r="K598" t="n">
        <v>0</v>
      </c>
      <c r="L598" t="n">
        <v>0</v>
      </c>
      <c r="M598" t="n">
        <v>0</v>
      </c>
      <c r="N598" t="n">
        <v>0</v>
      </c>
      <c r="O598" t="n">
        <v>0</v>
      </c>
      <c r="P598" t="n">
        <v>0</v>
      </c>
      <c r="Q598" t="n">
        <v>0</v>
      </c>
      <c r="R598" s="2" t="inlineStr"/>
    </row>
    <row r="599" ht="15" customHeight="1">
      <c r="A599" t="inlineStr">
        <is>
          <t>A 14301-2025</t>
        </is>
      </c>
      <c r="B599" s="1" t="n">
        <v>45740</v>
      </c>
      <c r="C599" s="1" t="n">
        <v>45889</v>
      </c>
      <c r="D599" t="inlineStr">
        <is>
          <t>VÄRMLANDS LÄN</t>
        </is>
      </c>
      <c r="E599" t="inlineStr">
        <is>
          <t>TORSBY</t>
        </is>
      </c>
      <c r="G599" t="n">
        <v>7.9</v>
      </c>
      <c r="H599" t="n">
        <v>0</v>
      </c>
      <c r="I599" t="n">
        <v>0</v>
      </c>
      <c r="J599" t="n">
        <v>0</v>
      </c>
      <c r="K599" t="n">
        <v>0</v>
      </c>
      <c r="L599" t="n">
        <v>0</v>
      </c>
      <c r="M599" t="n">
        <v>0</v>
      </c>
      <c r="N599" t="n">
        <v>0</v>
      </c>
      <c r="O599" t="n">
        <v>0</v>
      </c>
      <c r="P599" t="n">
        <v>0</v>
      </c>
      <c r="Q599" t="n">
        <v>0</v>
      </c>
      <c r="R599" s="2" t="inlineStr"/>
    </row>
    <row r="600" ht="15" customHeight="1">
      <c r="A600" t="inlineStr">
        <is>
          <t>A 19787-2025</t>
        </is>
      </c>
      <c r="B600" s="1" t="n">
        <v>45771.4408912037</v>
      </c>
      <c r="C600" s="1" t="n">
        <v>45889</v>
      </c>
      <c r="D600" t="inlineStr">
        <is>
          <t>VÄRMLANDS LÄN</t>
        </is>
      </c>
      <c r="E600" t="inlineStr">
        <is>
          <t>TORSBY</t>
        </is>
      </c>
      <c r="F600" t="inlineStr">
        <is>
          <t>Bergvik skog väst AB</t>
        </is>
      </c>
      <c r="G600" t="n">
        <v>1.3</v>
      </c>
      <c r="H600" t="n">
        <v>0</v>
      </c>
      <c r="I600" t="n">
        <v>0</v>
      </c>
      <c r="J600" t="n">
        <v>0</v>
      </c>
      <c r="K600" t="n">
        <v>0</v>
      </c>
      <c r="L600" t="n">
        <v>0</v>
      </c>
      <c r="M600" t="n">
        <v>0</v>
      </c>
      <c r="N600" t="n">
        <v>0</v>
      </c>
      <c r="O600" t="n">
        <v>0</v>
      </c>
      <c r="P600" t="n">
        <v>0</v>
      </c>
      <c r="Q600" t="n">
        <v>0</v>
      </c>
      <c r="R600" s="2" t="inlineStr"/>
    </row>
    <row r="601" ht="15" customHeight="1">
      <c r="A601" t="inlineStr">
        <is>
          <t>A 19113-2025</t>
        </is>
      </c>
      <c r="B601" s="1" t="n">
        <v>45768.67631944444</v>
      </c>
      <c r="C601" s="1" t="n">
        <v>45889</v>
      </c>
      <c r="D601" t="inlineStr">
        <is>
          <t>VÄRMLANDS LÄN</t>
        </is>
      </c>
      <c r="E601" t="inlineStr">
        <is>
          <t>TORSBY</t>
        </is>
      </c>
      <c r="G601" t="n">
        <v>2.5</v>
      </c>
      <c r="H601" t="n">
        <v>0</v>
      </c>
      <c r="I601" t="n">
        <v>0</v>
      </c>
      <c r="J601" t="n">
        <v>0</v>
      </c>
      <c r="K601" t="n">
        <v>0</v>
      </c>
      <c r="L601" t="n">
        <v>0</v>
      </c>
      <c r="M601" t="n">
        <v>0</v>
      </c>
      <c r="N601" t="n">
        <v>0</v>
      </c>
      <c r="O601" t="n">
        <v>0</v>
      </c>
      <c r="P601" t="n">
        <v>0</v>
      </c>
      <c r="Q601" t="n">
        <v>0</v>
      </c>
      <c r="R601" s="2" t="inlineStr"/>
    </row>
    <row r="602" ht="15" customHeight="1">
      <c r="A602" t="inlineStr">
        <is>
          <t>A 26223-2021</t>
        </is>
      </c>
      <c r="B602" s="1" t="n">
        <v>44347</v>
      </c>
      <c r="C602" s="1" t="n">
        <v>45889</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52982-2023</t>
        </is>
      </c>
      <c r="B603" s="1" t="n">
        <v>45226.61299768519</v>
      </c>
      <c r="C603" s="1" t="n">
        <v>45889</v>
      </c>
      <c r="D603" t="inlineStr">
        <is>
          <t>VÄRMLANDS LÄN</t>
        </is>
      </c>
      <c r="E603" t="inlineStr">
        <is>
          <t>TORSBY</t>
        </is>
      </c>
      <c r="G603" t="n">
        <v>35.5</v>
      </c>
      <c r="H603" t="n">
        <v>0</v>
      </c>
      <c r="I603" t="n">
        <v>0</v>
      </c>
      <c r="J603" t="n">
        <v>0</v>
      </c>
      <c r="K603" t="n">
        <v>0</v>
      </c>
      <c r="L603" t="n">
        <v>0</v>
      </c>
      <c r="M603" t="n">
        <v>0</v>
      </c>
      <c r="N603" t="n">
        <v>0</v>
      </c>
      <c r="O603" t="n">
        <v>0</v>
      </c>
      <c r="P603" t="n">
        <v>0</v>
      </c>
      <c r="Q603" t="n">
        <v>0</v>
      </c>
      <c r="R603" s="2" t="inlineStr"/>
    </row>
    <row r="604" ht="15" customHeight="1">
      <c r="A604" t="inlineStr">
        <is>
          <t>A 16425-2022</t>
        </is>
      </c>
      <c r="B604" s="1" t="n">
        <v>44671</v>
      </c>
      <c r="C604" s="1" t="n">
        <v>45889</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21255-2023</t>
        </is>
      </c>
      <c r="B605" s="1" t="n">
        <v>45058</v>
      </c>
      <c r="C605" s="1" t="n">
        <v>45889</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3326-2024</t>
        </is>
      </c>
      <c r="B606" s="1" t="n">
        <v>45317</v>
      </c>
      <c r="C606" s="1" t="n">
        <v>45889</v>
      </c>
      <c r="D606" t="inlineStr">
        <is>
          <t>VÄRMLANDS LÄN</t>
        </is>
      </c>
      <c r="E606" t="inlineStr">
        <is>
          <t>TORSBY</t>
        </is>
      </c>
      <c r="G606" t="n">
        <v>3.1</v>
      </c>
      <c r="H606" t="n">
        <v>0</v>
      </c>
      <c r="I606" t="n">
        <v>0</v>
      </c>
      <c r="J606" t="n">
        <v>0</v>
      </c>
      <c r="K606" t="n">
        <v>0</v>
      </c>
      <c r="L606" t="n">
        <v>0</v>
      </c>
      <c r="M606" t="n">
        <v>0</v>
      </c>
      <c r="N606" t="n">
        <v>0</v>
      </c>
      <c r="O606" t="n">
        <v>0</v>
      </c>
      <c r="P606" t="n">
        <v>0</v>
      </c>
      <c r="Q606" t="n">
        <v>0</v>
      </c>
      <c r="R606" s="2" t="inlineStr"/>
    </row>
    <row r="607" ht="15" customHeight="1">
      <c r="A607" t="inlineStr">
        <is>
          <t>A 1512-2025</t>
        </is>
      </c>
      <c r="B607" s="1" t="n">
        <v>45670.45255787037</v>
      </c>
      <c r="C607" s="1" t="n">
        <v>45889</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55808-2024</t>
        </is>
      </c>
      <c r="B608" s="1" t="n">
        <v>45622</v>
      </c>
      <c r="C608" s="1" t="n">
        <v>45889</v>
      </c>
      <c r="D608" t="inlineStr">
        <is>
          <t>VÄRMLANDS LÄN</t>
        </is>
      </c>
      <c r="E608" t="inlineStr">
        <is>
          <t>TORSBY</t>
        </is>
      </c>
      <c r="G608" t="n">
        <v>0.4</v>
      </c>
      <c r="H608" t="n">
        <v>0</v>
      </c>
      <c r="I608" t="n">
        <v>0</v>
      </c>
      <c r="J608" t="n">
        <v>0</v>
      </c>
      <c r="K608" t="n">
        <v>0</v>
      </c>
      <c r="L608" t="n">
        <v>0</v>
      </c>
      <c r="M608" t="n">
        <v>0</v>
      </c>
      <c r="N608" t="n">
        <v>0</v>
      </c>
      <c r="O608" t="n">
        <v>0</v>
      </c>
      <c r="P608" t="n">
        <v>0</v>
      </c>
      <c r="Q608" t="n">
        <v>0</v>
      </c>
      <c r="R608" s="2" t="inlineStr"/>
    </row>
    <row r="609" ht="15" customHeight="1">
      <c r="A609" t="inlineStr">
        <is>
          <t>A 39567-2024</t>
        </is>
      </c>
      <c r="B609" s="1" t="n">
        <v>45552.3584375</v>
      </c>
      <c r="C609" s="1" t="n">
        <v>45889</v>
      </c>
      <c r="D609" t="inlineStr">
        <is>
          <t>VÄRMLANDS LÄN</t>
        </is>
      </c>
      <c r="E609" t="inlineStr">
        <is>
          <t>TORSBY</t>
        </is>
      </c>
      <c r="F609" t="inlineStr">
        <is>
          <t>Bergvik skog väst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18344-2021</t>
        </is>
      </c>
      <c r="B610" s="1" t="n">
        <v>44305</v>
      </c>
      <c r="C610" s="1" t="n">
        <v>45889</v>
      </c>
      <c r="D610" t="inlineStr">
        <is>
          <t>VÄRMLANDS LÄN</t>
        </is>
      </c>
      <c r="E610" t="inlineStr">
        <is>
          <t>TORSBY</t>
        </is>
      </c>
      <c r="F610" t="inlineStr">
        <is>
          <t>Kommuner</t>
        </is>
      </c>
      <c r="G610" t="n">
        <v>4.3</v>
      </c>
      <c r="H610" t="n">
        <v>0</v>
      </c>
      <c r="I610" t="n">
        <v>0</v>
      </c>
      <c r="J610" t="n">
        <v>0</v>
      </c>
      <c r="K610" t="n">
        <v>0</v>
      </c>
      <c r="L610" t="n">
        <v>0</v>
      </c>
      <c r="M610" t="n">
        <v>0</v>
      </c>
      <c r="N610" t="n">
        <v>0</v>
      </c>
      <c r="O610" t="n">
        <v>0</v>
      </c>
      <c r="P610" t="n">
        <v>0</v>
      </c>
      <c r="Q610" t="n">
        <v>0</v>
      </c>
      <c r="R610" s="2" t="inlineStr"/>
    </row>
    <row r="611" ht="15" customHeight="1">
      <c r="A611" t="inlineStr">
        <is>
          <t>A 54306-2024</t>
        </is>
      </c>
      <c r="B611" s="1" t="n">
        <v>45617</v>
      </c>
      <c r="C611" s="1" t="n">
        <v>45889</v>
      </c>
      <c r="D611" t="inlineStr">
        <is>
          <t>VÄRMLANDS LÄN</t>
        </is>
      </c>
      <c r="E611" t="inlineStr">
        <is>
          <t>TORSBY</t>
        </is>
      </c>
      <c r="F611" t="inlineStr">
        <is>
          <t>Bergvik skog väst AB</t>
        </is>
      </c>
      <c r="G611" t="n">
        <v>5.7</v>
      </c>
      <c r="H611" t="n">
        <v>0</v>
      </c>
      <c r="I611" t="n">
        <v>0</v>
      </c>
      <c r="J611" t="n">
        <v>0</v>
      </c>
      <c r="K611" t="n">
        <v>0</v>
      </c>
      <c r="L611" t="n">
        <v>0</v>
      </c>
      <c r="M611" t="n">
        <v>0</v>
      </c>
      <c r="N611" t="n">
        <v>0</v>
      </c>
      <c r="O611" t="n">
        <v>0</v>
      </c>
      <c r="P611" t="n">
        <v>0</v>
      </c>
      <c r="Q611" t="n">
        <v>0</v>
      </c>
      <c r="R611" s="2" t="inlineStr"/>
    </row>
    <row r="612" ht="15" customHeight="1">
      <c r="A612" t="inlineStr">
        <is>
          <t>A 18105-2022</t>
        </is>
      </c>
      <c r="B612" s="1" t="n">
        <v>44684</v>
      </c>
      <c r="C612" s="1" t="n">
        <v>45889</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53705-2021</t>
        </is>
      </c>
      <c r="B613" s="1" t="n">
        <v>44469</v>
      </c>
      <c r="C613" s="1" t="n">
        <v>45889</v>
      </c>
      <c r="D613" t="inlineStr">
        <is>
          <t>VÄRMLANDS LÄN</t>
        </is>
      </c>
      <c r="E613" t="inlineStr">
        <is>
          <t>TORSBY</t>
        </is>
      </c>
      <c r="F613" t="inlineStr">
        <is>
          <t>Kyrkan</t>
        </is>
      </c>
      <c r="G613" t="n">
        <v>12.4</v>
      </c>
      <c r="H613" t="n">
        <v>0</v>
      </c>
      <c r="I613" t="n">
        <v>0</v>
      </c>
      <c r="J613" t="n">
        <v>0</v>
      </c>
      <c r="K613" t="n">
        <v>0</v>
      </c>
      <c r="L613" t="n">
        <v>0</v>
      </c>
      <c r="M613" t="n">
        <v>0</v>
      </c>
      <c r="N613" t="n">
        <v>0</v>
      </c>
      <c r="O613" t="n">
        <v>0</v>
      </c>
      <c r="P613" t="n">
        <v>0</v>
      </c>
      <c r="Q613" t="n">
        <v>0</v>
      </c>
      <c r="R613" s="2" t="inlineStr"/>
    </row>
    <row r="614" ht="15" customHeight="1">
      <c r="A614" t="inlineStr">
        <is>
          <t>A 21587-2024</t>
        </is>
      </c>
      <c r="B614" s="1" t="n">
        <v>45441</v>
      </c>
      <c r="C614" s="1" t="n">
        <v>45889</v>
      </c>
      <c r="D614" t="inlineStr">
        <is>
          <t>VÄRMLANDS LÄN</t>
        </is>
      </c>
      <c r="E614" t="inlineStr">
        <is>
          <t>TORSBY</t>
        </is>
      </c>
      <c r="G614" t="n">
        <v>4.8</v>
      </c>
      <c r="H614" t="n">
        <v>0</v>
      </c>
      <c r="I614" t="n">
        <v>0</v>
      </c>
      <c r="J614" t="n">
        <v>0</v>
      </c>
      <c r="K614" t="n">
        <v>0</v>
      </c>
      <c r="L614" t="n">
        <v>0</v>
      </c>
      <c r="M614" t="n">
        <v>0</v>
      </c>
      <c r="N614" t="n">
        <v>0</v>
      </c>
      <c r="O614" t="n">
        <v>0</v>
      </c>
      <c r="P614" t="n">
        <v>0</v>
      </c>
      <c r="Q614" t="n">
        <v>0</v>
      </c>
      <c r="R614" s="2" t="inlineStr"/>
    </row>
    <row r="615" ht="15" customHeight="1">
      <c r="A615" t="inlineStr">
        <is>
          <t>A 9578-2023</t>
        </is>
      </c>
      <c r="B615" s="1" t="n">
        <v>44982.69790509259</v>
      </c>
      <c r="C615" s="1" t="n">
        <v>45889</v>
      </c>
      <c r="D615" t="inlineStr">
        <is>
          <t>VÄRMLANDS LÄN</t>
        </is>
      </c>
      <c r="E615" t="inlineStr">
        <is>
          <t>TORSBY</t>
        </is>
      </c>
      <c r="G615" t="n">
        <v>5.7</v>
      </c>
      <c r="H615" t="n">
        <v>0</v>
      </c>
      <c r="I615" t="n">
        <v>0</v>
      </c>
      <c r="J615" t="n">
        <v>0</v>
      </c>
      <c r="K615" t="n">
        <v>0</v>
      </c>
      <c r="L615" t="n">
        <v>0</v>
      </c>
      <c r="M615" t="n">
        <v>0</v>
      </c>
      <c r="N615" t="n">
        <v>0</v>
      </c>
      <c r="O615" t="n">
        <v>0</v>
      </c>
      <c r="P615" t="n">
        <v>0</v>
      </c>
      <c r="Q615" t="n">
        <v>0</v>
      </c>
      <c r="R615" s="2" t="inlineStr"/>
    </row>
    <row r="616" ht="15" customHeight="1">
      <c r="A616" t="inlineStr">
        <is>
          <t>A 16329-2025</t>
        </is>
      </c>
      <c r="B616" s="1" t="n">
        <v>45751</v>
      </c>
      <c r="C616" s="1" t="n">
        <v>45889</v>
      </c>
      <c r="D616" t="inlineStr">
        <is>
          <t>VÄRMLANDS LÄN</t>
        </is>
      </c>
      <c r="E616" t="inlineStr">
        <is>
          <t>TORSBY</t>
        </is>
      </c>
      <c r="F616" t="inlineStr">
        <is>
          <t>Bergvik skog väst AB</t>
        </is>
      </c>
      <c r="G616" t="n">
        <v>4.8</v>
      </c>
      <c r="H616" t="n">
        <v>0</v>
      </c>
      <c r="I616" t="n">
        <v>0</v>
      </c>
      <c r="J616" t="n">
        <v>0</v>
      </c>
      <c r="K616" t="n">
        <v>0</v>
      </c>
      <c r="L616" t="n">
        <v>0</v>
      </c>
      <c r="M616" t="n">
        <v>0</v>
      </c>
      <c r="N616" t="n">
        <v>0</v>
      </c>
      <c r="O616" t="n">
        <v>0</v>
      </c>
      <c r="P616" t="n">
        <v>0</v>
      </c>
      <c r="Q616" t="n">
        <v>0</v>
      </c>
      <c r="R616" s="2" t="inlineStr"/>
    </row>
    <row r="617" ht="15" customHeight="1">
      <c r="A617" t="inlineStr">
        <is>
          <t>A 20120-2023</t>
        </is>
      </c>
      <c r="B617" s="1" t="n">
        <v>45055</v>
      </c>
      <c r="C617" s="1" t="n">
        <v>45889</v>
      </c>
      <c r="D617" t="inlineStr">
        <is>
          <t>VÄRMLANDS LÄN</t>
        </is>
      </c>
      <c r="E617" t="inlineStr">
        <is>
          <t>TORSBY</t>
        </is>
      </c>
      <c r="G617" t="n">
        <v>7.7</v>
      </c>
      <c r="H617" t="n">
        <v>0</v>
      </c>
      <c r="I617" t="n">
        <v>0</v>
      </c>
      <c r="J617" t="n">
        <v>0</v>
      </c>
      <c r="K617" t="n">
        <v>0</v>
      </c>
      <c r="L617" t="n">
        <v>0</v>
      </c>
      <c r="M617" t="n">
        <v>0</v>
      </c>
      <c r="N617" t="n">
        <v>0</v>
      </c>
      <c r="O617" t="n">
        <v>0</v>
      </c>
      <c r="P617" t="n">
        <v>0</v>
      </c>
      <c r="Q617" t="n">
        <v>0</v>
      </c>
      <c r="R617" s="2" t="inlineStr"/>
    </row>
    <row r="618" ht="15" customHeight="1">
      <c r="A618" t="inlineStr">
        <is>
          <t>A 12365-2022</t>
        </is>
      </c>
      <c r="B618" s="1" t="n">
        <v>44637.70670138889</v>
      </c>
      <c r="C618" s="1" t="n">
        <v>45889</v>
      </c>
      <c r="D618" t="inlineStr">
        <is>
          <t>VÄRMLANDS LÄN</t>
        </is>
      </c>
      <c r="E618" t="inlineStr">
        <is>
          <t>TORSBY</t>
        </is>
      </c>
      <c r="G618" t="n">
        <v>3.5</v>
      </c>
      <c r="H618" t="n">
        <v>0</v>
      </c>
      <c r="I618" t="n">
        <v>0</v>
      </c>
      <c r="J618" t="n">
        <v>0</v>
      </c>
      <c r="K618" t="n">
        <v>0</v>
      </c>
      <c r="L618" t="n">
        <v>0</v>
      </c>
      <c r="M618" t="n">
        <v>0</v>
      </c>
      <c r="N618" t="n">
        <v>0</v>
      </c>
      <c r="O618" t="n">
        <v>0</v>
      </c>
      <c r="P618" t="n">
        <v>0</v>
      </c>
      <c r="Q618" t="n">
        <v>0</v>
      </c>
      <c r="R618" s="2" t="inlineStr"/>
    </row>
    <row r="619" ht="15" customHeight="1">
      <c r="A619" t="inlineStr">
        <is>
          <t>A 38286-2023</t>
        </is>
      </c>
      <c r="B619" s="1" t="n">
        <v>45161.63807870371</v>
      </c>
      <c r="C619" s="1" t="n">
        <v>45889</v>
      </c>
      <c r="D619" t="inlineStr">
        <is>
          <t>VÄRMLANDS LÄN</t>
        </is>
      </c>
      <c r="E619" t="inlineStr">
        <is>
          <t>TORSBY</t>
        </is>
      </c>
      <c r="F619" t="inlineStr">
        <is>
          <t>Kyrkan</t>
        </is>
      </c>
      <c r="G619" t="n">
        <v>6.5</v>
      </c>
      <c r="H619" t="n">
        <v>0</v>
      </c>
      <c r="I619" t="n">
        <v>0</v>
      </c>
      <c r="J619" t="n">
        <v>0</v>
      </c>
      <c r="K619" t="n">
        <v>0</v>
      </c>
      <c r="L619" t="n">
        <v>0</v>
      </c>
      <c r="M619" t="n">
        <v>0</v>
      </c>
      <c r="N619" t="n">
        <v>0</v>
      </c>
      <c r="O619" t="n">
        <v>0</v>
      </c>
      <c r="P619" t="n">
        <v>0</v>
      </c>
      <c r="Q619" t="n">
        <v>0</v>
      </c>
      <c r="R619" s="2" t="inlineStr"/>
    </row>
    <row r="620" ht="15" customHeight="1">
      <c r="A620" t="inlineStr">
        <is>
          <t>A 54265-2024</t>
        </is>
      </c>
      <c r="B620" s="1" t="n">
        <v>45616</v>
      </c>
      <c r="C620" s="1" t="n">
        <v>45889</v>
      </c>
      <c r="D620" t="inlineStr">
        <is>
          <t>VÄRMLANDS LÄN</t>
        </is>
      </c>
      <c r="E620" t="inlineStr">
        <is>
          <t>TORSBY</t>
        </is>
      </c>
      <c r="F620" t="inlineStr">
        <is>
          <t>Kommuner</t>
        </is>
      </c>
      <c r="G620" t="n">
        <v>0.4</v>
      </c>
      <c r="H620" t="n">
        <v>0</v>
      </c>
      <c r="I620" t="n">
        <v>0</v>
      </c>
      <c r="J620" t="n">
        <v>0</v>
      </c>
      <c r="K620" t="n">
        <v>0</v>
      </c>
      <c r="L620" t="n">
        <v>0</v>
      </c>
      <c r="M620" t="n">
        <v>0</v>
      </c>
      <c r="N620" t="n">
        <v>0</v>
      </c>
      <c r="O620" t="n">
        <v>0</v>
      </c>
      <c r="P620" t="n">
        <v>0</v>
      </c>
      <c r="Q620" t="n">
        <v>0</v>
      </c>
      <c r="R620" s="2" t="inlineStr"/>
    </row>
    <row r="621" ht="15" customHeight="1">
      <c r="A621" t="inlineStr">
        <is>
          <t>A 6534-2025</t>
        </is>
      </c>
      <c r="B621" s="1" t="n">
        <v>45699</v>
      </c>
      <c r="C621" s="1" t="n">
        <v>45889</v>
      </c>
      <c r="D621" t="inlineStr">
        <is>
          <t>VÄRMLANDS LÄN</t>
        </is>
      </c>
      <c r="E621" t="inlineStr">
        <is>
          <t>TORSBY</t>
        </is>
      </c>
      <c r="F621" t="inlineStr">
        <is>
          <t>Kommuner</t>
        </is>
      </c>
      <c r="G621" t="n">
        <v>0.1</v>
      </c>
      <c r="H621" t="n">
        <v>0</v>
      </c>
      <c r="I621" t="n">
        <v>0</v>
      </c>
      <c r="J621" t="n">
        <v>0</v>
      </c>
      <c r="K621" t="n">
        <v>0</v>
      </c>
      <c r="L621" t="n">
        <v>0</v>
      </c>
      <c r="M621" t="n">
        <v>0</v>
      </c>
      <c r="N621" t="n">
        <v>0</v>
      </c>
      <c r="O621" t="n">
        <v>0</v>
      </c>
      <c r="P621" t="n">
        <v>0</v>
      </c>
      <c r="Q621" t="n">
        <v>0</v>
      </c>
      <c r="R621" s="2" t="inlineStr"/>
    </row>
    <row r="622" ht="15" customHeight="1">
      <c r="A622" t="inlineStr">
        <is>
          <t>A 19878-2025</t>
        </is>
      </c>
      <c r="B622" s="1" t="n">
        <v>45771.55361111111</v>
      </c>
      <c r="C622" s="1" t="n">
        <v>45889</v>
      </c>
      <c r="D622" t="inlineStr">
        <is>
          <t>VÄRMLANDS LÄN</t>
        </is>
      </c>
      <c r="E622" t="inlineStr">
        <is>
          <t>TORSBY</t>
        </is>
      </c>
      <c r="G622" t="n">
        <v>4.2</v>
      </c>
      <c r="H622" t="n">
        <v>0</v>
      </c>
      <c r="I622" t="n">
        <v>0</v>
      </c>
      <c r="J622" t="n">
        <v>0</v>
      </c>
      <c r="K622" t="n">
        <v>0</v>
      </c>
      <c r="L622" t="n">
        <v>0</v>
      </c>
      <c r="M622" t="n">
        <v>0</v>
      </c>
      <c r="N622" t="n">
        <v>0</v>
      </c>
      <c r="O622" t="n">
        <v>0</v>
      </c>
      <c r="P622" t="n">
        <v>0</v>
      </c>
      <c r="Q622" t="n">
        <v>0</v>
      </c>
      <c r="R622" s="2" t="inlineStr"/>
    </row>
    <row r="623" ht="15" customHeight="1">
      <c r="A623" t="inlineStr">
        <is>
          <t>A 26343-2023</t>
        </is>
      </c>
      <c r="B623" s="1" t="n">
        <v>45091</v>
      </c>
      <c r="C623" s="1" t="n">
        <v>45889</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14525-2025</t>
        </is>
      </c>
      <c r="B624" s="1" t="n">
        <v>45741</v>
      </c>
      <c r="C624" s="1" t="n">
        <v>45889</v>
      </c>
      <c r="D624" t="inlineStr">
        <is>
          <t>VÄRMLANDS LÄN</t>
        </is>
      </c>
      <c r="E624" t="inlineStr">
        <is>
          <t>TORSBY</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44170-2022</t>
        </is>
      </c>
      <c r="B625" s="1" t="n">
        <v>44838</v>
      </c>
      <c r="C625" s="1" t="n">
        <v>45889</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7127-2023</t>
        </is>
      </c>
      <c r="B626" s="1" t="n">
        <v>44970.41383101852</v>
      </c>
      <c r="C626" s="1" t="n">
        <v>45889</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15170-2025</t>
        </is>
      </c>
      <c r="B627" s="1" t="n">
        <v>45743</v>
      </c>
      <c r="C627" s="1" t="n">
        <v>45889</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16073-2024</t>
        </is>
      </c>
      <c r="B628" s="1" t="n">
        <v>45406</v>
      </c>
      <c r="C628" s="1" t="n">
        <v>45889</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58956-2022</t>
        </is>
      </c>
      <c r="B629" s="1" t="n">
        <v>44903.65895833333</v>
      </c>
      <c r="C629" s="1" t="n">
        <v>45889</v>
      </c>
      <c r="D629" t="inlineStr">
        <is>
          <t>VÄRMLANDS LÄN</t>
        </is>
      </c>
      <c r="E629" t="inlineStr">
        <is>
          <t>TORSBY</t>
        </is>
      </c>
      <c r="G629" t="n">
        <v>3.5</v>
      </c>
      <c r="H629" t="n">
        <v>0</v>
      </c>
      <c r="I629" t="n">
        <v>0</v>
      </c>
      <c r="J629" t="n">
        <v>0</v>
      </c>
      <c r="K629" t="n">
        <v>0</v>
      </c>
      <c r="L629" t="n">
        <v>0</v>
      </c>
      <c r="M629" t="n">
        <v>0</v>
      </c>
      <c r="N629" t="n">
        <v>0</v>
      </c>
      <c r="O629" t="n">
        <v>0</v>
      </c>
      <c r="P629" t="n">
        <v>0</v>
      </c>
      <c r="Q629" t="n">
        <v>0</v>
      </c>
      <c r="R629" s="2" t="inlineStr"/>
    </row>
    <row r="630" ht="15" customHeight="1">
      <c r="A630" t="inlineStr">
        <is>
          <t>A 20321-2023</t>
        </is>
      </c>
      <c r="B630" s="1" t="n">
        <v>45056.45232638889</v>
      </c>
      <c r="C630" s="1" t="n">
        <v>45889</v>
      </c>
      <c r="D630" t="inlineStr">
        <is>
          <t>VÄRMLANDS LÄN</t>
        </is>
      </c>
      <c r="E630" t="inlineStr">
        <is>
          <t>TORSBY</t>
        </is>
      </c>
      <c r="F630" t="inlineStr">
        <is>
          <t>Kyrkan</t>
        </is>
      </c>
      <c r="G630" t="n">
        <v>2.3</v>
      </c>
      <c r="H630" t="n">
        <v>0</v>
      </c>
      <c r="I630" t="n">
        <v>0</v>
      </c>
      <c r="J630" t="n">
        <v>0</v>
      </c>
      <c r="K630" t="n">
        <v>0</v>
      </c>
      <c r="L630" t="n">
        <v>0</v>
      </c>
      <c r="M630" t="n">
        <v>0</v>
      </c>
      <c r="N630" t="n">
        <v>0</v>
      </c>
      <c r="O630" t="n">
        <v>0</v>
      </c>
      <c r="P630" t="n">
        <v>0</v>
      </c>
      <c r="Q630" t="n">
        <v>0</v>
      </c>
      <c r="R630" s="2" t="inlineStr"/>
    </row>
    <row r="631" ht="15" customHeight="1">
      <c r="A631" t="inlineStr">
        <is>
          <t>A 17944-2021</t>
        </is>
      </c>
      <c r="B631" s="1" t="n">
        <v>44301</v>
      </c>
      <c r="C631" s="1" t="n">
        <v>45889</v>
      </c>
      <c r="D631" t="inlineStr">
        <is>
          <t>VÄRMLANDS LÄN</t>
        </is>
      </c>
      <c r="E631" t="inlineStr">
        <is>
          <t>TORSBY</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36050-2023</t>
        </is>
      </c>
      <c r="B632" s="1" t="n">
        <v>45149</v>
      </c>
      <c r="C632" s="1" t="n">
        <v>45889</v>
      </c>
      <c r="D632" t="inlineStr">
        <is>
          <t>VÄRMLANDS LÄN</t>
        </is>
      </c>
      <c r="E632" t="inlineStr">
        <is>
          <t>TORSBY</t>
        </is>
      </c>
      <c r="F632" t="inlineStr">
        <is>
          <t>Kommuner</t>
        </is>
      </c>
      <c r="G632" t="n">
        <v>0.7</v>
      </c>
      <c r="H632" t="n">
        <v>0</v>
      </c>
      <c r="I632" t="n">
        <v>0</v>
      </c>
      <c r="J632" t="n">
        <v>0</v>
      </c>
      <c r="K632" t="n">
        <v>0</v>
      </c>
      <c r="L632" t="n">
        <v>0</v>
      </c>
      <c r="M632" t="n">
        <v>0</v>
      </c>
      <c r="N632" t="n">
        <v>0</v>
      </c>
      <c r="O632" t="n">
        <v>0</v>
      </c>
      <c r="P632" t="n">
        <v>0</v>
      </c>
      <c r="Q632" t="n">
        <v>0</v>
      </c>
      <c r="R632" s="2" t="inlineStr"/>
    </row>
    <row r="633" ht="15" customHeight="1">
      <c r="A633" t="inlineStr">
        <is>
          <t>A 57642-2023</t>
        </is>
      </c>
      <c r="B633" s="1" t="n">
        <v>45246.5915625</v>
      </c>
      <c r="C633" s="1" t="n">
        <v>45889</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8033-2022</t>
        </is>
      </c>
      <c r="B634" s="1" t="n">
        <v>44609.43644675926</v>
      </c>
      <c r="C634" s="1" t="n">
        <v>45889</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22973-2024</t>
        </is>
      </c>
      <c r="B635" s="1" t="n">
        <v>45449</v>
      </c>
      <c r="C635" s="1" t="n">
        <v>45889</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29042-2023</t>
        </is>
      </c>
      <c r="B636" s="1" t="n">
        <v>45104</v>
      </c>
      <c r="C636" s="1" t="n">
        <v>45889</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18115-2025</t>
        </is>
      </c>
      <c r="B637" s="1" t="n">
        <v>45761</v>
      </c>
      <c r="C637" s="1" t="n">
        <v>45889</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34966-2024</t>
        </is>
      </c>
      <c r="B638" s="1" t="n">
        <v>45527.49600694444</v>
      </c>
      <c r="C638" s="1" t="n">
        <v>45889</v>
      </c>
      <c r="D638" t="inlineStr">
        <is>
          <t>VÄRMLANDS LÄN</t>
        </is>
      </c>
      <c r="E638" t="inlineStr">
        <is>
          <t>TORSBY</t>
        </is>
      </c>
      <c r="F638" t="inlineStr">
        <is>
          <t>Bergvik skog väst AB</t>
        </is>
      </c>
      <c r="G638" t="n">
        <v>5.2</v>
      </c>
      <c r="H638" t="n">
        <v>0</v>
      </c>
      <c r="I638" t="n">
        <v>0</v>
      </c>
      <c r="J638" t="n">
        <v>0</v>
      </c>
      <c r="K638" t="n">
        <v>0</v>
      </c>
      <c r="L638" t="n">
        <v>0</v>
      </c>
      <c r="M638" t="n">
        <v>0</v>
      </c>
      <c r="N638" t="n">
        <v>0</v>
      </c>
      <c r="O638" t="n">
        <v>0</v>
      </c>
      <c r="P638" t="n">
        <v>0</v>
      </c>
      <c r="Q638" t="n">
        <v>0</v>
      </c>
      <c r="R638" s="2" t="inlineStr"/>
    </row>
    <row r="639" ht="15" customHeight="1">
      <c r="A639" t="inlineStr">
        <is>
          <t>A 69628-2020</t>
        </is>
      </c>
      <c r="B639" s="1" t="n">
        <v>44195</v>
      </c>
      <c r="C639" s="1" t="n">
        <v>45889</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14162-2025</t>
        </is>
      </c>
      <c r="B640" s="1" t="n">
        <v>45740</v>
      </c>
      <c r="C640" s="1" t="n">
        <v>45889</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37752-2022</t>
        </is>
      </c>
      <c r="B641" s="1" t="n">
        <v>44810</v>
      </c>
      <c r="C641" s="1" t="n">
        <v>45889</v>
      </c>
      <c r="D641" t="inlineStr">
        <is>
          <t>VÄRMLANDS LÄN</t>
        </is>
      </c>
      <c r="E641" t="inlineStr">
        <is>
          <t>TORSBY</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34378-2022</t>
        </is>
      </c>
      <c r="B642" s="1" t="n">
        <v>44792.48787037037</v>
      </c>
      <c r="C642" s="1" t="n">
        <v>45889</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20191-2025</t>
        </is>
      </c>
      <c r="B643" s="1" t="n">
        <v>45772</v>
      </c>
      <c r="C643" s="1" t="n">
        <v>45889</v>
      </c>
      <c r="D643" t="inlineStr">
        <is>
          <t>VÄRMLANDS LÄN</t>
        </is>
      </c>
      <c r="E643" t="inlineStr">
        <is>
          <t>TORSBY</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17024-2024</t>
        </is>
      </c>
      <c r="B644" s="1" t="n">
        <v>45412.38322916667</v>
      </c>
      <c r="C644" s="1" t="n">
        <v>45889</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15052-2024</t>
        </is>
      </c>
      <c r="B645" s="1" t="n">
        <v>45399.52613425926</v>
      </c>
      <c r="C645" s="1" t="n">
        <v>45889</v>
      </c>
      <c r="D645" t="inlineStr">
        <is>
          <t>VÄRMLANDS LÄN</t>
        </is>
      </c>
      <c r="E645" t="inlineStr">
        <is>
          <t>TORSBY</t>
        </is>
      </c>
      <c r="G645" t="n">
        <v>1.9</v>
      </c>
      <c r="H645" t="n">
        <v>0</v>
      </c>
      <c r="I645" t="n">
        <v>0</v>
      </c>
      <c r="J645" t="n">
        <v>0</v>
      </c>
      <c r="K645" t="n">
        <v>0</v>
      </c>
      <c r="L645" t="n">
        <v>0</v>
      </c>
      <c r="M645" t="n">
        <v>0</v>
      </c>
      <c r="N645" t="n">
        <v>0</v>
      </c>
      <c r="O645" t="n">
        <v>0</v>
      </c>
      <c r="P645" t="n">
        <v>0</v>
      </c>
      <c r="Q645" t="n">
        <v>0</v>
      </c>
      <c r="R645" s="2" t="inlineStr"/>
    </row>
    <row r="646" ht="15" customHeight="1">
      <c r="A646" t="inlineStr">
        <is>
          <t>A 51823-2024</t>
        </is>
      </c>
      <c r="B646" s="1" t="n">
        <v>45607</v>
      </c>
      <c r="C646" s="1" t="n">
        <v>45889</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44879-2022</t>
        </is>
      </c>
      <c r="B647" s="1" t="n">
        <v>44839</v>
      </c>
      <c r="C647" s="1" t="n">
        <v>45889</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59256-2023</t>
        </is>
      </c>
      <c r="B648" s="1" t="n">
        <v>45251</v>
      </c>
      <c r="C648" s="1" t="n">
        <v>45889</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49206-2022</t>
        </is>
      </c>
      <c r="B649" s="1" t="n">
        <v>44860.95984953704</v>
      </c>
      <c r="C649" s="1" t="n">
        <v>45889</v>
      </c>
      <c r="D649" t="inlineStr">
        <is>
          <t>VÄRMLANDS LÄN</t>
        </is>
      </c>
      <c r="E649" t="inlineStr">
        <is>
          <t>TORSBY</t>
        </is>
      </c>
      <c r="G649" t="n">
        <v>2.4</v>
      </c>
      <c r="H649" t="n">
        <v>0</v>
      </c>
      <c r="I649" t="n">
        <v>0</v>
      </c>
      <c r="J649" t="n">
        <v>0</v>
      </c>
      <c r="K649" t="n">
        <v>0</v>
      </c>
      <c r="L649" t="n">
        <v>0</v>
      </c>
      <c r="M649" t="n">
        <v>0</v>
      </c>
      <c r="N649" t="n">
        <v>0</v>
      </c>
      <c r="O649" t="n">
        <v>0</v>
      </c>
      <c r="P649" t="n">
        <v>0</v>
      </c>
      <c r="Q649" t="n">
        <v>0</v>
      </c>
      <c r="R649" s="2" t="inlineStr"/>
    </row>
    <row r="650" ht="15" customHeight="1">
      <c r="A650" t="inlineStr">
        <is>
          <t>A 9908-2024</t>
        </is>
      </c>
      <c r="B650" s="1" t="n">
        <v>45363</v>
      </c>
      <c r="C650" s="1" t="n">
        <v>45889</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38467-2021</t>
        </is>
      </c>
      <c r="B651" s="1" t="n">
        <v>44405</v>
      </c>
      <c r="C651" s="1" t="n">
        <v>45889</v>
      </c>
      <c r="D651" t="inlineStr">
        <is>
          <t>VÄRMLANDS LÄN</t>
        </is>
      </c>
      <c r="E651" t="inlineStr">
        <is>
          <t>TORSBY</t>
        </is>
      </c>
      <c r="G651" t="n">
        <v>2.8</v>
      </c>
      <c r="H651" t="n">
        <v>0</v>
      </c>
      <c r="I651" t="n">
        <v>0</v>
      </c>
      <c r="J651" t="n">
        <v>0</v>
      </c>
      <c r="K651" t="n">
        <v>0</v>
      </c>
      <c r="L651" t="n">
        <v>0</v>
      </c>
      <c r="M651" t="n">
        <v>0</v>
      </c>
      <c r="N651" t="n">
        <v>0</v>
      </c>
      <c r="O651" t="n">
        <v>0</v>
      </c>
      <c r="P651" t="n">
        <v>0</v>
      </c>
      <c r="Q651" t="n">
        <v>0</v>
      </c>
      <c r="R651" s="2" t="inlineStr"/>
    </row>
    <row r="652" ht="15" customHeight="1">
      <c r="A652" t="inlineStr">
        <is>
          <t>A 27363-2024</t>
        </is>
      </c>
      <c r="B652" s="1" t="n">
        <v>45473</v>
      </c>
      <c r="C652" s="1" t="n">
        <v>45889</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57071-2022</t>
        </is>
      </c>
      <c r="B653" s="1" t="n">
        <v>44895.42334490741</v>
      </c>
      <c r="C653" s="1" t="n">
        <v>45889</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11670-2025</t>
        </is>
      </c>
      <c r="B654" s="1" t="n">
        <v>45727</v>
      </c>
      <c r="C654" s="1" t="n">
        <v>45889</v>
      </c>
      <c r="D654" t="inlineStr">
        <is>
          <t>VÄRMLANDS LÄN</t>
        </is>
      </c>
      <c r="E654" t="inlineStr">
        <is>
          <t>TORSBY</t>
        </is>
      </c>
      <c r="G654" t="n">
        <v>10.9</v>
      </c>
      <c r="H654" t="n">
        <v>0</v>
      </c>
      <c r="I654" t="n">
        <v>0</v>
      </c>
      <c r="J654" t="n">
        <v>0</v>
      </c>
      <c r="K654" t="n">
        <v>0</v>
      </c>
      <c r="L654" t="n">
        <v>0</v>
      </c>
      <c r="M654" t="n">
        <v>0</v>
      </c>
      <c r="N654" t="n">
        <v>0</v>
      </c>
      <c r="O654" t="n">
        <v>0</v>
      </c>
      <c r="P654" t="n">
        <v>0</v>
      </c>
      <c r="Q654" t="n">
        <v>0</v>
      </c>
      <c r="R654" s="2" t="inlineStr"/>
    </row>
    <row r="655" ht="15" customHeight="1">
      <c r="A655" t="inlineStr">
        <is>
          <t>A 11672-2025</t>
        </is>
      </c>
      <c r="B655" s="1" t="n">
        <v>45727</v>
      </c>
      <c r="C655" s="1" t="n">
        <v>45889</v>
      </c>
      <c r="D655" t="inlineStr">
        <is>
          <t>VÄRMLANDS LÄN</t>
        </is>
      </c>
      <c r="E655" t="inlineStr">
        <is>
          <t>TORSBY</t>
        </is>
      </c>
      <c r="G655" t="n">
        <v>4.3</v>
      </c>
      <c r="H655" t="n">
        <v>0</v>
      </c>
      <c r="I655" t="n">
        <v>0</v>
      </c>
      <c r="J655" t="n">
        <v>0</v>
      </c>
      <c r="K655" t="n">
        <v>0</v>
      </c>
      <c r="L655" t="n">
        <v>0</v>
      </c>
      <c r="M655" t="n">
        <v>0</v>
      </c>
      <c r="N655" t="n">
        <v>0</v>
      </c>
      <c r="O655" t="n">
        <v>0</v>
      </c>
      <c r="P655" t="n">
        <v>0</v>
      </c>
      <c r="Q655" t="n">
        <v>0</v>
      </c>
      <c r="R655" s="2" t="inlineStr"/>
    </row>
    <row r="656" ht="15" customHeight="1">
      <c r="A656" t="inlineStr">
        <is>
          <t>A 11135-2024</t>
        </is>
      </c>
      <c r="B656" s="1" t="n">
        <v>45371</v>
      </c>
      <c r="C656" s="1" t="n">
        <v>45889</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39003-2021</t>
        </is>
      </c>
      <c r="B657" s="1" t="n">
        <v>44412</v>
      </c>
      <c r="C657" s="1" t="n">
        <v>45889</v>
      </c>
      <c r="D657" t="inlineStr">
        <is>
          <t>VÄRMLANDS LÄN</t>
        </is>
      </c>
      <c r="E657" t="inlineStr">
        <is>
          <t>TORSBY</t>
        </is>
      </c>
      <c r="F657" t="inlineStr">
        <is>
          <t>Bergvik skog väst AB</t>
        </is>
      </c>
      <c r="G657" t="n">
        <v>3.1</v>
      </c>
      <c r="H657" t="n">
        <v>0</v>
      </c>
      <c r="I657" t="n">
        <v>0</v>
      </c>
      <c r="J657" t="n">
        <v>0</v>
      </c>
      <c r="K657" t="n">
        <v>0</v>
      </c>
      <c r="L657" t="n">
        <v>0</v>
      </c>
      <c r="M657" t="n">
        <v>0</v>
      </c>
      <c r="N657" t="n">
        <v>0</v>
      </c>
      <c r="O657" t="n">
        <v>0</v>
      </c>
      <c r="P657" t="n">
        <v>0</v>
      </c>
      <c r="Q657" t="n">
        <v>0</v>
      </c>
      <c r="R657" s="2" t="inlineStr"/>
    </row>
    <row r="658" ht="15" customHeight="1">
      <c r="A658" t="inlineStr">
        <is>
          <t>A 20393-2023</t>
        </is>
      </c>
      <c r="B658" s="1" t="n">
        <v>45056</v>
      </c>
      <c r="C658" s="1" t="n">
        <v>45889</v>
      </c>
      <c r="D658" t="inlineStr">
        <is>
          <t>VÄRMLANDS LÄN</t>
        </is>
      </c>
      <c r="E658" t="inlineStr">
        <is>
          <t>TORSBY</t>
        </is>
      </c>
      <c r="G658" t="n">
        <v>4.2</v>
      </c>
      <c r="H658" t="n">
        <v>0</v>
      </c>
      <c r="I658" t="n">
        <v>0</v>
      </c>
      <c r="J658" t="n">
        <v>0</v>
      </c>
      <c r="K658" t="n">
        <v>0</v>
      </c>
      <c r="L658" t="n">
        <v>0</v>
      </c>
      <c r="M658" t="n">
        <v>0</v>
      </c>
      <c r="N658" t="n">
        <v>0</v>
      </c>
      <c r="O658" t="n">
        <v>0</v>
      </c>
      <c r="P658" t="n">
        <v>0</v>
      </c>
      <c r="Q658" t="n">
        <v>0</v>
      </c>
      <c r="R658" s="2" t="inlineStr"/>
    </row>
    <row r="659" ht="15" customHeight="1">
      <c r="A659" t="inlineStr">
        <is>
          <t>A 39260-2021</t>
        </is>
      </c>
      <c r="B659" s="1" t="n">
        <v>44413</v>
      </c>
      <c r="C659" s="1" t="n">
        <v>45889</v>
      </c>
      <c r="D659" t="inlineStr">
        <is>
          <t>VÄRMLANDS LÄN</t>
        </is>
      </c>
      <c r="E659" t="inlineStr">
        <is>
          <t>TORSBY</t>
        </is>
      </c>
      <c r="G659" t="n">
        <v>4.7</v>
      </c>
      <c r="H659" t="n">
        <v>0</v>
      </c>
      <c r="I659" t="n">
        <v>0</v>
      </c>
      <c r="J659" t="n">
        <v>0</v>
      </c>
      <c r="K659" t="n">
        <v>0</v>
      </c>
      <c r="L659" t="n">
        <v>0</v>
      </c>
      <c r="M659" t="n">
        <v>0</v>
      </c>
      <c r="N659" t="n">
        <v>0</v>
      </c>
      <c r="O659" t="n">
        <v>0</v>
      </c>
      <c r="P659" t="n">
        <v>0</v>
      </c>
      <c r="Q659" t="n">
        <v>0</v>
      </c>
      <c r="R659" s="2" t="inlineStr"/>
    </row>
    <row r="660" ht="15" customHeight="1">
      <c r="A660" t="inlineStr">
        <is>
          <t>A 23423-2024</t>
        </is>
      </c>
      <c r="B660" s="1" t="n">
        <v>45453.60787037037</v>
      </c>
      <c r="C660" s="1" t="n">
        <v>45889</v>
      </c>
      <c r="D660" t="inlineStr">
        <is>
          <t>VÄRMLANDS LÄN</t>
        </is>
      </c>
      <c r="E660" t="inlineStr">
        <is>
          <t>TORSBY</t>
        </is>
      </c>
      <c r="G660" t="n">
        <v>3.1</v>
      </c>
      <c r="H660" t="n">
        <v>0</v>
      </c>
      <c r="I660" t="n">
        <v>0</v>
      </c>
      <c r="J660" t="n">
        <v>0</v>
      </c>
      <c r="K660" t="n">
        <v>0</v>
      </c>
      <c r="L660" t="n">
        <v>0</v>
      </c>
      <c r="M660" t="n">
        <v>0</v>
      </c>
      <c r="N660" t="n">
        <v>0</v>
      </c>
      <c r="O660" t="n">
        <v>0</v>
      </c>
      <c r="P660" t="n">
        <v>0</v>
      </c>
      <c r="Q660" t="n">
        <v>0</v>
      </c>
      <c r="R660" s="2" t="inlineStr"/>
    </row>
    <row r="661" ht="15" customHeight="1">
      <c r="A661" t="inlineStr">
        <is>
          <t>A 41529-2024</t>
        </is>
      </c>
      <c r="B661" s="1" t="n">
        <v>45560.48552083333</v>
      </c>
      <c r="C661" s="1" t="n">
        <v>45889</v>
      </c>
      <c r="D661" t="inlineStr">
        <is>
          <t>VÄRMLANDS LÄN</t>
        </is>
      </c>
      <c r="E661" t="inlineStr">
        <is>
          <t>TORSBY</t>
        </is>
      </c>
      <c r="F661" t="inlineStr">
        <is>
          <t>Bergvik skog väst AB</t>
        </is>
      </c>
      <c r="G661" t="n">
        <v>4.8</v>
      </c>
      <c r="H661" t="n">
        <v>0</v>
      </c>
      <c r="I661" t="n">
        <v>0</v>
      </c>
      <c r="J661" t="n">
        <v>0</v>
      </c>
      <c r="K661" t="n">
        <v>0</v>
      </c>
      <c r="L661" t="n">
        <v>0</v>
      </c>
      <c r="M661" t="n">
        <v>0</v>
      </c>
      <c r="N661" t="n">
        <v>0</v>
      </c>
      <c r="O661" t="n">
        <v>0</v>
      </c>
      <c r="P661" t="n">
        <v>0</v>
      </c>
      <c r="Q661" t="n">
        <v>0</v>
      </c>
      <c r="R661" s="2" t="inlineStr"/>
    </row>
    <row r="662" ht="15" customHeight="1">
      <c r="A662" t="inlineStr">
        <is>
          <t>A 18365-2025</t>
        </is>
      </c>
      <c r="B662" s="1" t="n">
        <v>45762</v>
      </c>
      <c r="C662" s="1" t="n">
        <v>45889</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17879-2024</t>
        </is>
      </c>
      <c r="B663" s="1" t="n">
        <v>45419</v>
      </c>
      <c r="C663" s="1" t="n">
        <v>45889</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24580-2025</t>
        </is>
      </c>
      <c r="B664" s="1" t="n">
        <v>45798.49059027778</v>
      </c>
      <c r="C664" s="1" t="n">
        <v>45889</v>
      </c>
      <c r="D664" t="inlineStr">
        <is>
          <t>VÄRMLANDS LÄN</t>
        </is>
      </c>
      <c r="E664" t="inlineStr">
        <is>
          <t>TORSBY</t>
        </is>
      </c>
      <c r="G664" t="n">
        <v>12.2</v>
      </c>
      <c r="H664" t="n">
        <v>0</v>
      </c>
      <c r="I664" t="n">
        <v>0</v>
      </c>
      <c r="J664" t="n">
        <v>0</v>
      </c>
      <c r="K664" t="n">
        <v>0</v>
      </c>
      <c r="L664" t="n">
        <v>0</v>
      </c>
      <c r="M664" t="n">
        <v>0</v>
      </c>
      <c r="N664" t="n">
        <v>0</v>
      </c>
      <c r="O664" t="n">
        <v>0</v>
      </c>
      <c r="P664" t="n">
        <v>0</v>
      </c>
      <c r="Q664" t="n">
        <v>0</v>
      </c>
      <c r="R664" s="2" t="inlineStr"/>
    </row>
    <row r="665" ht="15" customHeight="1">
      <c r="A665" t="inlineStr">
        <is>
          <t>A 40997-2022</t>
        </is>
      </c>
      <c r="B665" s="1" t="n">
        <v>44825.50576388889</v>
      </c>
      <c r="C665" s="1" t="n">
        <v>45889</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4172-2022</t>
        </is>
      </c>
      <c r="B666" s="1" t="n">
        <v>44588</v>
      </c>
      <c r="C666" s="1" t="n">
        <v>45889</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21825-2024</t>
        </is>
      </c>
      <c r="B667" s="1" t="n">
        <v>45442</v>
      </c>
      <c r="C667" s="1" t="n">
        <v>45889</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15019-2025</t>
        </is>
      </c>
      <c r="B668" s="1" t="n">
        <v>45743.63811342593</v>
      </c>
      <c r="C668" s="1" t="n">
        <v>45889</v>
      </c>
      <c r="D668" t="inlineStr">
        <is>
          <t>VÄRMLANDS LÄN</t>
        </is>
      </c>
      <c r="E668" t="inlineStr">
        <is>
          <t>TORSBY</t>
        </is>
      </c>
      <c r="F668" t="inlineStr">
        <is>
          <t>Övriga statliga verk och myndigheter</t>
        </is>
      </c>
      <c r="G668" t="n">
        <v>2.6</v>
      </c>
      <c r="H668" t="n">
        <v>0</v>
      </c>
      <c r="I668" t="n">
        <v>0</v>
      </c>
      <c r="J668" t="n">
        <v>0</v>
      </c>
      <c r="K668" t="n">
        <v>0</v>
      </c>
      <c r="L668" t="n">
        <v>0</v>
      </c>
      <c r="M668" t="n">
        <v>0</v>
      </c>
      <c r="N668" t="n">
        <v>0</v>
      </c>
      <c r="O668" t="n">
        <v>0</v>
      </c>
      <c r="P668" t="n">
        <v>0</v>
      </c>
      <c r="Q668" t="n">
        <v>0</v>
      </c>
      <c r="R668" s="2" t="inlineStr"/>
    </row>
    <row r="669" ht="15" customHeight="1">
      <c r="A669" t="inlineStr">
        <is>
          <t>A 43420-2024</t>
        </is>
      </c>
      <c r="B669" s="1" t="n">
        <v>45568</v>
      </c>
      <c r="C669" s="1" t="n">
        <v>45889</v>
      </c>
      <c r="D669" t="inlineStr">
        <is>
          <t>VÄRMLANDS LÄN</t>
        </is>
      </c>
      <c r="E669" t="inlineStr">
        <is>
          <t>TORSBY</t>
        </is>
      </c>
      <c r="G669" t="n">
        <v>3.1</v>
      </c>
      <c r="H669" t="n">
        <v>0</v>
      </c>
      <c r="I669" t="n">
        <v>0</v>
      </c>
      <c r="J669" t="n">
        <v>0</v>
      </c>
      <c r="K669" t="n">
        <v>0</v>
      </c>
      <c r="L669" t="n">
        <v>0</v>
      </c>
      <c r="M669" t="n">
        <v>0</v>
      </c>
      <c r="N669" t="n">
        <v>0</v>
      </c>
      <c r="O669" t="n">
        <v>0</v>
      </c>
      <c r="P669" t="n">
        <v>0</v>
      </c>
      <c r="Q669" t="n">
        <v>0</v>
      </c>
      <c r="R669" s="2" t="inlineStr"/>
    </row>
    <row r="670" ht="15" customHeight="1">
      <c r="A670" t="inlineStr">
        <is>
          <t>A 57536-2024</t>
        </is>
      </c>
      <c r="B670" s="1" t="n">
        <v>45630.43023148148</v>
      </c>
      <c r="C670" s="1" t="n">
        <v>45889</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15175-2024</t>
        </is>
      </c>
      <c r="B671" s="1" t="n">
        <v>45400</v>
      </c>
      <c r="C671" s="1" t="n">
        <v>45889</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276-2024</t>
        </is>
      </c>
      <c r="B672" s="1" t="n">
        <v>45295</v>
      </c>
      <c r="C672" s="1" t="n">
        <v>45889</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21308-2024</t>
        </is>
      </c>
      <c r="B673" s="1" t="n">
        <v>45440</v>
      </c>
      <c r="C673" s="1" t="n">
        <v>45889</v>
      </c>
      <c r="D673" t="inlineStr">
        <is>
          <t>VÄRMLANDS LÄN</t>
        </is>
      </c>
      <c r="E673" t="inlineStr">
        <is>
          <t>TORSBY</t>
        </is>
      </c>
      <c r="G673" t="n">
        <v>18.9</v>
      </c>
      <c r="H673" t="n">
        <v>0</v>
      </c>
      <c r="I673" t="n">
        <v>0</v>
      </c>
      <c r="J673" t="n">
        <v>0</v>
      </c>
      <c r="K673" t="n">
        <v>0</v>
      </c>
      <c r="L673" t="n">
        <v>0</v>
      </c>
      <c r="M673" t="n">
        <v>0</v>
      </c>
      <c r="N673" t="n">
        <v>0</v>
      </c>
      <c r="O673" t="n">
        <v>0</v>
      </c>
      <c r="P673" t="n">
        <v>0</v>
      </c>
      <c r="Q673" t="n">
        <v>0</v>
      </c>
      <c r="R673" s="2" t="inlineStr"/>
    </row>
    <row r="674" ht="15" customHeight="1">
      <c r="A674" t="inlineStr">
        <is>
          <t>A 40858-2023</t>
        </is>
      </c>
      <c r="B674" s="1" t="n">
        <v>45173.34709490741</v>
      </c>
      <c r="C674" s="1" t="n">
        <v>45889</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21076-2023</t>
        </is>
      </c>
      <c r="B675" s="1" t="n">
        <v>45061</v>
      </c>
      <c r="C675" s="1" t="n">
        <v>45889</v>
      </c>
      <c r="D675" t="inlineStr">
        <is>
          <t>VÄRMLANDS LÄN</t>
        </is>
      </c>
      <c r="E675" t="inlineStr">
        <is>
          <t>TORSBY</t>
        </is>
      </c>
      <c r="G675" t="n">
        <v>0.4</v>
      </c>
      <c r="H675" t="n">
        <v>0</v>
      </c>
      <c r="I675" t="n">
        <v>0</v>
      </c>
      <c r="J675" t="n">
        <v>0</v>
      </c>
      <c r="K675" t="n">
        <v>0</v>
      </c>
      <c r="L675" t="n">
        <v>0</v>
      </c>
      <c r="M675" t="n">
        <v>0</v>
      </c>
      <c r="N675" t="n">
        <v>0</v>
      </c>
      <c r="O675" t="n">
        <v>0</v>
      </c>
      <c r="P675" t="n">
        <v>0</v>
      </c>
      <c r="Q675" t="n">
        <v>0</v>
      </c>
      <c r="R675" s="2" t="inlineStr"/>
    </row>
    <row r="676" ht="15" customHeight="1">
      <c r="A676" t="inlineStr">
        <is>
          <t>A 22565-2024</t>
        </is>
      </c>
      <c r="B676" s="1" t="n">
        <v>45447</v>
      </c>
      <c r="C676" s="1" t="n">
        <v>45889</v>
      </c>
      <c r="D676" t="inlineStr">
        <is>
          <t>VÄRMLANDS LÄN</t>
        </is>
      </c>
      <c r="E676" t="inlineStr">
        <is>
          <t>TORSBY</t>
        </is>
      </c>
      <c r="G676" t="n">
        <v>3</v>
      </c>
      <c r="H676" t="n">
        <v>0</v>
      </c>
      <c r="I676" t="n">
        <v>0</v>
      </c>
      <c r="J676" t="n">
        <v>0</v>
      </c>
      <c r="K676" t="n">
        <v>0</v>
      </c>
      <c r="L676" t="n">
        <v>0</v>
      </c>
      <c r="M676" t="n">
        <v>0</v>
      </c>
      <c r="N676" t="n">
        <v>0</v>
      </c>
      <c r="O676" t="n">
        <v>0</v>
      </c>
      <c r="P676" t="n">
        <v>0</v>
      </c>
      <c r="Q676" t="n">
        <v>0</v>
      </c>
      <c r="R676" s="2" t="inlineStr"/>
    </row>
    <row r="677" ht="15" customHeight="1">
      <c r="A677" t="inlineStr">
        <is>
          <t>A 28598-2023</t>
        </is>
      </c>
      <c r="B677" s="1" t="n">
        <v>45103.57421296297</v>
      </c>
      <c r="C677" s="1" t="n">
        <v>45889</v>
      </c>
      <c r="D677" t="inlineStr">
        <is>
          <t>VÄRMLANDS LÄN</t>
        </is>
      </c>
      <c r="E677" t="inlineStr">
        <is>
          <t>TORSBY</t>
        </is>
      </c>
      <c r="G677" t="n">
        <v>1.9</v>
      </c>
      <c r="H677" t="n">
        <v>0</v>
      </c>
      <c r="I677" t="n">
        <v>0</v>
      </c>
      <c r="J677" t="n">
        <v>0</v>
      </c>
      <c r="K677" t="n">
        <v>0</v>
      </c>
      <c r="L677" t="n">
        <v>0</v>
      </c>
      <c r="M677" t="n">
        <v>0</v>
      </c>
      <c r="N677" t="n">
        <v>0</v>
      </c>
      <c r="O677" t="n">
        <v>0</v>
      </c>
      <c r="P677" t="n">
        <v>0</v>
      </c>
      <c r="Q677" t="n">
        <v>0</v>
      </c>
      <c r="R677" s="2" t="inlineStr"/>
    </row>
    <row r="678" ht="15" customHeight="1">
      <c r="A678" t="inlineStr">
        <is>
          <t>A 14304-2023</t>
        </is>
      </c>
      <c r="B678" s="1" t="n">
        <v>45011.76541666667</v>
      </c>
      <c r="C678" s="1" t="n">
        <v>45889</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25163-2023</t>
        </is>
      </c>
      <c r="B679" s="1" t="n">
        <v>45086</v>
      </c>
      <c r="C679" s="1" t="n">
        <v>45889</v>
      </c>
      <c r="D679" t="inlineStr">
        <is>
          <t>VÄRMLANDS LÄN</t>
        </is>
      </c>
      <c r="E679" t="inlineStr">
        <is>
          <t>TORSBY</t>
        </is>
      </c>
      <c r="G679" t="n">
        <v>5.2</v>
      </c>
      <c r="H679" t="n">
        <v>0</v>
      </c>
      <c r="I679" t="n">
        <v>0</v>
      </c>
      <c r="J679" t="n">
        <v>0</v>
      </c>
      <c r="K679" t="n">
        <v>0</v>
      </c>
      <c r="L679" t="n">
        <v>0</v>
      </c>
      <c r="M679" t="n">
        <v>0</v>
      </c>
      <c r="N679" t="n">
        <v>0</v>
      </c>
      <c r="O679" t="n">
        <v>0</v>
      </c>
      <c r="P679" t="n">
        <v>0</v>
      </c>
      <c r="Q679" t="n">
        <v>0</v>
      </c>
      <c r="R679" s="2" t="inlineStr"/>
    </row>
    <row r="680" ht="15" customHeight="1">
      <c r="A680" t="inlineStr">
        <is>
          <t>A 41264-2022</t>
        </is>
      </c>
      <c r="B680" s="1" t="n">
        <v>44823</v>
      </c>
      <c r="C680" s="1" t="n">
        <v>45889</v>
      </c>
      <c r="D680" t="inlineStr">
        <is>
          <t>VÄRMLANDS LÄN</t>
        </is>
      </c>
      <c r="E680" t="inlineStr">
        <is>
          <t>TORSBY</t>
        </is>
      </c>
      <c r="G680" t="n">
        <v>6.5</v>
      </c>
      <c r="H680" t="n">
        <v>0</v>
      </c>
      <c r="I680" t="n">
        <v>0</v>
      </c>
      <c r="J680" t="n">
        <v>0</v>
      </c>
      <c r="K680" t="n">
        <v>0</v>
      </c>
      <c r="L680" t="n">
        <v>0</v>
      </c>
      <c r="M680" t="n">
        <v>0</v>
      </c>
      <c r="N680" t="n">
        <v>0</v>
      </c>
      <c r="O680" t="n">
        <v>0</v>
      </c>
      <c r="P680" t="n">
        <v>0</v>
      </c>
      <c r="Q680" t="n">
        <v>0</v>
      </c>
      <c r="R680" s="2" t="inlineStr"/>
    </row>
    <row r="681" ht="15" customHeight="1">
      <c r="A681" t="inlineStr">
        <is>
          <t>A 46471-2024</t>
        </is>
      </c>
      <c r="B681" s="1" t="n">
        <v>45582.5517824074</v>
      </c>
      <c r="C681" s="1" t="n">
        <v>45889</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11235-2024</t>
        </is>
      </c>
      <c r="B682" s="1" t="n">
        <v>45371</v>
      </c>
      <c r="C682" s="1" t="n">
        <v>45889</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40590-2021</t>
        </is>
      </c>
      <c r="B683" s="1" t="n">
        <v>44420</v>
      </c>
      <c r="C683" s="1" t="n">
        <v>45889</v>
      </c>
      <c r="D683" t="inlineStr">
        <is>
          <t>VÄRMLANDS LÄN</t>
        </is>
      </c>
      <c r="E683" t="inlineStr">
        <is>
          <t>TORSBY</t>
        </is>
      </c>
      <c r="G683" t="n">
        <v>0.9</v>
      </c>
      <c r="H683" t="n">
        <v>0</v>
      </c>
      <c r="I683" t="n">
        <v>0</v>
      </c>
      <c r="J683" t="n">
        <v>0</v>
      </c>
      <c r="K683" t="n">
        <v>0</v>
      </c>
      <c r="L683" t="n">
        <v>0</v>
      </c>
      <c r="M683" t="n">
        <v>0</v>
      </c>
      <c r="N683" t="n">
        <v>0</v>
      </c>
      <c r="O683" t="n">
        <v>0</v>
      </c>
      <c r="P683" t="n">
        <v>0</v>
      </c>
      <c r="Q683" t="n">
        <v>0</v>
      </c>
      <c r="R683" s="2" t="inlineStr"/>
    </row>
    <row r="684" ht="15" customHeight="1">
      <c r="A684" t="inlineStr">
        <is>
          <t>A 11253-2024</t>
        </is>
      </c>
      <c r="B684" s="1" t="n">
        <v>45371</v>
      </c>
      <c r="C684" s="1" t="n">
        <v>45889</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47241-2023</t>
        </is>
      </c>
      <c r="B685" s="1" t="n">
        <v>45202.39821759259</v>
      </c>
      <c r="C685" s="1" t="n">
        <v>45889</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32332-2023</t>
        </is>
      </c>
      <c r="B686" s="1" t="n">
        <v>45110</v>
      </c>
      <c r="C686" s="1" t="n">
        <v>45889</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15085-2023</t>
        </is>
      </c>
      <c r="B687" s="1" t="n">
        <v>45016</v>
      </c>
      <c r="C687" s="1" t="n">
        <v>45889</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71679-2021</t>
        </is>
      </c>
      <c r="B688" s="1" t="n">
        <v>44543</v>
      </c>
      <c r="C688" s="1" t="n">
        <v>45889</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36184-2024</t>
        </is>
      </c>
      <c r="B689" s="1" t="n">
        <v>45534.4178125</v>
      </c>
      <c r="C689" s="1" t="n">
        <v>45889</v>
      </c>
      <c r="D689" t="inlineStr">
        <is>
          <t>VÄRMLANDS LÄN</t>
        </is>
      </c>
      <c r="E689" t="inlineStr">
        <is>
          <t>TORSBY</t>
        </is>
      </c>
      <c r="G689" t="n">
        <v>2.2</v>
      </c>
      <c r="H689" t="n">
        <v>0</v>
      </c>
      <c r="I689" t="n">
        <v>0</v>
      </c>
      <c r="J689" t="n">
        <v>0</v>
      </c>
      <c r="K689" t="n">
        <v>0</v>
      </c>
      <c r="L689" t="n">
        <v>0</v>
      </c>
      <c r="M689" t="n">
        <v>0</v>
      </c>
      <c r="N689" t="n">
        <v>0</v>
      </c>
      <c r="O689" t="n">
        <v>0</v>
      </c>
      <c r="P689" t="n">
        <v>0</v>
      </c>
      <c r="Q689" t="n">
        <v>0</v>
      </c>
      <c r="R689" s="2" t="inlineStr"/>
    </row>
    <row r="690" ht="15" customHeight="1">
      <c r="A690" t="inlineStr">
        <is>
          <t>A 11211-2024</t>
        </is>
      </c>
      <c r="B690" s="1" t="n">
        <v>45371</v>
      </c>
      <c r="C690" s="1" t="n">
        <v>45889</v>
      </c>
      <c r="D690" t="inlineStr">
        <is>
          <t>VÄRMLANDS LÄN</t>
        </is>
      </c>
      <c r="E690" t="inlineStr">
        <is>
          <t>TORSBY</t>
        </is>
      </c>
      <c r="G690" t="n">
        <v>0.2</v>
      </c>
      <c r="H690" t="n">
        <v>0</v>
      </c>
      <c r="I690" t="n">
        <v>0</v>
      </c>
      <c r="J690" t="n">
        <v>0</v>
      </c>
      <c r="K690" t="n">
        <v>0</v>
      </c>
      <c r="L690" t="n">
        <v>0</v>
      </c>
      <c r="M690" t="n">
        <v>0</v>
      </c>
      <c r="N690" t="n">
        <v>0</v>
      </c>
      <c r="O690" t="n">
        <v>0</v>
      </c>
      <c r="P690" t="n">
        <v>0</v>
      </c>
      <c r="Q690" t="n">
        <v>0</v>
      </c>
      <c r="R690" s="2" t="inlineStr"/>
    </row>
    <row r="691" ht="15" customHeight="1">
      <c r="A691" t="inlineStr">
        <is>
          <t>A 5830-2023</t>
        </is>
      </c>
      <c r="B691" s="1" t="n">
        <v>44963</v>
      </c>
      <c r="C691" s="1" t="n">
        <v>45889</v>
      </c>
      <c r="D691" t="inlineStr">
        <is>
          <t>VÄRMLANDS LÄN</t>
        </is>
      </c>
      <c r="E691" t="inlineStr">
        <is>
          <t>TORSBY</t>
        </is>
      </c>
      <c r="G691" t="n">
        <v>2.2</v>
      </c>
      <c r="H691" t="n">
        <v>0</v>
      </c>
      <c r="I691" t="n">
        <v>0</v>
      </c>
      <c r="J691" t="n">
        <v>0</v>
      </c>
      <c r="K691" t="n">
        <v>0</v>
      </c>
      <c r="L691" t="n">
        <v>0</v>
      </c>
      <c r="M691" t="n">
        <v>0</v>
      </c>
      <c r="N691" t="n">
        <v>0</v>
      </c>
      <c r="O691" t="n">
        <v>0</v>
      </c>
      <c r="P691" t="n">
        <v>0</v>
      </c>
      <c r="Q691" t="n">
        <v>0</v>
      </c>
      <c r="R691" s="2" t="inlineStr"/>
    </row>
    <row r="692" ht="15" customHeight="1">
      <c r="A692" t="inlineStr">
        <is>
          <t>A 57721-2022</t>
        </is>
      </c>
      <c r="B692" s="1" t="n">
        <v>44897.55278935185</v>
      </c>
      <c r="C692" s="1" t="n">
        <v>45889</v>
      </c>
      <c r="D692" t="inlineStr">
        <is>
          <t>VÄRMLANDS LÄN</t>
        </is>
      </c>
      <c r="E692" t="inlineStr">
        <is>
          <t>TORSBY</t>
        </is>
      </c>
      <c r="G692" t="n">
        <v>3.3</v>
      </c>
      <c r="H692" t="n">
        <v>0</v>
      </c>
      <c r="I692" t="n">
        <v>0</v>
      </c>
      <c r="J692" t="n">
        <v>0</v>
      </c>
      <c r="K692" t="n">
        <v>0</v>
      </c>
      <c r="L692" t="n">
        <v>0</v>
      </c>
      <c r="M692" t="n">
        <v>0</v>
      </c>
      <c r="N692" t="n">
        <v>0</v>
      </c>
      <c r="O692" t="n">
        <v>0</v>
      </c>
      <c r="P692" t="n">
        <v>0</v>
      </c>
      <c r="Q692" t="n">
        <v>0</v>
      </c>
      <c r="R692" s="2" t="inlineStr"/>
    </row>
    <row r="693" ht="15" customHeight="1">
      <c r="A693" t="inlineStr">
        <is>
          <t>A 19887-2024</t>
        </is>
      </c>
      <c r="B693" s="1" t="n">
        <v>45433</v>
      </c>
      <c r="C693" s="1" t="n">
        <v>45889</v>
      </c>
      <c r="D693" t="inlineStr">
        <is>
          <t>VÄRMLANDS LÄN</t>
        </is>
      </c>
      <c r="E693" t="inlineStr">
        <is>
          <t>TORSBY</t>
        </is>
      </c>
      <c r="G693" t="n">
        <v>10.1</v>
      </c>
      <c r="H693" t="n">
        <v>0</v>
      </c>
      <c r="I693" t="n">
        <v>0</v>
      </c>
      <c r="J693" t="n">
        <v>0</v>
      </c>
      <c r="K693" t="n">
        <v>0</v>
      </c>
      <c r="L693" t="n">
        <v>0</v>
      </c>
      <c r="M693" t="n">
        <v>0</v>
      </c>
      <c r="N693" t="n">
        <v>0</v>
      </c>
      <c r="O693" t="n">
        <v>0</v>
      </c>
      <c r="P693" t="n">
        <v>0</v>
      </c>
      <c r="Q693" t="n">
        <v>0</v>
      </c>
      <c r="R693" s="2" t="inlineStr"/>
    </row>
    <row r="694" ht="15" customHeight="1">
      <c r="A694" t="inlineStr">
        <is>
          <t>A 44532-2022</t>
        </is>
      </c>
      <c r="B694" s="1" t="n">
        <v>44840</v>
      </c>
      <c r="C694" s="1" t="n">
        <v>45889</v>
      </c>
      <c r="D694" t="inlineStr">
        <is>
          <t>VÄRMLANDS LÄN</t>
        </is>
      </c>
      <c r="E694" t="inlineStr">
        <is>
          <t>TORSBY</t>
        </is>
      </c>
      <c r="G694" t="n">
        <v>12.3</v>
      </c>
      <c r="H694" t="n">
        <v>0</v>
      </c>
      <c r="I694" t="n">
        <v>0</v>
      </c>
      <c r="J694" t="n">
        <v>0</v>
      </c>
      <c r="K694" t="n">
        <v>0</v>
      </c>
      <c r="L694" t="n">
        <v>0</v>
      </c>
      <c r="M694" t="n">
        <v>0</v>
      </c>
      <c r="N694" t="n">
        <v>0</v>
      </c>
      <c r="O694" t="n">
        <v>0</v>
      </c>
      <c r="P694" t="n">
        <v>0</v>
      </c>
      <c r="Q694" t="n">
        <v>0</v>
      </c>
      <c r="R694" s="2" t="inlineStr"/>
    </row>
    <row r="695" ht="15" customHeight="1">
      <c r="A695" t="inlineStr">
        <is>
          <t>A 40470-2023</t>
        </is>
      </c>
      <c r="B695" s="1" t="n">
        <v>45170</v>
      </c>
      <c r="C695" s="1" t="n">
        <v>45889</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24717-2024</t>
        </is>
      </c>
      <c r="B696" s="1" t="n">
        <v>45460</v>
      </c>
      <c r="C696" s="1" t="n">
        <v>45889</v>
      </c>
      <c r="D696" t="inlineStr">
        <is>
          <t>VÄRMLANDS LÄN</t>
        </is>
      </c>
      <c r="E696" t="inlineStr">
        <is>
          <t>TORSBY</t>
        </is>
      </c>
      <c r="F696" t="inlineStr">
        <is>
          <t>Övriga statliga verk och myndigheter</t>
        </is>
      </c>
      <c r="G696" t="n">
        <v>2.1</v>
      </c>
      <c r="H696" t="n">
        <v>0</v>
      </c>
      <c r="I696" t="n">
        <v>0</v>
      </c>
      <c r="J696" t="n">
        <v>0</v>
      </c>
      <c r="K696" t="n">
        <v>0</v>
      </c>
      <c r="L696" t="n">
        <v>0</v>
      </c>
      <c r="M696" t="n">
        <v>0</v>
      </c>
      <c r="N696" t="n">
        <v>0</v>
      </c>
      <c r="O696" t="n">
        <v>0</v>
      </c>
      <c r="P696" t="n">
        <v>0</v>
      </c>
      <c r="Q696" t="n">
        <v>0</v>
      </c>
      <c r="R696" s="2" t="inlineStr"/>
    </row>
    <row r="697" ht="15" customHeight="1">
      <c r="A697" t="inlineStr">
        <is>
          <t>A 70785-2021</t>
        </is>
      </c>
      <c r="B697" s="1" t="n">
        <v>44537</v>
      </c>
      <c r="C697" s="1" t="n">
        <v>45889</v>
      </c>
      <c r="D697" t="inlineStr">
        <is>
          <t>VÄRMLANDS LÄN</t>
        </is>
      </c>
      <c r="E697" t="inlineStr">
        <is>
          <t>TORSBY</t>
        </is>
      </c>
      <c r="G697" t="n">
        <v>2.9</v>
      </c>
      <c r="H697" t="n">
        <v>0</v>
      </c>
      <c r="I697" t="n">
        <v>0</v>
      </c>
      <c r="J697" t="n">
        <v>0</v>
      </c>
      <c r="K697" t="n">
        <v>0</v>
      </c>
      <c r="L697" t="n">
        <v>0</v>
      </c>
      <c r="M697" t="n">
        <v>0</v>
      </c>
      <c r="N697" t="n">
        <v>0</v>
      </c>
      <c r="O697" t="n">
        <v>0</v>
      </c>
      <c r="P697" t="n">
        <v>0</v>
      </c>
      <c r="Q697" t="n">
        <v>0</v>
      </c>
      <c r="R697" s="2" t="inlineStr"/>
    </row>
    <row r="698" ht="15" customHeight="1">
      <c r="A698" t="inlineStr">
        <is>
          <t>A 53921-2023</t>
        </is>
      </c>
      <c r="B698" s="1" t="n">
        <v>45231</v>
      </c>
      <c r="C698" s="1" t="n">
        <v>45889</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4640-2022</t>
        </is>
      </c>
      <c r="B699" s="1" t="n">
        <v>44592</v>
      </c>
      <c r="C699" s="1" t="n">
        <v>45889</v>
      </c>
      <c r="D699" t="inlineStr">
        <is>
          <t>VÄRMLANDS LÄN</t>
        </is>
      </c>
      <c r="E699" t="inlineStr">
        <is>
          <t>TORSBY</t>
        </is>
      </c>
      <c r="G699" t="n">
        <v>9</v>
      </c>
      <c r="H699" t="n">
        <v>0</v>
      </c>
      <c r="I699" t="n">
        <v>0</v>
      </c>
      <c r="J699" t="n">
        <v>0</v>
      </c>
      <c r="K699" t="n">
        <v>0</v>
      </c>
      <c r="L699" t="n">
        <v>0</v>
      </c>
      <c r="M699" t="n">
        <v>0</v>
      </c>
      <c r="N699" t="n">
        <v>0</v>
      </c>
      <c r="O699" t="n">
        <v>0</v>
      </c>
      <c r="P699" t="n">
        <v>0</v>
      </c>
      <c r="Q699" t="n">
        <v>0</v>
      </c>
      <c r="R699" s="2" t="inlineStr"/>
    </row>
    <row r="700" ht="15" customHeight="1">
      <c r="A700" t="inlineStr">
        <is>
          <t>A 18876-2023</t>
        </is>
      </c>
      <c r="B700" s="1" t="n">
        <v>45044.50101851852</v>
      </c>
      <c r="C700" s="1" t="n">
        <v>45889</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2155-2024</t>
        </is>
      </c>
      <c r="B701" s="1" t="n">
        <v>45309</v>
      </c>
      <c r="C701" s="1" t="n">
        <v>45889</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27347-2024</t>
        </is>
      </c>
      <c r="B702" s="1" t="n">
        <v>45473.59798611111</v>
      </c>
      <c r="C702" s="1" t="n">
        <v>45889</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59097-2022</t>
        </is>
      </c>
      <c r="B703" s="1" t="n">
        <v>44904</v>
      </c>
      <c r="C703" s="1" t="n">
        <v>45889</v>
      </c>
      <c r="D703" t="inlineStr">
        <is>
          <t>VÄRMLANDS LÄN</t>
        </is>
      </c>
      <c r="E703" t="inlineStr">
        <is>
          <t>TORSBY</t>
        </is>
      </c>
      <c r="G703" t="n">
        <v>6.6</v>
      </c>
      <c r="H703" t="n">
        <v>0</v>
      </c>
      <c r="I703" t="n">
        <v>0</v>
      </c>
      <c r="J703" t="n">
        <v>0</v>
      </c>
      <c r="K703" t="n">
        <v>0</v>
      </c>
      <c r="L703" t="n">
        <v>0</v>
      </c>
      <c r="M703" t="n">
        <v>0</v>
      </c>
      <c r="N703" t="n">
        <v>0</v>
      </c>
      <c r="O703" t="n">
        <v>0</v>
      </c>
      <c r="P703" t="n">
        <v>0</v>
      </c>
      <c r="Q703" t="n">
        <v>0</v>
      </c>
      <c r="R703" s="2" t="inlineStr"/>
    </row>
    <row r="704" ht="15" customHeight="1">
      <c r="A704" t="inlineStr">
        <is>
          <t>A 62574-2022</t>
        </is>
      </c>
      <c r="B704" s="1" t="n">
        <v>44924.85943287037</v>
      </c>
      <c r="C704" s="1" t="n">
        <v>45889</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9381-2024</t>
        </is>
      </c>
      <c r="B705" s="1" t="n">
        <v>45359</v>
      </c>
      <c r="C705" s="1" t="n">
        <v>45889</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9904-2024</t>
        </is>
      </c>
      <c r="B706" s="1" t="n">
        <v>45363</v>
      </c>
      <c r="C706" s="1" t="n">
        <v>45889</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3542-2023</t>
        </is>
      </c>
      <c r="B707" s="1" t="n">
        <v>44950</v>
      </c>
      <c r="C707" s="1" t="n">
        <v>45889</v>
      </c>
      <c r="D707" t="inlineStr">
        <is>
          <t>VÄRMLANDS LÄN</t>
        </is>
      </c>
      <c r="E707" t="inlineStr">
        <is>
          <t>TORSBY</t>
        </is>
      </c>
      <c r="G707" t="n">
        <v>3.2</v>
      </c>
      <c r="H707" t="n">
        <v>0</v>
      </c>
      <c r="I707" t="n">
        <v>0</v>
      </c>
      <c r="J707" t="n">
        <v>0</v>
      </c>
      <c r="K707" t="n">
        <v>0</v>
      </c>
      <c r="L707" t="n">
        <v>0</v>
      </c>
      <c r="M707" t="n">
        <v>0</v>
      </c>
      <c r="N707" t="n">
        <v>0</v>
      </c>
      <c r="O707" t="n">
        <v>0</v>
      </c>
      <c r="P707" t="n">
        <v>0</v>
      </c>
      <c r="Q707" t="n">
        <v>0</v>
      </c>
      <c r="R707" s="2" t="inlineStr"/>
    </row>
    <row r="708" ht="15" customHeight="1">
      <c r="A708" t="inlineStr">
        <is>
          <t>A 44325-2024</t>
        </is>
      </c>
      <c r="B708" s="1" t="n">
        <v>45573</v>
      </c>
      <c r="C708" s="1" t="n">
        <v>45889</v>
      </c>
      <c r="D708" t="inlineStr">
        <is>
          <t>VÄRMLANDS LÄN</t>
        </is>
      </c>
      <c r="E708" t="inlineStr">
        <is>
          <t>TORSBY</t>
        </is>
      </c>
      <c r="G708" t="n">
        <v>1.2</v>
      </c>
      <c r="H708" t="n">
        <v>0</v>
      </c>
      <c r="I708" t="n">
        <v>0</v>
      </c>
      <c r="J708" t="n">
        <v>0</v>
      </c>
      <c r="K708" t="n">
        <v>0</v>
      </c>
      <c r="L708" t="n">
        <v>0</v>
      </c>
      <c r="M708" t="n">
        <v>0</v>
      </c>
      <c r="N708" t="n">
        <v>0</v>
      </c>
      <c r="O708" t="n">
        <v>0</v>
      </c>
      <c r="P708" t="n">
        <v>0</v>
      </c>
      <c r="Q708" t="n">
        <v>0</v>
      </c>
      <c r="R708" s="2" t="inlineStr"/>
    </row>
    <row r="709" ht="15" customHeight="1">
      <c r="A709" t="inlineStr">
        <is>
          <t>A 3678-2024</t>
        </is>
      </c>
      <c r="B709" s="1" t="n">
        <v>45321.37844907407</v>
      </c>
      <c r="C709" s="1" t="n">
        <v>45889</v>
      </c>
      <c r="D709" t="inlineStr">
        <is>
          <t>VÄRMLANDS LÄN</t>
        </is>
      </c>
      <c r="E709" t="inlineStr">
        <is>
          <t>TORSBY</t>
        </is>
      </c>
      <c r="G709" t="n">
        <v>24.6</v>
      </c>
      <c r="H709" t="n">
        <v>0</v>
      </c>
      <c r="I709" t="n">
        <v>0</v>
      </c>
      <c r="J709" t="n">
        <v>0</v>
      </c>
      <c r="K709" t="n">
        <v>0</v>
      </c>
      <c r="L709" t="n">
        <v>0</v>
      </c>
      <c r="M709" t="n">
        <v>0</v>
      </c>
      <c r="N709" t="n">
        <v>0</v>
      </c>
      <c r="O709" t="n">
        <v>0</v>
      </c>
      <c r="P709" t="n">
        <v>0</v>
      </c>
      <c r="Q709" t="n">
        <v>0</v>
      </c>
      <c r="R709" s="2" t="inlineStr"/>
    </row>
    <row r="710" ht="15" customHeight="1">
      <c r="A710" t="inlineStr">
        <is>
          <t>A 59781-2023</t>
        </is>
      </c>
      <c r="B710" s="1" t="n">
        <v>45257.44043981482</v>
      </c>
      <c r="C710" s="1" t="n">
        <v>45889</v>
      </c>
      <c r="D710" t="inlineStr">
        <is>
          <t>VÄRMLANDS LÄN</t>
        </is>
      </c>
      <c r="E710" t="inlineStr">
        <is>
          <t>TORSBY</t>
        </is>
      </c>
      <c r="G710" t="n">
        <v>1.9</v>
      </c>
      <c r="H710" t="n">
        <v>0</v>
      </c>
      <c r="I710" t="n">
        <v>0</v>
      </c>
      <c r="J710" t="n">
        <v>0</v>
      </c>
      <c r="K710" t="n">
        <v>0</v>
      </c>
      <c r="L710" t="n">
        <v>0</v>
      </c>
      <c r="M710" t="n">
        <v>0</v>
      </c>
      <c r="N710" t="n">
        <v>0</v>
      </c>
      <c r="O710" t="n">
        <v>0</v>
      </c>
      <c r="P710" t="n">
        <v>0</v>
      </c>
      <c r="Q710" t="n">
        <v>0</v>
      </c>
      <c r="R710" s="2" t="inlineStr"/>
    </row>
    <row r="711" ht="15" customHeight="1">
      <c r="A711" t="inlineStr">
        <is>
          <t>A 49840-2024</t>
        </is>
      </c>
      <c r="B711" s="1" t="n">
        <v>45597</v>
      </c>
      <c r="C711" s="1" t="n">
        <v>45889</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14730-2024</t>
        </is>
      </c>
      <c r="B712" s="1" t="n">
        <v>45397.58518518518</v>
      </c>
      <c r="C712" s="1" t="n">
        <v>45889</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16210-2025</t>
        </is>
      </c>
      <c r="B713" s="1" t="n">
        <v>45750</v>
      </c>
      <c r="C713" s="1" t="n">
        <v>45889</v>
      </c>
      <c r="D713" t="inlineStr">
        <is>
          <t>VÄRMLANDS LÄN</t>
        </is>
      </c>
      <c r="E713" t="inlineStr">
        <is>
          <t>TORSBY</t>
        </is>
      </c>
      <c r="F713" t="inlineStr">
        <is>
          <t>Bergvik skog väst AB</t>
        </is>
      </c>
      <c r="G713" t="n">
        <v>10.7</v>
      </c>
      <c r="H713" t="n">
        <v>0</v>
      </c>
      <c r="I713" t="n">
        <v>0</v>
      </c>
      <c r="J713" t="n">
        <v>0</v>
      </c>
      <c r="K713" t="n">
        <v>0</v>
      </c>
      <c r="L713" t="n">
        <v>0</v>
      </c>
      <c r="M713" t="n">
        <v>0</v>
      </c>
      <c r="N713" t="n">
        <v>0</v>
      </c>
      <c r="O713" t="n">
        <v>0</v>
      </c>
      <c r="P713" t="n">
        <v>0</v>
      </c>
      <c r="Q713" t="n">
        <v>0</v>
      </c>
      <c r="R713" s="2" t="inlineStr"/>
    </row>
    <row r="714" ht="15" customHeight="1">
      <c r="A714" t="inlineStr">
        <is>
          <t>A 9056-2023</t>
        </is>
      </c>
      <c r="B714" s="1" t="n">
        <v>44979</v>
      </c>
      <c r="C714" s="1" t="n">
        <v>45889</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58869-2022</t>
        </is>
      </c>
      <c r="B715" s="1" t="n">
        <v>44903</v>
      </c>
      <c r="C715" s="1" t="n">
        <v>45889</v>
      </c>
      <c r="D715" t="inlineStr">
        <is>
          <t>VÄRMLANDS LÄN</t>
        </is>
      </c>
      <c r="E715" t="inlineStr">
        <is>
          <t>TORSBY</t>
        </is>
      </c>
      <c r="G715" t="n">
        <v>0.4</v>
      </c>
      <c r="H715" t="n">
        <v>0</v>
      </c>
      <c r="I715" t="n">
        <v>0</v>
      </c>
      <c r="J715" t="n">
        <v>0</v>
      </c>
      <c r="K715" t="n">
        <v>0</v>
      </c>
      <c r="L715" t="n">
        <v>0</v>
      </c>
      <c r="M715" t="n">
        <v>0</v>
      </c>
      <c r="N715" t="n">
        <v>0</v>
      </c>
      <c r="O715" t="n">
        <v>0</v>
      </c>
      <c r="P715" t="n">
        <v>0</v>
      </c>
      <c r="Q715" t="n">
        <v>0</v>
      </c>
      <c r="R715" s="2" t="inlineStr"/>
    </row>
    <row r="716" ht="15" customHeight="1">
      <c r="A716" t="inlineStr">
        <is>
          <t>A 1275-2024</t>
        </is>
      </c>
      <c r="B716" s="1" t="n">
        <v>45302</v>
      </c>
      <c r="C716" s="1" t="n">
        <v>45889</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44838-2024</t>
        </is>
      </c>
      <c r="B717" s="1" t="n">
        <v>45574.7069675926</v>
      </c>
      <c r="C717" s="1" t="n">
        <v>45889</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6828-2024</t>
        </is>
      </c>
      <c r="B718" s="1" t="n">
        <v>45342</v>
      </c>
      <c r="C718" s="1" t="n">
        <v>45889</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41156-2023</t>
        </is>
      </c>
      <c r="B719" s="1" t="n">
        <v>45174</v>
      </c>
      <c r="C719" s="1" t="n">
        <v>45889</v>
      </c>
      <c r="D719" t="inlineStr">
        <is>
          <t>VÄRMLANDS LÄN</t>
        </is>
      </c>
      <c r="E719" t="inlineStr">
        <is>
          <t>TORSBY</t>
        </is>
      </c>
      <c r="F719" t="inlineStr">
        <is>
          <t>Kyrkan</t>
        </is>
      </c>
      <c r="G719" t="n">
        <v>3.1</v>
      </c>
      <c r="H719" t="n">
        <v>0</v>
      </c>
      <c r="I719" t="n">
        <v>0</v>
      </c>
      <c r="J719" t="n">
        <v>0</v>
      </c>
      <c r="K719" t="n">
        <v>0</v>
      </c>
      <c r="L719" t="n">
        <v>0</v>
      </c>
      <c r="M719" t="n">
        <v>0</v>
      </c>
      <c r="N719" t="n">
        <v>0</v>
      </c>
      <c r="O719" t="n">
        <v>0</v>
      </c>
      <c r="P719" t="n">
        <v>0</v>
      </c>
      <c r="Q719" t="n">
        <v>0</v>
      </c>
      <c r="R719" s="2" t="inlineStr"/>
    </row>
    <row r="720" ht="15" customHeight="1">
      <c r="A720" t="inlineStr">
        <is>
          <t>A 33268-2023</t>
        </is>
      </c>
      <c r="B720" s="1" t="n">
        <v>45127.58094907407</v>
      </c>
      <c r="C720" s="1" t="n">
        <v>45889</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12933-2023</t>
        </is>
      </c>
      <c r="B721" s="1" t="n">
        <v>45001</v>
      </c>
      <c r="C721" s="1" t="n">
        <v>45889</v>
      </c>
      <c r="D721" t="inlineStr">
        <is>
          <t>VÄRMLANDS LÄN</t>
        </is>
      </c>
      <c r="E721" t="inlineStr">
        <is>
          <t>TORSBY</t>
        </is>
      </c>
      <c r="G721" t="n">
        <v>7.1</v>
      </c>
      <c r="H721" t="n">
        <v>0</v>
      </c>
      <c r="I721" t="n">
        <v>0</v>
      </c>
      <c r="J721" t="n">
        <v>0</v>
      </c>
      <c r="K721" t="n">
        <v>0</v>
      </c>
      <c r="L721" t="n">
        <v>0</v>
      </c>
      <c r="M721" t="n">
        <v>0</v>
      </c>
      <c r="N721" t="n">
        <v>0</v>
      </c>
      <c r="O721" t="n">
        <v>0</v>
      </c>
      <c r="P721" t="n">
        <v>0</v>
      </c>
      <c r="Q721" t="n">
        <v>0</v>
      </c>
      <c r="R721" s="2" t="inlineStr"/>
    </row>
    <row r="722" ht="15" customHeight="1">
      <c r="A722" t="inlineStr">
        <is>
          <t>A 60796-2024</t>
        </is>
      </c>
      <c r="B722" s="1" t="n">
        <v>45642</v>
      </c>
      <c r="C722" s="1" t="n">
        <v>45889</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18501-2025</t>
        </is>
      </c>
      <c r="B723" s="1" t="n">
        <v>45763</v>
      </c>
      <c r="C723" s="1" t="n">
        <v>45889</v>
      </c>
      <c r="D723" t="inlineStr">
        <is>
          <t>VÄRMLANDS LÄN</t>
        </is>
      </c>
      <c r="E723" t="inlineStr">
        <is>
          <t>TORSBY</t>
        </is>
      </c>
      <c r="F723" t="inlineStr">
        <is>
          <t>Bergvik skog väst AB</t>
        </is>
      </c>
      <c r="G723" t="n">
        <v>5.7</v>
      </c>
      <c r="H723" t="n">
        <v>0</v>
      </c>
      <c r="I723" t="n">
        <v>0</v>
      </c>
      <c r="J723" t="n">
        <v>0</v>
      </c>
      <c r="K723" t="n">
        <v>0</v>
      </c>
      <c r="L723" t="n">
        <v>0</v>
      </c>
      <c r="M723" t="n">
        <v>0</v>
      </c>
      <c r="N723" t="n">
        <v>0</v>
      </c>
      <c r="O723" t="n">
        <v>0</v>
      </c>
      <c r="P723" t="n">
        <v>0</v>
      </c>
      <c r="Q723" t="n">
        <v>0</v>
      </c>
      <c r="R723" s="2" t="inlineStr"/>
    </row>
    <row r="724" ht="15" customHeight="1">
      <c r="A724" t="inlineStr">
        <is>
          <t>A 32988-2024</t>
        </is>
      </c>
      <c r="B724" s="1" t="n">
        <v>45517.46616898148</v>
      </c>
      <c r="C724" s="1" t="n">
        <v>45889</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63083-2023</t>
        </is>
      </c>
      <c r="B725" s="1" t="n">
        <v>45273.348125</v>
      </c>
      <c r="C725" s="1" t="n">
        <v>45889</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25932-2024</t>
        </is>
      </c>
      <c r="B726" s="1" t="n">
        <v>45467.62097222222</v>
      </c>
      <c r="C726" s="1" t="n">
        <v>45889</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39780-2022</t>
        </is>
      </c>
      <c r="B727" s="1" t="n">
        <v>44819.46672453704</v>
      </c>
      <c r="C727" s="1" t="n">
        <v>45889</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24261-2024</t>
        </is>
      </c>
      <c r="B728" s="1" t="n">
        <v>45457</v>
      </c>
      <c r="C728" s="1" t="n">
        <v>45889</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11575-2024</t>
        </is>
      </c>
      <c r="B729" s="1" t="n">
        <v>45373</v>
      </c>
      <c r="C729" s="1" t="n">
        <v>45889</v>
      </c>
      <c r="D729" t="inlineStr">
        <is>
          <t>VÄRMLANDS LÄN</t>
        </is>
      </c>
      <c r="E729" t="inlineStr">
        <is>
          <t>TORSBY</t>
        </is>
      </c>
      <c r="G729" t="n">
        <v>14.2</v>
      </c>
      <c r="H729" t="n">
        <v>0</v>
      </c>
      <c r="I729" t="n">
        <v>0</v>
      </c>
      <c r="J729" t="n">
        <v>0</v>
      </c>
      <c r="K729" t="n">
        <v>0</v>
      </c>
      <c r="L729" t="n">
        <v>0</v>
      </c>
      <c r="M729" t="n">
        <v>0</v>
      </c>
      <c r="N729" t="n">
        <v>0</v>
      </c>
      <c r="O729" t="n">
        <v>0</v>
      </c>
      <c r="P729" t="n">
        <v>0</v>
      </c>
      <c r="Q729" t="n">
        <v>0</v>
      </c>
      <c r="R729" s="2" t="inlineStr"/>
    </row>
    <row r="730" ht="15" customHeight="1">
      <c r="A730" t="inlineStr">
        <is>
          <t>A 57726-2022</t>
        </is>
      </c>
      <c r="B730" s="1" t="n">
        <v>44897.56420138889</v>
      </c>
      <c r="C730" s="1" t="n">
        <v>45889</v>
      </c>
      <c r="D730" t="inlineStr">
        <is>
          <t>VÄRMLANDS LÄN</t>
        </is>
      </c>
      <c r="E730" t="inlineStr">
        <is>
          <t>TORSBY</t>
        </is>
      </c>
      <c r="G730" t="n">
        <v>3.1</v>
      </c>
      <c r="H730" t="n">
        <v>0</v>
      </c>
      <c r="I730" t="n">
        <v>0</v>
      </c>
      <c r="J730" t="n">
        <v>0</v>
      </c>
      <c r="K730" t="n">
        <v>0</v>
      </c>
      <c r="L730" t="n">
        <v>0</v>
      </c>
      <c r="M730" t="n">
        <v>0</v>
      </c>
      <c r="N730" t="n">
        <v>0</v>
      </c>
      <c r="O730" t="n">
        <v>0</v>
      </c>
      <c r="P730" t="n">
        <v>0</v>
      </c>
      <c r="Q730" t="n">
        <v>0</v>
      </c>
      <c r="R730" s="2" t="inlineStr"/>
    </row>
    <row r="731" ht="15" customHeight="1">
      <c r="A731" t="inlineStr">
        <is>
          <t>A 60058-2023</t>
        </is>
      </c>
      <c r="B731" s="1" t="n">
        <v>45258.37978009259</v>
      </c>
      <c r="C731" s="1" t="n">
        <v>45889</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61253-2024</t>
        </is>
      </c>
      <c r="B732" s="1" t="n">
        <v>45645</v>
      </c>
      <c r="C732" s="1" t="n">
        <v>45889</v>
      </c>
      <c r="D732" t="inlineStr">
        <is>
          <t>VÄRMLANDS LÄN</t>
        </is>
      </c>
      <c r="E732" t="inlineStr">
        <is>
          <t>TORSBY</t>
        </is>
      </c>
      <c r="G732" t="n">
        <v>13.4</v>
      </c>
      <c r="H732" t="n">
        <v>0</v>
      </c>
      <c r="I732" t="n">
        <v>0</v>
      </c>
      <c r="J732" t="n">
        <v>0</v>
      </c>
      <c r="K732" t="n">
        <v>0</v>
      </c>
      <c r="L732" t="n">
        <v>0</v>
      </c>
      <c r="M732" t="n">
        <v>0</v>
      </c>
      <c r="N732" t="n">
        <v>0</v>
      </c>
      <c r="O732" t="n">
        <v>0</v>
      </c>
      <c r="P732" t="n">
        <v>0</v>
      </c>
      <c r="Q732" t="n">
        <v>0</v>
      </c>
      <c r="R732" s="2" t="inlineStr"/>
    </row>
    <row r="733" ht="15" customHeight="1">
      <c r="A733" t="inlineStr">
        <is>
          <t>A 36879-2024</t>
        </is>
      </c>
      <c r="B733" s="1" t="n">
        <v>45538</v>
      </c>
      <c r="C733" s="1" t="n">
        <v>45889</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58430-2023</t>
        </is>
      </c>
      <c r="B734" s="1" t="n">
        <v>45250.80646990741</v>
      </c>
      <c r="C734" s="1" t="n">
        <v>45889</v>
      </c>
      <c r="D734" t="inlineStr">
        <is>
          <t>VÄRMLANDS LÄN</t>
        </is>
      </c>
      <c r="E734" t="inlineStr">
        <is>
          <t>TORSBY</t>
        </is>
      </c>
      <c r="G734" t="n">
        <v>0.3</v>
      </c>
      <c r="H734" t="n">
        <v>0</v>
      </c>
      <c r="I734" t="n">
        <v>0</v>
      </c>
      <c r="J734" t="n">
        <v>0</v>
      </c>
      <c r="K734" t="n">
        <v>0</v>
      </c>
      <c r="L734" t="n">
        <v>0</v>
      </c>
      <c r="M734" t="n">
        <v>0</v>
      </c>
      <c r="N734" t="n">
        <v>0</v>
      </c>
      <c r="O734" t="n">
        <v>0</v>
      </c>
      <c r="P734" t="n">
        <v>0</v>
      </c>
      <c r="Q734" t="n">
        <v>0</v>
      </c>
      <c r="R734" s="2" t="inlineStr"/>
    </row>
    <row r="735" ht="15" customHeight="1">
      <c r="A735" t="inlineStr">
        <is>
          <t>A 29043-2023</t>
        </is>
      </c>
      <c r="B735" s="1" t="n">
        <v>45104</v>
      </c>
      <c r="C735" s="1" t="n">
        <v>45889</v>
      </c>
      <c r="D735" t="inlineStr">
        <is>
          <t>VÄRMLANDS LÄN</t>
        </is>
      </c>
      <c r="E735" t="inlineStr">
        <is>
          <t>TORSBY</t>
        </is>
      </c>
      <c r="G735" t="n">
        <v>1.5</v>
      </c>
      <c r="H735" t="n">
        <v>0</v>
      </c>
      <c r="I735" t="n">
        <v>0</v>
      </c>
      <c r="J735" t="n">
        <v>0</v>
      </c>
      <c r="K735" t="n">
        <v>0</v>
      </c>
      <c r="L735" t="n">
        <v>0</v>
      </c>
      <c r="M735" t="n">
        <v>0</v>
      </c>
      <c r="N735" t="n">
        <v>0</v>
      </c>
      <c r="O735" t="n">
        <v>0</v>
      </c>
      <c r="P735" t="n">
        <v>0</v>
      </c>
      <c r="Q735" t="n">
        <v>0</v>
      </c>
      <c r="R735" s="2" t="inlineStr"/>
    </row>
    <row r="736" ht="15" customHeight="1">
      <c r="A736" t="inlineStr">
        <is>
          <t>A 3666-2023</t>
        </is>
      </c>
      <c r="B736" s="1" t="n">
        <v>44950</v>
      </c>
      <c r="C736" s="1" t="n">
        <v>45889</v>
      </c>
      <c r="D736" t="inlineStr">
        <is>
          <t>VÄRMLANDS LÄN</t>
        </is>
      </c>
      <c r="E736" t="inlineStr">
        <is>
          <t>TORSBY</t>
        </is>
      </c>
      <c r="G736" t="n">
        <v>6.8</v>
      </c>
      <c r="H736" t="n">
        <v>0</v>
      </c>
      <c r="I736" t="n">
        <v>0</v>
      </c>
      <c r="J736" t="n">
        <v>0</v>
      </c>
      <c r="K736" t="n">
        <v>0</v>
      </c>
      <c r="L736" t="n">
        <v>0</v>
      </c>
      <c r="M736" t="n">
        <v>0</v>
      </c>
      <c r="N736" t="n">
        <v>0</v>
      </c>
      <c r="O736" t="n">
        <v>0</v>
      </c>
      <c r="P736" t="n">
        <v>0</v>
      </c>
      <c r="Q736" t="n">
        <v>0</v>
      </c>
      <c r="R736" s="2" t="inlineStr"/>
    </row>
    <row r="737" ht="15" customHeight="1">
      <c r="A737" t="inlineStr">
        <is>
          <t>A 3670-2023</t>
        </is>
      </c>
      <c r="B737" s="1" t="n">
        <v>44950</v>
      </c>
      <c r="C737" s="1" t="n">
        <v>45889</v>
      </c>
      <c r="D737" t="inlineStr">
        <is>
          <t>VÄRMLANDS LÄN</t>
        </is>
      </c>
      <c r="E737" t="inlineStr">
        <is>
          <t>TORSBY</t>
        </is>
      </c>
      <c r="G737" t="n">
        <v>15.4</v>
      </c>
      <c r="H737" t="n">
        <v>0</v>
      </c>
      <c r="I737" t="n">
        <v>0</v>
      </c>
      <c r="J737" t="n">
        <v>0</v>
      </c>
      <c r="K737" t="n">
        <v>0</v>
      </c>
      <c r="L737" t="n">
        <v>0</v>
      </c>
      <c r="M737" t="n">
        <v>0</v>
      </c>
      <c r="N737" t="n">
        <v>0</v>
      </c>
      <c r="O737" t="n">
        <v>0</v>
      </c>
      <c r="P737" t="n">
        <v>0</v>
      </c>
      <c r="Q737" t="n">
        <v>0</v>
      </c>
      <c r="R737" s="2" t="inlineStr"/>
    </row>
    <row r="738" ht="15" customHeight="1">
      <c r="A738" t="inlineStr">
        <is>
          <t>A 39642-2021</t>
        </is>
      </c>
      <c r="B738" s="1" t="n">
        <v>44417</v>
      </c>
      <c r="C738" s="1" t="n">
        <v>45889</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33072-2023</t>
        </is>
      </c>
      <c r="B739" s="1" t="n">
        <v>45126</v>
      </c>
      <c r="C739" s="1" t="n">
        <v>45889</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3590-2024</t>
        </is>
      </c>
      <c r="B740" s="1" t="n">
        <v>45320</v>
      </c>
      <c r="C740" s="1" t="n">
        <v>45889</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51386-2023</t>
        </is>
      </c>
      <c r="B741" s="1" t="n">
        <v>45219.65394675926</v>
      </c>
      <c r="C741" s="1" t="n">
        <v>45889</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65134-2023</t>
        </is>
      </c>
      <c r="B742" s="1" t="n">
        <v>45288.52010416667</v>
      </c>
      <c r="C742" s="1" t="n">
        <v>45889</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22421-2024</t>
        </is>
      </c>
      <c r="B743" s="1" t="n">
        <v>45446.70890046296</v>
      </c>
      <c r="C743" s="1" t="n">
        <v>45889</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38914-2022</t>
        </is>
      </c>
      <c r="B744" s="1" t="n">
        <v>44816.61194444444</v>
      </c>
      <c r="C744" s="1" t="n">
        <v>45889</v>
      </c>
      <c r="D744" t="inlineStr">
        <is>
          <t>VÄRMLANDS LÄN</t>
        </is>
      </c>
      <c r="E744" t="inlineStr">
        <is>
          <t>TORSBY</t>
        </is>
      </c>
      <c r="G744" t="n">
        <v>4.8</v>
      </c>
      <c r="H744" t="n">
        <v>0</v>
      </c>
      <c r="I744" t="n">
        <v>0</v>
      </c>
      <c r="J744" t="n">
        <v>0</v>
      </c>
      <c r="K744" t="n">
        <v>0</v>
      </c>
      <c r="L744" t="n">
        <v>0</v>
      </c>
      <c r="M744" t="n">
        <v>0</v>
      </c>
      <c r="N744" t="n">
        <v>0</v>
      </c>
      <c r="O744" t="n">
        <v>0</v>
      </c>
      <c r="P744" t="n">
        <v>0</v>
      </c>
      <c r="Q744" t="n">
        <v>0</v>
      </c>
      <c r="R744" s="2" t="inlineStr"/>
    </row>
    <row r="745" ht="15" customHeight="1">
      <c r="A745" t="inlineStr">
        <is>
          <t>A 27677-2024</t>
        </is>
      </c>
      <c r="B745" s="1" t="n">
        <v>45475</v>
      </c>
      <c r="C745" s="1" t="n">
        <v>45889</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27678-2024</t>
        </is>
      </c>
      <c r="B746" s="1" t="n">
        <v>45475</v>
      </c>
      <c r="C746" s="1" t="n">
        <v>45889</v>
      </c>
      <c r="D746" t="inlineStr">
        <is>
          <t>VÄRMLANDS LÄN</t>
        </is>
      </c>
      <c r="E746" t="inlineStr">
        <is>
          <t>TORSBY</t>
        </is>
      </c>
      <c r="G746" t="n">
        <v>0.5</v>
      </c>
      <c r="H746" t="n">
        <v>0</v>
      </c>
      <c r="I746" t="n">
        <v>0</v>
      </c>
      <c r="J746" t="n">
        <v>0</v>
      </c>
      <c r="K746" t="n">
        <v>0</v>
      </c>
      <c r="L746" t="n">
        <v>0</v>
      </c>
      <c r="M746" t="n">
        <v>0</v>
      </c>
      <c r="N746" t="n">
        <v>0</v>
      </c>
      <c r="O746" t="n">
        <v>0</v>
      </c>
      <c r="P746" t="n">
        <v>0</v>
      </c>
      <c r="Q746" t="n">
        <v>0</v>
      </c>
      <c r="R746" s="2" t="inlineStr"/>
    </row>
    <row r="747" ht="15" customHeight="1">
      <c r="A747" t="inlineStr">
        <is>
          <t>A 61367-2022</t>
        </is>
      </c>
      <c r="B747" s="1" t="n">
        <v>44915.82997685186</v>
      </c>
      <c r="C747" s="1" t="n">
        <v>45889</v>
      </c>
      <c r="D747" t="inlineStr">
        <is>
          <t>VÄRMLANDS LÄN</t>
        </is>
      </c>
      <c r="E747" t="inlineStr">
        <is>
          <t>TORSBY</t>
        </is>
      </c>
      <c r="G747" t="n">
        <v>2.6</v>
      </c>
      <c r="H747" t="n">
        <v>0</v>
      </c>
      <c r="I747" t="n">
        <v>0</v>
      </c>
      <c r="J747" t="n">
        <v>0</v>
      </c>
      <c r="K747" t="n">
        <v>0</v>
      </c>
      <c r="L747" t="n">
        <v>0</v>
      </c>
      <c r="M747" t="n">
        <v>0</v>
      </c>
      <c r="N747" t="n">
        <v>0</v>
      </c>
      <c r="O747" t="n">
        <v>0</v>
      </c>
      <c r="P747" t="n">
        <v>0</v>
      </c>
      <c r="Q747" t="n">
        <v>0</v>
      </c>
      <c r="R747" s="2" t="inlineStr"/>
    </row>
    <row r="748" ht="15" customHeight="1">
      <c r="A748" t="inlineStr">
        <is>
          <t>A 6068-2021</t>
        </is>
      </c>
      <c r="B748" s="1" t="n">
        <v>44232</v>
      </c>
      <c r="C748" s="1" t="n">
        <v>45889</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1997-2025</t>
        </is>
      </c>
      <c r="B749" s="1" t="n">
        <v>45672.44431712963</v>
      </c>
      <c r="C749" s="1" t="n">
        <v>45889</v>
      </c>
      <c r="D749" t="inlineStr">
        <is>
          <t>VÄRMLANDS LÄN</t>
        </is>
      </c>
      <c r="E749" t="inlineStr">
        <is>
          <t>TORSBY</t>
        </is>
      </c>
      <c r="G749" t="n">
        <v>20.1</v>
      </c>
      <c r="H749" t="n">
        <v>0</v>
      </c>
      <c r="I749" t="n">
        <v>0</v>
      </c>
      <c r="J749" t="n">
        <v>0</v>
      </c>
      <c r="K749" t="n">
        <v>0</v>
      </c>
      <c r="L749" t="n">
        <v>0</v>
      </c>
      <c r="M749" t="n">
        <v>0</v>
      </c>
      <c r="N749" t="n">
        <v>0</v>
      </c>
      <c r="O749" t="n">
        <v>0</v>
      </c>
      <c r="P749" t="n">
        <v>0</v>
      </c>
      <c r="Q749" t="n">
        <v>0</v>
      </c>
      <c r="R749" s="2" t="inlineStr"/>
    </row>
    <row r="750" ht="15" customHeight="1">
      <c r="A750" t="inlineStr">
        <is>
          <t>A 58255-2024</t>
        </is>
      </c>
      <c r="B750" s="1" t="n">
        <v>45632.55993055556</v>
      </c>
      <c r="C750" s="1" t="n">
        <v>45889</v>
      </c>
      <c r="D750" t="inlineStr">
        <is>
          <t>VÄRMLANDS LÄN</t>
        </is>
      </c>
      <c r="E750" t="inlineStr">
        <is>
          <t>TORSBY</t>
        </is>
      </c>
      <c r="F750" t="inlineStr">
        <is>
          <t>Bergvik skog väst AB</t>
        </is>
      </c>
      <c r="G750" t="n">
        <v>2.4</v>
      </c>
      <c r="H750" t="n">
        <v>0</v>
      </c>
      <c r="I750" t="n">
        <v>0</v>
      </c>
      <c r="J750" t="n">
        <v>0</v>
      </c>
      <c r="K750" t="n">
        <v>0</v>
      </c>
      <c r="L750" t="n">
        <v>0</v>
      </c>
      <c r="M750" t="n">
        <v>0</v>
      </c>
      <c r="N750" t="n">
        <v>0</v>
      </c>
      <c r="O750" t="n">
        <v>0</v>
      </c>
      <c r="P750" t="n">
        <v>0</v>
      </c>
      <c r="Q750" t="n">
        <v>0</v>
      </c>
      <c r="R750" s="2" t="inlineStr"/>
    </row>
    <row r="751" ht="15" customHeight="1">
      <c r="A751" t="inlineStr">
        <is>
          <t>A 53396-2024</t>
        </is>
      </c>
      <c r="B751" s="1" t="n">
        <v>45614</v>
      </c>
      <c r="C751" s="1" t="n">
        <v>45889</v>
      </c>
      <c r="D751" t="inlineStr">
        <is>
          <t>VÄRMLANDS LÄN</t>
        </is>
      </c>
      <c r="E751" t="inlineStr">
        <is>
          <t>TORSBY</t>
        </is>
      </c>
      <c r="F751" t="inlineStr">
        <is>
          <t>Bergvik skog väst AB</t>
        </is>
      </c>
      <c r="G751" t="n">
        <v>10.1</v>
      </c>
      <c r="H751" t="n">
        <v>0</v>
      </c>
      <c r="I751" t="n">
        <v>0</v>
      </c>
      <c r="J751" t="n">
        <v>0</v>
      </c>
      <c r="K751" t="n">
        <v>0</v>
      </c>
      <c r="L751" t="n">
        <v>0</v>
      </c>
      <c r="M751" t="n">
        <v>0</v>
      </c>
      <c r="N751" t="n">
        <v>0</v>
      </c>
      <c r="O751" t="n">
        <v>0</v>
      </c>
      <c r="P751" t="n">
        <v>0</v>
      </c>
      <c r="Q751" t="n">
        <v>0</v>
      </c>
      <c r="R751" s="2" t="inlineStr"/>
    </row>
    <row r="752" ht="15" customHeight="1">
      <c r="A752" t="inlineStr">
        <is>
          <t>A 1947-2023</t>
        </is>
      </c>
      <c r="B752" s="1" t="n">
        <v>44939</v>
      </c>
      <c r="C752" s="1" t="n">
        <v>45889</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14917-2023</t>
        </is>
      </c>
      <c r="B753" s="1" t="n">
        <v>45015.39938657408</v>
      </c>
      <c r="C753" s="1" t="n">
        <v>45889</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14026-2025</t>
        </is>
      </c>
      <c r="B754" s="1" t="n">
        <v>45740.35003472222</v>
      </c>
      <c r="C754" s="1" t="n">
        <v>45889</v>
      </c>
      <c r="D754" t="inlineStr">
        <is>
          <t>VÄRMLANDS LÄN</t>
        </is>
      </c>
      <c r="E754" t="inlineStr">
        <is>
          <t>TORSBY</t>
        </is>
      </c>
      <c r="G754" t="n">
        <v>5.7</v>
      </c>
      <c r="H754" t="n">
        <v>0</v>
      </c>
      <c r="I754" t="n">
        <v>0</v>
      </c>
      <c r="J754" t="n">
        <v>0</v>
      </c>
      <c r="K754" t="n">
        <v>0</v>
      </c>
      <c r="L754" t="n">
        <v>0</v>
      </c>
      <c r="M754" t="n">
        <v>0</v>
      </c>
      <c r="N754" t="n">
        <v>0</v>
      </c>
      <c r="O754" t="n">
        <v>0</v>
      </c>
      <c r="P754" t="n">
        <v>0</v>
      </c>
      <c r="Q754" t="n">
        <v>0</v>
      </c>
      <c r="R754" s="2" t="inlineStr"/>
    </row>
    <row r="755" ht="15" customHeight="1">
      <c r="A755" t="inlineStr">
        <is>
          <t>A 42615-2021</t>
        </is>
      </c>
      <c r="B755" s="1" t="n">
        <v>44428</v>
      </c>
      <c r="C755" s="1" t="n">
        <v>45889</v>
      </c>
      <c r="D755" t="inlineStr">
        <is>
          <t>VÄRMLANDS LÄN</t>
        </is>
      </c>
      <c r="E755" t="inlineStr">
        <is>
          <t>TORSBY</t>
        </is>
      </c>
      <c r="F755" t="inlineStr">
        <is>
          <t>Bergvik skog väst AB</t>
        </is>
      </c>
      <c r="G755" t="n">
        <v>37.2</v>
      </c>
      <c r="H755" t="n">
        <v>0</v>
      </c>
      <c r="I755" t="n">
        <v>0</v>
      </c>
      <c r="J755" t="n">
        <v>0</v>
      </c>
      <c r="K755" t="n">
        <v>0</v>
      </c>
      <c r="L755" t="n">
        <v>0</v>
      </c>
      <c r="M755" t="n">
        <v>0</v>
      </c>
      <c r="N755" t="n">
        <v>0</v>
      </c>
      <c r="O755" t="n">
        <v>0</v>
      </c>
      <c r="P755" t="n">
        <v>0</v>
      </c>
      <c r="Q755" t="n">
        <v>0</v>
      </c>
      <c r="R755" s="2" t="inlineStr"/>
    </row>
    <row r="756" ht="15" customHeight="1">
      <c r="A756" t="inlineStr">
        <is>
          <t>A 54489-2024</t>
        </is>
      </c>
      <c r="B756" s="1" t="n">
        <v>45617.56674768519</v>
      </c>
      <c r="C756" s="1" t="n">
        <v>45889</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11242-2024</t>
        </is>
      </c>
      <c r="B757" s="1" t="n">
        <v>45371</v>
      </c>
      <c r="C757" s="1" t="n">
        <v>45889</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73521-2021</t>
        </is>
      </c>
      <c r="B758" s="1" t="n">
        <v>44551</v>
      </c>
      <c r="C758" s="1" t="n">
        <v>45889</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11776-2024</t>
        </is>
      </c>
      <c r="B759" s="1" t="n">
        <v>45374</v>
      </c>
      <c r="C759" s="1" t="n">
        <v>45889</v>
      </c>
      <c r="D759" t="inlineStr">
        <is>
          <t>VÄRMLANDS LÄN</t>
        </is>
      </c>
      <c r="E759" t="inlineStr">
        <is>
          <t>TORSBY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1123-2023</t>
        </is>
      </c>
      <c r="B760" s="1" t="n">
        <v>44935</v>
      </c>
      <c r="C760" s="1" t="n">
        <v>45889</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36700-2021</t>
        </is>
      </c>
      <c r="B761" s="1" t="n">
        <v>44392</v>
      </c>
      <c r="C761" s="1" t="n">
        <v>45889</v>
      </c>
      <c r="D761" t="inlineStr">
        <is>
          <t>VÄRMLANDS LÄN</t>
        </is>
      </c>
      <c r="E761" t="inlineStr">
        <is>
          <t>TORSBY</t>
        </is>
      </c>
      <c r="F761" t="inlineStr">
        <is>
          <t>Bergvik skog väst AB</t>
        </is>
      </c>
      <c r="G761" t="n">
        <v>9.9</v>
      </c>
      <c r="H761" t="n">
        <v>0</v>
      </c>
      <c r="I761" t="n">
        <v>0</v>
      </c>
      <c r="J761" t="n">
        <v>0</v>
      </c>
      <c r="K761" t="n">
        <v>0</v>
      </c>
      <c r="L761" t="n">
        <v>0</v>
      </c>
      <c r="M761" t="n">
        <v>0</v>
      </c>
      <c r="N761" t="n">
        <v>0</v>
      </c>
      <c r="O761" t="n">
        <v>0</v>
      </c>
      <c r="P761" t="n">
        <v>0</v>
      </c>
      <c r="Q761" t="n">
        <v>0</v>
      </c>
      <c r="R761" s="2" t="inlineStr"/>
    </row>
    <row r="762" ht="15" customHeight="1">
      <c r="A762" t="inlineStr">
        <is>
          <t>A 31052-2023</t>
        </is>
      </c>
      <c r="B762" s="1" t="n">
        <v>45113</v>
      </c>
      <c r="C762" s="1" t="n">
        <v>45889</v>
      </c>
      <c r="D762" t="inlineStr">
        <is>
          <t>VÄRMLANDS LÄN</t>
        </is>
      </c>
      <c r="E762" t="inlineStr">
        <is>
          <t>TORSBY</t>
        </is>
      </c>
      <c r="G762" t="n">
        <v>2.2</v>
      </c>
      <c r="H762" t="n">
        <v>0</v>
      </c>
      <c r="I762" t="n">
        <v>0</v>
      </c>
      <c r="J762" t="n">
        <v>0</v>
      </c>
      <c r="K762" t="n">
        <v>0</v>
      </c>
      <c r="L762" t="n">
        <v>0</v>
      </c>
      <c r="M762" t="n">
        <v>0</v>
      </c>
      <c r="N762" t="n">
        <v>0</v>
      </c>
      <c r="O762" t="n">
        <v>0</v>
      </c>
      <c r="P762" t="n">
        <v>0</v>
      </c>
      <c r="Q762" t="n">
        <v>0</v>
      </c>
      <c r="R762" s="2" t="inlineStr"/>
    </row>
    <row r="763" ht="15" customHeight="1">
      <c r="A763" t="inlineStr">
        <is>
          <t>A 43248-2022</t>
        </is>
      </c>
      <c r="B763" s="1" t="n">
        <v>44834</v>
      </c>
      <c r="C763" s="1" t="n">
        <v>45889</v>
      </c>
      <c r="D763" t="inlineStr">
        <is>
          <t>VÄRMLANDS LÄN</t>
        </is>
      </c>
      <c r="E763" t="inlineStr">
        <is>
          <t>TORSBY</t>
        </is>
      </c>
      <c r="G763" t="n">
        <v>2.9</v>
      </c>
      <c r="H763" t="n">
        <v>0</v>
      </c>
      <c r="I763" t="n">
        <v>0</v>
      </c>
      <c r="J763" t="n">
        <v>0</v>
      </c>
      <c r="K763" t="n">
        <v>0</v>
      </c>
      <c r="L763" t="n">
        <v>0</v>
      </c>
      <c r="M763" t="n">
        <v>0</v>
      </c>
      <c r="N763" t="n">
        <v>0</v>
      </c>
      <c r="O763" t="n">
        <v>0</v>
      </c>
      <c r="P763" t="n">
        <v>0</v>
      </c>
      <c r="Q763" t="n">
        <v>0</v>
      </c>
      <c r="R763" s="2" t="inlineStr"/>
    </row>
    <row r="764" ht="15" customHeight="1">
      <c r="A764" t="inlineStr">
        <is>
          <t>A 43289-2022</t>
        </is>
      </c>
      <c r="B764" s="1" t="n">
        <v>44834.51623842592</v>
      </c>
      <c r="C764" s="1" t="n">
        <v>45889</v>
      </c>
      <c r="D764" t="inlineStr">
        <is>
          <t>VÄRMLANDS LÄN</t>
        </is>
      </c>
      <c r="E764" t="inlineStr">
        <is>
          <t>TORSBY</t>
        </is>
      </c>
      <c r="G764" t="n">
        <v>11.2</v>
      </c>
      <c r="H764" t="n">
        <v>0</v>
      </c>
      <c r="I764" t="n">
        <v>0</v>
      </c>
      <c r="J764" t="n">
        <v>0</v>
      </c>
      <c r="K764" t="n">
        <v>0</v>
      </c>
      <c r="L764" t="n">
        <v>0</v>
      </c>
      <c r="M764" t="n">
        <v>0</v>
      </c>
      <c r="N764" t="n">
        <v>0</v>
      </c>
      <c r="O764" t="n">
        <v>0</v>
      </c>
      <c r="P764" t="n">
        <v>0</v>
      </c>
      <c r="Q764" t="n">
        <v>0</v>
      </c>
      <c r="R764" s="2" t="inlineStr"/>
    </row>
    <row r="765" ht="15" customHeight="1">
      <c r="A765" t="inlineStr">
        <is>
          <t>A 26086-2024</t>
        </is>
      </c>
      <c r="B765" s="1" t="n">
        <v>45468</v>
      </c>
      <c r="C765" s="1" t="n">
        <v>45889</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60133-2023</t>
        </is>
      </c>
      <c r="B766" s="1" t="n">
        <v>45258</v>
      </c>
      <c r="C766" s="1" t="n">
        <v>45889</v>
      </c>
      <c r="D766" t="inlineStr">
        <is>
          <t>VÄRMLANDS LÄN</t>
        </is>
      </c>
      <c r="E766" t="inlineStr">
        <is>
          <t>TORSBY</t>
        </is>
      </c>
      <c r="F766" t="inlineStr">
        <is>
          <t>Bergvik skog väst AB</t>
        </is>
      </c>
      <c r="G766" t="n">
        <v>0.6</v>
      </c>
      <c r="H766" t="n">
        <v>0</v>
      </c>
      <c r="I766" t="n">
        <v>0</v>
      </c>
      <c r="J766" t="n">
        <v>0</v>
      </c>
      <c r="K766" t="n">
        <v>0</v>
      </c>
      <c r="L766" t="n">
        <v>0</v>
      </c>
      <c r="M766" t="n">
        <v>0</v>
      </c>
      <c r="N766" t="n">
        <v>0</v>
      </c>
      <c r="O766" t="n">
        <v>0</v>
      </c>
      <c r="P766" t="n">
        <v>0</v>
      </c>
      <c r="Q766" t="n">
        <v>0</v>
      </c>
      <c r="R766" s="2" t="inlineStr"/>
    </row>
    <row r="767" ht="15" customHeight="1">
      <c r="A767" t="inlineStr">
        <is>
          <t>A 44670-2023</t>
        </is>
      </c>
      <c r="B767" s="1" t="n">
        <v>45189</v>
      </c>
      <c r="C767" s="1" t="n">
        <v>45889</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4578-2025</t>
        </is>
      </c>
      <c r="B768" s="1" t="n">
        <v>45687</v>
      </c>
      <c r="C768" s="1" t="n">
        <v>45889</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53099-2024</t>
        </is>
      </c>
      <c r="B769" s="1" t="n">
        <v>45611.54206018519</v>
      </c>
      <c r="C769" s="1" t="n">
        <v>45889</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53652-2023</t>
        </is>
      </c>
      <c r="B770" s="1" t="n">
        <v>45224</v>
      </c>
      <c r="C770" s="1" t="n">
        <v>45889</v>
      </c>
      <c r="D770" t="inlineStr">
        <is>
          <t>VÄRMLANDS LÄN</t>
        </is>
      </c>
      <c r="E770" t="inlineStr">
        <is>
          <t>TORSBY</t>
        </is>
      </c>
      <c r="F770" t="inlineStr">
        <is>
          <t>Övriga statliga verk och myndigheter</t>
        </is>
      </c>
      <c r="G770" t="n">
        <v>0.8</v>
      </c>
      <c r="H770" t="n">
        <v>0</v>
      </c>
      <c r="I770" t="n">
        <v>0</v>
      </c>
      <c r="J770" t="n">
        <v>0</v>
      </c>
      <c r="K770" t="n">
        <v>0</v>
      </c>
      <c r="L770" t="n">
        <v>0</v>
      </c>
      <c r="M770" t="n">
        <v>0</v>
      </c>
      <c r="N770" t="n">
        <v>0</v>
      </c>
      <c r="O770" t="n">
        <v>0</v>
      </c>
      <c r="P770" t="n">
        <v>0</v>
      </c>
      <c r="Q770" t="n">
        <v>0</v>
      </c>
      <c r="R770" s="2" t="inlineStr"/>
    </row>
    <row r="771" ht="15" customHeight="1">
      <c r="A771" t="inlineStr">
        <is>
          <t>A 54160-2022</t>
        </is>
      </c>
      <c r="B771" s="1" t="n">
        <v>44881</v>
      </c>
      <c r="C771" s="1" t="n">
        <v>45889</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54528-2023</t>
        </is>
      </c>
      <c r="B772" s="1" t="n">
        <v>45233.59122685185</v>
      </c>
      <c r="C772" s="1" t="n">
        <v>45889</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25629-2024</t>
        </is>
      </c>
      <c r="B773" s="1" t="n">
        <v>45463</v>
      </c>
      <c r="C773" s="1" t="n">
        <v>45889</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2130-2024</t>
        </is>
      </c>
      <c r="B774" s="1" t="n">
        <v>45309.51518518518</v>
      </c>
      <c r="C774" s="1" t="n">
        <v>45889</v>
      </c>
      <c r="D774" t="inlineStr">
        <is>
          <t>VÄRMLANDS LÄN</t>
        </is>
      </c>
      <c r="E774" t="inlineStr">
        <is>
          <t>TORSBY</t>
        </is>
      </c>
      <c r="G774" t="n">
        <v>4</v>
      </c>
      <c r="H774" t="n">
        <v>0</v>
      </c>
      <c r="I774" t="n">
        <v>0</v>
      </c>
      <c r="J774" t="n">
        <v>0</v>
      </c>
      <c r="K774" t="n">
        <v>0</v>
      </c>
      <c r="L774" t="n">
        <v>0</v>
      </c>
      <c r="M774" t="n">
        <v>0</v>
      </c>
      <c r="N774" t="n">
        <v>0</v>
      </c>
      <c r="O774" t="n">
        <v>0</v>
      </c>
      <c r="P774" t="n">
        <v>0</v>
      </c>
      <c r="Q774" t="n">
        <v>0</v>
      </c>
      <c r="R774" s="2" t="inlineStr"/>
    </row>
    <row r="775" ht="15" customHeight="1">
      <c r="A775" t="inlineStr">
        <is>
          <t>A 3071-2022</t>
        </is>
      </c>
      <c r="B775" s="1" t="n">
        <v>44582.42109953704</v>
      </c>
      <c r="C775" s="1" t="n">
        <v>45889</v>
      </c>
      <c r="D775" t="inlineStr">
        <is>
          <t>VÄRMLANDS LÄN</t>
        </is>
      </c>
      <c r="E775" t="inlineStr">
        <is>
          <t>TORSBY</t>
        </is>
      </c>
      <c r="G775" t="n">
        <v>7.9</v>
      </c>
      <c r="H775" t="n">
        <v>0</v>
      </c>
      <c r="I775" t="n">
        <v>0</v>
      </c>
      <c r="J775" t="n">
        <v>0</v>
      </c>
      <c r="K775" t="n">
        <v>0</v>
      </c>
      <c r="L775" t="n">
        <v>0</v>
      </c>
      <c r="M775" t="n">
        <v>0</v>
      </c>
      <c r="N775" t="n">
        <v>0</v>
      </c>
      <c r="O775" t="n">
        <v>0</v>
      </c>
      <c r="P775" t="n">
        <v>0</v>
      </c>
      <c r="Q775" t="n">
        <v>0</v>
      </c>
      <c r="R775" s="2" t="inlineStr"/>
    </row>
    <row r="776" ht="15" customHeight="1">
      <c r="A776" t="inlineStr">
        <is>
          <t>A 55794-2021</t>
        </is>
      </c>
      <c r="B776" s="1" t="n">
        <v>44476</v>
      </c>
      <c r="C776" s="1" t="n">
        <v>45889</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234-2024</t>
        </is>
      </c>
      <c r="B777" s="1" t="n">
        <v>45294.8253587963</v>
      </c>
      <c r="C777" s="1" t="n">
        <v>45889</v>
      </c>
      <c r="D777" t="inlineStr">
        <is>
          <t>VÄRMLANDS LÄN</t>
        </is>
      </c>
      <c r="E777" t="inlineStr">
        <is>
          <t>TORSBY</t>
        </is>
      </c>
      <c r="G777" t="n">
        <v>3.2</v>
      </c>
      <c r="H777" t="n">
        <v>0</v>
      </c>
      <c r="I777" t="n">
        <v>0</v>
      </c>
      <c r="J777" t="n">
        <v>0</v>
      </c>
      <c r="K777" t="n">
        <v>0</v>
      </c>
      <c r="L777" t="n">
        <v>0</v>
      </c>
      <c r="M777" t="n">
        <v>0</v>
      </c>
      <c r="N777" t="n">
        <v>0</v>
      </c>
      <c r="O777" t="n">
        <v>0</v>
      </c>
      <c r="P777" t="n">
        <v>0</v>
      </c>
      <c r="Q777" t="n">
        <v>0</v>
      </c>
      <c r="R777" s="2" t="inlineStr"/>
    </row>
    <row r="778" ht="15" customHeight="1">
      <c r="A778" t="inlineStr">
        <is>
          <t>A 236-2024</t>
        </is>
      </c>
      <c r="B778" s="1" t="n">
        <v>45294.85927083333</v>
      </c>
      <c r="C778" s="1" t="n">
        <v>45889</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35553-2023</t>
        </is>
      </c>
      <c r="B779" s="1" t="n">
        <v>45147</v>
      </c>
      <c r="C779" s="1" t="n">
        <v>45889</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20647-2024</t>
        </is>
      </c>
      <c r="B780" s="1" t="n">
        <v>45436</v>
      </c>
      <c r="C780" s="1" t="n">
        <v>45889</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45132-2024</t>
        </is>
      </c>
      <c r="B781" s="1" t="n">
        <v>45575</v>
      </c>
      <c r="C781" s="1" t="n">
        <v>45889</v>
      </c>
      <c r="D781" t="inlineStr">
        <is>
          <t>VÄRMLANDS LÄN</t>
        </is>
      </c>
      <c r="E781" t="inlineStr">
        <is>
          <t>TORSBY</t>
        </is>
      </c>
      <c r="F781" t="inlineStr">
        <is>
          <t>Bergvik skog väst AB</t>
        </is>
      </c>
      <c r="G781" t="n">
        <v>2</v>
      </c>
      <c r="H781" t="n">
        <v>0</v>
      </c>
      <c r="I781" t="n">
        <v>0</v>
      </c>
      <c r="J781" t="n">
        <v>0</v>
      </c>
      <c r="K781" t="n">
        <v>0</v>
      </c>
      <c r="L781" t="n">
        <v>0</v>
      </c>
      <c r="M781" t="n">
        <v>0</v>
      </c>
      <c r="N781" t="n">
        <v>0</v>
      </c>
      <c r="O781" t="n">
        <v>0</v>
      </c>
      <c r="P781" t="n">
        <v>0</v>
      </c>
      <c r="Q781" t="n">
        <v>0</v>
      </c>
      <c r="R781" s="2" t="inlineStr"/>
    </row>
    <row r="782" ht="15" customHeight="1">
      <c r="A782" t="inlineStr">
        <is>
          <t>A 40971-2023</t>
        </is>
      </c>
      <c r="B782" s="1" t="n">
        <v>45173</v>
      </c>
      <c r="C782" s="1" t="n">
        <v>45889</v>
      </c>
      <c r="D782" t="inlineStr">
        <is>
          <t>VÄRMLANDS LÄN</t>
        </is>
      </c>
      <c r="E782" t="inlineStr">
        <is>
          <t>TORSBY</t>
        </is>
      </c>
      <c r="G782" t="n">
        <v>6.1</v>
      </c>
      <c r="H782" t="n">
        <v>0</v>
      </c>
      <c r="I782" t="n">
        <v>0</v>
      </c>
      <c r="J782" t="n">
        <v>0</v>
      </c>
      <c r="K782" t="n">
        <v>0</v>
      </c>
      <c r="L782" t="n">
        <v>0</v>
      </c>
      <c r="M782" t="n">
        <v>0</v>
      </c>
      <c r="N782" t="n">
        <v>0</v>
      </c>
      <c r="O782" t="n">
        <v>0</v>
      </c>
      <c r="P782" t="n">
        <v>0</v>
      </c>
      <c r="Q782" t="n">
        <v>0</v>
      </c>
      <c r="R782" s="2" t="inlineStr"/>
    </row>
    <row r="783" ht="15" customHeight="1">
      <c r="A783" t="inlineStr">
        <is>
          <t>A 38084-2023</t>
        </is>
      </c>
      <c r="B783" s="1" t="n">
        <v>45160</v>
      </c>
      <c r="C783" s="1" t="n">
        <v>45889</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8728-2024</t>
        </is>
      </c>
      <c r="B784" s="1" t="n">
        <v>45356.42799768518</v>
      </c>
      <c r="C784" s="1" t="n">
        <v>45889</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50380-2024</t>
        </is>
      </c>
      <c r="B785" s="1" t="n">
        <v>45601.30582175926</v>
      </c>
      <c r="C785" s="1" t="n">
        <v>45889</v>
      </c>
      <c r="D785" t="inlineStr">
        <is>
          <t>VÄRMLANDS LÄN</t>
        </is>
      </c>
      <c r="E785" t="inlineStr">
        <is>
          <t>TORSBY</t>
        </is>
      </c>
      <c r="F785" t="inlineStr">
        <is>
          <t>Bergvik skog väst AB</t>
        </is>
      </c>
      <c r="G785" t="n">
        <v>7.9</v>
      </c>
      <c r="H785" t="n">
        <v>0</v>
      </c>
      <c r="I785" t="n">
        <v>0</v>
      </c>
      <c r="J785" t="n">
        <v>0</v>
      </c>
      <c r="K785" t="n">
        <v>0</v>
      </c>
      <c r="L785" t="n">
        <v>0</v>
      </c>
      <c r="M785" t="n">
        <v>0</v>
      </c>
      <c r="N785" t="n">
        <v>0</v>
      </c>
      <c r="O785" t="n">
        <v>0</v>
      </c>
      <c r="P785" t="n">
        <v>0</v>
      </c>
      <c r="Q785" t="n">
        <v>0</v>
      </c>
      <c r="R785" s="2" t="inlineStr"/>
    </row>
    <row r="786" ht="15" customHeight="1">
      <c r="A786" t="inlineStr">
        <is>
          <t>A 64672-2023</t>
        </is>
      </c>
      <c r="B786" s="1" t="n">
        <v>45281.61913194445</v>
      </c>
      <c r="C786" s="1" t="n">
        <v>45889</v>
      </c>
      <c r="D786" t="inlineStr">
        <is>
          <t>VÄRMLANDS LÄN</t>
        </is>
      </c>
      <c r="E786" t="inlineStr">
        <is>
          <t>TORSBY</t>
        </is>
      </c>
      <c r="G786" t="n">
        <v>3</v>
      </c>
      <c r="H786" t="n">
        <v>0</v>
      </c>
      <c r="I786" t="n">
        <v>0</v>
      </c>
      <c r="J786" t="n">
        <v>0</v>
      </c>
      <c r="K786" t="n">
        <v>0</v>
      </c>
      <c r="L786" t="n">
        <v>0</v>
      </c>
      <c r="M786" t="n">
        <v>0</v>
      </c>
      <c r="N786" t="n">
        <v>0</v>
      </c>
      <c r="O786" t="n">
        <v>0</v>
      </c>
      <c r="P786" t="n">
        <v>0</v>
      </c>
      <c r="Q786" t="n">
        <v>0</v>
      </c>
      <c r="R786" s="2" t="inlineStr"/>
    </row>
    <row r="787" ht="15" customHeight="1">
      <c r="A787" t="inlineStr">
        <is>
          <t>A 3922-2024</t>
        </is>
      </c>
      <c r="B787" s="1" t="n">
        <v>45322.57271990741</v>
      </c>
      <c r="C787" s="1" t="n">
        <v>45889</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9704-2025</t>
        </is>
      </c>
      <c r="B788" s="1" t="n">
        <v>45716.38378472222</v>
      </c>
      <c r="C788" s="1" t="n">
        <v>45889</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11050-2022</t>
        </is>
      </c>
      <c r="B789" s="1" t="n">
        <v>44628.60393518519</v>
      </c>
      <c r="C789" s="1" t="n">
        <v>45889</v>
      </c>
      <c r="D789" t="inlineStr">
        <is>
          <t>VÄRMLANDS LÄN</t>
        </is>
      </c>
      <c r="E789" t="inlineStr">
        <is>
          <t>TORSBY</t>
        </is>
      </c>
      <c r="G789" t="n">
        <v>4.9</v>
      </c>
      <c r="H789" t="n">
        <v>0</v>
      </c>
      <c r="I789" t="n">
        <v>0</v>
      </c>
      <c r="J789" t="n">
        <v>0</v>
      </c>
      <c r="K789" t="n">
        <v>0</v>
      </c>
      <c r="L789" t="n">
        <v>0</v>
      </c>
      <c r="M789" t="n">
        <v>0</v>
      </c>
      <c r="N789" t="n">
        <v>0</v>
      </c>
      <c r="O789" t="n">
        <v>0</v>
      </c>
      <c r="P789" t="n">
        <v>0</v>
      </c>
      <c r="Q789" t="n">
        <v>0</v>
      </c>
      <c r="R789" s="2" t="inlineStr"/>
    </row>
    <row r="790" ht="15" customHeight="1">
      <c r="A790" t="inlineStr">
        <is>
          <t>A 33862-2024</t>
        </is>
      </c>
      <c r="B790" s="1" t="n">
        <v>45520.69163194444</v>
      </c>
      <c r="C790" s="1" t="n">
        <v>45889</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48231-2020</t>
        </is>
      </c>
      <c r="B791" s="1" t="n">
        <v>44102</v>
      </c>
      <c r="C791" s="1" t="n">
        <v>45889</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55092-2022</t>
        </is>
      </c>
      <c r="B792" s="1" t="n">
        <v>44886.61493055556</v>
      </c>
      <c r="C792" s="1" t="n">
        <v>45889</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34500-2024</t>
        </is>
      </c>
      <c r="B793" s="1" t="n">
        <v>45525</v>
      </c>
      <c r="C793" s="1" t="n">
        <v>45889</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60477-2024</t>
        </is>
      </c>
      <c r="B794" s="1" t="n">
        <v>45643</v>
      </c>
      <c r="C794" s="1" t="n">
        <v>45889</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1166-2023</t>
        </is>
      </c>
      <c r="B795" s="1" t="n">
        <v>44935</v>
      </c>
      <c r="C795" s="1" t="n">
        <v>45889</v>
      </c>
      <c r="D795" t="inlineStr">
        <is>
          <t>VÄRMLANDS LÄN</t>
        </is>
      </c>
      <c r="E795" t="inlineStr">
        <is>
          <t>TORSBY</t>
        </is>
      </c>
      <c r="G795" t="n">
        <v>3.9</v>
      </c>
      <c r="H795" t="n">
        <v>0</v>
      </c>
      <c r="I795" t="n">
        <v>0</v>
      </c>
      <c r="J795" t="n">
        <v>0</v>
      </c>
      <c r="K795" t="n">
        <v>0</v>
      </c>
      <c r="L795" t="n">
        <v>0</v>
      </c>
      <c r="M795" t="n">
        <v>0</v>
      </c>
      <c r="N795" t="n">
        <v>0</v>
      </c>
      <c r="O795" t="n">
        <v>0</v>
      </c>
      <c r="P795" t="n">
        <v>0</v>
      </c>
      <c r="Q795" t="n">
        <v>0</v>
      </c>
      <c r="R795" s="2" t="inlineStr"/>
    </row>
    <row r="796" ht="15" customHeight="1">
      <c r="A796" t="inlineStr">
        <is>
          <t>A 58727-2021</t>
        </is>
      </c>
      <c r="B796" s="1" t="n">
        <v>44489.49052083334</v>
      </c>
      <c r="C796" s="1" t="n">
        <v>45889</v>
      </c>
      <c r="D796" t="inlineStr">
        <is>
          <t>VÄRMLANDS LÄN</t>
        </is>
      </c>
      <c r="E796" t="inlineStr">
        <is>
          <t>TORSBY</t>
        </is>
      </c>
      <c r="G796" t="n">
        <v>2.6</v>
      </c>
      <c r="H796" t="n">
        <v>0</v>
      </c>
      <c r="I796" t="n">
        <v>0</v>
      </c>
      <c r="J796" t="n">
        <v>0</v>
      </c>
      <c r="K796" t="n">
        <v>0</v>
      </c>
      <c r="L796" t="n">
        <v>0</v>
      </c>
      <c r="M796" t="n">
        <v>0</v>
      </c>
      <c r="N796" t="n">
        <v>0</v>
      </c>
      <c r="O796" t="n">
        <v>0</v>
      </c>
      <c r="P796" t="n">
        <v>0</v>
      </c>
      <c r="Q796" t="n">
        <v>0</v>
      </c>
      <c r="R796" s="2" t="inlineStr"/>
    </row>
    <row r="797" ht="15" customHeight="1">
      <c r="A797" t="inlineStr">
        <is>
          <t>A 5814-2024</t>
        </is>
      </c>
      <c r="B797" s="1" t="n">
        <v>45335</v>
      </c>
      <c r="C797" s="1" t="n">
        <v>45889</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48320-2022</t>
        </is>
      </c>
      <c r="B798" s="1" t="n">
        <v>44853</v>
      </c>
      <c r="C798" s="1" t="n">
        <v>45889</v>
      </c>
      <c r="D798" t="inlineStr">
        <is>
          <t>VÄRMLANDS LÄN</t>
        </is>
      </c>
      <c r="E798" t="inlineStr">
        <is>
          <t>TORSBY</t>
        </is>
      </c>
      <c r="G798" t="n">
        <v>0.4</v>
      </c>
      <c r="H798" t="n">
        <v>0</v>
      </c>
      <c r="I798" t="n">
        <v>0</v>
      </c>
      <c r="J798" t="n">
        <v>0</v>
      </c>
      <c r="K798" t="n">
        <v>0</v>
      </c>
      <c r="L798" t="n">
        <v>0</v>
      </c>
      <c r="M798" t="n">
        <v>0</v>
      </c>
      <c r="N798" t="n">
        <v>0</v>
      </c>
      <c r="O798" t="n">
        <v>0</v>
      </c>
      <c r="P798" t="n">
        <v>0</v>
      </c>
      <c r="Q798" t="n">
        <v>0</v>
      </c>
      <c r="R798" s="2" t="inlineStr"/>
    </row>
    <row r="799" ht="15" customHeight="1">
      <c r="A799" t="inlineStr">
        <is>
          <t>A 9286-2025</t>
        </is>
      </c>
      <c r="B799" s="1" t="n">
        <v>45714</v>
      </c>
      <c r="C799" s="1" t="n">
        <v>45889</v>
      </c>
      <c r="D799" t="inlineStr">
        <is>
          <t>VÄRMLANDS LÄN</t>
        </is>
      </c>
      <c r="E799" t="inlineStr">
        <is>
          <t>TORSBY</t>
        </is>
      </c>
      <c r="F799" t="inlineStr">
        <is>
          <t>Kommuner</t>
        </is>
      </c>
      <c r="G799" t="n">
        <v>1</v>
      </c>
      <c r="H799" t="n">
        <v>0</v>
      </c>
      <c r="I799" t="n">
        <v>0</v>
      </c>
      <c r="J799" t="n">
        <v>0</v>
      </c>
      <c r="K799" t="n">
        <v>0</v>
      </c>
      <c r="L799" t="n">
        <v>0</v>
      </c>
      <c r="M799" t="n">
        <v>0</v>
      </c>
      <c r="N799" t="n">
        <v>0</v>
      </c>
      <c r="O799" t="n">
        <v>0</v>
      </c>
      <c r="P799" t="n">
        <v>0</v>
      </c>
      <c r="Q799" t="n">
        <v>0</v>
      </c>
      <c r="R799" s="2" t="inlineStr"/>
    </row>
    <row r="800" ht="15" customHeight="1">
      <c r="A800" t="inlineStr">
        <is>
          <t>A 13785-2023</t>
        </is>
      </c>
      <c r="B800" s="1" t="n">
        <v>45007</v>
      </c>
      <c r="C800" s="1" t="n">
        <v>45889</v>
      </c>
      <c r="D800" t="inlineStr">
        <is>
          <t>VÄRMLANDS LÄN</t>
        </is>
      </c>
      <c r="E800" t="inlineStr">
        <is>
          <t>TORSBY</t>
        </is>
      </c>
      <c r="G800" t="n">
        <v>6.5</v>
      </c>
      <c r="H800" t="n">
        <v>0</v>
      </c>
      <c r="I800" t="n">
        <v>0</v>
      </c>
      <c r="J800" t="n">
        <v>0</v>
      </c>
      <c r="K800" t="n">
        <v>0</v>
      </c>
      <c r="L800" t="n">
        <v>0</v>
      </c>
      <c r="M800" t="n">
        <v>0</v>
      </c>
      <c r="N800" t="n">
        <v>0</v>
      </c>
      <c r="O800" t="n">
        <v>0</v>
      </c>
      <c r="P800" t="n">
        <v>0</v>
      </c>
      <c r="Q800" t="n">
        <v>0</v>
      </c>
      <c r="R800" s="2" t="inlineStr"/>
    </row>
    <row r="801" ht="15" customHeight="1">
      <c r="A801" t="inlineStr">
        <is>
          <t>A 58185-2023</t>
        </is>
      </c>
      <c r="B801" s="1" t="n">
        <v>45250.41873842593</v>
      </c>
      <c r="C801" s="1" t="n">
        <v>45889</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32343-2024</t>
        </is>
      </c>
      <c r="B802" s="1" t="n">
        <v>45512.520625</v>
      </c>
      <c r="C802" s="1" t="n">
        <v>45889</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32932-2024</t>
        </is>
      </c>
      <c r="B803" s="1" t="n">
        <v>45517.31537037037</v>
      </c>
      <c r="C803" s="1" t="n">
        <v>45889</v>
      </c>
      <c r="D803" t="inlineStr">
        <is>
          <t>VÄRMLANDS LÄN</t>
        </is>
      </c>
      <c r="E803" t="inlineStr">
        <is>
          <t>TORSBY</t>
        </is>
      </c>
      <c r="G803" t="n">
        <v>6.3</v>
      </c>
      <c r="H803" t="n">
        <v>0</v>
      </c>
      <c r="I803" t="n">
        <v>0</v>
      </c>
      <c r="J803" t="n">
        <v>0</v>
      </c>
      <c r="K803" t="n">
        <v>0</v>
      </c>
      <c r="L803" t="n">
        <v>0</v>
      </c>
      <c r="M803" t="n">
        <v>0</v>
      </c>
      <c r="N803" t="n">
        <v>0</v>
      </c>
      <c r="O803" t="n">
        <v>0</v>
      </c>
      <c r="P803" t="n">
        <v>0</v>
      </c>
      <c r="Q803" t="n">
        <v>0</v>
      </c>
      <c r="R803" s="2" t="inlineStr"/>
    </row>
    <row r="804" ht="15" customHeight="1">
      <c r="A804" t="inlineStr">
        <is>
          <t>A 2308-2024</t>
        </is>
      </c>
      <c r="B804" s="1" t="n">
        <v>45310</v>
      </c>
      <c r="C804" s="1" t="n">
        <v>45889</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33469-2024</t>
        </is>
      </c>
      <c r="B805" s="1" t="n">
        <v>45519.5996875</v>
      </c>
      <c r="C805" s="1" t="n">
        <v>45889</v>
      </c>
      <c r="D805" t="inlineStr">
        <is>
          <t>VÄRMLANDS LÄN</t>
        </is>
      </c>
      <c r="E805" t="inlineStr">
        <is>
          <t>TORSBY</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44423-2024</t>
        </is>
      </c>
      <c r="B806" s="1" t="n">
        <v>45573</v>
      </c>
      <c r="C806" s="1" t="n">
        <v>45889</v>
      </c>
      <c r="D806" t="inlineStr">
        <is>
          <t>VÄRMLANDS LÄN</t>
        </is>
      </c>
      <c r="E806" t="inlineStr">
        <is>
          <t>TORSBY</t>
        </is>
      </c>
      <c r="G806" t="n">
        <v>34.1</v>
      </c>
      <c r="H806" t="n">
        <v>0</v>
      </c>
      <c r="I806" t="n">
        <v>0</v>
      </c>
      <c r="J806" t="n">
        <v>0</v>
      </c>
      <c r="K806" t="n">
        <v>0</v>
      </c>
      <c r="L806" t="n">
        <v>0</v>
      </c>
      <c r="M806" t="n">
        <v>0</v>
      </c>
      <c r="N806" t="n">
        <v>0</v>
      </c>
      <c r="O806" t="n">
        <v>0</v>
      </c>
      <c r="P806" t="n">
        <v>0</v>
      </c>
      <c r="Q806" t="n">
        <v>0</v>
      </c>
      <c r="R806" s="2" t="inlineStr"/>
    </row>
    <row r="807" ht="15" customHeight="1">
      <c r="A807" t="inlineStr">
        <is>
          <t>A 15154-2025</t>
        </is>
      </c>
      <c r="B807" s="1" t="n">
        <v>45744.46157407408</v>
      </c>
      <c r="C807" s="1" t="n">
        <v>45889</v>
      </c>
      <c r="D807" t="inlineStr">
        <is>
          <t>VÄRMLANDS LÄN</t>
        </is>
      </c>
      <c r="E807" t="inlineStr">
        <is>
          <t>TORSBY</t>
        </is>
      </c>
      <c r="G807" t="n">
        <v>0.4</v>
      </c>
      <c r="H807" t="n">
        <v>0</v>
      </c>
      <c r="I807" t="n">
        <v>0</v>
      </c>
      <c r="J807" t="n">
        <v>0</v>
      </c>
      <c r="K807" t="n">
        <v>0</v>
      </c>
      <c r="L807" t="n">
        <v>0</v>
      </c>
      <c r="M807" t="n">
        <v>0</v>
      </c>
      <c r="N807" t="n">
        <v>0</v>
      </c>
      <c r="O807" t="n">
        <v>0</v>
      </c>
      <c r="P807" t="n">
        <v>0</v>
      </c>
      <c r="Q807" t="n">
        <v>0</v>
      </c>
      <c r="R807" s="2" t="inlineStr"/>
    </row>
    <row r="808" ht="15" customHeight="1">
      <c r="A808" t="inlineStr">
        <is>
          <t>A 17488-2023</t>
        </is>
      </c>
      <c r="B808" s="1" t="n">
        <v>45036</v>
      </c>
      <c r="C808" s="1" t="n">
        <v>45889</v>
      </c>
      <c r="D808" t="inlineStr">
        <is>
          <t>VÄRMLANDS LÄN</t>
        </is>
      </c>
      <c r="E808" t="inlineStr">
        <is>
          <t>TORSBY</t>
        </is>
      </c>
      <c r="G808" t="n">
        <v>15.6</v>
      </c>
      <c r="H808" t="n">
        <v>0</v>
      </c>
      <c r="I808" t="n">
        <v>0</v>
      </c>
      <c r="J808" t="n">
        <v>0</v>
      </c>
      <c r="K808" t="n">
        <v>0</v>
      </c>
      <c r="L808" t="n">
        <v>0</v>
      </c>
      <c r="M808" t="n">
        <v>0</v>
      </c>
      <c r="N808" t="n">
        <v>0</v>
      </c>
      <c r="O808" t="n">
        <v>0</v>
      </c>
      <c r="P808" t="n">
        <v>0</v>
      </c>
      <c r="Q808" t="n">
        <v>0</v>
      </c>
      <c r="R808" s="2" t="inlineStr"/>
    </row>
    <row r="809" ht="15" customHeight="1">
      <c r="A809" t="inlineStr">
        <is>
          <t>A 35777-2024</t>
        </is>
      </c>
      <c r="B809" s="1" t="n">
        <v>45532</v>
      </c>
      <c r="C809" s="1" t="n">
        <v>45889</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74375-2021</t>
        </is>
      </c>
      <c r="B810" s="1" t="n">
        <v>44559.71840277778</v>
      </c>
      <c r="C810" s="1" t="n">
        <v>45889</v>
      </c>
      <c r="D810" t="inlineStr">
        <is>
          <t>VÄRMLANDS LÄN</t>
        </is>
      </c>
      <c r="E810" t="inlineStr">
        <is>
          <t>TORSBY</t>
        </is>
      </c>
      <c r="G810" t="n">
        <v>2.4</v>
      </c>
      <c r="H810" t="n">
        <v>0</v>
      </c>
      <c r="I810" t="n">
        <v>0</v>
      </c>
      <c r="J810" t="n">
        <v>0</v>
      </c>
      <c r="K810" t="n">
        <v>0</v>
      </c>
      <c r="L810" t="n">
        <v>0</v>
      </c>
      <c r="M810" t="n">
        <v>0</v>
      </c>
      <c r="N810" t="n">
        <v>0</v>
      </c>
      <c r="O810" t="n">
        <v>0</v>
      </c>
      <c r="P810" t="n">
        <v>0</v>
      </c>
      <c r="Q810" t="n">
        <v>0</v>
      </c>
      <c r="R810" s="2" t="inlineStr"/>
    </row>
    <row r="811" ht="15" customHeight="1">
      <c r="A811" t="inlineStr">
        <is>
          <t>A 32588-2024</t>
        </is>
      </c>
      <c r="B811" s="1" t="n">
        <v>45513.59612268519</v>
      </c>
      <c r="C811" s="1" t="n">
        <v>45889</v>
      </c>
      <c r="D811" t="inlineStr">
        <is>
          <t>VÄRMLANDS LÄN</t>
        </is>
      </c>
      <c r="E811" t="inlineStr">
        <is>
          <t>TORSBY</t>
        </is>
      </c>
      <c r="F811" t="inlineStr">
        <is>
          <t>Bergvik skog väst AB</t>
        </is>
      </c>
      <c r="G811" t="n">
        <v>5.2</v>
      </c>
      <c r="H811" t="n">
        <v>0</v>
      </c>
      <c r="I811" t="n">
        <v>0</v>
      </c>
      <c r="J811" t="n">
        <v>0</v>
      </c>
      <c r="K811" t="n">
        <v>0</v>
      </c>
      <c r="L811" t="n">
        <v>0</v>
      </c>
      <c r="M811" t="n">
        <v>0</v>
      </c>
      <c r="N811" t="n">
        <v>0</v>
      </c>
      <c r="O811" t="n">
        <v>0</v>
      </c>
      <c r="P811" t="n">
        <v>0</v>
      </c>
      <c r="Q811" t="n">
        <v>0</v>
      </c>
      <c r="R811" s="2" t="inlineStr"/>
    </row>
    <row r="812" ht="15" customHeight="1">
      <c r="A812" t="inlineStr">
        <is>
          <t>A 66133-2021</t>
        </is>
      </c>
      <c r="B812" s="1" t="n">
        <v>44517</v>
      </c>
      <c r="C812" s="1" t="n">
        <v>45889</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16427-2023</t>
        </is>
      </c>
      <c r="B813" s="1" t="n">
        <v>45022</v>
      </c>
      <c r="C813" s="1" t="n">
        <v>45889</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57072-2022</t>
        </is>
      </c>
      <c r="B814" s="1" t="n">
        <v>44895.4252662037</v>
      </c>
      <c r="C814" s="1" t="n">
        <v>45889</v>
      </c>
      <c r="D814" t="inlineStr">
        <is>
          <t>VÄRMLANDS LÄN</t>
        </is>
      </c>
      <c r="E814" t="inlineStr">
        <is>
          <t>TORSBY</t>
        </is>
      </c>
      <c r="F814" t="inlineStr">
        <is>
          <t>Övriga statliga verk och myndigheter</t>
        </is>
      </c>
      <c r="G814" t="n">
        <v>7.8</v>
      </c>
      <c r="H814" t="n">
        <v>0</v>
      </c>
      <c r="I814" t="n">
        <v>0</v>
      </c>
      <c r="J814" t="n">
        <v>0</v>
      </c>
      <c r="K814" t="n">
        <v>0</v>
      </c>
      <c r="L814" t="n">
        <v>0</v>
      </c>
      <c r="M814" t="n">
        <v>0</v>
      </c>
      <c r="N814" t="n">
        <v>0</v>
      </c>
      <c r="O814" t="n">
        <v>0</v>
      </c>
      <c r="P814" t="n">
        <v>0</v>
      </c>
      <c r="Q814" t="n">
        <v>0</v>
      </c>
      <c r="R814" s="2" t="inlineStr"/>
    </row>
    <row r="815" ht="15" customHeight="1">
      <c r="A815" t="inlineStr">
        <is>
          <t>A 35107-2024</t>
        </is>
      </c>
      <c r="B815" s="1" t="n">
        <v>45529.5588425926</v>
      </c>
      <c r="C815" s="1" t="n">
        <v>45889</v>
      </c>
      <c r="D815" t="inlineStr">
        <is>
          <t>VÄRMLANDS LÄN</t>
        </is>
      </c>
      <c r="E815" t="inlineStr">
        <is>
          <t>TORSBY</t>
        </is>
      </c>
      <c r="G815" t="n">
        <v>5.1</v>
      </c>
      <c r="H815" t="n">
        <v>0</v>
      </c>
      <c r="I815" t="n">
        <v>0</v>
      </c>
      <c r="J815" t="n">
        <v>0</v>
      </c>
      <c r="K815" t="n">
        <v>0</v>
      </c>
      <c r="L815" t="n">
        <v>0</v>
      </c>
      <c r="M815" t="n">
        <v>0</v>
      </c>
      <c r="N815" t="n">
        <v>0</v>
      </c>
      <c r="O815" t="n">
        <v>0</v>
      </c>
      <c r="P815" t="n">
        <v>0</v>
      </c>
      <c r="Q815" t="n">
        <v>0</v>
      </c>
      <c r="R815" s="2" t="inlineStr"/>
    </row>
    <row r="816" ht="15" customHeight="1">
      <c r="A816" t="inlineStr">
        <is>
          <t>A 8979-2025</t>
        </is>
      </c>
      <c r="B816" s="1" t="n">
        <v>45713</v>
      </c>
      <c r="C816" s="1" t="n">
        <v>45889</v>
      </c>
      <c r="D816" t="inlineStr">
        <is>
          <t>VÄRMLANDS LÄN</t>
        </is>
      </c>
      <c r="E816" t="inlineStr">
        <is>
          <t>TORSBY</t>
        </is>
      </c>
      <c r="G816" t="n">
        <v>6.5</v>
      </c>
      <c r="H816" t="n">
        <v>0</v>
      </c>
      <c r="I816" t="n">
        <v>0</v>
      </c>
      <c r="J816" t="n">
        <v>0</v>
      </c>
      <c r="K816" t="n">
        <v>0</v>
      </c>
      <c r="L816" t="n">
        <v>0</v>
      </c>
      <c r="M816" t="n">
        <v>0</v>
      </c>
      <c r="N816" t="n">
        <v>0</v>
      </c>
      <c r="O816" t="n">
        <v>0</v>
      </c>
      <c r="P816" t="n">
        <v>0</v>
      </c>
      <c r="Q816" t="n">
        <v>0</v>
      </c>
      <c r="R816" s="2" t="inlineStr"/>
    </row>
    <row r="817" ht="15" customHeight="1">
      <c r="A817" t="inlineStr">
        <is>
          <t>A 62210-2023</t>
        </is>
      </c>
      <c r="B817" s="1" t="n">
        <v>45267.49430555556</v>
      </c>
      <c r="C817" s="1" t="n">
        <v>45889</v>
      </c>
      <c r="D817" t="inlineStr">
        <is>
          <t>VÄRMLANDS LÄN</t>
        </is>
      </c>
      <c r="E817" t="inlineStr">
        <is>
          <t>TORSBY</t>
        </is>
      </c>
      <c r="G817" t="n">
        <v>3</v>
      </c>
      <c r="H817" t="n">
        <v>0</v>
      </c>
      <c r="I817" t="n">
        <v>0</v>
      </c>
      <c r="J817" t="n">
        <v>0</v>
      </c>
      <c r="K817" t="n">
        <v>0</v>
      </c>
      <c r="L817" t="n">
        <v>0</v>
      </c>
      <c r="M817" t="n">
        <v>0</v>
      </c>
      <c r="N817" t="n">
        <v>0</v>
      </c>
      <c r="O817" t="n">
        <v>0</v>
      </c>
      <c r="P817" t="n">
        <v>0</v>
      </c>
      <c r="Q817" t="n">
        <v>0</v>
      </c>
      <c r="R817" s="2" t="inlineStr"/>
    </row>
    <row r="818" ht="15" customHeight="1">
      <c r="A818" t="inlineStr">
        <is>
          <t>A 54865-2022</t>
        </is>
      </c>
      <c r="B818" s="1" t="n">
        <v>44884</v>
      </c>
      <c r="C818" s="1" t="n">
        <v>45889</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56811-2023</t>
        </is>
      </c>
      <c r="B819" s="1" t="n">
        <v>45244</v>
      </c>
      <c r="C819" s="1" t="n">
        <v>45889</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27270-2024</t>
        </is>
      </c>
      <c r="B820" s="1" t="n">
        <v>45471.81967592592</v>
      </c>
      <c r="C820" s="1" t="n">
        <v>45889</v>
      </c>
      <c r="D820" t="inlineStr">
        <is>
          <t>VÄRMLANDS LÄN</t>
        </is>
      </c>
      <c r="E820" t="inlineStr">
        <is>
          <t>TORSBY</t>
        </is>
      </c>
      <c r="G820" t="n">
        <v>6.9</v>
      </c>
      <c r="H820" t="n">
        <v>0</v>
      </c>
      <c r="I820" t="n">
        <v>0</v>
      </c>
      <c r="J820" t="n">
        <v>0</v>
      </c>
      <c r="K820" t="n">
        <v>0</v>
      </c>
      <c r="L820" t="n">
        <v>0</v>
      </c>
      <c r="M820" t="n">
        <v>0</v>
      </c>
      <c r="N820" t="n">
        <v>0</v>
      </c>
      <c r="O820" t="n">
        <v>0</v>
      </c>
      <c r="P820" t="n">
        <v>0</v>
      </c>
      <c r="Q820" t="n">
        <v>0</v>
      </c>
      <c r="R820" s="2" t="inlineStr"/>
    </row>
    <row r="821" ht="15" customHeight="1">
      <c r="A821" t="inlineStr">
        <is>
          <t>A 27358-2024</t>
        </is>
      </c>
      <c r="B821" s="1" t="n">
        <v>45473.71635416667</v>
      </c>
      <c r="C821" s="1" t="n">
        <v>45889</v>
      </c>
      <c r="D821" t="inlineStr">
        <is>
          <t>VÄRMLANDS LÄN</t>
        </is>
      </c>
      <c r="E821" t="inlineStr">
        <is>
          <t>TORSBY</t>
        </is>
      </c>
      <c r="G821" t="n">
        <v>4.2</v>
      </c>
      <c r="H821" t="n">
        <v>0</v>
      </c>
      <c r="I821" t="n">
        <v>0</v>
      </c>
      <c r="J821" t="n">
        <v>0</v>
      </c>
      <c r="K821" t="n">
        <v>0</v>
      </c>
      <c r="L821" t="n">
        <v>0</v>
      </c>
      <c r="M821" t="n">
        <v>0</v>
      </c>
      <c r="N821" t="n">
        <v>0</v>
      </c>
      <c r="O821" t="n">
        <v>0</v>
      </c>
      <c r="P821" t="n">
        <v>0</v>
      </c>
      <c r="Q821" t="n">
        <v>0</v>
      </c>
      <c r="R821" s="2" t="inlineStr"/>
    </row>
    <row r="822" ht="15" customHeight="1">
      <c r="A822" t="inlineStr">
        <is>
          <t>A 27360-2024</t>
        </is>
      </c>
      <c r="B822" s="1" t="n">
        <v>45473</v>
      </c>
      <c r="C822" s="1" t="n">
        <v>45889</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16949-2025</t>
        </is>
      </c>
      <c r="B823" s="1" t="n">
        <v>45755</v>
      </c>
      <c r="C823" s="1" t="n">
        <v>45889</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27346-2024</t>
        </is>
      </c>
      <c r="B824" s="1" t="n">
        <v>45473.58984953703</v>
      </c>
      <c r="C824" s="1" t="n">
        <v>45889</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27349-2024</t>
        </is>
      </c>
      <c r="B825" s="1" t="n">
        <v>45473.65679398148</v>
      </c>
      <c r="C825" s="1" t="n">
        <v>45889</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35762-2024</t>
        </is>
      </c>
      <c r="B826" s="1" t="n">
        <v>45532.57373842593</v>
      </c>
      <c r="C826" s="1" t="n">
        <v>45889</v>
      </c>
      <c r="D826" t="inlineStr">
        <is>
          <t>VÄRMLANDS LÄN</t>
        </is>
      </c>
      <c r="E826" t="inlineStr">
        <is>
          <t>TORSBY</t>
        </is>
      </c>
      <c r="G826" t="n">
        <v>11.8</v>
      </c>
      <c r="H826" t="n">
        <v>0</v>
      </c>
      <c r="I826" t="n">
        <v>0</v>
      </c>
      <c r="J826" t="n">
        <v>0</v>
      </c>
      <c r="K826" t="n">
        <v>0</v>
      </c>
      <c r="L826" t="n">
        <v>0</v>
      </c>
      <c r="M826" t="n">
        <v>0</v>
      </c>
      <c r="N826" t="n">
        <v>0</v>
      </c>
      <c r="O826" t="n">
        <v>0</v>
      </c>
      <c r="P826" t="n">
        <v>0</v>
      </c>
      <c r="Q826" t="n">
        <v>0</v>
      </c>
      <c r="R826" s="2" t="inlineStr"/>
    </row>
    <row r="827" ht="15" customHeight="1">
      <c r="A827" t="inlineStr">
        <is>
          <t>A 33848-2023</t>
        </is>
      </c>
      <c r="B827" s="1" t="n">
        <v>45133.68835648148</v>
      </c>
      <c r="C827" s="1" t="n">
        <v>45889</v>
      </c>
      <c r="D827" t="inlineStr">
        <is>
          <t>VÄRMLANDS LÄN</t>
        </is>
      </c>
      <c r="E827" t="inlineStr">
        <is>
          <t>TORSBY</t>
        </is>
      </c>
      <c r="F827" t="inlineStr">
        <is>
          <t>Bergvik skog väst AB</t>
        </is>
      </c>
      <c r="G827" t="n">
        <v>4.4</v>
      </c>
      <c r="H827" t="n">
        <v>0</v>
      </c>
      <c r="I827" t="n">
        <v>0</v>
      </c>
      <c r="J827" t="n">
        <v>0</v>
      </c>
      <c r="K827" t="n">
        <v>0</v>
      </c>
      <c r="L827" t="n">
        <v>0</v>
      </c>
      <c r="M827" t="n">
        <v>0</v>
      </c>
      <c r="N827" t="n">
        <v>0</v>
      </c>
      <c r="O827" t="n">
        <v>0</v>
      </c>
      <c r="P827" t="n">
        <v>0</v>
      </c>
      <c r="Q827" t="n">
        <v>0</v>
      </c>
      <c r="R827" s="2" t="inlineStr"/>
    </row>
    <row r="828" ht="15" customHeight="1">
      <c r="A828" t="inlineStr">
        <is>
          <t>A 45548-2024</t>
        </is>
      </c>
      <c r="B828" s="1" t="n">
        <v>45579</v>
      </c>
      <c r="C828" s="1" t="n">
        <v>45889</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35609-2024</t>
        </is>
      </c>
      <c r="B829" s="1" t="n">
        <v>45531.68758101852</v>
      </c>
      <c r="C829" s="1" t="n">
        <v>45889</v>
      </c>
      <c r="D829" t="inlineStr">
        <is>
          <t>VÄRMLANDS LÄN</t>
        </is>
      </c>
      <c r="E829" t="inlineStr">
        <is>
          <t>TORSBY</t>
        </is>
      </c>
      <c r="G829" t="n">
        <v>38.3</v>
      </c>
      <c r="H829" t="n">
        <v>0</v>
      </c>
      <c r="I829" t="n">
        <v>0</v>
      </c>
      <c r="J829" t="n">
        <v>0</v>
      </c>
      <c r="K829" t="n">
        <v>0</v>
      </c>
      <c r="L829" t="n">
        <v>0</v>
      </c>
      <c r="M829" t="n">
        <v>0</v>
      </c>
      <c r="N829" t="n">
        <v>0</v>
      </c>
      <c r="O829" t="n">
        <v>0</v>
      </c>
      <c r="P829" t="n">
        <v>0</v>
      </c>
      <c r="Q829" t="n">
        <v>0</v>
      </c>
      <c r="R829" s="2" t="inlineStr"/>
    </row>
    <row r="830" ht="15" customHeight="1">
      <c r="A830" t="inlineStr">
        <is>
          <t>A 17554-2023</t>
        </is>
      </c>
      <c r="B830" s="1" t="n">
        <v>45034</v>
      </c>
      <c r="C830" s="1" t="n">
        <v>45889</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44715-2020</t>
        </is>
      </c>
      <c r="B831" s="1" t="n">
        <v>44078</v>
      </c>
      <c r="C831" s="1" t="n">
        <v>45889</v>
      </c>
      <c r="D831" t="inlineStr">
        <is>
          <t>VÄRMLANDS LÄN</t>
        </is>
      </c>
      <c r="E831" t="inlineStr">
        <is>
          <t>TORSBY</t>
        </is>
      </c>
      <c r="G831" t="n">
        <v>1.9</v>
      </c>
      <c r="H831" t="n">
        <v>0</v>
      </c>
      <c r="I831" t="n">
        <v>0</v>
      </c>
      <c r="J831" t="n">
        <v>0</v>
      </c>
      <c r="K831" t="n">
        <v>0</v>
      </c>
      <c r="L831" t="n">
        <v>0</v>
      </c>
      <c r="M831" t="n">
        <v>0</v>
      </c>
      <c r="N831" t="n">
        <v>0</v>
      </c>
      <c r="O831" t="n">
        <v>0</v>
      </c>
      <c r="P831" t="n">
        <v>0</v>
      </c>
      <c r="Q831" t="n">
        <v>0</v>
      </c>
      <c r="R831" s="2" t="inlineStr"/>
    </row>
    <row r="832" ht="15" customHeight="1">
      <c r="A832" t="inlineStr">
        <is>
          <t>A 28005-2024</t>
        </is>
      </c>
      <c r="B832" s="1" t="n">
        <v>45476</v>
      </c>
      <c r="C832" s="1" t="n">
        <v>45889</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15413-2023</t>
        </is>
      </c>
      <c r="B833" s="1" t="n">
        <v>45019</v>
      </c>
      <c r="C833" s="1" t="n">
        <v>45889</v>
      </c>
      <c r="D833" t="inlineStr">
        <is>
          <t>VÄRMLANDS LÄN</t>
        </is>
      </c>
      <c r="E833" t="inlineStr">
        <is>
          <t>TORSBY</t>
        </is>
      </c>
      <c r="G833" t="n">
        <v>17.1</v>
      </c>
      <c r="H833" t="n">
        <v>0</v>
      </c>
      <c r="I833" t="n">
        <v>0</v>
      </c>
      <c r="J833" t="n">
        <v>0</v>
      </c>
      <c r="K833" t="n">
        <v>0</v>
      </c>
      <c r="L833" t="n">
        <v>0</v>
      </c>
      <c r="M833" t="n">
        <v>0</v>
      </c>
      <c r="N833" t="n">
        <v>0</v>
      </c>
      <c r="O833" t="n">
        <v>0</v>
      </c>
      <c r="P833" t="n">
        <v>0</v>
      </c>
      <c r="Q833" t="n">
        <v>0</v>
      </c>
      <c r="R833" s="2" t="inlineStr"/>
    </row>
    <row r="834" ht="15" customHeight="1">
      <c r="A834" t="inlineStr">
        <is>
          <t>A 13262-2024</t>
        </is>
      </c>
      <c r="B834" s="1" t="n">
        <v>45386.59236111111</v>
      </c>
      <c r="C834" s="1" t="n">
        <v>45889</v>
      </c>
      <c r="D834" t="inlineStr">
        <is>
          <t>VÄRMLANDS LÄN</t>
        </is>
      </c>
      <c r="E834" t="inlineStr">
        <is>
          <t>TORSBY</t>
        </is>
      </c>
      <c r="G834" t="n">
        <v>4.8</v>
      </c>
      <c r="H834" t="n">
        <v>0</v>
      </c>
      <c r="I834" t="n">
        <v>0</v>
      </c>
      <c r="J834" t="n">
        <v>0</v>
      </c>
      <c r="K834" t="n">
        <v>0</v>
      </c>
      <c r="L834" t="n">
        <v>0</v>
      </c>
      <c r="M834" t="n">
        <v>0</v>
      </c>
      <c r="N834" t="n">
        <v>0</v>
      </c>
      <c r="O834" t="n">
        <v>0</v>
      </c>
      <c r="P834" t="n">
        <v>0</v>
      </c>
      <c r="Q834" t="n">
        <v>0</v>
      </c>
      <c r="R834" s="2" t="inlineStr"/>
    </row>
    <row r="835" ht="15" customHeight="1">
      <c r="A835" t="inlineStr">
        <is>
          <t>A 15488-2023</t>
        </is>
      </c>
      <c r="B835" s="1" t="n">
        <v>45020</v>
      </c>
      <c r="C835" s="1" t="n">
        <v>45889</v>
      </c>
      <c r="D835" t="inlineStr">
        <is>
          <t>VÄRMLANDS LÄN</t>
        </is>
      </c>
      <c r="E835" t="inlineStr">
        <is>
          <t>TORSBY</t>
        </is>
      </c>
      <c r="G835" t="n">
        <v>3.4</v>
      </c>
      <c r="H835" t="n">
        <v>0</v>
      </c>
      <c r="I835" t="n">
        <v>0</v>
      </c>
      <c r="J835" t="n">
        <v>0</v>
      </c>
      <c r="K835" t="n">
        <v>0</v>
      </c>
      <c r="L835" t="n">
        <v>0</v>
      </c>
      <c r="M835" t="n">
        <v>0</v>
      </c>
      <c r="N835" t="n">
        <v>0</v>
      </c>
      <c r="O835" t="n">
        <v>0</v>
      </c>
      <c r="P835" t="n">
        <v>0</v>
      </c>
      <c r="Q835" t="n">
        <v>0</v>
      </c>
      <c r="R835" s="2" t="inlineStr"/>
    </row>
    <row r="836" ht="15" customHeight="1">
      <c r="A836" t="inlineStr">
        <is>
          <t>A 11878-2024</t>
        </is>
      </c>
      <c r="B836" s="1" t="n">
        <v>45376.47877314815</v>
      </c>
      <c r="C836" s="1" t="n">
        <v>45889</v>
      </c>
      <c r="D836" t="inlineStr">
        <is>
          <t>VÄRMLANDS LÄN</t>
        </is>
      </c>
      <c r="E836" t="inlineStr">
        <is>
          <t>TORSBY</t>
        </is>
      </c>
      <c r="G836" t="n">
        <v>0.8</v>
      </c>
      <c r="H836" t="n">
        <v>0</v>
      </c>
      <c r="I836" t="n">
        <v>0</v>
      </c>
      <c r="J836" t="n">
        <v>0</v>
      </c>
      <c r="K836" t="n">
        <v>0</v>
      </c>
      <c r="L836" t="n">
        <v>0</v>
      </c>
      <c r="M836" t="n">
        <v>0</v>
      </c>
      <c r="N836" t="n">
        <v>0</v>
      </c>
      <c r="O836" t="n">
        <v>0</v>
      </c>
      <c r="P836" t="n">
        <v>0</v>
      </c>
      <c r="Q836" t="n">
        <v>0</v>
      </c>
      <c r="R836" s="2" t="inlineStr"/>
    </row>
    <row r="837" ht="15" customHeight="1">
      <c r="A837" t="inlineStr">
        <is>
          <t>A 23843-2024</t>
        </is>
      </c>
      <c r="B837" s="1" t="n">
        <v>45455</v>
      </c>
      <c r="C837" s="1" t="n">
        <v>45889</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54714-2023</t>
        </is>
      </c>
      <c r="B838" s="1" t="n">
        <v>45236.3515162037</v>
      </c>
      <c r="C838" s="1" t="n">
        <v>45889</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18959-2024</t>
        </is>
      </c>
      <c r="B839" s="1" t="n">
        <v>45427.53032407408</v>
      </c>
      <c r="C839" s="1" t="n">
        <v>45889</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9793-2024</t>
        </is>
      </c>
      <c r="B840" s="1" t="n">
        <v>45362.71013888889</v>
      </c>
      <c r="C840" s="1" t="n">
        <v>45889</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39648-2023</t>
        </is>
      </c>
      <c r="B841" s="1" t="n">
        <v>45167.5528587963</v>
      </c>
      <c r="C841" s="1" t="n">
        <v>45889</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200-2025</t>
        </is>
      </c>
      <c r="B842" s="1" t="n">
        <v>45659.93418981481</v>
      </c>
      <c r="C842" s="1" t="n">
        <v>45889</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40573-2024</t>
        </is>
      </c>
      <c r="B843" s="1" t="n">
        <v>45555.69518518518</v>
      </c>
      <c r="C843" s="1" t="n">
        <v>45889</v>
      </c>
      <c r="D843" t="inlineStr">
        <is>
          <t>VÄRMLANDS LÄN</t>
        </is>
      </c>
      <c r="E843" t="inlineStr">
        <is>
          <t>TORSBY</t>
        </is>
      </c>
      <c r="F843" t="inlineStr">
        <is>
          <t>Bergvik skog väst AB</t>
        </is>
      </c>
      <c r="G843" t="n">
        <v>3</v>
      </c>
      <c r="H843" t="n">
        <v>0</v>
      </c>
      <c r="I843" t="n">
        <v>0</v>
      </c>
      <c r="J843" t="n">
        <v>0</v>
      </c>
      <c r="K843" t="n">
        <v>0</v>
      </c>
      <c r="L843" t="n">
        <v>0</v>
      </c>
      <c r="M843" t="n">
        <v>0</v>
      </c>
      <c r="N843" t="n">
        <v>0</v>
      </c>
      <c r="O843" t="n">
        <v>0</v>
      </c>
      <c r="P843" t="n">
        <v>0</v>
      </c>
      <c r="Q843" t="n">
        <v>0</v>
      </c>
      <c r="R843" s="2" t="inlineStr"/>
    </row>
    <row r="844" ht="15" customHeight="1">
      <c r="A844" t="inlineStr">
        <is>
          <t>A 67172-2021</t>
        </is>
      </c>
      <c r="B844" s="1" t="n">
        <v>44523.4271875</v>
      </c>
      <c r="C844" s="1" t="n">
        <v>45889</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41022-2023</t>
        </is>
      </c>
      <c r="B845" s="1" t="n">
        <v>45173</v>
      </c>
      <c r="C845" s="1" t="n">
        <v>45889</v>
      </c>
      <c r="D845" t="inlineStr">
        <is>
          <t>VÄRMLANDS LÄN</t>
        </is>
      </c>
      <c r="E845" t="inlineStr">
        <is>
          <t>TORSBY</t>
        </is>
      </c>
      <c r="G845" t="n">
        <v>3.8</v>
      </c>
      <c r="H845" t="n">
        <v>0</v>
      </c>
      <c r="I845" t="n">
        <v>0</v>
      </c>
      <c r="J845" t="n">
        <v>0</v>
      </c>
      <c r="K845" t="n">
        <v>0</v>
      </c>
      <c r="L845" t="n">
        <v>0</v>
      </c>
      <c r="M845" t="n">
        <v>0</v>
      </c>
      <c r="N845" t="n">
        <v>0</v>
      </c>
      <c r="O845" t="n">
        <v>0</v>
      </c>
      <c r="P845" t="n">
        <v>0</v>
      </c>
      <c r="Q845" t="n">
        <v>0</v>
      </c>
      <c r="R845" s="2" t="inlineStr"/>
    </row>
    <row r="846" ht="15" customHeight="1">
      <c r="A846" t="inlineStr">
        <is>
          <t>A 30700-2024</t>
        </is>
      </c>
      <c r="B846" s="1" t="n">
        <v>45496.35869212963</v>
      </c>
      <c r="C846" s="1" t="n">
        <v>45889</v>
      </c>
      <c r="D846" t="inlineStr">
        <is>
          <t>VÄRMLANDS LÄN</t>
        </is>
      </c>
      <c r="E846" t="inlineStr">
        <is>
          <t>TORSBY</t>
        </is>
      </c>
      <c r="G846" t="n">
        <v>7.2</v>
      </c>
      <c r="H846" t="n">
        <v>0</v>
      </c>
      <c r="I846" t="n">
        <v>0</v>
      </c>
      <c r="J846" t="n">
        <v>0</v>
      </c>
      <c r="K846" t="n">
        <v>0</v>
      </c>
      <c r="L846" t="n">
        <v>0</v>
      </c>
      <c r="M846" t="n">
        <v>0</v>
      </c>
      <c r="N846" t="n">
        <v>0</v>
      </c>
      <c r="O846" t="n">
        <v>0</v>
      </c>
      <c r="P846" t="n">
        <v>0</v>
      </c>
      <c r="Q846" t="n">
        <v>0</v>
      </c>
      <c r="R846" s="2" t="inlineStr"/>
    </row>
    <row r="847" ht="15" customHeight="1">
      <c r="A847" t="inlineStr">
        <is>
          <t>A 30705-2024</t>
        </is>
      </c>
      <c r="B847" s="1" t="n">
        <v>45496.38092592593</v>
      </c>
      <c r="C847" s="1" t="n">
        <v>45889</v>
      </c>
      <c r="D847" t="inlineStr">
        <is>
          <t>VÄRMLANDS LÄN</t>
        </is>
      </c>
      <c r="E847" t="inlineStr">
        <is>
          <t>TORSBY</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2009-2025</t>
        </is>
      </c>
      <c r="B848" s="1" t="n">
        <v>45672</v>
      </c>
      <c r="C848" s="1" t="n">
        <v>45889</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39215-2022</t>
        </is>
      </c>
      <c r="B849" s="1" t="n">
        <v>44817</v>
      </c>
      <c r="C849" s="1" t="n">
        <v>45889</v>
      </c>
      <c r="D849" t="inlineStr">
        <is>
          <t>VÄRMLANDS LÄN</t>
        </is>
      </c>
      <c r="E849" t="inlineStr">
        <is>
          <t>TORSBY</t>
        </is>
      </c>
      <c r="G849" t="n">
        <v>3.8</v>
      </c>
      <c r="H849" t="n">
        <v>0</v>
      </c>
      <c r="I849" t="n">
        <v>0</v>
      </c>
      <c r="J849" t="n">
        <v>0</v>
      </c>
      <c r="K849" t="n">
        <v>0</v>
      </c>
      <c r="L849" t="n">
        <v>0</v>
      </c>
      <c r="M849" t="n">
        <v>0</v>
      </c>
      <c r="N849" t="n">
        <v>0</v>
      </c>
      <c r="O849" t="n">
        <v>0</v>
      </c>
      <c r="P849" t="n">
        <v>0</v>
      </c>
      <c r="Q849" t="n">
        <v>0</v>
      </c>
      <c r="R849" s="2" t="inlineStr"/>
    </row>
    <row r="850" ht="15" customHeight="1">
      <c r="A850" t="inlineStr">
        <is>
          <t>A 37238-2024</t>
        </is>
      </c>
      <c r="B850" s="1" t="n">
        <v>45540</v>
      </c>
      <c r="C850" s="1" t="n">
        <v>45889</v>
      </c>
      <c r="D850" t="inlineStr">
        <is>
          <t>VÄRMLANDS LÄN</t>
        </is>
      </c>
      <c r="E850" t="inlineStr">
        <is>
          <t>TORSBY</t>
        </is>
      </c>
      <c r="F850" t="inlineStr">
        <is>
          <t>Bergvik skog väst AB</t>
        </is>
      </c>
      <c r="G850" t="n">
        <v>11.9</v>
      </c>
      <c r="H850" t="n">
        <v>0</v>
      </c>
      <c r="I850" t="n">
        <v>0</v>
      </c>
      <c r="J850" t="n">
        <v>0</v>
      </c>
      <c r="K850" t="n">
        <v>0</v>
      </c>
      <c r="L850" t="n">
        <v>0</v>
      </c>
      <c r="M850" t="n">
        <v>0</v>
      </c>
      <c r="N850" t="n">
        <v>0</v>
      </c>
      <c r="O850" t="n">
        <v>0</v>
      </c>
      <c r="P850" t="n">
        <v>0</v>
      </c>
      <c r="Q850" t="n">
        <v>0</v>
      </c>
      <c r="R850" s="2" t="inlineStr"/>
    </row>
    <row r="851" ht="15" customHeight="1">
      <c r="A851" t="inlineStr">
        <is>
          <t>A 1911-2022</t>
        </is>
      </c>
      <c r="B851" s="1" t="n">
        <v>44575</v>
      </c>
      <c r="C851" s="1" t="n">
        <v>45889</v>
      </c>
      <c r="D851" t="inlineStr">
        <is>
          <t>VÄRMLANDS LÄN</t>
        </is>
      </c>
      <c r="E851" t="inlineStr">
        <is>
          <t>TORSBY</t>
        </is>
      </c>
      <c r="F851" t="inlineStr">
        <is>
          <t>Kommuner</t>
        </is>
      </c>
      <c r="G851" t="n">
        <v>0.8</v>
      </c>
      <c r="H851" t="n">
        <v>0</v>
      </c>
      <c r="I851" t="n">
        <v>0</v>
      </c>
      <c r="J851" t="n">
        <v>0</v>
      </c>
      <c r="K851" t="n">
        <v>0</v>
      </c>
      <c r="L851" t="n">
        <v>0</v>
      </c>
      <c r="M851" t="n">
        <v>0</v>
      </c>
      <c r="N851" t="n">
        <v>0</v>
      </c>
      <c r="O851" t="n">
        <v>0</v>
      </c>
      <c r="P851" t="n">
        <v>0</v>
      </c>
      <c r="Q851" t="n">
        <v>0</v>
      </c>
      <c r="R851" s="2" t="inlineStr"/>
    </row>
    <row r="852" ht="15" customHeight="1">
      <c r="A852" t="inlineStr">
        <is>
          <t>A 10473-2023</t>
        </is>
      </c>
      <c r="B852" s="1" t="n">
        <v>44981</v>
      </c>
      <c r="C852" s="1" t="n">
        <v>45889</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21518-2024</t>
        </is>
      </c>
      <c r="B853" s="1" t="n">
        <v>45441</v>
      </c>
      <c r="C853" s="1" t="n">
        <v>45889</v>
      </c>
      <c r="D853" t="inlineStr">
        <is>
          <t>VÄRMLANDS LÄN</t>
        </is>
      </c>
      <c r="E853" t="inlineStr">
        <is>
          <t>TORSBY</t>
        </is>
      </c>
      <c r="G853" t="n">
        <v>1.7</v>
      </c>
      <c r="H853" t="n">
        <v>0</v>
      </c>
      <c r="I853" t="n">
        <v>0</v>
      </c>
      <c r="J853" t="n">
        <v>0</v>
      </c>
      <c r="K853" t="n">
        <v>0</v>
      </c>
      <c r="L853" t="n">
        <v>0</v>
      </c>
      <c r="M853" t="n">
        <v>0</v>
      </c>
      <c r="N853" t="n">
        <v>0</v>
      </c>
      <c r="O853" t="n">
        <v>0</v>
      </c>
      <c r="P853" t="n">
        <v>0</v>
      </c>
      <c r="Q853" t="n">
        <v>0</v>
      </c>
      <c r="R853" s="2" t="inlineStr"/>
    </row>
    <row r="854" ht="15" customHeight="1">
      <c r="A854" t="inlineStr">
        <is>
          <t>A 12051-2024</t>
        </is>
      </c>
      <c r="B854" s="1" t="n">
        <v>45377</v>
      </c>
      <c r="C854" s="1" t="n">
        <v>45889</v>
      </c>
      <c r="D854" t="inlineStr">
        <is>
          <t>VÄRMLANDS LÄN</t>
        </is>
      </c>
      <c r="E854" t="inlineStr">
        <is>
          <t>TORSBY</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39216-2022</t>
        </is>
      </c>
      <c r="B855" s="1" t="n">
        <v>44817</v>
      </c>
      <c r="C855" s="1" t="n">
        <v>45889</v>
      </c>
      <c r="D855" t="inlineStr">
        <is>
          <t>VÄRMLANDS LÄN</t>
        </is>
      </c>
      <c r="E855" t="inlineStr">
        <is>
          <t>TORSBY</t>
        </is>
      </c>
      <c r="G855" t="n">
        <v>6.6</v>
      </c>
      <c r="H855" t="n">
        <v>0</v>
      </c>
      <c r="I855" t="n">
        <v>0</v>
      </c>
      <c r="J855" t="n">
        <v>0</v>
      </c>
      <c r="K855" t="n">
        <v>0</v>
      </c>
      <c r="L855" t="n">
        <v>0</v>
      </c>
      <c r="M855" t="n">
        <v>0</v>
      </c>
      <c r="N855" t="n">
        <v>0</v>
      </c>
      <c r="O855" t="n">
        <v>0</v>
      </c>
      <c r="P855" t="n">
        <v>0</v>
      </c>
      <c r="Q855" t="n">
        <v>0</v>
      </c>
      <c r="R855" s="2" t="inlineStr"/>
    </row>
    <row r="856" ht="15" customHeight="1">
      <c r="A856" t="inlineStr">
        <is>
          <t>A 13191-2025</t>
        </is>
      </c>
      <c r="B856" s="1" t="n">
        <v>45735.40501157408</v>
      </c>
      <c r="C856" s="1" t="n">
        <v>45889</v>
      </c>
      <c r="D856" t="inlineStr">
        <is>
          <t>VÄRMLANDS LÄN</t>
        </is>
      </c>
      <c r="E856" t="inlineStr">
        <is>
          <t>TORSBY</t>
        </is>
      </c>
      <c r="G856" t="n">
        <v>10.6</v>
      </c>
      <c r="H856" t="n">
        <v>0</v>
      </c>
      <c r="I856" t="n">
        <v>0</v>
      </c>
      <c r="J856" t="n">
        <v>0</v>
      </c>
      <c r="K856" t="n">
        <v>0</v>
      </c>
      <c r="L856" t="n">
        <v>0</v>
      </c>
      <c r="M856" t="n">
        <v>0</v>
      </c>
      <c r="N856" t="n">
        <v>0</v>
      </c>
      <c r="O856" t="n">
        <v>0</v>
      </c>
      <c r="P856" t="n">
        <v>0</v>
      </c>
      <c r="Q856" t="n">
        <v>0</v>
      </c>
      <c r="R856" s="2" t="inlineStr"/>
    </row>
    <row r="857" ht="15" customHeight="1">
      <c r="A857" t="inlineStr">
        <is>
          <t>A 9067-2023</t>
        </is>
      </c>
      <c r="B857" s="1" t="n">
        <v>44979</v>
      </c>
      <c r="C857" s="1" t="n">
        <v>45889</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38062-2024</t>
        </is>
      </c>
      <c r="B858" s="1" t="n">
        <v>45544</v>
      </c>
      <c r="C858" s="1" t="n">
        <v>45889</v>
      </c>
      <c r="D858" t="inlineStr">
        <is>
          <t>VÄRMLANDS LÄN</t>
        </is>
      </c>
      <c r="E858" t="inlineStr">
        <is>
          <t>TORSBY</t>
        </is>
      </c>
      <c r="F858" t="inlineStr">
        <is>
          <t>Bergvik skog väst AB</t>
        </is>
      </c>
      <c r="G858" t="n">
        <v>7.9</v>
      </c>
      <c r="H858" t="n">
        <v>0</v>
      </c>
      <c r="I858" t="n">
        <v>0</v>
      </c>
      <c r="J858" t="n">
        <v>0</v>
      </c>
      <c r="K858" t="n">
        <v>0</v>
      </c>
      <c r="L858" t="n">
        <v>0</v>
      </c>
      <c r="M858" t="n">
        <v>0</v>
      </c>
      <c r="N858" t="n">
        <v>0</v>
      </c>
      <c r="O858" t="n">
        <v>0</v>
      </c>
      <c r="P858" t="n">
        <v>0</v>
      </c>
      <c r="Q858" t="n">
        <v>0</v>
      </c>
      <c r="R858" s="2" t="inlineStr"/>
    </row>
    <row r="859" ht="15" customHeight="1">
      <c r="A859" t="inlineStr">
        <is>
          <t>A 36718-2024</t>
        </is>
      </c>
      <c r="B859" s="1" t="n">
        <v>45537</v>
      </c>
      <c r="C859" s="1" t="n">
        <v>45889</v>
      </c>
      <c r="D859" t="inlineStr">
        <is>
          <t>VÄRMLANDS LÄN</t>
        </is>
      </c>
      <c r="E859" t="inlineStr">
        <is>
          <t>TORSBY</t>
        </is>
      </c>
      <c r="G859" t="n">
        <v>3.7</v>
      </c>
      <c r="H859" t="n">
        <v>0</v>
      </c>
      <c r="I859" t="n">
        <v>0</v>
      </c>
      <c r="J859" t="n">
        <v>0</v>
      </c>
      <c r="K859" t="n">
        <v>0</v>
      </c>
      <c r="L859" t="n">
        <v>0</v>
      </c>
      <c r="M859" t="n">
        <v>0</v>
      </c>
      <c r="N859" t="n">
        <v>0</v>
      </c>
      <c r="O859" t="n">
        <v>0</v>
      </c>
      <c r="P859" t="n">
        <v>0</v>
      </c>
      <c r="Q859" t="n">
        <v>0</v>
      </c>
      <c r="R859" s="2" t="inlineStr"/>
    </row>
    <row r="860" ht="15" customHeight="1">
      <c r="A860" t="inlineStr">
        <is>
          <t>A 37075-2021</t>
        </is>
      </c>
      <c r="B860" s="1" t="n">
        <v>44394</v>
      </c>
      <c r="C860" s="1" t="n">
        <v>45889</v>
      </c>
      <c r="D860" t="inlineStr">
        <is>
          <t>VÄRMLANDS LÄN</t>
        </is>
      </c>
      <c r="E860" t="inlineStr">
        <is>
          <t>TORSBY</t>
        </is>
      </c>
      <c r="G860" t="n">
        <v>3.2</v>
      </c>
      <c r="H860" t="n">
        <v>0</v>
      </c>
      <c r="I860" t="n">
        <v>0</v>
      </c>
      <c r="J860" t="n">
        <v>0</v>
      </c>
      <c r="K860" t="n">
        <v>0</v>
      </c>
      <c r="L860" t="n">
        <v>0</v>
      </c>
      <c r="M860" t="n">
        <v>0</v>
      </c>
      <c r="N860" t="n">
        <v>0</v>
      </c>
      <c r="O860" t="n">
        <v>0</v>
      </c>
      <c r="P860" t="n">
        <v>0</v>
      </c>
      <c r="Q860" t="n">
        <v>0</v>
      </c>
      <c r="R860" s="2" t="inlineStr"/>
    </row>
    <row r="861" ht="15" customHeight="1">
      <c r="A861" t="inlineStr">
        <is>
          <t>A 38100-2024</t>
        </is>
      </c>
      <c r="B861" s="1" t="n">
        <v>45545</v>
      </c>
      <c r="C861" s="1" t="n">
        <v>45889</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4231-2024</t>
        </is>
      </c>
      <c r="B862" s="1" t="n">
        <v>45324.42771990741</v>
      </c>
      <c r="C862" s="1" t="n">
        <v>45889</v>
      </c>
      <c r="D862" t="inlineStr">
        <is>
          <t>VÄRMLANDS LÄN</t>
        </is>
      </c>
      <c r="E862" t="inlineStr">
        <is>
          <t>TORSBY</t>
        </is>
      </c>
      <c r="G862" t="n">
        <v>3.6</v>
      </c>
      <c r="H862" t="n">
        <v>0</v>
      </c>
      <c r="I862" t="n">
        <v>0</v>
      </c>
      <c r="J862" t="n">
        <v>0</v>
      </c>
      <c r="K862" t="n">
        <v>0</v>
      </c>
      <c r="L862" t="n">
        <v>0</v>
      </c>
      <c r="M862" t="n">
        <v>0</v>
      </c>
      <c r="N862" t="n">
        <v>0</v>
      </c>
      <c r="O862" t="n">
        <v>0</v>
      </c>
      <c r="P862" t="n">
        <v>0</v>
      </c>
      <c r="Q862" t="n">
        <v>0</v>
      </c>
      <c r="R862" s="2" t="inlineStr"/>
    </row>
    <row r="863" ht="15" customHeight="1">
      <c r="A863" t="inlineStr">
        <is>
          <t>A 18883-2024</t>
        </is>
      </c>
      <c r="B863" s="1" t="n">
        <v>45426</v>
      </c>
      <c r="C863" s="1" t="n">
        <v>45889</v>
      </c>
      <c r="D863" t="inlineStr">
        <is>
          <t>VÄRMLANDS LÄN</t>
        </is>
      </c>
      <c r="E863" t="inlineStr">
        <is>
          <t>TORSBY</t>
        </is>
      </c>
      <c r="G863" t="n">
        <v>2.5</v>
      </c>
      <c r="H863" t="n">
        <v>0</v>
      </c>
      <c r="I863" t="n">
        <v>0</v>
      </c>
      <c r="J863" t="n">
        <v>0</v>
      </c>
      <c r="K863" t="n">
        <v>0</v>
      </c>
      <c r="L863" t="n">
        <v>0</v>
      </c>
      <c r="M863" t="n">
        <v>0</v>
      </c>
      <c r="N863" t="n">
        <v>0</v>
      </c>
      <c r="O863" t="n">
        <v>0</v>
      </c>
      <c r="P863" t="n">
        <v>0</v>
      </c>
      <c r="Q863" t="n">
        <v>0</v>
      </c>
      <c r="R863" s="2" t="inlineStr"/>
    </row>
    <row r="864" ht="15" customHeight="1">
      <c r="A864" t="inlineStr">
        <is>
          <t>A 7643-2025</t>
        </is>
      </c>
      <c r="B864" s="1" t="n">
        <v>45705.78703703704</v>
      </c>
      <c r="C864" s="1" t="n">
        <v>45889</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9574-2023</t>
        </is>
      </c>
      <c r="B865" s="1" t="n">
        <v>44982.55168981481</v>
      </c>
      <c r="C865" s="1" t="n">
        <v>45889</v>
      </c>
      <c r="D865" t="inlineStr">
        <is>
          <t>VÄRMLANDS LÄN</t>
        </is>
      </c>
      <c r="E865" t="inlineStr">
        <is>
          <t>TORSBY</t>
        </is>
      </c>
      <c r="F865" t="inlineStr">
        <is>
          <t>Övriga statliga verk och myndigheter</t>
        </is>
      </c>
      <c r="G865" t="n">
        <v>6.2</v>
      </c>
      <c r="H865" t="n">
        <v>0</v>
      </c>
      <c r="I865" t="n">
        <v>0</v>
      </c>
      <c r="J865" t="n">
        <v>0</v>
      </c>
      <c r="K865" t="n">
        <v>0</v>
      </c>
      <c r="L865" t="n">
        <v>0</v>
      </c>
      <c r="M865" t="n">
        <v>0</v>
      </c>
      <c r="N865" t="n">
        <v>0</v>
      </c>
      <c r="O865" t="n">
        <v>0</v>
      </c>
      <c r="P865" t="n">
        <v>0</v>
      </c>
      <c r="Q865" t="n">
        <v>0</v>
      </c>
      <c r="R865" s="2" t="inlineStr"/>
    </row>
    <row r="866" ht="15" customHeight="1">
      <c r="A866" t="inlineStr">
        <is>
          <t>A 53331-2024</t>
        </is>
      </c>
      <c r="B866" s="1" t="n">
        <v>45614</v>
      </c>
      <c r="C866" s="1" t="n">
        <v>45889</v>
      </c>
      <c r="D866" t="inlineStr">
        <is>
          <t>VÄRMLANDS LÄN</t>
        </is>
      </c>
      <c r="E866" t="inlineStr">
        <is>
          <t>TORSBY</t>
        </is>
      </c>
      <c r="F866" t="inlineStr">
        <is>
          <t>Bergvik skog väst AB</t>
        </is>
      </c>
      <c r="G866" t="n">
        <v>9.300000000000001</v>
      </c>
      <c r="H866" t="n">
        <v>0</v>
      </c>
      <c r="I866" t="n">
        <v>0</v>
      </c>
      <c r="J866" t="n">
        <v>0</v>
      </c>
      <c r="K866" t="n">
        <v>0</v>
      </c>
      <c r="L866" t="n">
        <v>0</v>
      </c>
      <c r="M866" t="n">
        <v>0</v>
      </c>
      <c r="N866" t="n">
        <v>0</v>
      </c>
      <c r="O866" t="n">
        <v>0</v>
      </c>
      <c r="P866" t="n">
        <v>0</v>
      </c>
      <c r="Q866" t="n">
        <v>0</v>
      </c>
      <c r="R866" s="2" t="inlineStr"/>
    </row>
    <row r="867" ht="15" customHeight="1">
      <c r="A867" t="inlineStr">
        <is>
          <t>A 18480-2025</t>
        </is>
      </c>
      <c r="B867" s="1" t="n">
        <v>45762.9171412037</v>
      </c>
      <c r="C867" s="1" t="n">
        <v>45889</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13791-2023</t>
        </is>
      </c>
      <c r="B868" s="1" t="n">
        <v>45005</v>
      </c>
      <c r="C868" s="1" t="n">
        <v>45889</v>
      </c>
      <c r="D868" t="inlineStr">
        <is>
          <t>VÄRMLANDS LÄN</t>
        </is>
      </c>
      <c r="E868" t="inlineStr">
        <is>
          <t>TORSBY</t>
        </is>
      </c>
      <c r="G868" t="n">
        <v>3.5</v>
      </c>
      <c r="H868" t="n">
        <v>0</v>
      </c>
      <c r="I868" t="n">
        <v>0</v>
      </c>
      <c r="J868" t="n">
        <v>0</v>
      </c>
      <c r="K868" t="n">
        <v>0</v>
      </c>
      <c r="L868" t="n">
        <v>0</v>
      </c>
      <c r="M868" t="n">
        <v>0</v>
      </c>
      <c r="N868" t="n">
        <v>0</v>
      </c>
      <c r="O868" t="n">
        <v>0</v>
      </c>
      <c r="P868" t="n">
        <v>0</v>
      </c>
      <c r="Q868" t="n">
        <v>0</v>
      </c>
      <c r="R868" s="2" t="inlineStr"/>
    </row>
    <row r="869" ht="15" customHeight="1">
      <c r="A869" t="inlineStr">
        <is>
          <t>A 13561-2023</t>
        </is>
      </c>
      <c r="B869" s="1" t="n">
        <v>45006.47429398148</v>
      </c>
      <c r="C869" s="1" t="n">
        <v>45889</v>
      </c>
      <c r="D869" t="inlineStr">
        <is>
          <t>VÄRMLANDS LÄN</t>
        </is>
      </c>
      <c r="E869" t="inlineStr">
        <is>
          <t>TORSBY</t>
        </is>
      </c>
      <c r="G869" t="n">
        <v>4.2</v>
      </c>
      <c r="H869" t="n">
        <v>0</v>
      </c>
      <c r="I869" t="n">
        <v>0</v>
      </c>
      <c r="J869" t="n">
        <v>0</v>
      </c>
      <c r="K869" t="n">
        <v>0</v>
      </c>
      <c r="L869" t="n">
        <v>0</v>
      </c>
      <c r="M869" t="n">
        <v>0</v>
      </c>
      <c r="N869" t="n">
        <v>0</v>
      </c>
      <c r="O869" t="n">
        <v>0</v>
      </c>
      <c r="P869" t="n">
        <v>0</v>
      </c>
      <c r="Q869" t="n">
        <v>0</v>
      </c>
      <c r="R869" s="2" t="inlineStr"/>
    </row>
    <row r="870" ht="15" customHeight="1">
      <c r="A870" t="inlineStr">
        <is>
          <t>A 2662-2024</t>
        </is>
      </c>
      <c r="B870" s="1" t="n">
        <v>45314.38747685185</v>
      </c>
      <c r="C870" s="1" t="n">
        <v>45889</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33656-2023</t>
        </is>
      </c>
      <c r="B871" s="1" t="n">
        <v>45132.57922453704</v>
      </c>
      <c r="C871" s="1" t="n">
        <v>45889</v>
      </c>
      <c r="D871" t="inlineStr">
        <is>
          <t>VÄRMLANDS LÄN</t>
        </is>
      </c>
      <c r="E871" t="inlineStr">
        <is>
          <t>TORSBY</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492-2025</t>
        </is>
      </c>
      <c r="B872" s="1" t="n">
        <v>45664.46337962963</v>
      </c>
      <c r="C872" s="1" t="n">
        <v>45889</v>
      </c>
      <c r="D872" t="inlineStr">
        <is>
          <t>VÄRMLANDS LÄN</t>
        </is>
      </c>
      <c r="E872" t="inlineStr">
        <is>
          <t>TORSBY</t>
        </is>
      </c>
      <c r="G872" t="n">
        <v>6.9</v>
      </c>
      <c r="H872" t="n">
        <v>0</v>
      </c>
      <c r="I872" t="n">
        <v>0</v>
      </c>
      <c r="J872" t="n">
        <v>0</v>
      </c>
      <c r="K872" t="n">
        <v>0</v>
      </c>
      <c r="L872" t="n">
        <v>0</v>
      </c>
      <c r="M872" t="n">
        <v>0</v>
      </c>
      <c r="N872" t="n">
        <v>0</v>
      </c>
      <c r="O872" t="n">
        <v>0</v>
      </c>
      <c r="P872" t="n">
        <v>0</v>
      </c>
      <c r="Q872" t="n">
        <v>0</v>
      </c>
      <c r="R872" s="2" t="inlineStr"/>
    </row>
    <row r="873" ht="15" customHeight="1">
      <c r="A873" t="inlineStr">
        <is>
          <t>A 27195-2023</t>
        </is>
      </c>
      <c r="B873" s="1" t="n">
        <v>45096</v>
      </c>
      <c r="C873" s="1" t="n">
        <v>45889</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21757-2024</t>
        </is>
      </c>
      <c r="B874" s="1" t="n">
        <v>45442</v>
      </c>
      <c r="C874" s="1" t="n">
        <v>45889</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42428-2024</t>
        </is>
      </c>
      <c r="B875" s="1" t="n">
        <v>45565</v>
      </c>
      <c r="C875" s="1" t="n">
        <v>45889</v>
      </c>
      <c r="D875" t="inlineStr">
        <is>
          <t>VÄRMLANDS LÄN</t>
        </is>
      </c>
      <c r="E875" t="inlineStr">
        <is>
          <t>TORSBY</t>
        </is>
      </c>
      <c r="F875" t="inlineStr">
        <is>
          <t>Bergvik skog väst AB</t>
        </is>
      </c>
      <c r="G875" t="n">
        <v>20.7</v>
      </c>
      <c r="H875" t="n">
        <v>0</v>
      </c>
      <c r="I875" t="n">
        <v>0</v>
      </c>
      <c r="J875" t="n">
        <v>0</v>
      </c>
      <c r="K875" t="n">
        <v>0</v>
      </c>
      <c r="L875" t="n">
        <v>0</v>
      </c>
      <c r="M875" t="n">
        <v>0</v>
      </c>
      <c r="N875" t="n">
        <v>0</v>
      </c>
      <c r="O875" t="n">
        <v>0</v>
      </c>
      <c r="P875" t="n">
        <v>0</v>
      </c>
      <c r="Q875" t="n">
        <v>0</v>
      </c>
      <c r="R875" s="2" t="inlineStr"/>
    </row>
    <row r="876" ht="15" customHeight="1">
      <c r="A876" t="inlineStr">
        <is>
          <t>A 30110-2023</t>
        </is>
      </c>
      <c r="B876" s="1" t="n">
        <v>45110</v>
      </c>
      <c r="C876" s="1" t="n">
        <v>45889</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26166-2024</t>
        </is>
      </c>
      <c r="B877" s="1" t="n">
        <v>45468.55357638889</v>
      </c>
      <c r="C877" s="1" t="n">
        <v>45889</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27588-2024</t>
        </is>
      </c>
      <c r="B878" s="1" t="n">
        <v>45474</v>
      </c>
      <c r="C878" s="1" t="n">
        <v>45889</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43037-2024</t>
        </is>
      </c>
      <c r="B879" s="1" t="n">
        <v>45567</v>
      </c>
      <c r="C879" s="1" t="n">
        <v>45889</v>
      </c>
      <c r="D879" t="inlineStr">
        <is>
          <t>VÄRMLANDS LÄN</t>
        </is>
      </c>
      <c r="E879" t="inlineStr">
        <is>
          <t>TORSBY</t>
        </is>
      </c>
      <c r="F879" t="inlineStr">
        <is>
          <t>Bergvik skog väst AB</t>
        </is>
      </c>
      <c r="G879" t="n">
        <v>0.5</v>
      </c>
      <c r="H879" t="n">
        <v>0</v>
      </c>
      <c r="I879" t="n">
        <v>0</v>
      </c>
      <c r="J879" t="n">
        <v>0</v>
      </c>
      <c r="K879" t="n">
        <v>0</v>
      </c>
      <c r="L879" t="n">
        <v>0</v>
      </c>
      <c r="M879" t="n">
        <v>0</v>
      </c>
      <c r="N879" t="n">
        <v>0</v>
      </c>
      <c r="O879" t="n">
        <v>0</v>
      </c>
      <c r="P879" t="n">
        <v>0</v>
      </c>
      <c r="Q879" t="n">
        <v>0</v>
      </c>
      <c r="R879" s="2" t="inlineStr"/>
    </row>
    <row r="880" ht="15" customHeight="1">
      <c r="A880" t="inlineStr">
        <is>
          <t>A 36775-2024</t>
        </is>
      </c>
      <c r="B880" s="1" t="n">
        <v>45538</v>
      </c>
      <c r="C880" s="1" t="n">
        <v>45889</v>
      </c>
      <c r="D880" t="inlineStr">
        <is>
          <t>VÄRMLANDS LÄN</t>
        </is>
      </c>
      <c r="E880" t="inlineStr">
        <is>
          <t>TORSBY</t>
        </is>
      </c>
      <c r="F880" t="inlineStr">
        <is>
          <t>Kyrkan</t>
        </is>
      </c>
      <c r="G880" t="n">
        <v>2.6</v>
      </c>
      <c r="H880" t="n">
        <v>0</v>
      </c>
      <c r="I880" t="n">
        <v>0</v>
      </c>
      <c r="J880" t="n">
        <v>0</v>
      </c>
      <c r="K880" t="n">
        <v>0</v>
      </c>
      <c r="L880" t="n">
        <v>0</v>
      </c>
      <c r="M880" t="n">
        <v>0</v>
      </c>
      <c r="N880" t="n">
        <v>0</v>
      </c>
      <c r="O880" t="n">
        <v>0</v>
      </c>
      <c r="P880" t="n">
        <v>0</v>
      </c>
      <c r="Q880" t="n">
        <v>0</v>
      </c>
      <c r="R880" s="2" t="inlineStr"/>
    </row>
    <row r="881" ht="15" customHeight="1">
      <c r="A881" t="inlineStr">
        <is>
          <t>A 52689-2024</t>
        </is>
      </c>
      <c r="B881" s="1" t="n">
        <v>45610.39621527777</v>
      </c>
      <c r="C881" s="1" t="n">
        <v>45889</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24639-2023</t>
        </is>
      </c>
      <c r="B882" s="1" t="n">
        <v>45084</v>
      </c>
      <c r="C882" s="1" t="n">
        <v>45889</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32847-2024</t>
        </is>
      </c>
      <c r="B883" s="1" t="n">
        <v>45516.63021990741</v>
      </c>
      <c r="C883" s="1" t="n">
        <v>45889</v>
      </c>
      <c r="D883" t="inlineStr">
        <is>
          <t>VÄRMLANDS LÄN</t>
        </is>
      </c>
      <c r="E883" t="inlineStr">
        <is>
          <t>TORSBY</t>
        </is>
      </c>
      <c r="F883" t="inlineStr">
        <is>
          <t>Bergvik skog väst AB</t>
        </is>
      </c>
      <c r="G883" t="n">
        <v>3.9</v>
      </c>
      <c r="H883" t="n">
        <v>0</v>
      </c>
      <c r="I883" t="n">
        <v>0</v>
      </c>
      <c r="J883" t="n">
        <v>0</v>
      </c>
      <c r="K883" t="n">
        <v>0</v>
      </c>
      <c r="L883" t="n">
        <v>0</v>
      </c>
      <c r="M883" t="n">
        <v>0</v>
      </c>
      <c r="N883" t="n">
        <v>0</v>
      </c>
      <c r="O883" t="n">
        <v>0</v>
      </c>
      <c r="P883" t="n">
        <v>0</v>
      </c>
      <c r="Q883" t="n">
        <v>0</v>
      </c>
      <c r="R883" s="2" t="inlineStr"/>
    </row>
    <row r="884" ht="15" customHeight="1">
      <c r="A884" t="inlineStr">
        <is>
          <t>A 53499-2023</t>
        </is>
      </c>
      <c r="B884" s="1" t="n">
        <v>45223</v>
      </c>
      <c r="C884" s="1" t="n">
        <v>45889</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38257-2023</t>
        </is>
      </c>
      <c r="B885" s="1" t="n">
        <v>45161.58917824074</v>
      </c>
      <c r="C885" s="1" t="n">
        <v>45889</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60525-2023</t>
        </is>
      </c>
      <c r="B886" s="1" t="n">
        <v>45259</v>
      </c>
      <c r="C886" s="1" t="n">
        <v>45889</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15464-2025</t>
        </is>
      </c>
      <c r="B887" s="1" t="n">
        <v>45747</v>
      </c>
      <c r="C887" s="1" t="n">
        <v>45889</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4342-2025</t>
        </is>
      </c>
      <c r="B888" s="1" t="n">
        <v>45685</v>
      </c>
      <c r="C888" s="1" t="n">
        <v>45889</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8025-2025</t>
        </is>
      </c>
      <c r="B889" s="1" t="n">
        <v>45707</v>
      </c>
      <c r="C889" s="1" t="n">
        <v>45889</v>
      </c>
      <c r="D889" t="inlineStr">
        <is>
          <t>VÄRMLANDS LÄN</t>
        </is>
      </c>
      <c r="E889" t="inlineStr">
        <is>
          <t>TORSBY</t>
        </is>
      </c>
      <c r="G889" t="n">
        <v>1.1</v>
      </c>
      <c r="H889" t="n">
        <v>0</v>
      </c>
      <c r="I889" t="n">
        <v>0</v>
      </c>
      <c r="J889" t="n">
        <v>0</v>
      </c>
      <c r="K889" t="n">
        <v>0</v>
      </c>
      <c r="L889" t="n">
        <v>0</v>
      </c>
      <c r="M889" t="n">
        <v>0</v>
      </c>
      <c r="N889" t="n">
        <v>0</v>
      </c>
      <c r="O889" t="n">
        <v>0</v>
      </c>
      <c r="P889" t="n">
        <v>0</v>
      </c>
      <c r="Q889" t="n">
        <v>0</v>
      </c>
      <c r="R889" s="2" t="inlineStr"/>
    </row>
    <row r="890" ht="15" customHeight="1">
      <c r="A890" t="inlineStr">
        <is>
          <t>A 15564-2025</t>
        </is>
      </c>
      <c r="B890" s="1" t="n">
        <v>45747.70501157407</v>
      </c>
      <c r="C890" s="1" t="n">
        <v>45889</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24995-2024</t>
        </is>
      </c>
      <c r="B891" s="1" t="n">
        <v>45461</v>
      </c>
      <c r="C891" s="1" t="n">
        <v>45889</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423-2024</t>
        </is>
      </c>
      <c r="B892" s="1" t="n">
        <v>45296.53034722222</v>
      </c>
      <c r="C892" s="1" t="n">
        <v>45889</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11395-2025</t>
        </is>
      </c>
      <c r="B893" s="1" t="n">
        <v>45726.5728125</v>
      </c>
      <c r="C893" s="1" t="n">
        <v>45889</v>
      </c>
      <c r="D893" t="inlineStr">
        <is>
          <t>VÄRMLANDS LÄN</t>
        </is>
      </c>
      <c r="E893" t="inlineStr">
        <is>
          <t>TORSBY</t>
        </is>
      </c>
      <c r="G893" t="n">
        <v>25.3</v>
      </c>
      <c r="H893" t="n">
        <v>0</v>
      </c>
      <c r="I893" t="n">
        <v>0</v>
      </c>
      <c r="J893" t="n">
        <v>0</v>
      </c>
      <c r="K893" t="n">
        <v>0</v>
      </c>
      <c r="L893" t="n">
        <v>0</v>
      </c>
      <c r="M893" t="n">
        <v>0</v>
      </c>
      <c r="N893" t="n">
        <v>0</v>
      </c>
      <c r="O893" t="n">
        <v>0</v>
      </c>
      <c r="P893" t="n">
        <v>0</v>
      </c>
      <c r="Q893" t="n">
        <v>0</v>
      </c>
      <c r="R893" s="2" t="inlineStr"/>
    </row>
    <row r="894" ht="15" customHeight="1">
      <c r="A894" t="inlineStr">
        <is>
          <t>A 10583-2023</t>
        </is>
      </c>
      <c r="B894" s="1" t="n">
        <v>44988.36435185185</v>
      </c>
      <c r="C894" s="1" t="n">
        <v>45889</v>
      </c>
      <c r="D894" t="inlineStr">
        <is>
          <t>VÄRMLANDS LÄN</t>
        </is>
      </c>
      <c r="E894" t="inlineStr">
        <is>
          <t>TORSBY</t>
        </is>
      </c>
      <c r="G894" t="n">
        <v>3.6</v>
      </c>
      <c r="H894" t="n">
        <v>0</v>
      </c>
      <c r="I894" t="n">
        <v>0</v>
      </c>
      <c r="J894" t="n">
        <v>0</v>
      </c>
      <c r="K894" t="n">
        <v>0</v>
      </c>
      <c r="L894" t="n">
        <v>0</v>
      </c>
      <c r="M894" t="n">
        <v>0</v>
      </c>
      <c r="N894" t="n">
        <v>0</v>
      </c>
      <c r="O894" t="n">
        <v>0</v>
      </c>
      <c r="P894" t="n">
        <v>0</v>
      </c>
      <c r="Q894" t="n">
        <v>0</v>
      </c>
      <c r="R894" s="2" t="inlineStr"/>
    </row>
    <row r="895" ht="15" customHeight="1">
      <c r="A895" t="inlineStr">
        <is>
          <t>A 32138-2024</t>
        </is>
      </c>
      <c r="B895" s="1" t="n">
        <v>45511</v>
      </c>
      <c r="C895" s="1" t="n">
        <v>45889</v>
      </c>
      <c r="D895" t="inlineStr">
        <is>
          <t>VÄRMLANDS LÄN</t>
        </is>
      </c>
      <c r="E895" t="inlineStr">
        <is>
          <t>TORSBY</t>
        </is>
      </c>
      <c r="F895" t="inlineStr">
        <is>
          <t>Bergvik skog väst AB</t>
        </is>
      </c>
      <c r="G895" t="n">
        <v>26.3</v>
      </c>
      <c r="H895" t="n">
        <v>0</v>
      </c>
      <c r="I895" t="n">
        <v>0</v>
      </c>
      <c r="J895" t="n">
        <v>0</v>
      </c>
      <c r="K895" t="n">
        <v>0</v>
      </c>
      <c r="L895" t="n">
        <v>0</v>
      </c>
      <c r="M895" t="n">
        <v>0</v>
      </c>
      <c r="N895" t="n">
        <v>0</v>
      </c>
      <c r="O895" t="n">
        <v>0</v>
      </c>
      <c r="P895" t="n">
        <v>0</v>
      </c>
      <c r="Q895" t="n">
        <v>0</v>
      </c>
      <c r="R895" s="2" t="inlineStr"/>
    </row>
    <row r="896" ht="15" customHeight="1">
      <c r="A896" t="inlineStr">
        <is>
          <t>A 49298-2024</t>
        </is>
      </c>
      <c r="B896" s="1" t="n">
        <v>45595.54357638889</v>
      </c>
      <c r="C896" s="1" t="n">
        <v>45889</v>
      </c>
      <c r="D896" t="inlineStr">
        <is>
          <t>VÄRMLANDS LÄN</t>
        </is>
      </c>
      <c r="E896" t="inlineStr">
        <is>
          <t>TORSBY</t>
        </is>
      </c>
      <c r="G896" t="n">
        <v>3.9</v>
      </c>
      <c r="H896" t="n">
        <v>0</v>
      </c>
      <c r="I896" t="n">
        <v>0</v>
      </c>
      <c r="J896" t="n">
        <v>0</v>
      </c>
      <c r="K896" t="n">
        <v>0</v>
      </c>
      <c r="L896" t="n">
        <v>0</v>
      </c>
      <c r="M896" t="n">
        <v>0</v>
      </c>
      <c r="N896" t="n">
        <v>0</v>
      </c>
      <c r="O896" t="n">
        <v>0</v>
      </c>
      <c r="P896" t="n">
        <v>0</v>
      </c>
      <c r="Q896" t="n">
        <v>0</v>
      </c>
      <c r="R896" s="2" t="inlineStr"/>
    </row>
    <row r="897" ht="15" customHeight="1">
      <c r="A897" t="inlineStr">
        <is>
          <t>A 20872-2024</t>
        </is>
      </c>
      <c r="B897" s="1" t="n">
        <v>45439.44173611111</v>
      </c>
      <c r="C897" s="1" t="n">
        <v>45889</v>
      </c>
      <c r="D897" t="inlineStr">
        <is>
          <t>VÄRMLANDS LÄN</t>
        </is>
      </c>
      <c r="E897" t="inlineStr">
        <is>
          <t>TORSBY</t>
        </is>
      </c>
      <c r="G897" t="n">
        <v>7.4</v>
      </c>
      <c r="H897" t="n">
        <v>0</v>
      </c>
      <c r="I897" t="n">
        <v>0</v>
      </c>
      <c r="J897" t="n">
        <v>0</v>
      </c>
      <c r="K897" t="n">
        <v>0</v>
      </c>
      <c r="L897" t="n">
        <v>0</v>
      </c>
      <c r="M897" t="n">
        <v>0</v>
      </c>
      <c r="N897" t="n">
        <v>0</v>
      </c>
      <c r="O897" t="n">
        <v>0</v>
      </c>
      <c r="P897" t="n">
        <v>0</v>
      </c>
      <c r="Q897" t="n">
        <v>0</v>
      </c>
      <c r="R897" s="2" t="inlineStr"/>
    </row>
    <row r="898" ht="15" customHeight="1">
      <c r="A898" t="inlineStr">
        <is>
          <t>A 20740-2025</t>
        </is>
      </c>
      <c r="B898" s="1" t="n">
        <v>45776.54284722222</v>
      </c>
      <c r="C898" s="1" t="n">
        <v>45889</v>
      </c>
      <c r="D898" t="inlineStr">
        <is>
          <t>VÄRMLANDS LÄN</t>
        </is>
      </c>
      <c r="E898" t="inlineStr">
        <is>
          <t>TORSBY</t>
        </is>
      </c>
      <c r="F898" t="inlineStr">
        <is>
          <t>Bergvik skog väst AB</t>
        </is>
      </c>
      <c r="G898" t="n">
        <v>3.7</v>
      </c>
      <c r="H898" t="n">
        <v>0</v>
      </c>
      <c r="I898" t="n">
        <v>0</v>
      </c>
      <c r="J898" t="n">
        <v>0</v>
      </c>
      <c r="K898" t="n">
        <v>0</v>
      </c>
      <c r="L898" t="n">
        <v>0</v>
      </c>
      <c r="M898" t="n">
        <v>0</v>
      </c>
      <c r="N898" t="n">
        <v>0</v>
      </c>
      <c r="O898" t="n">
        <v>0</v>
      </c>
      <c r="P898" t="n">
        <v>0</v>
      </c>
      <c r="Q898" t="n">
        <v>0</v>
      </c>
      <c r="R898" s="2" t="inlineStr"/>
    </row>
    <row r="899" ht="15" customHeight="1">
      <c r="A899" t="inlineStr">
        <is>
          <t>A 25949-2024</t>
        </is>
      </c>
      <c r="B899" s="1" t="n">
        <v>45467.6442824074</v>
      </c>
      <c r="C899" s="1" t="n">
        <v>45889</v>
      </c>
      <c r="D899" t="inlineStr">
        <is>
          <t>VÄRMLANDS LÄN</t>
        </is>
      </c>
      <c r="E899" t="inlineStr">
        <is>
          <t>TORSBY</t>
        </is>
      </c>
      <c r="F899" t="inlineStr">
        <is>
          <t>Bergvik skog väst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44659-2024</t>
        </is>
      </c>
      <c r="B900" s="1" t="n">
        <v>45574</v>
      </c>
      <c r="C900" s="1" t="n">
        <v>45889</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26042-2024</t>
        </is>
      </c>
      <c r="B901" s="1" t="n">
        <v>45468.29846064815</v>
      </c>
      <c r="C901" s="1" t="n">
        <v>45889</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61956-2020</t>
        </is>
      </c>
      <c r="B902" s="1" t="n">
        <v>44159</v>
      </c>
      <c r="C902" s="1" t="n">
        <v>45889</v>
      </c>
      <c r="D902" t="inlineStr">
        <is>
          <t>VÄRMLANDS LÄN</t>
        </is>
      </c>
      <c r="E902" t="inlineStr">
        <is>
          <t>TORSBY</t>
        </is>
      </c>
      <c r="F902" t="inlineStr">
        <is>
          <t>Kommuner</t>
        </is>
      </c>
      <c r="G902" t="n">
        <v>7.5</v>
      </c>
      <c r="H902" t="n">
        <v>0</v>
      </c>
      <c r="I902" t="n">
        <v>0</v>
      </c>
      <c r="J902" t="n">
        <v>0</v>
      </c>
      <c r="K902" t="n">
        <v>0</v>
      </c>
      <c r="L902" t="n">
        <v>0</v>
      </c>
      <c r="M902" t="n">
        <v>0</v>
      </c>
      <c r="N902" t="n">
        <v>0</v>
      </c>
      <c r="O902" t="n">
        <v>0</v>
      </c>
      <c r="P902" t="n">
        <v>0</v>
      </c>
      <c r="Q902" t="n">
        <v>0</v>
      </c>
      <c r="R902" s="2" t="inlineStr"/>
    </row>
    <row r="903" ht="15" customHeight="1">
      <c r="A903" t="inlineStr">
        <is>
          <t>A 21365-2023</t>
        </is>
      </c>
      <c r="B903" s="1" t="n">
        <v>45063.26761574074</v>
      </c>
      <c r="C903" s="1" t="n">
        <v>45889</v>
      </c>
      <c r="D903" t="inlineStr">
        <is>
          <t>VÄRMLANDS LÄN</t>
        </is>
      </c>
      <c r="E903" t="inlineStr">
        <is>
          <t>TORSBY</t>
        </is>
      </c>
      <c r="F903" t="inlineStr">
        <is>
          <t>Kyrkan</t>
        </is>
      </c>
      <c r="G903" t="n">
        <v>4</v>
      </c>
      <c r="H903" t="n">
        <v>0</v>
      </c>
      <c r="I903" t="n">
        <v>0</v>
      </c>
      <c r="J903" t="n">
        <v>0</v>
      </c>
      <c r="K903" t="n">
        <v>0</v>
      </c>
      <c r="L903" t="n">
        <v>0</v>
      </c>
      <c r="M903" t="n">
        <v>0</v>
      </c>
      <c r="N903" t="n">
        <v>0</v>
      </c>
      <c r="O903" t="n">
        <v>0</v>
      </c>
      <c r="P903" t="n">
        <v>0</v>
      </c>
      <c r="Q903" t="n">
        <v>0</v>
      </c>
      <c r="R903" s="2" t="inlineStr"/>
    </row>
    <row r="904" ht="15" customHeight="1">
      <c r="A904" t="inlineStr">
        <is>
          <t>A 57785-2024</t>
        </is>
      </c>
      <c r="B904" s="1" t="n">
        <v>45631</v>
      </c>
      <c r="C904" s="1" t="n">
        <v>45889</v>
      </c>
      <c r="D904" t="inlineStr">
        <is>
          <t>VÄRMLANDS LÄN</t>
        </is>
      </c>
      <c r="E904" t="inlineStr">
        <is>
          <t>TORSBY</t>
        </is>
      </c>
      <c r="F904" t="inlineStr">
        <is>
          <t>Bergvik skog väst AB</t>
        </is>
      </c>
      <c r="G904" t="n">
        <v>10.9</v>
      </c>
      <c r="H904" t="n">
        <v>0</v>
      </c>
      <c r="I904" t="n">
        <v>0</v>
      </c>
      <c r="J904" t="n">
        <v>0</v>
      </c>
      <c r="K904" t="n">
        <v>0</v>
      </c>
      <c r="L904" t="n">
        <v>0</v>
      </c>
      <c r="M904" t="n">
        <v>0</v>
      </c>
      <c r="N904" t="n">
        <v>0</v>
      </c>
      <c r="O904" t="n">
        <v>0</v>
      </c>
      <c r="P904" t="n">
        <v>0</v>
      </c>
      <c r="Q904" t="n">
        <v>0</v>
      </c>
      <c r="R904" s="2" t="inlineStr"/>
    </row>
    <row r="905" ht="15" customHeight="1">
      <c r="A905" t="inlineStr">
        <is>
          <t>A 60385-2024</t>
        </is>
      </c>
      <c r="B905" s="1" t="n">
        <v>45643</v>
      </c>
      <c r="C905" s="1" t="n">
        <v>45889</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60781-2024</t>
        </is>
      </c>
      <c r="B906" s="1" t="n">
        <v>45642</v>
      </c>
      <c r="C906" s="1" t="n">
        <v>45889</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66978-2021</t>
        </is>
      </c>
      <c r="B907" s="1" t="n">
        <v>44522</v>
      </c>
      <c r="C907" s="1" t="n">
        <v>45889</v>
      </c>
      <c r="D907" t="inlineStr">
        <is>
          <t>VÄRMLANDS LÄN</t>
        </is>
      </c>
      <c r="E907" t="inlineStr">
        <is>
          <t>TORSBY</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20816-2025</t>
        </is>
      </c>
      <c r="B908" s="1" t="n">
        <v>45776</v>
      </c>
      <c r="C908" s="1" t="n">
        <v>45889</v>
      </c>
      <c r="D908" t="inlineStr">
        <is>
          <t>VÄRMLANDS LÄN</t>
        </is>
      </c>
      <c r="E908" t="inlineStr">
        <is>
          <t>TORSBY</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29375-2024</t>
        </is>
      </c>
      <c r="B909" s="1" t="n">
        <v>45483.58712962963</v>
      </c>
      <c r="C909" s="1" t="n">
        <v>45889</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20773-2025</t>
        </is>
      </c>
      <c r="B910" s="1" t="n">
        <v>45776.59321759259</v>
      </c>
      <c r="C910" s="1" t="n">
        <v>45889</v>
      </c>
      <c r="D910" t="inlineStr">
        <is>
          <t>VÄRMLANDS LÄN</t>
        </is>
      </c>
      <c r="E910" t="inlineStr">
        <is>
          <t>TORSBY</t>
        </is>
      </c>
      <c r="F910" t="inlineStr">
        <is>
          <t>Bergvik skog väst AB</t>
        </is>
      </c>
      <c r="G910" t="n">
        <v>4.2</v>
      </c>
      <c r="H910" t="n">
        <v>0</v>
      </c>
      <c r="I910" t="n">
        <v>0</v>
      </c>
      <c r="J910" t="n">
        <v>0</v>
      </c>
      <c r="K910" t="n">
        <v>0</v>
      </c>
      <c r="L910" t="n">
        <v>0</v>
      </c>
      <c r="M910" t="n">
        <v>0</v>
      </c>
      <c r="N910" t="n">
        <v>0</v>
      </c>
      <c r="O910" t="n">
        <v>0</v>
      </c>
      <c r="P910" t="n">
        <v>0</v>
      </c>
      <c r="Q910" t="n">
        <v>0</v>
      </c>
      <c r="R910" s="2" t="inlineStr"/>
    </row>
    <row r="911" ht="15" customHeight="1">
      <c r="A911" t="inlineStr">
        <is>
          <t>A 39075-2024</t>
        </is>
      </c>
      <c r="B911" s="1" t="n">
        <v>45548</v>
      </c>
      <c r="C911" s="1" t="n">
        <v>45889</v>
      </c>
      <c r="D911" t="inlineStr">
        <is>
          <t>VÄRMLANDS LÄN</t>
        </is>
      </c>
      <c r="E911" t="inlineStr">
        <is>
          <t>TORSBY</t>
        </is>
      </c>
      <c r="G911" t="n">
        <v>5.8</v>
      </c>
      <c r="H911" t="n">
        <v>0</v>
      </c>
      <c r="I911" t="n">
        <v>0</v>
      </c>
      <c r="J911" t="n">
        <v>0</v>
      </c>
      <c r="K911" t="n">
        <v>0</v>
      </c>
      <c r="L911" t="n">
        <v>0</v>
      </c>
      <c r="M911" t="n">
        <v>0</v>
      </c>
      <c r="N911" t="n">
        <v>0</v>
      </c>
      <c r="O911" t="n">
        <v>0</v>
      </c>
      <c r="P911" t="n">
        <v>0</v>
      </c>
      <c r="Q911" t="n">
        <v>0</v>
      </c>
      <c r="R911" s="2" t="inlineStr"/>
    </row>
    <row r="912" ht="15" customHeight="1">
      <c r="A912" t="inlineStr">
        <is>
          <t>A 20843-2025</t>
        </is>
      </c>
      <c r="B912" s="1" t="n">
        <v>45776.9233912037</v>
      </c>
      <c r="C912" s="1" t="n">
        <v>45889</v>
      </c>
      <c r="D912" t="inlineStr">
        <is>
          <t>VÄRMLANDS LÄN</t>
        </is>
      </c>
      <c r="E912" t="inlineStr">
        <is>
          <t>TORSBY</t>
        </is>
      </c>
      <c r="G912" t="n">
        <v>2.9</v>
      </c>
      <c r="H912" t="n">
        <v>0</v>
      </c>
      <c r="I912" t="n">
        <v>0</v>
      </c>
      <c r="J912" t="n">
        <v>0</v>
      </c>
      <c r="K912" t="n">
        <v>0</v>
      </c>
      <c r="L912" t="n">
        <v>0</v>
      </c>
      <c r="M912" t="n">
        <v>0</v>
      </c>
      <c r="N912" t="n">
        <v>0</v>
      </c>
      <c r="O912" t="n">
        <v>0</v>
      </c>
      <c r="P912" t="n">
        <v>0</v>
      </c>
      <c r="Q912" t="n">
        <v>0</v>
      </c>
      <c r="R912" s="2" t="inlineStr"/>
    </row>
    <row r="913" ht="15" customHeight="1">
      <c r="A913" t="inlineStr">
        <is>
          <t>A 20848-2025</t>
        </is>
      </c>
      <c r="B913" s="1" t="n">
        <v>45777.30980324074</v>
      </c>
      <c r="C913" s="1" t="n">
        <v>45889</v>
      </c>
      <c r="D913" t="inlineStr">
        <is>
          <t>VÄRMLANDS LÄN</t>
        </is>
      </c>
      <c r="E913" t="inlineStr">
        <is>
          <t>TORSBY</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11121-2024</t>
        </is>
      </c>
      <c r="B914" s="1" t="n">
        <v>45371.40634259259</v>
      </c>
      <c r="C914" s="1" t="n">
        <v>45889</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20914-2025</t>
        </is>
      </c>
      <c r="B915" s="1" t="n">
        <v>45777</v>
      </c>
      <c r="C915" s="1" t="n">
        <v>45889</v>
      </c>
      <c r="D915" t="inlineStr">
        <is>
          <t>VÄRMLANDS LÄN</t>
        </is>
      </c>
      <c r="E915" t="inlineStr">
        <is>
          <t>TORSBY</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15992-2023</t>
        </is>
      </c>
      <c r="B916" s="1" t="n">
        <v>45023.5066087963</v>
      </c>
      <c r="C916" s="1" t="n">
        <v>45889</v>
      </c>
      <c r="D916" t="inlineStr">
        <is>
          <t>VÄRMLANDS LÄN</t>
        </is>
      </c>
      <c r="E916" t="inlineStr">
        <is>
          <t>TORSBY</t>
        </is>
      </c>
      <c r="G916" t="n">
        <v>5.4</v>
      </c>
      <c r="H916" t="n">
        <v>0</v>
      </c>
      <c r="I916" t="n">
        <v>0</v>
      </c>
      <c r="J916" t="n">
        <v>0</v>
      </c>
      <c r="K916" t="n">
        <v>0</v>
      </c>
      <c r="L916" t="n">
        <v>0</v>
      </c>
      <c r="M916" t="n">
        <v>0</v>
      </c>
      <c r="N916" t="n">
        <v>0</v>
      </c>
      <c r="O916" t="n">
        <v>0</v>
      </c>
      <c r="P916" t="n">
        <v>0</v>
      </c>
      <c r="Q916" t="n">
        <v>0</v>
      </c>
      <c r="R916" s="2" t="inlineStr"/>
    </row>
    <row r="917" ht="15" customHeight="1">
      <c r="A917" t="inlineStr">
        <is>
          <t>A 16044-2023</t>
        </is>
      </c>
      <c r="B917" s="1" t="n">
        <v>45027</v>
      </c>
      <c r="C917" s="1" t="n">
        <v>45889</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15083-2024</t>
        </is>
      </c>
      <c r="B918" s="1" t="n">
        <v>45399.63163194444</v>
      </c>
      <c r="C918" s="1" t="n">
        <v>45889</v>
      </c>
      <c r="D918" t="inlineStr">
        <is>
          <t>VÄRMLANDS LÄN</t>
        </is>
      </c>
      <c r="E918" t="inlineStr">
        <is>
          <t>TORSBY</t>
        </is>
      </c>
      <c r="G918" t="n">
        <v>2.8</v>
      </c>
      <c r="H918" t="n">
        <v>0</v>
      </c>
      <c r="I918" t="n">
        <v>0</v>
      </c>
      <c r="J918" t="n">
        <v>0</v>
      </c>
      <c r="K918" t="n">
        <v>0</v>
      </c>
      <c r="L918" t="n">
        <v>0</v>
      </c>
      <c r="M918" t="n">
        <v>0</v>
      </c>
      <c r="N918" t="n">
        <v>0</v>
      </c>
      <c r="O918" t="n">
        <v>0</v>
      </c>
      <c r="P918" t="n">
        <v>0</v>
      </c>
      <c r="Q918" t="n">
        <v>0</v>
      </c>
      <c r="R918" s="2" t="inlineStr"/>
    </row>
    <row r="919" ht="15" customHeight="1">
      <c r="A919" t="inlineStr">
        <is>
          <t>A 33227-2024</t>
        </is>
      </c>
      <c r="B919" s="1" t="n">
        <v>45518.5708912037</v>
      </c>
      <c r="C919" s="1" t="n">
        <v>45889</v>
      </c>
      <c r="D919" t="inlineStr">
        <is>
          <t>VÄRMLANDS LÄN</t>
        </is>
      </c>
      <c r="E919" t="inlineStr">
        <is>
          <t>TORSBY</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56101-2024</t>
        </is>
      </c>
      <c r="B920" s="1" t="n">
        <v>45624</v>
      </c>
      <c r="C920" s="1" t="n">
        <v>45889</v>
      </c>
      <c r="D920" t="inlineStr">
        <is>
          <t>VÄRMLANDS LÄN</t>
        </is>
      </c>
      <c r="E920" t="inlineStr">
        <is>
          <t>TORSBY</t>
        </is>
      </c>
      <c r="G920" t="n">
        <v>3.2</v>
      </c>
      <c r="H920" t="n">
        <v>0</v>
      </c>
      <c r="I920" t="n">
        <v>0</v>
      </c>
      <c r="J920" t="n">
        <v>0</v>
      </c>
      <c r="K920" t="n">
        <v>0</v>
      </c>
      <c r="L920" t="n">
        <v>0</v>
      </c>
      <c r="M920" t="n">
        <v>0</v>
      </c>
      <c r="N920" t="n">
        <v>0</v>
      </c>
      <c r="O920" t="n">
        <v>0</v>
      </c>
      <c r="P920" t="n">
        <v>0</v>
      </c>
      <c r="Q920" t="n">
        <v>0</v>
      </c>
      <c r="R920" s="2" t="inlineStr"/>
    </row>
    <row r="921" ht="15" customHeight="1">
      <c r="A921" t="inlineStr">
        <is>
          <t>A 20917-2025</t>
        </is>
      </c>
      <c r="B921" s="1" t="n">
        <v>45777</v>
      </c>
      <c r="C921" s="1" t="n">
        <v>45889</v>
      </c>
      <c r="D921" t="inlineStr">
        <is>
          <t>VÄRMLANDS LÄN</t>
        </is>
      </c>
      <c r="E921" t="inlineStr">
        <is>
          <t>TORSBY</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48540-2024</t>
        </is>
      </c>
      <c r="B922" s="1" t="n">
        <v>45593</v>
      </c>
      <c r="C922" s="1" t="n">
        <v>45889</v>
      </c>
      <c r="D922" t="inlineStr">
        <is>
          <t>VÄRMLANDS LÄN</t>
        </is>
      </c>
      <c r="E922" t="inlineStr">
        <is>
          <t>TORSBY</t>
        </is>
      </c>
      <c r="G922" t="n">
        <v>16.5</v>
      </c>
      <c r="H922" t="n">
        <v>0</v>
      </c>
      <c r="I922" t="n">
        <v>0</v>
      </c>
      <c r="J922" t="n">
        <v>0</v>
      </c>
      <c r="K922" t="n">
        <v>0</v>
      </c>
      <c r="L922" t="n">
        <v>0</v>
      </c>
      <c r="M922" t="n">
        <v>0</v>
      </c>
      <c r="N922" t="n">
        <v>0</v>
      </c>
      <c r="O922" t="n">
        <v>0</v>
      </c>
      <c r="P922" t="n">
        <v>0</v>
      </c>
      <c r="Q922" t="n">
        <v>0</v>
      </c>
      <c r="R922" s="2" t="inlineStr"/>
    </row>
    <row r="923" ht="15" customHeight="1">
      <c r="A923" t="inlineStr">
        <is>
          <t>A 21462-2025</t>
        </is>
      </c>
      <c r="B923" s="1" t="n">
        <v>45782.56770833334</v>
      </c>
      <c r="C923" s="1" t="n">
        <v>45889</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54618-2024</t>
        </is>
      </c>
      <c r="B924" s="1" t="n">
        <v>45617</v>
      </c>
      <c r="C924" s="1" t="n">
        <v>45889</v>
      </c>
      <c r="D924" t="inlineStr">
        <is>
          <t>VÄRMLANDS LÄN</t>
        </is>
      </c>
      <c r="E924" t="inlineStr">
        <is>
          <t>TORSBY</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21274-2025</t>
        </is>
      </c>
      <c r="B925" s="1" t="n">
        <v>45779.62877314815</v>
      </c>
      <c r="C925" s="1" t="n">
        <v>45889</v>
      </c>
      <c r="D925" t="inlineStr">
        <is>
          <t>VÄRMLANDS LÄN</t>
        </is>
      </c>
      <c r="E925" t="inlineStr">
        <is>
          <t>TORSBY</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54796-2024</t>
        </is>
      </c>
      <c r="B926" s="1" t="n">
        <v>45618</v>
      </c>
      <c r="C926" s="1" t="n">
        <v>45889</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61128-2022</t>
        </is>
      </c>
      <c r="B927" s="1" t="n">
        <v>44915.4455787037</v>
      </c>
      <c r="C927" s="1" t="n">
        <v>45889</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41671-2021</t>
        </is>
      </c>
      <c r="B928" s="1" t="n">
        <v>44425</v>
      </c>
      <c r="C928" s="1" t="n">
        <v>45889</v>
      </c>
      <c r="D928" t="inlineStr">
        <is>
          <t>VÄRMLANDS LÄN</t>
        </is>
      </c>
      <c r="E928" t="inlineStr">
        <is>
          <t>TORSBY</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27086-2024</t>
        </is>
      </c>
      <c r="B929" s="1" t="n">
        <v>45471</v>
      </c>
      <c r="C929" s="1" t="n">
        <v>45889</v>
      </c>
      <c r="D929" t="inlineStr">
        <is>
          <t>VÄRMLANDS LÄN</t>
        </is>
      </c>
      <c r="E929" t="inlineStr">
        <is>
          <t>TORSBY</t>
        </is>
      </c>
      <c r="G929" t="n">
        <v>0.7</v>
      </c>
      <c r="H929" t="n">
        <v>0</v>
      </c>
      <c r="I929" t="n">
        <v>0</v>
      </c>
      <c r="J929" t="n">
        <v>0</v>
      </c>
      <c r="K929" t="n">
        <v>0</v>
      </c>
      <c r="L929" t="n">
        <v>0</v>
      </c>
      <c r="M929" t="n">
        <v>0</v>
      </c>
      <c r="N929" t="n">
        <v>0</v>
      </c>
      <c r="O929" t="n">
        <v>0</v>
      </c>
      <c r="P929" t="n">
        <v>0</v>
      </c>
      <c r="Q929" t="n">
        <v>0</v>
      </c>
      <c r="R929" s="2" t="inlineStr"/>
    </row>
    <row r="930" ht="15" customHeight="1">
      <c r="A930" t="inlineStr">
        <is>
          <t>A 41633-2021</t>
        </is>
      </c>
      <c r="B930" s="1" t="n">
        <v>44425</v>
      </c>
      <c r="C930" s="1" t="n">
        <v>45889</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14025-2025</t>
        </is>
      </c>
      <c r="B931" s="1" t="n">
        <v>45740</v>
      </c>
      <c r="C931" s="1" t="n">
        <v>45889</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37357-2023</t>
        </is>
      </c>
      <c r="B932" s="1" t="n">
        <v>45156.48006944444</v>
      </c>
      <c r="C932" s="1" t="n">
        <v>45889</v>
      </c>
      <c r="D932" t="inlineStr">
        <is>
          <t>VÄRMLANDS LÄN</t>
        </is>
      </c>
      <c r="E932" t="inlineStr">
        <is>
          <t>TORSBY</t>
        </is>
      </c>
      <c r="G932" t="n">
        <v>0.7</v>
      </c>
      <c r="H932" t="n">
        <v>0</v>
      </c>
      <c r="I932" t="n">
        <v>0</v>
      </c>
      <c r="J932" t="n">
        <v>0</v>
      </c>
      <c r="K932" t="n">
        <v>0</v>
      </c>
      <c r="L932" t="n">
        <v>0</v>
      </c>
      <c r="M932" t="n">
        <v>0</v>
      </c>
      <c r="N932" t="n">
        <v>0</v>
      </c>
      <c r="O932" t="n">
        <v>0</v>
      </c>
      <c r="P932" t="n">
        <v>0</v>
      </c>
      <c r="Q932" t="n">
        <v>0</v>
      </c>
      <c r="R932" s="2" t="inlineStr"/>
    </row>
    <row r="933" ht="15" customHeight="1">
      <c r="A933" t="inlineStr">
        <is>
          <t>A 21324-2025</t>
        </is>
      </c>
      <c r="B933" s="1" t="n">
        <v>45782.34947916667</v>
      </c>
      <c r="C933" s="1" t="n">
        <v>45889</v>
      </c>
      <c r="D933" t="inlineStr">
        <is>
          <t>VÄRMLANDS LÄN</t>
        </is>
      </c>
      <c r="E933" t="inlineStr">
        <is>
          <t>TORSBY</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38541-2023</t>
        </is>
      </c>
      <c r="B934" s="1" t="n">
        <v>45162</v>
      </c>
      <c r="C934" s="1" t="n">
        <v>45889</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25313-2024</t>
        </is>
      </c>
      <c r="B935" s="1" t="n">
        <v>45462</v>
      </c>
      <c r="C935" s="1" t="n">
        <v>45889</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58386-2023</t>
        </is>
      </c>
      <c r="B936" s="1" t="n">
        <v>45250</v>
      </c>
      <c r="C936" s="1" t="n">
        <v>45889</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17898-2023</t>
        </is>
      </c>
      <c r="B937" s="1" t="n">
        <v>45039.72086805556</v>
      </c>
      <c r="C937" s="1" t="n">
        <v>45889</v>
      </c>
      <c r="D937" t="inlineStr">
        <is>
          <t>VÄRMLANDS LÄN</t>
        </is>
      </c>
      <c r="E937" t="inlineStr">
        <is>
          <t>TORSBY</t>
        </is>
      </c>
      <c r="G937" t="n">
        <v>0.3</v>
      </c>
      <c r="H937" t="n">
        <v>0</v>
      </c>
      <c r="I937" t="n">
        <v>0</v>
      </c>
      <c r="J937" t="n">
        <v>0</v>
      </c>
      <c r="K937" t="n">
        <v>0</v>
      </c>
      <c r="L937" t="n">
        <v>0</v>
      </c>
      <c r="M937" t="n">
        <v>0</v>
      </c>
      <c r="N937" t="n">
        <v>0</v>
      </c>
      <c r="O937" t="n">
        <v>0</v>
      </c>
      <c r="P937" t="n">
        <v>0</v>
      </c>
      <c r="Q937" t="n">
        <v>0</v>
      </c>
      <c r="R937" s="2" t="inlineStr"/>
    </row>
    <row r="938" ht="15" customHeight="1">
      <c r="A938" t="inlineStr">
        <is>
          <t>A 45587-2023</t>
        </is>
      </c>
      <c r="B938" s="1" t="n">
        <v>45194.62877314815</v>
      </c>
      <c r="C938" s="1" t="n">
        <v>45889</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21858-2025</t>
        </is>
      </c>
      <c r="B939" s="1" t="n">
        <v>45784.36265046296</v>
      </c>
      <c r="C939" s="1" t="n">
        <v>45889</v>
      </c>
      <c r="D939" t="inlineStr">
        <is>
          <t>VÄRMLANDS LÄN</t>
        </is>
      </c>
      <c r="E939" t="inlineStr">
        <is>
          <t>TORSBY</t>
        </is>
      </c>
      <c r="F939" t="inlineStr">
        <is>
          <t>Bergvik skog väst AB</t>
        </is>
      </c>
      <c r="G939" t="n">
        <v>1.5</v>
      </c>
      <c r="H939" t="n">
        <v>0</v>
      </c>
      <c r="I939" t="n">
        <v>0</v>
      </c>
      <c r="J939" t="n">
        <v>0</v>
      </c>
      <c r="K939" t="n">
        <v>0</v>
      </c>
      <c r="L939" t="n">
        <v>0</v>
      </c>
      <c r="M939" t="n">
        <v>0</v>
      </c>
      <c r="N939" t="n">
        <v>0</v>
      </c>
      <c r="O939" t="n">
        <v>0</v>
      </c>
      <c r="P939" t="n">
        <v>0</v>
      </c>
      <c r="Q939" t="n">
        <v>0</v>
      </c>
      <c r="R939" s="2" t="inlineStr"/>
    </row>
    <row r="940" ht="15" customHeight="1">
      <c r="A940" t="inlineStr">
        <is>
          <t>A 21860-2025</t>
        </is>
      </c>
      <c r="B940" s="1" t="n">
        <v>45784.36465277777</v>
      </c>
      <c r="C940" s="1" t="n">
        <v>45889</v>
      </c>
      <c r="D940" t="inlineStr">
        <is>
          <t>VÄRMLANDS LÄN</t>
        </is>
      </c>
      <c r="E940" t="inlineStr">
        <is>
          <t>TORSBY</t>
        </is>
      </c>
      <c r="G940" t="n">
        <v>13.7</v>
      </c>
      <c r="H940" t="n">
        <v>0</v>
      </c>
      <c r="I940" t="n">
        <v>0</v>
      </c>
      <c r="J940" t="n">
        <v>0</v>
      </c>
      <c r="K940" t="n">
        <v>0</v>
      </c>
      <c r="L940" t="n">
        <v>0</v>
      </c>
      <c r="M940" t="n">
        <v>0</v>
      </c>
      <c r="N940" t="n">
        <v>0</v>
      </c>
      <c r="O940" t="n">
        <v>0</v>
      </c>
      <c r="P940" t="n">
        <v>0</v>
      </c>
      <c r="Q940" t="n">
        <v>0</v>
      </c>
      <c r="R940" s="2" t="inlineStr"/>
    </row>
    <row r="941" ht="15" customHeight="1">
      <c r="A941" t="inlineStr">
        <is>
          <t>A 56240-2024</t>
        </is>
      </c>
      <c r="B941" s="1" t="n">
        <v>45624.63012731481</v>
      </c>
      <c r="C941" s="1" t="n">
        <v>45889</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2387-2025</t>
        </is>
      </c>
      <c r="B942" s="1" t="n">
        <v>45674</v>
      </c>
      <c r="C942" s="1" t="n">
        <v>45889</v>
      </c>
      <c r="D942" t="inlineStr">
        <is>
          <t>VÄRMLANDS LÄN</t>
        </is>
      </c>
      <c r="E942" t="inlineStr">
        <is>
          <t>TORSBY</t>
        </is>
      </c>
      <c r="G942" t="n">
        <v>2.1</v>
      </c>
      <c r="H942" t="n">
        <v>0</v>
      </c>
      <c r="I942" t="n">
        <v>0</v>
      </c>
      <c r="J942" t="n">
        <v>0</v>
      </c>
      <c r="K942" t="n">
        <v>0</v>
      </c>
      <c r="L942" t="n">
        <v>0</v>
      </c>
      <c r="M942" t="n">
        <v>0</v>
      </c>
      <c r="N942" t="n">
        <v>0</v>
      </c>
      <c r="O942" t="n">
        <v>0</v>
      </c>
      <c r="P942" t="n">
        <v>0</v>
      </c>
      <c r="Q942" t="n">
        <v>0</v>
      </c>
      <c r="R942" s="2" t="inlineStr"/>
    </row>
    <row r="943" ht="15" customHeight="1">
      <c r="A943" t="inlineStr">
        <is>
          <t>A 18973-2025</t>
        </is>
      </c>
      <c r="B943" s="1" t="n">
        <v>45764.54157407407</v>
      </c>
      <c r="C943" s="1" t="n">
        <v>45889</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18977-2025</t>
        </is>
      </c>
      <c r="B944" s="1" t="n">
        <v>45764</v>
      </c>
      <c r="C944" s="1" t="n">
        <v>45889</v>
      </c>
      <c r="D944" t="inlineStr">
        <is>
          <t>VÄRMLANDS LÄN</t>
        </is>
      </c>
      <c r="E944" t="inlineStr">
        <is>
          <t>TORSBY</t>
        </is>
      </c>
      <c r="F944" t="inlineStr">
        <is>
          <t>Bergvik skog väst AB</t>
        </is>
      </c>
      <c r="G944" t="n">
        <v>24.8</v>
      </c>
      <c r="H944" t="n">
        <v>0</v>
      </c>
      <c r="I944" t="n">
        <v>0</v>
      </c>
      <c r="J944" t="n">
        <v>0</v>
      </c>
      <c r="K944" t="n">
        <v>0</v>
      </c>
      <c r="L944" t="n">
        <v>0</v>
      </c>
      <c r="M944" t="n">
        <v>0</v>
      </c>
      <c r="N944" t="n">
        <v>0</v>
      </c>
      <c r="O944" t="n">
        <v>0</v>
      </c>
      <c r="P944" t="n">
        <v>0</v>
      </c>
      <c r="Q944" t="n">
        <v>0</v>
      </c>
      <c r="R944" s="2" t="inlineStr"/>
    </row>
    <row r="945" ht="15" customHeight="1">
      <c r="A945" t="inlineStr">
        <is>
          <t>A 36782-2024</t>
        </is>
      </c>
      <c r="B945" s="1" t="n">
        <v>45538</v>
      </c>
      <c r="C945" s="1" t="n">
        <v>45889</v>
      </c>
      <c r="D945" t="inlineStr">
        <is>
          <t>VÄRMLANDS LÄN</t>
        </is>
      </c>
      <c r="E945" t="inlineStr">
        <is>
          <t>TORSBY</t>
        </is>
      </c>
      <c r="G945" t="n">
        <v>4.6</v>
      </c>
      <c r="H945" t="n">
        <v>0</v>
      </c>
      <c r="I945" t="n">
        <v>0</v>
      </c>
      <c r="J945" t="n">
        <v>0</v>
      </c>
      <c r="K945" t="n">
        <v>0</v>
      </c>
      <c r="L945" t="n">
        <v>0</v>
      </c>
      <c r="M945" t="n">
        <v>0</v>
      </c>
      <c r="N945" t="n">
        <v>0</v>
      </c>
      <c r="O945" t="n">
        <v>0</v>
      </c>
      <c r="P945" t="n">
        <v>0</v>
      </c>
      <c r="Q945" t="n">
        <v>0</v>
      </c>
      <c r="R945" s="2" t="inlineStr"/>
    </row>
    <row r="946" ht="15" customHeight="1">
      <c r="A946" t="inlineStr">
        <is>
          <t>A 36790-2024</t>
        </is>
      </c>
      <c r="B946" s="1" t="n">
        <v>45538.43484953704</v>
      </c>
      <c r="C946" s="1" t="n">
        <v>45889</v>
      </c>
      <c r="D946" t="inlineStr">
        <is>
          <t>VÄRMLANDS LÄN</t>
        </is>
      </c>
      <c r="E946" t="inlineStr">
        <is>
          <t>TORSBY</t>
        </is>
      </c>
      <c r="G946" t="n">
        <v>0.7</v>
      </c>
      <c r="H946" t="n">
        <v>0</v>
      </c>
      <c r="I946" t="n">
        <v>0</v>
      </c>
      <c r="J946" t="n">
        <v>0</v>
      </c>
      <c r="K946" t="n">
        <v>0</v>
      </c>
      <c r="L946" t="n">
        <v>0</v>
      </c>
      <c r="M946" t="n">
        <v>0</v>
      </c>
      <c r="N946" t="n">
        <v>0</v>
      </c>
      <c r="O946" t="n">
        <v>0</v>
      </c>
      <c r="P946" t="n">
        <v>0</v>
      </c>
      <c r="Q946" t="n">
        <v>0</v>
      </c>
      <c r="R946" s="2" t="inlineStr"/>
    </row>
    <row r="947" ht="15" customHeight="1">
      <c r="A947" t="inlineStr">
        <is>
          <t>A 42834-2024</t>
        </is>
      </c>
      <c r="B947" s="1" t="n">
        <v>45566</v>
      </c>
      <c r="C947" s="1" t="n">
        <v>45889</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24004-2024</t>
        </is>
      </c>
      <c r="B948" s="1" t="n">
        <v>45456</v>
      </c>
      <c r="C948" s="1" t="n">
        <v>45889</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21974-2025</t>
        </is>
      </c>
      <c r="B949" s="1" t="n">
        <v>45784.63689814815</v>
      </c>
      <c r="C949" s="1" t="n">
        <v>45889</v>
      </c>
      <c r="D949" t="inlineStr">
        <is>
          <t>VÄRMLANDS LÄN</t>
        </is>
      </c>
      <c r="E949" t="inlineStr">
        <is>
          <t>TORSBY</t>
        </is>
      </c>
      <c r="F949" t="inlineStr">
        <is>
          <t>Bergvik skog väst AB</t>
        </is>
      </c>
      <c r="G949" t="n">
        <v>6.9</v>
      </c>
      <c r="H949" t="n">
        <v>0</v>
      </c>
      <c r="I949" t="n">
        <v>0</v>
      </c>
      <c r="J949" t="n">
        <v>0</v>
      </c>
      <c r="K949" t="n">
        <v>0</v>
      </c>
      <c r="L949" t="n">
        <v>0</v>
      </c>
      <c r="M949" t="n">
        <v>0</v>
      </c>
      <c r="N949" t="n">
        <v>0</v>
      </c>
      <c r="O949" t="n">
        <v>0</v>
      </c>
      <c r="P949" t="n">
        <v>0</v>
      </c>
      <c r="Q949" t="n">
        <v>0</v>
      </c>
      <c r="R949" s="2" t="inlineStr"/>
    </row>
    <row r="950" ht="15" customHeight="1">
      <c r="A950" t="inlineStr">
        <is>
          <t>A 21963-2025</t>
        </is>
      </c>
      <c r="B950" s="1" t="n">
        <v>45784</v>
      </c>
      <c r="C950" s="1" t="n">
        <v>45889</v>
      </c>
      <c r="D950" t="inlineStr">
        <is>
          <t>VÄRMLANDS LÄN</t>
        </is>
      </c>
      <c r="E950" t="inlineStr">
        <is>
          <t>TORSBY</t>
        </is>
      </c>
      <c r="F950" t="inlineStr">
        <is>
          <t>Bergvik skog väst AB</t>
        </is>
      </c>
      <c r="G950" t="n">
        <v>12.3</v>
      </c>
      <c r="H950" t="n">
        <v>0</v>
      </c>
      <c r="I950" t="n">
        <v>0</v>
      </c>
      <c r="J950" t="n">
        <v>0</v>
      </c>
      <c r="K950" t="n">
        <v>0</v>
      </c>
      <c r="L950" t="n">
        <v>0</v>
      </c>
      <c r="M950" t="n">
        <v>0</v>
      </c>
      <c r="N950" t="n">
        <v>0</v>
      </c>
      <c r="O950" t="n">
        <v>0</v>
      </c>
      <c r="P950" t="n">
        <v>0</v>
      </c>
      <c r="Q950" t="n">
        <v>0</v>
      </c>
      <c r="R950" s="2" t="inlineStr"/>
    </row>
    <row r="951" ht="15" customHeight="1">
      <c r="A951" t="inlineStr">
        <is>
          <t>A 45227-2024</t>
        </is>
      </c>
      <c r="B951" s="1" t="n">
        <v>45575.81005787037</v>
      </c>
      <c r="C951" s="1" t="n">
        <v>45889</v>
      </c>
      <c r="D951" t="inlineStr">
        <is>
          <t>VÄRMLANDS LÄN</t>
        </is>
      </c>
      <c r="E951" t="inlineStr">
        <is>
          <t>TORSBY</t>
        </is>
      </c>
      <c r="G951" t="n">
        <v>12.9</v>
      </c>
      <c r="H951" t="n">
        <v>0</v>
      </c>
      <c r="I951" t="n">
        <v>0</v>
      </c>
      <c r="J951" t="n">
        <v>0</v>
      </c>
      <c r="K951" t="n">
        <v>0</v>
      </c>
      <c r="L951" t="n">
        <v>0</v>
      </c>
      <c r="M951" t="n">
        <v>0</v>
      </c>
      <c r="N951" t="n">
        <v>0</v>
      </c>
      <c r="O951" t="n">
        <v>0</v>
      </c>
      <c r="P951" t="n">
        <v>0</v>
      </c>
      <c r="Q951" t="n">
        <v>0</v>
      </c>
      <c r="R951" s="2" t="inlineStr"/>
    </row>
    <row r="952" ht="15" customHeight="1">
      <c r="A952" t="inlineStr">
        <is>
          <t>A 56430-2024</t>
        </is>
      </c>
      <c r="B952" s="1" t="n">
        <v>45625</v>
      </c>
      <c r="C952" s="1" t="n">
        <v>45889</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23044-2024</t>
        </is>
      </c>
      <c r="B953" s="1" t="n">
        <v>45450</v>
      </c>
      <c r="C953" s="1" t="n">
        <v>45889</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24182-2024</t>
        </is>
      </c>
      <c r="B954" s="1" t="n">
        <v>45456</v>
      </c>
      <c r="C954" s="1" t="n">
        <v>45889</v>
      </c>
      <c r="D954" t="inlineStr">
        <is>
          <t>VÄRMLANDS LÄN</t>
        </is>
      </c>
      <c r="E954" t="inlineStr">
        <is>
          <t>TORSBY</t>
        </is>
      </c>
      <c r="F954" t="inlineStr">
        <is>
          <t>Bergvik skog väst AB</t>
        </is>
      </c>
      <c r="G954" t="n">
        <v>28.9</v>
      </c>
      <c r="H954" t="n">
        <v>0</v>
      </c>
      <c r="I954" t="n">
        <v>0</v>
      </c>
      <c r="J954" t="n">
        <v>0</v>
      </c>
      <c r="K954" t="n">
        <v>0</v>
      </c>
      <c r="L954" t="n">
        <v>0</v>
      </c>
      <c r="M954" t="n">
        <v>0</v>
      </c>
      <c r="N954" t="n">
        <v>0</v>
      </c>
      <c r="O954" t="n">
        <v>0</v>
      </c>
      <c r="P954" t="n">
        <v>0</v>
      </c>
      <c r="Q954" t="n">
        <v>0</v>
      </c>
      <c r="R954" s="2" t="inlineStr"/>
    </row>
    <row r="955" ht="15" customHeight="1">
      <c r="A955" t="inlineStr">
        <is>
          <t>A 24708-2024</t>
        </is>
      </c>
      <c r="B955" s="1" t="n">
        <v>45460</v>
      </c>
      <c r="C955" s="1" t="n">
        <v>45889</v>
      </c>
      <c r="D955" t="inlineStr">
        <is>
          <t>VÄRMLANDS LÄN</t>
        </is>
      </c>
      <c r="E955" t="inlineStr">
        <is>
          <t>TORSBY</t>
        </is>
      </c>
      <c r="G955" t="n">
        <v>3.9</v>
      </c>
      <c r="H955" t="n">
        <v>0</v>
      </c>
      <c r="I955" t="n">
        <v>0</v>
      </c>
      <c r="J955" t="n">
        <v>0</v>
      </c>
      <c r="K955" t="n">
        <v>0</v>
      </c>
      <c r="L955" t="n">
        <v>0</v>
      </c>
      <c r="M955" t="n">
        <v>0</v>
      </c>
      <c r="N955" t="n">
        <v>0</v>
      </c>
      <c r="O955" t="n">
        <v>0</v>
      </c>
      <c r="P955" t="n">
        <v>0</v>
      </c>
      <c r="Q955" t="n">
        <v>0</v>
      </c>
      <c r="R955" s="2" t="inlineStr"/>
    </row>
    <row r="956" ht="15" customHeight="1">
      <c r="A956" t="inlineStr">
        <is>
          <t>A 21870-2025</t>
        </is>
      </c>
      <c r="B956" s="1" t="n">
        <v>45784.38145833334</v>
      </c>
      <c r="C956" s="1" t="n">
        <v>45889</v>
      </c>
      <c r="D956" t="inlineStr">
        <is>
          <t>VÄRMLANDS LÄN</t>
        </is>
      </c>
      <c r="E956" t="inlineStr">
        <is>
          <t>TORSBY</t>
        </is>
      </c>
      <c r="G956" t="n">
        <v>29.4</v>
      </c>
      <c r="H956" t="n">
        <v>0</v>
      </c>
      <c r="I956" t="n">
        <v>0</v>
      </c>
      <c r="J956" t="n">
        <v>0</v>
      </c>
      <c r="K956" t="n">
        <v>0</v>
      </c>
      <c r="L956" t="n">
        <v>0</v>
      </c>
      <c r="M956" t="n">
        <v>0</v>
      </c>
      <c r="N956" t="n">
        <v>0</v>
      </c>
      <c r="O956" t="n">
        <v>0</v>
      </c>
      <c r="P956" t="n">
        <v>0</v>
      </c>
      <c r="Q956" t="n">
        <v>0</v>
      </c>
      <c r="R956" s="2" t="inlineStr"/>
    </row>
    <row r="957" ht="15" customHeight="1">
      <c r="A957" t="inlineStr">
        <is>
          <t>A 10888-2023</t>
        </is>
      </c>
      <c r="B957" s="1" t="n">
        <v>44985</v>
      </c>
      <c r="C957" s="1" t="n">
        <v>45889</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26799-2024</t>
        </is>
      </c>
      <c r="B958" s="1" t="n">
        <v>45470.5071875</v>
      </c>
      <c r="C958" s="1" t="n">
        <v>45889</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28035-2024</t>
        </is>
      </c>
      <c r="B959" s="1" t="n">
        <v>45476</v>
      </c>
      <c r="C959" s="1" t="n">
        <v>45889</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52057-2024</t>
        </is>
      </c>
      <c r="B960" s="1" t="n">
        <v>45608</v>
      </c>
      <c r="C960" s="1" t="n">
        <v>45889</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16369-2024</t>
        </is>
      </c>
      <c r="B961" s="1" t="n">
        <v>45407</v>
      </c>
      <c r="C961" s="1" t="n">
        <v>45889</v>
      </c>
      <c r="D961" t="inlineStr">
        <is>
          <t>VÄRMLANDS LÄN</t>
        </is>
      </c>
      <c r="E961" t="inlineStr">
        <is>
          <t>TORSBY</t>
        </is>
      </c>
      <c r="F961" t="inlineStr">
        <is>
          <t>Kommuner</t>
        </is>
      </c>
      <c r="G961" t="n">
        <v>2.2</v>
      </c>
      <c r="H961" t="n">
        <v>0</v>
      </c>
      <c r="I961" t="n">
        <v>0</v>
      </c>
      <c r="J961" t="n">
        <v>0</v>
      </c>
      <c r="K961" t="n">
        <v>0</v>
      </c>
      <c r="L961" t="n">
        <v>0</v>
      </c>
      <c r="M961" t="n">
        <v>0</v>
      </c>
      <c r="N961" t="n">
        <v>0</v>
      </c>
      <c r="O961" t="n">
        <v>0</v>
      </c>
      <c r="P961" t="n">
        <v>0</v>
      </c>
      <c r="Q961" t="n">
        <v>0</v>
      </c>
      <c r="R961" s="2" t="inlineStr"/>
    </row>
    <row r="962" ht="15" customHeight="1">
      <c r="A962" t="inlineStr">
        <is>
          <t>A 21808-2025</t>
        </is>
      </c>
      <c r="B962" s="1" t="n">
        <v>45783.70846064815</v>
      </c>
      <c r="C962" s="1" t="n">
        <v>45889</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63409-2023</t>
        </is>
      </c>
      <c r="B963" s="1" t="n">
        <v>45274.51719907407</v>
      </c>
      <c r="C963" s="1" t="n">
        <v>45889</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21758-2025</t>
        </is>
      </c>
      <c r="B964" s="1" t="n">
        <v>45783</v>
      </c>
      <c r="C964" s="1" t="n">
        <v>45889</v>
      </c>
      <c r="D964" t="inlineStr">
        <is>
          <t>VÄRMLANDS LÄN</t>
        </is>
      </c>
      <c r="E964" t="inlineStr">
        <is>
          <t>TORSBY</t>
        </is>
      </c>
      <c r="G964" t="n">
        <v>5.7</v>
      </c>
      <c r="H964" t="n">
        <v>0</v>
      </c>
      <c r="I964" t="n">
        <v>0</v>
      </c>
      <c r="J964" t="n">
        <v>0</v>
      </c>
      <c r="K964" t="n">
        <v>0</v>
      </c>
      <c r="L964" t="n">
        <v>0</v>
      </c>
      <c r="M964" t="n">
        <v>0</v>
      </c>
      <c r="N964" t="n">
        <v>0</v>
      </c>
      <c r="O964" t="n">
        <v>0</v>
      </c>
      <c r="P964" t="n">
        <v>0</v>
      </c>
      <c r="Q964" t="n">
        <v>0</v>
      </c>
      <c r="R964" s="2" t="inlineStr"/>
    </row>
    <row r="965" ht="15" customHeight="1">
      <c r="A965" t="inlineStr">
        <is>
          <t>A 44448-2024</t>
        </is>
      </c>
      <c r="B965" s="1" t="n">
        <v>45574</v>
      </c>
      <c r="C965" s="1" t="n">
        <v>45889</v>
      </c>
      <c r="D965" t="inlineStr">
        <is>
          <t>VÄRMLANDS LÄN</t>
        </is>
      </c>
      <c r="E965" t="inlineStr">
        <is>
          <t>TORSBY</t>
        </is>
      </c>
      <c r="G965" t="n">
        <v>8.9</v>
      </c>
      <c r="H965" t="n">
        <v>0</v>
      </c>
      <c r="I965" t="n">
        <v>0</v>
      </c>
      <c r="J965" t="n">
        <v>0</v>
      </c>
      <c r="K965" t="n">
        <v>0</v>
      </c>
      <c r="L965" t="n">
        <v>0</v>
      </c>
      <c r="M965" t="n">
        <v>0</v>
      </c>
      <c r="N965" t="n">
        <v>0</v>
      </c>
      <c r="O965" t="n">
        <v>0</v>
      </c>
      <c r="P965" t="n">
        <v>0</v>
      </c>
      <c r="Q965" t="n">
        <v>0</v>
      </c>
      <c r="R965" s="2" t="inlineStr"/>
    </row>
    <row r="966" ht="15" customHeight="1">
      <c r="A966" t="inlineStr">
        <is>
          <t>A 50943-2020</t>
        </is>
      </c>
      <c r="B966" s="1" t="n">
        <v>44111</v>
      </c>
      <c r="C966" s="1" t="n">
        <v>45889</v>
      </c>
      <c r="D966" t="inlineStr">
        <is>
          <t>VÄRMLANDS LÄN</t>
        </is>
      </c>
      <c r="E966" t="inlineStr">
        <is>
          <t>TORSBY</t>
        </is>
      </c>
      <c r="F966" t="inlineStr">
        <is>
          <t>Bergvik skog väst AB</t>
        </is>
      </c>
      <c r="G966" t="n">
        <v>18.4</v>
      </c>
      <c r="H966" t="n">
        <v>0</v>
      </c>
      <c r="I966" t="n">
        <v>0</v>
      </c>
      <c r="J966" t="n">
        <v>0</v>
      </c>
      <c r="K966" t="n">
        <v>0</v>
      </c>
      <c r="L966" t="n">
        <v>0</v>
      </c>
      <c r="M966" t="n">
        <v>0</v>
      </c>
      <c r="N966" t="n">
        <v>0</v>
      </c>
      <c r="O966" t="n">
        <v>0</v>
      </c>
      <c r="P966" t="n">
        <v>0</v>
      </c>
      <c r="Q966" t="n">
        <v>0</v>
      </c>
      <c r="R966" s="2" t="inlineStr"/>
    </row>
    <row r="967" ht="15" customHeight="1">
      <c r="A967" t="inlineStr">
        <is>
          <t>A 36917-2024</t>
        </is>
      </c>
      <c r="B967" s="1" t="n">
        <v>45538.65065972223</v>
      </c>
      <c r="C967" s="1" t="n">
        <v>45889</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36922-2024</t>
        </is>
      </c>
      <c r="B968" s="1" t="n">
        <v>45538</v>
      </c>
      <c r="C968" s="1" t="n">
        <v>45889</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14303-2023</t>
        </is>
      </c>
      <c r="B969" s="1" t="n">
        <v>45011.75886574074</v>
      </c>
      <c r="C969" s="1" t="n">
        <v>45889</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21576-2025</t>
        </is>
      </c>
      <c r="B970" s="1" t="n">
        <v>45782.86440972222</v>
      </c>
      <c r="C970" s="1" t="n">
        <v>45889</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34427-2023</t>
        </is>
      </c>
      <c r="B971" s="1" t="n">
        <v>45139.61741898148</v>
      </c>
      <c r="C971" s="1" t="n">
        <v>45889</v>
      </c>
      <c r="D971" t="inlineStr">
        <is>
          <t>VÄRMLANDS LÄN</t>
        </is>
      </c>
      <c r="E971" t="inlineStr">
        <is>
          <t>TORSBY</t>
        </is>
      </c>
      <c r="G971" t="n">
        <v>3.9</v>
      </c>
      <c r="H971" t="n">
        <v>0</v>
      </c>
      <c r="I971" t="n">
        <v>0</v>
      </c>
      <c r="J971" t="n">
        <v>0</v>
      </c>
      <c r="K971" t="n">
        <v>0</v>
      </c>
      <c r="L971" t="n">
        <v>0</v>
      </c>
      <c r="M971" t="n">
        <v>0</v>
      </c>
      <c r="N971" t="n">
        <v>0</v>
      </c>
      <c r="O971" t="n">
        <v>0</v>
      </c>
      <c r="P971" t="n">
        <v>0</v>
      </c>
      <c r="Q971" t="n">
        <v>0</v>
      </c>
      <c r="R971" s="2" t="inlineStr"/>
    </row>
    <row r="972" ht="15" customHeight="1">
      <c r="A972" t="inlineStr">
        <is>
          <t>A 15087-2023</t>
        </is>
      </c>
      <c r="B972" s="1" t="n">
        <v>45016</v>
      </c>
      <c r="C972" s="1" t="n">
        <v>45889</v>
      </c>
      <c r="D972" t="inlineStr">
        <is>
          <t>VÄRMLANDS LÄN</t>
        </is>
      </c>
      <c r="E972" t="inlineStr">
        <is>
          <t>TORSBY</t>
        </is>
      </c>
      <c r="F972" t="inlineStr">
        <is>
          <t>Bergvik skog väst AB</t>
        </is>
      </c>
      <c r="G972" t="n">
        <v>11.4</v>
      </c>
      <c r="H972" t="n">
        <v>0</v>
      </c>
      <c r="I972" t="n">
        <v>0</v>
      </c>
      <c r="J972" t="n">
        <v>0</v>
      </c>
      <c r="K972" t="n">
        <v>0</v>
      </c>
      <c r="L972" t="n">
        <v>0</v>
      </c>
      <c r="M972" t="n">
        <v>0</v>
      </c>
      <c r="N972" t="n">
        <v>0</v>
      </c>
      <c r="O972" t="n">
        <v>0</v>
      </c>
      <c r="P972" t="n">
        <v>0</v>
      </c>
      <c r="Q972" t="n">
        <v>0</v>
      </c>
      <c r="R972" s="2" t="inlineStr"/>
    </row>
    <row r="973" ht="15" customHeight="1">
      <c r="A973" t="inlineStr">
        <is>
          <t>A 17001-2024</t>
        </is>
      </c>
      <c r="B973" s="1" t="n">
        <v>45412.35605324074</v>
      </c>
      <c r="C973" s="1" t="n">
        <v>45889</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43545-2024</t>
        </is>
      </c>
      <c r="B974" s="1" t="n">
        <v>45569.36980324074</v>
      </c>
      <c r="C974" s="1" t="n">
        <v>45889</v>
      </c>
      <c r="D974" t="inlineStr">
        <is>
          <t>VÄRMLANDS LÄN</t>
        </is>
      </c>
      <c r="E974" t="inlineStr">
        <is>
          <t>TORSBY</t>
        </is>
      </c>
      <c r="F974" t="inlineStr">
        <is>
          <t>Bergvik skog väst AB</t>
        </is>
      </c>
      <c r="G974" t="n">
        <v>5.5</v>
      </c>
      <c r="H974" t="n">
        <v>0</v>
      </c>
      <c r="I974" t="n">
        <v>0</v>
      </c>
      <c r="J974" t="n">
        <v>0</v>
      </c>
      <c r="K974" t="n">
        <v>0</v>
      </c>
      <c r="L974" t="n">
        <v>0</v>
      </c>
      <c r="M974" t="n">
        <v>0</v>
      </c>
      <c r="N974" t="n">
        <v>0</v>
      </c>
      <c r="O974" t="n">
        <v>0</v>
      </c>
      <c r="P974" t="n">
        <v>0</v>
      </c>
      <c r="Q974" t="n">
        <v>0</v>
      </c>
      <c r="R974" s="2" t="inlineStr"/>
    </row>
    <row r="975" ht="15" customHeight="1">
      <c r="A975" t="inlineStr">
        <is>
          <t>A 30267-2023</t>
        </is>
      </c>
      <c r="B975" s="1" t="n">
        <v>45110.75915509259</v>
      </c>
      <c r="C975" s="1" t="n">
        <v>45889</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30269-2023</t>
        </is>
      </c>
      <c r="B976" s="1" t="n">
        <v>45110.76082175926</v>
      </c>
      <c r="C976" s="1" t="n">
        <v>45889</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70926-2021</t>
        </is>
      </c>
      <c r="B977" s="1" t="n">
        <v>44538</v>
      </c>
      <c r="C977" s="1" t="n">
        <v>45889</v>
      </c>
      <c r="D977" t="inlineStr">
        <is>
          <t>VÄRMLANDS LÄN</t>
        </is>
      </c>
      <c r="E977" t="inlineStr">
        <is>
          <t>TORSBY</t>
        </is>
      </c>
      <c r="G977" t="n">
        <v>6.5</v>
      </c>
      <c r="H977" t="n">
        <v>0</v>
      </c>
      <c r="I977" t="n">
        <v>0</v>
      </c>
      <c r="J977" t="n">
        <v>0</v>
      </c>
      <c r="K977" t="n">
        <v>0</v>
      </c>
      <c r="L977" t="n">
        <v>0</v>
      </c>
      <c r="M977" t="n">
        <v>0</v>
      </c>
      <c r="N977" t="n">
        <v>0</v>
      </c>
      <c r="O977" t="n">
        <v>0</v>
      </c>
      <c r="P977" t="n">
        <v>0</v>
      </c>
      <c r="Q977" t="n">
        <v>0</v>
      </c>
      <c r="R977" s="2" t="inlineStr"/>
    </row>
    <row r="978" ht="15" customHeight="1">
      <c r="A978" t="inlineStr">
        <is>
          <t>A 21580-2024</t>
        </is>
      </c>
      <c r="B978" s="1" t="n">
        <v>45441</v>
      </c>
      <c r="C978" s="1" t="n">
        <v>45889</v>
      </c>
      <c r="D978" t="inlineStr">
        <is>
          <t>VÄRMLANDS LÄN</t>
        </is>
      </c>
      <c r="E978" t="inlineStr">
        <is>
          <t>TORSBY</t>
        </is>
      </c>
      <c r="G978" t="n">
        <v>2.8</v>
      </c>
      <c r="H978" t="n">
        <v>0</v>
      </c>
      <c r="I978" t="n">
        <v>0</v>
      </c>
      <c r="J978" t="n">
        <v>0</v>
      </c>
      <c r="K978" t="n">
        <v>0</v>
      </c>
      <c r="L978" t="n">
        <v>0</v>
      </c>
      <c r="M978" t="n">
        <v>0</v>
      </c>
      <c r="N978" t="n">
        <v>0</v>
      </c>
      <c r="O978" t="n">
        <v>0</v>
      </c>
      <c r="P978" t="n">
        <v>0</v>
      </c>
      <c r="Q978" t="n">
        <v>0</v>
      </c>
      <c r="R978" s="2" t="inlineStr"/>
    </row>
    <row r="979" ht="15" customHeight="1">
      <c r="A979" t="inlineStr">
        <is>
          <t>A 36558-2024</t>
        </is>
      </c>
      <c r="B979" s="1" t="n">
        <v>45537</v>
      </c>
      <c r="C979" s="1" t="n">
        <v>45889</v>
      </c>
      <c r="D979" t="inlineStr">
        <is>
          <t>VÄRMLANDS LÄN</t>
        </is>
      </c>
      <c r="E979" t="inlineStr">
        <is>
          <t>TORSBY</t>
        </is>
      </c>
      <c r="G979" t="n">
        <v>0.4</v>
      </c>
      <c r="H979" t="n">
        <v>0</v>
      </c>
      <c r="I979" t="n">
        <v>0</v>
      </c>
      <c r="J979" t="n">
        <v>0</v>
      </c>
      <c r="K979" t="n">
        <v>0</v>
      </c>
      <c r="L979" t="n">
        <v>0</v>
      </c>
      <c r="M979" t="n">
        <v>0</v>
      </c>
      <c r="N979" t="n">
        <v>0</v>
      </c>
      <c r="O979" t="n">
        <v>0</v>
      </c>
      <c r="P979" t="n">
        <v>0</v>
      </c>
      <c r="Q979" t="n">
        <v>0</v>
      </c>
      <c r="R979" s="2" t="inlineStr"/>
    </row>
    <row r="980" ht="15" customHeight="1">
      <c r="A980" t="inlineStr">
        <is>
          <t>A 10979-2025</t>
        </is>
      </c>
      <c r="B980" s="1" t="n">
        <v>45723.39988425926</v>
      </c>
      <c r="C980" s="1" t="n">
        <v>45889</v>
      </c>
      <c r="D980" t="inlineStr">
        <is>
          <t>VÄRMLANDS LÄN</t>
        </is>
      </c>
      <c r="E980" t="inlineStr">
        <is>
          <t>TORSBY</t>
        </is>
      </c>
      <c r="G980" t="n">
        <v>5.2</v>
      </c>
      <c r="H980" t="n">
        <v>0</v>
      </c>
      <c r="I980" t="n">
        <v>0</v>
      </c>
      <c r="J980" t="n">
        <v>0</v>
      </c>
      <c r="K980" t="n">
        <v>0</v>
      </c>
      <c r="L980" t="n">
        <v>0</v>
      </c>
      <c r="M980" t="n">
        <v>0</v>
      </c>
      <c r="N980" t="n">
        <v>0</v>
      </c>
      <c r="O980" t="n">
        <v>0</v>
      </c>
      <c r="P980" t="n">
        <v>0</v>
      </c>
      <c r="Q980" t="n">
        <v>0</v>
      </c>
      <c r="R980" s="2" t="inlineStr"/>
    </row>
    <row r="981" ht="15" customHeight="1">
      <c r="A981" t="inlineStr">
        <is>
          <t>A 46343-2024</t>
        </is>
      </c>
      <c r="B981" s="1" t="n">
        <v>45582</v>
      </c>
      <c r="C981" s="1" t="n">
        <v>45889</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14709-2023</t>
        </is>
      </c>
      <c r="B982" s="1" t="n">
        <v>45014.41900462963</v>
      </c>
      <c r="C982" s="1" t="n">
        <v>45889</v>
      </c>
      <c r="D982" t="inlineStr">
        <is>
          <t>VÄRMLANDS LÄN</t>
        </is>
      </c>
      <c r="E982" t="inlineStr">
        <is>
          <t>TORSBY</t>
        </is>
      </c>
      <c r="G982" t="n">
        <v>2.7</v>
      </c>
      <c r="H982" t="n">
        <v>0</v>
      </c>
      <c r="I982" t="n">
        <v>0</v>
      </c>
      <c r="J982" t="n">
        <v>0</v>
      </c>
      <c r="K982" t="n">
        <v>0</v>
      </c>
      <c r="L982" t="n">
        <v>0</v>
      </c>
      <c r="M982" t="n">
        <v>0</v>
      </c>
      <c r="N982" t="n">
        <v>0</v>
      </c>
      <c r="O982" t="n">
        <v>0</v>
      </c>
      <c r="P982" t="n">
        <v>0</v>
      </c>
      <c r="Q982" t="n">
        <v>0</v>
      </c>
      <c r="R982" s="2" t="inlineStr"/>
    </row>
    <row r="983" ht="15" customHeight="1">
      <c r="A983" t="inlineStr">
        <is>
          <t>A 21759-2025</t>
        </is>
      </c>
      <c r="B983" s="1" t="n">
        <v>45783</v>
      </c>
      <c r="C983" s="1" t="n">
        <v>45889</v>
      </c>
      <c r="D983" t="inlineStr">
        <is>
          <t>VÄRMLANDS LÄN</t>
        </is>
      </c>
      <c r="E983" t="inlineStr">
        <is>
          <t>TORSBY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7636-2024</t>
        </is>
      </c>
      <c r="B984" s="1" t="n">
        <v>45348</v>
      </c>
      <c r="C984" s="1" t="n">
        <v>45889</v>
      </c>
      <c r="D984" t="inlineStr">
        <is>
          <t>VÄRMLANDS LÄN</t>
        </is>
      </c>
      <c r="E984" t="inlineStr">
        <is>
          <t>TORSBY</t>
        </is>
      </c>
      <c r="G984" t="n">
        <v>5.1</v>
      </c>
      <c r="H984" t="n">
        <v>0</v>
      </c>
      <c r="I984" t="n">
        <v>0</v>
      </c>
      <c r="J984" t="n">
        <v>0</v>
      </c>
      <c r="K984" t="n">
        <v>0</v>
      </c>
      <c r="L984" t="n">
        <v>0</v>
      </c>
      <c r="M984" t="n">
        <v>0</v>
      </c>
      <c r="N984" t="n">
        <v>0</v>
      </c>
      <c r="O984" t="n">
        <v>0</v>
      </c>
      <c r="P984" t="n">
        <v>0</v>
      </c>
      <c r="Q984" t="n">
        <v>0</v>
      </c>
      <c r="R984" s="2" t="inlineStr"/>
    </row>
    <row r="985" ht="15" customHeight="1">
      <c r="A985" t="inlineStr">
        <is>
          <t>A 5351-2024</t>
        </is>
      </c>
      <c r="B985" s="1" t="n">
        <v>45331.45199074074</v>
      </c>
      <c r="C985" s="1" t="n">
        <v>45889</v>
      </c>
      <c r="D985" t="inlineStr">
        <is>
          <t>VÄRMLANDS LÄN</t>
        </is>
      </c>
      <c r="E985" t="inlineStr">
        <is>
          <t>TORSBY</t>
        </is>
      </c>
      <c r="G985" t="n">
        <v>8.9</v>
      </c>
      <c r="H985" t="n">
        <v>0</v>
      </c>
      <c r="I985" t="n">
        <v>0</v>
      </c>
      <c r="J985" t="n">
        <v>0</v>
      </c>
      <c r="K985" t="n">
        <v>0</v>
      </c>
      <c r="L985" t="n">
        <v>0</v>
      </c>
      <c r="M985" t="n">
        <v>0</v>
      </c>
      <c r="N985" t="n">
        <v>0</v>
      </c>
      <c r="O985" t="n">
        <v>0</v>
      </c>
      <c r="P985" t="n">
        <v>0</v>
      </c>
      <c r="Q985" t="n">
        <v>0</v>
      </c>
      <c r="R985" s="2" t="inlineStr"/>
    </row>
    <row r="986" ht="15" customHeight="1">
      <c r="A986" t="inlineStr">
        <is>
          <t>A 18676-2025</t>
        </is>
      </c>
      <c r="B986" s="1" t="n">
        <v>45763</v>
      </c>
      <c r="C986" s="1" t="n">
        <v>45889</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3841-2022</t>
        </is>
      </c>
      <c r="B987" s="1" t="n">
        <v>44587</v>
      </c>
      <c r="C987" s="1" t="n">
        <v>45889</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50973-2023</t>
        </is>
      </c>
      <c r="B988" s="1" t="n">
        <v>45218.50408564815</v>
      </c>
      <c r="C988" s="1" t="n">
        <v>45889</v>
      </c>
      <c r="D988" t="inlineStr">
        <is>
          <t>VÄRMLANDS LÄN</t>
        </is>
      </c>
      <c r="E988" t="inlineStr">
        <is>
          <t>TORSBY</t>
        </is>
      </c>
      <c r="G988" t="n">
        <v>10.7</v>
      </c>
      <c r="H988" t="n">
        <v>0</v>
      </c>
      <c r="I988" t="n">
        <v>0</v>
      </c>
      <c r="J988" t="n">
        <v>0</v>
      </c>
      <c r="K988" t="n">
        <v>0</v>
      </c>
      <c r="L988" t="n">
        <v>0</v>
      </c>
      <c r="M988" t="n">
        <v>0</v>
      </c>
      <c r="N988" t="n">
        <v>0</v>
      </c>
      <c r="O988" t="n">
        <v>0</v>
      </c>
      <c r="P988" t="n">
        <v>0</v>
      </c>
      <c r="Q988" t="n">
        <v>0</v>
      </c>
      <c r="R988" s="2" t="inlineStr"/>
    </row>
    <row r="989" ht="15" customHeight="1">
      <c r="A989" t="inlineStr">
        <is>
          <t>A 33088-2024</t>
        </is>
      </c>
      <c r="B989" s="1" t="n">
        <v>45517</v>
      </c>
      <c r="C989" s="1" t="n">
        <v>45889</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22269-2025</t>
        </is>
      </c>
      <c r="B990" s="1" t="n">
        <v>45785</v>
      </c>
      <c r="C990" s="1" t="n">
        <v>45889</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22331-2025</t>
        </is>
      </c>
      <c r="B991" s="1" t="n">
        <v>45786</v>
      </c>
      <c r="C991" s="1" t="n">
        <v>45889</v>
      </c>
      <c r="D991" t="inlineStr">
        <is>
          <t>VÄRMLANDS LÄN</t>
        </is>
      </c>
      <c r="E991" t="inlineStr">
        <is>
          <t>TORSBY</t>
        </is>
      </c>
      <c r="F991" t="inlineStr">
        <is>
          <t>Bergvik skog väst AB</t>
        </is>
      </c>
      <c r="G991" t="n">
        <v>13.5</v>
      </c>
      <c r="H991" t="n">
        <v>0</v>
      </c>
      <c r="I991" t="n">
        <v>0</v>
      </c>
      <c r="J991" t="n">
        <v>0</v>
      </c>
      <c r="K991" t="n">
        <v>0</v>
      </c>
      <c r="L991" t="n">
        <v>0</v>
      </c>
      <c r="M991" t="n">
        <v>0</v>
      </c>
      <c r="N991" t="n">
        <v>0</v>
      </c>
      <c r="O991" t="n">
        <v>0</v>
      </c>
      <c r="P991" t="n">
        <v>0</v>
      </c>
      <c r="Q991" t="n">
        <v>0</v>
      </c>
      <c r="R991" s="2" t="inlineStr"/>
    </row>
    <row r="992" ht="15" customHeight="1">
      <c r="A992" t="inlineStr">
        <is>
          <t>A 11447-2022</t>
        </is>
      </c>
      <c r="B992" s="1" t="n">
        <v>44630</v>
      </c>
      <c r="C992" s="1" t="n">
        <v>45889</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21744-2024</t>
        </is>
      </c>
      <c r="B993" s="1" t="n">
        <v>45442</v>
      </c>
      <c r="C993" s="1" t="n">
        <v>45889</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73874-2021</t>
        </is>
      </c>
      <c r="B994" s="1" t="n">
        <v>44553.39755787037</v>
      </c>
      <c r="C994" s="1" t="n">
        <v>45889</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58948-2024</t>
        </is>
      </c>
      <c r="B995" s="1" t="n">
        <v>45636</v>
      </c>
      <c r="C995" s="1" t="n">
        <v>45889</v>
      </c>
      <c r="D995" t="inlineStr">
        <is>
          <t>VÄRMLANDS LÄN</t>
        </is>
      </c>
      <c r="E995" t="inlineStr">
        <is>
          <t>TORSBY</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40718-2022</t>
        </is>
      </c>
      <c r="B996" s="1" t="n">
        <v>44824.49635416667</v>
      </c>
      <c r="C996" s="1" t="n">
        <v>45889</v>
      </c>
      <c r="D996" t="inlineStr">
        <is>
          <t>VÄRMLANDS LÄN</t>
        </is>
      </c>
      <c r="E996" t="inlineStr">
        <is>
          <t>TORSBY</t>
        </is>
      </c>
      <c r="G996" t="n">
        <v>2.6</v>
      </c>
      <c r="H996" t="n">
        <v>0</v>
      </c>
      <c r="I996" t="n">
        <v>0</v>
      </c>
      <c r="J996" t="n">
        <v>0</v>
      </c>
      <c r="K996" t="n">
        <v>0</v>
      </c>
      <c r="L996" t="n">
        <v>0</v>
      </c>
      <c r="M996" t="n">
        <v>0</v>
      </c>
      <c r="N996" t="n">
        <v>0</v>
      </c>
      <c r="O996" t="n">
        <v>0</v>
      </c>
      <c r="P996" t="n">
        <v>0</v>
      </c>
      <c r="Q996" t="n">
        <v>0</v>
      </c>
      <c r="R996" s="2" t="inlineStr"/>
    </row>
    <row r="997" ht="15" customHeight="1">
      <c r="A997" t="inlineStr">
        <is>
          <t>A 4908-2024</t>
        </is>
      </c>
      <c r="B997" s="1" t="n">
        <v>45329</v>
      </c>
      <c r="C997" s="1" t="n">
        <v>45889</v>
      </c>
      <c r="D997" t="inlineStr">
        <is>
          <t>VÄRMLANDS LÄN</t>
        </is>
      </c>
      <c r="E997" t="inlineStr">
        <is>
          <t>TORSBY</t>
        </is>
      </c>
      <c r="G997" t="n">
        <v>4</v>
      </c>
      <c r="H997" t="n">
        <v>0</v>
      </c>
      <c r="I997" t="n">
        <v>0</v>
      </c>
      <c r="J997" t="n">
        <v>0</v>
      </c>
      <c r="K997" t="n">
        <v>0</v>
      </c>
      <c r="L997" t="n">
        <v>0</v>
      </c>
      <c r="M997" t="n">
        <v>0</v>
      </c>
      <c r="N997" t="n">
        <v>0</v>
      </c>
      <c r="O997" t="n">
        <v>0</v>
      </c>
      <c r="P997" t="n">
        <v>0</v>
      </c>
      <c r="Q997" t="n">
        <v>0</v>
      </c>
      <c r="R997" s="2" t="inlineStr"/>
    </row>
    <row r="998" ht="15" customHeight="1">
      <c r="A998" t="inlineStr">
        <is>
          <t>A 54060-2020</t>
        </is>
      </c>
      <c r="B998" s="1" t="n">
        <v>44125</v>
      </c>
      <c r="C998" s="1" t="n">
        <v>45889</v>
      </c>
      <c r="D998" t="inlineStr">
        <is>
          <t>VÄRMLANDS LÄN</t>
        </is>
      </c>
      <c r="E998" t="inlineStr">
        <is>
          <t>TORSBY</t>
        </is>
      </c>
      <c r="G998" t="n">
        <v>3.2</v>
      </c>
      <c r="H998" t="n">
        <v>0</v>
      </c>
      <c r="I998" t="n">
        <v>0</v>
      </c>
      <c r="J998" t="n">
        <v>0</v>
      </c>
      <c r="K998" t="n">
        <v>0</v>
      </c>
      <c r="L998" t="n">
        <v>0</v>
      </c>
      <c r="M998" t="n">
        <v>0</v>
      </c>
      <c r="N998" t="n">
        <v>0</v>
      </c>
      <c r="O998" t="n">
        <v>0</v>
      </c>
      <c r="P998" t="n">
        <v>0</v>
      </c>
      <c r="Q998" t="n">
        <v>0</v>
      </c>
      <c r="R998" s="2" t="inlineStr"/>
    </row>
    <row r="999" ht="15" customHeight="1">
      <c r="A999" t="inlineStr">
        <is>
          <t>A 19031-2021</t>
        </is>
      </c>
      <c r="B999" s="1" t="n">
        <v>44308.51076388889</v>
      </c>
      <c r="C999" s="1" t="n">
        <v>45889</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22464-2021</t>
        </is>
      </c>
      <c r="B1000" s="1" t="n">
        <v>44326.67932870371</v>
      </c>
      <c r="C1000" s="1" t="n">
        <v>45889</v>
      </c>
      <c r="D1000" t="inlineStr">
        <is>
          <t>VÄRMLANDS LÄN</t>
        </is>
      </c>
      <c r="E1000" t="inlineStr">
        <is>
          <t>TORSBY</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47355-2023</t>
        </is>
      </c>
      <c r="B1001" s="1" t="n">
        <v>45202</v>
      </c>
      <c r="C1001" s="1" t="n">
        <v>45889</v>
      </c>
      <c r="D1001" t="inlineStr">
        <is>
          <t>VÄRMLANDS LÄN</t>
        </is>
      </c>
      <c r="E1001" t="inlineStr">
        <is>
          <t>TORSBY</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60537-2024</t>
        </is>
      </c>
      <c r="B1002" s="1" t="n">
        <v>45643.77138888889</v>
      </c>
      <c r="C1002" s="1" t="n">
        <v>45889</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46456-2024</t>
        </is>
      </c>
      <c r="B1003" s="1" t="n">
        <v>45582</v>
      </c>
      <c r="C1003" s="1" t="n">
        <v>45889</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15773-2023</t>
        </is>
      </c>
      <c r="B1004" s="1" t="n">
        <v>45021</v>
      </c>
      <c r="C1004" s="1" t="n">
        <v>45889</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22536-2024</t>
        </is>
      </c>
      <c r="B1005" s="1" t="n">
        <v>45447</v>
      </c>
      <c r="C1005" s="1" t="n">
        <v>45889</v>
      </c>
      <c r="D1005" t="inlineStr">
        <is>
          <t>VÄRMLANDS LÄN</t>
        </is>
      </c>
      <c r="E1005" t="inlineStr">
        <is>
          <t>TORSBY</t>
        </is>
      </c>
      <c r="G1005" t="n">
        <v>25.2</v>
      </c>
      <c r="H1005" t="n">
        <v>0</v>
      </c>
      <c r="I1005" t="n">
        <v>0</v>
      </c>
      <c r="J1005" t="n">
        <v>0</v>
      </c>
      <c r="K1005" t="n">
        <v>0</v>
      </c>
      <c r="L1005" t="n">
        <v>0</v>
      </c>
      <c r="M1005" t="n">
        <v>0</v>
      </c>
      <c r="N1005" t="n">
        <v>0</v>
      </c>
      <c r="O1005" t="n">
        <v>0</v>
      </c>
      <c r="P1005" t="n">
        <v>0</v>
      </c>
      <c r="Q1005" t="n">
        <v>0</v>
      </c>
      <c r="R1005" s="2" t="inlineStr"/>
    </row>
    <row r="1006" ht="15" customHeight="1">
      <c r="A1006" t="inlineStr">
        <is>
          <t>A 50680-2023</t>
        </is>
      </c>
      <c r="B1006" s="1" t="n">
        <v>45217.5165625</v>
      </c>
      <c r="C1006" s="1" t="n">
        <v>45889</v>
      </c>
      <c r="D1006" t="inlineStr">
        <is>
          <t>VÄRMLANDS LÄN</t>
        </is>
      </c>
      <c r="E1006" t="inlineStr">
        <is>
          <t>TORSBY</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22278-2025</t>
        </is>
      </c>
      <c r="B1007" s="1" t="n">
        <v>45786.33332175926</v>
      </c>
      <c r="C1007" s="1" t="n">
        <v>45889</v>
      </c>
      <c r="D1007" t="inlineStr">
        <is>
          <t>VÄRMLANDS LÄN</t>
        </is>
      </c>
      <c r="E1007" t="inlineStr">
        <is>
          <t>TORSBY</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22320-2025</t>
        </is>
      </c>
      <c r="B1008" s="1" t="n">
        <v>45786.40542824074</v>
      </c>
      <c r="C1008" s="1" t="n">
        <v>45889</v>
      </c>
      <c r="D1008" t="inlineStr">
        <is>
          <t>VÄRMLANDS LÄN</t>
        </is>
      </c>
      <c r="E1008" t="inlineStr">
        <is>
          <t>TORSBY</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22339-2025</t>
        </is>
      </c>
      <c r="B1009" s="1" t="n">
        <v>45786</v>
      </c>
      <c r="C1009" s="1" t="n">
        <v>45889</v>
      </c>
      <c r="D1009" t="inlineStr">
        <is>
          <t>VÄRMLANDS LÄN</t>
        </is>
      </c>
      <c r="E1009" t="inlineStr">
        <is>
          <t>TORSBY</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52592-2024</t>
        </is>
      </c>
      <c r="B1010" s="1" t="n">
        <v>45609</v>
      </c>
      <c r="C1010" s="1" t="n">
        <v>45889</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45231-2023</t>
        </is>
      </c>
      <c r="B1011" s="1" t="n">
        <v>45191</v>
      </c>
      <c r="C1011" s="1" t="n">
        <v>45889</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43988-2024</t>
        </is>
      </c>
      <c r="B1012" s="1" t="n">
        <v>45572</v>
      </c>
      <c r="C1012" s="1" t="n">
        <v>45889</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57393-2022</t>
        </is>
      </c>
      <c r="B1013" s="1" t="n">
        <v>44896.47630787037</v>
      </c>
      <c r="C1013" s="1" t="n">
        <v>45889</v>
      </c>
      <c r="D1013" t="inlineStr">
        <is>
          <t>VÄRMLANDS LÄN</t>
        </is>
      </c>
      <c r="E1013" t="inlineStr">
        <is>
          <t>TORSBY</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43599-2023</t>
        </is>
      </c>
      <c r="B1014" s="1" t="n">
        <v>45184</v>
      </c>
      <c r="C1014" s="1" t="n">
        <v>45889</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63032-2023</t>
        </is>
      </c>
      <c r="B1015" s="1" t="n">
        <v>45272.72728009259</v>
      </c>
      <c r="C1015" s="1" t="n">
        <v>45889</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73324-2021</t>
        </is>
      </c>
      <c r="B1016" s="1" t="n">
        <v>44550</v>
      </c>
      <c r="C1016" s="1" t="n">
        <v>45889</v>
      </c>
      <c r="D1016" t="inlineStr">
        <is>
          <t>VÄRMLANDS LÄN</t>
        </is>
      </c>
      <c r="E1016" t="inlineStr">
        <is>
          <t>TORSBY</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60533-2020</t>
        </is>
      </c>
      <c r="B1017" s="1" t="n">
        <v>44153</v>
      </c>
      <c r="C1017" s="1" t="n">
        <v>45889</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58951-2022</t>
        </is>
      </c>
      <c r="B1018" s="1" t="n">
        <v>44903.65313657407</v>
      </c>
      <c r="C1018" s="1" t="n">
        <v>45889</v>
      </c>
      <c r="D1018" t="inlineStr">
        <is>
          <t>VÄRMLANDS LÄN</t>
        </is>
      </c>
      <c r="E1018" t="inlineStr">
        <is>
          <t>TORSBY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33499-2024</t>
        </is>
      </c>
      <c r="B1019" s="1" t="n">
        <v>45519.62280092593</v>
      </c>
      <c r="C1019" s="1" t="n">
        <v>45889</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20170-2021</t>
        </is>
      </c>
      <c r="B1020" s="1" t="n">
        <v>44312</v>
      </c>
      <c r="C1020" s="1" t="n">
        <v>45889</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55036-2024</t>
        </is>
      </c>
      <c r="B1021" s="1" t="n">
        <v>45621.38342592592</v>
      </c>
      <c r="C1021" s="1" t="n">
        <v>45889</v>
      </c>
      <c r="D1021" t="inlineStr">
        <is>
          <t>VÄRMLANDS LÄN</t>
        </is>
      </c>
      <c r="E1021" t="inlineStr">
        <is>
          <t>TORSBY</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40157-2024</t>
        </is>
      </c>
      <c r="B1022" s="1" t="n">
        <v>45554</v>
      </c>
      <c r="C1022" s="1" t="n">
        <v>45889</v>
      </c>
      <c r="D1022" t="inlineStr">
        <is>
          <t>VÄRMLANDS LÄN</t>
        </is>
      </c>
      <c r="E1022" t="inlineStr">
        <is>
          <t>TORSBY</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40227-2024</t>
        </is>
      </c>
      <c r="B1023" s="1" t="n">
        <v>45554</v>
      </c>
      <c r="C1023" s="1" t="n">
        <v>45889</v>
      </c>
      <c r="D1023" t="inlineStr">
        <is>
          <t>VÄRMLANDS LÄN</t>
        </is>
      </c>
      <c r="E1023" t="inlineStr">
        <is>
          <t>TORSBY</t>
        </is>
      </c>
      <c r="F1023" t="inlineStr">
        <is>
          <t>Bergvik skog väst AB</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1120-2023</t>
        </is>
      </c>
      <c r="B1024" s="1" t="n">
        <v>44935</v>
      </c>
      <c r="C1024" s="1" t="n">
        <v>45889</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60710-2024</t>
        </is>
      </c>
      <c r="B1025" s="1" t="n">
        <v>45643</v>
      </c>
      <c r="C1025" s="1" t="n">
        <v>45889</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13896-2022</t>
        </is>
      </c>
      <c r="B1026" s="1" t="n">
        <v>44650</v>
      </c>
      <c r="C1026" s="1" t="n">
        <v>45889</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14084-2025</t>
        </is>
      </c>
      <c r="B1027" s="1" t="n">
        <v>45740.44010416666</v>
      </c>
      <c r="C1027" s="1" t="n">
        <v>45889</v>
      </c>
      <c r="D1027" t="inlineStr">
        <is>
          <t>VÄRMLANDS LÄN</t>
        </is>
      </c>
      <c r="E1027" t="inlineStr">
        <is>
          <t>TORSBY</t>
        </is>
      </c>
      <c r="F1027" t="inlineStr">
        <is>
          <t>Bergvik skog väst AB</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2981-2025</t>
        </is>
      </c>
      <c r="B1028" s="1" t="n">
        <v>45678.48844907407</v>
      </c>
      <c r="C1028" s="1" t="n">
        <v>45889</v>
      </c>
      <c r="D1028" t="inlineStr">
        <is>
          <t>VÄRMLANDS LÄN</t>
        </is>
      </c>
      <c r="E1028" t="inlineStr">
        <is>
          <t>TORSBY</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40987-2024</t>
        </is>
      </c>
      <c r="B1029" s="1" t="n">
        <v>45558</v>
      </c>
      <c r="C1029" s="1" t="n">
        <v>45889</v>
      </c>
      <c r="D1029" t="inlineStr">
        <is>
          <t>VÄRMLANDS LÄN</t>
        </is>
      </c>
      <c r="E1029" t="inlineStr">
        <is>
          <t>TORSBY</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24827-2025</t>
        </is>
      </c>
      <c r="B1030" s="1" t="n">
        <v>45799.45724537037</v>
      </c>
      <c r="C1030" s="1" t="n">
        <v>45889</v>
      </c>
      <c r="D1030" t="inlineStr">
        <is>
          <t>VÄRMLANDS LÄN</t>
        </is>
      </c>
      <c r="E1030" t="inlineStr">
        <is>
          <t>TORSBY</t>
        </is>
      </c>
      <c r="G1030" t="n">
        <v>27.5</v>
      </c>
      <c r="H1030" t="n">
        <v>0</v>
      </c>
      <c r="I1030" t="n">
        <v>0</v>
      </c>
      <c r="J1030" t="n">
        <v>0</v>
      </c>
      <c r="K1030" t="n">
        <v>0</v>
      </c>
      <c r="L1030" t="n">
        <v>0</v>
      </c>
      <c r="M1030" t="n">
        <v>0</v>
      </c>
      <c r="N1030" t="n">
        <v>0</v>
      </c>
      <c r="O1030" t="n">
        <v>0</v>
      </c>
      <c r="P1030" t="n">
        <v>0</v>
      </c>
      <c r="Q1030" t="n">
        <v>0</v>
      </c>
      <c r="R1030" s="2" t="inlineStr"/>
    </row>
    <row r="1031" ht="15" customHeight="1">
      <c r="A1031" t="inlineStr">
        <is>
          <t>A 40807-2024</t>
        </is>
      </c>
      <c r="B1031" s="1" t="n">
        <v>45558</v>
      </c>
      <c r="C1031" s="1" t="n">
        <v>45889</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22705-2023</t>
        </is>
      </c>
      <c r="B1032" s="1" t="n">
        <v>45071</v>
      </c>
      <c r="C1032" s="1" t="n">
        <v>45889</v>
      </c>
      <c r="D1032" t="inlineStr">
        <is>
          <t>VÄRMLANDS LÄN</t>
        </is>
      </c>
      <c r="E1032" t="inlineStr">
        <is>
          <t>TORSBY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53358-2024</t>
        </is>
      </c>
      <c r="B1033" s="1" t="n">
        <v>45614</v>
      </c>
      <c r="C1033" s="1" t="n">
        <v>45889</v>
      </c>
      <c r="D1033" t="inlineStr">
        <is>
          <t>VÄRMLANDS LÄN</t>
        </is>
      </c>
      <c r="E1033" t="inlineStr">
        <is>
          <t>TORSBY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8054-2022</t>
        </is>
      </c>
      <c r="B1034" s="1" t="n">
        <v>44609</v>
      </c>
      <c r="C1034" s="1" t="n">
        <v>45889</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6448-2025</t>
        </is>
      </c>
      <c r="B1035" s="1" t="n">
        <v>45699</v>
      </c>
      <c r="C1035" s="1" t="n">
        <v>45889</v>
      </c>
      <c r="D1035" t="inlineStr">
        <is>
          <t>VÄRMLANDS LÄN</t>
        </is>
      </c>
      <c r="E1035" t="inlineStr">
        <is>
          <t>TORSBY</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15014-2025</t>
        </is>
      </c>
      <c r="B1036" s="1" t="n">
        <v>45743</v>
      </c>
      <c r="C1036" s="1" t="n">
        <v>45889</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22076-2025</t>
        </is>
      </c>
      <c r="B1037" s="1" t="n">
        <v>45785.41473379629</v>
      </c>
      <c r="C1037" s="1" t="n">
        <v>45889</v>
      </c>
      <c r="D1037" t="inlineStr">
        <is>
          <t>VÄRMLANDS LÄN</t>
        </is>
      </c>
      <c r="E1037" t="inlineStr">
        <is>
          <t>TORSBY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22178-2025</t>
        </is>
      </c>
      <c r="B1038" s="1" t="n">
        <v>45785</v>
      </c>
      <c r="C1038" s="1" t="n">
        <v>45889</v>
      </c>
      <c r="D1038" t="inlineStr">
        <is>
          <t>VÄRMLANDS LÄN</t>
        </is>
      </c>
      <c r="E1038" t="inlineStr">
        <is>
          <t>TORSBY</t>
        </is>
      </c>
      <c r="G1038" t="n">
        <v>25.5</v>
      </c>
      <c r="H1038" t="n">
        <v>0</v>
      </c>
      <c r="I1038" t="n">
        <v>0</v>
      </c>
      <c r="J1038" t="n">
        <v>0</v>
      </c>
      <c r="K1038" t="n">
        <v>0</v>
      </c>
      <c r="L1038" t="n">
        <v>0</v>
      </c>
      <c r="M1038" t="n">
        <v>0</v>
      </c>
      <c r="N1038" t="n">
        <v>0</v>
      </c>
      <c r="O1038" t="n">
        <v>0</v>
      </c>
      <c r="P1038" t="n">
        <v>0</v>
      </c>
      <c r="Q1038" t="n">
        <v>0</v>
      </c>
      <c r="R1038" s="2" t="inlineStr"/>
    </row>
    <row r="1039" ht="15" customHeight="1">
      <c r="A1039" t="inlineStr">
        <is>
          <t>A 2195-2025</t>
        </is>
      </c>
      <c r="B1039" s="1" t="n">
        <v>45673.38138888889</v>
      </c>
      <c r="C1039" s="1" t="n">
        <v>45889</v>
      </c>
      <c r="D1039" t="inlineStr">
        <is>
          <t>VÄRMLANDS LÄN</t>
        </is>
      </c>
      <c r="E1039" t="inlineStr">
        <is>
          <t>TORSBY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58976-2024</t>
        </is>
      </c>
      <c r="B1040" s="1" t="n">
        <v>45636.6081712963</v>
      </c>
      <c r="C1040" s="1" t="n">
        <v>45889</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33085-2024</t>
        </is>
      </c>
      <c r="B1041" s="1" t="n">
        <v>45517.67784722222</v>
      </c>
      <c r="C1041" s="1" t="n">
        <v>45889</v>
      </c>
      <c r="D1041" t="inlineStr">
        <is>
          <t>VÄRMLANDS LÄN</t>
        </is>
      </c>
      <c r="E1041" t="inlineStr">
        <is>
          <t>TORSBY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33338-2024</t>
        </is>
      </c>
      <c r="B1042" s="1" t="n">
        <v>45519</v>
      </c>
      <c r="C1042" s="1" t="n">
        <v>45889</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46914-2024</t>
        </is>
      </c>
      <c r="B1043" s="1" t="n">
        <v>45583.7577662037</v>
      </c>
      <c r="C1043" s="1" t="n">
        <v>45889</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15885-2025</t>
        </is>
      </c>
      <c r="B1044" s="1" t="n">
        <v>45749</v>
      </c>
      <c r="C1044" s="1" t="n">
        <v>45889</v>
      </c>
      <c r="D1044" t="inlineStr">
        <is>
          <t>VÄRMLANDS LÄN</t>
        </is>
      </c>
      <c r="E1044" t="inlineStr">
        <is>
          <t>TORSBY</t>
        </is>
      </c>
      <c r="G1044" t="n">
        <v>9.9</v>
      </c>
      <c r="H1044" t="n">
        <v>0</v>
      </c>
      <c r="I1044" t="n">
        <v>0</v>
      </c>
      <c r="J1044" t="n">
        <v>0</v>
      </c>
      <c r="K1044" t="n">
        <v>0</v>
      </c>
      <c r="L1044" t="n">
        <v>0</v>
      </c>
      <c r="M1044" t="n">
        <v>0</v>
      </c>
      <c r="N1044" t="n">
        <v>0</v>
      </c>
      <c r="O1044" t="n">
        <v>0</v>
      </c>
      <c r="P1044" t="n">
        <v>0</v>
      </c>
      <c r="Q1044" t="n">
        <v>0</v>
      </c>
      <c r="R1044" s="2" t="inlineStr"/>
    </row>
    <row r="1045" ht="15" customHeight="1">
      <c r="A1045" t="inlineStr">
        <is>
          <t>A 16017-2025</t>
        </is>
      </c>
      <c r="B1045" s="1" t="n">
        <v>45749</v>
      </c>
      <c r="C1045" s="1" t="n">
        <v>45889</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32319-2024</t>
        </is>
      </c>
      <c r="B1046" s="1" t="n">
        <v>45512.4621875</v>
      </c>
      <c r="C1046" s="1" t="n">
        <v>45889</v>
      </c>
      <c r="D1046" t="inlineStr">
        <is>
          <t>VÄRMLANDS LÄN</t>
        </is>
      </c>
      <c r="E1046" t="inlineStr">
        <is>
          <t>TORSBY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40207-2023</t>
        </is>
      </c>
      <c r="B1047" s="1" t="n">
        <v>45169.44604166667</v>
      </c>
      <c r="C1047" s="1" t="n">
        <v>45889</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60454-2024</t>
        </is>
      </c>
      <c r="B1048" s="1" t="n">
        <v>45643</v>
      </c>
      <c r="C1048" s="1" t="n">
        <v>45889</v>
      </c>
      <c r="D1048" t="inlineStr">
        <is>
          <t>VÄRMLANDS LÄN</t>
        </is>
      </c>
      <c r="E1048" t="inlineStr">
        <is>
          <t>TORSBY</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33495-2024</t>
        </is>
      </c>
      <c r="B1049" s="1" t="n">
        <v>45519</v>
      </c>
      <c r="C1049" s="1" t="n">
        <v>45889</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54023-2024</t>
        </is>
      </c>
      <c r="B1050" s="1" t="n">
        <v>45616</v>
      </c>
      <c r="C1050" s="1" t="n">
        <v>45889</v>
      </c>
      <c r="D1050" t="inlineStr">
        <is>
          <t>VÄRMLANDS LÄN</t>
        </is>
      </c>
      <c r="E1050" t="inlineStr">
        <is>
          <t>TORSBY</t>
        </is>
      </c>
      <c r="F1050" t="inlineStr">
        <is>
          <t>Kommuner</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54027-2024</t>
        </is>
      </c>
      <c r="B1051" s="1" t="n">
        <v>45616</v>
      </c>
      <c r="C1051" s="1" t="n">
        <v>45889</v>
      </c>
      <c r="D1051" t="inlineStr">
        <is>
          <t>VÄRMLANDS LÄN</t>
        </is>
      </c>
      <c r="E1051" t="inlineStr">
        <is>
          <t>TORSBY</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29897-2024</t>
        </is>
      </c>
      <c r="B1052" s="1" t="n">
        <v>45487.51834490741</v>
      </c>
      <c r="C1052" s="1" t="n">
        <v>45889</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54609-2024</t>
        </is>
      </c>
      <c r="B1053" s="1" t="n">
        <v>45617</v>
      </c>
      <c r="C1053" s="1" t="n">
        <v>45889</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19964-2025</t>
        </is>
      </c>
      <c r="B1054" s="1" t="n">
        <v>45771.67315972222</v>
      </c>
      <c r="C1054" s="1" t="n">
        <v>45889</v>
      </c>
      <c r="D1054" t="inlineStr">
        <is>
          <t>VÄRMLANDS LÄN</t>
        </is>
      </c>
      <c r="E1054" t="inlineStr">
        <is>
          <t>TORSBY</t>
        </is>
      </c>
      <c r="F1054" t="inlineStr">
        <is>
          <t>Bergvik skog väst AB</t>
        </is>
      </c>
      <c r="G1054" t="n">
        <v>23.8</v>
      </c>
      <c r="H1054" t="n">
        <v>0</v>
      </c>
      <c r="I1054" t="n">
        <v>0</v>
      </c>
      <c r="J1054" t="n">
        <v>0</v>
      </c>
      <c r="K1054" t="n">
        <v>0</v>
      </c>
      <c r="L1054" t="n">
        <v>0</v>
      </c>
      <c r="M1054" t="n">
        <v>0</v>
      </c>
      <c r="N1054" t="n">
        <v>0</v>
      </c>
      <c r="O1054" t="n">
        <v>0</v>
      </c>
      <c r="P1054" t="n">
        <v>0</v>
      </c>
      <c r="Q1054" t="n">
        <v>0</v>
      </c>
      <c r="R1054" s="2" t="inlineStr"/>
    </row>
    <row r="1055" ht="15" customHeight="1">
      <c r="A1055" t="inlineStr">
        <is>
          <t>A 24113-2024</t>
        </is>
      </c>
      <c r="B1055" s="1" t="n">
        <v>45456.61590277778</v>
      </c>
      <c r="C1055" s="1" t="n">
        <v>45889</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54004-2024</t>
        </is>
      </c>
      <c r="B1056" s="1" t="n">
        <v>45616.36659722222</v>
      </c>
      <c r="C1056" s="1" t="n">
        <v>45889</v>
      </c>
      <c r="D1056" t="inlineStr">
        <is>
          <t>VÄRMLANDS LÄN</t>
        </is>
      </c>
      <c r="E1056" t="inlineStr">
        <is>
          <t>TORSBY</t>
        </is>
      </c>
      <c r="F1056" t="inlineStr">
        <is>
          <t>Kommuner</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60272-2024</t>
        </is>
      </c>
      <c r="B1057" s="1" t="n">
        <v>45642</v>
      </c>
      <c r="C1057" s="1" t="n">
        <v>45889</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14614-2025</t>
        </is>
      </c>
      <c r="B1058" s="1" t="n">
        <v>45742</v>
      </c>
      <c r="C1058" s="1" t="n">
        <v>45889</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43179-2023</t>
        </is>
      </c>
      <c r="B1059" s="1" t="n">
        <v>45183.37615740741</v>
      </c>
      <c r="C1059" s="1" t="n">
        <v>45889</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60626-2024</t>
        </is>
      </c>
      <c r="B1060" s="1" t="n">
        <v>45642</v>
      </c>
      <c r="C1060" s="1" t="n">
        <v>45889</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60207-2024</t>
        </is>
      </c>
      <c r="B1061" s="1" t="n">
        <v>45642.67428240741</v>
      </c>
      <c r="C1061" s="1" t="n">
        <v>45889</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22090-2025</t>
        </is>
      </c>
      <c r="B1062" s="1" t="n">
        <v>45785.45212962963</v>
      </c>
      <c r="C1062" s="1" t="n">
        <v>45889</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39772-2024</t>
        </is>
      </c>
      <c r="B1063" s="1" t="n">
        <v>45552</v>
      </c>
      <c r="C1063" s="1" t="n">
        <v>45889</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45134-2024</t>
        </is>
      </c>
      <c r="B1064" s="1" t="n">
        <v>45575</v>
      </c>
      <c r="C1064" s="1" t="n">
        <v>45889</v>
      </c>
      <c r="D1064" t="inlineStr">
        <is>
          <t>VÄRMLANDS LÄN</t>
        </is>
      </c>
      <c r="E1064" t="inlineStr">
        <is>
          <t>TORSBY</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73553-2021</t>
        </is>
      </c>
      <c r="B1065" s="1" t="n">
        <v>44551</v>
      </c>
      <c r="C1065" s="1" t="n">
        <v>45889</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44342-2024</t>
        </is>
      </c>
      <c r="B1066" s="1" t="n">
        <v>45573.61793981482</v>
      </c>
      <c r="C1066" s="1" t="n">
        <v>45889</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22715-2025</t>
        </is>
      </c>
      <c r="B1067" s="1" t="n">
        <v>45789.56496527778</v>
      </c>
      <c r="C1067" s="1" t="n">
        <v>45889</v>
      </c>
      <c r="D1067" t="inlineStr">
        <is>
          <t>VÄRMLANDS LÄN</t>
        </is>
      </c>
      <c r="E1067" t="inlineStr">
        <is>
          <t>TORSBY</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17687-2024</t>
        </is>
      </c>
      <c r="B1068" s="1" t="n">
        <v>45418</v>
      </c>
      <c r="C1068" s="1" t="n">
        <v>45889</v>
      </c>
      <c r="D1068" t="inlineStr">
        <is>
          <t>VÄRMLANDS LÄN</t>
        </is>
      </c>
      <c r="E1068" t="inlineStr">
        <is>
          <t>TORSBY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56509-2024</t>
        </is>
      </c>
      <c r="B1069" s="1" t="n">
        <v>45625</v>
      </c>
      <c r="C1069" s="1" t="n">
        <v>45889</v>
      </c>
      <c r="D1069" t="inlineStr">
        <is>
          <t>VÄRMLANDS LÄN</t>
        </is>
      </c>
      <c r="E1069" t="inlineStr">
        <is>
          <t>TORSBY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40541-2024</t>
        </is>
      </c>
      <c r="B1070" s="1" t="n">
        <v>45555.62736111111</v>
      </c>
      <c r="C1070" s="1" t="n">
        <v>45889</v>
      </c>
      <c r="D1070" t="inlineStr">
        <is>
          <t>VÄRMLANDS LÄN</t>
        </is>
      </c>
      <c r="E1070" t="inlineStr">
        <is>
          <t>TORSBY</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40546-2024</t>
        </is>
      </c>
      <c r="B1071" s="1" t="n">
        <v>45555</v>
      </c>
      <c r="C1071" s="1" t="n">
        <v>45889</v>
      </c>
      <c r="D1071" t="inlineStr">
        <is>
          <t>VÄRMLANDS LÄN</t>
        </is>
      </c>
      <c r="E1071" t="inlineStr">
        <is>
          <t>TORSBY</t>
        </is>
      </c>
      <c r="F1071" t="inlineStr">
        <is>
          <t>Bergvik skog väst AB</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22634-2023</t>
        </is>
      </c>
      <c r="B1072" s="1" t="n">
        <v>45071</v>
      </c>
      <c r="C1072" s="1" t="n">
        <v>45889</v>
      </c>
      <c r="D1072" t="inlineStr">
        <is>
          <t>VÄRMLANDS LÄN</t>
        </is>
      </c>
      <c r="E1072" t="inlineStr">
        <is>
          <t>TORSBY</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55436-2022</t>
        </is>
      </c>
      <c r="B1073" s="1" t="n">
        <v>44887</v>
      </c>
      <c r="C1073" s="1" t="n">
        <v>45889</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12458-2023</t>
        </is>
      </c>
      <c r="B1074" s="1" t="n">
        <v>44999</v>
      </c>
      <c r="C1074" s="1" t="n">
        <v>45889</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57469-2024</t>
        </is>
      </c>
      <c r="B1075" s="1" t="n">
        <v>45630</v>
      </c>
      <c r="C1075" s="1" t="n">
        <v>45889</v>
      </c>
      <c r="D1075" t="inlineStr">
        <is>
          <t>VÄRMLANDS LÄN</t>
        </is>
      </c>
      <c r="E1075" t="inlineStr">
        <is>
          <t>TORSBY</t>
        </is>
      </c>
      <c r="F1075" t="inlineStr">
        <is>
          <t>Bergvik skog väst AB</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2699-2022</t>
        </is>
      </c>
      <c r="B1076" s="1" t="n">
        <v>44580.62828703703</v>
      </c>
      <c r="C1076" s="1" t="n">
        <v>45889</v>
      </c>
      <c r="D1076" t="inlineStr">
        <is>
          <t>VÄRMLANDS LÄN</t>
        </is>
      </c>
      <c r="E1076" t="inlineStr">
        <is>
          <t>TORSBY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13848-2024</t>
        </is>
      </c>
      <c r="B1077" s="1" t="n">
        <v>45390</v>
      </c>
      <c r="C1077" s="1" t="n">
        <v>45889</v>
      </c>
      <c r="D1077" t="inlineStr">
        <is>
          <t>VÄRMLANDS LÄN</t>
        </is>
      </c>
      <c r="E1077" t="inlineStr">
        <is>
          <t>TORSBY</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59425-2021</t>
        </is>
      </c>
      <c r="B1078" s="1" t="n">
        <v>44491.43469907407</v>
      </c>
      <c r="C1078" s="1" t="n">
        <v>45889</v>
      </c>
      <c r="D1078" t="inlineStr">
        <is>
          <t>VÄRMLANDS LÄN</t>
        </is>
      </c>
      <c r="E1078" t="inlineStr">
        <is>
          <t>TORSBY</t>
        </is>
      </c>
      <c r="F1078" t="inlineStr">
        <is>
          <t>Bergvik skog väst AB</t>
        </is>
      </c>
      <c r="G1078" t="n">
        <v>14.9</v>
      </c>
      <c r="H1078" t="n">
        <v>0</v>
      </c>
      <c r="I1078" t="n">
        <v>0</v>
      </c>
      <c r="J1078" t="n">
        <v>0</v>
      </c>
      <c r="K1078" t="n">
        <v>0</v>
      </c>
      <c r="L1078" t="n">
        <v>0</v>
      </c>
      <c r="M1078" t="n">
        <v>0</v>
      </c>
      <c r="N1078" t="n">
        <v>0</v>
      </c>
      <c r="O1078" t="n">
        <v>0</v>
      </c>
      <c r="P1078" t="n">
        <v>0</v>
      </c>
      <c r="Q1078" t="n">
        <v>0</v>
      </c>
      <c r="R1078" s="2" t="inlineStr"/>
    </row>
    <row r="1079" ht="15" customHeight="1">
      <c r="A1079" t="inlineStr">
        <is>
          <t>A 9226-2025</t>
        </is>
      </c>
      <c r="B1079" s="1" t="n">
        <v>45714</v>
      </c>
      <c r="C1079" s="1" t="n">
        <v>45889</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23035-2025</t>
        </is>
      </c>
      <c r="B1080" s="1" t="n">
        <v>45790.66079861111</v>
      </c>
      <c r="C1080" s="1" t="n">
        <v>45889</v>
      </c>
      <c r="D1080" t="inlineStr">
        <is>
          <t>VÄRMLANDS LÄN</t>
        </is>
      </c>
      <c r="E1080" t="inlineStr">
        <is>
          <t>TORSBY</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17039-2025</t>
        </is>
      </c>
      <c r="B1081" s="1" t="n">
        <v>45754</v>
      </c>
      <c r="C1081" s="1" t="n">
        <v>45889</v>
      </c>
      <c r="D1081" t="inlineStr">
        <is>
          <t>VÄRMLANDS LÄN</t>
        </is>
      </c>
      <c r="E1081" t="inlineStr">
        <is>
          <t>TORSBY</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22593-2025</t>
        </is>
      </c>
      <c r="B1082" s="1" t="n">
        <v>45789.41113425926</v>
      </c>
      <c r="C1082" s="1" t="n">
        <v>45889</v>
      </c>
      <c r="D1082" t="inlineStr">
        <is>
          <t>VÄRMLANDS LÄN</t>
        </is>
      </c>
      <c r="E1082" t="inlineStr">
        <is>
          <t>TORSBY</t>
        </is>
      </c>
      <c r="F1082" t="inlineStr">
        <is>
          <t>Bergvik skog väst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53945-2023</t>
        </is>
      </c>
      <c r="B1083" s="1" t="n">
        <v>45231.6009837963</v>
      </c>
      <c r="C1083" s="1" t="n">
        <v>45889</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7101-2025</t>
        </is>
      </c>
      <c r="B1084" s="1" t="n">
        <v>45701</v>
      </c>
      <c r="C1084" s="1" t="n">
        <v>45889</v>
      </c>
      <c r="D1084" t="inlineStr">
        <is>
          <t>VÄRMLANDS LÄN</t>
        </is>
      </c>
      <c r="E1084" t="inlineStr">
        <is>
          <t>TORSBY</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58945-2024</t>
        </is>
      </c>
      <c r="B1085" s="1" t="n">
        <v>45636</v>
      </c>
      <c r="C1085" s="1" t="n">
        <v>45889</v>
      </c>
      <c r="D1085" t="inlineStr">
        <is>
          <t>VÄRMLANDS LÄN</t>
        </is>
      </c>
      <c r="E1085" t="inlineStr">
        <is>
          <t>TORSBY</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5289-2022</t>
        </is>
      </c>
      <c r="B1086" s="1" t="n">
        <v>44594.61883101852</v>
      </c>
      <c r="C1086" s="1" t="n">
        <v>45889</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22845-2025</t>
        </is>
      </c>
      <c r="B1087" s="1" t="n">
        <v>45790</v>
      </c>
      <c r="C1087" s="1" t="n">
        <v>45889</v>
      </c>
      <c r="D1087" t="inlineStr">
        <is>
          <t>VÄRMLANDS LÄN</t>
        </is>
      </c>
      <c r="E1087" t="inlineStr">
        <is>
          <t>TORSBY</t>
        </is>
      </c>
      <c r="F1087" t="inlineStr">
        <is>
          <t>Bergvik skog väst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38979-2023</t>
        </is>
      </c>
      <c r="B1088" s="1" t="n">
        <v>45163.64584490741</v>
      </c>
      <c r="C1088" s="1" t="n">
        <v>45889</v>
      </c>
      <c r="D1088" t="inlineStr">
        <is>
          <t>VÄRMLANDS LÄN</t>
        </is>
      </c>
      <c r="E1088" t="inlineStr">
        <is>
          <t>TORSBY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33232-2024</t>
        </is>
      </c>
      <c r="B1089" s="1" t="n">
        <v>45518</v>
      </c>
      <c r="C1089" s="1" t="n">
        <v>45889</v>
      </c>
      <c r="D1089" t="inlineStr">
        <is>
          <t>VÄRMLANDS LÄN</t>
        </is>
      </c>
      <c r="E1089" t="inlineStr">
        <is>
          <t>TORSBY</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11581-2025</t>
        </is>
      </c>
      <c r="B1090" s="1" t="n">
        <v>45727</v>
      </c>
      <c r="C1090" s="1" t="n">
        <v>45889</v>
      </c>
      <c r="D1090" t="inlineStr">
        <is>
          <t>VÄRMLANDS LÄN</t>
        </is>
      </c>
      <c r="E1090" t="inlineStr">
        <is>
          <t>TORSBY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64602-2023</t>
        </is>
      </c>
      <c r="B1091" s="1" t="n">
        <v>45281.50085648148</v>
      </c>
      <c r="C1091" s="1" t="n">
        <v>45889</v>
      </c>
      <c r="D1091" t="inlineStr">
        <is>
          <t>VÄRMLANDS LÄN</t>
        </is>
      </c>
      <c r="E1091" t="inlineStr">
        <is>
          <t>TORSBY</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53044-2024</t>
        </is>
      </c>
      <c r="B1092" s="1" t="n">
        <v>45611.44701388889</v>
      </c>
      <c r="C1092" s="1" t="n">
        <v>45889</v>
      </c>
      <c r="D1092" t="inlineStr">
        <is>
          <t>VÄRMLANDS LÄN</t>
        </is>
      </c>
      <c r="E1092" t="inlineStr">
        <is>
          <t>TORSBY</t>
        </is>
      </c>
      <c r="F1092" t="inlineStr">
        <is>
          <t>Kyrkan</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22708-2025</t>
        </is>
      </c>
      <c r="B1093" s="1" t="n">
        <v>45789.55561342592</v>
      </c>
      <c r="C1093" s="1" t="n">
        <v>45889</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64641-2023</t>
        </is>
      </c>
      <c r="B1094" s="1" t="n">
        <v>45281.55908564815</v>
      </c>
      <c r="C1094" s="1" t="n">
        <v>45889</v>
      </c>
      <c r="D1094" t="inlineStr">
        <is>
          <t>VÄRMLANDS LÄN</t>
        </is>
      </c>
      <c r="E1094" t="inlineStr">
        <is>
          <t>TORSBY</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7069-2022</t>
        </is>
      </c>
      <c r="B1095" s="1" t="n">
        <v>44603</v>
      </c>
      <c r="C1095" s="1" t="n">
        <v>45889</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15398-2025</t>
        </is>
      </c>
      <c r="B1096" s="1" t="n">
        <v>45747.44309027777</v>
      </c>
      <c r="C1096" s="1" t="n">
        <v>45889</v>
      </c>
      <c r="D1096" t="inlineStr">
        <is>
          <t>VÄRMLANDS LÄN</t>
        </is>
      </c>
      <c r="E1096" t="inlineStr">
        <is>
          <t>TORSBY</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22757-2025</t>
        </is>
      </c>
      <c r="B1097" s="1" t="n">
        <v>45789.61908564815</v>
      </c>
      <c r="C1097" s="1" t="n">
        <v>45889</v>
      </c>
      <c r="D1097" t="inlineStr">
        <is>
          <t>VÄRMLANDS LÄN</t>
        </is>
      </c>
      <c r="E1097" t="inlineStr">
        <is>
          <t>TORSBY</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4070-2024</t>
        </is>
      </c>
      <c r="B1098" s="1" t="n">
        <v>45323</v>
      </c>
      <c r="C1098" s="1" t="n">
        <v>45889</v>
      </c>
      <c r="D1098" t="inlineStr">
        <is>
          <t>VÄRMLANDS LÄN</t>
        </is>
      </c>
      <c r="E1098" t="inlineStr">
        <is>
          <t>TORSBY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22316-2025</t>
        </is>
      </c>
      <c r="B1099" s="1" t="n">
        <v>45786.39013888889</v>
      </c>
      <c r="C1099" s="1" t="n">
        <v>45889</v>
      </c>
      <c r="D1099" t="inlineStr">
        <is>
          <t>VÄRMLANDS LÄN</t>
        </is>
      </c>
      <c r="E1099" t="inlineStr">
        <is>
          <t>TORSBY</t>
        </is>
      </c>
      <c r="F1099" t="inlineStr">
        <is>
          <t>Bergvik skog väst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22386-2025</t>
        </is>
      </c>
      <c r="B1100" s="1" t="n">
        <v>45786.50703703704</v>
      </c>
      <c r="C1100" s="1" t="n">
        <v>45889</v>
      </c>
      <c r="D1100" t="inlineStr">
        <is>
          <t>VÄRMLANDS LÄN</t>
        </is>
      </c>
      <c r="E1100" t="inlineStr">
        <is>
          <t>TORSBY</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22596-2025</t>
        </is>
      </c>
      <c r="B1101" s="1" t="n">
        <v>45789.41362268518</v>
      </c>
      <c r="C1101" s="1" t="n">
        <v>45889</v>
      </c>
      <c r="D1101" t="inlineStr">
        <is>
          <t>VÄRMLANDS LÄN</t>
        </is>
      </c>
      <c r="E1101" t="inlineStr">
        <is>
          <t>TORSBY</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44497-2023</t>
        </is>
      </c>
      <c r="B1102" s="1" t="n">
        <v>45189.45701388889</v>
      </c>
      <c r="C1102" s="1" t="n">
        <v>45889</v>
      </c>
      <c r="D1102" t="inlineStr">
        <is>
          <t>VÄRMLANDS LÄN</t>
        </is>
      </c>
      <c r="E1102" t="inlineStr">
        <is>
          <t>TORSBY</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7927-2024</t>
        </is>
      </c>
      <c r="B1103" s="1" t="n">
        <v>45350</v>
      </c>
      <c r="C1103" s="1" t="n">
        <v>45889</v>
      </c>
      <c r="D1103" t="inlineStr">
        <is>
          <t>VÄRMLANDS LÄN</t>
        </is>
      </c>
      <c r="E1103" t="inlineStr">
        <is>
          <t>TORSBY</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1528-2025</t>
        </is>
      </c>
      <c r="B1104" s="1" t="n">
        <v>45670</v>
      </c>
      <c r="C1104" s="1" t="n">
        <v>45889</v>
      </c>
      <c r="D1104" t="inlineStr">
        <is>
          <t>VÄRMLANDS LÄN</t>
        </is>
      </c>
      <c r="E1104" t="inlineStr">
        <is>
          <t>TORSBY</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59613-2024</t>
        </is>
      </c>
      <c r="B1105" s="1" t="n">
        <v>45638</v>
      </c>
      <c r="C1105" s="1" t="n">
        <v>45889</v>
      </c>
      <c r="D1105" t="inlineStr">
        <is>
          <t>VÄRMLANDS LÄN</t>
        </is>
      </c>
      <c r="E1105" t="inlineStr">
        <is>
          <t>TORSBY</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19253-2025</t>
        </is>
      </c>
      <c r="B1106" s="1" t="n">
        <v>45769</v>
      </c>
      <c r="C1106" s="1" t="n">
        <v>45889</v>
      </c>
      <c r="D1106" t="inlineStr">
        <is>
          <t>VÄRMLANDS LÄN</t>
        </is>
      </c>
      <c r="E1106" t="inlineStr">
        <is>
          <t>TORSBY</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22954-2025</t>
        </is>
      </c>
      <c r="B1107" s="1" t="n">
        <v>45790.5184375</v>
      </c>
      <c r="C1107" s="1" t="n">
        <v>45889</v>
      </c>
      <c r="D1107" t="inlineStr">
        <is>
          <t>VÄRMLANDS LÄN</t>
        </is>
      </c>
      <c r="E1107" t="inlineStr">
        <is>
          <t>TORSBY</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22760-2025</t>
        </is>
      </c>
      <c r="B1108" s="1" t="n">
        <v>45789</v>
      </c>
      <c r="C1108" s="1" t="n">
        <v>45889</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43732-2022</t>
        </is>
      </c>
      <c r="B1109" s="1" t="n">
        <v>44837.69357638889</v>
      </c>
      <c r="C1109" s="1" t="n">
        <v>45889</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2471-2023</t>
        </is>
      </c>
      <c r="B1110" s="1" t="n">
        <v>44943.48373842592</v>
      </c>
      <c r="C1110" s="1" t="n">
        <v>45889</v>
      </c>
      <c r="D1110" t="inlineStr">
        <is>
          <t>VÄRMLANDS LÄN</t>
        </is>
      </c>
      <c r="E1110" t="inlineStr">
        <is>
          <t>TORSBY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23126-2025</t>
        </is>
      </c>
      <c r="B1111" s="1" t="n">
        <v>45791.38447916666</v>
      </c>
      <c r="C1111" s="1" t="n">
        <v>45889</v>
      </c>
      <c r="D1111" t="inlineStr">
        <is>
          <t>VÄRMLANDS LÄN</t>
        </is>
      </c>
      <c r="E1111" t="inlineStr">
        <is>
          <t>TORSBY</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42457-2024</t>
        </is>
      </c>
      <c r="B1112" s="1" t="n">
        <v>45565.46346064815</v>
      </c>
      <c r="C1112" s="1" t="n">
        <v>45889</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30370-2023</t>
        </is>
      </c>
      <c r="B1113" s="1" t="n">
        <v>45111</v>
      </c>
      <c r="C1113" s="1" t="n">
        <v>45889</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23367-2025</t>
        </is>
      </c>
      <c r="B1114" s="1" t="n">
        <v>45791.69582175926</v>
      </c>
      <c r="C1114" s="1" t="n">
        <v>45889</v>
      </c>
      <c r="D1114" t="inlineStr">
        <is>
          <t>VÄRMLANDS LÄN</t>
        </is>
      </c>
      <c r="E1114" t="inlineStr">
        <is>
          <t>TORSBY</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34906-2024</t>
        </is>
      </c>
      <c r="B1115" s="1" t="n">
        <v>45527</v>
      </c>
      <c r="C1115" s="1" t="n">
        <v>45889</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2506-2025</t>
        </is>
      </c>
      <c r="B1116" s="1" t="n">
        <v>45674</v>
      </c>
      <c r="C1116" s="1" t="n">
        <v>45889</v>
      </c>
      <c r="D1116" t="inlineStr">
        <is>
          <t>VÄRMLANDS LÄN</t>
        </is>
      </c>
      <c r="E1116" t="inlineStr">
        <is>
          <t>TORSBY</t>
        </is>
      </c>
      <c r="F1116" t="inlineStr">
        <is>
          <t>Bergvik skog väst AB</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62090-2024</t>
        </is>
      </c>
      <c r="B1117" s="1" t="n">
        <v>45656</v>
      </c>
      <c r="C1117" s="1" t="n">
        <v>45889</v>
      </c>
      <c r="D1117" t="inlineStr">
        <is>
          <t>VÄRMLANDS LÄN</t>
        </is>
      </c>
      <c r="E1117" t="inlineStr">
        <is>
          <t>TORSBY</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62092-2024</t>
        </is>
      </c>
      <c r="B1118" s="1" t="n">
        <v>45656</v>
      </c>
      <c r="C1118" s="1" t="n">
        <v>45889</v>
      </c>
      <c r="D1118" t="inlineStr">
        <is>
          <t>VÄRMLANDS LÄN</t>
        </is>
      </c>
      <c r="E1118" t="inlineStr">
        <is>
          <t>TORSBY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52940-2024</t>
        </is>
      </c>
      <c r="B1119" s="1" t="n">
        <v>45610</v>
      </c>
      <c r="C1119" s="1" t="n">
        <v>45889</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46233-2023</t>
        </is>
      </c>
      <c r="B1120" s="1" t="n">
        <v>45196.69575231482</v>
      </c>
      <c r="C1120" s="1" t="n">
        <v>45889</v>
      </c>
      <c r="D1120" t="inlineStr">
        <is>
          <t>VÄRMLANDS LÄN</t>
        </is>
      </c>
      <c r="E1120" t="inlineStr">
        <is>
          <t>TORSBY</t>
        </is>
      </c>
      <c r="F1120" t="inlineStr">
        <is>
          <t>Kyrkan</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54790-2024</t>
        </is>
      </c>
      <c r="B1121" s="1" t="n">
        <v>45618</v>
      </c>
      <c r="C1121" s="1" t="n">
        <v>45889</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43137-2024</t>
        </is>
      </c>
      <c r="B1122" s="1" t="n">
        <v>45567</v>
      </c>
      <c r="C1122" s="1" t="n">
        <v>45889</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62957-2023</t>
        </is>
      </c>
      <c r="B1123" s="1" t="n">
        <v>45271</v>
      </c>
      <c r="C1123" s="1" t="n">
        <v>45889</v>
      </c>
      <c r="D1123" t="inlineStr">
        <is>
          <t>VÄRMLANDS LÄN</t>
        </is>
      </c>
      <c r="E1123" t="inlineStr">
        <is>
          <t>TORSBY</t>
        </is>
      </c>
      <c r="F1123" t="inlineStr">
        <is>
          <t>Övriga statliga verk och myndigheter</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42632-2023</t>
        </is>
      </c>
      <c r="B1124" s="1" t="n">
        <v>45181</v>
      </c>
      <c r="C1124" s="1" t="n">
        <v>45889</v>
      </c>
      <c r="D1124" t="inlineStr">
        <is>
          <t>VÄRMLANDS LÄN</t>
        </is>
      </c>
      <c r="E1124" t="inlineStr">
        <is>
          <t>TORSBY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42635-2023</t>
        </is>
      </c>
      <c r="B1125" s="1" t="n">
        <v>45181.49310185185</v>
      </c>
      <c r="C1125" s="1" t="n">
        <v>45889</v>
      </c>
      <c r="D1125" t="inlineStr">
        <is>
          <t>VÄRMLANDS LÄN</t>
        </is>
      </c>
      <c r="E1125" t="inlineStr">
        <is>
          <t>TORSBY</t>
        </is>
      </c>
      <c r="G1125" t="n">
        <v>16.1</v>
      </c>
      <c r="H1125" t="n">
        <v>0</v>
      </c>
      <c r="I1125" t="n">
        <v>0</v>
      </c>
      <c r="J1125" t="n">
        <v>0</v>
      </c>
      <c r="K1125" t="n">
        <v>0</v>
      </c>
      <c r="L1125" t="n">
        <v>0</v>
      </c>
      <c r="M1125" t="n">
        <v>0</v>
      </c>
      <c r="N1125" t="n">
        <v>0</v>
      </c>
      <c r="O1125" t="n">
        <v>0</v>
      </c>
      <c r="P1125" t="n">
        <v>0</v>
      </c>
      <c r="Q1125" t="n">
        <v>0</v>
      </c>
      <c r="R1125" s="2" t="inlineStr"/>
    </row>
    <row r="1126" ht="15" customHeight="1">
      <c r="A1126" t="inlineStr">
        <is>
          <t>A 14575-2025</t>
        </is>
      </c>
      <c r="B1126" s="1" t="n">
        <v>45742.29048611111</v>
      </c>
      <c r="C1126" s="1" t="n">
        <v>45889</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23455-2025</t>
        </is>
      </c>
      <c r="B1127" s="1" t="n">
        <v>45792.42520833333</v>
      </c>
      <c r="C1127" s="1" t="n">
        <v>45889</v>
      </c>
      <c r="D1127" t="inlineStr">
        <is>
          <t>VÄRMLANDS LÄN</t>
        </is>
      </c>
      <c r="E1127" t="inlineStr">
        <is>
          <t>TORSBY</t>
        </is>
      </c>
      <c r="F1127" t="inlineStr">
        <is>
          <t>Kyrkan</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31945-2024</t>
        </is>
      </c>
      <c r="B1128" s="1" t="n">
        <v>45510</v>
      </c>
      <c r="C1128" s="1" t="n">
        <v>45889</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42403-2023</t>
        </is>
      </c>
      <c r="B1129" s="1" t="n">
        <v>45180.59174768518</v>
      </c>
      <c r="C1129" s="1" t="n">
        <v>45889</v>
      </c>
      <c r="D1129" t="inlineStr">
        <is>
          <t>VÄRMLANDS LÄN</t>
        </is>
      </c>
      <c r="E1129" t="inlineStr">
        <is>
          <t>TORSBY</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41936-2024</t>
        </is>
      </c>
      <c r="B1130" s="1" t="n">
        <v>45561</v>
      </c>
      <c r="C1130" s="1" t="n">
        <v>45889</v>
      </c>
      <c r="D1130" t="inlineStr">
        <is>
          <t>VÄRMLANDS LÄN</t>
        </is>
      </c>
      <c r="E1130" t="inlineStr">
        <is>
          <t>TORSBY</t>
        </is>
      </c>
      <c r="G1130" t="n">
        <v>9.9</v>
      </c>
      <c r="H1130" t="n">
        <v>0</v>
      </c>
      <c r="I1130" t="n">
        <v>0</v>
      </c>
      <c r="J1130" t="n">
        <v>0</v>
      </c>
      <c r="K1130" t="n">
        <v>0</v>
      </c>
      <c r="L1130" t="n">
        <v>0</v>
      </c>
      <c r="M1130" t="n">
        <v>0</v>
      </c>
      <c r="N1130" t="n">
        <v>0</v>
      </c>
      <c r="O1130" t="n">
        <v>0</v>
      </c>
      <c r="P1130" t="n">
        <v>0</v>
      </c>
      <c r="Q1130" t="n">
        <v>0</v>
      </c>
      <c r="R1130" s="2" t="inlineStr"/>
    </row>
    <row r="1131" ht="15" customHeight="1">
      <c r="A1131" t="inlineStr">
        <is>
          <t>A 23280-2025</t>
        </is>
      </c>
      <c r="B1131" s="1" t="n">
        <v>45791.57217592592</v>
      </c>
      <c r="C1131" s="1" t="n">
        <v>45889</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58259-2024</t>
        </is>
      </c>
      <c r="B1132" s="1" t="n">
        <v>45632.56155092592</v>
      </c>
      <c r="C1132" s="1" t="n">
        <v>45889</v>
      </c>
      <c r="D1132" t="inlineStr">
        <is>
          <t>VÄRMLANDS LÄN</t>
        </is>
      </c>
      <c r="E1132" t="inlineStr">
        <is>
          <t>TORSBY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34568-2024</t>
        </is>
      </c>
      <c r="B1133" s="1" t="n">
        <v>45526</v>
      </c>
      <c r="C1133" s="1" t="n">
        <v>45889</v>
      </c>
      <c r="D1133" t="inlineStr">
        <is>
          <t>VÄRMLANDS LÄN</t>
        </is>
      </c>
      <c r="E1133" t="inlineStr">
        <is>
          <t>TORSBY</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23557-2025</t>
        </is>
      </c>
      <c r="B1134" s="1" t="n">
        <v>45792.58086805556</v>
      </c>
      <c r="C1134" s="1" t="n">
        <v>45889</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14967-2025</t>
        </is>
      </c>
      <c r="B1135" s="1" t="n">
        <v>45743</v>
      </c>
      <c r="C1135" s="1" t="n">
        <v>45889</v>
      </c>
      <c r="D1135" t="inlineStr">
        <is>
          <t>VÄRMLANDS LÄN</t>
        </is>
      </c>
      <c r="E1135" t="inlineStr">
        <is>
          <t>TORSBY</t>
        </is>
      </c>
      <c r="F1135" t="inlineStr">
        <is>
          <t>Bergvik skog väst AB</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23356-2025</t>
        </is>
      </c>
      <c r="B1136" s="1" t="n">
        <v>45791</v>
      </c>
      <c r="C1136" s="1" t="n">
        <v>45889</v>
      </c>
      <c r="D1136" t="inlineStr">
        <is>
          <t>VÄRMLANDS LÄN</t>
        </is>
      </c>
      <c r="E1136" t="inlineStr">
        <is>
          <t>TORSBY</t>
        </is>
      </c>
      <c r="F1136" t="inlineStr">
        <is>
          <t>Bergvik skog väst AB</t>
        </is>
      </c>
      <c r="G1136" t="n">
        <v>15.9</v>
      </c>
      <c r="H1136" t="n">
        <v>0</v>
      </c>
      <c r="I1136" t="n">
        <v>0</v>
      </c>
      <c r="J1136" t="n">
        <v>0</v>
      </c>
      <c r="K1136" t="n">
        <v>0</v>
      </c>
      <c r="L1136" t="n">
        <v>0</v>
      </c>
      <c r="M1136" t="n">
        <v>0</v>
      </c>
      <c r="N1136" t="n">
        <v>0</v>
      </c>
      <c r="O1136" t="n">
        <v>0</v>
      </c>
      <c r="P1136" t="n">
        <v>0</v>
      </c>
      <c r="Q1136" t="n">
        <v>0</v>
      </c>
      <c r="R1136" s="2" t="inlineStr"/>
    </row>
    <row r="1137" ht="15" customHeight="1">
      <c r="A1137" t="inlineStr">
        <is>
          <t>A 16488-2024</t>
        </is>
      </c>
      <c r="B1137" s="1" t="n">
        <v>45408.34597222223</v>
      </c>
      <c r="C1137" s="1" t="n">
        <v>45889</v>
      </c>
      <c r="D1137" t="inlineStr">
        <is>
          <t>VÄRMLANDS LÄN</t>
        </is>
      </c>
      <c r="E1137" t="inlineStr">
        <is>
          <t>TORSBY</t>
        </is>
      </c>
      <c r="F1137" t="inlineStr">
        <is>
          <t>Bergvik skog väst AB</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42414-2024</t>
        </is>
      </c>
      <c r="B1138" s="1" t="n">
        <v>45565</v>
      </c>
      <c r="C1138" s="1" t="n">
        <v>45889</v>
      </c>
      <c r="D1138" t="inlineStr">
        <is>
          <t>VÄRMLANDS LÄN</t>
        </is>
      </c>
      <c r="E1138" t="inlineStr">
        <is>
          <t>TORSBY</t>
        </is>
      </c>
      <c r="F1138" t="inlineStr">
        <is>
          <t>Bergvik skog väst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39771-2024</t>
        </is>
      </c>
      <c r="B1139" s="1" t="n">
        <v>45552</v>
      </c>
      <c r="C1139" s="1" t="n">
        <v>45889</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46503-2021</t>
        </is>
      </c>
      <c r="B1140" s="1" t="n">
        <v>44445.41729166666</v>
      </c>
      <c r="C1140" s="1" t="n">
        <v>45889</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36175-2024</t>
        </is>
      </c>
      <c r="B1141" s="1" t="n">
        <v>45534.40834490741</v>
      </c>
      <c r="C1141" s="1" t="n">
        <v>45889</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23287-2025</t>
        </is>
      </c>
      <c r="B1142" s="1" t="n">
        <v>45791.5816087963</v>
      </c>
      <c r="C1142" s="1" t="n">
        <v>45889</v>
      </c>
      <c r="D1142" t="inlineStr">
        <is>
          <t>VÄRMLANDS LÄN</t>
        </is>
      </c>
      <c r="E1142" t="inlineStr">
        <is>
          <t>TORSBY</t>
        </is>
      </c>
      <c r="F1142" t="inlineStr">
        <is>
          <t>Bergvik skog väst AB</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61510-2022</t>
        </is>
      </c>
      <c r="B1143" s="1" t="n">
        <v>44916.49820601852</v>
      </c>
      <c r="C1143" s="1" t="n">
        <v>45889</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3536-2024</t>
        </is>
      </c>
      <c r="B1144" s="1" t="n">
        <v>45320</v>
      </c>
      <c r="C1144" s="1" t="n">
        <v>45889</v>
      </c>
      <c r="D1144" t="inlineStr">
        <is>
          <t>VÄRMLANDS LÄN</t>
        </is>
      </c>
      <c r="E1144" t="inlineStr">
        <is>
          <t>TORSBY</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60737-2022</t>
        </is>
      </c>
      <c r="B1145" s="1" t="n">
        <v>44913.88537037037</v>
      </c>
      <c r="C1145" s="1" t="n">
        <v>45889</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41501-2024</t>
        </is>
      </c>
      <c r="B1146" s="1" t="n">
        <v>45560</v>
      </c>
      <c r="C1146" s="1" t="n">
        <v>45889</v>
      </c>
      <c r="D1146" t="inlineStr">
        <is>
          <t>VÄRMLANDS LÄN</t>
        </is>
      </c>
      <c r="E1146" t="inlineStr">
        <is>
          <t>TORSBY</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4078-2024</t>
        </is>
      </c>
      <c r="B1147" s="1" t="n">
        <v>45323</v>
      </c>
      <c r="C1147" s="1" t="n">
        <v>45889</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42656-2023</t>
        </is>
      </c>
      <c r="B1148" s="1" t="n">
        <v>45181.53928240741</v>
      </c>
      <c r="C1148" s="1" t="n">
        <v>45889</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55485-2023</t>
        </is>
      </c>
      <c r="B1149" s="1" t="n">
        <v>45238.52023148148</v>
      </c>
      <c r="C1149" s="1" t="n">
        <v>45889</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6656-2021</t>
        </is>
      </c>
      <c r="B1150" s="1" t="n">
        <v>44236</v>
      </c>
      <c r="C1150" s="1" t="n">
        <v>45889</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392-2025</t>
        </is>
      </c>
      <c r="B1151" s="1" t="n">
        <v>45663.35111111111</v>
      </c>
      <c r="C1151" s="1" t="n">
        <v>45889</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24111-2025</t>
        </is>
      </c>
      <c r="B1152" s="1" t="n">
        <v>45796.60822916667</v>
      </c>
      <c r="C1152" s="1" t="n">
        <v>45889</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50147-2023</t>
        </is>
      </c>
      <c r="B1153" s="1" t="n">
        <v>45215</v>
      </c>
      <c r="C1153" s="1" t="n">
        <v>45889</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24069-2025</t>
        </is>
      </c>
      <c r="B1154" s="1" t="n">
        <v>45796.53997685185</v>
      </c>
      <c r="C1154" s="1" t="n">
        <v>45889</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24112-2025</t>
        </is>
      </c>
      <c r="B1155" s="1" t="n">
        <v>45796</v>
      </c>
      <c r="C1155" s="1" t="n">
        <v>45889</v>
      </c>
      <c r="D1155" t="inlineStr">
        <is>
          <t>VÄRMLANDS LÄN</t>
        </is>
      </c>
      <c r="E1155" t="inlineStr">
        <is>
          <t>TORSBY</t>
        </is>
      </c>
      <c r="F1155" t="inlineStr">
        <is>
          <t>Bergvik skog väst AB</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10579-2021</t>
        </is>
      </c>
      <c r="B1156" s="1" t="n">
        <v>44257</v>
      </c>
      <c r="C1156" s="1" t="n">
        <v>45889</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21828-2024</t>
        </is>
      </c>
      <c r="B1157" s="1" t="n">
        <v>45442</v>
      </c>
      <c r="C1157" s="1" t="n">
        <v>45889</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45399-2023</t>
        </is>
      </c>
      <c r="B1158" s="1" t="n">
        <v>45194</v>
      </c>
      <c r="C1158" s="1" t="n">
        <v>45889</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59423-2024</t>
        </is>
      </c>
      <c r="B1159" s="1" t="n">
        <v>45638</v>
      </c>
      <c r="C1159" s="1" t="n">
        <v>45889</v>
      </c>
      <c r="D1159" t="inlineStr">
        <is>
          <t>VÄRMLANDS LÄN</t>
        </is>
      </c>
      <c r="E1159" t="inlineStr">
        <is>
          <t>TORSBY</t>
        </is>
      </c>
      <c r="G1159" t="n">
        <v>23.7</v>
      </c>
      <c r="H1159" t="n">
        <v>0</v>
      </c>
      <c r="I1159" t="n">
        <v>0</v>
      </c>
      <c r="J1159" t="n">
        <v>0</v>
      </c>
      <c r="K1159" t="n">
        <v>0</v>
      </c>
      <c r="L1159" t="n">
        <v>0</v>
      </c>
      <c r="M1159" t="n">
        <v>0</v>
      </c>
      <c r="N1159" t="n">
        <v>0</v>
      </c>
      <c r="O1159" t="n">
        <v>0</v>
      </c>
      <c r="P1159" t="n">
        <v>0</v>
      </c>
      <c r="Q1159" t="n">
        <v>0</v>
      </c>
      <c r="R1159" s="2" t="inlineStr"/>
    </row>
    <row r="1160" ht="15" customHeight="1">
      <c r="A1160" t="inlineStr">
        <is>
          <t>A 33078-2024</t>
        </is>
      </c>
      <c r="B1160" s="1" t="n">
        <v>45517</v>
      </c>
      <c r="C1160" s="1" t="n">
        <v>45889</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31351-2024</t>
        </is>
      </c>
      <c r="B1161" s="1" t="n">
        <v>45505</v>
      </c>
      <c r="C1161" s="1" t="n">
        <v>45889</v>
      </c>
      <c r="D1161" t="inlineStr">
        <is>
          <t>VÄRMLANDS LÄN</t>
        </is>
      </c>
      <c r="E1161" t="inlineStr">
        <is>
          <t>TORSBY</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13207-2022</t>
        </is>
      </c>
      <c r="B1162" s="1" t="n">
        <v>44644.56116898148</v>
      </c>
      <c r="C1162" s="1" t="n">
        <v>45889</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12528-2025</t>
        </is>
      </c>
      <c r="B1163" s="1" t="n">
        <v>45730</v>
      </c>
      <c r="C1163" s="1" t="n">
        <v>45889</v>
      </c>
      <c r="D1163" t="inlineStr">
        <is>
          <t>VÄRMLANDS LÄN</t>
        </is>
      </c>
      <c r="E1163" t="inlineStr">
        <is>
          <t>TORSBY</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50494-2024</t>
        </is>
      </c>
      <c r="B1164" s="1" t="n">
        <v>45601.50818287037</v>
      </c>
      <c r="C1164" s="1" t="n">
        <v>45889</v>
      </c>
      <c r="D1164" t="inlineStr">
        <is>
          <t>VÄRMLANDS LÄN</t>
        </is>
      </c>
      <c r="E1164" t="inlineStr">
        <is>
          <t>TORSBY</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37985-2022</t>
        </is>
      </c>
      <c r="B1165" s="1" t="n">
        <v>44811</v>
      </c>
      <c r="C1165" s="1" t="n">
        <v>45889</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13189-2025</t>
        </is>
      </c>
      <c r="B1166" s="1" t="n">
        <v>45735.39708333334</v>
      </c>
      <c r="C1166" s="1" t="n">
        <v>45889</v>
      </c>
      <c r="D1166" t="inlineStr">
        <is>
          <t>VÄRMLANDS LÄN</t>
        </is>
      </c>
      <c r="E1166" t="inlineStr">
        <is>
          <t>TORSBY</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19148-2025</t>
        </is>
      </c>
      <c r="B1167" s="1" t="n">
        <v>45769</v>
      </c>
      <c r="C1167" s="1" t="n">
        <v>45889</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11427-2025</t>
        </is>
      </c>
      <c r="B1168" s="1" t="n">
        <v>45726</v>
      </c>
      <c r="C1168" s="1" t="n">
        <v>45889</v>
      </c>
      <c r="D1168" t="inlineStr">
        <is>
          <t>VÄRMLANDS LÄN</t>
        </is>
      </c>
      <c r="E1168" t="inlineStr">
        <is>
          <t>TORSBY</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44424-2024</t>
        </is>
      </c>
      <c r="B1169" s="1" t="n">
        <v>45573</v>
      </c>
      <c r="C1169" s="1" t="n">
        <v>45889</v>
      </c>
      <c r="D1169" t="inlineStr">
        <is>
          <t>VÄRMLANDS LÄN</t>
        </is>
      </c>
      <c r="E1169" t="inlineStr">
        <is>
          <t>TORSBY</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46909-2024</t>
        </is>
      </c>
      <c r="B1170" s="1" t="n">
        <v>45583</v>
      </c>
      <c r="C1170" s="1" t="n">
        <v>45889</v>
      </c>
      <c r="D1170" t="inlineStr">
        <is>
          <t>VÄRMLANDS LÄN</t>
        </is>
      </c>
      <c r="E1170" t="inlineStr">
        <is>
          <t>TORSBY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20847-2023</t>
        </is>
      </c>
      <c r="B1171" s="1" t="n">
        <v>45056</v>
      </c>
      <c r="C1171" s="1" t="n">
        <v>45889</v>
      </c>
      <c r="D1171" t="inlineStr">
        <is>
          <t>VÄRMLANDS LÄN</t>
        </is>
      </c>
      <c r="E1171" t="inlineStr">
        <is>
          <t>TORSBY</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53748-2024</t>
        </is>
      </c>
      <c r="B1172" s="1" t="n">
        <v>45615.48322916667</v>
      </c>
      <c r="C1172" s="1" t="n">
        <v>45889</v>
      </c>
      <c r="D1172" t="inlineStr">
        <is>
          <t>VÄRMLANDS LÄN</t>
        </is>
      </c>
      <c r="E1172" t="inlineStr">
        <is>
          <t>TORSBY</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14624-2023</t>
        </is>
      </c>
      <c r="B1173" s="1" t="n">
        <v>45013</v>
      </c>
      <c r="C1173" s="1" t="n">
        <v>45889</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11868-2025</t>
        </is>
      </c>
      <c r="B1174" s="1" t="n">
        <v>45728.4225</v>
      </c>
      <c r="C1174" s="1" t="n">
        <v>45889</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17062-2025</t>
        </is>
      </c>
      <c r="B1175" s="1" t="n">
        <v>45754</v>
      </c>
      <c r="C1175" s="1" t="n">
        <v>45889</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54223-2023</t>
        </is>
      </c>
      <c r="B1176" s="1" t="n">
        <v>45232</v>
      </c>
      <c r="C1176" s="1" t="n">
        <v>45889</v>
      </c>
      <c r="D1176" t="inlineStr">
        <is>
          <t>VÄRMLANDS LÄN</t>
        </is>
      </c>
      <c r="E1176" t="inlineStr">
        <is>
          <t>TORSBY</t>
        </is>
      </c>
      <c r="F1176" t="inlineStr">
        <is>
          <t>Bergvik skog väst AB</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47452-2024</t>
        </is>
      </c>
      <c r="B1177" s="1" t="n">
        <v>45587</v>
      </c>
      <c r="C1177" s="1" t="n">
        <v>45889</v>
      </c>
      <c r="D1177" t="inlineStr">
        <is>
          <t>VÄRMLANDS LÄN</t>
        </is>
      </c>
      <c r="E1177" t="inlineStr">
        <is>
          <t>TORSBY</t>
        </is>
      </c>
      <c r="F1177" t="inlineStr">
        <is>
          <t>Övriga Aktiebolag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23741-2025</t>
        </is>
      </c>
      <c r="B1178" s="1" t="n">
        <v>45793</v>
      </c>
      <c r="C1178" s="1" t="n">
        <v>45889</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24026-2025</t>
        </is>
      </c>
      <c r="B1179" s="1" t="n">
        <v>45796.46841435185</v>
      </c>
      <c r="C1179" s="1" t="n">
        <v>45889</v>
      </c>
      <c r="D1179" t="inlineStr">
        <is>
          <t>VÄRMLANDS LÄN</t>
        </is>
      </c>
      <c r="E1179" t="inlineStr">
        <is>
          <t>TORSBY</t>
        </is>
      </c>
      <c r="G1179" t="n">
        <v>11.9</v>
      </c>
      <c r="H1179" t="n">
        <v>0</v>
      </c>
      <c r="I1179" t="n">
        <v>0</v>
      </c>
      <c r="J1179" t="n">
        <v>0</v>
      </c>
      <c r="K1179" t="n">
        <v>0</v>
      </c>
      <c r="L1179" t="n">
        <v>0</v>
      </c>
      <c r="M1179" t="n">
        <v>0</v>
      </c>
      <c r="N1179" t="n">
        <v>0</v>
      </c>
      <c r="O1179" t="n">
        <v>0</v>
      </c>
      <c r="P1179" t="n">
        <v>0</v>
      </c>
      <c r="Q1179" t="n">
        <v>0</v>
      </c>
      <c r="R1179" s="2" t="inlineStr"/>
    </row>
    <row r="1180" ht="15" customHeight="1">
      <c r="A1180" t="inlineStr">
        <is>
          <t>A 33069-2022</t>
        </is>
      </c>
      <c r="B1180" s="1" t="n">
        <v>44785</v>
      </c>
      <c r="C1180" s="1" t="n">
        <v>45889</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18447-2025</t>
        </is>
      </c>
      <c r="B1181" s="1" t="n">
        <v>45762</v>
      </c>
      <c r="C1181" s="1" t="n">
        <v>45889</v>
      </c>
      <c r="D1181" t="inlineStr">
        <is>
          <t>VÄRMLANDS LÄN</t>
        </is>
      </c>
      <c r="E1181" t="inlineStr">
        <is>
          <t>TORSBY</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2203-2025</t>
        </is>
      </c>
      <c r="B1182" s="1" t="n">
        <v>45672</v>
      </c>
      <c r="C1182" s="1" t="n">
        <v>45889</v>
      </c>
      <c r="D1182" t="inlineStr">
        <is>
          <t>VÄRMLANDS LÄN</t>
        </is>
      </c>
      <c r="E1182" t="inlineStr">
        <is>
          <t>TORSBY</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23779-2025</t>
        </is>
      </c>
      <c r="B1183" s="1" t="n">
        <v>45793.50922453704</v>
      </c>
      <c r="C1183" s="1" t="n">
        <v>45889</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23677-2025</t>
        </is>
      </c>
      <c r="B1184" s="1" t="n">
        <v>45793.31969907408</v>
      </c>
      <c r="C1184" s="1" t="n">
        <v>45889</v>
      </c>
      <c r="D1184" t="inlineStr">
        <is>
          <t>VÄRMLANDS LÄN</t>
        </is>
      </c>
      <c r="E1184" t="inlineStr">
        <is>
          <t>TORSBY</t>
        </is>
      </c>
      <c r="F1184" t="inlineStr">
        <is>
          <t>Kyrkan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23832-2025</t>
        </is>
      </c>
      <c r="B1185" s="1" t="n">
        <v>45793.60357638889</v>
      </c>
      <c r="C1185" s="1" t="n">
        <v>45889</v>
      </c>
      <c r="D1185" t="inlineStr">
        <is>
          <t>VÄRMLANDS LÄN</t>
        </is>
      </c>
      <c r="E1185" t="inlineStr">
        <is>
          <t>TORSBY</t>
        </is>
      </c>
      <c r="F1185" t="inlineStr">
        <is>
          <t>Bergvik skog väst AB</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10608-2022</t>
        </is>
      </c>
      <c r="B1186" s="1" t="n">
        <v>44624</v>
      </c>
      <c r="C1186" s="1" t="n">
        <v>45889</v>
      </c>
      <c r="D1186" t="inlineStr">
        <is>
          <t>VÄRMLANDS LÄN</t>
        </is>
      </c>
      <c r="E1186" t="inlineStr">
        <is>
          <t>TORSBY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41504-2024</t>
        </is>
      </c>
      <c r="B1187" s="1" t="n">
        <v>45560</v>
      </c>
      <c r="C1187" s="1" t="n">
        <v>45889</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44083-2023</t>
        </is>
      </c>
      <c r="B1188" s="1" t="n">
        <v>45182</v>
      </c>
      <c r="C1188" s="1" t="n">
        <v>45889</v>
      </c>
      <c r="D1188" t="inlineStr">
        <is>
          <t>VÄRMLANDS LÄN</t>
        </is>
      </c>
      <c r="E1188" t="inlineStr">
        <is>
          <t>TORSBY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18331-2025</t>
        </is>
      </c>
      <c r="B1189" s="1" t="n">
        <v>45762</v>
      </c>
      <c r="C1189" s="1" t="n">
        <v>45889</v>
      </c>
      <c r="D1189" t="inlineStr">
        <is>
          <t>VÄRMLANDS LÄN</t>
        </is>
      </c>
      <c r="E1189" t="inlineStr">
        <is>
          <t>TORSBY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8284-2023</t>
        </is>
      </c>
      <c r="B1190" s="1" t="n">
        <v>44974.64714120371</v>
      </c>
      <c r="C1190" s="1" t="n">
        <v>45889</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45812-2024</t>
        </is>
      </c>
      <c r="B1191" s="1" t="n">
        <v>45579</v>
      </c>
      <c r="C1191" s="1" t="n">
        <v>45889</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45849-2024</t>
        </is>
      </c>
      <c r="B1192" s="1" t="n">
        <v>45580</v>
      </c>
      <c r="C1192" s="1" t="n">
        <v>45889</v>
      </c>
      <c r="D1192" t="inlineStr">
        <is>
          <t>VÄRMLANDS LÄN</t>
        </is>
      </c>
      <c r="E1192" t="inlineStr">
        <is>
          <t>TORSBY</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53297-2024</t>
        </is>
      </c>
      <c r="B1193" s="1" t="n">
        <v>45614.38802083334</v>
      </c>
      <c r="C1193" s="1" t="n">
        <v>45889</v>
      </c>
      <c r="D1193" t="inlineStr">
        <is>
          <t>VÄRMLANDS LÄN</t>
        </is>
      </c>
      <c r="E1193" t="inlineStr">
        <is>
          <t>TORSBY</t>
        </is>
      </c>
      <c r="F1193" t="inlineStr">
        <is>
          <t>Bergvik skog väst AB</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24607-2025</t>
        </is>
      </c>
      <c r="B1194" s="1" t="n">
        <v>45798.57608796296</v>
      </c>
      <c r="C1194" s="1" t="n">
        <v>45889</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45129-2024</t>
        </is>
      </c>
      <c r="B1195" s="1" t="n">
        <v>45575</v>
      </c>
      <c r="C1195" s="1" t="n">
        <v>45889</v>
      </c>
      <c r="D1195" t="inlineStr">
        <is>
          <t>VÄRMLANDS LÄN</t>
        </is>
      </c>
      <c r="E1195" t="inlineStr">
        <is>
          <t>TORSBY</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8016-2023</t>
        </is>
      </c>
      <c r="B1196" s="1" t="n">
        <v>44973</v>
      </c>
      <c r="C1196" s="1" t="n">
        <v>45889</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53368-2024</t>
        </is>
      </c>
      <c r="B1197" s="1" t="n">
        <v>45614</v>
      </c>
      <c r="C1197" s="1" t="n">
        <v>45889</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24425-2025</t>
        </is>
      </c>
      <c r="B1198" s="1" t="n">
        <v>45797</v>
      </c>
      <c r="C1198" s="1" t="n">
        <v>45889</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34961-2024</t>
        </is>
      </c>
      <c r="B1199" s="1" t="n">
        <v>45527.48923611111</v>
      </c>
      <c r="C1199" s="1" t="n">
        <v>45889</v>
      </c>
      <c r="D1199" t="inlineStr">
        <is>
          <t>VÄRMLANDS LÄN</t>
        </is>
      </c>
      <c r="E1199" t="inlineStr">
        <is>
          <t>TORSBY</t>
        </is>
      </c>
      <c r="F1199" t="inlineStr">
        <is>
          <t>Bergvik skog väst AB</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9871-2024</t>
        </is>
      </c>
      <c r="B1200" s="1" t="n">
        <v>45363</v>
      </c>
      <c r="C1200" s="1" t="n">
        <v>45889</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24218-2025</t>
        </is>
      </c>
      <c r="B1201" s="1" t="n">
        <v>45797.36123842592</v>
      </c>
      <c r="C1201" s="1" t="n">
        <v>45889</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48903-2024</t>
        </is>
      </c>
      <c r="B1202" s="1" t="n">
        <v>45594</v>
      </c>
      <c r="C1202" s="1" t="n">
        <v>45889</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42473-2023</t>
        </is>
      </c>
      <c r="B1203" s="1" t="n">
        <v>45180</v>
      </c>
      <c r="C1203" s="1" t="n">
        <v>45889</v>
      </c>
      <c r="D1203" t="inlineStr">
        <is>
          <t>VÄRMLANDS LÄN</t>
        </is>
      </c>
      <c r="E1203" t="inlineStr">
        <is>
          <t>TORSBY</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24455-2025</t>
        </is>
      </c>
      <c r="B1204" s="1" t="n">
        <v>45798.34435185185</v>
      </c>
      <c r="C1204" s="1" t="n">
        <v>45889</v>
      </c>
      <c r="D1204" t="inlineStr">
        <is>
          <t>VÄRMLANDS LÄN</t>
        </is>
      </c>
      <c r="E1204" t="inlineStr">
        <is>
          <t>TORSBY</t>
        </is>
      </c>
      <c r="F1204" t="inlineStr">
        <is>
          <t>Bergvik skog väst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20968-2024</t>
        </is>
      </c>
      <c r="B1205" s="1" t="n">
        <v>45439</v>
      </c>
      <c r="C1205" s="1" t="n">
        <v>45889</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3864-2025</t>
        </is>
      </c>
      <c r="B1206" s="1" t="n">
        <v>45684</v>
      </c>
      <c r="C1206" s="1" t="n">
        <v>45889</v>
      </c>
      <c r="D1206" t="inlineStr">
        <is>
          <t>VÄRMLANDS LÄN</t>
        </is>
      </c>
      <c r="E1206" t="inlineStr">
        <is>
          <t>TORSBY</t>
        </is>
      </c>
      <c r="F1206" t="inlineStr">
        <is>
          <t>Bergvik skog väst AB</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22463-2021</t>
        </is>
      </c>
      <c r="B1207" s="1" t="n">
        <v>44326.67366898148</v>
      </c>
      <c r="C1207" s="1" t="n">
        <v>45889</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20985-2024</t>
        </is>
      </c>
      <c r="B1208" s="1" t="n">
        <v>45439</v>
      </c>
      <c r="C1208" s="1" t="n">
        <v>45889</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41631-2024</t>
        </is>
      </c>
      <c r="B1209" s="1" t="n">
        <v>45560</v>
      </c>
      <c r="C1209" s="1" t="n">
        <v>45889</v>
      </c>
      <c r="D1209" t="inlineStr">
        <is>
          <t>VÄRMLANDS LÄN</t>
        </is>
      </c>
      <c r="E1209" t="inlineStr">
        <is>
          <t>TORSBY</t>
        </is>
      </c>
      <c r="F1209" t="inlineStr">
        <is>
          <t>Bergvik skog väst AB</t>
        </is>
      </c>
      <c r="G1209" t="n">
        <v>16.3</v>
      </c>
      <c r="H1209" t="n">
        <v>0</v>
      </c>
      <c r="I1209" t="n">
        <v>0</v>
      </c>
      <c r="J1209" t="n">
        <v>0</v>
      </c>
      <c r="K1209" t="n">
        <v>0</v>
      </c>
      <c r="L1209" t="n">
        <v>0</v>
      </c>
      <c r="M1209" t="n">
        <v>0</v>
      </c>
      <c r="N1209" t="n">
        <v>0</v>
      </c>
      <c r="O1209" t="n">
        <v>0</v>
      </c>
      <c r="P1209" t="n">
        <v>0</v>
      </c>
      <c r="Q1209" t="n">
        <v>0</v>
      </c>
      <c r="R1209" s="2" t="inlineStr"/>
    </row>
    <row r="1210" ht="15" customHeight="1">
      <c r="A1210" t="inlineStr">
        <is>
          <t>A 66459-2020</t>
        </is>
      </c>
      <c r="B1210" s="1" t="n">
        <v>44176</v>
      </c>
      <c r="C1210" s="1" t="n">
        <v>45889</v>
      </c>
      <c r="D1210" t="inlineStr">
        <is>
          <t>VÄRMLANDS LÄN</t>
        </is>
      </c>
      <c r="E1210" t="inlineStr">
        <is>
          <t>TORSBY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21542-2024</t>
        </is>
      </c>
      <c r="B1211" s="1" t="n">
        <v>45441</v>
      </c>
      <c r="C1211" s="1" t="n">
        <v>45889</v>
      </c>
      <c r="D1211" t="inlineStr">
        <is>
          <t>VÄRMLANDS LÄN</t>
        </is>
      </c>
      <c r="E1211" t="inlineStr">
        <is>
          <t>TORSBY</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24411-2025</t>
        </is>
      </c>
      <c r="B1212" s="1" t="n">
        <v>45797</v>
      </c>
      <c r="C1212" s="1" t="n">
        <v>45889</v>
      </c>
      <c r="D1212" t="inlineStr">
        <is>
          <t>VÄRMLANDS LÄN</t>
        </is>
      </c>
      <c r="E1212" t="inlineStr">
        <is>
          <t>TORSBY</t>
        </is>
      </c>
      <c r="F1212" t="inlineStr">
        <is>
          <t>Övriga statliga verk och myndigheter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24528-2025</t>
        </is>
      </c>
      <c r="B1213" s="1" t="n">
        <v>45798.42680555556</v>
      </c>
      <c r="C1213" s="1" t="n">
        <v>45889</v>
      </c>
      <c r="D1213" t="inlineStr">
        <is>
          <t>VÄRMLANDS LÄN</t>
        </is>
      </c>
      <c r="E1213" t="inlineStr">
        <is>
          <t>TORSBY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24576-2025</t>
        </is>
      </c>
      <c r="B1214" s="1" t="n">
        <v>45798</v>
      </c>
      <c r="C1214" s="1" t="n">
        <v>45889</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59080-2024</t>
        </is>
      </c>
      <c r="B1215" s="1" t="n">
        <v>45637</v>
      </c>
      <c r="C1215" s="1" t="n">
        <v>45889</v>
      </c>
      <c r="D1215" t="inlineStr">
        <is>
          <t>VÄRMLANDS LÄN</t>
        </is>
      </c>
      <c r="E1215" t="inlineStr">
        <is>
          <t>TORSBY</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5763-2023</t>
        </is>
      </c>
      <c r="B1216" s="1" t="n">
        <v>44963.36383101852</v>
      </c>
      <c r="C1216" s="1" t="n">
        <v>45889</v>
      </c>
      <c r="D1216" t="inlineStr">
        <is>
          <t>VÄRMLANDS LÄN</t>
        </is>
      </c>
      <c r="E1216" t="inlineStr">
        <is>
          <t>TORSBY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24318-2025</t>
        </is>
      </c>
      <c r="B1217" s="1" t="n">
        <v>45797.54879629629</v>
      </c>
      <c r="C1217" s="1" t="n">
        <v>45889</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21581-2024</t>
        </is>
      </c>
      <c r="B1218" s="1" t="n">
        <v>45441</v>
      </c>
      <c r="C1218" s="1" t="n">
        <v>45889</v>
      </c>
      <c r="D1218" t="inlineStr">
        <is>
          <t>VÄRMLANDS LÄN</t>
        </is>
      </c>
      <c r="E1218" t="inlineStr">
        <is>
          <t>TORSBY</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21585-2024</t>
        </is>
      </c>
      <c r="B1219" s="1" t="n">
        <v>45441</v>
      </c>
      <c r="C1219" s="1" t="n">
        <v>45889</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24251-2025</t>
        </is>
      </c>
      <c r="B1220" s="1" t="n">
        <v>45797</v>
      </c>
      <c r="C1220" s="1" t="n">
        <v>45889</v>
      </c>
      <c r="D1220" t="inlineStr">
        <is>
          <t>VÄRMLANDS LÄN</t>
        </is>
      </c>
      <c r="E1220" t="inlineStr">
        <is>
          <t>TORSBY</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24597-2025</t>
        </is>
      </c>
      <c r="B1221" s="1" t="n">
        <v>45798</v>
      </c>
      <c r="C1221" s="1" t="n">
        <v>45889</v>
      </c>
      <c r="D1221" t="inlineStr">
        <is>
          <t>VÄRMLANDS LÄN</t>
        </is>
      </c>
      <c r="E1221" t="inlineStr">
        <is>
          <t>TORSBY</t>
        </is>
      </c>
      <c r="F1221" t="inlineStr">
        <is>
          <t>Övriga statliga verk och myndigheter</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24599-2025</t>
        </is>
      </c>
      <c r="B1222" s="1" t="n">
        <v>45798.56230324074</v>
      </c>
      <c r="C1222" s="1" t="n">
        <v>45889</v>
      </c>
      <c r="D1222" t="inlineStr">
        <is>
          <t>VÄRMLANDS LÄN</t>
        </is>
      </c>
      <c r="E1222" t="inlineStr">
        <is>
          <t>TORSBY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24204-2025</t>
        </is>
      </c>
      <c r="B1223" s="1" t="n">
        <v>45797.31824074074</v>
      </c>
      <c r="C1223" s="1" t="n">
        <v>45889</v>
      </c>
      <c r="D1223" t="inlineStr">
        <is>
          <t>VÄRMLANDS LÄN</t>
        </is>
      </c>
      <c r="E1223" t="inlineStr">
        <is>
          <t>TORSBY</t>
        </is>
      </c>
      <c r="F1223" t="inlineStr">
        <is>
          <t>Bergvik skog väst AB</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24260-2025</t>
        </is>
      </c>
      <c r="B1224" s="1" t="n">
        <v>45797</v>
      </c>
      <c r="C1224" s="1" t="n">
        <v>45889</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68603-2020</t>
        </is>
      </c>
      <c r="B1225" s="1" t="n">
        <v>44186</v>
      </c>
      <c r="C1225" s="1" t="n">
        <v>45889</v>
      </c>
      <c r="D1225" t="inlineStr">
        <is>
          <t>VÄRMLANDS LÄN</t>
        </is>
      </c>
      <c r="E1225" t="inlineStr">
        <is>
          <t>TORSBY</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49982-2023</t>
        </is>
      </c>
      <c r="B1226" s="1" t="n">
        <v>45215.4216087963</v>
      </c>
      <c r="C1226" s="1" t="n">
        <v>45889</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54822-2023</t>
        </is>
      </c>
      <c r="B1227" s="1" t="n">
        <v>45229</v>
      </c>
      <c r="C1227" s="1" t="n">
        <v>45889</v>
      </c>
      <c r="D1227" t="inlineStr">
        <is>
          <t>VÄRMLANDS LÄN</t>
        </is>
      </c>
      <c r="E1227" t="inlineStr">
        <is>
          <t>TORSBY</t>
        </is>
      </c>
      <c r="F1227" t="inlineStr">
        <is>
          <t>Övriga Aktiebolag</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35629-2023</t>
        </is>
      </c>
      <c r="B1228" s="1" t="n">
        <v>45147.55939814815</v>
      </c>
      <c r="C1228" s="1" t="n">
        <v>45889</v>
      </c>
      <c r="D1228" t="inlineStr">
        <is>
          <t>VÄRMLANDS LÄN</t>
        </is>
      </c>
      <c r="E1228" t="inlineStr">
        <is>
          <t>TORSBY</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15660-2025</t>
        </is>
      </c>
      <c r="B1229" s="1" t="n">
        <v>45748</v>
      </c>
      <c r="C1229" s="1" t="n">
        <v>45889</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25428-2025</t>
        </is>
      </c>
      <c r="B1230" s="1" t="n">
        <v>45800.71540509259</v>
      </c>
      <c r="C1230" s="1" t="n">
        <v>45889</v>
      </c>
      <c r="D1230" t="inlineStr">
        <is>
          <t>VÄRMLANDS LÄN</t>
        </is>
      </c>
      <c r="E1230" t="inlineStr">
        <is>
          <t>TORSBY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18099-2022</t>
        </is>
      </c>
      <c r="B1231" s="1" t="n">
        <v>44684</v>
      </c>
      <c r="C1231" s="1" t="n">
        <v>45889</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3223-2025</t>
        </is>
      </c>
      <c r="B1232" s="1" t="n">
        <v>45679</v>
      </c>
      <c r="C1232" s="1" t="n">
        <v>45889</v>
      </c>
      <c r="D1232" t="inlineStr">
        <is>
          <t>VÄRMLANDS LÄN</t>
        </is>
      </c>
      <c r="E1232" t="inlineStr">
        <is>
          <t>TORSBY</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3226-2025</t>
        </is>
      </c>
      <c r="B1233" s="1" t="n">
        <v>45679.48003472222</v>
      </c>
      <c r="C1233" s="1" t="n">
        <v>45889</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25353-2025</t>
        </is>
      </c>
      <c r="B1234" s="1" t="n">
        <v>45800.61553240741</v>
      </c>
      <c r="C1234" s="1" t="n">
        <v>45889</v>
      </c>
      <c r="D1234" t="inlineStr">
        <is>
          <t>VÄRMLANDS LÄN</t>
        </is>
      </c>
      <c r="E1234" t="inlineStr">
        <is>
          <t>TORSBY</t>
        </is>
      </c>
      <c r="F1234" t="inlineStr">
        <is>
          <t>Bergvik skog väst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25186-2025</t>
        </is>
      </c>
      <c r="B1235" s="1" t="n">
        <v>45800.45247685185</v>
      </c>
      <c r="C1235" s="1" t="n">
        <v>45889</v>
      </c>
      <c r="D1235" t="inlineStr">
        <is>
          <t>VÄRMLANDS LÄN</t>
        </is>
      </c>
      <c r="E1235" t="inlineStr">
        <is>
          <t>TORSBY</t>
        </is>
      </c>
      <c r="F1235" t="inlineStr">
        <is>
          <t>Kyrkan</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24726-2025</t>
        </is>
      </c>
      <c r="B1236" s="1" t="n">
        <v>45799.32805555555</v>
      </c>
      <c r="C1236" s="1" t="n">
        <v>45889</v>
      </c>
      <c r="D1236" t="inlineStr">
        <is>
          <t>VÄRMLANDS LÄN</t>
        </is>
      </c>
      <c r="E1236" t="inlineStr">
        <is>
          <t>TORSBY</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20309-2025</t>
        </is>
      </c>
      <c r="B1237" s="1" t="n">
        <v>45775.28427083333</v>
      </c>
      <c r="C1237" s="1" t="n">
        <v>45889</v>
      </c>
      <c r="D1237" t="inlineStr">
        <is>
          <t>VÄRMLANDS LÄN</t>
        </is>
      </c>
      <c r="E1237" t="inlineStr">
        <is>
          <t>TORSBY</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49936-2024</t>
        </is>
      </c>
      <c r="B1238" s="1" t="n">
        <v>45597</v>
      </c>
      <c r="C1238" s="1" t="n">
        <v>45889</v>
      </c>
      <c r="D1238" t="inlineStr">
        <is>
          <t>VÄRMLANDS LÄN</t>
        </is>
      </c>
      <c r="E1238" t="inlineStr">
        <is>
          <t>TORSBY</t>
        </is>
      </c>
      <c r="F1238" t="inlineStr">
        <is>
          <t>Bergvik skog väst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25218-2025</t>
        </is>
      </c>
      <c r="B1239" s="1" t="n">
        <v>45800.4766087963</v>
      </c>
      <c r="C1239" s="1" t="n">
        <v>45889</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47619-2024</t>
        </is>
      </c>
      <c r="B1240" s="1" t="n">
        <v>45588.32371527778</v>
      </c>
      <c r="C1240" s="1" t="n">
        <v>45889</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24967-2025</t>
        </is>
      </c>
      <c r="B1241" s="1" t="n">
        <v>45799.58332175926</v>
      </c>
      <c r="C1241" s="1" t="n">
        <v>45889</v>
      </c>
      <c r="D1241" t="inlineStr">
        <is>
          <t>VÄRMLANDS LÄN</t>
        </is>
      </c>
      <c r="E1241" t="inlineStr">
        <is>
          <t>TORSBY</t>
        </is>
      </c>
      <c r="F1241" t="inlineStr">
        <is>
          <t>Bergvik skog väst AB</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25296-2025</t>
        </is>
      </c>
      <c r="B1242" s="1" t="n">
        <v>45800.56819444444</v>
      </c>
      <c r="C1242" s="1" t="n">
        <v>45889</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24757-2025</t>
        </is>
      </c>
      <c r="B1243" s="1" t="n">
        <v>45799</v>
      </c>
      <c r="C1243" s="1" t="n">
        <v>45889</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25369-2025</t>
        </is>
      </c>
      <c r="B1244" s="1" t="n">
        <v>45800.63046296296</v>
      </c>
      <c r="C1244" s="1" t="n">
        <v>45889</v>
      </c>
      <c r="D1244" t="inlineStr">
        <is>
          <t>VÄRMLANDS LÄN</t>
        </is>
      </c>
      <c r="E1244" t="inlineStr">
        <is>
          <t>TORSBY</t>
        </is>
      </c>
      <c r="F1244" t="inlineStr">
        <is>
          <t>Bergvik skog väst AB</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10218-2023</t>
        </is>
      </c>
      <c r="B1245" s="1" t="n">
        <v>44986.59697916666</v>
      </c>
      <c r="C1245" s="1" t="n">
        <v>45889</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2576-2021</t>
        </is>
      </c>
      <c r="B1246" s="1" t="n">
        <v>44214</v>
      </c>
      <c r="C1246" s="1" t="n">
        <v>45889</v>
      </c>
      <c r="D1246" t="inlineStr">
        <is>
          <t>VÄRMLANDS LÄN</t>
        </is>
      </c>
      <c r="E1246" t="inlineStr">
        <is>
          <t>TORSBY</t>
        </is>
      </c>
      <c r="F1246" t="inlineStr">
        <is>
          <t>Kommuner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25328-2025</t>
        </is>
      </c>
      <c r="B1247" s="1" t="n">
        <v>45800</v>
      </c>
      <c r="C1247" s="1" t="n">
        <v>45889</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25050-2025</t>
        </is>
      </c>
      <c r="B1248" s="1" t="n">
        <v>45799</v>
      </c>
      <c r="C1248" s="1" t="n">
        <v>45889</v>
      </c>
      <c r="D1248" t="inlineStr">
        <is>
          <t>VÄRMLANDS LÄN</t>
        </is>
      </c>
      <c r="E1248" t="inlineStr">
        <is>
          <t>TORSBY</t>
        </is>
      </c>
      <c r="F1248" t="inlineStr">
        <is>
          <t>Bergvik skog väst AB</t>
        </is>
      </c>
      <c r="G1248" t="n">
        <v>39.7</v>
      </c>
      <c r="H1248" t="n">
        <v>0</v>
      </c>
      <c r="I1248" t="n">
        <v>0</v>
      </c>
      <c r="J1248" t="n">
        <v>0</v>
      </c>
      <c r="K1248" t="n">
        <v>0</v>
      </c>
      <c r="L1248" t="n">
        <v>0</v>
      </c>
      <c r="M1248" t="n">
        <v>0</v>
      </c>
      <c r="N1248" t="n">
        <v>0</v>
      </c>
      <c r="O1248" t="n">
        <v>0</v>
      </c>
      <c r="P1248" t="n">
        <v>0</v>
      </c>
      <c r="Q1248" t="n">
        <v>0</v>
      </c>
      <c r="R1248" s="2" t="inlineStr"/>
    </row>
    <row r="1249" ht="15" customHeight="1">
      <c r="A1249" t="inlineStr">
        <is>
          <t>A 19489-2022</t>
        </is>
      </c>
      <c r="B1249" s="1" t="n">
        <v>44693</v>
      </c>
      <c r="C1249" s="1" t="n">
        <v>45889</v>
      </c>
      <c r="D1249" t="inlineStr">
        <is>
          <t>VÄRMLANDS LÄN</t>
        </is>
      </c>
      <c r="E1249" t="inlineStr">
        <is>
          <t>TORSBY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10589-2024</t>
        </is>
      </c>
      <c r="B1250" s="1" t="n">
        <v>45366</v>
      </c>
      <c r="C1250" s="1" t="n">
        <v>45889</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20168-2022</t>
        </is>
      </c>
      <c r="B1251" s="1" t="n">
        <v>44698.50056712963</v>
      </c>
      <c r="C1251" s="1" t="n">
        <v>45889</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9057-2022</t>
        </is>
      </c>
      <c r="B1252" s="1" t="n">
        <v>44615</v>
      </c>
      <c r="C1252" s="1" t="n">
        <v>45889</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1095-2025</t>
        </is>
      </c>
      <c r="B1253" s="1" t="n">
        <v>45666.63681712963</v>
      </c>
      <c r="C1253" s="1" t="n">
        <v>45889</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19791-2025</t>
        </is>
      </c>
      <c r="B1254" s="1" t="n">
        <v>45771.4452662037</v>
      </c>
      <c r="C1254" s="1" t="n">
        <v>45889</v>
      </c>
      <c r="D1254" t="inlineStr">
        <is>
          <t>VÄRMLANDS LÄN</t>
        </is>
      </c>
      <c r="E1254" t="inlineStr">
        <is>
          <t>TORSBY</t>
        </is>
      </c>
      <c r="F1254" t="inlineStr">
        <is>
          <t>Bergvik skog väst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56815-2023</t>
        </is>
      </c>
      <c r="B1255" s="1" t="n">
        <v>45244</v>
      </c>
      <c r="C1255" s="1" t="n">
        <v>45889</v>
      </c>
      <c r="D1255" t="inlineStr">
        <is>
          <t>VÄRMLANDS LÄN</t>
        </is>
      </c>
      <c r="E1255" t="inlineStr">
        <is>
          <t>TORSBY</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1708-2025</t>
        </is>
      </c>
      <c r="B1256" s="1" t="n">
        <v>45670</v>
      </c>
      <c r="C1256" s="1" t="n">
        <v>45889</v>
      </c>
      <c r="D1256" t="inlineStr">
        <is>
          <t>VÄRMLANDS LÄN</t>
        </is>
      </c>
      <c r="E1256" t="inlineStr">
        <is>
          <t>TORSBY</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45152-2023</t>
        </is>
      </c>
      <c r="B1257" s="1" t="n">
        <v>45191</v>
      </c>
      <c r="C1257" s="1" t="n">
        <v>45889</v>
      </c>
      <c r="D1257" t="inlineStr">
        <is>
          <t>VÄRMLANDS LÄN</t>
        </is>
      </c>
      <c r="E1257" t="inlineStr">
        <is>
          <t>TORSBY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55839-2024</t>
        </is>
      </c>
      <c r="B1258" s="1" t="n">
        <v>45623.49502314815</v>
      </c>
      <c r="C1258" s="1" t="n">
        <v>45889</v>
      </c>
      <c r="D1258" t="inlineStr">
        <is>
          <t>VÄRMLANDS LÄN</t>
        </is>
      </c>
      <c r="E1258" t="inlineStr">
        <is>
          <t>TORSBY</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25959-2025</t>
        </is>
      </c>
      <c r="B1259" s="1" t="n">
        <v>45804.60914351852</v>
      </c>
      <c r="C1259" s="1" t="n">
        <v>45889</v>
      </c>
      <c r="D1259" t="inlineStr">
        <is>
          <t>VÄRMLANDS LÄN</t>
        </is>
      </c>
      <c r="E1259" t="inlineStr">
        <is>
          <t>TORSBY</t>
        </is>
      </c>
      <c r="F1259" t="inlineStr">
        <is>
          <t>Bergvik skog väst AB</t>
        </is>
      </c>
      <c r="G1259" t="n">
        <v>17.6</v>
      </c>
      <c r="H1259" t="n">
        <v>0</v>
      </c>
      <c r="I1259" t="n">
        <v>0</v>
      </c>
      <c r="J1259" t="n">
        <v>0</v>
      </c>
      <c r="K1259" t="n">
        <v>0</v>
      </c>
      <c r="L1259" t="n">
        <v>0</v>
      </c>
      <c r="M1259" t="n">
        <v>0</v>
      </c>
      <c r="N1259" t="n">
        <v>0</v>
      </c>
      <c r="O1259" t="n">
        <v>0</v>
      </c>
      <c r="P1259" t="n">
        <v>0</v>
      </c>
      <c r="Q1259" t="n">
        <v>0</v>
      </c>
      <c r="R1259" s="2" t="inlineStr"/>
    </row>
    <row r="1260" ht="15" customHeight="1">
      <c r="A1260" t="inlineStr">
        <is>
          <t>A 25961-2025</t>
        </is>
      </c>
      <c r="B1260" s="1" t="n">
        <v>45804.61326388889</v>
      </c>
      <c r="C1260" s="1" t="n">
        <v>45889</v>
      </c>
      <c r="D1260" t="inlineStr">
        <is>
          <t>VÄRMLANDS LÄN</t>
        </is>
      </c>
      <c r="E1260" t="inlineStr">
        <is>
          <t>TORSBY</t>
        </is>
      </c>
      <c r="G1260" t="n">
        <v>17.8</v>
      </c>
      <c r="H1260" t="n">
        <v>0</v>
      </c>
      <c r="I1260" t="n">
        <v>0</v>
      </c>
      <c r="J1260" t="n">
        <v>0</v>
      </c>
      <c r="K1260" t="n">
        <v>0</v>
      </c>
      <c r="L1260" t="n">
        <v>0</v>
      </c>
      <c r="M1260" t="n">
        <v>0</v>
      </c>
      <c r="N1260" t="n">
        <v>0</v>
      </c>
      <c r="O1260" t="n">
        <v>0</v>
      </c>
      <c r="P1260" t="n">
        <v>0</v>
      </c>
      <c r="Q1260" t="n">
        <v>0</v>
      </c>
      <c r="R1260" s="2" t="inlineStr"/>
    </row>
    <row r="1261" ht="15" customHeight="1">
      <c r="A1261" t="inlineStr">
        <is>
          <t>A 34451-2025</t>
        </is>
      </c>
      <c r="B1261" s="1" t="n">
        <v>45846.85114583333</v>
      </c>
      <c r="C1261" s="1" t="n">
        <v>45889</v>
      </c>
      <c r="D1261" t="inlineStr">
        <is>
          <t>VÄRMLANDS LÄN</t>
        </is>
      </c>
      <c r="E1261" t="inlineStr">
        <is>
          <t>TORSBY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48185-2024</t>
        </is>
      </c>
      <c r="B1262" s="1" t="n">
        <v>45589.90284722222</v>
      </c>
      <c r="C1262" s="1" t="n">
        <v>45889</v>
      </c>
      <c r="D1262" t="inlineStr">
        <is>
          <t>VÄRMLANDS LÄN</t>
        </is>
      </c>
      <c r="E1262" t="inlineStr">
        <is>
          <t>TORSBY</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25807-2025</t>
        </is>
      </c>
      <c r="B1263" s="1" t="n">
        <v>45804.41055555556</v>
      </c>
      <c r="C1263" s="1" t="n">
        <v>45889</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50445-2023</t>
        </is>
      </c>
      <c r="B1264" s="1" t="n">
        <v>45216</v>
      </c>
      <c r="C1264" s="1" t="n">
        <v>45889</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62915-2020</t>
        </is>
      </c>
      <c r="B1265" s="1" t="n">
        <v>44162</v>
      </c>
      <c r="C1265" s="1" t="n">
        <v>45889</v>
      </c>
      <c r="D1265" t="inlineStr">
        <is>
          <t>VÄRMLANDS LÄN</t>
        </is>
      </c>
      <c r="E1265" t="inlineStr">
        <is>
          <t>TORSBY</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25653-2025</t>
        </is>
      </c>
      <c r="B1266" s="1" t="n">
        <v>45803.61072916666</v>
      </c>
      <c r="C1266" s="1" t="n">
        <v>45889</v>
      </c>
      <c r="D1266" t="inlineStr">
        <is>
          <t>VÄRMLANDS LÄN</t>
        </is>
      </c>
      <c r="E1266" t="inlineStr">
        <is>
          <t>TORSBY</t>
        </is>
      </c>
      <c r="F1266" t="inlineStr">
        <is>
          <t>Bergvik skog väst AB</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25866-2025</t>
        </is>
      </c>
      <c r="B1267" s="1" t="n">
        <v>45804.48143518518</v>
      </c>
      <c r="C1267" s="1" t="n">
        <v>45889</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22943-2023</t>
        </is>
      </c>
      <c r="B1268" s="1" t="n">
        <v>45072</v>
      </c>
      <c r="C1268" s="1" t="n">
        <v>45889</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22301-2023</t>
        </is>
      </c>
      <c r="B1269" s="1" t="n">
        <v>45070</v>
      </c>
      <c r="C1269" s="1" t="n">
        <v>45889</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54014-2024</t>
        </is>
      </c>
      <c r="B1270" s="1" t="n">
        <v>45616.38003472222</v>
      </c>
      <c r="C1270" s="1" t="n">
        <v>45889</v>
      </c>
      <c r="D1270" t="inlineStr">
        <is>
          <t>VÄRMLANDS LÄN</t>
        </is>
      </c>
      <c r="E1270" t="inlineStr">
        <is>
          <t>TORSBY</t>
        </is>
      </c>
      <c r="F1270" t="inlineStr">
        <is>
          <t>Kommuner</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25881-2025</t>
        </is>
      </c>
      <c r="B1271" s="1" t="n">
        <v>45804.49729166667</v>
      </c>
      <c r="C1271" s="1" t="n">
        <v>45889</v>
      </c>
      <c r="D1271" t="inlineStr">
        <is>
          <t>VÄRMLANDS LÄN</t>
        </is>
      </c>
      <c r="E1271" t="inlineStr">
        <is>
          <t>TORSBY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25917-2025</t>
        </is>
      </c>
      <c r="B1272" s="1" t="n">
        <v>45804.56704861111</v>
      </c>
      <c r="C1272" s="1" t="n">
        <v>45889</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25464-2025</t>
        </is>
      </c>
      <c r="B1273" s="1" t="n">
        <v>45802.46032407408</v>
      </c>
      <c r="C1273" s="1" t="n">
        <v>45889</v>
      </c>
      <c r="D1273" t="inlineStr">
        <is>
          <t>VÄRMLANDS LÄN</t>
        </is>
      </c>
      <c r="E1273" t="inlineStr">
        <is>
          <t>TORSBY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25465-2025</t>
        </is>
      </c>
      <c r="B1274" s="1" t="n">
        <v>45802.48196759259</v>
      </c>
      <c r="C1274" s="1" t="n">
        <v>45889</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25974-2025</t>
        </is>
      </c>
      <c r="B1275" s="1" t="n">
        <v>45804</v>
      </c>
      <c r="C1275" s="1" t="n">
        <v>45889</v>
      </c>
      <c r="D1275" t="inlineStr">
        <is>
          <t>VÄRMLANDS LÄN</t>
        </is>
      </c>
      <c r="E1275" t="inlineStr">
        <is>
          <t>TORSBY</t>
        </is>
      </c>
      <c r="F1275" t="inlineStr">
        <is>
          <t>Bergvik skog väst AB</t>
        </is>
      </c>
      <c r="G1275" t="n">
        <v>24.6</v>
      </c>
      <c r="H1275" t="n">
        <v>0</v>
      </c>
      <c r="I1275" t="n">
        <v>0</v>
      </c>
      <c r="J1275" t="n">
        <v>0</v>
      </c>
      <c r="K1275" t="n">
        <v>0</v>
      </c>
      <c r="L1275" t="n">
        <v>0</v>
      </c>
      <c r="M1275" t="n">
        <v>0</v>
      </c>
      <c r="N1275" t="n">
        <v>0</v>
      </c>
      <c r="O1275" t="n">
        <v>0</v>
      </c>
      <c r="P1275" t="n">
        <v>0</v>
      </c>
      <c r="Q1275" t="n">
        <v>0</v>
      </c>
      <c r="R1275" s="2" t="inlineStr"/>
    </row>
    <row r="1276" ht="15" customHeight="1">
      <c r="A1276" t="inlineStr">
        <is>
          <t>A 25443-2025</t>
        </is>
      </c>
      <c r="B1276" s="1" t="n">
        <v>45801.49258101852</v>
      </c>
      <c r="C1276" s="1" t="n">
        <v>45889</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25808-2025</t>
        </is>
      </c>
      <c r="B1277" s="1" t="n">
        <v>45804.41528935185</v>
      </c>
      <c r="C1277" s="1" t="n">
        <v>45889</v>
      </c>
      <c r="D1277" t="inlineStr">
        <is>
          <t>VÄRMLANDS LÄN</t>
        </is>
      </c>
      <c r="E1277" t="inlineStr">
        <is>
          <t>TORSBY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25803-2025</t>
        </is>
      </c>
      <c r="B1278" s="1" t="n">
        <v>45804.40886574074</v>
      </c>
      <c r="C1278" s="1" t="n">
        <v>45889</v>
      </c>
      <c r="D1278" t="inlineStr">
        <is>
          <t>VÄRMLANDS LÄN</t>
        </is>
      </c>
      <c r="E1278" t="inlineStr">
        <is>
          <t>TORSBY</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25915-2025</t>
        </is>
      </c>
      <c r="B1279" s="1" t="n">
        <v>45804.56549768519</v>
      </c>
      <c r="C1279" s="1" t="n">
        <v>45889</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25859-2025</t>
        </is>
      </c>
      <c r="B1280" s="1" t="n">
        <v>45804.47244212963</v>
      </c>
      <c r="C1280" s="1" t="n">
        <v>45889</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25545-2025</t>
        </is>
      </c>
      <c r="B1281" s="1" t="n">
        <v>45803.43763888889</v>
      </c>
      <c r="C1281" s="1" t="n">
        <v>45889</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46166-2024</t>
        </is>
      </c>
      <c r="B1282" s="1" t="n">
        <v>45581</v>
      </c>
      <c r="C1282" s="1" t="n">
        <v>45889</v>
      </c>
      <c r="D1282" t="inlineStr">
        <is>
          <t>VÄRMLANDS LÄN</t>
        </is>
      </c>
      <c r="E1282" t="inlineStr">
        <is>
          <t>TORSBY</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25508-2025</t>
        </is>
      </c>
      <c r="B1283" s="1" t="n">
        <v>45803.35520833333</v>
      </c>
      <c r="C1283" s="1" t="n">
        <v>45889</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24965-2023</t>
        </is>
      </c>
      <c r="B1284" s="1" t="n">
        <v>45085</v>
      </c>
      <c r="C1284" s="1" t="n">
        <v>45889</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24969-2023</t>
        </is>
      </c>
      <c r="B1285" s="1" t="n">
        <v>45085.61429398148</v>
      </c>
      <c r="C1285" s="1" t="n">
        <v>45889</v>
      </c>
      <c r="D1285" t="inlineStr">
        <is>
          <t>VÄRMLANDS LÄN</t>
        </is>
      </c>
      <c r="E1285" t="inlineStr">
        <is>
          <t>TORSBY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15126-2024</t>
        </is>
      </c>
      <c r="B1286" s="1" t="n">
        <v>45399</v>
      </c>
      <c r="C1286" s="1" t="n">
        <v>45889</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15127-2024</t>
        </is>
      </c>
      <c r="B1287" s="1" t="n">
        <v>45399.76815972223</v>
      </c>
      <c r="C1287" s="1" t="n">
        <v>45889</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19614-2022</t>
        </is>
      </c>
      <c r="B1288" s="1" t="n">
        <v>44694</v>
      </c>
      <c r="C1288" s="1" t="n">
        <v>45889</v>
      </c>
      <c r="D1288" t="inlineStr">
        <is>
          <t>VÄRMLANDS LÄN</t>
        </is>
      </c>
      <c r="E1288" t="inlineStr">
        <is>
          <t>TORSBY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48762-2023</t>
        </is>
      </c>
      <c r="B1289" s="1" t="n">
        <v>45208</v>
      </c>
      <c r="C1289" s="1" t="n">
        <v>45889</v>
      </c>
      <c r="D1289" t="inlineStr">
        <is>
          <t>VÄRMLANDS LÄN</t>
        </is>
      </c>
      <c r="E1289" t="inlineStr">
        <is>
          <t>TORSBY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5365-2021</t>
        </is>
      </c>
      <c r="B1290" s="1" t="n">
        <v>44229</v>
      </c>
      <c r="C1290" s="1" t="n">
        <v>45889</v>
      </c>
      <c r="D1290" t="inlineStr">
        <is>
          <t>VÄRMLANDS LÄN</t>
        </is>
      </c>
      <c r="E1290" t="inlineStr">
        <is>
          <t>TORSBY</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53570-2024</t>
        </is>
      </c>
      <c r="B1291" s="1" t="n">
        <v>45614.65956018519</v>
      </c>
      <c r="C1291" s="1" t="n">
        <v>45889</v>
      </c>
      <c r="D1291" t="inlineStr">
        <is>
          <t>VÄRMLANDS LÄN</t>
        </is>
      </c>
      <c r="E1291" t="inlineStr">
        <is>
          <t>TORSBY</t>
        </is>
      </c>
      <c r="G1291" t="n">
        <v>15.5</v>
      </c>
      <c r="H1291" t="n">
        <v>0</v>
      </c>
      <c r="I1291" t="n">
        <v>0</v>
      </c>
      <c r="J1291" t="n">
        <v>0</v>
      </c>
      <c r="K1291" t="n">
        <v>0</v>
      </c>
      <c r="L1291" t="n">
        <v>0</v>
      </c>
      <c r="M1291" t="n">
        <v>0</v>
      </c>
      <c r="N1291" t="n">
        <v>0</v>
      </c>
      <c r="O1291" t="n">
        <v>0</v>
      </c>
      <c r="P1291" t="n">
        <v>0</v>
      </c>
      <c r="Q1291" t="n">
        <v>0</v>
      </c>
      <c r="R1291" s="2" t="inlineStr"/>
    </row>
    <row r="1292" ht="15" customHeight="1">
      <c r="A1292" t="inlineStr">
        <is>
          <t>A 4302-2025</t>
        </is>
      </c>
      <c r="B1292" s="1" t="n">
        <v>45685.67939814815</v>
      </c>
      <c r="C1292" s="1" t="n">
        <v>45889</v>
      </c>
      <c r="D1292" t="inlineStr">
        <is>
          <t>VÄRMLANDS LÄN</t>
        </is>
      </c>
      <c r="E1292" t="inlineStr">
        <is>
          <t>TORSBY</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47651-2024</t>
        </is>
      </c>
      <c r="B1293" s="1" t="n">
        <v>45588</v>
      </c>
      <c r="C1293" s="1" t="n">
        <v>45889</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18682-2024</t>
        </is>
      </c>
      <c r="B1294" s="1" t="n">
        <v>45426.37251157407</v>
      </c>
      <c r="C1294" s="1" t="n">
        <v>45889</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10288-2025</t>
        </is>
      </c>
      <c r="B1295" s="1" t="n">
        <v>45720.41396990741</v>
      </c>
      <c r="C1295" s="1" t="n">
        <v>45889</v>
      </c>
      <c r="D1295" t="inlineStr">
        <is>
          <t>VÄRMLANDS LÄN</t>
        </is>
      </c>
      <c r="E1295" t="inlineStr">
        <is>
          <t>TORSBY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12554-2025</t>
        </is>
      </c>
      <c r="B1296" s="1" t="n">
        <v>45731</v>
      </c>
      <c r="C1296" s="1" t="n">
        <v>45889</v>
      </c>
      <c r="D1296" t="inlineStr">
        <is>
          <t>VÄRMLANDS LÄN</t>
        </is>
      </c>
      <c r="E1296" t="inlineStr">
        <is>
          <t>TORSBY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34517-2025</t>
        </is>
      </c>
      <c r="B1297" s="1" t="n">
        <v>45847.46900462963</v>
      </c>
      <c r="C1297" s="1" t="n">
        <v>45889</v>
      </c>
      <c r="D1297" t="inlineStr">
        <is>
          <t>VÄRMLANDS LÄN</t>
        </is>
      </c>
      <c r="E1297" t="inlineStr">
        <is>
          <t>TORSBY</t>
        </is>
      </c>
      <c r="F1297" t="inlineStr">
        <is>
          <t>Övriga Aktiebolag</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27920-2023</t>
        </is>
      </c>
      <c r="B1298" s="1" t="n">
        <v>45098.64269675926</v>
      </c>
      <c r="C1298" s="1" t="n">
        <v>45889</v>
      </c>
      <c r="D1298" t="inlineStr">
        <is>
          <t>VÄRMLANDS LÄN</t>
        </is>
      </c>
      <c r="E1298" t="inlineStr">
        <is>
          <t>TORSBY</t>
        </is>
      </c>
      <c r="F1298" t="inlineStr">
        <is>
          <t>Kyrkan</t>
        </is>
      </c>
      <c r="G1298" t="n">
        <v>14.7</v>
      </c>
      <c r="H1298" t="n">
        <v>0</v>
      </c>
      <c r="I1298" t="n">
        <v>0</v>
      </c>
      <c r="J1298" t="n">
        <v>0</v>
      </c>
      <c r="K1298" t="n">
        <v>0</v>
      </c>
      <c r="L1298" t="n">
        <v>0</v>
      </c>
      <c r="M1298" t="n">
        <v>0</v>
      </c>
      <c r="N1298" t="n">
        <v>0</v>
      </c>
      <c r="O1298" t="n">
        <v>0</v>
      </c>
      <c r="P1298" t="n">
        <v>0</v>
      </c>
      <c r="Q1298" t="n">
        <v>0</v>
      </c>
      <c r="R1298" s="2" t="inlineStr"/>
    </row>
    <row r="1299" ht="15" customHeight="1">
      <c r="A1299" t="inlineStr">
        <is>
          <t>A 39768-2024</t>
        </is>
      </c>
      <c r="B1299" s="1" t="n">
        <v>45552</v>
      </c>
      <c r="C1299" s="1" t="n">
        <v>45889</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51836-2024</t>
        </is>
      </c>
      <c r="B1300" s="1" t="n">
        <v>45607</v>
      </c>
      <c r="C1300" s="1" t="n">
        <v>45889</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24876-2023</t>
        </is>
      </c>
      <c r="B1301" s="1" t="n">
        <v>45085.42391203704</v>
      </c>
      <c r="C1301" s="1" t="n">
        <v>45889</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43538-2024</t>
        </is>
      </c>
      <c r="B1302" s="1" t="n">
        <v>45569.36136574074</v>
      </c>
      <c r="C1302" s="1" t="n">
        <v>45889</v>
      </c>
      <c r="D1302" t="inlineStr">
        <is>
          <t>VÄRMLANDS LÄN</t>
        </is>
      </c>
      <c r="E1302" t="inlineStr">
        <is>
          <t>TORSBY</t>
        </is>
      </c>
      <c r="F1302" t="inlineStr">
        <is>
          <t>Bergvik skog väst AB</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16872-2025</t>
        </is>
      </c>
      <c r="B1303" s="1" t="n">
        <v>45754</v>
      </c>
      <c r="C1303" s="1" t="n">
        <v>45889</v>
      </c>
      <c r="D1303" t="inlineStr">
        <is>
          <t>VÄRMLANDS LÄN</t>
        </is>
      </c>
      <c r="E1303" t="inlineStr">
        <is>
          <t>TORSBY</t>
        </is>
      </c>
      <c r="G1303" t="n">
        <v>16.6</v>
      </c>
      <c r="H1303" t="n">
        <v>0</v>
      </c>
      <c r="I1303" t="n">
        <v>0</v>
      </c>
      <c r="J1303" t="n">
        <v>0</v>
      </c>
      <c r="K1303" t="n">
        <v>0</v>
      </c>
      <c r="L1303" t="n">
        <v>0</v>
      </c>
      <c r="M1303" t="n">
        <v>0</v>
      </c>
      <c r="N1303" t="n">
        <v>0</v>
      </c>
      <c r="O1303" t="n">
        <v>0</v>
      </c>
      <c r="P1303" t="n">
        <v>0</v>
      </c>
      <c r="Q1303" t="n">
        <v>0</v>
      </c>
      <c r="R1303" s="2" t="inlineStr"/>
    </row>
    <row r="1304" ht="15" customHeight="1">
      <c r="A1304" t="inlineStr">
        <is>
          <t>A 3672-2024</t>
        </is>
      </c>
      <c r="B1304" s="1" t="n">
        <v>45321.36465277777</v>
      </c>
      <c r="C1304" s="1" t="n">
        <v>45889</v>
      </c>
      <c r="D1304" t="inlineStr">
        <is>
          <t>VÄRMLANDS LÄN</t>
        </is>
      </c>
      <c r="E1304" t="inlineStr">
        <is>
          <t>TORSBY</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48253-2024</t>
        </is>
      </c>
      <c r="B1305" s="1" t="n">
        <v>45590</v>
      </c>
      <c r="C1305" s="1" t="n">
        <v>45889</v>
      </c>
      <c r="D1305" t="inlineStr">
        <is>
          <t>VÄRMLANDS LÄN</t>
        </is>
      </c>
      <c r="E1305" t="inlineStr">
        <is>
          <t>TORSBY</t>
        </is>
      </c>
      <c r="F1305" t="inlineStr">
        <is>
          <t>Bergvik skog väst AB</t>
        </is>
      </c>
      <c r="G1305" t="n">
        <v>20.7</v>
      </c>
      <c r="H1305" t="n">
        <v>0</v>
      </c>
      <c r="I1305" t="n">
        <v>0</v>
      </c>
      <c r="J1305" t="n">
        <v>0</v>
      </c>
      <c r="K1305" t="n">
        <v>0</v>
      </c>
      <c r="L1305" t="n">
        <v>0</v>
      </c>
      <c r="M1305" t="n">
        <v>0</v>
      </c>
      <c r="N1305" t="n">
        <v>0</v>
      </c>
      <c r="O1305" t="n">
        <v>0</v>
      </c>
      <c r="P1305" t="n">
        <v>0</v>
      </c>
      <c r="Q1305" t="n">
        <v>0</v>
      </c>
      <c r="R1305" s="2" t="inlineStr"/>
    </row>
    <row r="1306" ht="15" customHeight="1">
      <c r="A1306" t="inlineStr">
        <is>
          <t>A 26158-2025</t>
        </is>
      </c>
      <c r="B1306" s="1" t="n">
        <v>45805</v>
      </c>
      <c r="C1306" s="1" t="n">
        <v>45889</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34533-2025</t>
        </is>
      </c>
      <c r="B1307" s="1" t="n">
        <v>45847.50868055555</v>
      </c>
      <c r="C1307" s="1" t="n">
        <v>45889</v>
      </c>
      <c r="D1307" t="inlineStr">
        <is>
          <t>VÄRMLANDS LÄN</t>
        </is>
      </c>
      <c r="E1307" t="inlineStr">
        <is>
          <t>TORSBY</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26061-2025</t>
        </is>
      </c>
      <c r="B1308" s="1" t="n">
        <v>45805.24886574074</v>
      </c>
      <c r="C1308" s="1" t="n">
        <v>45889</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17841-2025</t>
        </is>
      </c>
      <c r="B1309" s="1" t="n">
        <v>45758</v>
      </c>
      <c r="C1309" s="1" t="n">
        <v>45889</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24657-2024</t>
        </is>
      </c>
      <c r="B1310" s="1" t="n">
        <v>45460</v>
      </c>
      <c r="C1310" s="1" t="n">
        <v>45889</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26333-2025</t>
        </is>
      </c>
      <c r="B1311" s="1" t="n">
        <v>45805.69038194444</v>
      </c>
      <c r="C1311" s="1" t="n">
        <v>45889</v>
      </c>
      <c r="D1311" t="inlineStr">
        <is>
          <t>VÄRMLANDS LÄN</t>
        </is>
      </c>
      <c r="E1311" t="inlineStr">
        <is>
          <t>TORSBY</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26231-2025</t>
        </is>
      </c>
      <c r="B1312" s="1" t="n">
        <v>45805</v>
      </c>
      <c r="C1312" s="1" t="n">
        <v>45889</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34792-2025</t>
        </is>
      </c>
      <c r="B1313" s="1" t="n">
        <v>45848.70331018518</v>
      </c>
      <c r="C1313" s="1" t="n">
        <v>45889</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9203-2024</t>
        </is>
      </c>
      <c r="B1314" s="1" t="n">
        <v>45358</v>
      </c>
      <c r="C1314" s="1" t="n">
        <v>45889</v>
      </c>
      <c r="D1314" t="inlineStr">
        <is>
          <t>VÄRMLANDS LÄN</t>
        </is>
      </c>
      <c r="E1314" t="inlineStr">
        <is>
          <t>TORSBY</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23996-2024</t>
        </is>
      </c>
      <c r="B1315" s="1" t="n">
        <v>45456</v>
      </c>
      <c r="C1315" s="1" t="n">
        <v>45889</v>
      </c>
      <c r="D1315" t="inlineStr">
        <is>
          <t>VÄRMLANDS LÄN</t>
        </is>
      </c>
      <c r="E1315" t="inlineStr">
        <is>
          <t>TORSBY</t>
        </is>
      </c>
      <c r="F1315" t="inlineStr">
        <is>
          <t>Bergvik skog väst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22426-2024</t>
        </is>
      </c>
      <c r="B1316" s="1" t="n">
        <v>45446</v>
      </c>
      <c r="C1316" s="1" t="n">
        <v>45889</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24148-2024</t>
        </is>
      </c>
      <c r="B1317" s="1" t="n">
        <v>45456</v>
      </c>
      <c r="C1317" s="1" t="n">
        <v>45889</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19575-2025</t>
        </is>
      </c>
      <c r="B1318" s="1" t="n">
        <v>45770.55957175926</v>
      </c>
      <c r="C1318" s="1" t="n">
        <v>45889</v>
      </c>
      <c r="D1318" t="inlineStr">
        <is>
          <t>VÄRMLANDS LÄN</t>
        </is>
      </c>
      <c r="E1318" t="inlineStr">
        <is>
          <t>TORSBY</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26108-2025</t>
        </is>
      </c>
      <c r="B1319" s="1" t="n">
        <v>45805</v>
      </c>
      <c r="C1319" s="1" t="n">
        <v>45889</v>
      </c>
      <c r="D1319" t="inlineStr">
        <is>
          <t>VÄRMLANDS LÄN</t>
        </is>
      </c>
      <c r="E1319" t="inlineStr">
        <is>
          <t>TORSBY</t>
        </is>
      </c>
      <c r="F1319" t="inlineStr">
        <is>
          <t>Bergvik skog väst AB</t>
        </is>
      </c>
      <c r="G1319" t="n">
        <v>22.8</v>
      </c>
      <c r="H1319" t="n">
        <v>0</v>
      </c>
      <c r="I1319" t="n">
        <v>0</v>
      </c>
      <c r="J1319" t="n">
        <v>0</v>
      </c>
      <c r="K1319" t="n">
        <v>0</v>
      </c>
      <c r="L1319" t="n">
        <v>0</v>
      </c>
      <c r="M1319" t="n">
        <v>0</v>
      </c>
      <c r="N1319" t="n">
        <v>0</v>
      </c>
      <c r="O1319" t="n">
        <v>0</v>
      </c>
      <c r="P1319" t="n">
        <v>0</v>
      </c>
      <c r="Q1319" t="n">
        <v>0</v>
      </c>
      <c r="R1319" s="2" t="inlineStr"/>
    </row>
    <row r="1320" ht="15" customHeight="1">
      <c r="A1320" t="inlineStr">
        <is>
          <t>A 26979-2023</t>
        </is>
      </c>
      <c r="B1320" s="1" t="n">
        <v>45091</v>
      </c>
      <c r="C1320" s="1" t="n">
        <v>45889</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13924-2025</t>
        </is>
      </c>
      <c r="B1321" s="1" t="n">
        <v>45737</v>
      </c>
      <c r="C1321" s="1" t="n">
        <v>45889</v>
      </c>
      <c r="D1321" t="inlineStr">
        <is>
          <t>VÄRMLANDS LÄN</t>
        </is>
      </c>
      <c r="E1321" t="inlineStr">
        <is>
          <t>TORSBY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7907-2025</t>
        </is>
      </c>
      <c r="B1322" s="1" t="n">
        <v>45707</v>
      </c>
      <c r="C1322" s="1" t="n">
        <v>45889</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34480-2025</t>
        </is>
      </c>
      <c r="B1323" s="1" t="n">
        <v>45847.37582175926</v>
      </c>
      <c r="C1323" s="1" t="n">
        <v>45889</v>
      </c>
      <c r="D1323" t="inlineStr">
        <is>
          <t>VÄRMLANDS LÄN</t>
        </is>
      </c>
      <c r="E1323" t="inlineStr">
        <is>
          <t>TORSBY</t>
        </is>
      </c>
      <c r="F1323" t="inlineStr">
        <is>
          <t>Övriga Aktiebolag</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34495-2025</t>
        </is>
      </c>
      <c r="B1324" s="1" t="n">
        <v>45847.42686342593</v>
      </c>
      <c r="C1324" s="1" t="n">
        <v>45889</v>
      </c>
      <c r="D1324" t="inlineStr">
        <is>
          <t>VÄRMLANDS LÄN</t>
        </is>
      </c>
      <c r="E1324" t="inlineStr">
        <is>
          <t>TORSBY</t>
        </is>
      </c>
      <c r="F1324" t="inlineStr">
        <is>
          <t>Övriga Aktiebolag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26342-2025</t>
        </is>
      </c>
      <c r="B1325" s="1" t="n">
        <v>45805.70604166666</v>
      </c>
      <c r="C1325" s="1" t="n">
        <v>45889</v>
      </c>
      <c r="D1325" t="inlineStr">
        <is>
          <t>VÄRMLANDS LÄN</t>
        </is>
      </c>
      <c r="E1325" t="inlineStr">
        <is>
          <t>TORSBY</t>
        </is>
      </c>
      <c r="F1325" t="inlineStr">
        <is>
          <t>Bergvik skog väst AB</t>
        </is>
      </c>
      <c r="G1325" t="n">
        <v>13.6</v>
      </c>
      <c r="H1325" t="n">
        <v>0</v>
      </c>
      <c r="I1325" t="n">
        <v>0</v>
      </c>
      <c r="J1325" t="n">
        <v>0</v>
      </c>
      <c r="K1325" t="n">
        <v>0</v>
      </c>
      <c r="L1325" t="n">
        <v>0</v>
      </c>
      <c r="M1325" t="n">
        <v>0</v>
      </c>
      <c r="N1325" t="n">
        <v>0</v>
      </c>
      <c r="O1325" t="n">
        <v>0</v>
      </c>
      <c r="P1325" t="n">
        <v>0</v>
      </c>
      <c r="Q1325" t="n">
        <v>0</v>
      </c>
      <c r="R1325" s="2" t="inlineStr"/>
    </row>
    <row r="1326" ht="15" customHeight="1">
      <c r="A1326" t="inlineStr">
        <is>
          <t>A 42613-2023</t>
        </is>
      </c>
      <c r="B1326" s="1" t="n">
        <v>45181</v>
      </c>
      <c r="C1326" s="1" t="n">
        <v>45889</v>
      </c>
      <c r="D1326" t="inlineStr">
        <is>
          <t>VÄRMLANDS LÄN</t>
        </is>
      </c>
      <c r="E1326" t="inlineStr">
        <is>
          <t>TORSBY</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59236-2023</t>
        </is>
      </c>
      <c r="B1327" s="1" t="n">
        <v>45253</v>
      </c>
      <c r="C1327" s="1" t="n">
        <v>45889</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14120-2025</t>
        </is>
      </c>
      <c r="B1328" s="1" t="n">
        <v>45740</v>
      </c>
      <c r="C1328" s="1" t="n">
        <v>45889</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18855-2024</t>
        </is>
      </c>
      <c r="B1329" s="1" t="n">
        <v>45426.73634259259</v>
      </c>
      <c r="C1329" s="1" t="n">
        <v>45889</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18897-2024</t>
        </is>
      </c>
      <c r="B1330" s="1" t="n">
        <v>45427.34046296297</v>
      </c>
      <c r="C1330" s="1" t="n">
        <v>45889</v>
      </c>
      <c r="D1330" t="inlineStr">
        <is>
          <t>VÄRMLANDS LÄN</t>
        </is>
      </c>
      <c r="E1330" t="inlineStr">
        <is>
          <t>TORSBY</t>
        </is>
      </c>
      <c r="F1330" t="inlineStr">
        <is>
          <t>Övriga statliga verk och myndigheter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15768-2025</t>
        </is>
      </c>
      <c r="B1331" s="1" t="n">
        <v>45748.58782407407</v>
      </c>
      <c r="C1331" s="1" t="n">
        <v>45889</v>
      </c>
      <c r="D1331" t="inlineStr">
        <is>
          <t>VÄRMLANDS LÄN</t>
        </is>
      </c>
      <c r="E1331" t="inlineStr">
        <is>
          <t>TORSBY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54766-2023</t>
        </is>
      </c>
      <c r="B1332" s="1" t="n">
        <v>45236</v>
      </c>
      <c r="C1332" s="1" t="n">
        <v>45889</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44956.79790509259</v>
      </c>
      <c r="C1333" s="1" t="n">
        <v>45889</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20175-2022</t>
        </is>
      </c>
      <c r="B1334" s="1" t="n">
        <v>44698</v>
      </c>
      <c r="C1334" s="1" t="n">
        <v>45889</v>
      </c>
      <c r="D1334" t="inlineStr">
        <is>
          <t>VÄRMLANDS LÄN</t>
        </is>
      </c>
      <c r="E1334" t="inlineStr">
        <is>
          <t>TORSBY</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15460-2022</t>
        </is>
      </c>
      <c r="B1335" s="1" t="n">
        <v>44661</v>
      </c>
      <c r="C1335" s="1" t="n">
        <v>45889</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44150-2023</t>
        </is>
      </c>
      <c r="B1336" s="1" t="n">
        <v>45188.47791666666</v>
      </c>
      <c r="C1336" s="1" t="n">
        <v>45889</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26487-2025</t>
        </is>
      </c>
      <c r="B1337" s="1" t="n">
        <v>45807.47644675926</v>
      </c>
      <c r="C1337" s="1" t="n">
        <v>45889</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30002-2024</t>
        </is>
      </c>
      <c r="B1338" s="1" t="n">
        <v>45488</v>
      </c>
      <c r="C1338" s="1" t="n">
        <v>45889</v>
      </c>
      <c r="D1338" t="inlineStr">
        <is>
          <t>VÄRMLANDS LÄN</t>
        </is>
      </c>
      <c r="E1338" t="inlineStr">
        <is>
          <t>TORSBY</t>
        </is>
      </c>
      <c r="F1338" t="inlineStr">
        <is>
          <t>Kommuner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64432-2023</t>
        </is>
      </c>
      <c r="B1339" s="1" t="n">
        <v>45280.67184027778</v>
      </c>
      <c r="C1339" s="1" t="n">
        <v>45889</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18101-2022</t>
        </is>
      </c>
      <c r="B1340" s="1" t="n">
        <v>44684</v>
      </c>
      <c r="C1340" s="1" t="n">
        <v>45889</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11195-2025</t>
        </is>
      </c>
      <c r="B1341" s="1" t="n">
        <v>45725.85177083333</v>
      </c>
      <c r="C1341" s="1" t="n">
        <v>45889</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60314-2023</t>
        </is>
      </c>
      <c r="B1342" s="1" t="n">
        <v>45258.87101851852</v>
      </c>
      <c r="C1342" s="1" t="n">
        <v>45889</v>
      </c>
      <c r="D1342" t="inlineStr">
        <is>
          <t>VÄRMLANDS LÄN</t>
        </is>
      </c>
      <c r="E1342" t="inlineStr">
        <is>
          <t>TORSBY</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9900-2024</t>
        </is>
      </c>
      <c r="B1343" s="1" t="n">
        <v>45363</v>
      </c>
      <c r="C1343" s="1" t="n">
        <v>45889</v>
      </c>
      <c r="D1343" t="inlineStr">
        <is>
          <t>VÄRMLANDS LÄN</t>
        </is>
      </c>
      <c r="E1343" t="inlineStr">
        <is>
          <t>TORSBY</t>
        </is>
      </c>
      <c r="G1343" t="n">
        <v>13.6</v>
      </c>
      <c r="H1343" t="n">
        <v>0</v>
      </c>
      <c r="I1343" t="n">
        <v>0</v>
      </c>
      <c r="J1343" t="n">
        <v>0</v>
      </c>
      <c r="K1343" t="n">
        <v>0</v>
      </c>
      <c r="L1343" t="n">
        <v>0</v>
      </c>
      <c r="M1343" t="n">
        <v>0</v>
      </c>
      <c r="N1343" t="n">
        <v>0</v>
      </c>
      <c r="O1343" t="n">
        <v>0</v>
      </c>
      <c r="P1343" t="n">
        <v>0</v>
      </c>
      <c r="Q1343" t="n">
        <v>0</v>
      </c>
      <c r="R1343" s="2" t="inlineStr"/>
    </row>
    <row r="1344" ht="15" customHeight="1">
      <c r="A1344" t="inlineStr">
        <is>
          <t>A 18595-2025</t>
        </is>
      </c>
      <c r="B1344" s="1" t="n">
        <v>45763</v>
      </c>
      <c r="C1344" s="1" t="n">
        <v>45889</v>
      </c>
      <c r="D1344" t="inlineStr">
        <is>
          <t>VÄRMLANDS LÄN</t>
        </is>
      </c>
      <c r="E1344" t="inlineStr">
        <is>
          <t>TORSBY</t>
        </is>
      </c>
      <c r="F1344" t="inlineStr">
        <is>
          <t>Kyrkan</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28545-2024</t>
        </is>
      </c>
      <c r="B1345" s="1" t="n">
        <v>45478.3559375</v>
      </c>
      <c r="C1345" s="1" t="n">
        <v>45889</v>
      </c>
      <c r="D1345" t="inlineStr">
        <is>
          <t>VÄRMLANDS LÄN</t>
        </is>
      </c>
      <c r="E1345" t="inlineStr">
        <is>
          <t>TORSBY</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11222-2024</t>
        </is>
      </c>
      <c r="B1346" s="1" t="n">
        <v>45371</v>
      </c>
      <c r="C1346" s="1" t="n">
        <v>45889</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63177-2023</t>
        </is>
      </c>
      <c r="B1347" s="1" t="n">
        <v>45272</v>
      </c>
      <c r="C1347" s="1" t="n">
        <v>45889</v>
      </c>
      <c r="D1347" t="inlineStr">
        <is>
          <t>VÄRMLANDS LÄN</t>
        </is>
      </c>
      <c r="E1347" t="inlineStr">
        <is>
          <t>TORSBY</t>
        </is>
      </c>
      <c r="G1347" t="n">
        <v>14.9</v>
      </c>
      <c r="H1347" t="n">
        <v>0</v>
      </c>
      <c r="I1347" t="n">
        <v>0</v>
      </c>
      <c r="J1347" t="n">
        <v>0</v>
      </c>
      <c r="K1347" t="n">
        <v>0</v>
      </c>
      <c r="L1347" t="n">
        <v>0</v>
      </c>
      <c r="M1347" t="n">
        <v>0</v>
      </c>
      <c r="N1347" t="n">
        <v>0</v>
      </c>
      <c r="O1347" t="n">
        <v>0</v>
      </c>
      <c r="P1347" t="n">
        <v>0</v>
      </c>
      <c r="Q1347" t="n">
        <v>0</v>
      </c>
      <c r="R1347" s="2" t="inlineStr"/>
    </row>
    <row r="1348" ht="15" customHeight="1">
      <c r="A1348" t="inlineStr">
        <is>
          <t>A 16498-2022</t>
        </is>
      </c>
      <c r="B1348" s="1" t="n">
        <v>44671</v>
      </c>
      <c r="C1348" s="1" t="n">
        <v>45889</v>
      </c>
      <c r="D1348" t="inlineStr">
        <is>
          <t>VÄRMLANDS LÄN</t>
        </is>
      </c>
      <c r="E1348" t="inlineStr">
        <is>
          <t>TORSBY</t>
        </is>
      </c>
      <c r="F1348" t="inlineStr">
        <is>
          <t>Kommuner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63266-2023</t>
        </is>
      </c>
      <c r="B1349" s="1" t="n">
        <v>45273.741875</v>
      </c>
      <c r="C1349" s="1" t="n">
        <v>45889</v>
      </c>
      <c r="D1349" t="inlineStr">
        <is>
          <t>VÄRMLANDS LÄN</t>
        </is>
      </c>
      <c r="E1349" t="inlineStr">
        <is>
          <t>TORSBY</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61157-2023</t>
        </is>
      </c>
      <c r="B1350" s="1" t="n">
        <v>45261.98796296296</v>
      </c>
      <c r="C1350" s="1" t="n">
        <v>45889</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26876-2024</t>
        </is>
      </c>
      <c r="B1351" s="1" t="n">
        <v>45470.62181712963</v>
      </c>
      <c r="C1351" s="1" t="n">
        <v>45889</v>
      </c>
      <c r="D1351" t="inlineStr">
        <is>
          <t>VÄRMLANDS LÄN</t>
        </is>
      </c>
      <c r="E1351" t="inlineStr">
        <is>
          <t>TORSBY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56724-2023</t>
        </is>
      </c>
      <c r="B1352" s="1" t="n">
        <v>45244.3393287037</v>
      </c>
      <c r="C1352" s="1" t="n">
        <v>45889</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26607-2025</t>
        </is>
      </c>
      <c r="B1353" s="1" t="n">
        <v>45809.92239583333</v>
      </c>
      <c r="C1353" s="1" t="n">
        <v>45889</v>
      </c>
      <c r="D1353" t="inlineStr">
        <is>
          <t>VÄRMLANDS LÄN</t>
        </is>
      </c>
      <c r="E1353" t="inlineStr">
        <is>
          <t>TORSBY</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55031-2023</t>
        </is>
      </c>
      <c r="B1354" s="1" t="n">
        <v>45237.34733796296</v>
      </c>
      <c r="C1354" s="1" t="n">
        <v>45889</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29921-2022</t>
        </is>
      </c>
      <c r="B1355" s="1" t="n">
        <v>44756</v>
      </c>
      <c r="C1355" s="1" t="n">
        <v>45889</v>
      </c>
      <c r="D1355" t="inlineStr">
        <is>
          <t>VÄRMLANDS LÄN</t>
        </is>
      </c>
      <c r="E1355" t="inlineStr">
        <is>
          <t>TORSBY</t>
        </is>
      </c>
      <c r="F1355" t="inlineStr">
        <is>
          <t>Kommuner</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46152-2024</t>
        </is>
      </c>
      <c r="B1356" s="1" t="n">
        <v>45581</v>
      </c>
      <c r="C1356" s="1" t="n">
        <v>45889</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26822-2025</t>
        </is>
      </c>
      <c r="B1357" s="1" t="n">
        <v>45810</v>
      </c>
      <c r="C1357" s="1" t="n">
        <v>45889</v>
      </c>
      <c r="D1357" t="inlineStr">
        <is>
          <t>VÄRMLANDS LÄN</t>
        </is>
      </c>
      <c r="E1357" t="inlineStr">
        <is>
          <t>TORSBY</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26418-2025</t>
        </is>
      </c>
      <c r="B1358" s="1" t="n">
        <v>45807.36436342593</v>
      </c>
      <c r="C1358" s="1" t="n">
        <v>45889</v>
      </c>
      <c r="D1358" t="inlineStr">
        <is>
          <t>VÄRMLANDS LÄN</t>
        </is>
      </c>
      <c r="E1358" t="inlineStr">
        <is>
          <t>TORSBY</t>
        </is>
      </c>
      <c r="F1358" t="inlineStr">
        <is>
          <t>Bergvik skog väst AB</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56970-2023</t>
        </is>
      </c>
      <c r="B1359" s="1" t="n">
        <v>45244.63689814815</v>
      </c>
      <c r="C1359" s="1" t="n">
        <v>45889</v>
      </c>
      <c r="D1359" t="inlineStr">
        <is>
          <t>VÄRMLANDS LÄN</t>
        </is>
      </c>
      <c r="E1359" t="inlineStr">
        <is>
          <t>TORSBY</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1040-2024</t>
        </is>
      </c>
      <c r="B1360" s="1" t="n">
        <v>45301</v>
      </c>
      <c r="C1360" s="1" t="n">
        <v>45889</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26564-2025</t>
        </is>
      </c>
      <c r="B1361" s="1" t="n">
        <v>45807.66306712963</v>
      </c>
      <c r="C1361" s="1" t="n">
        <v>45889</v>
      </c>
      <c r="D1361" t="inlineStr">
        <is>
          <t>VÄRMLANDS LÄN</t>
        </is>
      </c>
      <c r="E1361" t="inlineStr">
        <is>
          <t>TORSBY</t>
        </is>
      </c>
      <c r="F1361" t="inlineStr">
        <is>
          <t>Bergvik skog väst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56716-2023</t>
        </is>
      </c>
      <c r="B1362" s="1" t="n">
        <v>45238</v>
      </c>
      <c r="C1362" s="1" t="n">
        <v>45889</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31547-2023</t>
        </is>
      </c>
      <c r="B1363" s="1" t="n">
        <v>45117</v>
      </c>
      <c r="C1363" s="1" t="n">
        <v>45889</v>
      </c>
      <c r="D1363" t="inlineStr">
        <is>
          <t>VÄRMLANDS LÄN</t>
        </is>
      </c>
      <c r="E1363" t="inlineStr">
        <is>
          <t>TORSBY</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26479-2025</t>
        </is>
      </c>
      <c r="B1364" s="1" t="n">
        <v>45807.47021990741</v>
      </c>
      <c r="C1364" s="1" t="n">
        <v>45889</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26491-2025</t>
        </is>
      </c>
      <c r="B1365" s="1" t="n">
        <v>45807.48939814815</v>
      </c>
      <c r="C1365" s="1" t="n">
        <v>45889</v>
      </c>
      <c r="D1365" t="inlineStr">
        <is>
          <t>VÄRMLANDS LÄN</t>
        </is>
      </c>
      <c r="E1365" t="inlineStr">
        <is>
          <t>TORSBY</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26507-2025</t>
        </is>
      </c>
      <c r="B1366" s="1" t="n">
        <v>45807.52539351852</v>
      </c>
      <c r="C1366" s="1" t="n">
        <v>45889</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26533-2025</t>
        </is>
      </c>
      <c r="B1367" s="1" t="n">
        <v>45807.57259259259</v>
      </c>
      <c r="C1367" s="1" t="n">
        <v>45889</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14945-2023</t>
        </is>
      </c>
      <c r="B1368" s="1" t="n">
        <v>45014</v>
      </c>
      <c r="C1368" s="1" t="n">
        <v>45889</v>
      </c>
      <c r="D1368" t="inlineStr">
        <is>
          <t>VÄRMLANDS LÄN</t>
        </is>
      </c>
      <c r="E1368" t="inlineStr">
        <is>
          <t>TORSBY</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43144-2024</t>
        </is>
      </c>
      <c r="B1369" s="1" t="n">
        <v>45567</v>
      </c>
      <c r="C1369" s="1" t="n">
        <v>45889</v>
      </c>
      <c r="D1369" t="inlineStr">
        <is>
          <t>VÄRMLANDS LÄN</t>
        </is>
      </c>
      <c r="E1369" t="inlineStr">
        <is>
          <t>TORSBY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34997-2025</t>
        </is>
      </c>
      <c r="B1370" s="1" t="n">
        <v>45849.87340277778</v>
      </c>
      <c r="C1370" s="1" t="n">
        <v>45889</v>
      </c>
      <c r="D1370" t="inlineStr">
        <is>
          <t>VÄRMLANDS LÄN</t>
        </is>
      </c>
      <c r="E1370" t="inlineStr">
        <is>
          <t>TORSBY</t>
        </is>
      </c>
      <c r="G1370" t="n">
        <v>24.4</v>
      </c>
      <c r="H1370" t="n">
        <v>0</v>
      </c>
      <c r="I1370" t="n">
        <v>0</v>
      </c>
      <c r="J1370" t="n">
        <v>0</v>
      </c>
      <c r="K1370" t="n">
        <v>0</v>
      </c>
      <c r="L1370" t="n">
        <v>0</v>
      </c>
      <c r="M1370" t="n">
        <v>0</v>
      </c>
      <c r="N1370" t="n">
        <v>0</v>
      </c>
      <c r="O1370" t="n">
        <v>0</v>
      </c>
      <c r="P1370" t="n">
        <v>0</v>
      </c>
      <c r="Q1370" t="n">
        <v>0</v>
      </c>
      <c r="R1370" s="2" t="inlineStr"/>
    </row>
    <row r="1371" ht="15" customHeight="1">
      <c r="A1371" t="inlineStr">
        <is>
          <t>A 24087-2024</t>
        </is>
      </c>
      <c r="B1371" s="1" t="n">
        <v>45456</v>
      </c>
      <c r="C1371" s="1" t="n">
        <v>45889</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4479-2021</t>
        </is>
      </c>
      <c r="B1372" s="1" t="n">
        <v>44224</v>
      </c>
      <c r="C1372" s="1" t="n">
        <v>45889</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4522-2021</t>
        </is>
      </c>
      <c r="B1373" s="1" t="n">
        <v>44224</v>
      </c>
      <c r="C1373" s="1" t="n">
        <v>45889</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16380-2025</t>
        </is>
      </c>
      <c r="B1374" s="1" t="n">
        <v>45751</v>
      </c>
      <c r="C1374" s="1" t="n">
        <v>45889</v>
      </c>
      <c r="D1374" t="inlineStr">
        <is>
          <t>VÄRMLANDS LÄN</t>
        </is>
      </c>
      <c r="E1374" t="inlineStr">
        <is>
          <t>TORSBY</t>
        </is>
      </c>
      <c r="F1374" t="inlineStr">
        <is>
          <t>Bergvik skog väst AB</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25956-2025</t>
        </is>
      </c>
      <c r="B1375" s="1" t="n">
        <v>45804</v>
      </c>
      <c r="C1375" s="1" t="n">
        <v>45889</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1042-2024</t>
        </is>
      </c>
      <c r="B1376" s="1" t="n">
        <v>45301</v>
      </c>
      <c r="C1376" s="1" t="n">
        <v>45889</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36239-2023</t>
        </is>
      </c>
      <c r="B1377" s="1" t="n">
        <v>45150</v>
      </c>
      <c r="C1377" s="1" t="n">
        <v>45889</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41781-2022</t>
        </is>
      </c>
      <c r="B1378" s="1" t="n">
        <v>44827.70537037037</v>
      </c>
      <c r="C1378" s="1" t="n">
        <v>45889</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34846-2025</t>
        </is>
      </c>
      <c r="B1379" s="1" t="n">
        <v>45849.41454861111</v>
      </c>
      <c r="C1379" s="1" t="n">
        <v>45889</v>
      </c>
      <c r="D1379" t="inlineStr">
        <is>
          <t>VÄRMLANDS LÄN</t>
        </is>
      </c>
      <c r="E1379" t="inlineStr">
        <is>
          <t>TORSBY</t>
        </is>
      </c>
      <c r="F1379" t="inlineStr">
        <is>
          <t>Bergvik skog väst AB</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754-2025</t>
        </is>
      </c>
      <c r="B1380" s="1" t="n">
        <v>45665</v>
      </c>
      <c r="C1380" s="1" t="n">
        <v>45889</v>
      </c>
      <c r="D1380" t="inlineStr">
        <is>
          <t>VÄRMLANDS LÄN</t>
        </is>
      </c>
      <c r="E1380" t="inlineStr">
        <is>
          <t>TORSBY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15465-2024</t>
        </is>
      </c>
      <c r="B1381" s="1" t="n">
        <v>45401.47399305556</v>
      </c>
      <c r="C1381" s="1" t="n">
        <v>45889</v>
      </c>
      <c r="D1381" t="inlineStr">
        <is>
          <t>VÄRMLANDS LÄN</t>
        </is>
      </c>
      <c r="E1381" t="inlineStr">
        <is>
          <t>TORSBY</t>
        </is>
      </c>
      <c r="F1381" t="inlineStr">
        <is>
          <t>Bergvik skog väst AB</t>
        </is>
      </c>
      <c r="G1381" t="n">
        <v>24.6</v>
      </c>
      <c r="H1381" t="n">
        <v>0</v>
      </c>
      <c r="I1381" t="n">
        <v>0</v>
      </c>
      <c r="J1381" t="n">
        <v>0</v>
      </c>
      <c r="K1381" t="n">
        <v>0</v>
      </c>
      <c r="L1381" t="n">
        <v>0</v>
      </c>
      <c r="M1381" t="n">
        <v>0</v>
      </c>
      <c r="N1381" t="n">
        <v>0</v>
      </c>
      <c r="O1381" t="n">
        <v>0</v>
      </c>
      <c r="P1381" t="n">
        <v>0</v>
      </c>
      <c r="Q1381" t="n">
        <v>0</v>
      </c>
      <c r="R1381" s="2" t="inlineStr"/>
    </row>
    <row r="1382" ht="15" customHeight="1">
      <c r="A1382" t="inlineStr">
        <is>
          <t>A 56107-2024</t>
        </is>
      </c>
      <c r="B1382" s="1" t="n">
        <v>45624.44055555556</v>
      </c>
      <c r="C1382" s="1" t="n">
        <v>45889</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55836-2024</t>
        </is>
      </c>
      <c r="B1383" s="1" t="n">
        <v>45623.49150462963</v>
      </c>
      <c r="C1383" s="1" t="n">
        <v>45889</v>
      </c>
      <c r="D1383" t="inlineStr">
        <is>
          <t>VÄRMLANDS LÄN</t>
        </is>
      </c>
      <c r="E1383" t="inlineStr">
        <is>
          <t>TORSBY</t>
        </is>
      </c>
      <c r="F1383" t="inlineStr">
        <is>
          <t>Kommuner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26504-2025</t>
        </is>
      </c>
      <c r="B1384" s="1" t="n">
        <v>45807.519375</v>
      </c>
      <c r="C1384" s="1" t="n">
        <v>45889</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26505-2025</t>
        </is>
      </c>
      <c r="B1385" s="1" t="n">
        <v>45807.52231481481</v>
      </c>
      <c r="C1385" s="1" t="n">
        <v>45889</v>
      </c>
      <c r="D1385" t="inlineStr">
        <is>
          <t>VÄRMLANDS LÄN</t>
        </is>
      </c>
      <c r="E1385" t="inlineStr">
        <is>
          <t>TORSBY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26511-2025</t>
        </is>
      </c>
      <c r="B1386" s="1" t="n">
        <v>45807.54571759259</v>
      </c>
      <c r="C1386" s="1" t="n">
        <v>45889</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60383-2024</t>
        </is>
      </c>
      <c r="B1387" s="1" t="n">
        <v>45643.47674768518</v>
      </c>
      <c r="C1387" s="1" t="n">
        <v>45889</v>
      </c>
      <c r="D1387" t="inlineStr">
        <is>
          <t>VÄRMLANDS LÄN</t>
        </is>
      </c>
      <c r="E1387" t="inlineStr">
        <is>
          <t>TORSBY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60386-2024</t>
        </is>
      </c>
      <c r="B1388" s="1" t="n">
        <v>45643</v>
      </c>
      <c r="C1388" s="1" t="n">
        <v>45889</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58013-2023</t>
        </is>
      </c>
      <c r="B1389" s="1" t="n">
        <v>45247.62346064814</v>
      </c>
      <c r="C1389" s="1" t="n">
        <v>45889</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26563-2025</t>
        </is>
      </c>
      <c r="B1390" s="1" t="n">
        <v>45807.65767361111</v>
      </c>
      <c r="C1390" s="1" t="n">
        <v>45889</v>
      </c>
      <c r="D1390" t="inlineStr">
        <is>
          <t>VÄRMLANDS LÄN</t>
        </is>
      </c>
      <c r="E1390" t="inlineStr">
        <is>
          <t>TORSBY</t>
        </is>
      </c>
      <c r="F1390" t="inlineStr">
        <is>
          <t>Bergvik skog väst AB</t>
        </is>
      </c>
      <c r="G1390" t="n">
        <v>19.5</v>
      </c>
      <c r="H1390" t="n">
        <v>0</v>
      </c>
      <c r="I1390" t="n">
        <v>0</v>
      </c>
      <c r="J1390" t="n">
        <v>0</v>
      </c>
      <c r="K1390" t="n">
        <v>0</v>
      </c>
      <c r="L1390" t="n">
        <v>0</v>
      </c>
      <c r="M1390" t="n">
        <v>0</v>
      </c>
      <c r="N1390" t="n">
        <v>0</v>
      </c>
      <c r="O1390" t="n">
        <v>0</v>
      </c>
      <c r="P1390" t="n">
        <v>0</v>
      </c>
      <c r="Q1390" t="n">
        <v>0</v>
      </c>
      <c r="R1390" s="2" t="inlineStr"/>
    </row>
    <row r="1391" ht="15" customHeight="1">
      <c r="A1391" t="inlineStr">
        <is>
          <t>A 36674-2023</t>
        </is>
      </c>
      <c r="B1391" s="1" t="n">
        <v>45153.5908912037</v>
      </c>
      <c r="C1391" s="1" t="n">
        <v>45889</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26539-2025</t>
        </is>
      </c>
      <c r="B1392" s="1" t="n">
        <v>45807.58127314815</v>
      </c>
      <c r="C1392" s="1" t="n">
        <v>45889</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26890-2025</t>
        </is>
      </c>
      <c r="B1393" s="1" t="n">
        <v>45811</v>
      </c>
      <c r="C1393" s="1" t="n">
        <v>45889</v>
      </c>
      <c r="D1393" t="inlineStr">
        <is>
          <t>VÄRMLANDS LÄN</t>
        </is>
      </c>
      <c r="E1393" t="inlineStr">
        <is>
          <t>TORSBY</t>
        </is>
      </c>
      <c r="F1393" t="inlineStr">
        <is>
          <t>Bergvik skog väst AB</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37623-2023</t>
        </is>
      </c>
      <c r="B1394" s="1" t="n">
        <v>45159.45560185185</v>
      </c>
      <c r="C1394" s="1" t="n">
        <v>45889</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2321-2021</t>
        </is>
      </c>
      <c r="B1395" s="1" t="n">
        <v>44214</v>
      </c>
      <c r="C1395" s="1" t="n">
        <v>45889</v>
      </c>
      <c r="D1395" t="inlineStr">
        <is>
          <t>VÄRMLANDS LÄN</t>
        </is>
      </c>
      <c r="E1395" t="inlineStr">
        <is>
          <t>TORSBY</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35334-2025</t>
        </is>
      </c>
      <c r="B1396" s="1" t="n">
        <v>45854.57973379629</v>
      </c>
      <c r="C1396" s="1" t="n">
        <v>45889</v>
      </c>
      <c r="D1396" t="inlineStr">
        <is>
          <t>VÄRMLANDS LÄN</t>
        </is>
      </c>
      <c r="E1396" t="inlineStr">
        <is>
          <t>TORSBY</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20898-2023</t>
        </is>
      </c>
      <c r="B1397" s="1" t="n">
        <v>45059</v>
      </c>
      <c r="C1397" s="1" t="n">
        <v>45889</v>
      </c>
      <c r="D1397" t="inlineStr">
        <is>
          <t>VÄRMLANDS LÄN</t>
        </is>
      </c>
      <c r="E1397" t="inlineStr">
        <is>
          <t>TORSBY</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26892-2025</t>
        </is>
      </c>
      <c r="B1398" s="1" t="n">
        <v>45811.3334837963</v>
      </c>
      <c r="C1398" s="1" t="n">
        <v>45889</v>
      </c>
      <c r="D1398" t="inlineStr">
        <is>
          <t>VÄRMLANDS LÄN</t>
        </is>
      </c>
      <c r="E1398" t="inlineStr">
        <is>
          <t>TORSBY</t>
        </is>
      </c>
      <c r="F1398" t="inlineStr">
        <is>
          <t>Bergvik skog väst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38882-2022</t>
        </is>
      </c>
      <c r="B1399" s="1" t="n">
        <v>44816.565625</v>
      </c>
      <c r="C1399" s="1" t="n">
        <v>45889</v>
      </c>
      <c r="D1399" t="inlineStr">
        <is>
          <t>VÄRMLANDS LÄN</t>
        </is>
      </c>
      <c r="E1399" t="inlineStr">
        <is>
          <t>TORSBY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59872-2023</t>
        </is>
      </c>
      <c r="B1400" s="1" t="n">
        <v>45257.58666666667</v>
      </c>
      <c r="C1400" s="1" t="n">
        <v>45889</v>
      </c>
      <c r="D1400" t="inlineStr">
        <is>
          <t>VÄRMLANDS LÄN</t>
        </is>
      </c>
      <c r="E1400" t="inlineStr">
        <is>
          <t>TORSBY</t>
        </is>
      </c>
      <c r="F1400" t="inlineStr">
        <is>
          <t>Bergvik skog väst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26898-2025</t>
        </is>
      </c>
      <c r="B1401" s="1" t="n">
        <v>45811</v>
      </c>
      <c r="C1401" s="1" t="n">
        <v>45889</v>
      </c>
      <c r="D1401" t="inlineStr">
        <is>
          <t>VÄRMLANDS LÄN</t>
        </is>
      </c>
      <c r="E1401" t="inlineStr">
        <is>
          <t>TORSBY</t>
        </is>
      </c>
      <c r="F1401" t="inlineStr">
        <is>
          <t>Övriga Aktiebolag</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26960-2025</t>
        </is>
      </c>
      <c r="B1402" s="1" t="n">
        <v>45811.46167824074</v>
      </c>
      <c r="C1402" s="1" t="n">
        <v>45889</v>
      </c>
      <c r="D1402" t="inlineStr">
        <is>
          <t>VÄRMLANDS LÄN</t>
        </is>
      </c>
      <c r="E1402" t="inlineStr">
        <is>
          <t>TORSBY</t>
        </is>
      </c>
      <c r="F1402" t="inlineStr">
        <is>
          <t>Kyrkan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52078-2023</t>
        </is>
      </c>
      <c r="B1403" s="1" t="n">
        <v>45223</v>
      </c>
      <c r="C1403" s="1" t="n">
        <v>45889</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13586-2023</t>
        </is>
      </c>
      <c r="B1404" s="1" t="n">
        <v>45006</v>
      </c>
      <c r="C1404" s="1" t="n">
        <v>45889</v>
      </c>
      <c r="D1404" t="inlineStr">
        <is>
          <t>VÄRMLANDS LÄN</t>
        </is>
      </c>
      <c r="E1404" t="inlineStr">
        <is>
          <t>TORSBY</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27093-2025</t>
        </is>
      </c>
      <c r="B1405" s="1" t="n">
        <v>45811.67347222222</v>
      </c>
      <c r="C1405" s="1" t="n">
        <v>45889</v>
      </c>
      <c r="D1405" t="inlineStr">
        <is>
          <t>VÄRMLANDS LÄN</t>
        </is>
      </c>
      <c r="E1405" t="inlineStr">
        <is>
          <t>TORSBY</t>
        </is>
      </c>
      <c r="F1405" t="inlineStr">
        <is>
          <t>Bergvik skog väst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7215-2025</t>
        </is>
      </c>
      <c r="B1406" s="1" t="n">
        <v>45702</v>
      </c>
      <c r="C1406" s="1" t="n">
        <v>45889</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24630-2024</t>
        </is>
      </c>
      <c r="B1407" s="1" t="n">
        <v>45460.51149305556</v>
      </c>
      <c r="C1407" s="1" t="n">
        <v>45889</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27174-2025</t>
        </is>
      </c>
      <c r="B1408" s="1" t="n">
        <v>45812.34997685185</v>
      </c>
      <c r="C1408" s="1" t="n">
        <v>45889</v>
      </c>
      <c r="D1408" t="inlineStr">
        <is>
          <t>VÄRMLANDS LÄN</t>
        </is>
      </c>
      <c r="E1408" t="inlineStr">
        <is>
          <t>TORSBY</t>
        </is>
      </c>
      <c r="F1408" t="inlineStr">
        <is>
          <t>Kyrkan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35191-2025</t>
        </is>
      </c>
      <c r="B1409" s="1" t="n">
        <v>45853.3469675926</v>
      </c>
      <c r="C1409" s="1" t="n">
        <v>45889</v>
      </c>
      <c r="D1409" t="inlineStr">
        <is>
          <t>VÄRMLANDS LÄN</t>
        </is>
      </c>
      <c r="E1409" t="inlineStr">
        <is>
          <t>TORSBY</t>
        </is>
      </c>
      <c r="F1409" t="inlineStr">
        <is>
          <t>Bergvik skog väst AB</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27043-2025</t>
        </is>
      </c>
      <c r="B1410" s="1" t="n">
        <v>45811.61342592593</v>
      </c>
      <c r="C1410" s="1" t="n">
        <v>45889</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27291-2025</t>
        </is>
      </c>
      <c r="B1411" s="1" t="n">
        <v>45812.55769675926</v>
      </c>
      <c r="C1411" s="1" t="n">
        <v>45889</v>
      </c>
      <c r="D1411" t="inlineStr">
        <is>
          <t>VÄRMLANDS LÄN</t>
        </is>
      </c>
      <c r="E1411" t="inlineStr">
        <is>
          <t>TORSBY</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27056-2025</t>
        </is>
      </c>
      <c r="B1412" s="1" t="n">
        <v>45811.63118055555</v>
      </c>
      <c r="C1412" s="1" t="n">
        <v>45889</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10587-2024</t>
        </is>
      </c>
      <c r="B1413" s="1" t="n">
        <v>45366</v>
      </c>
      <c r="C1413" s="1" t="n">
        <v>45889</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27094-2025</t>
        </is>
      </c>
      <c r="B1414" s="1" t="n">
        <v>45811.6766087963</v>
      </c>
      <c r="C1414" s="1" t="n">
        <v>45889</v>
      </c>
      <c r="D1414" t="inlineStr">
        <is>
          <t>VÄRMLANDS LÄN</t>
        </is>
      </c>
      <c r="E1414" t="inlineStr">
        <is>
          <t>TORSBY</t>
        </is>
      </c>
      <c r="F1414" t="inlineStr">
        <is>
          <t>Bergvik skog väst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27149-2025</t>
        </is>
      </c>
      <c r="B1415" s="1" t="n">
        <v>45812.31924768518</v>
      </c>
      <c r="C1415" s="1" t="n">
        <v>45889</v>
      </c>
      <c r="D1415" t="inlineStr">
        <is>
          <t>VÄRMLANDS LÄN</t>
        </is>
      </c>
      <c r="E1415" t="inlineStr">
        <is>
          <t>TORSBY</t>
        </is>
      </c>
      <c r="F1415" t="inlineStr">
        <is>
          <t>Bergvik skog väst AB</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33620-2024</t>
        </is>
      </c>
      <c r="B1416" s="1" t="n">
        <v>45520.41530092592</v>
      </c>
      <c r="C1416" s="1" t="n">
        <v>45889</v>
      </c>
      <c r="D1416" t="inlineStr">
        <is>
          <t>VÄRMLANDS LÄN</t>
        </is>
      </c>
      <c r="E1416" t="inlineStr">
        <is>
          <t>TORSBY</t>
        </is>
      </c>
      <c r="F1416" t="inlineStr">
        <is>
          <t>Bergvik skog väst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59941-2023</t>
        </is>
      </c>
      <c r="B1417" s="1" t="n">
        <v>45257.67721064815</v>
      </c>
      <c r="C1417" s="1" t="n">
        <v>45889</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26897-2025</t>
        </is>
      </c>
      <c r="B1418" s="1" t="n">
        <v>45811.34108796297</v>
      </c>
      <c r="C1418" s="1" t="n">
        <v>45889</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47694-2022</t>
        </is>
      </c>
      <c r="B1419" s="1" t="n">
        <v>44854</v>
      </c>
      <c r="C1419" s="1" t="n">
        <v>45889</v>
      </c>
      <c r="D1419" t="inlineStr">
        <is>
          <t>VÄRMLANDS LÄN</t>
        </is>
      </c>
      <c r="E1419" t="inlineStr">
        <is>
          <t>TORSBY</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35185-2025</t>
        </is>
      </c>
      <c r="B1420" s="1" t="n">
        <v>45853.30383101852</v>
      </c>
      <c r="C1420" s="1" t="n">
        <v>45889</v>
      </c>
      <c r="D1420" t="inlineStr">
        <is>
          <t>VÄRMLANDS LÄN</t>
        </is>
      </c>
      <c r="E1420" t="inlineStr">
        <is>
          <t>TORSBY</t>
        </is>
      </c>
      <c r="F1420" t="inlineStr">
        <is>
          <t>Bergvik skog väst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35194-2025</t>
        </is>
      </c>
      <c r="B1421" s="1" t="n">
        <v>45853.35740740741</v>
      </c>
      <c r="C1421" s="1" t="n">
        <v>45889</v>
      </c>
      <c r="D1421" t="inlineStr">
        <is>
          <t>VÄRMLANDS LÄN</t>
        </is>
      </c>
      <c r="E1421" t="inlineStr">
        <is>
          <t>TORSBY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27116-2025</t>
        </is>
      </c>
      <c r="B1422" s="1" t="n">
        <v>45811.74233796296</v>
      </c>
      <c r="C1422" s="1" t="n">
        <v>45889</v>
      </c>
      <c r="D1422" t="inlineStr">
        <is>
          <t>VÄRMLANDS LÄN</t>
        </is>
      </c>
      <c r="E1422" t="inlineStr">
        <is>
          <t>TORSBY</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15169-2025</t>
        </is>
      </c>
      <c r="B1423" s="1" t="n">
        <v>45744</v>
      </c>
      <c r="C1423" s="1" t="n">
        <v>45889</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51199-2023</t>
        </is>
      </c>
      <c r="B1424" s="1" t="n">
        <v>45219.42247685185</v>
      </c>
      <c r="C1424" s="1" t="n">
        <v>45889</v>
      </c>
      <c r="D1424" t="inlineStr">
        <is>
          <t>VÄRMLANDS LÄN</t>
        </is>
      </c>
      <c r="E1424" t="inlineStr">
        <is>
          <t>TORSBY</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57990-2023</t>
        </is>
      </c>
      <c r="B1425" s="1" t="n">
        <v>45247.60293981482</v>
      </c>
      <c r="C1425" s="1" t="n">
        <v>45889</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27728-2025</t>
        </is>
      </c>
      <c r="B1426" s="1" t="n">
        <v>45814</v>
      </c>
      <c r="C1426" s="1" t="n">
        <v>45889</v>
      </c>
      <c r="D1426" t="inlineStr">
        <is>
          <t>VÄRMLANDS LÄN</t>
        </is>
      </c>
      <c r="E1426" t="inlineStr">
        <is>
          <t>TORSBY</t>
        </is>
      </c>
      <c r="F1426" t="inlineStr">
        <is>
          <t>Bergvik skog väst AB</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55811-2021</t>
        </is>
      </c>
      <c r="B1427" s="1" t="n">
        <v>44476</v>
      </c>
      <c r="C1427" s="1" t="n">
        <v>45889</v>
      </c>
      <c r="D1427" t="inlineStr">
        <is>
          <t>VÄRMLANDS LÄN</t>
        </is>
      </c>
      <c r="E1427" t="inlineStr">
        <is>
          <t>TORSBY</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50138-2023</t>
        </is>
      </c>
      <c r="B1428" s="1" t="n">
        <v>45215.66738425926</v>
      </c>
      <c r="C1428" s="1" t="n">
        <v>45889</v>
      </c>
      <c r="D1428" t="inlineStr">
        <is>
          <t>VÄRMLANDS LÄN</t>
        </is>
      </c>
      <c r="E1428" t="inlineStr">
        <is>
          <t>TORSBY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51144-2023</t>
        </is>
      </c>
      <c r="B1429" s="1" t="n">
        <v>45212</v>
      </c>
      <c r="C1429" s="1" t="n">
        <v>45889</v>
      </c>
      <c r="D1429" t="inlineStr">
        <is>
          <t>VÄRMLANDS LÄN</t>
        </is>
      </c>
      <c r="E1429" t="inlineStr">
        <is>
          <t>TORSBY</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27450-2025</t>
        </is>
      </c>
      <c r="B1430" s="1" t="n">
        <v>45813.33738425926</v>
      </c>
      <c r="C1430" s="1" t="n">
        <v>45889</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27674-2025</t>
        </is>
      </c>
      <c r="B1431" s="1" t="n">
        <v>45813.62936342593</v>
      </c>
      <c r="C1431" s="1" t="n">
        <v>45889</v>
      </c>
      <c r="D1431" t="inlineStr">
        <is>
          <t>VÄRMLANDS LÄN</t>
        </is>
      </c>
      <c r="E1431" t="inlineStr">
        <is>
          <t>TORSBY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11842-2025</t>
        </is>
      </c>
      <c r="B1432" s="1" t="n">
        <v>45728.36950231482</v>
      </c>
      <c r="C1432" s="1" t="n">
        <v>45889</v>
      </c>
      <c r="D1432" t="inlineStr">
        <is>
          <t>VÄRMLANDS LÄN</t>
        </is>
      </c>
      <c r="E1432" t="inlineStr">
        <is>
          <t>TORSBY</t>
        </is>
      </c>
      <c r="F1432" t="inlineStr">
        <is>
          <t>Bergvik skog väst AB</t>
        </is>
      </c>
      <c r="G1432" t="n">
        <v>32.1</v>
      </c>
      <c r="H1432" t="n">
        <v>0</v>
      </c>
      <c r="I1432" t="n">
        <v>0</v>
      </c>
      <c r="J1432" t="n">
        <v>0</v>
      </c>
      <c r="K1432" t="n">
        <v>0</v>
      </c>
      <c r="L1432" t="n">
        <v>0</v>
      </c>
      <c r="M1432" t="n">
        <v>0</v>
      </c>
      <c r="N1432" t="n">
        <v>0</v>
      </c>
      <c r="O1432" t="n">
        <v>0</v>
      </c>
      <c r="P1432" t="n">
        <v>0</v>
      </c>
      <c r="Q1432" t="n">
        <v>0</v>
      </c>
      <c r="R1432" s="2" t="inlineStr"/>
    </row>
    <row r="1433" ht="15" customHeight="1">
      <c r="A1433" t="inlineStr">
        <is>
          <t>A 14367-2025</t>
        </is>
      </c>
      <c r="B1433" s="1" t="n">
        <v>45741.38988425926</v>
      </c>
      <c r="C1433" s="1" t="n">
        <v>45889</v>
      </c>
      <c r="D1433" t="inlineStr">
        <is>
          <t>VÄRMLANDS LÄN</t>
        </is>
      </c>
      <c r="E1433" t="inlineStr">
        <is>
          <t>TORSBY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14419-2025</t>
        </is>
      </c>
      <c r="B1434" s="1" t="n">
        <v>45741</v>
      </c>
      <c r="C1434" s="1" t="n">
        <v>45889</v>
      </c>
      <c r="D1434" t="inlineStr">
        <is>
          <t>VÄRMLANDS LÄN</t>
        </is>
      </c>
      <c r="E1434" t="inlineStr">
        <is>
          <t>TORSBY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27223-2022</t>
        </is>
      </c>
      <c r="B1435" s="1" t="n">
        <v>44741</v>
      </c>
      <c r="C1435" s="1" t="n">
        <v>45889</v>
      </c>
      <c r="D1435" t="inlineStr">
        <is>
          <t>VÄRMLANDS LÄN</t>
        </is>
      </c>
      <c r="E1435" t="inlineStr">
        <is>
          <t>TORSBY</t>
        </is>
      </c>
      <c r="F1435" t="inlineStr">
        <is>
          <t>Bergvik skog väst AB</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20633-2024</t>
        </is>
      </c>
      <c r="B1436" s="1" t="n">
        <v>45436</v>
      </c>
      <c r="C1436" s="1" t="n">
        <v>45889</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35132-2022</t>
        </is>
      </c>
      <c r="B1437" s="1" t="n">
        <v>44797</v>
      </c>
      <c r="C1437" s="1" t="n">
        <v>45889</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4510-2023</t>
        </is>
      </c>
      <c r="B1438" s="1" t="n">
        <v>44956.57528935185</v>
      </c>
      <c r="C1438" s="1" t="n">
        <v>45889</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9723-2025</t>
        </is>
      </c>
      <c r="B1439" s="1" t="n">
        <v>45715</v>
      </c>
      <c r="C1439" s="1" t="n">
        <v>45889</v>
      </c>
      <c r="D1439" t="inlineStr">
        <is>
          <t>VÄRMLANDS LÄN</t>
        </is>
      </c>
      <c r="E1439" t="inlineStr">
        <is>
          <t>TORSBY</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36290-2022</t>
        </is>
      </c>
      <c r="B1440" s="1" t="n">
        <v>44803</v>
      </c>
      <c r="C1440" s="1" t="n">
        <v>45889</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7745-2023</t>
        </is>
      </c>
      <c r="B1441" s="1" t="n">
        <v>44973.35336805556</v>
      </c>
      <c r="C1441" s="1" t="n">
        <v>45889</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14023-2025</t>
        </is>
      </c>
      <c r="B1442" s="1" t="n">
        <v>45740</v>
      </c>
      <c r="C1442" s="1" t="n">
        <v>45889</v>
      </c>
      <c r="D1442" t="inlineStr">
        <is>
          <t>VÄRMLANDS LÄN</t>
        </is>
      </c>
      <c r="E1442" t="inlineStr">
        <is>
          <t>TORSBY</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44262-2023</t>
        </is>
      </c>
      <c r="B1443" s="1" t="n">
        <v>45188.59809027778</v>
      </c>
      <c r="C1443" s="1" t="n">
        <v>45889</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18258-2025</t>
        </is>
      </c>
      <c r="B1444" s="1" t="n">
        <v>45762.35762731481</v>
      </c>
      <c r="C1444" s="1" t="n">
        <v>45889</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14062-2025</t>
        </is>
      </c>
      <c r="B1445" s="1" t="n">
        <v>45740</v>
      </c>
      <c r="C1445" s="1" t="n">
        <v>45889</v>
      </c>
      <c r="D1445" t="inlineStr">
        <is>
          <t>VÄRMLANDS LÄN</t>
        </is>
      </c>
      <c r="E1445" t="inlineStr">
        <is>
          <t>TORSBY</t>
        </is>
      </c>
      <c r="F1445" t="inlineStr">
        <is>
          <t>Bergvik skog väst AB</t>
        </is>
      </c>
      <c r="G1445" t="n">
        <v>41.1</v>
      </c>
      <c r="H1445" t="n">
        <v>0</v>
      </c>
      <c r="I1445" t="n">
        <v>0</v>
      </c>
      <c r="J1445" t="n">
        <v>0</v>
      </c>
      <c r="K1445" t="n">
        <v>0</v>
      </c>
      <c r="L1445" t="n">
        <v>0</v>
      </c>
      <c r="M1445" t="n">
        <v>0</v>
      </c>
      <c r="N1445" t="n">
        <v>0</v>
      </c>
      <c r="O1445" t="n">
        <v>0</v>
      </c>
      <c r="P1445" t="n">
        <v>0</v>
      </c>
      <c r="Q1445" t="n">
        <v>0</v>
      </c>
      <c r="R1445" s="2" t="inlineStr"/>
    </row>
    <row r="1446" ht="15" customHeight="1">
      <c r="A1446" t="inlineStr">
        <is>
          <t>A 502-2024</t>
        </is>
      </c>
      <c r="B1446" s="1" t="n">
        <v>45299</v>
      </c>
      <c r="C1446" s="1" t="n">
        <v>45889</v>
      </c>
      <c r="D1446" t="inlineStr">
        <is>
          <t>VÄRMLANDS LÄN</t>
        </is>
      </c>
      <c r="E1446" t="inlineStr">
        <is>
          <t>TORSBY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1700-2024</t>
        </is>
      </c>
      <c r="B1447" s="1" t="n">
        <v>45307.37347222222</v>
      </c>
      <c r="C1447" s="1" t="n">
        <v>45889</v>
      </c>
      <c r="D1447" t="inlineStr">
        <is>
          <t>VÄRMLANDS LÄN</t>
        </is>
      </c>
      <c r="E1447" t="inlineStr">
        <is>
          <t>TORSBY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28310-2024</t>
        </is>
      </c>
      <c r="B1448" s="1" t="n">
        <v>45477</v>
      </c>
      <c r="C1448" s="1" t="n">
        <v>45889</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62258-2023</t>
        </is>
      </c>
      <c r="B1449" s="1" t="n">
        <v>45266</v>
      </c>
      <c r="C1449" s="1" t="n">
        <v>45889</v>
      </c>
      <c r="D1449" t="inlineStr">
        <is>
          <t>VÄRMLANDS LÄN</t>
        </is>
      </c>
      <c r="E1449" t="inlineStr">
        <is>
          <t>TORSBY</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28284-2024</t>
        </is>
      </c>
      <c r="B1450" s="1" t="n">
        <v>45477</v>
      </c>
      <c r="C1450" s="1" t="n">
        <v>45889</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19630-2025</t>
        </is>
      </c>
      <c r="B1451" s="1" t="n">
        <v>45770.64239583333</v>
      </c>
      <c r="C1451" s="1" t="n">
        <v>45889</v>
      </c>
      <c r="D1451" t="inlineStr">
        <is>
          <t>VÄRMLANDS LÄN</t>
        </is>
      </c>
      <c r="E1451" t="inlineStr">
        <is>
          <t>TORSBY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18877-2022</t>
        </is>
      </c>
      <c r="B1452" s="1" t="n">
        <v>44690.52556712963</v>
      </c>
      <c r="C1452" s="1" t="n">
        <v>45889</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19112-2025</t>
        </is>
      </c>
      <c r="B1453" s="1" t="n">
        <v>45768.67106481481</v>
      </c>
      <c r="C1453" s="1" t="n">
        <v>45889</v>
      </c>
      <c r="D1453" t="inlineStr">
        <is>
          <t>VÄRMLANDS LÄN</t>
        </is>
      </c>
      <c r="E1453" t="inlineStr">
        <is>
          <t>TORSBY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17048-2025</t>
        </is>
      </c>
      <c r="B1454" s="1" t="n">
        <v>45754</v>
      </c>
      <c r="C1454" s="1" t="n">
        <v>45889</v>
      </c>
      <c r="D1454" t="inlineStr">
        <is>
          <t>VÄRMLANDS LÄN</t>
        </is>
      </c>
      <c r="E1454" t="inlineStr">
        <is>
          <t>TORSBY</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6713-2023</t>
        </is>
      </c>
      <c r="B1455" s="1" t="n">
        <v>44960</v>
      </c>
      <c r="C1455" s="1" t="n">
        <v>45889</v>
      </c>
      <c r="D1455" t="inlineStr">
        <is>
          <t>VÄRMLANDS LÄN</t>
        </is>
      </c>
      <c r="E1455" t="inlineStr">
        <is>
          <t>TORSBY</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10684-2024</t>
        </is>
      </c>
      <c r="B1456" s="1" t="n">
        <v>45369.37938657407</v>
      </c>
      <c r="C1456" s="1" t="n">
        <v>45889</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15939-2021</t>
        </is>
      </c>
      <c r="B1457" s="1" t="n">
        <v>44287</v>
      </c>
      <c r="C1457" s="1" t="n">
        <v>45889</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52532-2023</t>
        </is>
      </c>
      <c r="B1458" s="1" t="n">
        <v>45225.54318287037</v>
      </c>
      <c r="C1458" s="1" t="n">
        <v>45889</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57216-2023</t>
        </is>
      </c>
      <c r="B1459" s="1" t="n">
        <v>45245</v>
      </c>
      <c r="C1459" s="1" t="n">
        <v>45889</v>
      </c>
      <c r="D1459" t="inlineStr">
        <is>
          <t>VÄRMLANDS LÄN</t>
        </is>
      </c>
      <c r="E1459" t="inlineStr">
        <is>
          <t>TORSBY</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12670-2023</t>
        </is>
      </c>
      <c r="B1460" s="1" t="n">
        <v>45000.58043981482</v>
      </c>
      <c r="C1460" s="1" t="n">
        <v>45889</v>
      </c>
      <c r="D1460" t="inlineStr">
        <is>
          <t>VÄRMLANDS LÄN</t>
        </is>
      </c>
      <c r="E1460" t="inlineStr">
        <is>
          <t>TORSBY</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21465-2022</t>
        </is>
      </c>
      <c r="B1461" s="1" t="n">
        <v>44706.38893518518</v>
      </c>
      <c r="C1461" s="1" t="n">
        <v>45889</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27730-2025</t>
        </is>
      </c>
      <c r="B1462" s="1" t="n">
        <v>45814</v>
      </c>
      <c r="C1462" s="1" t="n">
        <v>45889</v>
      </c>
      <c r="D1462" t="inlineStr">
        <is>
          <t>VÄRMLANDS LÄN</t>
        </is>
      </c>
      <c r="E1462" t="inlineStr">
        <is>
          <t>TORSBY</t>
        </is>
      </c>
      <c r="F1462" t="inlineStr">
        <is>
          <t>Bergvik skog väst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1527-2024</t>
        </is>
      </c>
      <c r="B1463" s="1" t="n">
        <v>45306.45614583333</v>
      </c>
      <c r="C1463" s="1" t="n">
        <v>45889</v>
      </c>
      <c r="D1463" t="inlineStr">
        <is>
          <t>VÄRMLANDS LÄN</t>
        </is>
      </c>
      <c r="E1463" t="inlineStr">
        <is>
          <t>TORSBY</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11364-2023</t>
        </is>
      </c>
      <c r="B1464" s="1" t="n">
        <v>44993.43150462963</v>
      </c>
      <c r="C1464" s="1" t="n">
        <v>45889</v>
      </c>
      <c r="D1464" t="inlineStr">
        <is>
          <t>VÄRMLANDS LÄN</t>
        </is>
      </c>
      <c r="E1464" t="inlineStr">
        <is>
          <t>TORSBY</t>
        </is>
      </c>
      <c r="G1464" t="n">
        <v>31.9</v>
      </c>
      <c r="H1464" t="n">
        <v>0</v>
      </c>
      <c r="I1464" t="n">
        <v>0</v>
      </c>
      <c r="J1464" t="n">
        <v>0</v>
      </c>
      <c r="K1464" t="n">
        <v>0</v>
      </c>
      <c r="L1464" t="n">
        <v>0</v>
      </c>
      <c r="M1464" t="n">
        <v>0</v>
      </c>
      <c r="N1464" t="n">
        <v>0</v>
      </c>
      <c r="O1464" t="n">
        <v>0</v>
      </c>
      <c r="P1464" t="n">
        <v>0</v>
      </c>
      <c r="Q1464" t="n">
        <v>0</v>
      </c>
      <c r="R1464" s="2" t="inlineStr"/>
    </row>
    <row r="1465" ht="15" customHeight="1">
      <c r="A1465" t="inlineStr">
        <is>
          <t>A 61073-2024</t>
        </is>
      </c>
      <c r="B1465" s="1" t="n">
        <v>45645.50665509259</v>
      </c>
      <c r="C1465" s="1" t="n">
        <v>45889</v>
      </c>
      <c r="D1465" t="inlineStr">
        <is>
          <t>VÄRMLANDS LÄN</t>
        </is>
      </c>
      <c r="E1465" t="inlineStr">
        <is>
          <t>TORSBY</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35408-2025</t>
        </is>
      </c>
      <c r="B1466" s="1" t="n">
        <v>45855.37256944444</v>
      </c>
      <c r="C1466" s="1" t="n">
        <v>45889</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52801-2024</t>
        </is>
      </c>
      <c r="B1467" s="1" t="n">
        <v>45610.56784722222</v>
      </c>
      <c r="C1467" s="1" t="n">
        <v>45889</v>
      </c>
      <c r="D1467" t="inlineStr">
        <is>
          <t>VÄRMLANDS LÄN</t>
        </is>
      </c>
      <c r="E1467" t="inlineStr">
        <is>
          <t>TORSBY</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23818-2022</t>
        </is>
      </c>
      <c r="B1468" s="1" t="n">
        <v>44722</v>
      </c>
      <c r="C1468" s="1" t="n">
        <v>45889</v>
      </c>
      <c r="D1468" t="inlineStr">
        <is>
          <t>VÄRMLANDS LÄN</t>
        </is>
      </c>
      <c r="E1468" t="inlineStr">
        <is>
          <t>TORSBY</t>
        </is>
      </c>
      <c r="G1468" t="n">
        <v>23.5</v>
      </c>
      <c r="H1468" t="n">
        <v>0</v>
      </c>
      <c r="I1468" t="n">
        <v>0</v>
      </c>
      <c r="J1468" t="n">
        <v>0</v>
      </c>
      <c r="K1468" t="n">
        <v>0</v>
      </c>
      <c r="L1468" t="n">
        <v>0</v>
      </c>
      <c r="M1468" t="n">
        <v>0</v>
      </c>
      <c r="N1468" t="n">
        <v>0</v>
      </c>
      <c r="O1468" t="n">
        <v>0</v>
      </c>
      <c r="P1468" t="n">
        <v>0</v>
      </c>
      <c r="Q1468" t="n">
        <v>0</v>
      </c>
      <c r="R1468" s="2" t="inlineStr"/>
    </row>
    <row r="1469" ht="15" customHeight="1">
      <c r="A1469" t="inlineStr">
        <is>
          <t>A 17754-2025</t>
        </is>
      </c>
      <c r="B1469" s="1" t="n">
        <v>45758</v>
      </c>
      <c r="C1469" s="1" t="n">
        <v>45889</v>
      </c>
      <c r="D1469" t="inlineStr">
        <is>
          <t>VÄRMLANDS LÄN</t>
        </is>
      </c>
      <c r="E1469" t="inlineStr">
        <is>
          <t>TORSBY</t>
        </is>
      </c>
      <c r="F1469" t="inlineStr">
        <is>
          <t>Bergvik skog väst AB</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7283-2023</t>
        </is>
      </c>
      <c r="B1470" s="1" t="n">
        <v>44970</v>
      </c>
      <c r="C1470" s="1" t="n">
        <v>45889</v>
      </c>
      <c r="D1470" t="inlineStr">
        <is>
          <t>VÄRMLANDS LÄN</t>
        </is>
      </c>
      <c r="E1470" t="inlineStr">
        <is>
          <t>TORSBY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25537-2022</t>
        </is>
      </c>
      <c r="B1471" s="1" t="n">
        <v>44732</v>
      </c>
      <c r="C1471" s="1" t="n">
        <v>45889</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20725-2024</t>
        </is>
      </c>
      <c r="B1472" s="1" t="n">
        <v>45436.65284722222</v>
      </c>
      <c r="C1472" s="1" t="n">
        <v>45889</v>
      </c>
      <c r="D1472" t="inlineStr">
        <is>
          <t>VÄRMLANDS LÄN</t>
        </is>
      </c>
      <c r="E1472" t="inlineStr">
        <is>
          <t>TORSBY</t>
        </is>
      </c>
      <c r="F1472" t="inlineStr">
        <is>
          <t>Bergvik skog väst AB</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11259-2024</t>
        </is>
      </c>
      <c r="B1473" s="1" t="n">
        <v>45371</v>
      </c>
      <c r="C1473" s="1" t="n">
        <v>45889</v>
      </c>
      <c r="D1473" t="inlineStr">
        <is>
          <t>VÄRMLANDS LÄN</t>
        </is>
      </c>
      <c r="E1473" t="inlineStr">
        <is>
          <t>TORSBY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35134-2022</t>
        </is>
      </c>
      <c r="B1474" s="1" t="n">
        <v>44797</v>
      </c>
      <c r="C1474" s="1" t="n">
        <v>45889</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15873-2025</t>
        </is>
      </c>
      <c r="B1475" s="1" t="n">
        <v>45749.3759375</v>
      </c>
      <c r="C1475" s="1" t="n">
        <v>45889</v>
      </c>
      <c r="D1475" t="inlineStr">
        <is>
          <t>VÄRMLANDS LÄN</t>
        </is>
      </c>
      <c r="E1475" t="inlineStr">
        <is>
          <t>TORSBY</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1161-2025</t>
        </is>
      </c>
      <c r="B1476" s="1" t="n">
        <v>45666</v>
      </c>
      <c r="C1476" s="1" t="n">
        <v>45889</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38252-2023</t>
        </is>
      </c>
      <c r="B1477" s="1" t="n">
        <v>45161</v>
      </c>
      <c r="C1477" s="1" t="n">
        <v>45889</v>
      </c>
      <c r="D1477" t="inlineStr">
        <is>
          <t>VÄRMLANDS LÄN</t>
        </is>
      </c>
      <c r="E1477" t="inlineStr">
        <is>
          <t>TORSBY</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29990-2022</t>
        </is>
      </c>
      <c r="B1478" s="1" t="n">
        <v>44756.73530092592</v>
      </c>
      <c r="C1478" s="1" t="n">
        <v>45889</v>
      </c>
      <c r="D1478" t="inlineStr">
        <is>
          <t>VÄRMLANDS LÄN</t>
        </is>
      </c>
      <c r="E1478" t="inlineStr">
        <is>
          <t>TORSBY</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27467-2025</t>
        </is>
      </c>
      <c r="B1479" s="1" t="n">
        <v>45813.35497685185</v>
      </c>
      <c r="C1479" s="1" t="n">
        <v>45889</v>
      </c>
      <c r="D1479" t="inlineStr">
        <is>
          <t>VÄRMLANDS LÄN</t>
        </is>
      </c>
      <c r="E1479" t="inlineStr">
        <is>
          <t>TORSBY</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27667-2025</t>
        </is>
      </c>
      <c r="B1480" s="1" t="n">
        <v>45813.62092592593</v>
      </c>
      <c r="C1480" s="1" t="n">
        <v>45889</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46915-2024</t>
        </is>
      </c>
      <c r="B1481" s="1" t="n">
        <v>45583</v>
      </c>
      <c r="C1481" s="1" t="n">
        <v>45889</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35552-2025</t>
        </is>
      </c>
      <c r="B1482" s="1" t="n">
        <v>45856.49702546297</v>
      </c>
      <c r="C1482" s="1" t="n">
        <v>45889</v>
      </c>
      <c r="D1482" t="inlineStr">
        <is>
          <t>VÄRMLANDS LÄN</t>
        </is>
      </c>
      <c r="E1482" t="inlineStr">
        <is>
          <t>TORSBY</t>
        </is>
      </c>
      <c r="F1482" t="inlineStr">
        <is>
          <t>Bergvik skog väst AB</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27470-2025</t>
        </is>
      </c>
      <c r="B1483" s="1" t="n">
        <v>45813.36284722222</v>
      </c>
      <c r="C1483" s="1" t="n">
        <v>45889</v>
      </c>
      <c r="D1483" t="inlineStr">
        <is>
          <t>VÄRMLANDS LÄN</t>
        </is>
      </c>
      <c r="E1483" t="inlineStr">
        <is>
          <t>TORSBY</t>
        </is>
      </c>
      <c r="G1483" t="n">
        <v>17.9</v>
      </c>
      <c r="H1483" t="n">
        <v>0</v>
      </c>
      <c r="I1483" t="n">
        <v>0</v>
      </c>
      <c r="J1483" t="n">
        <v>0</v>
      </c>
      <c r="K1483" t="n">
        <v>0</v>
      </c>
      <c r="L1483" t="n">
        <v>0</v>
      </c>
      <c r="M1483" t="n">
        <v>0</v>
      </c>
      <c r="N1483" t="n">
        <v>0</v>
      </c>
      <c r="O1483" t="n">
        <v>0</v>
      </c>
      <c r="P1483" t="n">
        <v>0</v>
      </c>
      <c r="Q1483" t="n">
        <v>0</v>
      </c>
      <c r="R1483" s="2" t="inlineStr"/>
    </row>
    <row r="1484" ht="15" customHeight="1">
      <c r="A1484" t="inlineStr">
        <is>
          <t>A 27968-2025</t>
        </is>
      </c>
      <c r="B1484" s="1" t="n">
        <v>45817.55846064815</v>
      </c>
      <c r="C1484" s="1" t="n">
        <v>45889</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27856-2025</t>
        </is>
      </c>
      <c r="B1485" s="1" t="n">
        <v>45817.41006944444</v>
      </c>
      <c r="C1485" s="1" t="n">
        <v>45889</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8022-2025</t>
        </is>
      </c>
      <c r="B1486" s="1" t="n">
        <v>45707.57733796296</v>
      </c>
      <c r="C1486" s="1" t="n">
        <v>45889</v>
      </c>
      <c r="D1486" t="inlineStr">
        <is>
          <t>VÄRMLANDS LÄN</t>
        </is>
      </c>
      <c r="E1486" t="inlineStr">
        <is>
          <t>TORSBY</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39767-2024</t>
        </is>
      </c>
      <c r="B1487" s="1" t="n">
        <v>45552</v>
      </c>
      <c r="C1487" s="1" t="n">
        <v>45889</v>
      </c>
      <c r="D1487" t="inlineStr">
        <is>
          <t>VÄRMLANDS LÄN</t>
        </is>
      </c>
      <c r="E1487" t="inlineStr">
        <is>
          <t>TORSBY</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23804-2022</t>
        </is>
      </c>
      <c r="B1488" s="1" t="n">
        <v>44722</v>
      </c>
      <c r="C1488" s="1" t="n">
        <v>45889</v>
      </c>
      <c r="D1488" t="inlineStr">
        <is>
          <t>VÄRMLANDS LÄN</t>
        </is>
      </c>
      <c r="E1488" t="inlineStr">
        <is>
          <t>TORSBY</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35724-2022</t>
        </is>
      </c>
      <c r="B1489" s="1" t="n">
        <v>44799</v>
      </c>
      <c r="C1489" s="1" t="n">
        <v>45889</v>
      </c>
      <c r="D1489" t="inlineStr">
        <is>
          <t>VÄRMLANDS LÄN</t>
        </is>
      </c>
      <c r="E1489" t="inlineStr">
        <is>
          <t>TORSBY</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28116-2025</t>
        </is>
      </c>
      <c r="B1490" s="1" t="n">
        <v>45818.28697916667</v>
      </c>
      <c r="C1490" s="1" t="n">
        <v>45889</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28117-2025</t>
        </is>
      </c>
      <c r="B1491" s="1" t="n">
        <v>45818</v>
      </c>
      <c r="C1491" s="1" t="n">
        <v>45889</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28118-2025</t>
        </is>
      </c>
      <c r="B1492" s="1" t="n">
        <v>45818</v>
      </c>
      <c r="C1492" s="1" t="n">
        <v>45889</v>
      </c>
      <c r="D1492" t="inlineStr">
        <is>
          <t>VÄRMLANDS LÄN</t>
        </is>
      </c>
      <c r="E1492" t="inlineStr">
        <is>
          <t>TORSBY</t>
        </is>
      </c>
      <c r="F1492" t="inlineStr">
        <is>
          <t>Bergvik skog väst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20255-2025</t>
        </is>
      </c>
      <c r="B1493" s="1" t="n">
        <v>45772.9009375</v>
      </c>
      <c r="C1493" s="1" t="n">
        <v>45889</v>
      </c>
      <c r="D1493" t="inlineStr">
        <is>
          <t>VÄRMLANDS LÄN</t>
        </is>
      </c>
      <c r="E1493" t="inlineStr">
        <is>
          <t>TORSBY</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54006-2024</t>
        </is>
      </c>
      <c r="B1494" s="1" t="n">
        <v>45616.3717824074</v>
      </c>
      <c r="C1494" s="1" t="n">
        <v>45889</v>
      </c>
      <c r="D1494" t="inlineStr">
        <is>
          <t>VÄRMLANDS LÄN</t>
        </is>
      </c>
      <c r="E1494" t="inlineStr">
        <is>
          <t>TORSBY</t>
        </is>
      </c>
      <c r="F1494" t="inlineStr">
        <is>
          <t>Kommuner</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21078-2023</t>
        </is>
      </c>
      <c r="B1495" s="1" t="n">
        <v>45061</v>
      </c>
      <c r="C1495" s="1" t="n">
        <v>45889</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28214-2025</t>
        </is>
      </c>
      <c r="B1496" s="1" t="n">
        <v>45818</v>
      </c>
      <c r="C1496" s="1" t="n">
        <v>45889</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27906-2025</t>
        </is>
      </c>
      <c r="B1497" s="1" t="n">
        <v>45817.47108796296</v>
      </c>
      <c r="C1497" s="1" t="n">
        <v>45889</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44708-2022</t>
        </is>
      </c>
      <c r="B1498" s="1" t="n">
        <v>44840.73633101852</v>
      </c>
      <c r="C1498" s="1" t="n">
        <v>45889</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10027-2023</t>
        </is>
      </c>
      <c r="B1499" s="1" t="n">
        <v>44979</v>
      </c>
      <c r="C1499" s="1" t="n">
        <v>45889</v>
      </c>
      <c r="D1499" t="inlineStr">
        <is>
          <t>VÄRMLANDS LÄN</t>
        </is>
      </c>
      <c r="E1499" t="inlineStr">
        <is>
          <t>TORSBY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27759-2025</t>
        </is>
      </c>
      <c r="B1500" s="1" t="n">
        <v>45816.48986111111</v>
      </c>
      <c r="C1500" s="1" t="n">
        <v>45889</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48721-2024</t>
        </is>
      </c>
      <c r="B1501" s="1" t="n">
        <v>45593.54752314815</v>
      </c>
      <c r="C1501" s="1" t="n">
        <v>45889</v>
      </c>
      <c r="D1501" t="inlineStr">
        <is>
          <t>VÄRMLANDS LÄN</t>
        </is>
      </c>
      <c r="E1501" t="inlineStr">
        <is>
          <t>TORSBY</t>
        </is>
      </c>
      <c r="F1501" t="inlineStr">
        <is>
          <t>Bergvik skog väst AB</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51843-2022</t>
        </is>
      </c>
      <c r="B1502" s="1" t="n">
        <v>44872</v>
      </c>
      <c r="C1502" s="1" t="n">
        <v>45889</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22315-2025</t>
        </is>
      </c>
      <c r="B1503" s="1" t="n">
        <v>45786.39</v>
      </c>
      <c r="C1503" s="1" t="n">
        <v>45889</v>
      </c>
      <c r="D1503" t="inlineStr">
        <is>
          <t>VÄRMLANDS LÄN</t>
        </is>
      </c>
      <c r="E1503" t="inlineStr">
        <is>
          <t>TORSBY</t>
        </is>
      </c>
      <c r="F1503" t="inlineStr">
        <is>
          <t>Bergvik skog väst AB</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39746-2024</t>
        </is>
      </c>
      <c r="B1504" s="1" t="n">
        <v>45552</v>
      </c>
      <c r="C1504" s="1" t="n">
        <v>45889</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27962-2025</t>
        </is>
      </c>
      <c r="B1505" s="1" t="n">
        <v>45817.54878472222</v>
      </c>
      <c r="C1505" s="1" t="n">
        <v>45889</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8188-2025</t>
        </is>
      </c>
      <c r="B1506" s="1" t="n">
        <v>45708.40246527778</v>
      </c>
      <c r="C1506" s="1" t="n">
        <v>45889</v>
      </c>
      <c r="D1506" t="inlineStr">
        <is>
          <t>VÄRMLANDS LÄN</t>
        </is>
      </c>
      <c r="E1506" t="inlineStr">
        <is>
          <t>TORSBY</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18576-2025</t>
        </is>
      </c>
      <c r="B1507" s="1" t="n">
        <v>45763</v>
      </c>
      <c r="C1507" s="1" t="n">
        <v>45889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18584-2025</t>
        </is>
      </c>
      <c r="B1508" s="1" t="n">
        <v>45763.46973379629</v>
      </c>
      <c r="C1508" s="1" t="n">
        <v>45889</v>
      </c>
      <c r="D1508" t="inlineStr">
        <is>
          <t>VÄRMLANDS LÄN</t>
        </is>
      </c>
      <c r="E1508" t="inlineStr">
        <is>
          <t>TORSBY</t>
        </is>
      </c>
      <c r="F1508" t="inlineStr">
        <is>
          <t>Kyrkan</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27758-2025</t>
        </is>
      </c>
      <c r="B1509" s="1" t="n">
        <v>45816</v>
      </c>
      <c r="C1509" s="1" t="n">
        <v>45889</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38991-2023</t>
        </is>
      </c>
      <c r="B1510" s="1" t="n">
        <v>45163.65929398148</v>
      </c>
      <c r="C1510" s="1" t="n">
        <v>45889</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27863-2025</t>
        </is>
      </c>
      <c r="B1511" s="1" t="n">
        <v>45817.42118055555</v>
      </c>
      <c r="C1511" s="1" t="n">
        <v>45889</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906-2025</t>
        </is>
      </c>
      <c r="B1512" s="1" t="n">
        <v>45664</v>
      </c>
      <c r="C1512" s="1" t="n">
        <v>45889</v>
      </c>
      <c r="D1512" t="inlineStr">
        <is>
          <t>VÄRMLANDS LÄN</t>
        </is>
      </c>
      <c r="E1512" t="inlineStr">
        <is>
          <t>TORSBY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24493-2024</t>
        </is>
      </c>
      <c r="B1513" s="1" t="n">
        <v>45459.72136574074</v>
      </c>
      <c r="C1513" s="1" t="n">
        <v>45889</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4219-2024</t>
        </is>
      </c>
      <c r="B1514" s="1" t="n">
        <v>45324</v>
      </c>
      <c r="C1514" s="1" t="n">
        <v>45889</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17053-2025</t>
        </is>
      </c>
      <c r="B1515" s="1" t="n">
        <v>45754</v>
      </c>
      <c r="C1515" s="1" t="n">
        <v>45889</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731-2024</t>
        </is>
      </c>
      <c r="B1516" s="1" t="n">
        <v>45300</v>
      </c>
      <c r="C1516" s="1" t="n">
        <v>45889</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26686-2022</t>
        </is>
      </c>
      <c r="B1517" s="1" t="n">
        <v>44739.67833333334</v>
      </c>
      <c r="C1517" s="1" t="n">
        <v>45889</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18411-2023</t>
        </is>
      </c>
      <c r="B1518" s="1" t="n">
        <v>45042</v>
      </c>
      <c r="C1518" s="1" t="n">
        <v>45889</v>
      </c>
      <c r="D1518" t="inlineStr">
        <is>
          <t>VÄRMLANDS LÄN</t>
        </is>
      </c>
      <c r="E1518" t="inlineStr">
        <is>
          <t>TORSBY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38076-2024</t>
        </is>
      </c>
      <c r="B1519" s="1" t="n">
        <v>45544</v>
      </c>
      <c r="C1519" s="1" t="n">
        <v>45889</v>
      </c>
      <c r="D1519" t="inlineStr">
        <is>
          <t>VÄRMLANDS LÄN</t>
        </is>
      </c>
      <c r="E1519" t="inlineStr">
        <is>
          <t>TORSBY</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1432-2025</t>
        </is>
      </c>
      <c r="B1520" s="1" t="n">
        <v>45669</v>
      </c>
      <c r="C1520" s="1" t="n">
        <v>45889</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1435-2025</t>
        </is>
      </c>
      <c r="B1521" s="1" t="n">
        <v>45669</v>
      </c>
      <c r="C1521" s="1" t="n">
        <v>45889</v>
      </c>
      <c r="D1521" t="inlineStr">
        <is>
          <t>VÄRMLANDS LÄN</t>
        </is>
      </c>
      <c r="E1521" t="inlineStr">
        <is>
          <t>TORSBY</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28559-2021</t>
        </is>
      </c>
      <c r="B1522" s="1" t="n">
        <v>44356</v>
      </c>
      <c r="C1522" s="1" t="n">
        <v>45889</v>
      </c>
      <c r="D1522" t="inlineStr">
        <is>
          <t>VÄRMLANDS LÄN</t>
        </is>
      </c>
      <c r="E1522" t="inlineStr">
        <is>
          <t>TORSBY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28612-2025</t>
        </is>
      </c>
      <c r="B1523" s="1" t="n">
        <v>45819</v>
      </c>
      <c r="C1523" s="1" t="n">
        <v>45889</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35855-2025</t>
        </is>
      </c>
      <c r="B1524" s="1" t="n">
        <v>45861.61864583333</v>
      </c>
      <c r="C1524" s="1" t="n">
        <v>45889</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51987-2024</t>
        </is>
      </c>
      <c r="B1525" s="1" t="n">
        <v>45607</v>
      </c>
      <c r="C1525" s="1" t="n">
        <v>45889</v>
      </c>
      <c r="D1525" t="inlineStr">
        <is>
          <t>VÄRMLANDS LÄN</t>
        </is>
      </c>
      <c r="E1525" t="inlineStr">
        <is>
          <t>TORSBY</t>
        </is>
      </c>
      <c r="G1525" t="n">
        <v>17.7</v>
      </c>
      <c r="H1525" t="n">
        <v>0</v>
      </c>
      <c r="I1525" t="n">
        <v>0</v>
      </c>
      <c r="J1525" t="n">
        <v>0</v>
      </c>
      <c r="K1525" t="n">
        <v>0</v>
      </c>
      <c r="L1525" t="n">
        <v>0</v>
      </c>
      <c r="M1525" t="n">
        <v>0</v>
      </c>
      <c r="N1525" t="n">
        <v>0</v>
      </c>
      <c r="O1525" t="n">
        <v>0</v>
      </c>
      <c r="P1525" t="n">
        <v>0</v>
      </c>
      <c r="Q1525" t="n">
        <v>0</v>
      </c>
      <c r="R1525" s="2" t="inlineStr"/>
    </row>
    <row r="1526" ht="15" customHeight="1">
      <c r="A1526" t="inlineStr">
        <is>
          <t>A 12402-2025</t>
        </is>
      </c>
      <c r="B1526" s="1" t="n">
        <v>45730.4228125</v>
      </c>
      <c r="C1526" s="1" t="n">
        <v>45889</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28774-2025</t>
        </is>
      </c>
      <c r="B1527" s="1" t="n">
        <v>45820.4434375</v>
      </c>
      <c r="C1527" s="1" t="n">
        <v>45889</v>
      </c>
      <c r="D1527" t="inlineStr">
        <is>
          <t>VÄRMLANDS LÄN</t>
        </is>
      </c>
      <c r="E1527" t="inlineStr">
        <is>
          <t>TORSBY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28939-2025</t>
        </is>
      </c>
      <c r="B1528" s="1" t="n">
        <v>45820.71350694444</v>
      </c>
      <c r="C1528" s="1" t="n">
        <v>45889</v>
      </c>
      <c r="D1528" t="inlineStr">
        <is>
          <t>VÄRMLANDS LÄN</t>
        </is>
      </c>
      <c r="E1528" t="inlineStr">
        <is>
          <t>TORSBY</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16362-2025</t>
        </is>
      </c>
      <c r="B1529" s="1" t="n">
        <v>45751</v>
      </c>
      <c r="C1529" s="1" t="n">
        <v>45889</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46503-2024</t>
        </is>
      </c>
      <c r="B1530" s="1" t="n">
        <v>45582</v>
      </c>
      <c r="C1530" s="1" t="n">
        <v>45889</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28380-2025</t>
        </is>
      </c>
      <c r="B1531" s="1" t="n">
        <v>45819.30581018519</v>
      </c>
      <c r="C1531" s="1" t="n">
        <v>45889</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21790-2023</t>
        </is>
      </c>
      <c r="B1532" s="1" t="n">
        <v>45067</v>
      </c>
      <c r="C1532" s="1" t="n">
        <v>45889</v>
      </c>
      <c r="D1532" t="inlineStr">
        <is>
          <t>VÄRMLANDS LÄN</t>
        </is>
      </c>
      <c r="E1532" t="inlineStr">
        <is>
          <t>TORSBY</t>
        </is>
      </c>
      <c r="F1532" t="inlineStr">
        <is>
          <t>Övriga statliga verk och myndigheter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43157-2021</t>
        </is>
      </c>
      <c r="B1533" s="1" t="n">
        <v>44431</v>
      </c>
      <c r="C1533" s="1" t="n">
        <v>45889</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43529-2023</t>
        </is>
      </c>
      <c r="B1534" s="1" t="n">
        <v>45181</v>
      </c>
      <c r="C1534" s="1" t="n">
        <v>45889</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28761-2025</t>
        </is>
      </c>
      <c r="B1535" s="1" t="n">
        <v>45820.41648148148</v>
      </c>
      <c r="C1535" s="1" t="n">
        <v>45889</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32444-2022</t>
        </is>
      </c>
      <c r="B1536" s="1" t="n">
        <v>44782</v>
      </c>
      <c r="C1536" s="1" t="n">
        <v>45889</v>
      </c>
      <c r="D1536" t="inlineStr">
        <is>
          <t>VÄRMLANDS LÄN</t>
        </is>
      </c>
      <c r="E1536" t="inlineStr">
        <is>
          <t>TORSBY</t>
        </is>
      </c>
      <c r="F1536" t="inlineStr">
        <is>
          <t>Bergvik skog väst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32496-2022</t>
        </is>
      </c>
      <c r="B1537" s="1" t="n">
        <v>44782</v>
      </c>
      <c r="C1537" s="1" t="n">
        <v>45889</v>
      </c>
      <c r="D1537" t="inlineStr">
        <is>
          <t>VÄRMLANDS LÄN</t>
        </is>
      </c>
      <c r="E1537" t="inlineStr">
        <is>
          <t>TORSBY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28765-2025</t>
        </is>
      </c>
      <c r="B1538" s="1" t="n">
        <v>45820.41982638889</v>
      </c>
      <c r="C1538" s="1" t="n">
        <v>45889</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28898-2025</t>
        </is>
      </c>
      <c r="B1539" s="1" t="n">
        <v>45820.63644675926</v>
      </c>
      <c r="C1539" s="1" t="n">
        <v>45889</v>
      </c>
      <c r="D1539" t="inlineStr">
        <is>
          <t>VÄRMLANDS LÄN</t>
        </is>
      </c>
      <c r="E1539" t="inlineStr">
        <is>
          <t>TORSBY</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28784-2025</t>
        </is>
      </c>
      <c r="B1540" s="1" t="n">
        <v>45820</v>
      </c>
      <c r="C1540" s="1" t="n">
        <v>45889</v>
      </c>
      <c r="D1540" t="inlineStr">
        <is>
          <t>VÄRMLANDS LÄN</t>
        </is>
      </c>
      <c r="E1540" t="inlineStr">
        <is>
          <t>TORSBY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28511-2025</t>
        </is>
      </c>
      <c r="B1541" s="1" t="n">
        <v>45819</v>
      </c>
      <c r="C1541" s="1" t="n">
        <v>45889</v>
      </c>
      <c r="D1541" t="inlineStr">
        <is>
          <t>VÄRMLANDS LÄN</t>
        </is>
      </c>
      <c r="E1541" t="inlineStr">
        <is>
          <t>TORSBY</t>
        </is>
      </c>
      <c r="F1541" t="inlineStr">
        <is>
          <t>Bergvik skog väst AB</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15022-2025</t>
        </is>
      </c>
      <c r="B1542" s="1" t="n">
        <v>45743</v>
      </c>
      <c r="C1542" s="1" t="n">
        <v>45889</v>
      </c>
      <c r="D1542" t="inlineStr">
        <is>
          <t>VÄRMLANDS LÄN</t>
        </is>
      </c>
      <c r="E1542" t="inlineStr">
        <is>
          <t>TORSBY</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40009-2022</t>
        </is>
      </c>
      <c r="B1543" s="1" t="n">
        <v>44820</v>
      </c>
      <c r="C1543" s="1" t="n">
        <v>45889</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28791-2025</t>
        </is>
      </c>
      <c r="B1544" s="1" t="n">
        <v>45820</v>
      </c>
      <c r="C1544" s="1" t="n">
        <v>45889</v>
      </c>
      <c r="D1544" t="inlineStr">
        <is>
          <t>VÄRMLANDS LÄN</t>
        </is>
      </c>
      <c r="E1544" t="inlineStr">
        <is>
          <t>TORSBY</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68153-2021</t>
        </is>
      </c>
      <c r="B1545" s="1" t="n">
        <v>44526.43881944445</v>
      </c>
      <c r="C1545" s="1" t="n">
        <v>45889</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57647-2023</t>
        </is>
      </c>
      <c r="B1546" s="1" t="n">
        <v>45246.59627314815</v>
      </c>
      <c r="C1546" s="1" t="n">
        <v>45889</v>
      </c>
      <c r="D1546" t="inlineStr">
        <is>
          <t>VÄRMLANDS LÄN</t>
        </is>
      </c>
      <c r="E1546" t="inlineStr">
        <is>
          <t>TORSBY</t>
        </is>
      </c>
      <c r="G1546" t="n">
        <v>10.3</v>
      </c>
      <c r="H1546" t="n">
        <v>0</v>
      </c>
      <c r="I1546" t="n">
        <v>0</v>
      </c>
      <c r="J1546" t="n">
        <v>0</v>
      </c>
      <c r="K1546" t="n">
        <v>0</v>
      </c>
      <c r="L1546" t="n">
        <v>0</v>
      </c>
      <c r="M1546" t="n">
        <v>0</v>
      </c>
      <c r="N1546" t="n">
        <v>0</v>
      </c>
      <c r="O1546" t="n">
        <v>0</v>
      </c>
      <c r="P1546" t="n">
        <v>0</v>
      </c>
      <c r="Q1546" t="n">
        <v>0</v>
      </c>
      <c r="R1546" s="2" t="inlineStr"/>
    </row>
    <row r="1547" ht="15" customHeight="1">
      <c r="A1547" t="inlineStr">
        <is>
          <t>A 924-2024</t>
        </is>
      </c>
      <c r="B1547" s="1" t="n">
        <v>45301</v>
      </c>
      <c r="C1547" s="1" t="n">
        <v>45889</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35817-2025</t>
        </is>
      </c>
      <c r="B1548" s="1" t="n">
        <v>45861.44365740741</v>
      </c>
      <c r="C1548" s="1" t="n">
        <v>45889</v>
      </c>
      <c r="D1548" t="inlineStr">
        <is>
          <t>VÄRMLANDS LÄN</t>
        </is>
      </c>
      <c r="E1548" t="inlineStr">
        <is>
          <t>TORSBY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67933-2021</t>
        </is>
      </c>
      <c r="B1549" s="1" t="n">
        <v>44525</v>
      </c>
      <c r="C1549" s="1" t="n">
        <v>45889</v>
      </c>
      <c r="D1549" t="inlineStr">
        <is>
          <t>VÄRMLANDS LÄN</t>
        </is>
      </c>
      <c r="E1549" t="inlineStr">
        <is>
          <t>TORSBY</t>
        </is>
      </c>
      <c r="F1549" t="inlineStr">
        <is>
          <t>Bergvik skog väst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49845-2024</t>
        </is>
      </c>
      <c r="B1550" s="1" t="n">
        <v>45597</v>
      </c>
      <c r="C1550" s="1" t="n">
        <v>45889</v>
      </c>
      <c r="D1550" t="inlineStr">
        <is>
          <t>VÄRMLANDS LÄN</t>
        </is>
      </c>
      <c r="E1550" t="inlineStr">
        <is>
          <t>TORSBY</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35965-2025</t>
        </is>
      </c>
      <c r="B1551" s="1" t="n">
        <v>45863.39790509259</v>
      </c>
      <c r="C1551" s="1" t="n">
        <v>45889</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35987-2025</t>
        </is>
      </c>
      <c r="B1552" s="1" t="n">
        <v>45863.46144675926</v>
      </c>
      <c r="C1552" s="1" t="n">
        <v>45889</v>
      </c>
      <c r="D1552" t="inlineStr">
        <is>
          <t>VÄRMLANDS LÄN</t>
        </is>
      </c>
      <c r="E1552" t="inlineStr">
        <is>
          <t>TORSBY</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28757-2025</t>
        </is>
      </c>
      <c r="B1553" s="1" t="n">
        <v>45820</v>
      </c>
      <c r="C1553" s="1" t="n">
        <v>45889</v>
      </c>
      <c r="D1553" t="inlineStr">
        <is>
          <t>VÄRMLANDS LÄN</t>
        </is>
      </c>
      <c r="E1553" t="inlineStr">
        <is>
          <t>TORSBY</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37822-2023</t>
        </is>
      </c>
      <c r="B1554" s="1" t="n">
        <v>45160.30215277777</v>
      </c>
      <c r="C1554" s="1" t="n">
        <v>45889</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30789-2024</t>
        </is>
      </c>
      <c r="B1555" s="1" t="n">
        <v>45497.178125</v>
      </c>
      <c r="C1555" s="1" t="n">
        <v>45889</v>
      </c>
      <c r="D1555" t="inlineStr">
        <is>
          <t>VÄRMLANDS LÄN</t>
        </is>
      </c>
      <c r="E1555" t="inlineStr">
        <is>
          <t>TORSBY</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27115-2024</t>
        </is>
      </c>
      <c r="B1556" s="1" t="n">
        <v>45471</v>
      </c>
      <c r="C1556" s="1" t="n">
        <v>45889</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27144-2024</t>
        </is>
      </c>
      <c r="B1557" s="1" t="n">
        <v>45471.55459490741</v>
      </c>
      <c r="C1557" s="1" t="n">
        <v>45889</v>
      </c>
      <c r="D1557" t="inlineStr">
        <is>
          <t>VÄRMLANDS LÄN</t>
        </is>
      </c>
      <c r="E1557" t="inlineStr">
        <is>
          <t>TORSBY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25090-2023</t>
        </is>
      </c>
      <c r="B1558" s="1" t="n">
        <v>45086</v>
      </c>
      <c r="C1558" s="1" t="n">
        <v>45889</v>
      </c>
      <c r="D1558" t="inlineStr">
        <is>
          <t>VÄRMLANDS LÄN</t>
        </is>
      </c>
      <c r="E1558" t="inlineStr">
        <is>
          <t>TORSBY</t>
        </is>
      </c>
      <c r="F1558" t="inlineStr">
        <is>
          <t>Bergvik skog väst AB</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29312-2025</t>
        </is>
      </c>
      <c r="B1559" s="1" t="n">
        <v>45824</v>
      </c>
      <c r="C1559" s="1" t="n">
        <v>45889</v>
      </c>
      <c r="D1559" t="inlineStr">
        <is>
          <t>VÄRMLANDS LÄN</t>
        </is>
      </c>
      <c r="E1559" t="inlineStr">
        <is>
          <t>TORSBY</t>
        </is>
      </c>
      <c r="F1559" t="inlineStr">
        <is>
          <t>Övriga Aktiebolag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41253-2021</t>
        </is>
      </c>
      <c r="B1560" s="1" t="n">
        <v>44424</v>
      </c>
      <c r="C1560" s="1" t="n">
        <v>45889</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29071-2025</t>
        </is>
      </c>
      <c r="B1561" s="1" t="n">
        <v>45821</v>
      </c>
      <c r="C1561" s="1" t="n">
        <v>45889</v>
      </c>
      <c r="D1561" t="inlineStr">
        <is>
          <t>VÄRMLANDS LÄN</t>
        </is>
      </c>
      <c r="E1561" t="inlineStr">
        <is>
          <t>TORSBY</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52062-2024</t>
        </is>
      </c>
      <c r="B1562" s="1" t="n">
        <v>45608</v>
      </c>
      <c r="C1562" s="1" t="n">
        <v>45889</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34717-2024</t>
        </is>
      </c>
      <c r="B1563" s="1" t="n">
        <v>45526.56409722222</v>
      </c>
      <c r="C1563" s="1" t="n">
        <v>45889</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11569-2025</t>
        </is>
      </c>
      <c r="B1564" s="1" t="n">
        <v>45727.37971064815</v>
      </c>
      <c r="C1564" s="1" t="n">
        <v>45889</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53583-2024</t>
        </is>
      </c>
      <c r="B1565" s="1" t="n">
        <v>45614.66449074074</v>
      </c>
      <c r="C1565" s="1" t="n">
        <v>45889</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54532-2023</t>
        </is>
      </c>
      <c r="B1566" s="1" t="n">
        <v>45233</v>
      </c>
      <c r="C1566" s="1" t="n">
        <v>45889</v>
      </c>
      <c r="D1566" t="inlineStr">
        <is>
          <t>VÄRMLANDS LÄN</t>
        </is>
      </c>
      <c r="E1566" t="inlineStr">
        <is>
          <t>TORSBY</t>
        </is>
      </c>
      <c r="F1566" t="inlineStr">
        <is>
          <t>Bergvik skog väst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58304-2024</t>
        </is>
      </c>
      <c r="B1567" s="1" t="n">
        <v>45632</v>
      </c>
      <c r="C1567" s="1" t="n">
        <v>45889</v>
      </c>
      <c r="D1567" t="inlineStr">
        <is>
          <t>VÄRMLANDS LÄN</t>
        </is>
      </c>
      <c r="E1567" t="inlineStr">
        <is>
          <t>TORSBY</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29403-2025</t>
        </is>
      </c>
      <c r="B1568" s="1" t="n">
        <v>45824.61469907407</v>
      </c>
      <c r="C1568" s="1" t="n">
        <v>45889</v>
      </c>
      <c r="D1568" t="inlineStr">
        <is>
          <t>VÄRMLANDS LÄN</t>
        </is>
      </c>
      <c r="E1568" t="inlineStr">
        <is>
          <t>TORSBY</t>
        </is>
      </c>
      <c r="F1568" t="inlineStr">
        <is>
          <t>Bergvik skog väst AB</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37913-2022</t>
        </is>
      </c>
      <c r="B1569" s="1" t="n">
        <v>44811</v>
      </c>
      <c r="C1569" s="1" t="n">
        <v>45889</v>
      </c>
      <c r="D1569" t="inlineStr">
        <is>
          <t>VÄRMLANDS LÄN</t>
        </is>
      </c>
      <c r="E1569" t="inlineStr">
        <is>
          <t>TORSBY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52750-2024</t>
        </is>
      </c>
      <c r="B1570" s="1" t="n">
        <v>45610</v>
      </c>
      <c r="C1570" s="1" t="n">
        <v>45889</v>
      </c>
      <c r="D1570" t="inlineStr">
        <is>
          <t>VÄRMLANDS LÄN</t>
        </is>
      </c>
      <c r="E1570" t="inlineStr">
        <is>
          <t>TORSBY</t>
        </is>
      </c>
      <c r="F1570" t="inlineStr">
        <is>
          <t>Kyrkan</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3160-2021</t>
        </is>
      </c>
      <c r="B1571" s="1" t="n">
        <v>44217</v>
      </c>
      <c r="C1571" s="1" t="n">
        <v>45889</v>
      </c>
      <c r="D1571" t="inlineStr">
        <is>
          <t>VÄRMLANDS LÄN</t>
        </is>
      </c>
      <c r="E1571" t="inlineStr">
        <is>
          <t>TORSBY</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364-2025</t>
        </is>
      </c>
      <c r="B1572" s="1" t="n">
        <v>45661</v>
      </c>
      <c r="C1572" s="1" t="n">
        <v>45889</v>
      </c>
      <c r="D1572" t="inlineStr">
        <is>
          <t>VÄRMLANDS LÄN</t>
        </is>
      </c>
      <c r="E1572" t="inlineStr">
        <is>
          <t>TORSBY</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51662-2024</t>
        </is>
      </c>
      <c r="B1573" s="1" t="n">
        <v>45606.75559027777</v>
      </c>
      <c r="C1573" s="1" t="n">
        <v>45889</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23264-2022</t>
        </is>
      </c>
      <c r="B1574" s="1" t="n">
        <v>44720.40818287037</v>
      </c>
      <c r="C1574" s="1" t="n">
        <v>45889</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47141-2022</t>
        </is>
      </c>
      <c r="B1575" s="1" t="n">
        <v>44852.56548611111</v>
      </c>
      <c r="C1575" s="1" t="n">
        <v>45889</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57809-2024</t>
        </is>
      </c>
      <c r="B1576" s="1" t="n">
        <v>45631</v>
      </c>
      <c r="C1576" s="1" t="n">
        <v>45889</v>
      </c>
      <c r="D1576" t="inlineStr">
        <is>
          <t>VÄRMLANDS LÄN</t>
        </is>
      </c>
      <c r="E1576" t="inlineStr">
        <is>
          <t>TORSBY</t>
        </is>
      </c>
      <c r="F1576" t="inlineStr">
        <is>
          <t>Bergvik skog väst AB</t>
        </is>
      </c>
      <c r="G1576" t="n">
        <v>10.9</v>
      </c>
      <c r="H1576" t="n">
        <v>0</v>
      </c>
      <c r="I1576" t="n">
        <v>0</v>
      </c>
      <c r="J1576" t="n">
        <v>0</v>
      </c>
      <c r="K1576" t="n">
        <v>0</v>
      </c>
      <c r="L1576" t="n">
        <v>0</v>
      </c>
      <c r="M1576" t="n">
        <v>0</v>
      </c>
      <c r="N1576" t="n">
        <v>0</v>
      </c>
      <c r="O1576" t="n">
        <v>0</v>
      </c>
      <c r="P1576" t="n">
        <v>0</v>
      </c>
      <c r="Q1576" t="n">
        <v>0</v>
      </c>
      <c r="R1576" s="2" t="inlineStr"/>
    </row>
    <row r="1577" ht="15" customHeight="1">
      <c r="A1577" t="inlineStr">
        <is>
          <t>A 15931-2025</t>
        </is>
      </c>
      <c r="B1577" s="1" t="n">
        <v>45749.46791666667</v>
      </c>
      <c r="C1577" s="1" t="n">
        <v>45889</v>
      </c>
      <c r="D1577" t="inlineStr">
        <is>
          <t>VÄRMLANDS LÄN</t>
        </is>
      </c>
      <c r="E1577" t="inlineStr">
        <is>
          <t>TORSBY</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31936-2023</t>
        </is>
      </c>
      <c r="B1578" s="1" t="n">
        <v>45107</v>
      </c>
      <c r="C1578" s="1" t="n">
        <v>45889</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29251-2025</t>
        </is>
      </c>
      <c r="B1579" s="1" t="n">
        <v>45824</v>
      </c>
      <c r="C1579" s="1" t="n">
        <v>45889</v>
      </c>
      <c r="D1579" t="inlineStr">
        <is>
          <t>VÄRMLANDS LÄN</t>
        </is>
      </c>
      <c r="E1579" t="inlineStr">
        <is>
          <t>TORSBY</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29063-2025</t>
        </is>
      </c>
      <c r="B1580" s="1" t="n">
        <v>45821</v>
      </c>
      <c r="C1580" s="1" t="n">
        <v>45889</v>
      </c>
      <c r="D1580" t="inlineStr">
        <is>
          <t>VÄRMLANDS LÄN</t>
        </is>
      </c>
      <c r="E1580" t="inlineStr">
        <is>
          <t>TORSBY</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29307-2025</t>
        </is>
      </c>
      <c r="B1581" s="1" t="n">
        <v>45824</v>
      </c>
      <c r="C1581" s="1" t="n">
        <v>45889</v>
      </c>
      <c r="D1581" t="inlineStr">
        <is>
          <t>VÄRMLANDS LÄN</t>
        </is>
      </c>
      <c r="E1581" t="inlineStr">
        <is>
          <t>TORSBY</t>
        </is>
      </c>
      <c r="F1581" t="inlineStr">
        <is>
          <t>Övriga Aktiebolag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52460-2020</t>
        </is>
      </c>
      <c r="B1582" s="1" t="n">
        <v>44116</v>
      </c>
      <c r="C1582" s="1" t="n">
        <v>45889</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61206-2024</t>
        </is>
      </c>
      <c r="B1583" s="1" t="n">
        <v>45645.64626157407</v>
      </c>
      <c r="C1583" s="1" t="n">
        <v>45889</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46424-2023</t>
        </is>
      </c>
      <c r="B1584" s="1" t="n">
        <v>45197.56141203704</v>
      </c>
      <c r="C1584" s="1" t="n">
        <v>45889</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69878-2021</t>
        </is>
      </c>
      <c r="B1585" s="1" t="n">
        <v>44532.82293981482</v>
      </c>
      <c r="C1585" s="1" t="n">
        <v>45889</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35367-2025</t>
        </is>
      </c>
      <c r="B1586" s="1" t="n">
        <v>45854</v>
      </c>
      <c r="C1586" s="1" t="n">
        <v>45889</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40036-2022</t>
        </is>
      </c>
      <c r="B1587" s="1" t="n">
        <v>44820.43179398148</v>
      </c>
      <c r="C1587" s="1" t="n">
        <v>45889</v>
      </c>
      <c r="D1587" t="inlineStr">
        <is>
          <t>VÄRMLANDS LÄN</t>
        </is>
      </c>
      <c r="E1587" t="inlineStr">
        <is>
          <t>TORSBY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1547-2024</t>
        </is>
      </c>
      <c r="B1588" s="1" t="n">
        <v>45306.48456018518</v>
      </c>
      <c r="C1588" s="1" t="n">
        <v>45889</v>
      </c>
      <c r="D1588" t="inlineStr">
        <is>
          <t>VÄRMLANDS LÄN</t>
        </is>
      </c>
      <c r="E1588" t="inlineStr">
        <is>
          <t>TORSBY</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17153-2025</t>
        </is>
      </c>
      <c r="B1589" s="1" t="n">
        <v>45756</v>
      </c>
      <c r="C1589" s="1" t="n">
        <v>45889</v>
      </c>
      <c r="D1589" t="inlineStr">
        <is>
          <t>VÄRMLANDS LÄN</t>
        </is>
      </c>
      <c r="E1589" t="inlineStr">
        <is>
          <t>TORSBY</t>
        </is>
      </c>
      <c r="F1589" t="inlineStr">
        <is>
          <t>Bergvik skog väst AB</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72200-2021</t>
        </is>
      </c>
      <c r="B1590" s="1" t="n">
        <v>44544.67358796296</v>
      </c>
      <c r="C1590" s="1" t="n">
        <v>45889</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45889</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40007-2023</t>
        </is>
      </c>
      <c r="B1592" s="1" t="n">
        <v>45168</v>
      </c>
      <c r="C1592" s="1" t="n">
        <v>45889</v>
      </c>
      <c r="D1592" t="inlineStr">
        <is>
          <t>VÄRMLANDS LÄN</t>
        </is>
      </c>
      <c r="E1592" t="inlineStr">
        <is>
          <t>TORSBY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375-2025</t>
        </is>
      </c>
      <c r="B1593" s="1" t="n">
        <v>45661</v>
      </c>
      <c r="C1593" s="1" t="n">
        <v>45889</v>
      </c>
      <c r="D1593" t="inlineStr">
        <is>
          <t>VÄRMLANDS LÄN</t>
        </is>
      </c>
      <c r="E1593" t="inlineStr">
        <is>
          <t>TORSBY</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47077-2023</t>
        </is>
      </c>
      <c r="B1594" s="1" t="n">
        <v>45201</v>
      </c>
      <c r="C1594" s="1" t="n">
        <v>45889</v>
      </c>
      <c r="D1594" t="inlineStr">
        <is>
          <t>VÄRMLANDS LÄN</t>
        </is>
      </c>
      <c r="E1594" t="inlineStr">
        <is>
          <t>TORSBY</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3098-2023</t>
        </is>
      </c>
      <c r="B1595" s="1" t="n">
        <v>44946.46096064815</v>
      </c>
      <c r="C1595" s="1" t="n">
        <v>45889</v>
      </c>
      <c r="D1595" t="inlineStr">
        <is>
          <t>VÄRMLANDS LÄN</t>
        </is>
      </c>
      <c r="E1595" t="inlineStr">
        <is>
          <t>TORSBY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3103-2023</t>
        </is>
      </c>
      <c r="B1596" s="1" t="n">
        <v>44946</v>
      </c>
      <c r="C1596" s="1" t="n">
        <v>45889</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36318-2022</t>
        </is>
      </c>
      <c r="B1597" s="1" t="n">
        <v>44803</v>
      </c>
      <c r="C1597" s="1" t="n">
        <v>45889</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59005-2024</t>
        </is>
      </c>
      <c r="B1598" s="1" t="n">
        <v>45636.65234953703</v>
      </c>
      <c r="C1598" s="1" t="n">
        <v>45889</v>
      </c>
      <c r="D1598" t="inlineStr">
        <is>
          <t>VÄRMLANDS LÄN</t>
        </is>
      </c>
      <c r="E1598" t="inlineStr">
        <is>
          <t>TORSBY</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55522-2023</t>
        </is>
      </c>
      <c r="B1599" s="1" t="n">
        <v>45238</v>
      </c>
      <c r="C1599" s="1" t="n">
        <v>45889</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29130-2025</t>
        </is>
      </c>
      <c r="B1600" s="1" t="n">
        <v>45821</v>
      </c>
      <c r="C1600" s="1" t="n">
        <v>45889</v>
      </c>
      <c r="D1600" t="inlineStr">
        <is>
          <t>VÄRMLANDS LÄN</t>
        </is>
      </c>
      <c r="E1600" t="inlineStr">
        <is>
          <t>TORSBY</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1092-2025</t>
        </is>
      </c>
      <c r="B1601" s="1" t="n">
        <v>45666.6333912037</v>
      </c>
      <c r="C1601" s="1" t="n">
        <v>45889</v>
      </c>
      <c r="D1601" t="inlineStr">
        <is>
          <t>VÄRMLANDS LÄN</t>
        </is>
      </c>
      <c r="E1601" t="inlineStr">
        <is>
          <t>TORSBY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4030-2024</t>
        </is>
      </c>
      <c r="B1602" s="1" t="n">
        <v>45323</v>
      </c>
      <c r="C1602" s="1" t="n">
        <v>45889</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29925-2024</t>
        </is>
      </c>
      <c r="B1603" s="1" t="n">
        <v>45488</v>
      </c>
      <c r="C1603" s="1" t="n">
        <v>45889</v>
      </c>
      <c r="D1603" t="inlineStr">
        <is>
          <t>VÄRMLANDS LÄN</t>
        </is>
      </c>
      <c r="E1603" t="inlineStr">
        <is>
          <t>TORSBY</t>
        </is>
      </c>
      <c r="F1603" t="inlineStr">
        <is>
          <t>Kyrkan</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29936-2024</t>
        </is>
      </c>
      <c r="B1604" s="1" t="n">
        <v>45488</v>
      </c>
      <c r="C1604" s="1" t="n">
        <v>45889</v>
      </c>
      <c r="D1604" t="inlineStr">
        <is>
          <t>VÄRMLANDS LÄN</t>
        </is>
      </c>
      <c r="E1604" t="inlineStr">
        <is>
          <t>TORSBY</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2797-2025</t>
        </is>
      </c>
      <c r="B1605" s="1" t="n">
        <v>45677</v>
      </c>
      <c r="C1605" s="1" t="n">
        <v>45889</v>
      </c>
      <c r="D1605" t="inlineStr">
        <is>
          <t>VÄRMLANDS LÄN</t>
        </is>
      </c>
      <c r="E1605" t="inlineStr">
        <is>
          <t>TORSBY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36289-2025</t>
        </is>
      </c>
      <c r="B1606" s="1" t="n">
        <v>45867.66329861111</v>
      </c>
      <c r="C1606" s="1" t="n">
        <v>45889</v>
      </c>
      <c r="D1606" t="inlineStr">
        <is>
          <t>VÄRMLANDS LÄN</t>
        </is>
      </c>
      <c r="E1606" t="inlineStr">
        <is>
          <t>TORSBY</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62510-2023</t>
        </is>
      </c>
      <c r="B1607" s="1" t="n">
        <v>45268.61853009259</v>
      </c>
      <c r="C1607" s="1" t="n">
        <v>45889</v>
      </c>
      <c r="D1607" t="inlineStr">
        <is>
          <t>VÄRMLANDS LÄN</t>
        </is>
      </c>
      <c r="E1607" t="inlineStr">
        <is>
          <t>TORSBY</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27038-2024</t>
        </is>
      </c>
      <c r="B1608" s="1" t="n">
        <v>45471</v>
      </c>
      <c r="C1608" s="1" t="n">
        <v>45889</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27045-2024</t>
        </is>
      </c>
      <c r="B1609" s="1" t="n">
        <v>45471</v>
      </c>
      <c r="C1609" s="1" t="n">
        <v>45889</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27090-2024</t>
        </is>
      </c>
      <c r="B1610" s="1" t="n">
        <v>45471</v>
      </c>
      <c r="C1610" s="1" t="n">
        <v>45889</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36287-2025</t>
        </is>
      </c>
      <c r="B1611" s="1" t="n">
        <v>45867.65814814815</v>
      </c>
      <c r="C1611" s="1" t="n">
        <v>45889</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42347-2021</t>
        </is>
      </c>
      <c r="B1612" s="1" t="n">
        <v>44427</v>
      </c>
      <c r="C1612" s="1" t="n">
        <v>45889</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29908-2022</t>
        </is>
      </c>
      <c r="B1613" s="1" t="n">
        <v>44756</v>
      </c>
      <c r="C1613" s="1" t="n">
        <v>45889</v>
      </c>
      <c r="D1613" t="inlineStr">
        <is>
          <t>VÄRMLANDS LÄN</t>
        </is>
      </c>
      <c r="E1613" t="inlineStr">
        <is>
          <t>TORSBY</t>
        </is>
      </c>
      <c r="F1613" t="inlineStr">
        <is>
          <t>Kommuner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60458-2024</t>
        </is>
      </c>
      <c r="B1614" s="1" t="n">
        <v>45643</v>
      </c>
      <c r="C1614" s="1" t="n">
        <v>45889</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35980-2025</t>
        </is>
      </c>
      <c r="B1615" s="1" t="n">
        <v>45863</v>
      </c>
      <c r="C1615" s="1" t="n">
        <v>45889</v>
      </c>
      <c r="D1615" t="inlineStr">
        <is>
          <t>VÄRMLANDS LÄN</t>
        </is>
      </c>
      <c r="E1615" t="inlineStr">
        <is>
          <t>TORSBY</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41518-2024</t>
        </is>
      </c>
      <c r="B1616" s="1" t="n">
        <v>45560</v>
      </c>
      <c r="C1616" s="1" t="n">
        <v>45889</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29587-2025</t>
        </is>
      </c>
      <c r="B1617" s="1" t="n">
        <v>45825.39394675926</v>
      </c>
      <c r="C1617" s="1" t="n">
        <v>45889</v>
      </c>
      <c r="D1617" t="inlineStr">
        <is>
          <t>VÄRMLANDS LÄN</t>
        </is>
      </c>
      <c r="E1617" t="inlineStr">
        <is>
          <t>TORSBY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33429-2024</t>
        </is>
      </c>
      <c r="B1618" s="1" t="n">
        <v>45519.52792824074</v>
      </c>
      <c r="C1618" s="1" t="n">
        <v>45889</v>
      </c>
      <c r="D1618" t="inlineStr">
        <is>
          <t>VÄRMLANDS LÄN</t>
        </is>
      </c>
      <c r="E1618" t="inlineStr">
        <is>
          <t>TORSBY</t>
        </is>
      </c>
      <c r="F1618" t="inlineStr">
        <is>
          <t>Bergvik skog väst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29702-2025</t>
        </is>
      </c>
      <c r="B1619" s="1" t="n">
        <v>45825.55667824074</v>
      </c>
      <c r="C1619" s="1" t="n">
        <v>45889</v>
      </c>
      <c r="D1619" t="inlineStr">
        <is>
          <t>VÄRMLANDS LÄN</t>
        </is>
      </c>
      <c r="E1619" t="inlineStr">
        <is>
          <t>TORSBY</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17184-2023</t>
        </is>
      </c>
      <c r="B1620" s="1" t="n">
        <v>45034.69127314815</v>
      </c>
      <c r="C1620" s="1" t="n">
        <v>45889</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29641-2025</t>
        </is>
      </c>
      <c r="B1621" s="1" t="n">
        <v>45825.46285879629</v>
      </c>
      <c r="C1621" s="1" t="n">
        <v>45889</v>
      </c>
      <c r="D1621" t="inlineStr">
        <is>
          <t>VÄRMLANDS LÄN</t>
        </is>
      </c>
      <c r="E1621" t="inlineStr">
        <is>
          <t>TORSBY</t>
        </is>
      </c>
      <c r="G1621" t="n">
        <v>23.4</v>
      </c>
      <c r="H1621" t="n">
        <v>0</v>
      </c>
      <c r="I1621" t="n">
        <v>0</v>
      </c>
      <c r="J1621" t="n">
        <v>0</v>
      </c>
      <c r="K1621" t="n">
        <v>0</v>
      </c>
      <c r="L1621" t="n">
        <v>0</v>
      </c>
      <c r="M1621" t="n">
        <v>0</v>
      </c>
      <c r="N1621" t="n">
        <v>0</v>
      </c>
      <c r="O1621" t="n">
        <v>0</v>
      </c>
      <c r="P1621" t="n">
        <v>0</v>
      </c>
      <c r="Q1621" t="n">
        <v>0</v>
      </c>
      <c r="R1621" s="2" t="inlineStr"/>
    </row>
    <row r="1622" ht="15" customHeight="1">
      <c r="A1622" t="inlineStr">
        <is>
          <t>A 30078-2025</t>
        </is>
      </c>
      <c r="B1622" s="1" t="n">
        <v>45826.64291666666</v>
      </c>
      <c r="C1622" s="1" t="n">
        <v>45889</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30026-2025</t>
        </is>
      </c>
      <c r="B1623" s="1" t="n">
        <v>45826.5637037037</v>
      </c>
      <c r="C1623" s="1" t="n">
        <v>45889</v>
      </c>
      <c r="D1623" t="inlineStr">
        <is>
          <t>VÄRMLANDS LÄN</t>
        </is>
      </c>
      <c r="E1623" t="inlineStr">
        <is>
          <t>TORSBY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17065-2025</t>
        </is>
      </c>
      <c r="B1624" s="1" t="n">
        <v>45754</v>
      </c>
      <c r="C1624" s="1" t="n">
        <v>45889</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36288-2025</t>
        </is>
      </c>
      <c r="B1625" s="1" t="n">
        <v>45867.6619212963</v>
      </c>
      <c r="C1625" s="1" t="n">
        <v>45889</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14801-2025</t>
        </is>
      </c>
      <c r="B1626" s="1" t="n">
        <v>45743</v>
      </c>
      <c r="C1626" s="1" t="n">
        <v>45889</v>
      </c>
      <c r="D1626" t="inlineStr">
        <is>
          <t>VÄRMLANDS LÄN</t>
        </is>
      </c>
      <c r="E1626" t="inlineStr">
        <is>
          <t>TORSBY</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29512-2025</t>
        </is>
      </c>
      <c r="B1627" s="1" t="n">
        <v>45825.31002314815</v>
      </c>
      <c r="C1627" s="1" t="n">
        <v>45889</v>
      </c>
      <c r="D1627" t="inlineStr">
        <is>
          <t>VÄRMLANDS LÄN</t>
        </is>
      </c>
      <c r="E1627" t="inlineStr">
        <is>
          <t>TORSBY</t>
        </is>
      </c>
      <c r="F1627" t="inlineStr">
        <is>
          <t>Bergvik skog väst AB</t>
        </is>
      </c>
      <c r="G1627" t="n">
        <v>17.9</v>
      </c>
      <c r="H1627" t="n">
        <v>0</v>
      </c>
      <c r="I1627" t="n">
        <v>0</v>
      </c>
      <c r="J1627" t="n">
        <v>0</v>
      </c>
      <c r="K1627" t="n">
        <v>0</v>
      </c>
      <c r="L1627" t="n">
        <v>0</v>
      </c>
      <c r="M1627" t="n">
        <v>0</v>
      </c>
      <c r="N1627" t="n">
        <v>0</v>
      </c>
      <c r="O1627" t="n">
        <v>0</v>
      </c>
      <c r="P1627" t="n">
        <v>0</v>
      </c>
      <c r="Q1627" t="n">
        <v>0</v>
      </c>
      <c r="R1627" s="2" t="inlineStr"/>
    </row>
    <row r="1628" ht="15" customHeight="1">
      <c r="A1628" t="inlineStr">
        <is>
          <t>A 29650-2025</t>
        </is>
      </c>
      <c r="B1628" s="1" t="n">
        <v>45825.47546296296</v>
      </c>
      <c r="C1628" s="1" t="n">
        <v>45889</v>
      </c>
      <c r="D1628" t="inlineStr">
        <is>
          <t>VÄRMLANDS LÄN</t>
        </is>
      </c>
      <c r="E1628" t="inlineStr">
        <is>
          <t>TORSBY</t>
        </is>
      </c>
      <c r="G1628" t="n">
        <v>16.8</v>
      </c>
      <c r="H1628" t="n">
        <v>0</v>
      </c>
      <c r="I1628" t="n">
        <v>0</v>
      </c>
      <c r="J1628" t="n">
        <v>0</v>
      </c>
      <c r="K1628" t="n">
        <v>0</v>
      </c>
      <c r="L1628" t="n">
        <v>0</v>
      </c>
      <c r="M1628" t="n">
        <v>0</v>
      </c>
      <c r="N1628" t="n">
        <v>0</v>
      </c>
      <c r="O1628" t="n">
        <v>0</v>
      </c>
      <c r="P1628" t="n">
        <v>0</v>
      </c>
      <c r="Q1628" t="n">
        <v>0</v>
      </c>
      <c r="R1628" s="2" t="inlineStr"/>
    </row>
    <row r="1629" ht="15" customHeight="1">
      <c r="A1629" t="inlineStr">
        <is>
          <t>A 30074-2025</t>
        </is>
      </c>
      <c r="B1629" s="1" t="n">
        <v>45826.63672453703</v>
      </c>
      <c r="C1629" s="1" t="n">
        <v>45889</v>
      </c>
      <c r="D1629" t="inlineStr">
        <is>
          <t>VÄRMLANDS LÄN</t>
        </is>
      </c>
      <c r="E1629" t="inlineStr">
        <is>
          <t>TORSBY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36279-2025</t>
        </is>
      </c>
      <c r="B1630" s="1" t="n">
        <v>45867.638125</v>
      </c>
      <c r="C1630" s="1" t="n">
        <v>45889</v>
      </c>
      <c r="D1630" t="inlineStr">
        <is>
          <t>VÄRMLANDS LÄN</t>
        </is>
      </c>
      <c r="E1630" t="inlineStr">
        <is>
          <t>TORSBY</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6968-2025</t>
        </is>
      </c>
      <c r="B1631" s="1" t="n">
        <v>45701.53253472222</v>
      </c>
      <c r="C1631" s="1" t="n">
        <v>45889</v>
      </c>
      <c r="D1631" t="inlineStr">
        <is>
          <t>VÄRMLANDS LÄN</t>
        </is>
      </c>
      <c r="E1631" t="inlineStr">
        <is>
          <t>TORSBY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52580-2023</t>
        </is>
      </c>
      <c r="B1632" s="1" t="n">
        <v>45225.59354166667</v>
      </c>
      <c r="C1632" s="1" t="n">
        <v>45889</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52591-2023</t>
        </is>
      </c>
      <c r="B1633" s="1" t="n">
        <v>45225</v>
      </c>
      <c r="C1633" s="1" t="n">
        <v>45889</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36256-2025</t>
        </is>
      </c>
      <c r="B1634" s="1" t="n">
        <v>45867.58938657407</v>
      </c>
      <c r="C1634" s="1" t="n">
        <v>45889</v>
      </c>
      <c r="D1634" t="inlineStr">
        <is>
          <t>VÄRMLANDS LÄN</t>
        </is>
      </c>
      <c r="E1634" t="inlineStr">
        <is>
          <t>TORSBY</t>
        </is>
      </c>
      <c r="F1634" t="inlineStr">
        <is>
          <t>Bergvik skog väst AB</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36258-2025</t>
        </is>
      </c>
      <c r="B1635" s="1" t="n">
        <v>45867.59559027778</v>
      </c>
      <c r="C1635" s="1" t="n">
        <v>45889</v>
      </c>
      <c r="D1635" t="inlineStr">
        <is>
          <t>VÄRMLANDS LÄN</t>
        </is>
      </c>
      <c r="E1635" t="inlineStr">
        <is>
          <t>TORSBY</t>
        </is>
      </c>
      <c r="F1635" t="inlineStr">
        <is>
          <t>Bergvik skog väst AB</t>
        </is>
      </c>
      <c r="G1635" t="n">
        <v>13.7</v>
      </c>
      <c r="H1635" t="n">
        <v>0</v>
      </c>
      <c r="I1635" t="n">
        <v>0</v>
      </c>
      <c r="J1635" t="n">
        <v>0</v>
      </c>
      <c r="K1635" t="n">
        <v>0</v>
      </c>
      <c r="L1635" t="n">
        <v>0</v>
      </c>
      <c r="M1635" t="n">
        <v>0</v>
      </c>
      <c r="N1635" t="n">
        <v>0</v>
      </c>
      <c r="O1635" t="n">
        <v>0</v>
      </c>
      <c r="P1635" t="n">
        <v>0</v>
      </c>
      <c r="Q1635" t="n">
        <v>0</v>
      </c>
      <c r="R1635" s="2" t="inlineStr"/>
    </row>
    <row r="1636" ht="15" customHeight="1">
      <c r="A1636" t="inlineStr">
        <is>
          <t>A 16309-2023</t>
        </is>
      </c>
      <c r="B1636" s="1" t="n">
        <v>45028.58873842593</v>
      </c>
      <c r="C1636" s="1" t="n">
        <v>45889</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30011-2024</t>
        </is>
      </c>
      <c r="B1637" s="1" t="n">
        <v>45488</v>
      </c>
      <c r="C1637" s="1" t="n">
        <v>45889</v>
      </c>
      <c r="D1637" t="inlineStr">
        <is>
          <t>VÄRMLANDS LÄN</t>
        </is>
      </c>
      <c r="E1637" t="inlineStr">
        <is>
          <t>TORSBY</t>
        </is>
      </c>
      <c r="F1637" t="inlineStr">
        <is>
          <t>Kommuner</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29525-2025</t>
        </is>
      </c>
      <c r="B1638" s="1" t="n">
        <v>45825.33684027778</v>
      </c>
      <c r="C1638" s="1" t="n">
        <v>45889</v>
      </c>
      <c r="D1638" t="inlineStr">
        <is>
          <t>VÄRMLANDS LÄN</t>
        </is>
      </c>
      <c r="E1638" t="inlineStr">
        <is>
          <t>TORSBY</t>
        </is>
      </c>
      <c r="F1638" t="inlineStr">
        <is>
          <t>Bergvik skog väst AB</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10329-2025</t>
        </is>
      </c>
      <c r="B1639" s="1" t="n">
        <v>45720</v>
      </c>
      <c r="C1639" s="1" t="n">
        <v>45889</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10343-2025</t>
        </is>
      </c>
      <c r="B1640" s="1" t="n">
        <v>45720</v>
      </c>
      <c r="C1640" s="1" t="n">
        <v>45889</v>
      </c>
      <c r="D1640" t="inlineStr">
        <is>
          <t>VÄRMLANDS LÄN</t>
        </is>
      </c>
      <c r="E1640" t="inlineStr">
        <is>
          <t>TORSBY</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19675-2023</t>
        </is>
      </c>
      <c r="B1641" s="1" t="n">
        <v>45051</v>
      </c>
      <c r="C1641" s="1" t="n">
        <v>45889</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41322-2022</t>
        </is>
      </c>
      <c r="B1642" s="1" t="n">
        <v>44826</v>
      </c>
      <c r="C1642" s="1" t="n">
        <v>45889</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42662-2024</t>
        </is>
      </c>
      <c r="B1643" s="1" t="n">
        <v>45566</v>
      </c>
      <c r="C1643" s="1" t="n">
        <v>45889</v>
      </c>
      <c r="D1643" t="inlineStr">
        <is>
          <t>VÄRMLANDS LÄN</t>
        </is>
      </c>
      <c r="E1643" t="inlineStr">
        <is>
          <t>TORSBY</t>
        </is>
      </c>
      <c r="F1643" t="inlineStr">
        <is>
          <t>Bergvik skog väst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8197-2025</t>
        </is>
      </c>
      <c r="B1644" s="1" t="n">
        <v>45708.4318287037</v>
      </c>
      <c r="C1644" s="1" t="n">
        <v>45889</v>
      </c>
      <c r="D1644" t="inlineStr">
        <is>
          <t>VÄRMLANDS LÄN</t>
        </is>
      </c>
      <c r="E1644" t="inlineStr">
        <is>
          <t>TORSBY</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30214-2025</t>
        </is>
      </c>
      <c r="B1645" s="1" t="n">
        <v>45827</v>
      </c>
      <c r="C1645" s="1" t="n">
        <v>45889</v>
      </c>
      <c r="D1645" t="inlineStr">
        <is>
          <t>VÄRMLANDS LÄN</t>
        </is>
      </c>
      <c r="E1645" t="inlineStr">
        <is>
          <t>TORSBY</t>
        </is>
      </c>
      <c r="F1645" t="inlineStr">
        <is>
          <t>Bergvik skog väst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36477-2025</t>
        </is>
      </c>
      <c r="B1646" s="1" t="n">
        <v>45869</v>
      </c>
      <c r="C1646" s="1" t="n">
        <v>45889</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25316-2024</t>
        </is>
      </c>
      <c r="B1647" s="1" t="n">
        <v>45462</v>
      </c>
      <c r="C1647" s="1" t="n">
        <v>45889</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15899-2024</t>
        </is>
      </c>
      <c r="B1648" s="1" t="n">
        <v>45405.4034837963</v>
      </c>
      <c r="C1648" s="1" t="n">
        <v>45889</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1803-2024</t>
        </is>
      </c>
      <c r="B1649" s="1" t="n">
        <v>45307</v>
      </c>
      <c r="C1649" s="1" t="n">
        <v>45889</v>
      </c>
      <c r="D1649" t="inlineStr">
        <is>
          <t>VÄRMLANDS LÄN</t>
        </is>
      </c>
      <c r="E1649" t="inlineStr">
        <is>
          <t>TORSBY</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30433-2025</t>
        </is>
      </c>
      <c r="B1650" s="1" t="n">
        <v>45827</v>
      </c>
      <c r="C1650" s="1" t="n">
        <v>45889</v>
      </c>
      <c r="D1650" t="inlineStr">
        <is>
          <t>VÄRMLANDS LÄN</t>
        </is>
      </c>
      <c r="E1650" t="inlineStr">
        <is>
          <t>TORSBY</t>
        </is>
      </c>
      <c r="G1650" t="n">
        <v>13.4</v>
      </c>
      <c r="H1650" t="n">
        <v>0</v>
      </c>
      <c r="I1650" t="n">
        <v>0</v>
      </c>
      <c r="J1650" t="n">
        <v>0</v>
      </c>
      <c r="K1650" t="n">
        <v>0</v>
      </c>
      <c r="L1650" t="n">
        <v>0</v>
      </c>
      <c r="M1650" t="n">
        <v>0</v>
      </c>
      <c r="N1650" t="n">
        <v>0</v>
      </c>
      <c r="O1650" t="n">
        <v>0</v>
      </c>
      <c r="P1650" t="n">
        <v>0</v>
      </c>
      <c r="Q1650" t="n">
        <v>0</v>
      </c>
      <c r="R1650" s="2" t="inlineStr"/>
    </row>
    <row r="1651" ht="15" customHeight="1">
      <c r="A1651" t="inlineStr">
        <is>
          <t>A 37279-2022</t>
        </is>
      </c>
      <c r="B1651" s="1" t="n">
        <v>44807</v>
      </c>
      <c r="C1651" s="1" t="n">
        <v>45889</v>
      </c>
      <c r="D1651" t="inlineStr">
        <is>
          <t>VÄRMLANDS LÄN</t>
        </is>
      </c>
      <c r="E1651" t="inlineStr">
        <is>
          <t>TORSBY</t>
        </is>
      </c>
      <c r="G1651" t="n">
        <v>18.2</v>
      </c>
      <c r="H1651" t="n">
        <v>0</v>
      </c>
      <c r="I1651" t="n">
        <v>0</v>
      </c>
      <c r="J1651" t="n">
        <v>0</v>
      </c>
      <c r="K1651" t="n">
        <v>0</v>
      </c>
      <c r="L1651" t="n">
        <v>0</v>
      </c>
      <c r="M1651" t="n">
        <v>0</v>
      </c>
      <c r="N1651" t="n">
        <v>0</v>
      </c>
      <c r="O1651" t="n">
        <v>0</v>
      </c>
      <c r="P1651" t="n">
        <v>0</v>
      </c>
      <c r="Q1651" t="n">
        <v>0</v>
      </c>
      <c r="R1651" s="2" t="inlineStr"/>
    </row>
    <row r="1652" ht="15" customHeight="1">
      <c r="A1652" t="inlineStr">
        <is>
          <t>A 56571-2024</t>
        </is>
      </c>
      <c r="B1652" s="1" t="n">
        <v>45625</v>
      </c>
      <c r="C1652" s="1" t="n">
        <v>45889</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30199-2025</t>
        </is>
      </c>
      <c r="B1653" s="1" t="n">
        <v>45827</v>
      </c>
      <c r="C1653" s="1" t="n">
        <v>45889</v>
      </c>
      <c r="D1653" t="inlineStr">
        <is>
          <t>VÄRMLANDS LÄN</t>
        </is>
      </c>
      <c r="E1653" t="inlineStr">
        <is>
          <t>TORSBY</t>
        </is>
      </c>
      <c r="F1653" t="inlineStr">
        <is>
          <t>Bergvik skog väst AB</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34697-2024</t>
        </is>
      </c>
      <c r="B1654" s="1" t="n">
        <v>45526.55518518519</v>
      </c>
      <c r="C1654" s="1" t="n">
        <v>45889</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36419-2024</t>
        </is>
      </c>
      <c r="B1655" s="1" t="n">
        <v>45536.58380787037</v>
      </c>
      <c r="C1655" s="1" t="n">
        <v>45889</v>
      </c>
      <c r="D1655" t="inlineStr">
        <is>
          <t>VÄRMLANDS LÄN</t>
        </is>
      </c>
      <c r="E1655" t="inlineStr">
        <is>
          <t>TORSBY</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32845-2024</t>
        </is>
      </c>
      <c r="B1656" s="1" t="n">
        <v>45516.62422453704</v>
      </c>
      <c r="C1656" s="1" t="n">
        <v>45889</v>
      </c>
      <c r="D1656" t="inlineStr">
        <is>
          <t>VÄRMLANDS LÄN</t>
        </is>
      </c>
      <c r="E1656" t="inlineStr">
        <is>
          <t>TORSBY</t>
        </is>
      </c>
      <c r="F1656" t="inlineStr">
        <is>
          <t>Bergvik skog väst AB</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30380-2025</t>
        </is>
      </c>
      <c r="B1657" s="1" t="n">
        <v>45827</v>
      </c>
      <c r="C1657" s="1" t="n">
        <v>45889</v>
      </c>
      <c r="D1657" t="inlineStr">
        <is>
          <t>VÄRMLANDS LÄN</t>
        </is>
      </c>
      <c r="E1657" t="inlineStr">
        <is>
          <t>TORSBY</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4537-2025</t>
        </is>
      </c>
      <c r="B1658" s="1" t="n">
        <v>45687.38836805556</v>
      </c>
      <c r="C1658" s="1" t="n">
        <v>45889</v>
      </c>
      <c r="D1658" t="inlineStr">
        <is>
          <t>VÄRMLANDS LÄN</t>
        </is>
      </c>
      <c r="E1658" t="inlineStr">
        <is>
          <t>TORSBY</t>
        </is>
      </c>
      <c r="F1658" t="inlineStr">
        <is>
          <t>Kommuner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30151-2025</t>
        </is>
      </c>
      <c r="B1659" s="1" t="n">
        <v>45827</v>
      </c>
      <c r="C1659" s="1" t="n">
        <v>45889</v>
      </c>
      <c r="D1659" t="inlineStr">
        <is>
          <t>VÄRMLANDS LÄN</t>
        </is>
      </c>
      <c r="E1659" t="inlineStr">
        <is>
          <t>TORSBY</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36530-2025</t>
        </is>
      </c>
      <c r="B1660" s="1" t="n">
        <v>45869.61282407407</v>
      </c>
      <c r="C1660" s="1" t="n">
        <v>45889</v>
      </c>
      <c r="D1660" t="inlineStr">
        <is>
          <t>VÄRMLANDS LÄN</t>
        </is>
      </c>
      <c r="E1660" t="inlineStr">
        <is>
          <t>TORSBY</t>
        </is>
      </c>
      <c r="F1660" t="inlineStr">
        <is>
          <t>Bergvik skog väst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19625-2025</t>
        </is>
      </c>
      <c r="B1661" s="1" t="n">
        <v>45770.63438657407</v>
      </c>
      <c r="C1661" s="1" t="n">
        <v>45889</v>
      </c>
      <c r="D1661" t="inlineStr">
        <is>
          <t>VÄRMLANDS LÄN</t>
        </is>
      </c>
      <c r="E1661" t="inlineStr">
        <is>
          <t>TORSBY</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30153-2025</t>
        </is>
      </c>
      <c r="B1662" s="1" t="n">
        <v>45827.31736111111</v>
      </c>
      <c r="C1662" s="1" t="n">
        <v>45889</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36548-2025</t>
        </is>
      </c>
      <c r="B1663" s="1" t="n">
        <v>45869.74849537037</v>
      </c>
      <c r="C1663" s="1" t="n">
        <v>45889</v>
      </c>
      <c r="D1663" t="inlineStr">
        <is>
          <t>VÄRMLANDS LÄN</t>
        </is>
      </c>
      <c r="E1663" t="inlineStr">
        <is>
          <t>TORSBY</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33133-2024</t>
        </is>
      </c>
      <c r="B1664" s="1" t="n">
        <v>45518.31722222222</v>
      </c>
      <c r="C1664" s="1" t="n">
        <v>45889</v>
      </c>
      <c r="D1664" t="inlineStr">
        <is>
          <t>VÄRMLANDS LÄN</t>
        </is>
      </c>
      <c r="E1664" t="inlineStr">
        <is>
          <t>TORSBY</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30333-2025</t>
        </is>
      </c>
      <c r="B1665" s="1" t="n">
        <v>45827</v>
      </c>
      <c r="C1665" s="1" t="n">
        <v>45889</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30377-2025</t>
        </is>
      </c>
      <c r="B1666" s="1" t="n">
        <v>45827</v>
      </c>
      <c r="C1666" s="1" t="n">
        <v>45889</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30388-2025</t>
        </is>
      </c>
      <c r="B1667" s="1" t="n">
        <v>45827.5734837963</v>
      </c>
      <c r="C1667" s="1" t="n">
        <v>45889</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30974-2025</t>
        </is>
      </c>
      <c r="B1668" s="1" t="n">
        <v>45832.46305555556</v>
      </c>
      <c r="C1668" s="1" t="n">
        <v>45889</v>
      </c>
      <c r="D1668" t="inlineStr">
        <is>
          <t>VÄRMLANDS LÄN</t>
        </is>
      </c>
      <c r="E1668" t="inlineStr">
        <is>
          <t>TORSBY</t>
        </is>
      </c>
      <c r="G1668" t="n">
        <v>29.2</v>
      </c>
      <c r="H1668" t="n">
        <v>0</v>
      </c>
      <c r="I1668" t="n">
        <v>0</v>
      </c>
      <c r="J1668" t="n">
        <v>0</v>
      </c>
      <c r="K1668" t="n">
        <v>0</v>
      </c>
      <c r="L1668" t="n">
        <v>0</v>
      </c>
      <c r="M1668" t="n">
        <v>0</v>
      </c>
      <c r="N1668" t="n">
        <v>0</v>
      </c>
      <c r="O1668" t="n">
        <v>0</v>
      </c>
      <c r="P1668" t="n">
        <v>0</v>
      </c>
      <c r="Q1668" t="n">
        <v>0</v>
      </c>
      <c r="R1668" s="2" t="inlineStr"/>
    </row>
    <row r="1669" ht="15" customHeight="1">
      <c r="A1669" t="inlineStr">
        <is>
          <t>A 52809-2024</t>
        </is>
      </c>
      <c r="B1669" s="1" t="n">
        <v>45610</v>
      </c>
      <c r="C1669" s="1" t="n">
        <v>45889</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41377-2021</t>
        </is>
      </c>
      <c r="B1670" s="1" t="n">
        <v>44424.65148148148</v>
      </c>
      <c r="C1670" s="1" t="n">
        <v>45889</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18544-2023</t>
        </is>
      </c>
      <c r="B1671" s="1" t="n">
        <v>45041</v>
      </c>
      <c r="C1671" s="1" t="n">
        <v>45889</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30738-2025</t>
        </is>
      </c>
      <c r="B1672" s="1" t="n">
        <v>45831.57583333334</v>
      </c>
      <c r="C1672" s="1" t="n">
        <v>45889</v>
      </c>
      <c r="D1672" t="inlineStr">
        <is>
          <t>VÄRMLANDS LÄN</t>
        </is>
      </c>
      <c r="E1672" t="inlineStr">
        <is>
          <t>TORSBY</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67457-2021</t>
        </is>
      </c>
      <c r="B1673" s="1" t="n">
        <v>44524</v>
      </c>
      <c r="C1673" s="1" t="n">
        <v>45889</v>
      </c>
      <c r="D1673" t="inlineStr">
        <is>
          <t>VÄRMLANDS LÄN</t>
        </is>
      </c>
      <c r="E1673" t="inlineStr">
        <is>
          <t>TORSBY</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33853-2021</t>
        </is>
      </c>
      <c r="B1674" s="1" t="n">
        <v>44378.61460648148</v>
      </c>
      <c r="C1674" s="1" t="n">
        <v>45889</v>
      </c>
      <c r="D1674" t="inlineStr">
        <is>
          <t>VÄRMLANDS LÄN</t>
        </is>
      </c>
      <c r="E1674" t="inlineStr">
        <is>
          <t>TORSBY</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15315-2024</t>
        </is>
      </c>
      <c r="B1675" s="1" t="n">
        <v>45400</v>
      </c>
      <c r="C1675" s="1" t="n">
        <v>45889</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30735-2025</t>
        </is>
      </c>
      <c r="B1676" s="1" t="n">
        <v>45831.57479166667</v>
      </c>
      <c r="C1676" s="1" t="n">
        <v>45889</v>
      </c>
      <c r="D1676" t="inlineStr">
        <is>
          <t>VÄRMLANDS LÄN</t>
        </is>
      </c>
      <c r="E1676" t="inlineStr">
        <is>
          <t>TORSBY</t>
        </is>
      </c>
      <c r="F1676" t="inlineStr">
        <is>
          <t>Bergvik skog väst AB</t>
        </is>
      </c>
      <c r="G1676" t="n">
        <v>11.2</v>
      </c>
      <c r="H1676" t="n">
        <v>0</v>
      </c>
      <c r="I1676" t="n">
        <v>0</v>
      </c>
      <c r="J1676" t="n">
        <v>0</v>
      </c>
      <c r="K1676" t="n">
        <v>0</v>
      </c>
      <c r="L1676" t="n">
        <v>0</v>
      </c>
      <c r="M1676" t="n">
        <v>0</v>
      </c>
      <c r="N1676" t="n">
        <v>0</v>
      </c>
      <c r="O1676" t="n">
        <v>0</v>
      </c>
      <c r="P1676" t="n">
        <v>0</v>
      </c>
      <c r="Q1676" t="n">
        <v>0</v>
      </c>
      <c r="R1676" s="2" t="inlineStr"/>
    </row>
    <row r="1677" ht="15" customHeight="1">
      <c r="A1677" t="inlineStr">
        <is>
          <t>A 31101-2025</t>
        </is>
      </c>
      <c r="B1677" s="1" t="n">
        <v>45832</v>
      </c>
      <c r="C1677" s="1" t="n">
        <v>45889</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53381-2022</t>
        </is>
      </c>
      <c r="B1678" s="1" t="n">
        <v>44879</v>
      </c>
      <c r="C1678" s="1" t="n">
        <v>45889</v>
      </c>
      <c r="D1678" t="inlineStr">
        <is>
          <t>VÄRMLANDS LÄN</t>
        </is>
      </c>
      <c r="E1678" t="inlineStr">
        <is>
          <t>TORSBY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66194-2020</t>
        </is>
      </c>
      <c r="B1679" s="1" t="n">
        <v>44175</v>
      </c>
      <c r="C1679" s="1" t="n">
        <v>45889</v>
      </c>
      <c r="D1679" t="inlineStr">
        <is>
          <t>VÄRMLANDS LÄN</t>
        </is>
      </c>
      <c r="E1679" t="inlineStr">
        <is>
          <t>TORSBY</t>
        </is>
      </c>
      <c r="F1679" t="inlineStr">
        <is>
          <t>Bergvik skog väst AB</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38184-2024</t>
        </is>
      </c>
      <c r="B1680" s="1" t="n">
        <v>45545</v>
      </c>
      <c r="C1680" s="1" t="n">
        <v>45889</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61546-2024</t>
        </is>
      </c>
      <c r="B1681" s="1" t="n">
        <v>45645</v>
      </c>
      <c r="C1681" s="1" t="n">
        <v>45889</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30560-2025</t>
        </is>
      </c>
      <c r="B1682" s="1" t="n">
        <v>45831.39497685185</v>
      </c>
      <c r="C1682" s="1" t="n">
        <v>45889</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33782-2023</t>
        </is>
      </c>
      <c r="B1683" s="1" t="n">
        <v>45120</v>
      </c>
      <c r="C1683" s="1" t="n">
        <v>45889</v>
      </c>
      <c r="D1683" t="inlineStr">
        <is>
          <t>VÄRMLANDS LÄN</t>
        </is>
      </c>
      <c r="E1683" t="inlineStr">
        <is>
          <t>TORSBY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739-2022</t>
        </is>
      </c>
      <c r="B1684" s="1" t="n">
        <v>44568</v>
      </c>
      <c r="C1684" s="1" t="n">
        <v>45889</v>
      </c>
      <c r="D1684" t="inlineStr">
        <is>
          <t>VÄRMLANDS LÄN</t>
        </is>
      </c>
      <c r="E1684" t="inlineStr">
        <is>
          <t>TORSBY</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38486-2022</t>
        </is>
      </c>
      <c r="B1685" s="1" t="n">
        <v>44813</v>
      </c>
      <c r="C1685" s="1" t="n">
        <v>45889</v>
      </c>
      <c r="D1685" t="inlineStr">
        <is>
          <t>VÄRMLANDS LÄN</t>
        </is>
      </c>
      <c r="E1685" t="inlineStr">
        <is>
          <t>TORSBY</t>
        </is>
      </c>
      <c r="F1685" t="inlineStr">
        <is>
          <t>Bergvik skog väst AB</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18096-2025</t>
        </is>
      </c>
      <c r="B1686" s="1" t="n">
        <v>45761</v>
      </c>
      <c r="C1686" s="1" t="n">
        <v>45889</v>
      </c>
      <c r="D1686" t="inlineStr">
        <is>
          <t>VÄRMLANDS LÄN</t>
        </is>
      </c>
      <c r="E1686" t="inlineStr">
        <is>
          <t>TORSBY</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5052-2025</t>
        </is>
      </c>
      <c r="B1687" s="1" t="n">
        <v>45691</v>
      </c>
      <c r="C1687" s="1" t="n">
        <v>45889</v>
      </c>
      <c r="D1687" t="inlineStr">
        <is>
          <t>VÄRMLANDS LÄN</t>
        </is>
      </c>
      <c r="E1687" t="inlineStr">
        <is>
          <t>TORSBY</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6111-2021</t>
        </is>
      </c>
      <c r="B1688" s="1" t="n">
        <v>44232</v>
      </c>
      <c r="C1688" s="1" t="n">
        <v>45889</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34568-2022</t>
        </is>
      </c>
      <c r="B1689" s="1" t="n">
        <v>44795.28277777778</v>
      </c>
      <c r="C1689" s="1" t="n">
        <v>45889</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36856-2025</t>
        </is>
      </c>
      <c r="B1690" s="1" t="n">
        <v>45874.40421296296</v>
      </c>
      <c r="C1690" s="1" t="n">
        <v>45889</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8012-2023</t>
        </is>
      </c>
      <c r="B1691" s="1" t="n">
        <v>44973</v>
      </c>
      <c r="C1691" s="1" t="n">
        <v>45889</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30958-2025</t>
        </is>
      </c>
      <c r="B1692" s="1" t="n">
        <v>45832.43880787037</v>
      </c>
      <c r="C1692" s="1" t="n">
        <v>45889</v>
      </c>
      <c r="D1692" t="inlineStr">
        <is>
          <t>VÄRMLANDS LÄN</t>
        </is>
      </c>
      <c r="E1692" t="inlineStr">
        <is>
          <t>TORSBY</t>
        </is>
      </c>
      <c r="G1692" t="n">
        <v>28.5</v>
      </c>
      <c r="H1692" t="n">
        <v>0</v>
      </c>
      <c r="I1692" t="n">
        <v>0</v>
      </c>
      <c r="J1692" t="n">
        <v>0</v>
      </c>
      <c r="K1692" t="n">
        <v>0</v>
      </c>
      <c r="L1692" t="n">
        <v>0</v>
      </c>
      <c r="M1692" t="n">
        <v>0</v>
      </c>
      <c r="N1692" t="n">
        <v>0</v>
      </c>
      <c r="O1692" t="n">
        <v>0</v>
      </c>
      <c r="P1692" t="n">
        <v>0</v>
      </c>
      <c r="Q1692" t="n">
        <v>0</v>
      </c>
      <c r="R1692" s="2" t="inlineStr"/>
    </row>
    <row r="1693" ht="15" customHeight="1">
      <c r="A1693" t="inlineStr">
        <is>
          <t>A 30607-2025</t>
        </is>
      </c>
      <c r="B1693" s="1" t="n">
        <v>45831.4584375</v>
      </c>
      <c r="C1693" s="1" t="n">
        <v>45889</v>
      </c>
      <c r="D1693" t="inlineStr">
        <is>
          <t>VÄRMLANDS LÄN</t>
        </is>
      </c>
      <c r="E1693" t="inlineStr">
        <is>
          <t>TORSBY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18684-2025</t>
        </is>
      </c>
      <c r="B1694" s="1" t="n">
        <v>45763.61064814815</v>
      </c>
      <c r="C1694" s="1" t="n">
        <v>45889</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15274-2024</t>
        </is>
      </c>
      <c r="B1695" s="1" t="n">
        <v>45400.58201388889</v>
      </c>
      <c r="C1695" s="1" t="n">
        <v>45889</v>
      </c>
      <c r="D1695" t="inlineStr">
        <is>
          <t>VÄRMLANDS LÄN</t>
        </is>
      </c>
      <c r="E1695" t="inlineStr">
        <is>
          <t>TORSBY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30717-2025</t>
        </is>
      </c>
      <c r="B1696" s="1" t="n">
        <v>45831.56103009259</v>
      </c>
      <c r="C1696" s="1" t="n">
        <v>45889</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61738-2020</t>
        </is>
      </c>
      <c r="B1697" s="1" t="n">
        <v>44158</v>
      </c>
      <c r="C1697" s="1" t="n">
        <v>45889</v>
      </c>
      <c r="D1697" t="inlineStr">
        <is>
          <t>VÄRMLANDS LÄN</t>
        </is>
      </c>
      <c r="E1697" t="inlineStr">
        <is>
          <t>TORSBY</t>
        </is>
      </c>
      <c r="F1697" t="inlineStr">
        <is>
          <t>Kommuner</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30836-2025</t>
        </is>
      </c>
      <c r="B1698" s="1" t="n">
        <v>45831.70571759259</v>
      </c>
      <c r="C1698" s="1" t="n">
        <v>45889</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31547-2025</t>
        </is>
      </c>
      <c r="B1699" s="1" t="n">
        <v>45833.63733796297</v>
      </c>
      <c r="C1699" s="1" t="n">
        <v>45889</v>
      </c>
      <c r="D1699" t="inlineStr">
        <is>
          <t>VÄRMLANDS LÄN</t>
        </is>
      </c>
      <c r="E1699" t="inlineStr">
        <is>
          <t>TORSBY</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36483-2025</t>
        </is>
      </c>
      <c r="B1700" s="1" t="n">
        <v>45869</v>
      </c>
      <c r="C1700" s="1" t="n">
        <v>45889</v>
      </c>
      <c r="D1700" t="inlineStr">
        <is>
          <t>VÄRMLANDS LÄN</t>
        </is>
      </c>
      <c r="E1700" t="inlineStr">
        <is>
          <t>TORSBY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57172-2022</t>
        </is>
      </c>
      <c r="B1701" s="1" t="n">
        <v>44895</v>
      </c>
      <c r="C1701" s="1" t="n">
        <v>45889</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36500-2025</t>
        </is>
      </c>
      <c r="B1702" s="1" t="n">
        <v>45869</v>
      </c>
      <c r="C1702" s="1" t="n">
        <v>45889</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31316-2025</t>
        </is>
      </c>
      <c r="B1703" s="1" t="n">
        <v>45833.40241898148</v>
      </c>
      <c r="C1703" s="1" t="n">
        <v>45889</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41843-2023</t>
        </is>
      </c>
      <c r="B1704" s="1" t="n">
        <v>45176.60533564815</v>
      </c>
      <c r="C1704" s="1" t="n">
        <v>45889</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36920-2025</t>
        </is>
      </c>
      <c r="B1705" s="1" t="n">
        <v>45874</v>
      </c>
      <c r="C1705" s="1" t="n">
        <v>45889</v>
      </c>
      <c r="D1705" t="inlineStr">
        <is>
          <t>VÄRMLANDS LÄN</t>
        </is>
      </c>
      <c r="E1705" t="inlineStr">
        <is>
          <t>TORSBY</t>
        </is>
      </c>
      <c r="F1705" t="inlineStr">
        <is>
          <t>Bergvik skog väst AB</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31493-2021</t>
        </is>
      </c>
      <c r="B1706" s="1" t="n">
        <v>44369</v>
      </c>
      <c r="C1706" s="1" t="n">
        <v>45889</v>
      </c>
      <c r="D1706" t="inlineStr">
        <is>
          <t>VÄRMLANDS LÄN</t>
        </is>
      </c>
      <c r="E1706" t="inlineStr">
        <is>
          <t>TORSBY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37334-2025</t>
        </is>
      </c>
      <c r="B1707" s="1" t="n">
        <v>45876.66663194444</v>
      </c>
      <c r="C1707" s="1" t="n">
        <v>45889</v>
      </c>
      <c r="D1707" t="inlineStr">
        <is>
          <t>VÄRMLANDS LÄN</t>
        </is>
      </c>
      <c r="E1707" t="inlineStr">
        <is>
          <t>TORSBY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31850-2025</t>
        </is>
      </c>
      <c r="B1708" s="1" t="n">
        <v>45834</v>
      </c>
      <c r="C1708" s="1" t="n">
        <v>45889</v>
      </c>
      <c r="D1708" t="inlineStr">
        <is>
          <t>VÄRMLANDS LÄN</t>
        </is>
      </c>
      <c r="E1708" t="inlineStr">
        <is>
          <t>TORSBY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37348-2025</t>
        </is>
      </c>
      <c r="B1709" s="1" t="n">
        <v>45876.71136574074</v>
      </c>
      <c r="C1709" s="1" t="n">
        <v>45889</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31630-2025</t>
        </is>
      </c>
      <c r="B1710" s="1" t="n">
        <v>45834.32670138889</v>
      </c>
      <c r="C1710" s="1" t="n">
        <v>45889</v>
      </c>
      <c r="D1710" t="inlineStr">
        <is>
          <t>VÄRMLANDS LÄN</t>
        </is>
      </c>
      <c r="E1710" t="inlineStr">
        <is>
          <t>TORSBY</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31902-2025</t>
        </is>
      </c>
      <c r="B1711" s="1" t="n">
        <v>45834.68592592593</v>
      </c>
      <c r="C1711" s="1" t="n">
        <v>45889</v>
      </c>
      <c r="D1711" t="inlineStr">
        <is>
          <t>VÄRMLANDS LÄN</t>
        </is>
      </c>
      <c r="E1711" t="inlineStr">
        <is>
          <t>TORSBY</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31906-2025</t>
        </is>
      </c>
      <c r="B1712" s="1" t="n">
        <v>45834.69046296296</v>
      </c>
      <c r="C1712" s="1" t="n">
        <v>45889</v>
      </c>
      <c r="D1712" t="inlineStr">
        <is>
          <t>VÄRMLANDS LÄN</t>
        </is>
      </c>
      <c r="E1712" t="inlineStr">
        <is>
          <t>TORSBY</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21094-2022</t>
        </is>
      </c>
      <c r="B1713" s="1" t="n">
        <v>44704</v>
      </c>
      <c r="C1713" s="1" t="n">
        <v>45889</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31335-2025</t>
        </is>
      </c>
      <c r="B1714" s="1" t="n">
        <v>45833.42608796297</v>
      </c>
      <c r="C1714" s="1" t="n">
        <v>45889</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37236-2025</t>
        </is>
      </c>
      <c r="B1715" s="1" t="n">
        <v>45876.36116898148</v>
      </c>
      <c r="C1715" s="1" t="n">
        <v>45889</v>
      </c>
      <c r="D1715" t="inlineStr">
        <is>
          <t>VÄRMLANDS LÄN</t>
        </is>
      </c>
      <c r="E1715" t="inlineStr">
        <is>
          <t>TORSBY</t>
        </is>
      </c>
      <c r="F1715" t="inlineStr">
        <is>
          <t>Bergvik skog väst AB</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19527-2023</t>
        </is>
      </c>
      <c r="B1716" s="1" t="n">
        <v>45050</v>
      </c>
      <c r="C1716" s="1" t="n">
        <v>45889</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18354-2021</t>
        </is>
      </c>
      <c r="B1717" s="1" t="n">
        <v>44305.56186342592</v>
      </c>
      <c r="C1717" s="1" t="n">
        <v>45889</v>
      </c>
      <c r="D1717" t="inlineStr">
        <is>
          <t>VÄRMLANDS LÄN</t>
        </is>
      </c>
      <c r="E1717" t="inlineStr">
        <is>
          <t>TORSBY</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67547-2020</t>
        </is>
      </c>
      <c r="B1718" s="1" t="n">
        <v>44181</v>
      </c>
      <c r="C1718" s="1" t="n">
        <v>45889</v>
      </c>
      <c r="D1718" t="inlineStr">
        <is>
          <t>VÄRMLANDS LÄN</t>
        </is>
      </c>
      <c r="E1718" t="inlineStr">
        <is>
          <t>TORSBY</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37339-2025</t>
        </is>
      </c>
      <c r="B1719" s="1" t="n">
        <v>45876.68457175926</v>
      </c>
      <c r="C1719" s="1" t="n">
        <v>45889</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21390-2023</t>
        </is>
      </c>
      <c r="B1720" s="1" t="n">
        <v>45063</v>
      </c>
      <c r="C1720" s="1" t="n">
        <v>45889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21409-2023</t>
        </is>
      </c>
      <c r="B1721" s="1" t="n">
        <v>45063</v>
      </c>
      <c r="C1721" s="1" t="n">
        <v>45889</v>
      </c>
      <c r="D1721" t="inlineStr">
        <is>
          <t>VÄRMLANDS LÄN</t>
        </is>
      </c>
      <c r="E1721" t="inlineStr">
        <is>
          <t>TORSBY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34164-2024</t>
        </is>
      </c>
      <c r="B1722" s="1" t="n">
        <v>45524.41924768518</v>
      </c>
      <c r="C1722" s="1" t="n">
        <v>45889</v>
      </c>
      <c r="D1722" t="inlineStr">
        <is>
          <t>VÄRMLANDS LÄN</t>
        </is>
      </c>
      <c r="E1722" t="inlineStr">
        <is>
          <t>TORSBY</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42945-2024</t>
        </is>
      </c>
      <c r="B1723" s="1" t="n">
        <v>45567</v>
      </c>
      <c r="C1723" s="1" t="n">
        <v>45889</v>
      </c>
      <c r="D1723" t="inlineStr">
        <is>
          <t>VÄRMLANDS LÄN</t>
        </is>
      </c>
      <c r="E1723" t="inlineStr">
        <is>
          <t>TORSBY</t>
        </is>
      </c>
      <c r="F1723" t="inlineStr">
        <is>
          <t>Bergvik skog väst AB</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18244-2023</t>
        </is>
      </c>
      <c r="B1724" s="1" t="n">
        <v>45041</v>
      </c>
      <c r="C1724" s="1" t="n">
        <v>45889</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8048-2022</t>
        </is>
      </c>
      <c r="B1725" s="1" t="n">
        <v>44609</v>
      </c>
      <c r="C1725" s="1" t="n">
        <v>45889</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43111-2022</t>
        </is>
      </c>
      <c r="B1726" s="1" t="n">
        <v>44833</v>
      </c>
      <c r="C1726" s="1" t="n">
        <v>45889</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40788-2022</t>
        </is>
      </c>
      <c r="B1727" s="1" t="n">
        <v>44824</v>
      </c>
      <c r="C1727" s="1" t="n">
        <v>45889</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45056-2022</t>
        </is>
      </c>
      <c r="B1728" s="1" t="n">
        <v>44841.72731481482</v>
      </c>
      <c r="C1728" s="1" t="n">
        <v>45889</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44470-2024</t>
        </is>
      </c>
      <c r="B1729" s="1" t="n">
        <v>45574</v>
      </c>
      <c r="C1729" s="1" t="n">
        <v>45889</v>
      </c>
      <c r="D1729" t="inlineStr">
        <is>
          <t>VÄRMLANDS LÄN</t>
        </is>
      </c>
      <c r="E1729" t="inlineStr">
        <is>
          <t>TORSBY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52447-2022</t>
        </is>
      </c>
      <c r="B1730" s="1" t="n">
        <v>44874</v>
      </c>
      <c r="C1730" s="1" t="n">
        <v>45889</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31672-2025</t>
        </is>
      </c>
      <c r="B1731" s="1" t="n">
        <v>45834.36979166666</v>
      </c>
      <c r="C1731" s="1" t="n">
        <v>45889</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31416-2025</t>
        </is>
      </c>
      <c r="B1732" s="1" t="n">
        <v>45833.48278935185</v>
      </c>
      <c r="C1732" s="1" t="n">
        <v>45889</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6013-2024</t>
        </is>
      </c>
      <c r="B1733" s="1" t="n">
        <v>45336.60763888889</v>
      </c>
      <c r="C1733" s="1" t="n">
        <v>45889</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32624-2025</t>
        </is>
      </c>
      <c r="B1734" s="1" t="n">
        <v>45838.64796296296</v>
      </c>
      <c r="C1734" s="1" t="n">
        <v>45889</v>
      </c>
      <c r="D1734" t="inlineStr">
        <is>
          <t>VÄRMLANDS LÄN</t>
        </is>
      </c>
      <c r="E1734" t="inlineStr">
        <is>
          <t>TORSBY</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34256-2024</t>
        </is>
      </c>
      <c r="B1735" s="1" t="n">
        <v>45524.59434027778</v>
      </c>
      <c r="C1735" s="1" t="n">
        <v>45889</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43301-2024</t>
        </is>
      </c>
      <c r="B1736" s="1" t="n">
        <v>45568</v>
      </c>
      <c r="C1736" s="1" t="n">
        <v>45889</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32134-2025</t>
        </is>
      </c>
      <c r="B1737" s="1" t="n">
        <v>45835.5102662037</v>
      </c>
      <c r="C1737" s="1" t="n">
        <v>45889</v>
      </c>
      <c r="D1737" t="inlineStr">
        <is>
          <t>VÄRMLANDS LÄN</t>
        </is>
      </c>
      <c r="E1737" t="inlineStr">
        <is>
          <t>TORSBY</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20737-2023</t>
        </is>
      </c>
      <c r="B1738" s="1" t="n">
        <v>45058</v>
      </c>
      <c r="C1738" s="1" t="n">
        <v>45889</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22158-2022</t>
        </is>
      </c>
      <c r="B1739" s="1" t="n">
        <v>44708</v>
      </c>
      <c r="C1739" s="1" t="n">
        <v>45889</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37736-2025</t>
        </is>
      </c>
      <c r="B1740" s="1" t="n">
        <v>45880</v>
      </c>
      <c r="C1740" s="1" t="n">
        <v>45889</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37389-2025</t>
        </is>
      </c>
      <c r="B1741" s="1" t="n">
        <v>45877</v>
      </c>
      <c r="C1741" s="1" t="n">
        <v>45889</v>
      </c>
      <c r="D1741" t="inlineStr">
        <is>
          <t>VÄRMLANDS LÄN</t>
        </is>
      </c>
      <c r="E1741" t="inlineStr">
        <is>
          <t>TORSBY</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32622-2025</t>
        </is>
      </c>
      <c r="B1742" s="1" t="n">
        <v>45838</v>
      </c>
      <c r="C1742" s="1" t="n">
        <v>45889</v>
      </c>
      <c r="D1742" t="inlineStr">
        <is>
          <t>VÄRMLANDS LÄN</t>
        </is>
      </c>
      <c r="E1742" t="inlineStr">
        <is>
          <t>TORSBY</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32618-2025</t>
        </is>
      </c>
      <c r="B1743" s="1" t="n">
        <v>45838.6435300926</v>
      </c>
      <c r="C1743" s="1" t="n">
        <v>45889</v>
      </c>
      <c r="D1743" t="inlineStr">
        <is>
          <t>VÄRMLANDS LÄN</t>
        </is>
      </c>
      <c r="E1743" t="inlineStr">
        <is>
          <t>TORSBY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40509-2020</t>
        </is>
      </c>
      <c r="B1744" s="1" t="n">
        <v>44069</v>
      </c>
      <c r="C1744" s="1" t="n">
        <v>45889</v>
      </c>
      <c r="D1744" t="inlineStr">
        <is>
          <t>VÄRMLANDS LÄN</t>
        </is>
      </c>
      <c r="E1744" t="inlineStr">
        <is>
          <t>TORSBY</t>
        </is>
      </c>
      <c r="F1744" t="inlineStr">
        <is>
          <t>Naturvårdsverket</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69250-2020</t>
        </is>
      </c>
      <c r="B1745" s="1" t="n">
        <v>44192</v>
      </c>
      <c r="C1745" s="1" t="n">
        <v>45889</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32298-2025</t>
        </is>
      </c>
      <c r="B1746" s="1" t="n">
        <v>45835.7144675926</v>
      </c>
      <c r="C1746" s="1" t="n">
        <v>45889</v>
      </c>
      <c r="D1746" t="inlineStr">
        <is>
          <t>VÄRMLANDS LÄN</t>
        </is>
      </c>
      <c r="E1746" t="inlineStr">
        <is>
          <t>TORSBY</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46271-2020</t>
        </is>
      </c>
      <c r="B1747" s="1" t="n">
        <v>44092.5664699074</v>
      </c>
      <c r="C1747" s="1" t="n">
        <v>45889</v>
      </c>
      <c r="D1747" t="inlineStr">
        <is>
          <t>VÄRMLANDS LÄN</t>
        </is>
      </c>
      <c r="E1747" t="inlineStr">
        <is>
          <t>TORSBY</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32343-2025</t>
        </is>
      </c>
      <c r="B1748" s="1" t="n">
        <v>45837.37171296297</v>
      </c>
      <c r="C1748" s="1" t="n">
        <v>45889</v>
      </c>
      <c r="D1748" t="inlineStr">
        <is>
          <t>VÄRMLANDS LÄN</t>
        </is>
      </c>
      <c r="E1748" t="inlineStr">
        <is>
          <t>TORSBY</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32084-2025</t>
        </is>
      </c>
      <c r="B1749" s="1" t="n">
        <v>45835.45379629629</v>
      </c>
      <c r="C1749" s="1" t="n">
        <v>45889</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20060-2025</t>
        </is>
      </c>
      <c r="B1750" s="1" t="n">
        <v>45772.41831018519</v>
      </c>
      <c r="C1750" s="1" t="n">
        <v>45889</v>
      </c>
      <c r="D1750" t="inlineStr">
        <is>
          <t>VÄRMLANDS LÄN</t>
        </is>
      </c>
      <c r="E1750" t="inlineStr">
        <is>
          <t>TORSBY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32433-2025</t>
        </is>
      </c>
      <c r="B1751" s="1" t="n">
        <v>45838.37252314815</v>
      </c>
      <c r="C1751" s="1" t="n">
        <v>45889</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32342-2025</t>
        </is>
      </c>
      <c r="B1752" s="1" t="n">
        <v>45837.34560185186</v>
      </c>
      <c r="C1752" s="1" t="n">
        <v>45889</v>
      </c>
      <c r="D1752" t="inlineStr">
        <is>
          <t>VÄRMLANDS LÄN</t>
        </is>
      </c>
      <c r="E1752" t="inlineStr">
        <is>
          <t>TORSBY</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2803-2025</t>
        </is>
      </c>
      <c r="B1753" s="1" t="n">
        <v>45677</v>
      </c>
      <c r="C1753" s="1" t="n">
        <v>45889</v>
      </c>
      <c r="D1753" t="inlineStr">
        <is>
          <t>VÄRMLANDS LÄN</t>
        </is>
      </c>
      <c r="E1753" t="inlineStr">
        <is>
          <t>TORSBY</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56281-2022</t>
        </is>
      </c>
      <c r="B1754" s="1" t="n">
        <v>44890</v>
      </c>
      <c r="C1754" s="1" t="n">
        <v>45889</v>
      </c>
      <c r="D1754" t="inlineStr">
        <is>
          <t>VÄRMLANDS LÄN</t>
        </is>
      </c>
      <c r="E1754" t="inlineStr">
        <is>
          <t>TORSBY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32331-2025</t>
        </is>
      </c>
      <c r="B1755" s="1" t="n">
        <v>45836.50674768518</v>
      </c>
      <c r="C1755" s="1" t="n">
        <v>45889</v>
      </c>
      <c r="D1755" t="inlineStr">
        <is>
          <t>VÄRMLANDS LÄN</t>
        </is>
      </c>
      <c r="E1755" t="inlineStr">
        <is>
          <t>TORSBY</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20130-2023</t>
        </is>
      </c>
      <c r="B1756" s="1" t="n">
        <v>45055.38503472223</v>
      </c>
      <c r="C1756" s="1" t="n">
        <v>45889</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65713-2021</t>
        </is>
      </c>
      <c r="B1757" s="1" t="n">
        <v>44516</v>
      </c>
      <c r="C1757" s="1" t="n">
        <v>45889</v>
      </c>
      <c r="D1757" t="inlineStr">
        <is>
          <t>VÄRMLANDS LÄN</t>
        </is>
      </c>
      <c r="E1757" t="inlineStr">
        <is>
          <t>TORSBY</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17548-2023</t>
        </is>
      </c>
      <c r="B1758" s="1" t="n">
        <v>45036</v>
      </c>
      <c r="C1758" s="1" t="n">
        <v>45889</v>
      </c>
      <c r="D1758" t="inlineStr">
        <is>
          <t>VÄRMLANDS LÄN</t>
        </is>
      </c>
      <c r="E1758" t="inlineStr">
        <is>
          <t>TORSBY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69241-2020</t>
        </is>
      </c>
      <c r="B1759" s="1" t="n">
        <v>44192.85814814815</v>
      </c>
      <c r="C1759" s="1" t="n">
        <v>45889</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8447-2023</t>
        </is>
      </c>
      <c r="B1760" s="1" t="n">
        <v>44977</v>
      </c>
      <c r="C1760" s="1" t="n">
        <v>45889</v>
      </c>
      <c r="D1760" t="inlineStr">
        <is>
          <t>VÄRMLANDS LÄN</t>
        </is>
      </c>
      <c r="E1760" t="inlineStr">
        <is>
          <t>TORSBY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4236-2023</t>
        </is>
      </c>
      <c r="B1761" s="1" t="n">
        <v>44953.48950231481</v>
      </c>
      <c r="C1761" s="1" t="n">
        <v>45889</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4250-2023</t>
        </is>
      </c>
      <c r="B1762" s="1" t="n">
        <v>44953.51747685186</v>
      </c>
      <c r="C1762" s="1" t="n">
        <v>45889</v>
      </c>
      <c r="D1762" t="inlineStr">
        <is>
          <t>VÄRMLANDS LÄN</t>
        </is>
      </c>
      <c r="E1762" t="inlineStr">
        <is>
          <t>TORSBY</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46917-2024</t>
        </is>
      </c>
      <c r="B1763" s="1" t="n">
        <v>45583</v>
      </c>
      <c r="C1763" s="1" t="n">
        <v>45889</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37566-2025</t>
        </is>
      </c>
      <c r="B1764" s="1" t="n">
        <v>45880</v>
      </c>
      <c r="C1764" s="1" t="n">
        <v>45889</v>
      </c>
      <c r="D1764" t="inlineStr">
        <is>
          <t>VÄRMLANDS LÄN</t>
        </is>
      </c>
      <c r="E1764" t="inlineStr">
        <is>
          <t>TORSBY</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32191-2025</t>
        </is>
      </c>
      <c r="B1765" s="1" t="n">
        <v>45835.57099537037</v>
      </c>
      <c r="C1765" s="1" t="n">
        <v>45889</v>
      </c>
      <c r="D1765" t="inlineStr">
        <is>
          <t>VÄRMLANDS LÄN</t>
        </is>
      </c>
      <c r="E1765" t="inlineStr">
        <is>
          <t>TORSBY</t>
        </is>
      </c>
      <c r="F1765" t="inlineStr">
        <is>
          <t>Bergvik skog väst AB</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37583-2025</t>
        </is>
      </c>
      <c r="B1766" s="1" t="n">
        <v>45880</v>
      </c>
      <c r="C1766" s="1" t="n">
        <v>45889</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14800-2025</t>
        </is>
      </c>
      <c r="B1767" s="1" t="n">
        <v>45743</v>
      </c>
      <c r="C1767" s="1" t="n">
        <v>45889</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7133-2023</t>
        </is>
      </c>
      <c r="B1768" s="1" t="n">
        <v>44970.43622685185</v>
      </c>
      <c r="C1768" s="1" t="n">
        <v>45889</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32339-2025</t>
        </is>
      </c>
      <c r="B1769" s="1" t="n">
        <v>45836.68836805555</v>
      </c>
      <c r="C1769" s="1" t="n">
        <v>45889</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32345-2025</t>
        </is>
      </c>
      <c r="B1770" s="1" t="n">
        <v>45837.44293981481</v>
      </c>
      <c r="C1770" s="1" t="n">
        <v>45889</v>
      </c>
      <c r="D1770" t="inlineStr">
        <is>
          <t>VÄRMLANDS LÄN</t>
        </is>
      </c>
      <c r="E1770" t="inlineStr">
        <is>
          <t>TORSBY</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39390-2023</t>
        </is>
      </c>
      <c r="B1771" s="1" t="n">
        <v>45166.65104166666</v>
      </c>
      <c r="C1771" s="1" t="n">
        <v>45889</v>
      </c>
      <c r="D1771" t="inlineStr">
        <is>
          <t>VÄRMLANDS LÄN</t>
        </is>
      </c>
      <c r="E1771" t="inlineStr">
        <is>
          <t>TORSBY</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65301-2021</t>
        </is>
      </c>
      <c r="B1772" s="1" t="n">
        <v>44515</v>
      </c>
      <c r="C1772" s="1" t="n">
        <v>45889</v>
      </c>
      <c r="D1772" t="inlineStr">
        <is>
          <t>VÄRMLANDS LÄN</t>
        </is>
      </c>
      <c r="E1772" t="inlineStr">
        <is>
          <t>TORSBY</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37575-2025</t>
        </is>
      </c>
      <c r="B1773" s="1" t="n">
        <v>45880.38028935185</v>
      </c>
      <c r="C1773" s="1" t="n">
        <v>45889</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32555-2025</t>
        </is>
      </c>
      <c r="B1774" s="1" t="n">
        <v>45838.56084490741</v>
      </c>
      <c r="C1774" s="1" t="n">
        <v>45889</v>
      </c>
      <c r="D1774" t="inlineStr">
        <is>
          <t>VÄRMLANDS LÄN</t>
        </is>
      </c>
      <c r="E1774" t="inlineStr">
        <is>
          <t>TORSBY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37546-2025</t>
        </is>
      </c>
      <c r="B1775" s="1" t="n">
        <v>45879</v>
      </c>
      <c r="C1775" s="1" t="n">
        <v>45889</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11153-2024</t>
        </is>
      </c>
      <c r="B1776" s="1" t="n">
        <v>45371.4759837963</v>
      </c>
      <c r="C1776" s="1" t="n">
        <v>45889</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61753-2020</t>
        </is>
      </c>
      <c r="B1777" s="1" t="n">
        <v>44158</v>
      </c>
      <c r="C1777" s="1" t="n">
        <v>45889</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6438-2022</t>
        </is>
      </c>
      <c r="B1778" s="1" t="n">
        <v>44601.32209490741</v>
      </c>
      <c r="C1778" s="1" t="n">
        <v>45889</v>
      </c>
      <c r="D1778" t="inlineStr">
        <is>
          <t>VÄRMLANDS LÄN</t>
        </is>
      </c>
      <c r="E1778" t="inlineStr">
        <is>
          <t>TORSBY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32348-2025</t>
        </is>
      </c>
      <c r="B1779" s="1" t="n">
        <v>45837.47078703704</v>
      </c>
      <c r="C1779" s="1" t="n">
        <v>45889</v>
      </c>
      <c r="D1779" t="inlineStr">
        <is>
          <t>VÄRMLANDS LÄN</t>
        </is>
      </c>
      <c r="E1779" t="inlineStr">
        <is>
          <t>TORSBY</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32054-2025</t>
        </is>
      </c>
      <c r="B1780" s="1" t="n">
        <v>45835</v>
      </c>
      <c r="C1780" s="1" t="n">
        <v>45889</v>
      </c>
      <c r="D1780" t="inlineStr">
        <is>
          <t>VÄRMLANDS LÄN</t>
        </is>
      </c>
      <c r="E1780" t="inlineStr">
        <is>
          <t>TORSBY</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25264-2024</t>
        </is>
      </c>
      <c r="B1781" s="1" t="n">
        <v>45462.61859953704</v>
      </c>
      <c r="C1781" s="1" t="n">
        <v>45889</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33221-2025</t>
        </is>
      </c>
      <c r="B1782" s="1" t="n">
        <v>45840.63471064815</v>
      </c>
      <c r="C1782" s="1" t="n">
        <v>45889</v>
      </c>
      <c r="D1782" t="inlineStr">
        <is>
          <t>VÄRMLANDS LÄN</t>
        </is>
      </c>
      <c r="E1782" t="inlineStr">
        <is>
          <t>TORSBY</t>
        </is>
      </c>
      <c r="F1782" t="inlineStr">
        <is>
          <t>Bergvik skog väst AB</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32983-2025</t>
        </is>
      </c>
      <c r="B1783" s="1" t="n">
        <v>45839.92967592592</v>
      </c>
      <c r="C1783" s="1" t="n">
        <v>45889</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16592-2024</t>
        </is>
      </c>
      <c r="B1784" s="1" t="n">
        <v>45408.49623842593</v>
      </c>
      <c r="C1784" s="1" t="n">
        <v>45889</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33149-2025</t>
        </is>
      </c>
      <c r="B1785" s="1" t="n">
        <v>45840.54246527778</v>
      </c>
      <c r="C1785" s="1" t="n">
        <v>45889</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33196-2025</t>
        </is>
      </c>
      <c r="B1786" s="1" t="n">
        <v>45840.60381944444</v>
      </c>
      <c r="C1786" s="1" t="n">
        <v>45889</v>
      </c>
      <c r="D1786" t="inlineStr">
        <is>
          <t>VÄRMLANDS LÄN</t>
        </is>
      </c>
      <c r="E1786" t="inlineStr">
        <is>
          <t>TORSBY</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19307-2022</t>
        </is>
      </c>
      <c r="B1787" s="1" t="n">
        <v>44692.55497685185</v>
      </c>
      <c r="C1787" s="1" t="n">
        <v>45889</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33189-2025</t>
        </is>
      </c>
      <c r="B1788" s="1" t="n">
        <v>45840.59884259259</v>
      </c>
      <c r="C1788" s="1" t="n">
        <v>45889</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33192-2025</t>
        </is>
      </c>
      <c r="B1789" s="1" t="n">
        <v>45840.60081018518</v>
      </c>
      <c r="C1789" s="1" t="n">
        <v>45889</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52314-2024</t>
        </is>
      </c>
      <c r="B1790" s="1" t="n">
        <v>45608.87075231481</v>
      </c>
      <c r="C1790" s="1" t="n">
        <v>45889</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37927-2025</t>
        </is>
      </c>
      <c r="B1791" s="1" t="n">
        <v>45881.58063657407</v>
      </c>
      <c r="C1791" s="1" t="n">
        <v>45889</v>
      </c>
      <c r="D1791" t="inlineStr">
        <is>
          <t>VÄRMLANDS LÄN</t>
        </is>
      </c>
      <c r="E1791" t="inlineStr">
        <is>
          <t>TORSBY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33161-2025</t>
        </is>
      </c>
      <c r="B1792" s="1" t="n">
        <v>45840.56846064814</v>
      </c>
      <c r="C1792" s="1" t="n">
        <v>45889</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36498-2025</t>
        </is>
      </c>
      <c r="B1793" s="1" t="n">
        <v>45869</v>
      </c>
      <c r="C1793" s="1" t="n">
        <v>45889</v>
      </c>
      <c r="D1793" t="inlineStr">
        <is>
          <t>VÄRMLANDS LÄN</t>
        </is>
      </c>
      <c r="E1793" t="inlineStr">
        <is>
          <t>TORSBY</t>
        </is>
      </c>
      <c r="F1793" t="inlineStr">
        <is>
          <t>Bergvik skog väst AB</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30531-2023</t>
        </is>
      </c>
      <c r="B1794" s="1" t="n">
        <v>45111.68223379629</v>
      </c>
      <c r="C1794" s="1" t="n">
        <v>45889</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32995-2025</t>
        </is>
      </c>
      <c r="B1795" s="1" t="n">
        <v>45839</v>
      </c>
      <c r="C1795" s="1" t="n">
        <v>45889</v>
      </c>
      <c r="D1795" t="inlineStr">
        <is>
          <t>VÄRMLANDS LÄN</t>
        </is>
      </c>
      <c r="E1795" t="inlineStr">
        <is>
          <t>TORSBY</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38165-2025</t>
        </is>
      </c>
      <c r="B1796" s="1" t="n">
        <v>45882.63063657407</v>
      </c>
      <c r="C1796" s="1" t="n">
        <v>45889</v>
      </c>
      <c r="D1796" t="inlineStr">
        <is>
          <t>VÄRMLANDS LÄN</t>
        </is>
      </c>
      <c r="E1796" t="inlineStr">
        <is>
          <t>TORSBY</t>
        </is>
      </c>
      <c r="F1796" t="inlineStr">
        <is>
          <t>Bergvik skog väst AB</t>
        </is>
      </c>
      <c r="G1796" t="n">
        <v>15.2</v>
      </c>
      <c r="H1796" t="n">
        <v>0</v>
      </c>
      <c r="I1796" t="n">
        <v>0</v>
      </c>
      <c r="J1796" t="n">
        <v>0</v>
      </c>
      <c r="K1796" t="n">
        <v>0</v>
      </c>
      <c r="L1796" t="n">
        <v>0</v>
      </c>
      <c r="M1796" t="n">
        <v>0</v>
      </c>
      <c r="N1796" t="n">
        <v>0</v>
      </c>
      <c r="O1796" t="n">
        <v>0</v>
      </c>
      <c r="P1796" t="n">
        <v>0</v>
      </c>
      <c r="Q1796" t="n">
        <v>0</v>
      </c>
      <c r="R1796" s="2" t="inlineStr"/>
    </row>
    <row r="1797" ht="15" customHeight="1">
      <c r="A1797" t="inlineStr">
        <is>
          <t>A 3667-2023</t>
        </is>
      </c>
      <c r="B1797" s="1" t="n">
        <v>44950</v>
      </c>
      <c r="C1797" s="1" t="n">
        <v>45889</v>
      </c>
      <c r="D1797" t="inlineStr">
        <is>
          <t>VÄRMLANDS LÄN</t>
        </is>
      </c>
      <c r="E1797" t="inlineStr">
        <is>
          <t>TORSBY</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30299-2025</t>
        </is>
      </c>
      <c r="B1798" s="1" t="n">
        <v>45827</v>
      </c>
      <c r="C1798" s="1" t="n">
        <v>45889</v>
      </c>
      <c r="D1798" t="inlineStr">
        <is>
          <t>VÄRMLANDS LÄN</t>
        </is>
      </c>
      <c r="E1798" t="inlineStr">
        <is>
          <t>TORSBY</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32710-2025</t>
        </is>
      </c>
      <c r="B1799" s="1" t="n">
        <v>45839.36722222222</v>
      </c>
      <c r="C1799" s="1" t="n">
        <v>45889</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37908-2025</t>
        </is>
      </c>
      <c r="B1800" s="1" t="n">
        <v>45881.5732175926</v>
      </c>
      <c r="C1800" s="1" t="n">
        <v>45889</v>
      </c>
      <c r="D1800" t="inlineStr">
        <is>
          <t>VÄRMLANDS LÄN</t>
        </is>
      </c>
      <c r="E1800" t="inlineStr">
        <is>
          <t>TORSBY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12574-2025</t>
        </is>
      </c>
      <c r="B1801" s="1" t="n">
        <v>45732</v>
      </c>
      <c r="C1801" s="1" t="n">
        <v>45889</v>
      </c>
      <c r="D1801" t="inlineStr">
        <is>
          <t>VÄRMLANDS LÄN</t>
        </is>
      </c>
      <c r="E1801" t="inlineStr">
        <is>
          <t>TORSBY</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33146-2025</t>
        </is>
      </c>
      <c r="B1802" s="1" t="n">
        <v>45840.53549768519</v>
      </c>
      <c r="C1802" s="1" t="n">
        <v>45889</v>
      </c>
      <c r="D1802" t="inlineStr">
        <is>
          <t>VÄRMLANDS LÄN</t>
        </is>
      </c>
      <c r="E1802" t="inlineStr">
        <is>
          <t>TORSBY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6121-2021</t>
        </is>
      </c>
      <c r="B1803" s="1" t="n">
        <v>44232</v>
      </c>
      <c r="C1803" s="1" t="n">
        <v>45889</v>
      </c>
      <c r="D1803" t="inlineStr">
        <is>
          <t>VÄRMLANDS LÄN</t>
        </is>
      </c>
      <c r="E1803" t="inlineStr">
        <is>
          <t>TORSBY</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52669-2024</t>
        </is>
      </c>
      <c r="B1804" s="1" t="n">
        <v>45610</v>
      </c>
      <c r="C1804" s="1" t="n">
        <v>45889</v>
      </c>
      <c r="D1804" t="inlineStr">
        <is>
          <t>VÄRMLANDS LÄN</t>
        </is>
      </c>
      <c r="E1804" t="inlineStr">
        <is>
          <t>TORSBY</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48874-2024</t>
        </is>
      </c>
      <c r="B1805" s="1" t="n">
        <v>45594</v>
      </c>
      <c r="C1805" s="1" t="n">
        <v>45889</v>
      </c>
      <c r="D1805" t="inlineStr">
        <is>
          <t>VÄRMLANDS LÄN</t>
        </is>
      </c>
      <c r="E1805" t="inlineStr">
        <is>
          <t>TORSBY</t>
        </is>
      </c>
      <c r="F1805" t="inlineStr">
        <is>
          <t>Bergvik skog väst AB</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38536-2025</t>
        </is>
      </c>
      <c r="B1806" s="1" t="n">
        <v>45884.42</v>
      </c>
      <c r="C1806" s="1" t="n">
        <v>45889</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6063-2021</t>
        </is>
      </c>
      <c r="B1807" s="1" t="n">
        <v>44232</v>
      </c>
      <c r="C1807" s="1" t="n">
        <v>45889</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56880-2023</t>
        </is>
      </c>
      <c r="B1808" s="1" t="n">
        <v>45244</v>
      </c>
      <c r="C1808" s="1" t="n">
        <v>45889</v>
      </c>
      <c r="D1808" t="inlineStr">
        <is>
          <t>VÄRMLANDS LÄN</t>
        </is>
      </c>
      <c r="E1808" t="inlineStr">
        <is>
          <t>TORSBY</t>
        </is>
      </c>
      <c r="F1808" t="inlineStr">
        <is>
          <t>Övriga Aktiebolag</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56170-2023</t>
        </is>
      </c>
      <c r="B1809" s="1" t="n">
        <v>45240.62975694444</v>
      </c>
      <c r="C1809" s="1" t="n">
        <v>45889</v>
      </c>
      <c r="D1809" t="inlineStr">
        <is>
          <t>VÄRMLANDS LÄN</t>
        </is>
      </c>
      <c r="E1809" t="inlineStr">
        <is>
          <t>TORSBY</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6646-2024</t>
        </is>
      </c>
      <c r="B1810" s="1" t="n">
        <v>45341.66643518519</v>
      </c>
      <c r="C1810" s="1" t="n">
        <v>45889</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6648-2024</t>
        </is>
      </c>
      <c r="B1811" s="1" t="n">
        <v>45341</v>
      </c>
      <c r="C1811" s="1" t="n">
        <v>45889</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18337-2024</t>
        </is>
      </c>
      <c r="B1812" s="1" t="n">
        <v>45422</v>
      </c>
      <c r="C1812" s="1" t="n">
        <v>45889</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34968-2024</t>
        </is>
      </c>
      <c r="B1813" s="1" t="n">
        <v>45527.49986111111</v>
      </c>
      <c r="C1813" s="1" t="n">
        <v>45889</v>
      </c>
      <c r="D1813" t="inlineStr">
        <is>
          <t>VÄRMLANDS LÄN</t>
        </is>
      </c>
      <c r="E1813" t="inlineStr">
        <is>
          <t>TORSBY</t>
        </is>
      </c>
      <c r="F1813" t="inlineStr">
        <is>
          <t>Bergvik skog väst AB</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37381-2025</t>
        </is>
      </c>
      <c r="B1814" s="1" t="n">
        <v>45877</v>
      </c>
      <c r="C1814" s="1" t="n">
        <v>45889</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37760-2025</t>
        </is>
      </c>
      <c r="B1815" s="1" t="n">
        <v>45880</v>
      </c>
      <c r="C1815" s="1" t="n">
        <v>45889</v>
      </c>
      <c r="D1815" t="inlineStr">
        <is>
          <t>VÄRMLANDS LÄN</t>
        </is>
      </c>
      <c r="E1815" t="inlineStr">
        <is>
          <t>TORSBY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38143-2025</t>
        </is>
      </c>
      <c r="B1816" s="1" t="n">
        <v>45882</v>
      </c>
      <c r="C1816" s="1" t="n">
        <v>45889</v>
      </c>
      <c r="D1816" t="inlineStr">
        <is>
          <t>VÄRMLANDS LÄN</t>
        </is>
      </c>
      <c r="E1816" t="inlineStr">
        <is>
          <t>TORSBY</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64664-2023</t>
        </is>
      </c>
      <c r="B1817" s="1" t="n">
        <v>45281.60710648148</v>
      </c>
      <c r="C1817" s="1" t="n">
        <v>45889</v>
      </c>
      <c r="D1817" t="inlineStr">
        <is>
          <t>VÄRMLANDS LÄN</t>
        </is>
      </c>
      <c r="E1817" t="inlineStr">
        <is>
          <t>TORSBY</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37937-2025</t>
        </is>
      </c>
      <c r="B1818" s="1" t="n">
        <v>45881</v>
      </c>
      <c r="C1818" s="1" t="n">
        <v>45889</v>
      </c>
      <c r="D1818" t="inlineStr">
        <is>
          <t>VÄRMLANDS LÄN</t>
        </is>
      </c>
      <c r="E1818" t="inlineStr">
        <is>
          <t>TORSBY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38232-2025</t>
        </is>
      </c>
      <c r="B1819" s="1" t="n">
        <v>45883</v>
      </c>
      <c r="C1819" s="1" t="n">
        <v>45889</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55428-2022</t>
        </is>
      </c>
      <c r="B1820" s="1" t="n">
        <v>44887.60894675926</v>
      </c>
      <c r="C1820" s="1" t="n">
        <v>45889</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38249-2025</t>
        </is>
      </c>
      <c r="B1821" s="1" t="n">
        <v>45883</v>
      </c>
      <c r="C1821" s="1" t="n">
        <v>45889</v>
      </c>
      <c r="D1821" t="inlineStr">
        <is>
          <t>VÄRMLANDS LÄN</t>
        </is>
      </c>
      <c r="E1821" t="inlineStr">
        <is>
          <t>TORSBY</t>
        </is>
      </c>
      <c r="F1821" t="inlineStr">
        <is>
          <t>Bergvik skog väst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22702-2023</t>
        </is>
      </c>
      <c r="B1822" s="1" t="n">
        <v>45071</v>
      </c>
      <c r="C1822" s="1" t="n">
        <v>45889</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17941-2021</t>
        </is>
      </c>
      <c r="B1823" s="1" t="n">
        <v>44301</v>
      </c>
      <c r="C1823" s="1" t="n">
        <v>45889</v>
      </c>
      <c r="D1823" t="inlineStr">
        <is>
          <t>VÄRMLANDS LÄN</t>
        </is>
      </c>
      <c r="E1823" t="inlineStr">
        <is>
          <t>TORSBY</t>
        </is>
      </c>
      <c r="F1823" t="inlineStr">
        <is>
          <t>Kommuner</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52901-2022</t>
        </is>
      </c>
      <c r="B1824" s="1" t="n">
        <v>44872</v>
      </c>
      <c r="C1824" s="1" t="n">
        <v>45889</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57452-2022</t>
        </is>
      </c>
      <c r="B1825" s="1" t="n">
        <v>44896.55787037037</v>
      </c>
      <c r="C1825" s="1" t="n">
        <v>45889</v>
      </c>
      <c r="D1825" t="inlineStr">
        <is>
          <t>VÄRMLANDS LÄN</t>
        </is>
      </c>
      <c r="E1825" t="inlineStr">
        <is>
          <t>TORSBY</t>
        </is>
      </c>
      <c r="F1825" t="inlineStr">
        <is>
          <t>Bergvik skog väst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38056-2025</t>
        </is>
      </c>
      <c r="B1826" s="1" t="n">
        <v>45882</v>
      </c>
      <c r="C1826" s="1" t="n">
        <v>45889</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33712-2025</t>
        </is>
      </c>
      <c r="B1827" s="1" t="n">
        <v>45841</v>
      </c>
      <c r="C1827" s="1" t="n">
        <v>45889</v>
      </c>
      <c r="D1827" t="inlineStr">
        <is>
          <t>VÄRMLANDS LÄN</t>
        </is>
      </c>
      <c r="E1827" t="inlineStr">
        <is>
          <t>TORSBY</t>
        </is>
      </c>
      <c r="F1827" t="inlineStr">
        <is>
          <t>Bergvik skog väst AB</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33897-2025</t>
        </is>
      </c>
      <c r="B1828" s="1" t="n">
        <v>45842</v>
      </c>
      <c r="C1828" s="1" t="n">
        <v>45889</v>
      </c>
      <c r="D1828" t="inlineStr">
        <is>
          <t>VÄRMLANDS LÄN</t>
        </is>
      </c>
      <c r="E1828" t="inlineStr">
        <is>
          <t>TORSBY</t>
        </is>
      </c>
      <c r="G1828" t="n">
        <v>13.7</v>
      </c>
      <c r="H1828" t="n">
        <v>0</v>
      </c>
      <c r="I1828" t="n">
        <v>0</v>
      </c>
      <c r="J1828" t="n">
        <v>0</v>
      </c>
      <c r="K1828" t="n">
        <v>0</v>
      </c>
      <c r="L1828" t="n">
        <v>0</v>
      </c>
      <c r="M1828" t="n">
        <v>0</v>
      </c>
      <c r="N1828" t="n">
        <v>0</v>
      </c>
      <c r="O1828" t="n">
        <v>0</v>
      </c>
      <c r="P1828" t="n">
        <v>0</v>
      </c>
      <c r="Q1828" t="n">
        <v>0</v>
      </c>
      <c r="R1828" s="2" t="inlineStr"/>
    </row>
    <row r="1829" ht="15" customHeight="1">
      <c r="A1829" t="inlineStr">
        <is>
          <t>A 37945-2025</t>
        </is>
      </c>
      <c r="B1829" s="1" t="n">
        <v>45881</v>
      </c>
      <c r="C1829" s="1" t="n">
        <v>45889</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32747-2021</t>
        </is>
      </c>
      <c r="B1830" s="1" t="n">
        <v>44375</v>
      </c>
      <c r="C1830" s="1" t="n">
        <v>45889</v>
      </c>
      <c r="D1830" t="inlineStr">
        <is>
          <t>VÄRMLANDS LÄN</t>
        </is>
      </c>
      <c r="E1830" t="inlineStr">
        <is>
          <t>TORSBY</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38315-2025</t>
        </is>
      </c>
      <c r="B1831" s="1" t="n">
        <v>45883.47824074074</v>
      </c>
      <c r="C1831" s="1" t="n">
        <v>45889</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39069-2022</t>
        </is>
      </c>
      <c r="B1832" s="1" t="n">
        <v>44816</v>
      </c>
      <c r="C1832" s="1" t="n">
        <v>45889</v>
      </c>
      <c r="D1832" t="inlineStr">
        <is>
          <t>VÄRMLANDS LÄN</t>
        </is>
      </c>
      <c r="E1832" t="inlineStr">
        <is>
          <t>TORSBY</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10584-2023</t>
        </is>
      </c>
      <c r="B1833" s="1" t="n">
        <v>44988.36736111111</v>
      </c>
      <c r="C1833" s="1" t="n">
        <v>45889</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38662-2025</t>
        </is>
      </c>
      <c r="B1834" s="1" t="n">
        <v>45884.61193287037</v>
      </c>
      <c r="C1834" s="1" t="n">
        <v>45889</v>
      </c>
      <c r="D1834" t="inlineStr">
        <is>
          <t>VÄRMLANDS LÄN</t>
        </is>
      </c>
      <c r="E1834" t="inlineStr">
        <is>
          <t>TORSBY</t>
        </is>
      </c>
      <c r="F1834" t="inlineStr">
        <is>
          <t>Bergvik skog väst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37878-2025</t>
        </is>
      </c>
      <c r="B1835" s="1" t="n">
        <v>45881</v>
      </c>
      <c r="C1835" s="1" t="n">
        <v>45889</v>
      </c>
      <c r="D1835" t="inlineStr">
        <is>
          <t>VÄRMLANDS LÄN</t>
        </is>
      </c>
      <c r="E1835" t="inlineStr">
        <is>
          <t>TORSBY</t>
        </is>
      </c>
      <c r="F1835" t="inlineStr">
        <is>
          <t>Bergvik skog väst AB</t>
        </is>
      </c>
      <c r="G1835" t="n">
        <v>9.9</v>
      </c>
      <c r="H1835" t="n">
        <v>0</v>
      </c>
      <c r="I1835" t="n">
        <v>0</v>
      </c>
      <c r="J1835" t="n">
        <v>0</v>
      </c>
      <c r="K1835" t="n">
        <v>0</v>
      </c>
      <c r="L1835" t="n">
        <v>0</v>
      </c>
      <c r="M1835" t="n">
        <v>0</v>
      </c>
      <c r="N1835" t="n">
        <v>0</v>
      </c>
      <c r="O1835" t="n">
        <v>0</v>
      </c>
      <c r="P1835" t="n">
        <v>0</v>
      </c>
      <c r="Q1835" t="n">
        <v>0</v>
      </c>
      <c r="R1835" s="2" t="inlineStr"/>
    </row>
    <row r="1836" ht="15" customHeight="1">
      <c r="A1836" t="inlineStr">
        <is>
          <t>A 37904-2025</t>
        </is>
      </c>
      <c r="B1836" s="1" t="n">
        <v>45881</v>
      </c>
      <c r="C1836" s="1" t="n">
        <v>45889</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38397-2025</t>
        </is>
      </c>
      <c r="B1837" s="1" t="n">
        <v>45883</v>
      </c>
      <c r="C1837" s="1" t="n">
        <v>45889</v>
      </c>
      <c r="D1837" t="inlineStr">
        <is>
          <t>VÄRMLANDS LÄN</t>
        </is>
      </c>
      <c r="E1837" t="inlineStr">
        <is>
          <t>TORSBY</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33567-2025</t>
        </is>
      </c>
      <c r="B1838" s="1" t="n">
        <v>45841.58232638889</v>
      </c>
      <c r="C1838" s="1" t="n">
        <v>45889</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37547-2025</t>
        </is>
      </c>
      <c r="B1839" s="1" t="n">
        <v>45879</v>
      </c>
      <c r="C1839" s="1" t="n">
        <v>45889</v>
      </c>
      <c r="D1839" t="inlineStr">
        <is>
          <t>VÄRMLANDS LÄN</t>
        </is>
      </c>
      <c r="E1839" t="inlineStr">
        <is>
          <t>TORSBY</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38611-2025</t>
        </is>
      </c>
      <c r="B1840" s="1" t="n">
        <v>45884.53958333333</v>
      </c>
      <c r="C1840" s="1" t="n">
        <v>45889</v>
      </c>
      <c r="D1840" t="inlineStr">
        <is>
          <t>VÄRMLANDS LÄN</t>
        </is>
      </c>
      <c r="E1840" t="inlineStr">
        <is>
          <t>TORSBY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8018-2025</t>
        </is>
      </c>
      <c r="B1841" s="1" t="n">
        <v>45707</v>
      </c>
      <c r="C1841" s="1" t="n">
        <v>45889</v>
      </c>
      <c r="D1841" t="inlineStr">
        <is>
          <t>VÄRMLANDS LÄN</t>
        </is>
      </c>
      <c r="E1841" t="inlineStr">
        <is>
          <t>TORSBY</t>
        </is>
      </c>
      <c r="G1841" t="n">
        <v>22.6</v>
      </c>
      <c r="H1841" t="n">
        <v>0</v>
      </c>
      <c r="I1841" t="n">
        <v>0</v>
      </c>
      <c r="J1841" t="n">
        <v>0</v>
      </c>
      <c r="K1841" t="n">
        <v>0</v>
      </c>
      <c r="L1841" t="n">
        <v>0</v>
      </c>
      <c r="M1841" t="n">
        <v>0</v>
      </c>
      <c r="N1841" t="n">
        <v>0</v>
      </c>
      <c r="O1841" t="n">
        <v>0</v>
      </c>
      <c r="P1841" t="n">
        <v>0</v>
      </c>
      <c r="Q1841" t="n">
        <v>0</v>
      </c>
      <c r="R1841" s="2" t="inlineStr"/>
    </row>
    <row r="1842" ht="15" customHeight="1">
      <c r="A1842" t="inlineStr">
        <is>
          <t>A 43547-2020</t>
        </is>
      </c>
      <c r="B1842" s="1" t="n">
        <v>44078</v>
      </c>
      <c r="C1842" s="1" t="n">
        <v>45889</v>
      </c>
      <c r="D1842" t="inlineStr">
        <is>
          <t>VÄRMLANDS LÄN</t>
        </is>
      </c>
      <c r="E1842" t="inlineStr">
        <is>
          <t>TORSBY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1979-2023</t>
        </is>
      </c>
      <c r="B1843" s="1" t="n">
        <v>44939</v>
      </c>
      <c r="C1843" s="1" t="n">
        <v>45889</v>
      </c>
      <c r="D1843" t="inlineStr">
        <is>
          <t>VÄRMLANDS LÄN</t>
        </is>
      </c>
      <c r="E1843" t="inlineStr">
        <is>
          <t>TORSBY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34353-2025</t>
        </is>
      </c>
      <c r="B1844" s="1" t="n">
        <v>45846.4775</v>
      </c>
      <c r="C1844" s="1" t="n">
        <v>45889</v>
      </c>
      <c r="D1844" t="inlineStr">
        <is>
          <t>VÄRMLANDS LÄN</t>
        </is>
      </c>
      <c r="E1844" t="inlineStr">
        <is>
          <t>TORSBY</t>
        </is>
      </c>
      <c r="G1844" t="n">
        <v>14.5</v>
      </c>
      <c r="H1844" t="n">
        <v>0</v>
      </c>
      <c r="I1844" t="n">
        <v>0</v>
      </c>
      <c r="J1844" t="n">
        <v>0</v>
      </c>
      <c r="K1844" t="n">
        <v>0</v>
      </c>
      <c r="L1844" t="n">
        <v>0</v>
      </c>
      <c r="M1844" t="n">
        <v>0</v>
      </c>
      <c r="N1844" t="n">
        <v>0</v>
      </c>
      <c r="O1844" t="n">
        <v>0</v>
      </c>
      <c r="P1844" t="n">
        <v>0</v>
      </c>
      <c r="Q1844" t="n">
        <v>0</v>
      </c>
      <c r="R1844" s="2" t="inlineStr"/>
    </row>
    <row r="1845" ht="15" customHeight="1">
      <c r="A1845" t="inlineStr">
        <is>
          <t>A 34355-2025</t>
        </is>
      </c>
      <c r="B1845" s="1" t="n">
        <v>45846.48114583334</v>
      </c>
      <c r="C1845" s="1" t="n">
        <v>45889</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34358-2025</t>
        </is>
      </c>
      <c r="B1846" s="1" t="n">
        <v>45846.48637731482</v>
      </c>
      <c r="C1846" s="1" t="n">
        <v>45889</v>
      </c>
      <c r="D1846" t="inlineStr">
        <is>
          <t>VÄRMLANDS LÄN</t>
        </is>
      </c>
      <c r="E1846" t="inlineStr">
        <is>
          <t>TORSBY</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34367-2025</t>
        </is>
      </c>
      <c r="B1847" s="1" t="n">
        <v>45846.49902777778</v>
      </c>
      <c r="C1847" s="1" t="n">
        <v>45889</v>
      </c>
      <c r="D1847" t="inlineStr">
        <is>
          <t>VÄRMLANDS LÄN</t>
        </is>
      </c>
      <c r="E1847" t="inlineStr">
        <is>
          <t>TORSBY</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37260-2025</t>
        </is>
      </c>
      <c r="B1848" s="1" t="n">
        <v>45876</v>
      </c>
      <c r="C1848" s="1" t="n">
        <v>45889</v>
      </c>
      <c r="D1848" t="inlineStr">
        <is>
          <t>VÄRMLANDS LÄN</t>
        </is>
      </c>
      <c r="E1848" t="inlineStr">
        <is>
          <t>TORSBY</t>
        </is>
      </c>
      <c r="F1848" t="inlineStr">
        <is>
          <t>Bergvik skog väst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37273-2025</t>
        </is>
      </c>
      <c r="B1849" s="1" t="n">
        <v>45876</v>
      </c>
      <c r="C1849" s="1" t="n">
        <v>45889</v>
      </c>
      <c r="D1849" t="inlineStr">
        <is>
          <t>VÄRMLANDS LÄN</t>
        </is>
      </c>
      <c r="E1849" t="inlineStr">
        <is>
          <t>TORSBY</t>
        </is>
      </c>
      <c r="F1849" t="inlineStr">
        <is>
          <t>Bergvik skog väst AB</t>
        </is>
      </c>
      <c r="G1849" t="n">
        <v>10.4</v>
      </c>
      <c r="H1849" t="n">
        <v>0</v>
      </c>
      <c r="I1849" t="n">
        <v>0</v>
      </c>
      <c r="J1849" t="n">
        <v>0</v>
      </c>
      <c r="K1849" t="n">
        <v>0</v>
      </c>
      <c r="L1849" t="n">
        <v>0</v>
      </c>
      <c r="M1849" t="n">
        <v>0</v>
      </c>
      <c r="N1849" t="n">
        <v>0</v>
      </c>
      <c r="O1849" t="n">
        <v>0</v>
      </c>
      <c r="P1849" t="n">
        <v>0</v>
      </c>
      <c r="Q1849" t="n">
        <v>0</v>
      </c>
      <c r="R1849" s="2" t="inlineStr"/>
    </row>
    <row r="1850" ht="15" customHeight="1">
      <c r="A1850" t="inlineStr">
        <is>
          <t>A 38905-2025</t>
        </is>
      </c>
      <c r="B1850" s="1" t="n">
        <v>45884</v>
      </c>
      <c r="C1850" s="1" t="n">
        <v>45889</v>
      </c>
      <c r="D1850" t="inlineStr">
        <is>
          <t>VÄRMLANDS LÄN</t>
        </is>
      </c>
      <c r="E1850" t="inlineStr">
        <is>
          <t>TORSBY</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37300-2025</t>
        </is>
      </c>
      <c r="B1851" s="1" t="n">
        <v>45876</v>
      </c>
      <c r="C1851" s="1" t="n">
        <v>45889</v>
      </c>
      <c r="D1851" t="inlineStr">
        <is>
          <t>VÄRMLANDS LÄN</t>
        </is>
      </c>
      <c r="E1851" t="inlineStr">
        <is>
          <t>TORSBY</t>
        </is>
      </c>
      <c r="F1851" t="inlineStr">
        <is>
          <t>Bergvik skog väst AB</t>
        </is>
      </c>
      <c r="G1851" t="n">
        <v>33.6</v>
      </c>
      <c r="H1851" t="n">
        <v>0</v>
      </c>
      <c r="I1851" t="n">
        <v>0</v>
      </c>
      <c r="J1851" t="n">
        <v>0</v>
      </c>
      <c r="K1851" t="n">
        <v>0</v>
      </c>
      <c r="L1851" t="n">
        <v>0</v>
      </c>
      <c r="M1851" t="n">
        <v>0</v>
      </c>
      <c r="N1851" t="n">
        <v>0</v>
      </c>
      <c r="O1851" t="n">
        <v>0</v>
      </c>
      <c r="P1851" t="n">
        <v>0</v>
      </c>
      <c r="Q1851" t="n">
        <v>0</v>
      </c>
      <c r="R1851" s="2" t="inlineStr"/>
    </row>
    <row r="1852" ht="15" customHeight="1">
      <c r="A1852" t="inlineStr">
        <is>
          <t>A 38808-2025</t>
        </is>
      </c>
      <c r="B1852" s="1" t="n">
        <v>45887.47344907407</v>
      </c>
      <c r="C1852" s="1" t="n">
        <v>45889</v>
      </c>
      <c r="D1852" t="inlineStr">
        <is>
          <t>VÄRMLANDS LÄN</t>
        </is>
      </c>
      <c r="E1852" t="inlineStr">
        <is>
          <t>TORSBY</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34398-2025</t>
        </is>
      </c>
      <c r="B1853" s="1" t="n">
        <v>45846.60688657407</v>
      </c>
      <c r="C1853" s="1" t="n">
        <v>45889</v>
      </c>
      <c r="D1853" t="inlineStr">
        <is>
          <t>VÄRMLANDS LÄN</t>
        </is>
      </c>
      <c r="E1853" t="inlineStr">
        <is>
          <t>TORSBY</t>
        </is>
      </c>
      <c r="F1853" t="inlineStr">
        <is>
          <t>Bergvik skog väst AB</t>
        </is>
      </c>
      <c r="G1853" t="n">
        <v>22.3</v>
      </c>
      <c r="H1853" t="n">
        <v>0</v>
      </c>
      <c r="I1853" t="n">
        <v>0</v>
      </c>
      <c r="J1853" t="n">
        <v>0</v>
      </c>
      <c r="K1853" t="n">
        <v>0</v>
      </c>
      <c r="L1853" t="n">
        <v>0</v>
      </c>
      <c r="M1853" t="n">
        <v>0</v>
      </c>
      <c r="N1853" t="n">
        <v>0</v>
      </c>
      <c r="O1853" t="n">
        <v>0</v>
      </c>
      <c r="P1853" t="n">
        <v>0</v>
      </c>
      <c r="Q1853" t="n">
        <v>0</v>
      </c>
      <c r="R1853" s="2" t="inlineStr"/>
    </row>
    <row r="1854" ht="15" customHeight="1">
      <c r="A1854" t="inlineStr">
        <is>
          <t>A 28329-2024</t>
        </is>
      </c>
      <c r="B1854" s="1" t="n">
        <v>45477</v>
      </c>
      <c r="C1854" s="1" t="n">
        <v>45889</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16591-2024</t>
        </is>
      </c>
      <c r="B1855" s="1" t="n">
        <v>45408.49420138889</v>
      </c>
      <c r="C1855" s="1" t="n">
        <v>45889</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34372-2025</t>
        </is>
      </c>
      <c r="B1856" s="1" t="n">
        <v>45846.5134837963</v>
      </c>
      <c r="C1856" s="1" t="n">
        <v>45889</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38979-2025</t>
        </is>
      </c>
      <c r="B1857" s="1" t="n">
        <v>45887.99758101852</v>
      </c>
      <c r="C1857" s="1" t="n">
        <v>45889</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52581-2024</t>
        </is>
      </c>
      <c r="B1858" s="1" t="n">
        <v>45609</v>
      </c>
      <c r="C1858" s="1" t="n">
        <v>45889</v>
      </c>
      <c r="D1858" t="inlineStr">
        <is>
          <t>VÄRMLANDS LÄN</t>
        </is>
      </c>
      <c r="E1858" t="inlineStr">
        <is>
          <t>TORSBY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38738-2025</t>
        </is>
      </c>
      <c r="B1859" s="1" t="n">
        <v>45887.3715162037</v>
      </c>
      <c r="C1859" s="1" t="n">
        <v>45889</v>
      </c>
      <c r="D1859" t="inlineStr">
        <is>
          <t>VÄRMLANDS LÄN</t>
        </is>
      </c>
      <c r="E1859" t="inlineStr">
        <is>
          <t>TORSBY</t>
        </is>
      </c>
      <c r="F1859" t="inlineStr">
        <is>
          <t>Bergvik skog väst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60148-2024</t>
        </is>
      </c>
      <c r="B1860" s="1" t="n">
        <v>45642</v>
      </c>
      <c r="C1860" s="1" t="n">
        <v>45889</v>
      </c>
      <c r="D1860" t="inlineStr">
        <is>
          <t>VÄRMLANDS LÄN</t>
        </is>
      </c>
      <c r="E1860" t="inlineStr">
        <is>
          <t>TORSBY</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34365-2025</t>
        </is>
      </c>
      <c r="B1861" s="1" t="n">
        <v>45846.49326388889</v>
      </c>
      <c r="C1861" s="1" t="n">
        <v>45889</v>
      </c>
      <c r="D1861" t="inlineStr">
        <is>
          <t>VÄRMLANDS LÄN</t>
        </is>
      </c>
      <c r="E1861" t="inlineStr">
        <is>
          <t>TORSBY</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27101-2024</t>
        </is>
      </c>
      <c r="B1862" s="1" t="n">
        <v>45471</v>
      </c>
      <c r="C1862" s="1" t="n">
        <v>45889</v>
      </c>
      <c r="D1862" t="inlineStr">
        <is>
          <t>VÄRMLANDS LÄN</t>
        </is>
      </c>
      <c r="E1862" t="inlineStr">
        <is>
          <t>TORSBY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27116-2024</t>
        </is>
      </c>
      <c r="B1863" s="1" t="n">
        <v>45471.5056712963</v>
      </c>
      <c r="C1863" s="1" t="n">
        <v>45889</v>
      </c>
      <c r="D1863" t="inlineStr">
        <is>
          <t>VÄRMLANDS LÄN</t>
        </is>
      </c>
      <c r="E1863" t="inlineStr">
        <is>
          <t>TORSBY</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38771-2025</t>
        </is>
      </c>
      <c r="B1864" s="1" t="n">
        <v>45887</v>
      </c>
      <c r="C1864" s="1" t="n">
        <v>45889</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34388-2025</t>
        </is>
      </c>
      <c r="B1865" s="1" t="n">
        <v>45846.57305555556</v>
      </c>
      <c r="C1865" s="1" t="n">
        <v>45889</v>
      </c>
      <c r="D1865" t="inlineStr">
        <is>
          <t>VÄRMLANDS LÄN</t>
        </is>
      </c>
      <c r="E1865" t="inlineStr">
        <is>
          <t>TORSBY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34140-2025</t>
        </is>
      </c>
      <c r="B1866" s="1" t="n">
        <v>45845.54896990741</v>
      </c>
      <c r="C1866" s="1" t="n">
        <v>45889</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34137-2025</t>
        </is>
      </c>
      <c r="B1867" s="1" t="n">
        <v>45845.54340277778</v>
      </c>
      <c r="C1867" s="1" t="n">
        <v>45889</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34138-2025</t>
        </is>
      </c>
      <c r="B1868" s="1" t="n">
        <v>45845.54486111111</v>
      </c>
      <c r="C1868" s="1" t="n">
        <v>45889</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34146-2025</t>
        </is>
      </c>
      <c r="B1869" s="1" t="n">
        <v>45845.56008101852</v>
      </c>
      <c r="C1869" s="1" t="n">
        <v>45889</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34363-2025</t>
        </is>
      </c>
      <c r="B1870" s="1" t="n">
        <v>45846.49144675926</v>
      </c>
      <c r="C1870" s="1" t="n">
        <v>45889</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34370-2025</t>
        </is>
      </c>
      <c r="B1871" s="1" t="n">
        <v>45846.51056712963</v>
      </c>
      <c r="C1871" s="1" t="n">
        <v>45889</v>
      </c>
      <c r="D1871" t="inlineStr">
        <is>
          <t>VÄRMLANDS LÄN</t>
        </is>
      </c>
      <c r="E1871" t="inlineStr">
        <is>
          <t>TORSBY</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41160-2023</t>
        </is>
      </c>
      <c r="B1872" s="1" t="n">
        <v>45174</v>
      </c>
      <c r="C1872" s="1" t="n">
        <v>45889</v>
      </c>
      <c r="D1872" t="inlineStr">
        <is>
          <t>VÄRMLANDS LÄN</t>
        </is>
      </c>
      <c r="E1872" t="inlineStr">
        <is>
          <t>TORSBY</t>
        </is>
      </c>
      <c r="F1872" t="inlineStr">
        <is>
          <t>Kyrkan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37230-2025</t>
        </is>
      </c>
      <c r="B1873" s="1" t="n">
        <v>45876</v>
      </c>
      <c r="C1873" s="1" t="n">
        <v>45889</v>
      </c>
      <c r="D1873" t="inlineStr">
        <is>
          <t>VÄRMLANDS LÄN</t>
        </is>
      </c>
      <c r="E1873" t="inlineStr">
        <is>
          <t>TORSBY</t>
        </is>
      </c>
      <c r="F1873" t="inlineStr">
        <is>
          <t>Bergvik skog väst AB</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34046-2025</t>
        </is>
      </c>
      <c r="B1874" s="1" t="n">
        <v>45845.38671296297</v>
      </c>
      <c r="C1874" s="1" t="n">
        <v>45889</v>
      </c>
      <c r="D1874" t="inlineStr">
        <is>
          <t>VÄRMLANDS LÄN</t>
        </is>
      </c>
      <c r="E1874" t="inlineStr">
        <is>
          <t>TORSBY</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34268-2025</t>
        </is>
      </c>
      <c r="B1875" s="1" t="n">
        <v>45845</v>
      </c>
      <c r="C1875" s="1" t="n">
        <v>45889</v>
      </c>
      <c r="D1875" t="inlineStr">
        <is>
          <t>VÄRMLANDS LÄN</t>
        </is>
      </c>
      <c r="E1875" t="inlineStr">
        <is>
          <t>TORSBY</t>
        </is>
      </c>
      <c r="F1875" t="inlineStr">
        <is>
          <t>Bergvik skog väst AB</t>
        </is>
      </c>
      <c r="G1875" t="n">
        <v>19.7</v>
      </c>
      <c r="H1875" t="n">
        <v>0</v>
      </c>
      <c r="I1875" t="n">
        <v>0</v>
      </c>
      <c r="J1875" t="n">
        <v>0</v>
      </c>
      <c r="K1875" t="n">
        <v>0</v>
      </c>
      <c r="L1875" t="n">
        <v>0</v>
      </c>
      <c r="M1875" t="n">
        <v>0</v>
      </c>
      <c r="N1875" t="n">
        <v>0</v>
      </c>
      <c r="O1875" t="n">
        <v>0</v>
      </c>
      <c r="P1875" t="n">
        <v>0</v>
      </c>
      <c r="Q1875" t="n">
        <v>0</v>
      </c>
      <c r="R1875" s="2" t="inlineStr"/>
    </row>
    <row r="1876" ht="15" customHeight="1">
      <c r="A1876" t="inlineStr">
        <is>
          <t>A 37818-2025</t>
        </is>
      </c>
      <c r="B1876" s="1" t="n">
        <v>45881</v>
      </c>
      <c r="C1876" s="1" t="n">
        <v>45889</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8281-2023</t>
        </is>
      </c>
      <c r="B1877" s="1" t="n">
        <v>44974</v>
      </c>
      <c r="C1877" s="1" t="n">
        <v>45889</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39059-2025</t>
        </is>
      </c>
      <c r="B1878" s="1" t="n">
        <v>45888.45719907407</v>
      </c>
      <c r="C1878" s="1" t="n">
        <v>45889</v>
      </c>
      <c r="D1878" t="inlineStr">
        <is>
          <t>VÄRMLANDS LÄN</t>
        </is>
      </c>
      <c r="E1878" t="inlineStr">
        <is>
          <t>TORSBY</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61138-2022</t>
        </is>
      </c>
      <c r="B1879" s="1" t="n">
        <v>44915</v>
      </c>
      <c r="C1879" s="1" t="n">
        <v>45889</v>
      </c>
      <c r="D1879" t="inlineStr">
        <is>
          <t>VÄRMLANDS LÄN</t>
        </is>
      </c>
      <c r="E1879" t="inlineStr">
        <is>
          <t>TORSBY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64902-2021</t>
        </is>
      </c>
      <c r="B1880" s="1" t="n">
        <v>44512.64336805556</v>
      </c>
      <c r="C1880" s="1" t="n">
        <v>45889</v>
      </c>
      <c r="D1880" t="inlineStr">
        <is>
          <t>VÄRMLANDS LÄN</t>
        </is>
      </c>
      <c r="E1880" t="inlineStr">
        <is>
          <t>TORSBY</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22662-2022</t>
        </is>
      </c>
      <c r="B1881" s="1" t="n">
        <v>44714</v>
      </c>
      <c r="C1881" s="1" t="n">
        <v>45889</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51661-2024</t>
        </is>
      </c>
      <c r="B1882" s="1" t="n">
        <v>45606.74392361111</v>
      </c>
      <c r="C1882" s="1" t="n">
        <v>45889</v>
      </c>
      <c r="D1882" t="inlineStr">
        <is>
          <t>VÄRMLANDS LÄN</t>
        </is>
      </c>
      <c r="E1882" t="inlineStr">
        <is>
          <t>TORSBY</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51663-2024</t>
        </is>
      </c>
      <c r="B1883" s="1" t="n">
        <v>45606.76396990741</v>
      </c>
      <c r="C1883" s="1" t="n">
        <v>45889</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34136-2025</t>
        </is>
      </c>
      <c r="B1884" s="1" t="n">
        <v>45845.54184027778</v>
      </c>
      <c r="C1884" s="1" t="n">
        <v>45889</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34145-2025</t>
        </is>
      </c>
      <c r="B1885" s="1" t="n">
        <v>45845.55372685185</v>
      </c>
      <c r="C1885" s="1" t="n">
        <v>45889</v>
      </c>
      <c r="D1885" t="inlineStr">
        <is>
          <t>VÄRMLANDS LÄN</t>
        </is>
      </c>
      <c r="E1885" t="inlineStr">
        <is>
          <t>TORSBY</t>
        </is>
      </c>
      <c r="G1885" t="n">
        <v>19.2</v>
      </c>
      <c r="H1885" t="n">
        <v>0</v>
      </c>
      <c r="I1885" t="n">
        <v>0</v>
      </c>
      <c r="J1885" t="n">
        <v>0</v>
      </c>
      <c r="K1885" t="n">
        <v>0</v>
      </c>
      <c r="L1885" t="n">
        <v>0</v>
      </c>
      <c r="M1885" t="n">
        <v>0</v>
      </c>
      <c r="N1885" t="n">
        <v>0</v>
      </c>
      <c r="O1885" t="n">
        <v>0</v>
      </c>
      <c r="P1885" t="n">
        <v>0</v>
      </c>
      <c r="Q1885" t="n">
        <v>0</v>
      </c>
      <c r="R1885" s="2" t="inlineStr"/>
    </row>
    <row r="1886" ht="15" customHeight="1">
      <c r="A1886" t="inlineStr">
        <is>
          <t>A 14292-2023</t>
        </is>
      </c>
      <c r="B1886" s="1" t="n">
        <v>45011</v>
      </c>
      <c r="C1886" s="1" t="n">
        <v>45889</v>
      </c>
      <c r="D1886" t="inlineStr">
        <is>
          <t>VÄRMLANDS LÄN</t>
        </is>
      </c>
      <c r="E1886" t="inlineStr">
        <is>
          <t>TORSBY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14293-2023</t>
        </is>
      </c>
      <c r="B1887" s="1" t="n">
        <v>45011</v>
      </c>
      <c r="C1887" s="1" t="n">
        <v>45889</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34179-2025</t>
        </is>
      </c>
      <c r="B1888" s="1" t="n">
        <v>45845</v>
      </c>
      <c r="C1888" s="1" t="n">
        <v>45889</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39039-2025</t>
        </is>
      </c>
      <c r="B1889" s="1" t="n">
        <v>45888.42684027777</v>
      </c>
      <c r="C1889" s="1" t="n">
        <v>45889</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39033-2025</t>
        </is>
      </c>
      <c r="B1890" s="1" t="n">
        <v>45888.41966435185</v>
      </c>
      <c r="C1890" s="1" t="n">
        <v>45889</v>
      </c>
      <c r="D1890" t="inlineStr">
        <is>
          <t>VÄRMLANDS LÄN</t>
        </is>
      </c>
      <c r="E1890" t="inlineStr">
        <is>
          <t>TORSBY</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34399-2025</t>
        </is>
      </c>
      <c r="B1891" s="1" t="n">
        <v>45846.610625</v>
      </c>
      <c r="C1891" s="1" t="n">
        <v>45889</v>
      </c>
      <c r="D1891" t="inlineStr">
        <is>
          <t>VÄRMLANDS LÄN</t>
        </is>
      </c>
      <c r="E1891" t="inlineStr">
        <is>
          <t>TORSBY</t>
        </is>
      </c>
      <c r="F1891" t="inlineStr">
        <is>
          <t>Bergvik skog väst AB</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38497-2025</t>
        </is>
      </c>
      <c r="B1892" s="1" t="n">
        <v>45884</v>
      </c>
      <c r="C1892" s="1" t="n">
        <v>45889</v>
      </c>
      <c r="D1892" t="inlineStr">
        <is>
          <t>VÄRMLANDS LÄN</t>
        </is>
      </c>
      <c r="E1892" t="inlineStr">
        <is>
          <t>TORSBY</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26887-2024</t>
        </is>
      </c>
      <c r="B1893" s="1" t="n">
        <v>45470.64864583333</v>
      </c>
      <c r="C1893" s="1" t="n">
        <v>45889</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21280-2024</t>
        </is>
      </c>
      <c r="B1894" s="1" t="n">
        <v>45440</v>
      </c>
      <c r="C1894" s="1" t="n">
        <v>45889</v>
      </c>
      <c r="D1894" t="inlineStr">
        <is>
          <t>VÄRMLANDS LÄN</t>
        </is>
      </c>
      <c r="E1894" t="inlineStr">
        <is>
          <t>TORSBY</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47271-2021</t>
        </is>
      </c>
      <c r="B1895" s="1" t="n">
        <v>44447</v>
      </c>
      <c r="C1895" s="1" t="n">
        <v>45889</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53988-2022</t>
        </is>
      </c>
      <c r="B1896" s="1" t="n">
        <v>44876</v>
      </c>
      <c r="C1896" s="1" t="n">
        <v>45889</v>
      </c>
      <c r="D1896" t="inlineStr">
        <is>
          <t>VÄRMLANDS LÄN</t>
        </is>
      </c>
      <c r="E1896" t="inlineStr">
        <is>
          <t>TORSBY</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47465-2024</t>
        </is>
      </c>
      <c r="B1897" s="1" t="n">
        <v>45587</v>
      </c>
      <c r="C1897" s="1" t="n">
        <v>45889</v>
      </c>
      <c r="D1897" t="inlineStr">
        <is>
          <t>VÄRMLANDS LÄN</t>
        </is>
      </c>
      <c r="E1897" t="inlineStr">
        <is>
          <t>TORSBY</t>
        </is>
      </c>
      <c r="F1897" t="inlineStr">
        <is>
          <t>Övriga Aktiebolag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4707-2023</t>
        </is>
      </c>
      <c r="B1898" s="1" t="n">
        <v>44957</v>
      </c>
      <c r="C1898" s="1" t="n">
        <v>45889</v>
      </c>
      <c r="D1898" t="inlineStr">
        <is>
          <t>VÄRMLANDS LÄN</t>
        </is>
      </c>
      <c r="E1898" t="inlineStr">
        <is>
          <t>TORSBY</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29256-2023</t>
        </is>
      </c>
      <c r="B1899" s="1" t="n">
        <v>45105.65310185185</v>
      </c>
      <c r="C1899" s="1" t="n">
        <v>45889</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13723-2023</t>
        </is>
      </c>
      <c r="B1900" s="1" t="n">
        <v>45007</v>
      </c>
      <c r="C1900" s="1" t="n">
        <v>45889</v>
      </c>
      <c r="D1900" t="inlineStr">
        <is>
          <t>VÄRMLANDS LÄN</t>
        </is>
      </c>
      <c r="E1900" t="inlineStr">
        <is>
          <t>TORSBY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7378-2025</t>
        </is>
      </c>
      <c r="B1901" s="1" t="n">
        <v>45705</v>
      </c>
      <c r="C1901" s="1" t="n">
        <v>45889</v>
      </c>
      <c r="D1901" t="inlineStr">
        <is>
          <t>VÄRMLANDS LÄN</t>
        </is>
      </c>
      <c r="E1901" t="inlineStr">
        <is>
          <t>TORSBY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1104-2025</t>
        </is>
      </c>
      <c r="B1902" s="1" t="n">
        <v>45666</v>
      </c>
      <c r="C1902" s="1" t="n">
        <v>45889</v>
      </c>
      <c r="D1902" t="inlineStr">
        <is>
          <t>VÄRMLANDS LÄN</t>
        </is>
      </c>
      <c r="E1902" t="inlineStr">
        <is>
          <t>TORSBY</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16433-2023</t>
        </is>
      </c>
      <c r="B1903" s="1" t="n">
        <v>45022</v>
      </c>
      <c r="C1903" s="1" t="n">
        <v>45889</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21411-2023</t>
        </is>
      </c>
      <c r="B1904" s="1" t="n">
        <v>45063.38505787037</v>
      </c>
      <c r="C1904" s="1" t="n">
        <v>45889</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16994-2025</t>
        </is>
      </c>
      <c r="B1905" s="1" t="n">
        <v>45755</v>
      </c>
      <c r="C1905" s="1" t="n">
        <v>45889</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35057-2023</t>
        </is>
      </c>
      <c r="B1906" s="1" t="n">
        <v>45145.3909375</v>
      </c>
      <c r="C1906" s="1" t="n">
        <v>45889</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485-2025</t>
        </is>
      </c>
      <c r="B1907" s="1" t="n">
        <v>45664</v>
      </c>
      <c r="C1907" s="1" t="n">
        <v>45889</v>
      </c>
      <c r="D1907" t="inlineStr">
        <is>
          <t>VÄRMLANDS LÄN</t>
        </is>
      </c>
      <c r="E1907" t="inlineStr">
        <is>
          <t>TORSBY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3442-2025</t>
        </is>
      </c>
      <c r="B1908" s="1" t="n">
        <v>45680.45114583334</v>
      </c>
      <c r="C1908" s="1" t="n">
        <v>45889</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3409-2025</t>
        </is>
      </c>
      <c r="B1909" s="1" t="n">
        <v>45680.39391203703</v>
      </c>
      <c r="C1909" s="1" t="n">
        <v>45889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48239-2022</t>
        </is>
      </c>
      <c r="B1910" s="1" t="n">
        <v>44858.45881944444</v>
      </c>
      <c r="C1910" s="1" t="n">
        <v>45889</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22124-2022</t>
        </is>
      </c>
      <c r="B1911" s="1" t="n">
        <v>44712</v>
      </c>
      <c r="C1911" s="1" t="n">
        <v>45889</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6708-2023</t>
        </is>
      </c>
      <c r="B1912" s="1" t="n">
        <v>44960</v>
      </c>
      <c r="C1912" s="1" t="n">
        <v>45889</v>
      </c>
      <c r="D1912" t="inlineStr">
        <is>
          <t>VÄRMLANDS LÄN</t>
        </is>
      </c>
      <c r="E1912" t="inlineStr">
        <is>
          <t>TORSBY</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53744-2024</t>
        </is>
      </c>
      <c r="B1913" s="1" t="n">
        <v>45615</v>
      </c>
      <c r="C1913" s="1" t="n">
        <v>45889</v>
      </c>
      <c r="D1913" t="inlineStr">
        <is>
          <t>VÄRMLANDS LÄN</t>
        </is>
      </c>
      <c r="E1913" t="inlineStr">
        <is>
          <t>TORSBY</t>
        </is>
      </c>
      <c r="G1913" t="n">
        <v>16.9</v>
      </c>
      <c r="H1913" t="n">
        <v>0</v>
      </c>
      <c r="I1913" t="n">
        <v>0</v>
      </c>
      <c r="J1913" t="n">
        <v>0</v>
      </c>
      <c r="K1913" t="n">
        <v>0</v>
      </c>
      <c r="L1913" t="n">
        <v>0</v>
      </c>
      <c r="M1913" t="n">
        <v>0</v>
      </c>
      <c r="N1913" t="n">
        <v>0</v>
      </c>
      <c r="O1913" t="n">
        <v>0</v>
      </c>
      <c r="P1913" t="n">
        <v>0</v>
      </c>
      <c r="Q1913" t="n">
        <v>0</v>
      </c>
      <c r="R1913" s="2" t="inlineStr"/>
    </row>
    <row r="1914" ht="15" customHeight="1">
      <c r="A1914" t="inlineStr">
        <is>
          <t>A 1100-2025</t>
        </is>
      </c>
      <c r="B1914" s="1" t="n">
        <v>45666.64099537037</v>
      </c>
      <c r="C1914" s="1" t="n">
        <v>45889</v>
      </c>
      <c r="D1914" t="inlineStr">
        <is>
          <t>VÄRMLANDS LÄN</t>
        </is>
      </c>
      <c r="E1914" t="inlineStr">
        <is>
          <t>TORSBY</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10895-2024</t>
        </is>
      </c>
      <c r="B1915" s="1" t="n">
        <v>45370.34901620371</v>
      </c>
      <c r="C1915" s="1" t="n">
        <v>45889</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58728-2021</t>
        </is>
      </c>
      <c r="B1916" s="1" t="n">
        <v>44489</v>
      </c>
      <c r="C1916" s="1" t="n">
        <v>45889</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62445-2023</t>
        </is>
      </c>
      <c r="B1917" s="1" t="n">
        <v>45268.47487268518</v>
      </c>
      <c r="C1917" s="1" t="n">
        <v>45889</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28624-2024</t>
        </is>
      </c>
      <c r="B1918" s="1" t="n">
        <v>45478.44297453704</v>
      </c>
      <c r="C1918" s="1" t="n">
        <v>45889</v>
      </c>
      <c r="D1918" t="inlineStr">
        <is>
          <t>VÄRMLANDS LÄN</t>
        </is>
      </c>
      <c r="E1918" t="inlineStr">
        <is>
          <t>TORSBY</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34655-2022</t>
        </is>
      </c>
      <c r="B1919" s="1" t="n">
        <v>44795</v>
      </c>
      <c r="C1919" s="1" t="n">
        <v>45889</v>
      </c>
      <c r="D1919" t="inlineStr">
        <is>
          <t>VÄRMLANDS LÄN</t>
        </is>
      </c>
      <c r="E1919" t="inlineStr">
        <is>
          <t>TORSBY</t>
        </is>
      </c>
      <c r="G1919" t="n">
        <v>12.8</v>
      </c>
      <c r="H1919" t="n">
        <v>0</v>
      </c>
      <c r="I1919" t="n">
        <v>0</v>
      </c>
      <c r="J1919" t="n">
        <v>0</v>
      </c>
      <c r="K1919" t="n">
        <v>0</v>
      </c>
      <c r="L1919" t="n">
        <v>0</v>
      </c>
      <c r="M1919" t="n">
        <v>0</v>
      </c>
      <c r="N1919" t="n">
        <v>0</v>
      </c>
      <c r="O1919" t="n">
        <v>0</v>
      </c>
      <c r="P1919" t="n">
        <v>0</v>
      </c>
      <c r="Q1919" t="n">
        <v>0</v>
      </c>
      <c r="R1919" s="2" t="inlineStr"/>
    </row>
    <row r="1920" ht="15" customHeight="1">
      <c r="A1920" t="inlineStr">
        <is>
          <t>A 345-2023</t>
        </is>
      </c>
      <c r="B1920" s="1" t="n">
        <v>44923</v>
      </c>
      <c r="C1920" s="1" t="n">
        <v>45889</v>
      </c>
      <c r="D1920" t="inlineStr">
        <is>
          <t>VÄRMLANDS LÄN</t>
        </is>
      </c>
      <c r="E1920" t="inlineStr">
        <is>
          <t>TORSBY</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522-2023</t>
        </is>
      </c>
      <c r="B1921" s="1" t="n">
        <v>44930</v>
      </c>
      <c r="C1921" s="1" t="n">
        <v>45889</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36758-2024</t>
        </is>
      </c>
      <c r="B1922" s="1" t="n">
        <v>45538.35525462963</v>
      </c>
      <c r="C1922" s="1" t="n">
        <v>45889</v>
      </c>
      <c r="D1922" t="inlineStr">
        <is>
          <t>VÄRMLANDS LÄN</t>
        </is>
      </c>
      <c r="E1922" t="inlineStr">
        <is>
          <t>TORSBY</t>
        </is>
      </c>
      <c r="F1922" t="inlineStr">
        <is>
          <t>Kyrkan</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43943-2022</t>
        </is>
      </c>
      <c r="B1923" s="1" t="n">
        <v>44838</v>
      </c>
      <c r="C1923" s="1" t="n">
        <v>45889</v>
      </c>
      <c r="D1923" t="inlineStr">
        <is>
          <t>VÄRMLANDS LÄN</t>
        </is>
      </c>
      <c r="E1923" t="inlineStr">
        <is>
          <t>TORSBY</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21089-2022</t>
        </is>
      </c>
      <c r="B1924" s="1" t="n">
        <v>44704</v>
      </c>
      <c r="C1924" s="1" t="n">
        <v>45889</v>
      </c>
      <c r="D1924" t="inlineStr">
        <is>
          <t>VÄRMLANDS LÄN</t>
        </is>
      </c>
      <c r="E1924" t="inlineStr">
        <is>
          <t>TORSBY</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2807-2025</t>
        </is>
      </c>
      <c r="B1925" s="1" t="n">
        <v>45677</v>
      </c>
      <c r="C1925" s="1" t="n">
        <v>45889</v>
      </c>
      <c r="D1925" t="inlineStr">
        <is>
          <t>VÄRMLANDS LÄN</t>
        </is>
      </c>
      <c r="E1925" t="inlineStr">
        <is>
          <t>TORSBY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34667-2022</t>
        </is>
      </c>
      <c r="B1926" s="1" t="n">
        <v>44795</v>
      </c>
      <c r="C1926" s="1" t="n">
        <v>45889</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26124-2024</t>
        </is>
      </c>
      <c r="B1927" s="1" t="n">
        <v>45468</v>
      </c>
      <c r="C1927" s="1" t="n">
        <v>45889</v>
      </c>
      <c r="D1927" t="inlineStr">
        <is>
          <t>VÄRMLANDS LÄN</t>
        </is>
      </c>
      <c r="E1927" t="inlineStr">
        <is>
          <t>TORSBY</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50852-2023</t>
        </is>
      </c>
      <c r="B1928" s="1" t="n">
        <v>45218.29837962963</v>
      </c>
      <c r="C1928" s="1" t="n">
        <v>45889</v>
      </c>
      <c r="D1928" t="inlineStr">
        <is>
          <t>VÄRMLANDS LÄN</t>
        </is>
      </c>
      <c r="E1928" t="inlineStr">
        <is>
          <t>TORSBY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13006-2025</t>
        </is>
      </c>
      <c r="B1929" s="1" t="n">
        <v>45734.51652777778</v>
      </c>
      <c r="C1929" s="1" t="n">
        <v>45889</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37340-2022</t>
        </is>
      </c>
      <c r="B1930" s="1" t="n">
        <v>44809</v>
      </c>
      <c r="C1930" s="1" t="n">
        <v>45889</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61428-2022</t>
        </is>
      </c>
      <c r="B1931" s="1" t="n">
        <v>44910</v>
      </c>
      <c r="C1931" s="1" t="n">
        <v>45889</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61432-2022</t>
        </is>
      </c>
      <c r="B1932" s="1" t="n">
        <v>44910</v>
      </c>
      <c r="C1932" s="1" t="n">
        <v>45889</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c r="A1933" t="inlineStr">
        <is>
          <t>A 14581-2023</t>
        </is>
      </c>
      <c r="B1933" s="1" t="n">
        <v>45013.52122685185</v>
      </c>
      <c r="C1933" s="1" t="n">
        <v>45889</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2025-08-20T08:24:19Z</dcterms:created>
  <dcterms:modified xmlns:dcterms="http://purl.org/dc/terms/" xmlns:xsi="http://www.w3.org/2001/XMLSchema-instance" xsi:type="dcterms:W3CDTF">2025-08-20T08:24:21Z</dcterms:modified>
</cp:coreProperties>
</file>